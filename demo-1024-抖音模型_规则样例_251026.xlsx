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9520" activeTab="2"/>
  </bookViews>
  <sheets>
    <sheet name="抖音订单-按支付日期-原表" sheetId="2" r:id="rId1"/>
    <sheet name="抖音订单-按支付日期-ABF列，要先手动清除空格" sheetId="5" r:id="rId2"/>
    <sheet name="抖音结算账单" sheetId="6" r:id="rId3"/>
  </sheets>
  <definedNames>
    <definedName name="_xlnm._FilterDatabase" localSheetId="0" hidden="1">'抖音订单-按支付日期-原表'!$A$1:$BU$593</definedName>
    <definedName name="_xlnm._FilterDatabase" localSheetId="1" hidden="1">'抖音订单-按支付日期-ABF列，要先手动清除空格'!$A$1:$BU$593</definedName>
    <definedName name="_xlnm._FilterDatabase" localSheetId="2" hidden="1">抖音结算账单!$A$2:$BK$95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<sst xmlns="http://schemas.openxmlformats.org/spreadsheetml/2006/main" count="55703" uniqueCount="4677">
  <si>
    <t>主订单编号</t>
  </si>
  <si>
    <t>子订单编号</t>
  </si>
  <si>
    <t>选购商品</t>
  </si>
  <si>
    <t>商品规格</t>
  </si>
  <si>
    <t>商品数量</t>
  </si>
  <si>
    <t>商品ID</t>
  </si>
  <si>
    <t>商家编码</t>
  </si>
  <si>
    <t>商品单价</t>
  </si>
  <si>
    <t>订单应付金额</t>
  </si>
  <si>
    <t>运费</t>
  </si>
  <si>
    <t>优惠总金额</t>
  </si>
  <si>
    <t>平台优惠</t>
  </si>
  <si>
    <t>商家优惠</t>
  </si>
  <si>
    <t>达人优惠</t>
  </si>
  <si>
    <t>商家改价</t>
  </si>
  <si>
    <t>支付优惠</t>
  </si>
  <si>
    <t>红包抵扣</t>
  </si>
  <si>
    <t>支付方式</t>
  </si>
  <si>
    <t>手续费</t>
  </si>
  <si>
    <t>收件人</t>
  </si>
  <si>
    <t>收件人手机号</t>
  </si>
  <si>
    <t>省</t>
  </si>
  <si>
    <t>市</t>
  </si>
  <si>
    <t>区</t>
  </si>
  <si>
    <t>街道</t>
  </si>
  <si>
    <t>详细地址</t>
  </si>
  <si>
    <t>是否修改过地址</t>
  </si>
  <si>
    <t>买家留言</t>
  </si>
  <si>
    <t>订单提交时间</t>
  </si>
  <si>
    <t>旗帜颜色</t>
  </si>
  <si>
    <t>商家备注</t>
  </si>
  <si>
    <t>订单完成时间</t>
  </si>
  <si>
    <t>支付完成时间</t>
  </si>
  <si>
    <t>APP渠道</t>
  </si>
  <si>
    <t>流量来源</t>
  </si>
  <si>
    <t>订单状态</t>
  </si>
  <si>
    <t>承诺发货时间</t>
  </si>
  <si>
    <t>订单类型</t>
  </si>
  <si>
    <t>鲁班落地页ID</t>
  </si>
  <si>
    <t>达人ID</t>
  </si>
  <si>
    <t>达人昵称</t>
  </si>
  <si>
    <t>所属门店ID</t>
  </si>
  <si>
    <t>售后状态</t>
  </si>
  <si>
    <t>取消原因</t>
  </si>
  <si>
    <t>预约发货时间</t>
  </si>
  <si>
    <t>仓库ID</t>
  </si>
  <si>
    <t>仓库名称</t>
  </si>
  <si>
    <t>序列号</t>
  </si>
  <si>
    <t>是否安心购</t>
  </si>
  <si>
    <t>广告渠道</t>
  </si>
  <si>
    <t>流量类型</t>
  </si>
  <si>
    <t>流量体裁</t>
  </si>
  <si>
    <t>流量渠道</t>
  </si>
  <si>
    <t>发货主体</t>
  </si>
  <si>
    <t>发货主体明细</t>
  </si>
  <si>
    <t>发货时间</t>
  </si>
  <si>
    <t>降价类优惠</t>
  </si>
  <si>
    <t>平台实际承担优惠金额</t>
  </si>
  <si>
    <t>商家实际承担优惠金额</t>
  </si>
  <si>
    <t>达人实际承担优惠金额</t>
  </si>
  <si>
    <t>预计送达时间</t>
  </si>
  <si>
    <t>是否平台仓自流转</t>
  </si>
  <si>
    <t>车型</t>
  </si>
  <si>
    <t>商品69码</t>
  </si>
  <si>
    <t>发货SN码</t>
  </si>
  <si>
    <t>发货IMEI码1</t>
  </si>
  <si>
    <t>发货IMEI码2</t>
  </si>
  <si>
    <t>预约送达时间</t>
  </si>
  <si>
    <t>建议发货时间（起）</t>
  </si>
  <si>
    <t>建议发货时间（止）</t>
  </si>
  <si>
    <t>物流SN码</t>
  </si>
  <si>
    <t>物流IMEI码1</t>
  </si>
  <si>
    <t>物流IMEI码2</t>
  </si>
  <si>
    <t xml:space="preserve">	6921014879971867995</t>
  </si>
  <si>
    <t xml:space="preserve">	【老板周】复古风格 秋冬新款立体麻花织纹针织毛衣</t>
  </si>
  <si>
    <t xml:space="preserve">	灰色;L(120-135斤);15天内发货</t>
  </si>
  <si>
    <t xml:space="preserve">	3772185880568135686</t>
  </si>
  <si>
    <t xml:space="preserve">	Z2418-灰色-L</t>
  </si>
  <si>
    <t>-</t>
  </si>
  <si>
    <t xml:space="preserve">	抖音月付</t>
  </si>
  <si>
    <t>***</t>
  </si>
  <si>
    <t>安徽省</t>
  </si>
  <si>
    <t>宿州市</t>
  </si>
  <si>
    <t>埇桥区</t>
  </si>
  <si>
    <t>西关街道</t>
  </si>
  <si>
    <t>否</t>
  </si>
  <si>
    <t xml:space="preserve">	2025-08-31 22:51:27</t>
  </si>
  <si>
    <t>灰色</t>
  </si>
  <si>
    <t>(收)[Z2418-灰色-L]*[1]#</t>
  </si>
  <si>
    <t xml:space="preserve">	2025-09-22 10:48:28</t>
  </si>
  <si>
    <t xml:space="preserve">	2025-08-31 22:51:31</t>
  </si>
  <si>
    <t>抖音</t>
  </si>
  <si>
    <t>精选联盟</t>
  </si>
  <si>
    <t>已完成</t>
  </si>
  <si>
    <t xml:space="preserve">	2025-09-15 22:51:31</t>
  </si>
  <si>
    <t>普通订单</t>
  </si>
  <si>
    <t xml:space="preserve">	0</t>
  </si>
  <si>
    <t xml:space="preserve">	2353393836764088</t>
  </si>
  <si>
    <t>老板周</t>
  </si>
  <si>
    <t>退款成功</t>
  </si>
  <si>
    <t xml:space="preserve">	-</t>
  </si>
  <si>
    <t>无</t>
  </si>
  <si>
    <t>其他</t>
  </si>
  <si>
    <t>直播</t>
  </si>
  <si>
    <t>商城推荐</t>
  </si>
  <si>
    <t xml:space="preserve">	2025-09-15 10:48:28</t>
  </si>
  <si>
    <t xml:space="preserve">	6945703385201317436</t>
  </si>
  <si>
    <t xml:space="preserve">	【老板周】日系极简 春季新品圆领简约设计感无袖马甲</t>
  </si>
  <si>
    <t xml:space="preserve">	黑色;M(100-120斤);15天内发货</t>
  </si>
  <si>
    <t xml:space="preserve">	3767004410471907465</t>
  </si>
  <si>
    <t xml:space="preserve">	Z1640-黑色-M</t>
  </si>
  <si>
    <t xml:space="preserve">	支付宝</t>
  </si>
  <si>
    <t>广东省</t>
  </si>
  <si>
    <t>深圳市</t>
  </si>
  <si>
    <t>龙华区</t>
  </si>
  <si>
    <t>龙华街道</t>
  </si>
  <si>
    <t xml:space="preserve">	2025-08-31 22:28:56</t>
  </si>
  <si>
    <t xml:space="preserve">	2025-09-18 23:58:12</t>
  </si>
  <si>
    <t xml:space="preserve">	2025-08-31 22:29:01</t>
  </si>
  <si>
    <t xml:space="preserve">	2025-09-15 22:29:02</t>
  </si>
  <si>
    <t>关注来源</t>
  </si>
  <si>
    <t xml:space="preserve">	2025-09-11 23:58:12</t>
  </si>
  <si>
    <t xml:space="preserve">	6945727588250948678</t>
  </si>
  <si>
    <t xml:space="preserve">	黑色;L(120-135斤);15天内发货</t>
  </si>
  <si>
    <t xml:space="preserve">	Z1640-黑色-L</t>
  </si>
  <si>
    <t xml:space="preserve">	抖音支付</t>
  </si>
  <si>
    <t>山东省</t>
  </si>
  <si>
    <t>德州市</t>
  </si>
  <si>
    <t>德城区</t>
  </si>
  <si>
    <t xml:space="preserve">	2025-08-31 22:26:00</t>
  </si>
  <si>
    <t xml:space="preserve">	2025-08-31 22:26:05</t>
  </si>
  <si>
    <t>已关闭</t>
  </si>
  <si>
    <t xml:space="preserve">	2025-09-15 22:26:05</t>
  </si>
  <si>
    <t>直播推荐</t>
  </si>
  <si>
    <t xml:space="preserve">	6945714505452361238</t>
  </si>
  <si>
    <t xml:space="preserve">	黑色;S(80-100斤);15天内发货</t>
  </si>
  <si>
    <t xml:space="preserve">	Z1640-黑色-S</t>
  </si>
  <si>
    <t>平台晚发即赔券-3.00</t>
  </si>
  <si>
    <t>河南省</t>
  </si>
  <si>
    <t>平顶山市</t>
  </si>
  <si>
    <t>湛河区</t>
  </si>
  <si>
    <t>九里山街道</t>
  </si>
  <si>
    <t xml:space="preserve">	2025-08-31 22:01:43</t>
  </si>
  <si>
    <t xml:space="preserve">	2025-08-31 22:01:46</t>
  </si>
  <si>
    <t xml:space="preserve">	2025-09-15 22:01:47</t>
  </si>
  <si>
    <t>商品卡</t>
  </si>
  <si>
    <t>橱窗</t>
  </si>
  <si>
    <t xml:space="preserve">	6945700999501124814</t>
  </si>
  <si>
    <t xml:space="preserve">	【老板周】极简设计 秋冬毛绒感圆领套头舒适针织毛衣</t>
  </si>
  <si>
    <t xml:space="preserve">	红色;M(100-135斤);15天内发货</t>
  </si>
  <si>
    <t xml:space="preserve">	3772189127454359773</t>
  </si>
  <si>
    <t xml:space="preserve">	Z2425-红色-M</t>
  </si>
  <si>
    <t>湖南省</t>
  </si>
  <si>
    <t>常德市</t>
  </si>
  <si>
    <t>武陵区</t>
  </si>
  <si>
    <t>穿紫河街道</t>
  </si>
  <si>
    <t xml:space="preserve">	2025-08-31 20:25:26</t>
  </si>
  <si>
    <t xml:space="preserve">	2025-08-31 20:25:28</t>
  </si>
  <si>
    <t xml:space="preserve">	2025-09-15 20:25:28</t>
  </si>
  <si>
    <t>广告</t>
  </si>
  <si>
    <t xml:space="preserve">	6921014170429783498</t>
  </si>
  <si>
    <t>上海市</t>
  </si>
  <si>
    <t>浦东新区</t>
  </si>
  <si>
    <t xml:space="preserve">	2025-08-31 19:29:31</t>
  </si>
  <si>
    <t xml:space="preserve">	2025-08-31 19:29:36</t>
  </si>
  <si>
    <t xml:space="preserve">	2025-09-15 19:29:36</t>
  </si>
  <si>
    <t xml:space="preserve">	6945712098356630732</t>
  </si>
  <si>
    <t>山西省</t>
  </si>
  <si>
    <t>太原市</t>
  </si>
  <si>
    <t>晋源区</t>
  </si>
  <si>
    <t>义井街道</t>
  </si>
  <si>
    <t xml:space="preserve">	2025-08-31 19:13:06</t>
  </si>
  <si>
    <t xml:space="preserve">	2025-08-31 19:13:08</t>
  </si>
  <si>
    <t xml:space="preserve">	2025-09-15 19:13:08</t>
  </si>
  <si>
    <t xml:space="preserve">	6921016389061410674</t>
  </si>
  <si>
    <t xml:space="preserve">	红色;S(80-100斤);15天内发货</t>
  </si>
  <si>
    <t xml:space="preserve">	Z2425-红色-S</t>
  </si>
  <si>
    <t>平台晚发即赔券-5.00</t>
  </si>
  <si>
    <t>重庆市</t>
  </si>
  <si>
    <t>九龙坡区</t>
  </si>
  <si>
    <t>中梁山街道</t>
  </si>
  <si>
    <t xml:space="preserve">	2025-08-31 18:07:41</t>
  </si>
  <si>
    <t xml:space="preserve">	2025-08-31 18:07:42</t>
  </si>
  <si>
    <t>头条lite-抖音电商</t>
  </si>
  <si>
    <t xml:space="preserve">	2025-09-15 18:07:43</t>
  </si>
  <si>
    <t>头条西瓜</t>
  </si>
  <si>
    <t xml:space="preserve">	6945711936320509468</t>
  </si>
  <si>
    <t xml:space="preserve">	蓝色;S(80-100斤);15天内发货</t>
  </si>
  <si>
    <t xml:space="preserve">	Z2425-蓝色-S</t>
  </si>
  <si>
    <t>贵州省</t>
  </si>
  <si>
    <t>贵阳市</t>
  </si>
  <si>
    <t>乌当区</t>
  </si>
  <si>
    <t>新创路街道</t>
  </si>
  <si>
    <t xml:space="preserve">	2025-08-31 18:05:55</t>
  </si>
  <si>
    <t xml:space="preserve">	2025-09-15 18:05:55</t>
  </si>
  <si>
    <t>你已取消订单：暂时不需要这个商品</t>
  </si>
  <si>
    <t xml:space="preserve">	6921016313814548201</t>
  </si>
  <si>
    <t>平台全额返现满减券-22.00</t>
  </si>
  <si>
    <t>阳江市</t>
  </si>
  <si>
    <t>江城区</t>
  </si>
  <si>
    <t>城北街道</t>
  </si>
  <si>
    <t xml:space="preserve">	2025-08-31 18:05:31</t>
  </si>
  <si>
    <t>蓝色</t>
  </si>
  <si>
    <t>YT2532916536267(收） Z2425-红色-M*1#</t>
  </si>
  <si>
    <t xml:space="preserve">	2025-08-31 18:05:36</t>
  </si>
  <si>
    <t xml:space="preserve">	2025-09-15 18:05:36</t>
  </si>
  <si>
    <t xml:space="preserve">	2025-09-09 23:55:16</t>
  </si>
  <si>
    <t xml:space="preserve">	6945707477692061056</t>
  </si>
  <si>
    <t xml:space="preserve">	【老板周】简约松弛 秋冬纯色弧形下摆宽松百搭上衣</t>
  </si>
  <si>
    <t xml:space="preserve">	白色;S(80-100斤);15天内发货</t>
  </si>
  <si>
    <t xml:space="preserve">	3771440658552848740</t>
  </si>
  <si>
    <t xml:space="preserve">	Z2311-白色-S</t>
  </si>
  <si>
    <t>府坪街道</t>
  </si>
  <si>
    <t xml:space="preserve">	2025-08-31 18:01:07</t>
  </si>
  <si>
    <t>73571847180415(收） Z2311-白色-S*1#</t>
  </si>
  <si>
    <t xml:space="preserve">	2025-08-31 18:01:08</t>
  </si>
  <si>
    <t>小店自卖</t>
  </si>
  <si>
    <t xml:space="preserve">	2025-09-15 18:01:09</t>
  </si>
  <si>
    <t>搜索</t>
  </si>
  <si>
    <t xml:space="preserve">	2025-09-07 16:39:45</t>
  </si>
  <si>
    <t xml:space="preserve">	6945694166426850837</t>
  </si>
  <si>
    <t>辽宁省</t>
  </si>
  <si>
    <t>本溪市</t>
  </si>
  <si>
    <t>明山区</t>
  </si>
  <si>
    <t>北地街道</t>
  </si>
  <si>
    <t xml:space="preserve">	2025-08-31 17:51:10</t>
  </si>
  <si>
    <t xml:space="preserve">	2025-08-31 17:51:20</t>
  </si>
  <si>
    <t>抖音极速版</t>
  </si>
  <si>
    <t xml:space="preserve">	2025-09-15 17:51:20</t>
  </si>
  <si>
    <t xml:space="preserve">	6945716113981314698</t>
  </si>
  <si>
    <t xml:space="preserve">	灰色;S(80-100斤);15天内发货</t>
  </si>
  <si>
    <t xml:space="preserve">	Z2418-灰色-S</t>
  </si>
  <si>
    <t>吕梁市</t>
  </si>
  <si>
    <t>交城县</t>
  </si>
  <si>
    <t>天宁镇</t>
  </si>
  <si>
    <t xml:space="preserve">	2025-08-31 17:50:43</t>
  </si>
  <si>
    <t xml:space="preserve">	2025-08-31 17:50:44</t>
  </si>
  <si>
    <t xml:space="preserve">	2025-09-15 17:50:44</t>
  </si>
  <si>
    <t xml:space="preserve">	6921011676079357340</t>
  </si>
  <si>
    <t>河北省</t>
  </si>
  <si>
    <t>沧州市</t>
  </si>
  <si>
    <t>黄骅市</t>
  </si>
  <si>
    <t xml:space="preserve">	2025-08-31 17:46:12</t>
  </si>
  <si>
    <t xml:space="preserve">	2025-08-31 17:46:16</t>
  </si>
  <si>
    <t xml:space="preserve">	2025-09-15 17:46:16</t>
  </si>
  <si>
    <t>个人主页&amp;店铺&amp;橱窗进入直播间</t>
  </si>
  <si>
    <t xml:space="preserve">	6945711886863766847</t>
  </si>
  <si>
    <t xml:space="preserve">	灰色;M(100-120斤);15天内发货</t>
  </si>
  <si>
    <t xml:space="preserve">	Z2418-灰色-M</t>
  </si>
  <si>
    <t>张家界市</t>
  </si>
  <si>
    <t>永定区</t>
  </si>
  <si>
    <t>崇文街道</t>
  </si>
  <si>
    <t xml:space="preserve">	2025-08-31 17:39:51</t>
  </si>
  <si>
    <t xml:space="preserve">	2025-08-31 17:39:57</t>
  </si>
  <si>
    <t>红果短剧-抖音电商</t>
  </si>
  <si>
    <t xml:space="preserve">	2025-09-15 17:39:58</t>
  </si>
  <si>
    <t xml:space="preserve">	6921009635296968526</t>
  </si>
  <si>
    <t>天津市</t>
  </si>
  <si>
    <t>滨海新区</t>
  </si>
  <si>
    <t xml:space="preserve">	2025-08-31 17:39:47</t>
  </si>
  <si>
    <t xml:space="preserve">	2025-08-31 17:39:48</t>
  </si>
  <si>
    <t xml:space="preserve">	2025-09-15 17:39:48</t>
  </si>
  <si>
    <t xml:space="preserve">	6921016365371785140</t>
  </si>
  <si>
    <t>石家庄市</t>
  </si>
  <si>
    <t>赵县</t>
  </si>
  <si>
    <t>赵州镇</t>
  </si>
  <si>
    <t xml:space="preserve">	2025-08-31 17:39:46</t>
  </si>
  <si>
    <t>JT5414067073138(收） Z2418-灰色-M*1#</t>
  </si>
  <si>
    <t xml:space="preserve">	2025-08-31 17:39:54</t>
  </si>
  <si>
    <t xml:space="preserve">	2025-09-15 17:39:54</t>
  </si>
  <si>
    <t xml:space="preserve">	6921009588551319487</t>
  </si>
  <si>
    <t>江苏省</t>
  </si>
  <si>
    <t>苏州市</t>
  </si>
  <si>
    <t>虎丘区</t>
  </si>
  <si>
    <t>东渚街道</t>
  </si>
  <si>
    <t xml:space="preserve">	2025-08-31 17:39:43</t>
  </si>
  <si>
    <t xml:space="preserve">	2025-09-15 17:39:46</t>
  </si>
  <si>
    <t xml:space="preserve">	6921018615091854571</t>
  </si>
  <si>
    <t>邢台市</t>
  </si>
  <si>
    <t>信都区</t>
  </si>
  <si>
    <t>泉西街道</t>
  </si>
  <si>
    <t xml:space="preserve">	2025-08-31 17:33:32</t>
  </si>
  <si>
    <t xml:space="preserve">	2025-08-31 17:33:35</t>
  </si>
  <si>
    <t xml:space="preserve">	2025-09-15 17:33:35</t>
  </si>
  <si>
    <t xml:space="preserve">	6945702914926777790</t>
  </si>
  <si>
    <t>大同市</t>
  </si>
  <si>
    <t>云冈区</t>
  </si>
  <si>
    <t>新平旺街道</t>
  </si>
  <si>
    <t xml:space="preserve">	2025-08-31 17:33:15</t>
  </si>
  <si>
    <t xml:space="preserve">	2025-09-21 10:50:13</t>
  </si>
  <si>
    <t xml:space="preserve">	2025-08-31 17:33:16</t>
  </si>
  <si>
    <t xml:space="preserve">	2025-09-15 17:33:17</t>
  </si>
  <si>
    <t xml:space="preserve">	6945716202524317053</t>
  </si>
  <si>
    <t>梁平区</t>
  </si>
  <si>
    <t>双桂街道</t>
  </si>
  <si>
    <t xml:space="preserve">	2025-08-31 17:32:47</t>
  </si>
  <si>
    <t>SF3282428122123(收） Z2418-灰色-M*1#</t>
  </si>
  <si>
    <t xml:space="preserve">	2025-08-31 17:32:49</t>
  </si>
  <si>
    <t>抖音商城版</t>
  </si>
  <si>
    <t xml:space="preserve">	2025-09-15 17:32:50</t>
  </si>
  <si>
    <t xml:space="preserve">	2025-09-14 23:53:25</t>
  </si>
  <si>
    <t xml:space="preserve">	6921018667371494935</t>
  </si>
  <si>
    <t>浙江省</t>
  </si>
  <si>
    <t>丽水市</t>
  </si>
  <si>
    <t>莲都区</t>
  </si>
  <si>
    <t>岩泉街道</t>
  </si>
  <si>
    <t xml:space="preserve">	2025-08-31 17:32:37</t>
  </si>
  <si>
    <t>拦截;76740677006606(收） Z2418-灰色-S*1#</t>
  </si>
  <si>
    <t xml:space="preserve">	2025-08-31 17:32:50</t>
  </si>
  <si>
    <t xml:space="preserve">	6945696235709732402</t>
  </si>
  <si>
    <t>青田县</t>
  </si>
  <si>
    <t>瓯南街道</t>
  </si>
  <si>
    <t xml:space="preserve">	2025-08-31 17:32:36</t>
  </si>
  <si>
    <t xml:space="preserve">	2025-08-31 17:32:40</t>
  </si>
  <si>
    <t xml:space="preserve">	2025-09-15 17:32:40</t>
  </si>
  <si>
    <t xml:space="preserve">	6921009624776736703</t>
  </si>
  <si>
    <t xml:space="preserve">	2025-08-31 17:32:33</t>
  </si>
  <si>
    <t xml:space="preserve">	2025-08-31 17:32:38</t>
  </si>
  <si>
    <t xml:space="preserve">	2025-09-15 17:32:39</t>
  </si>
  <si>
    <t xml:space="preserve">	6921013958667763428</t>
  </si>
  <si>
    <t>南明区</t>
  </si>
  <si>
    <t>中曹司街道</t>
  </si>
  <si>
    <t xml:space="preserve">	2025-08-31 17:32:31</t>
  </si>
  <si>
    <t xml:space="preserve">	2025-09-15 17:32:38</t>
  </si>
  <si>
    <t xml:space="preserve">	6945698443959669805</t>
  </si>
  <si>
    <t>陕西省</t>
  </si>
  <si>
    <t>咸阳市</t>
  </si>
  <si>
    <t>渭城区</t>
  </si>
  <si>
    <t>周陵街道</t>
  </si>
  <si>
    <t xml:space="preserve">	2025-08-31 16:17:00</t>
  </si>
  <si>
    <t xml:space="preserve">	2025-09-19 16:35:27</t>
  </si>
  <si>
    <t xml:space="preserve">	2025-08-31 16:17:05</t>
  </si>
  <si>
    <t xml:space="preserve">	2025-09-15 16:17:05</t>
  </si>
  <si>
    <t xml:space="preserve">	2025-09-12 16:35:27</t>
  </si>
  <si>
    <t xml:space="preserve">	6945649067193472893</t>
  </si>
  <si>
    <t>平台七夕消费券-34.94</t>
  </si>
  <si>
    <t>大连市</t>
  </si>
  <si>
    <t>中山区</t>
  </si>
  <si>
    <t xml:space="preserve">	2025-08-29 20:47:38</t>
  </si>
  <si>
    <t>(收)[Z1640-黑色-S]*[1]#</t>
  </si>
  <si>
    <t xml:space="preserve">	2025-08-29 20:47:40</t>
  </si>
  <si>
    <t xml:space="preserve">	2025-09-13 20:47:41</t>
  </si>
  <si>
    <t xml:space="preserve">	6920964153135168659</t>
  </si>
  <si>
    <t xml:space="preserve">	【老板周】小众休闲 压褶松紧腰宽松百搭裤裙</t>
  </si>
  <si>
    <t xml:space="preserve">	藏蓝色;M(95-110斤);15天内发货</t>
  </si>
  <si>
    <t xml:space="preserve">	3770653191356678342</t>
  </si>
  <si>
    <t xml:space="preserve">	Z575-藏蓝色-M</t>
  </si>
  <si>
    <t>内蒙古自治区</t>
  </si>
  <si>
    <t>呼和浩特市</t>
  </si>
  <si>
    <t>新城区</t>
  </si>
  <si>
    <t>成吉思汗大街街道</t>
  </si>
  <si>
    <t xml:space="preserve">	2025-08-28 22:10:07</t>
  </si>
  <si>
    <t xml:space="preserve">	2025-09-12 22:10:07</t>
  </si>
  <si>
    <t>用户超时未支付自动取消</t>
  </si>
  <si>
    <t>店铺页面</t>
  </si>
  <si>
    <t xml:space="preserve">	6920966085271780499</t>
  </si>
  <si>
    <t xml:space="preserve">	2025-08-28 22:09:25</t>
  </si>
  <si>
    <t xml:space="preserve">	2025-09-12 22:09:25</t>
  </si>
  <si>
    <t xml:space="preserve">	6945610806981695196</t>
  </si>
  <si>
    <t>平台七夕消费券-28.88</t>
  </si>
  <si>
    <t>达活泉街道</t>
  </si>
  <si>
    <t xml:space="preserve">	2025-08-28 11:04:59</t>
  </si>
  <si>
    <t>红色</t>
  </si>
  <si>
    <t>SF3234099112861(收） Z1640-黑色-M*1#;换货(6298912)#;换货76743232979811    
收到退款 不换货了</t>
  </si>
  <si>
    <t xml:space="preserve">	2025-09-14 23:31:58</t>
  </si>
  <si>
    <t xml:space="preserve">	2025-08-28 11:05:06</t>
  </si>
  <si>
    <t xml:space="preserve">	2025-09-12 11:05:07</t>
  </si>
  <si>
    <t xml:space="preserve">	2025-09-07 23:31:58</t>
  </si>
  <si>
    <t xml:space="preserve">	6920952081164304100</t>
  </si>
  <si>
    <t>菏泽市</t>
  </si>
  <si>
    <t>牡丹区</t>
  </si>
  <si>
    <t>牡丹街道</t>
  </si>
  <si>
    <t xml:space="preserve">	2025-08-28 00:21:12</t>
  </si>
  <si>
    <t xml:space="preserve">	2025-08-28 00:21:13</t>
  </si>
  <si>
    <t xml:space="preserve">	2025-09-12 00:21:13</t>
  </si>
  <si>
    <t xml:space="preserve">	6945587885982618859</t>
  </si>
  <si>
    <t>平台专属限时优惠券-11.00</t>
  </si>
  <si>
    <t>青岛市</t>
  </si>
  <si>
    <t>市北区</t>
  </si>
  <si>
    <t>河西街道</t>
  </si>
  <si>
    <t xml:space="preserve">	2025-08-27 22:38:33</t>
  </si>
  <si>
    <t xml:space="preserve">	2025-08-27 22:38:44</t>
  </si>
  <si>
    <t xml:space="preserve">	2025-09-11 22:38:44</t>
  </si>
  <si>
    <t xml:space="preserve">	6945598979942323318</t>
  </si>
  <si>
    <t>武清区</t>
  </si>
  <si>
    <t>东蒲洼街道</t>
  </si>
  <si>
    <t xml:space="preserve">	2025-08-27 22:12:00</t>
  </si>
  <si>
    <t xml:space="preserve">	2025-08-27 22:12:06</t>
  </si>
  <si>
    <t xml:space="preserve">	2025-09-11 22:12:06</t>
  </si>
  <si>
    <t xml:space="preserve">	6945583048360597411</t>
  </si>
  <si>
    <t>日照市</t>
  </si>
  <si>
    <t>莒县</t>
  </si>
  <si>
    <t>城阳街道</t>
  </si>
  <si>
    <t xml:space="preserve">	2025-08-27 20:47:29</t>
  </si>
  <si>
    <t>73572507159291(收） Z1640-黑色-M*1#</t>
  </si>
  <si>
    <t xml:space="preserve">	2025-08-27 20:47:31</t>
  </si>
  <si>
    <t xml:space="preserve">	2025-09-11 20:47:32</t>
  </si>
  <si>
    <t xml:space="preserve">	6945609733810165452</t>
  </si>
  <si>
    <t>杏花岭区</t>
  </si>
  <si>
    <t>中涧河镇</t>
  </si>
  <si>
    <t xml:space="preserve">	2025-08-27 19:52:03</t>
  </si>
  <si>
    <t>番茄小说-抖音电商</t>
  </si>
  <si>
    <t xml:space="preserve">	2025-09-11 19:52:03</t>
  </si>
  <si>
    <t xml:space="preserve">	6945592088900211946</t>
  </si>
  <si>
    <t>常州市</t>
  </si>
  <si>
    <t>钟楼区</t>
  </si>
  <si>
    <t>南大街道</t>
  </si>
  <si>
    <t xml:space="preserve">	2025-08-27 18:21:49</t>
  </si>
  <si>
    <t>SF3232586273829(收） Z1640-黑色-M*1#</t>
  </si>
  <si>
    <t xml:space="preserve">	2025-08-27 18:21:55</t>
  </si>
  <si>
    <t xml:space="preserve">	2025-09-11 18:21:55</t>
  </si>
  <si>
    <t xml:space="preserve">	6945600734649980653</t>
  </si>
  <si>
    <t>杭州市</t>
  </si>
  <si>
    <t>临平区</t>
  </si>
  <si>
    <t>乔司街道</t>
  </si>
  <si>
    <t xml:space="preserve">	2025-08-27 17:46:07</t>
  </si>
  <si>
    <t>78939136440697(收） Z1640-黑色-S*1#</t>
  </si>
  <si>
    <t xml:space="preserve">	2025-08-27 17:46:08</t>
  </si>
  <si>
    <t xml:space="preserve">	2025-09-11 17:46:09</t>
  </si>
  <si>
    <t>短视频引流直播间</t>
  </si>
  <si>
    <t xml:space="preserve">	6945589601420317825</t>
  </si>
  <si>
    <t>南通市</t>
  </si>
  <si>
    <t>崇川区</t>
  </si>
  <si>
    <t>观音山街道</t>
  </si>
  <si>
    <t xml:space="preserve">	2025-08-27 17:31:54</t>
  </si>
  <si>
    <t>SF3232813766922(收） Z1640-黑色-M*1#;换货(6280100)#;换货76742192082926</t>
  </si>
  <si>
    <t xml:space="preserve">	2025-08-27 17:31:55</t>
  </si>
  <si>
    <t xml:space="preserve">	2025-09-11 17:31:56</t>
  </si>
  <si>
    <t>换货成功</t>
  </si>
  <si>
    <t xml:space="preserve">	6920950993200905666</t>
  </si>
  <si>
    <t>济宁市</t>
  </si>
  <si>
    <t>微山县</t>
  </si>
  <si>
    <t xml:space="preserve">	2025-08-27 17:23:35</t>
  </si>
  <si>
    <t xml:space="preserve">	2025-09-11 17:23:35</t>
  </si>
  <si>
    <t xml:space="preserve">	6945602769375205012</t>
  </si>
  <si>
    <t>芜湖市</t>
  </si>
  <si>
    <t>南陵县</t>
  </si>
  <si>
    <t>许镇镇</t>
  </si>
  <si>
    <t xml:space="preserve">	2025-08-27 16:36:08</t>
  </si>
  <si>
    <t xml:space="preserve">	2025-09-14 17:22:20</t>
  </si>
  <si>
    <t xml:space="preserve">	2025-08-27 16:36:13</t>
  </si>
  <si>
    <t xml:space="preserve">	2025-09-11 16:36:13</t>
  </si>
  <si>
    <t xml:space="preserve">	2025-09-07 17:22:20</t>
  </si>
  <si>
    <t xml:space="preserve">	6945580306812376109</t>
  </si>
  <si>
    <t xml:space="preserve">	【老板周】简约法式 秋冬复古叠穿日系开叉百搭马甲</t>
  </si>
  <si>
    <t xml:space="preserve">	3770720616102101370</t>
  </si>
  <si>
    <t xml:space="preserve">	Z2328-黑色-S</t>
  </si>
  <si>
    <t>宁夏回族自治区</t>
  </si>
  <si>
    <t>银川市</t>
  </si>
  <si>
    <t>金凤区</t>
  </si>
  <si>
    <t>北京中路街道</t>
  </si>
  <si>
    <t xml:space="preserve">	2025-08-27 16:11:55</t>
  </si>
  <si>
    <t>SF3239328943996(收） Z2328-黑色-S*1#</t>
  </si>
  <si>
    <t xml:space="preserve">	2025-08-27 16:11:56</t>
  </si>
  <si>
    <t xml:space="preserve">	2025-09-11 16:11:57</t>
  </si>
  <si>
    <t xml:space="preserve">	2025-08-27 18:02:40</t>
  </si>
  <si>
    <t xml:space="preserve">	6945596186333484482</t>
  </si>
  <si>
    <t>亳州市</t>
  </si>
  <si>
    <t>谯城区</t>
  </si>
  <si>
    <t>花戏楼街道</t>
  </si>
  <si>
    <t xml:space="preserve">	2025-08-27 15:44:54</t>
  </si>
  <si>
    <t xml:space="preserve">	2025-08-27 15:44:59</t>
  </si>
  <si>
    <t xml:space="preserve">	2025-09-11 15:44:59</t>
  </si>
  <si>
    <t xml:space="preserve">	6920955047060602569</t>
  </si>
  <si>
    <t>黑龙江省</t>
  </si>
  <si>
    <t>牡丹江市</t>
  </si>
  <si>
    <t>绥芬河市</t>
  </si>
  <si>
    <t>绥芬河镇</t>
  </si>
  <si>
    <t xml:space="preserve">	2025-08-27 15:44:26</t>
  </si>
  <si>
    <t>SF3282828296194(收） Z1640-黑色-M*1#</t>
  </si>
  <si>
    <t xml:space="preserve">	2025-08-27 15:44:27</t>
  </si>
  <si>
    <t xml:space="preserve">	2025-09-11 15:44:27</t>
  </si>
  <si>
    <t xml:space="preserve">	2025-09-07 23:31:59</t>
  </si>
  <si>
    <t xml:space="preserve">	6945604921919543082</t>
  </si>
  <si>
    <t>杨浦区</t>
  </si>
  <si>
    <t>控江路街道</t>
  </si>
  <si>
    <t xml:space="preserve">	2025-08-27 15:37:02</t>
  </si>
  <si>
    <t xml:space="preserve">	2025-08-27 15:37:07</t>
  </si>
  <si>
    <t xml:space="preserve">	2025-09-11 15:37:08</t>
  </si>
  <si>
    <t xml:space="preserve">	6945582609766290962</t>
  </si>
  <si>
    <t>平台七夕消费券-14.70</t>
  </si>
  <si>
    <t>安庆市</t>
  </si>
  <si>
    <t>宜秀区</t>
  </si>
  <si>
    <t>菱北街道</t>
  </si>
  <si>
    <t xml:space="preserve">	2025-08-27 15:34:06</t>
  </si>
  <si>
    <t xml:space="preserve">	2025-08-27 15:34:12</t>
  </si>
  <si>
    <t xml:space="preserve">	2025-09-11 15:34:13</t>
  </si>
  <si>
    <t xml:space="preserve">	6945579848162809517</t>
  </si>
  <si>
    <t>平台商城爆神券-28.00</t>
  </si>
  <si>
    <t>河北区</t>
  </si>
  <si>
    <t>建昌道街道</t>
  </si>
  <si>
    <t xml:space="preserve">	2025-08-27 12:05:08</t>
  </si>
  <si>
    <t xml:space="preserve">	2025-08-27 12:05:09</t>
  </si>
  <si>
    <t xml:space="preserve">	2025-09-11 12:05:09</t>
  </si>
  <si>
    <t xml:space="preserve">	6945600144409499309</t>
  </si>
  <si>
    <t>平台商城爆神券-20.00</t>
  </si>
  <si>
    <t xml:space="preserve">	2025-08-27 12:04:05</t>
  </si>
  <si>
    <t xml:space="preserve">	2025-08-27 12:04:07</t>
  </si>
  <si>
    <t xml:space="preserve">	2025-09-11 12:04:07</t>
  </si>
  <si>
    <t xml:space="preserve">	6920942457770770369</t>
  </si>
  <si>
    <t>吉林省</t>
  </si>
  <si>
    <t>长春市</t>
  </si>
  <si>
    <t>宽城区</t>
  </si>
  <si>
    <t>北湖街道</t>
  </si>
  <si>
    <t>是</t>
  </si>
  <si>
    <t xml:space="preserve">	2025-08-27 09:37:49</t>
  </si>
  <si>
    <t xml:space="preserve">	2025-08-27 09:37:52</t>
  </si>
  <si>
    <t xml:space="preserve">	2025-09-11 09:37:52</t>
  </si>
  <si>
    <t xml:space="preserve">	6945586204071892038</t>
  </si>
  <si>
    <t>四川省</t>
  </si>
  <si>
    <t>凉山彝族自治州</t>
  </si>
  <si>
    <t>西昌市</t>
  </si>
  <si>
    <t>西城街道</t>
  </si>
  <si>
    <t xml:space="preserve">	2025-08-27 00:48:22</t>
  </si>
  <si>
    <t xml:space="preserve">	2025-08-27 00:48:30</t>
  </si>
  <si>
    <t xml:space="preserve">	2025-09-11 00:48:30</t>
  </si>
  <si>
    <t xml:space="preserve">	6945547648096343360</t>
  </si>
  <si>
    <t>平台七夕消费券-23.68</t>
  </si>
  <si>
    <t>济南市</t>
  </si>
  <si>
    <t>市中区</t>
  </si>
  <si>
    <t>魏家庄街道</t>
  </si>
  <si>
    <t xml:space="preserve">	2025-08-26 16:11:45</t>
  </si>
  <si>
    <t>73570762450162(收） Z1576-黑色-L*1#</t>
  </si>
  <si>
    <t xml:space="preserve">	2025-08-26 16:11:50</t>
  </si>
  <si>
    <t xml:space="preserve">	2025-09-10 16:11:51</t>
  </si>
  <si>
    <t>购后页面</t>
  </si>
  <si>
    <t xml:space="preserve">	6945547648096408896</t>
  </si>
  <si>
    <t xml:space="preserve">	【老板周】时髦撞色 春季新款假两件显瘦长袖打底T恤上衣</t>
  </si>
  <si>
    <t xml:space="preserve">	3770648898645918626</t>
  </si>
  <si>
    <t xml:space="preserve">	Z1576-黑色-L</t>
  </si>
  <si>
    <t>平台七夕消费券-16.32</t>
  </si>
  <si>
    <t xml:space="preserve">	2025-08-31 23:42:42</t>
  </si>
  <si>
    <t xml:space="preserve">	6945550015473390912</t>
  </si>
  <si>
    <t>平台七夕消费券-16.31</t>
  </si>
  <si>
    <t xml:space="preserve">	2025-08-26 16:04:55</t>
  </si>
  <si>
    <t xml:space="preserve">	2025-09-10 16:04:55</t>
  </si>
  <si>
    <t>你已取消订单：价格有点贵</t>
  </si>
  <si>
    <t xml:space="preserve">	6945550015473456448</t>
  </si>
  <si>
    <t>平台七夕消费券-23.69</t>
  </si>
  <si>
    <t xml:space="preserve">	6920932842713087724</t>
  </si>
  <si>
    <t xml:space="preserve">	Z1576-黑色-S</t>
  </si>
  <si>
    <t>平台商城满减券-14.27</t>
  </si>
  <si>
    <t>哈尔滨市</t>
  </si>
  <si>
    <t>南岗区</t>
  </si>
  <si>
    <t>先锋路街道</t>
  </si>
  <si>
    <t xml:space="preserve">	2025-08-26 12:31:01</t>
  </si>
  <si>
    <t xml:space="preserve">	2025-09-06 21:47:17</t>
  </si>
  <si>
    <t xml:space="preserve">	2025-08-26 12:31:04</t>
  </si>
  <si>
    <t xml:space="preserve">	2025-09-10 12:31:04</t>
  </si>
  <si>
    <t xml:space="preserve">	2025-08-30 21:47:17</t>
  </si>
  <si>
    <t xml:space="preserve">	6920932842713153260</t>
  </si>
  <si>
    <t>平台商城满减券-20.73</t>
  </si>
  <si>
    <t xml:space="preserve">	2025-09-17 15:51:38</t>
  </si>
  <si>
    <t xml:space="preserve">	2025-09-05 15:51:38</t>
  </si>
  <si>
    <t xml:space="preserve">	6945569726276310761</t>
  </si>
  <si>
    <t>平台七夕消费券-38.18</t>
  </si>
  <si>
    <t>湖北省</t>
  </si>
  <si>
    <t>武汉市</t>
  </si>
  <si>
    <t>洪山区</t>
  </si>
  <si>
    <t>关山街道</t>
  </si>
  <si>
    <t xml:space="preserve">	2025-08-26 12:22:42</t>
  </si>
  <si>
    <t xml:space="preserve">	2025-09-09 19:26:40</t>
  </si>
  <si>
    <t xml:space="preserve">	2025-08-26 12:22:45</t>
  </si>
  <si>
    <t xml:space="preserve">	2025-09-10 12:22:46</t>
  </si>
  <si>
    <t xml:space="preserve">	2025-09-05 20:29:09</t>
  </si>
  <si>
    <t xml:space="preserve">	6920928532274839276</t>
  </si>
  <si>
    <t>平台商城满减券-20.72</t>
  </si>
  <si>
    <t xml:space="preserve">	2025-08-26 12:10:21</t>
  </si>
  <si>
    <t xml:space="preserve">	2025-08-26 12:10:23</t>
  </si>
  <si>
    <t xml:space="preserve">	2025-09-10 12:10:24</t>
  </si>
  <si>
    <t xml:space="preserve">	6920928532274904812</t>
  </si>
  <si>
    <t>平台商城满减券-14.28</t>
  </si>
  <si>
    <t xml:space="preserve">	6945529053386118931</t>
  </si>
  <si>
    <t>平台七夕消费券-28.04</t>
  </si>
  <si>
    <t>北京市</t>
  </si>
  <si>
    <t>朝阳区</t>
  </si>
  <si>
    <t>和平街街道</t>
  </si>
  <si>
    <t xml:space="preserve">	2025-08-25 23:06:06</t>
  </si>
  <si>
    <t xml:space="preserve">	2025-09-11 23:19:44</t>
  </si>
  <si>
    <t xml:space="preserve">	2025-08-25 23:06:10</t>
  </si>
  <si>
    <t xml:space="preserve">	2025-09-09 23:06:11</t>
  </si>
  <si>
    <t xml:space="preserve">	2025-09-04 23:19:44</t>
  </si>
  <si>
    <t xml:space="preserve">	6945548577267651706</t>
  </si>
  <si>
    <t>云南省</t>
  </si>
  <si>
    <t>昆明市</t>
  </si>
  <si>
    <t>官渡区</t>
  </si>
  <si>
    <t>矣六街道</t>
  </si>
  <si>
    <t xml:space="preserve">	2025-08-25 22:18:24</t>
  </si>
  <si>
    <t xml:space="preserve">	2025-08-25 22:18:29</t>
  </si>
  <si>
    <t xml:space="preserve">	2025-09-09 22:18:29</t>
  </si>
  <si>
    <t xml:space="preserve">	6945543583900899197</t>
  </si>
  <si>
    <t>平台七夕消费券-28.34</t>
  </si>
  <si>
    <t>潍坊市</t>
  </si>
  <si>
    <t>寿光市</t>
  </si>
  <si>
    <t>稻田镇</t>
  </si>
  <si>
    <t xml:space="preserve">	2025-08-25 22:04:55</t>
  </si>
  <si>
    <t xml:space="preserve">	2025-08-25 22:04:59</t>
  </si>
  <si>
    <t xml:space="preserve">	2025-09-09 22:04:59</t>
  </si>
  <si>
    <t xml:space="preserve">	6920929009547574969</t>
  </si>
  <si>
    <t>沈阳市</t>
  </si>
  <si>
    <t>皇姑区</t>
  </si>
  <si>
    <t>明廉街道</t>
  </si>
  <si>
    <t xml:space="preserve">	2025-08-25 22:02:22</t>
  </si>
  <si>
    <t xml:space="preserve">	2025-09-07 19:43:29</t>
  </si>
  <si>
    <t xml:space="preserve">	2025-08-25 22:02:24</t>
  </si>
  <si>
    <t xml:space="preserve">	2025-09-09 22:02:24</t>
  </si>
  <si>
    <t xml:space="preserve">	2025-09-04 23:19:45</t>
  </si>
  <si>
    <t xml:space="preserve">	6920935968749813406</t>
  </si>
  <si>
    <t>岳阳市</t>
  </si>
  <si>
    <t>平江县</t>
  </si>
  <si>
    <t>汉昌街道</t>
  </si>
  <si>
    <t xml:space="preserve">	2025-08-25 21:33:22</t>
  </si>
  <si>
    <t xml:space="preserve">	2025-09-08 23:13:48</t>
  </si>
  <si>
    <t xml:space="preserve">	2025-08-25 21:33:25</t>
  </si>
  <si>
    <t xml:space="preserve">	2025-09-09 21:33:26</t>
  </si>
  <si>
    <t xml:space="preserve">	2025-09-01 23:13:48</t>
  </si>
  <si>
    <t xml:space="preserve">	6920923676778724668</t>
  </si>
  <si>
    <t>内江市</t>
  </si>
  <si>
    <t>威远县</t>
  </si>
  <si>
    <t>严陵镇</t>
  </si>
  <si>
    <t xml:space="preserve">	2025-08-25 18:11:22</t>
  </si>
  <si>
    <t xml:space="preserve">	2025-09-09 18:11:22</t>
  </si>
  <si>
    <t xml:space="preserve">	6945514875424281953</t>
  </si>
  <si>
    <t>成都市</t>
  </si>
  <si>
    <t>锦江区</t>
  </si>
  <si>
    <t>双桂路街道</t>
  </si>
  <si>
    <t xml:space="preserve">	2025-08-25 17:52:19</t>
  </si>
  <si>
    <t xml:space="preserve">	2025-08-25 17:52:21</t>
  </si>
  <si>
    <t xml:space="preserve">	2025-09-09 17:52:22</t>
  </si>
  <si>
    <t xml:space="preserve">	6945539203760789124</t>
  </si>
  <si>
    <t>榆林市</t>
  </si>
  <si>
    <t>榆阳区</t>
  </si>
  <si>
    <t>上郡路街道</t>
  </si>
  <si>
    <t xml:space="preserve">	2025-08-25 17:29:18</t>
  </si>
  <si>
    <t xml:space="preserve">	2025-09-09 17:29:18</t>
  </si>
  <si>
    <t xml:space="preserve">	6918363477932670688</t>
  </si>
  <si>
    <t>平台七夕消费券-25.24</t>
  </si>
  <si>
    <t>绥化市</t>
  </si>
  <si>
    <t>安达市</t>
  </si>
  <si>
    <t>安达镇</t>
  </si>
  <si>
    <t xml:space="preserve">	2025-08-25 16:26:10</t>
  </si>
  <si>
    <t xml:space="preserve">	2025-08-25 16:26:15</t>
  </si>
  <si>
    <t xml:space="preserve">	2025-09-09 16:26:16</t>
  </si>
  <si>
    <t xml:space="preserve">	6920925448404893520</t>
  </si>
  <si>
    <t>新津区</t>
  </si>
  <si>
    <t>花源街道</t>
  </si>
  <si>
    <t xml:space="preserve">	2025-08-25 16:13:31</t>
  </si>
  <si>
    <t xml:space="preserve">	2025-09-11 23:24:57</t>
  </si>
  <si>
    <t xml:space="preserve">	2025-08-25 16:14:00</t>
  </si>
  <si>
    <t xml:space="preserve">	2025-09-09 16:14:01</t>
  </si>
  <si>
    <t xml:space="preserve">	2025-09-04 23:24:57</t>
  </si>
  <si>
    <t xml:space="preserve">	6945539142283629576</t>
  </si>
  <si>
    <t>平台七夕消费券-28.90</t>
  </si>
  <si>
    <t>北辰区</t>
  </si>
  <si>
    <t>双街镇</t>
  </si>
  <si>
    <t xml:space="preserve">	2025-08-25 15:56:19</t>
  </si>
  <si>
    <t xml:space="preserve">	2025-08-25 15:56:27</t>
  </si>
  <si>
    <t xml:space="preserve">	2025-09-09 15:56:28</t>
  </si>
  <si>
    <t xml:space="preserve">	6945511996582664089</t>
  </si>
  <si>
    <t>平台商城报销返券-5.00</t>
  </si>
  <si>
    <t>东坝地区</t>
  </si>
  <si>
    <t xml:space="preserve">	2025-08-25 12:02:03</t>
  </si>
  <si>
    <t>SF3237506934842(收） Z1576-黑色-L*1#</t>
  </si>
  <si>
    <t xml:space="preserve">	2025-08-25 12:02:05</t>
  </si>
  <si>
    <t xml:space="preserve">	2025-09-09 12:02:05</t>
  </si>
  <si>
    <t xml:space="preserve">	2025-08-31 22:00:10</t>
  </si>
  <si>
    <t xml:space="preserve">	6945518268966573163</t>
  </si>
  <si>
    <t>吉林市</t>
  </si>
  <si>
    <t>昌邑区</t>
  </si>
  <si>
    <t>通江街道</t>
  </si>
  <si>
    <t xml:space="preserve">	2025-08-25 05:34:24</t>
  </si>
  <si>
    <t xml:space="preserve">	2025-09-09 05:34:24</t>
  </si>
  <si>
    <t>你已取消订单：商品规格/款式/数量错选</t>
  </si>
  <si>
    <t xml:space="preserve">	6945515811466254054</t>
  </si>
  <si>
    <t xml:space="preserve">	Z1576-黑色-M</t>
  </si>
  <si>
    <t>平台七夕消费券-19.75</t>
  </si>
  <si>
    <t>甘肃省</t>
  </si>
  <si>
    <t>平凉市</t>
  </si>
  <si>
    <t>静宁县</t>
  </si>
  <si>
    <t>城区街道</t>
  </si>
  <si>
    <t xml:space="preserve">	2025-08-24 22:33:07</t>
  </si>
  <si>
    <t xml:space="preserve">	2025-08-24 22:33:12</t>
  </si>
  <si>
    <t xml:space="preserve">	2025-09-08 22:33:12</t>
  </si>
  <si>
    <t>频道及活动页面</t>
  </si>
  <si>
    <t xml:space="preserve">	6945513256170493793</t>
  </si>
  <si>
    <t>昭通市</t>
  </si>
  <si>
    <t>昭阳区</t>
  </si>
  <si>
    <t>凤凰街道</t>
  </si>
  <si>
    <t xml:space="preserve">	2025-08-24 20:06:58</t>
  </si>
  <si>
    <t xml:space="preserve">	2025-09-07 23:42:42</t>
  </si>
  <si>
    <t xml:space="preserve">	2025-08-24 20:07:04</t>
  </si>
  <si>
    <t xml:space="preserve">	2025-09-08 20:07:04</t>
  </si>
  <si>
    <t xml:space="preserve">	6945504197030777878</t>
  </si>
  <si>
    <t>成龙路街道</t>
  </si>
  <si>
    <t xml:space="preserve">	2025-08-24 17:27:14</t>
  </si>
  <si>
    <t xml:space="preserve">	2025-09-03 16:35:19</t>
  </si>
  <si>
    <t xml:space="preserve">	2025-08-24 17:27:30</t>
  </si>
  <si>
    <t xml:space="preserve">	2025-09-08 17:27:31</t>
  </si>
  <si>
    <t xml:space="preserve">	2025-08-30 21:47:16</t>
  </si>
  <si>
    <t xml:space="preserve">	6920902861000703125</t>
  </si>
  <si>
    <t>周浦镇</t>
  </si>
  <si>
    <t xml:space="preserve">	2025-08-24 01:18:22</t>
  </si>
  <si>
    <t>SF3284637255874(收） Z1640-黑色-L*1#</t>
  </si>
  <si>
    <t xml:space="preserve">	2025-08-24 01:18:27</t>
  </si>
  <si>
    <t xml:space="preserve">	2025-09-08 01:18:28</t>
  </si>
  <si>
    <t xml:space="preserve">	2025-08-31 23:39:54</t>
  </si>
  <si>
    <t xml:space="preserve">	6920902023287176940</t>
  </si>
  <si>
    <t>平台七夕消费券-35.68</t>
  </si>
  <si>
    <t xml:space="preserve">	2025-08-23 23:08:10</t>
  </si>
  <si>
    <t xml:space="preserve">	2025-08-23 23:08:26</t>
  </si>
  <si>
    <t xml:space="preserve">	2025-09-07 23:08:26</t>
  </si>
  <si>
    <t xml:space="preserve">	6920893032532966569</t>
  </si>
  <si>
    <t>金币抵扣金额-4.60;余额抵扣金额-50.40</t>
  </si>
  <si>
    <t xml:space="preserve">	2025-08-23 22:21:10</t>
  </si>
  <si>
    <t xml:space="preserve">	2025-08-23 22:21:37</t>
  </si>
  <si>
    <t xml:space="preserve">	2025-09-07 22:21:37</t>
  </si>
  <si>
    <t xml:space="preserve">	6945478419003544648</t>
  </si>
  <si>
    <t>南京市</t>
  </si>
  <si>
    <t>雨花台区</t>
  </si>
  <si>
    <t>雨花街道</t>
  </si>
  <si>
    <t xml:space="preserve">	2025-08-23 22:08:33</t>
  </si>
  <si>
    <t xml:space="preserve">	2025-09-09 19:52:48</t>
  </si>
  <si>
    <t xml:space="preserve">	2025-08-23 22:08:35</t>
  </si>
  <si>
    <t xml:space="preserve">	2025-09-07 22:08:36</t>
  </si>
  <si>
    <t xml:space="preserve">	2025-09-02 19:52:48</t>
  </si>
  <si>
    <t xml:space="preserve">	6920892838365920628</t>
  </si>
  <si>
    <t>平台七夕消费券-24.71</t>
  </si>
  <si>
    <t>包头市</t>
  </si>
  <si>
    <t>昆都仑区</t>
  </si>
  <si>
    <t>白云路街道</t>
  </si>
  <si>
    <t xml:space="preserve">	2025-08-23 21:48:56</t>
  </si>
  <si>
    <t xml:space="preserve">	2025-08-23 21:48:58</t>
  </si>
  <si>
    <t xml:space="preserve">	2025-09-07 21:48:59</t>
  </si>
  <si>
    <t xml:space="preserve">	6918358695102807059</t>
  </si>
  <si>
    <t>平台七夕消费券-25.03</t>
  </si>
  <si>
    <t>德山街道</t>
  </si>
  <si>
    <t xml:space="preserve">	2025-08-23 21:17:55</t>
  </si>
  <si>
    <t xml:space="preserve">	2025-08-23 21:17:58</t>
  </si>
  <si>
    <t xml:space="preserve">	2025-09-07 21:17:59</t>
  </si>
  <si>
    <t xml:space="preserve">	6945467765155763766</t>
  </si>
  <si>
    <t>平台七夕消费券-29.95</t>
  </si>
  <si>
    <t>天桥区</t>
  </si>
  <si>
    <t>北村街道</t>
  </si>
  <si>
    <t xml:space="preserve">	2025-08-23 20:55:24</t>
  </si>
  <si>
    <t xml:space="preserve">	2025-09-09 15:25:39</t>
  </si>
  <si>
    <t xml:space="preserve">	2025-08-23 20:55:25</t>
  </si>
  <si>
    <t xml:space="preserve">	2025-09-07 20:55:26</t>
  </si>
  <si>
    <t xml:space="preserve">	2025-09-02 15:25:39</t>
  </si>
  <si>
    <t xml:space="preserve">	6920899223566450595</t>
  </si>
  <si>
    <t>平台七夕消费券-38.19</t>
  </si>
  <si>
    <t>南关区</t>
  </si>
  <si>
    <t>新立城镇</t>
  </si>
  <si>
    <t xml:space="preserve">	2025-08-23 20:39:52</t>
  </si>
  <si>
    <t>SF3237538166127(收） Z1640-黑色-M*1#</t>
  </si>
  <si>
    <t xml:space="preserve">	2025-08-23 20:39:56</t>
  </si>
  <si>
    <t xml:space="preserve">	2025-09-07 20:39:56</t>
  </si>
  <si>
    <t xml:space="preserve">	2025-09-01 23:14:20</t>
  </si>
  <si>
    <t xml:space="preserve">	6945487810204669849</t>
  </si>
  <si>
    <t xml:space="preserve">	2025-08-23 20:37:17</t>
  </si>
  <si>
    <t>SF3237506934842(收） Z1640-黑色-L*1#</t>
  </si>
  <si>
    <t xml:space="preserve">	2025-08-23 20:37:19</t>
  </si>
  <si>
    <t xml:space="preserve">	2025-09-07 20:37:20</t>
  </si>
  <si>
    <t xml:space="preserve">	6945485370033444761</t>
  </si>
  <si>
    <t xml:space="preserve">	2025-08-23 20:37:07</t>
  </si>
  <si>
    <t xml:space="preserve">	2025-08-23 20:37:10</t>
  </si>
  <si>
    <t xml:space="preserve">	2025-09-07 20:37:11</t>
  </si>
  <si>
    <t xml:space="preserve">	6945473693492254155</t>
  </si>
  <si>
    <t>渭南市</t>
  </si>
  <si>
    <t>蒲城县</t>
  </si>
  <si>
    <t>奉先街道</t>
  </si>
  <si>
    <t xml:space="preserve">	2025-08-23 20:37:00</t>
  </si>
  <si>
    <t xml:space="preserve">	2025-08-23 20:38:48</t>
  </si>
  <si>
    <t xml:space="preserve">	2025-09-07 20:38:48</t>
  </si>
  <si>
    <t xml:space="preserve">	6920894543975054469</t>
  </si>
  <si>
    <t>兴业街道</t>
  </si>
  <si>
    <t xml:space="preserve">	2025-08-23 20:35:54</t>
  </si>
  <si>
    <t xml:space="preserve">	2025-09-07 23:39:54</t>
  </si>
  <si>
    <t xml:space="preserve">	2025-08-23 20:35:55</t>
  </si>
  <si>
    <t xml:space="preserve">	2025-09-07 20:35:55</t>
  </si>
  <si>
    <t xml:space="preserve">	6945467619805763273</t>
  </si>
  <si>
    <t>晋中市</t>
  </si>
  <si>
    <t>平遥县</t>
  </si>
  <si>
    <t>古陶镇</t>
  </si>
  <si>
    <t xml:space="preserve">	2025-08-23 20:34:07</t>
  </si>
  <si>
    <t xml:space="preserve">	2025-08-23 20:34:09</t>
  </si>
  <si>
    <t xml:space="preserve">	2025-09-07 20:34:09</t>
  </si>
  <si>
    <t xml:space="preserve">	6920892563116359550</t>
  </si>
  <si>
    <t>平台专属限时优惠券-20.00</t>
  </si>
  <si>
    <t>西安市</t>
  </si>
  <si>
    <t>未央区</t>
  </si>
  <si>
    <t>未央宫街道</t>
  </si>
  <si>
    <t xml:space="preserve">	2025-08-23 20:08:56</t>
  </si>
  <si>
    <t>SF3239415831023(收） Z1576-黑色-M*1#</t>
  </si>
  <si>
    <t xml:space="preserve">	2025-08-23 20:09:06</t>
  </si>
  <si>
    <t xml:space="preserve">	2025-09-07 20:09:07</t>
  </si>
  <si>
    <t xml:space="preserve">	6945475825819719198</t>
  </si>
  <si>
    <t>延安市</t>
  </si>
  <si>
    <t>宝塔区</t>
  </si>
  <si>
    <t>桥沟街道</t>
  </si>
  <si>
    <t xml:space="preserve">	2025-08-23 20:01:26</t>
  </si>
  <si>
    <t>SF3284841807432(收） Z1576-黑色-M*1#</t>
  </si>
  <si>
    <t xml:space="preserve">	2025-08-23 20:01:28</t>
  </si>
  <si>
    <t xml:space="preserve">	2025-09-07 20:01:28</t>
  </si>
  <si>
    <t xml:space="preserve">	6945475928514172446</t>
  </si>
  <si>
    <t xml:space="preserve">	2025-08-23 19:59:28</t>
  </si>
  <si>
    <t>SF3284841807432(收） Z1640-黑色-M*1#</t>
  </si>
  <si>
    <t xml:space="preserve">	2025-08-23 19:59:30</t>
  </si>
  <si>
    <t xml:space="preserve">	2025-09-07 19:59:30</t>
  </si>
  <si>
    <t xml:space="preserve">	6945471889155364583</t>
  </si>
  <si>
    <t>通州区</t>
  </si>
  <si>
    <t>中仓街道</t>
  </si>
  <si>
    <t xml:space="preserve">	2025-08-23 19:32:09</t>
  </si>
  <si>
    <t xml:space="preserve">	2025-09-02 18:47:11</t>
  </si>
  <si>
    <t xml:space="preserve">	2025-08-23 19:32:13</t>
  </si>
  <si>
    <t xml:space="preserve">	2025-09-07 19:32:13</t>
  </si>
  <si>
    <t xml:space="preserve">	6945469470994273593</t>
  </si>
  <si>
    <t>南山区</t>
  </si>
  <si>
    <t>南山街道</t>
  </si>
  <si>
    <t xml:space="preserve">	2025-08-23 19:17:36</t>
  </si>
  <si>
    <t xml:space="preserve">	2025-08-23 19:17:38</t>
  </si>
  <si>
    <t xml:space="preserve">	2025-09-07 19:17:38</t>
  </si>
  <si>
    <t xml:space="preserve">	6920896745472556170</t>
  </si>
  <si>
    <t>黄浦区</t>
  </si>
  <si>
    <t>打浦桥街道</t>
  </si>
  <si>
    <t xml:space="preserve">	2025-08-23 19:15:08</t>
  </si>
  <si>
    <t>73570894834784(收） Z1640-黑色-M*1#</t>
  </si>
  <si>
    <t xml:space="preserve">	2025-08-23 19:15:14</t>
  </si>
  <si>
    <t xml:space="preserve">	2025-09-07 19:15:14</t>
  </si>
  <si>
    <t xml:space="preserve">	6920892429455490186</t>
  </si>
  <si>
    <t xml:space="preserve">	2025-08-23 19:14:38</t>
  </si>
  <si>
    <t>73570769408190(收） Z1576-黑色-M*1#</t>
  </si>
  <si>
    <t xml:space="preserve">	2025-08-23 19:14:48</t>
  </si>
  <si>
    <t xml:space="preserve">	2025-09-07 19:14:48</t>
  </si>
  <si>
    <t xml:space="preserve">	2025-08-31 22:01:06</t>
  </si>
  <si>
    <t xml:space="preserve">	6945480350198339381</t>
  </si>
  <si>
    <t>张家堡街道</t>
  </si>
  <si>
    <t xml:space="preserve">	2025-08-23 18:57:42</t>
  </si>
  <si>
    <t xml:space="preserve">	2025-09-07 18:57:42</t>
  </si>
  <si>
    <t xml:space="preserve">	6920901228969950691</t>
  </si>
  <si>
    <t>苏家屯区</t>
  </si>
  <si>
    <t>民主街道</t>
  </si>
  <si>
    <t xml:space="preserve">	2025-08-23 18:22:38</t>
  </si>
  <si>
    <t xml:space="preserve">	2025-08-23 18:22:43</t>
  </si>
  <si>
    <t xml:space="preserve">	2025-09-07 18:22:44</t>
  </si>
  <si>
    <t xml:space="preserve">	6920901308765076963</t>
  </si>
  <si>
    <t xml:space="preserve">	2025-08-23 18:22:00</t>
  </si>
  <si>
    <t xml:space="preserve">	2025-08-23 18:22:06</t>
  </si>
  <si>
    <t xml:space="preserve">	2025-09-07 18:22:06</t>
  </si>
  <si>
    <t xml:space="preserve">	6945487556598699454</t>
  </si>
  <si>
    <t>阳泉市</t>
  </si>
  <si>
    <t>矿区</t>
  </si>
  <si>
    <t>平潭街街道</t>
  </si>
  <si>
    <t xml:space="preserve">	2025-08-23 18:12:49</t>
  </si>
  <si>
    <t>9475620502178(收） Z1576-黑色-M*1#</t>
  </si>
  <si>
    <t xml:space="preserve">	2025-08-23 18:12:51</t>
  </si>
  <si>
    <t xml:space="preserve">	2025-09-07 18:12:51</t>
  </si>
  <si>
    <t xml:space="preserve">	6945469101898405538</t>
  </si>
  <si>
    <t>曹县</t>
  </si>
  <si>
    <t>青菏街道</t>
  </si>
  <si>
    <t xml:space="preserve">	2025-08-23 17:39:15</t>
  </si>
  <si>
    <t xml:space="preserve">	2025-08-23 17:39:22</t>
  </si>
  <si>
    <t xml:space="preserve">	2025-09-07 17:39:22</t>
  </si>
  <si>
    <t xml:space="preserve">	6945462887669438186</t>
  </si>
  <si>
    <t>西藏自治区</t>
  </si>
  <si>
    <t>昌都市</t>
  </si>
  <si>
    <t>丁青县</t>
  </si>
  <si>
    <t>协雄乡</t>
  </si>
  <si>
    <t xml:space="preserve">	2025-08-23 17:14:02</t>
  </si>
  <si>
    <t xml:space="preserve">	2025-09-07 17:14:02</t>
  </si>
  <si>
    <t xml:space="preserve">	6920901062190268051</t>
  </si>
  <si>
    <t>西城区</t>
  </si>
  <si>
    <t>展览路街道</t>
  </si>
  <si>
    <t xml:space="preserve">	2025-08-23 17:11:17</t>
  </si>
  <si>
    <t>头条-抖音电商</t>
  </si>
  <si>
    <t xml:space="preserve">	2025-09-07 17:11:17</t>
  </si>
  <si>
    <t xml:space="preserve">	6945462820960868074</t>
  </si>
  <si>
    <t xml:space="preserve">	极速付</t>
  </si>
  <si>
    <t xml:space="preserve">	2025-08-23 17:11:04</t>
  </si>
  <si>
    <t xml:space="preserve">	2025-09-07 17:11:04</t>
  </si>
  <si>
    <t>你已取消订单：其他理由</t>
  </si>
  <si>
    <t xml:space="preserve">	6920894107364392270</t>
  </si>
  <si>
    <t>福田区</t>
  </si>
  <si>
    <t>园岭街道</t>
  </si>
  <si>
    <t xml:space="preserve">	2025-08-23 16:53:58</t>
  </si>
  <si>
    <t xml:space="preserve">	2025-08-23 16:54:03</t>
  </si>
  <si>
    <t xml:space="preserve">	2025-09-07 16:54:04</t>
  </si>
  <si>
    <t xml:space="preserve">	6920896399719563224</t>
  </si>
  <si>
    <t>广西壮族自治区</t>
  </si>
  <si>
    <t>玉林市</t>
  </si>
  <si>
    <t>玉州区</t>
  </si>
  <si>
    <t>玉城街道</t>
  </si>
  <si>
    <t xml:space="preserve">	2025-08-23 16:15:12</t>
  </si>
  <si>
    <t xml:space="preserve">	2025-09-07 16:15:12</t>
  </si>
  <si>
    <t xml:space="preserve">	6920896355542990031</t>
  </si>
  <si>
    <t>江西省</t>
  </si>
  <si>
    <t>上饶市</t>
  </si>
  <si>
    <t>鄱阳县</t>
  </si>
  <si>
    <t>鄱阳镇</t>
  </si>
  <si>
    <t xml:space="preserve">	2025-08-23 16:06:10</t>
  </si>
  <si>
    <t xml:space="preserve">	2025-09-07 16:06:10</t>
  </si>
  <si>
    <t xml:space="preserve">	6945487267150042975</t>
  </si>
  <si>
    <t>通辽市</t>
  </si>
  <si>
    <t>科尔沁区</t>
  </si>
  <si>
    <t xml:space="preserve">	2025-08-23 15:57:25</t>
  </si>
  <si>
    <t xml:space="preserve">	2025-09-07 15:57:25</t>
  </si>
  <si>
    <t xml:space="preserve">	6945460391769085454</t>
  </si>
  <si>
    <t>广州市</t>
  </si>
  <si>
    <t>白云区</t>
  </si>
  <si>
    <t>京溪街道</t>
  </si>
  <si>
    <t xml:space="preserve">	2025-08-23 15:57:02</t>
  </si>
  <si>
    <t xml:space="preserve">	2025-08-23 15:57:05</t>
  </si>
  <si>
    <t xml:space="preserve">	2025-09-07 15:57:05</t>
  </si>
  <si>
    <t xml:space="preserve">	6945469142987052290</t>
  </si>
  <si>
    <t>张家口市</t>
  </si>
  <si>
    <t>桥东区</t>
  </si>
  <si>
    <t>南站街道</t>
  </si>
  <si>
    <t xml:space="preserve">	2025-08-23 15:55:35</t>
  </si>
  <si>
    <t xml:space="preserve">	2025-08-23 15:55:36</t>
  </si>
  <si>
    <t xml:space="preserve">	2025-09-07 15:55:37</t>
  </si>
  <si>
    <t xml:space="preserve">	6945480073616299715</t>
  </si>
  <si>
    <t>玉溪市</t>
  </si>
  <si>
    <t>红塔区</t>
  </si>
  <si>
    <t xml:space="preserve">	2025-08-23 15:45:12</t>
  </si>
  <si>
    <t xml:space="preserve">	2025-08-23 15:45:14</t>
  </si>
  <si>
    <t xml:space="preserve">	2025-09-07 15:45:14</t>
  </si>
  <si>
    <t xml:space="preserve">	6920896250379926829</t>
  </si>
  <si>
    <t>东城区</t>
  </si>
  <si>
    <t>东华门街道</t>
  </si>
  <si>
    <t xml:space="preserve">	2025-08-23 15:38:52</t>
  </si>
  <si>
    <t xml:space="preserve">	2025-09-07 15:38:52</t>
  </si>
  <si>
    <t xml:space="preserve">	6945465039402308657</t>
  </si>
  <si>
    <t>双流区</t>
  </si>
  <si>
    <t>华阳街道</t>
  </si>
  <si>
    <t xml:space="preserve">	2025-08-23 15:37:45</t>
  </si>
  <si>
    <t>SF3284058047514(收） Z1640-黑色-L*1#;换货(6201745)#;换货76738201723839</t>
  </si>
  <si>
    <t xml:space="preserve">	2025-09-09 22:25:33</t>
  </si>
  <si>
    <t xml:space="preserve">	2025-08-23 15:37:46</t>
  </si>
  <si>
    <t xml:space="preserve">	2025-09-07 15:37:47</t>
  </si>
  <si>
    <t xml:space="preserve">	6945484829238433404</t>
  </si>
  <si>
    <t>淮安市</t>
  </si>
  <si>
    <t>涟水县</t>
  </si>
  <si>
    <t>朱码街道</t>
  </si>
  <si>
    <t xml:space="preserve">	2025-08-23 15:36:24</t>
  </si>
  <si>
    <t xml:space="preserve">	2025-09-07 15:36:24</t>
  </si>
  <si>
    <t xml:space="preserve">	6945458268737247045</t>
  </si>
  <si>
    <t>淄博市</t>
  </si>
  <si>
    <t>临淄区</t>
  </si>
  <si>
    <t>闻韶街道</t>
  </si>
  <si>
    <t xml:space="preserve">	2025-08-23 15:35:14</t>
  </si>
  <si>
    <t xml:space="preserve">	2025-09-05 07:56:00</t>
  </si>
  <si>
    <t xml:space="preserve">	2025-08-23 15:35:19</t>
  </si>
  <si>
    <t xml:space="preserve">	2025-09-07 15:35:20</t>
  </si>
  <si>
    <t xml:space="preserve">	6920900918420668183</t>
  </si>
  <si>
    <t>孝感市</t>
  </si>
  <si>
    <t>孝南区</t>
  </si>
  <si>
    <t>孝感开发区孝天街道</t>
  </si>
  <si>
    <t xml:space="preserve">	2025-08-23 15:34:26</t>
  </si>
  <si>
    <t xml:space="preserve">	2025-09-07 22:01:06</t>
  </si>
  <si>
    <t xml:space="preserve">	2025-08-23 15:34:36</t>
  </si>
  <si>
    <t xml:space="preserve">	2025-09-07 15:34:37</t>
  </si>
  <si>
    <t xml:space="preserve">	6945484894946923883</t>
  </si>
  <si>
    <t>徐州市</t>
  </si>
  <si>
    <t>铜山区</t>
  </si>
  <si>
    <t>大彭镇</t>
  </si>
  <si>
    <t xml:space="preserve">	2025-08-23 15:33:08</t>
  </si>
  <si>
    <t xml:space="preserve">	2025-09-07 15:33:08</t>
  </si>
  <si>
    <t xml:space="preserve">	6920900867074194727</t>
  </si>
  <si>
    <t>邯郸市</t>
  </si>
  <si>
    <t>峰峰矿区</t>
  </si>
  <si>
    <t>临水镇</t>
  </si>
  <si>
    <t xml:space="preserve">	2025-08-23 15:31:50</t>
  </si>
  <si>
    <t xml:space="preserve">	2025-09-07 15:31:50</t>
  </si>
  <si>
    <t xml:space="preserve">	6945475497009222936</t>
  </si>
  <si>
    <t>尖草坪区</t>
  </si>
  <si>
    <t>汇丰街道</t>
  </si>
  <si>
    <t xml:space="preserve">	2025-08-23 15:29:44</t>
  </si>
  <si>
    <t xml:space="preserve">	2025-08-23 15:29:48</t>
  </si>
  <si>
    <t xml:space="preserve">	2025-09-07 15:29:48</t>
  </si>
  <si>
    <t xml:space="preserve">	6945487269556392966</t>
  </si>
  <si>
    <t>历下区</t>
  </si>
  <si>
    <t>趵突泉街道</t>
  </si>
  <si>
    <t xml:space="preserve">	2025-08-23 15:14:09</t>
  </si>
  <si>
    <t xml:space="preserve">	2025-09-07 15:14:09</t>
  </si>
  <si>
    <t xml:space="preserve">	6945471502347802470</t>
  </si>
  <si>
    <t>淮南市</t>
  </si>
  <si>
    <t>田家庵区</t>
  </si>
  <si>
    <t>三和镇</t>
  </si>
  <si>
    <t xml:space="preserve">	2025-08-23 15:12:54</t>
  </si>
  <si>
    <t xml:space="preserve">	2025-08-23 15:13:11</t>
  </si>
  <si>
    <t xml:space="preserve">	2025-09-07 15:13:12</t>
  </si>
  <si>
    <t xml:space="preserve">	6945462667492136202</t>
  </si>
  <si>
    <t>白城市</t>
  </si>
  <si>
    <t>洮南市</t>
  </si>
  <si>
    <t>团结街道</t>
  </si>
  <si>
    <t>拦截;76736334775189(收） Z1744-黑色-M*1#</t>
  </si>
  <si>
    <t xml:space="preserve">	2025-08-23 15:12:59</t>
  </si>
  <si>
    <t xml:space="preserve">	2025-09-07 15:12:59</t>
  </si>
  <si>
    <t xml:space="preserve">	6920891842832006313</t>
  </si>
  <si>
    <t xml:space="preserve">	2025-08-23 15:11:17</t>
  </si>
  <si>
    <t xml:space="preserve">	2025-09-08 23:14:20</t>
  </si>
  <si>
    <t xml:space="preserve">	2025-08-23 15:11:24</t>
  </si>
  <si>
    <t xml:space="preserve">	2025-09-07 15:11:24</t>
  </si>
  <si>
    <t xml:space="preserve">	6945447471494337581</t>
  </si>
  <si>
    <t>平台商城加补券-25.36</t>
  </si>
  <si>
    <t xml:space="preserve">	2025-08-22 14:05:26</t>
  </si>
  <si>
    <t>SF3286027543911(收） Z1640-黑色-S*1#</t>
  </si>
  <si>
    <t xml:space="preserve">	2025-08-22 14:05:28</t>
  </si>
  <si>
    <t xml:space="preserve">	2025-09-06 14:05:29</t>
  </si>
  <si>
    <t xml:space="preserve">	2025-09-01 23:16:02</t>
  </si>
  <si>
    <t xml:space="preserve">	6945454471833916461</t>
  </si>
  <si>
    <t>平台商城加补券-10.00</t>
  </si>
  <si>
    <t xml:space="preserve">	2025-08-22 14:02:51</t>
  </si>
  <si>
    <t xml:space="preserve">	2025-08-22 14:02:52</t>
  </si>
  <si>
    <t xml:space="preserve">	2025-09-06 14:02:53</t>
  </si>
  <si>
    <t xml:space="preserve">	6945415789939070779</t>
  </si>
  <si>
    <t xml:space="preserve">	【老板周】简约设计 夏季拼接层次感不规则德芙上衣</t>
  </si>
  <si>
    <t xml:space="preserve">	3766944150033924646</t>
  </si>
  <si>
    <t xml:space="preserve">	Z2285-灰色-L</t>
  </si>
  <si>
    <t>曲靖市</t>
  </si>
  <si>
    <t>宣威市</t>
  </si>
  <si>
    <t>双龙街道</t>
  </si>
  <si>
    <t xml:space="preserve">	2025-08-21 23:48:04</t>
  </si>
  <si>
    <t>YT2532730354072(收） Z2285-灰色-L*1#</t>
  </si>
  <si>
    <t xml:space="preserve">	2025-08-21 23:48:05</t>
  </si>
  <si>
    <t xml:space="preserve">	2025-09-05 23:48:06</t>
  </si>
  <si>
    <t xml:space="preserve">	2025-09-03 21:07:17</t>
  </si>
  <si>
    <t xml:space="preserve">	6945412809789544176</t>
  </si>
  <si>
    <t>辽宁路街道</t>
  </si>
  <si>
    <t xml:space="preserve">	2025-08-21 17:47:29</t>
  </si>
  <si>
    <t xml:space="preserve">	2025-08-21 17:47:35</t>
  </si>
  <si>
    <t xml:space="preserve">	2025-09-05 17:47:35</t>
  </si>
  <si>
    <t xml:space="preserve">	6945403508019697170</t>
  </si>
  <si>
    <t xml:space="preserve">	2025-08-21 16:04:18</t>
  </si>
  <si>
    <t xml:space="preserve">	2025-08-21 16:04:20</t>
  </si>
  <si>
    <t xml:space="preserve">	2025-09-05 16:04:20</t>
  </si>
  <si>
    <t>购物车</t>
  </si>
  <si>
    <t xml:space="preserve">	6945421304006513940</t>
  </si>
  <si>
    <t xml:space="preserve">	【老板周】极简调性 夏季时装感收腰打褶设计后背纽扣短袖上衣</t>
  </si>
  <si>
    <t xml:space="preserve">	白色;L(120-135斤);15天内发货</t>
  </si>
  <si>
    <t xml:space="preserve">	3766941074745065512</t>
  </si>
  <si>
    <t xml:space="preserve">	Z2024-白色-L</t>
  </si>
  <si>
    <t>江宁区</t>
  </si>
  <si>
    <t>秣陵街道</t>
  </si>
  <si>
    <t xml:space="preserve">	2025-08-21 13:59:17</t>
  </si>
  <si>
    <t>补发(6188541)#;补发(6231057)#;补发76739584091765 正面勾丝;SF3232044481030(收） Z2024-白色-L*1#</t>
  </si>
  <si>
    <t xml:space="preserve">	2025-09-13 21:18:59</t>
  </si>
  <si>
    <t xml:space="preserve">	2025-08-21 13:59:19</t>
  </si>
  <si>
    <t xml:space="preserve">	2025-09-05 13:59:19</t>
  </si>
  <si>
    <t xml:space="preserve">	2025-09-04 10:19:36</t>
  </si>
  <si>
    <t xml:space="preserve">	6920864062673682121</t>
  </si>
  <si>
    <t xml:space="preserve">	【老板周】夏季轻盈 新品圆领气质轻薄不规则透气上衣</t>
  </si>
  <si>
    <t xml:space="preserve">	黑色;L(100-120斤);15天内发货</t>
  </si>
  <si>
    <t xml:space="preserve">	3766942533029069048</t>
  </si>
  <si>
    <t xml:space="preserve">	Z2183-黑色-L</t>
  </si>
  <si>
    <t>奎文区</t>
  </si>
  <si>
    <t>梨园街道</t>
  </si>
  <si>
    <t xml:space="preserve">	2025-08-21 12:44:43</t>
  </si>
  <si>
    <t xml:space="preserve">	2025-09-08 17:19:17</t>
  </si>
  <si>
    <t xml:space="preserve">	2025-08-21 12:44:48</t>
  </si>
  <si>
    <t xml:space="preserve">	2025-09-05 12:44:48</t>
  </si>
  <si>
    <t xml:space="preserve">	2025-09-01 17:19:17</t>
  </si>
  <si>
    <t xml:space="preserve">	6920858880126123988</t>
  </si>
  <si>
    <t>浑南区</t>
  </si>
  <si>
    <t>浑河站东街道</t>
  </si>
  <si>
    <t xml:space="preserve">	2025-08-21 10:31:10</t>
  </si>
  <si>
    <t xml:space="preserve">	2025-08-21 10:31:15</t>
  </si>
  <si>
    <t xml:space="preserve">	2025-09-05 10:31:15</t>
  </si>
  <si>
    <t xml:space="preserve">	6920862917685968813</t>
  </si>
  <si>
    <t xml:space="preserve">	【老板周】春夏经典时髦 简约基础款拉长比例短上衣</t>
  </si>
  <si>
    <t xml:space="preserve">	3766240353087259102</t>
  </si>
  <si>
    <t xml:space="preserve">	Z476-灰色-L</t>
  </si>
  <si>
    <t>秦都区</t>
  </si>
  <si>
    <t>古渡街道</t>
  </si>
  <si>
    <t xml:space="preserve">	2025-08-21 06:38:45</t>
  </si>
  <si>
    <t xml:space="preserve">	2025-08-25 20:44:13</t>
  </si>
  <si>
    <t xml:space="preserve">	2025-08-21 06:38:46</t>
  </si>
  <si>
    <t xml:space="preserve">	2025-09-05 06:38:46</t>
  </si>
  <si>
    <t>消息</t>
  </si>
  <si>
    <t xml:space="preserve">	2025-08-24 00:01:34</t>
  </si>
  <si>
    <t xml:space="preserve">	6920858151961328822</t>
  </si>
  <si>
    <t xml:space="preserve">	【老板周】老钱风 简约休闲圆领后背扣子时髦马甲</t>
  </si>
  <si>
    <t xml:space="preserve">	3766240945658527845</t>
  </si>
  <si>
    <t xml:space="preserve">	Z482-黑色-M</t>
  </si>
  <si>
    <t>兰州市</t>
  </si>
  <si>
    <t>城关区</t>
  </si>
  <si>
    <t>皋兰路街道</t>
  </si>
  <si>
    <t xml:space="preserve">	2025-08-21 00:11:12</t>
  </si>
  <si>
    <t>SF3239921058772(收） Z482-黑色-M*1#</t>
  </si>
  <si>
    <t xml:space="preserve">	2025-08-21 00:11:28</t>
  </si>
  <si>
    <t xml:space="preserve">	2025-09-05 00:11:28</t>
  </si>
  <si>
    <t xml:space="preserve">	2025-08-28 21:52:20</t>
  </si>
  <si>
    <t xml:space="preserve">	6945400012555097472</t>
  </si>
  <si>
    <t xml:space="preserve">	【老板周】慵懒风 新品混纱法式极简复古廓形针织上衣</t>
  </si>
  <si>
    <t xml:space="preserve">	3767375525761384637</t>
  </si>
  <si>
    <t xml:space="preserve">	Z1578-黑色-M</t>
  </si>
  <si>
    <t>平台商城加补券-28.89</t>
  </si>
  <si>
    <t xml:space="preserve">	2025-08-20 21:49:32</t>
  </si>
  <si>
    <t>73570156386350(收） Z1578-黑色-M*1#</t>
  </si>
  <si>
    <t xml:space="preserve">	2025-08-20 21:49:37</t>
  </si>
  <si>
    <t xml:space="preserve">	2025-09-04 21:49:38</t>
  </si>
  <si>
    <t xml:space="preserve">	2025-08-25 17:15:55</t>
  </si>
  <si>
    <t xml:space="preserve">	6945400012555163008</t>
  </si>
  <si>
    <t>平台商城加补券-28.94</t>
  </si>
  <si>
    <t xml:space="preserve">	6920845819507277720</t>
  </si>
  <si>
    <t xml:space="preserve">	Z476-灰色-M</t>
  </si>
  <si>
    <t>廊坊市</t>
  </si>
  <si>
    <t>香河县</t>
  </si>
  <si>
    <t>淑阳镇</t>
  </si>
  <si>
    <t xml:space="preserve">	2025-08-20 21:01:59</t>
  </si>
  <si>
    <t xml:space="preserve">	2025-08-30 21:26:49</t>
  </si>
  <si>
    <t xml:space="preserve">	2025-08-20 21:04:25</t>
  </si>
  <si>
    <t xml:space="preserve">	2025-09-04 21:04:26</t>
  </si>
  <si>
    <t xml:space="preserve">	2025-08-23 21:26:49</t>
  </si>
  <si>
    <t xml:space="preserve">	6945392522590950549</t>
  </si>
  <si>
    <t xml:space="preserve">	【老板周】休闲随性 夏季新品短款显瘦设计感薰衣草翻领衬衫</t>
  </si>
  <si>
    <t xml:space="preserve">	蓝紫色;M(100-120斤);15天内发货</t>
  </si>
  <si>
    <t xml:space="preserve">	3766942257983389868</t>
  </si>
  <si>
    <t xml:space="preserve">	Z2178-蓝紫色-M</t>
  </si>
  <si>
    <t>平台商城爆神券-15.00</t>
  </si>
  <si>
    <t>佛山市</t>
  </si>
  <si>
    <t>南海区</t>
  </si>
  <si>
    <t>大沥镇</t>
  </si>
  <si>
    <t xml:space="preserve">	2025-08-20 13:40:31</t>
  </si>
  <si>
    <t xml:space="preserve">	2025-08-20 13:40:32</t>
  </si>
  <si>
    <t xml:space="preserve">	2025-09-04 13:40:33</t>
  </si>
  <si>
    <t xml:space="preserve">	6945370087508874574</t>
  </si>
  <si>
    <t xml:space="preserve">	【老板周】早春新款 法式复古百搭圆领灯笼袖针织上衣</t>
  </si>
  <si>
    <t xml:space="preserve">	蓝色;M(100-120斤);15天内发货</t>
  </si>
  <si>
    <t xml:space="preserve">	3766961742253523242</t>
  </si>
  <si>
    <t xml:space="preserve">	Z1781-蓝色-M</t>
  </si>
  <si>
    <t>平台商城加补券-17.87</t>
  </si>
  <si>
    <t>兴庆区</t>
  </si>
  <si>
    <t>文化街街道</t>
  </si>
  <si>
    <t xml:space="preserve">	2025-08-20 10:13:10</t>
  </si>
  <si>
    <t xml:space="preserve">	2025-08-20 10:13:11</t>
  </si>
  <si>
    <t xml:space="preserve">	2025-09-04 10:13:12</t>
  </si>
  <si>
    <t xml:space="preserve">	6945387745243239758</t>
  </si>
  <si>
    <t>平台商城加补券-19.77</t>
  </si>
  <si>
    <t xml:space="preserve">	2025-08-20 10:10:05</t>
  </si>
  <si>
    <t xml:space="preserve">	2025-08-20 10:10:07</t>
  </si>
  <si>
    <t xml:space="preserve">	2025-09-04 10:10:08</t>
  </si>
  <si>
    <t xml:space="preserve">	6945349306336613631</t>
  </si>
  <si>
    <t xml:space="preserve">	米白色;XL(120-135斤);15天内发货</t>
  </si>
  <si>
    <t xml:space="preserve">	Z2183-米白色-XL</t>
  </si>
  <si>
    <t>平台商城加补券-12.90</t>
  </si>
  <si>
    <t>江北区</t>
  </si>
  <si>
    <t>观音桥街道</t>
  </si>
  <si>
    <t xml:space="preserve">	2025-08-19 16:49:02</t>
  </si>
  <si>
    <t>SF3231854520529(收） Z2183-米白色-XL*1#</t>
  </si>
  <si>
    <t xml:space="preserve">	2025-08-19 16:49:10</t>
  </si>
  <si>
    <t xml:space="preserve">	2025-09-03 16:49:11</t>
  </si>
  <si>
    <t xml:space="preserve">	2025-08-19 18:10:25</t>
  </si>
  <si>
    <t xml:space="preserve">	6945349201670575934</t>
  </si>
  <si>
    <t xml:space="preserve">	黑色;XL(120-135斤);15天内发货</t>
  </si>
  <si>
    <t xml:space="preserve">	Z2183-黑色-XL</t>
  </si>
  <si>
    <t>平台商城加补券-12.76</t>
  </si>
  <si>
    <t xml:space="preserve">	2025-08-19 14:55:08</t>
  </si>
  <si>
    <t xml:space="preserve">	2025-09-04 18:15:05</t>
  </si>
  <si>
    <t xml:space="preserve">	2025-08-19 14:55:13</t>
  </si>
  <si>
    <t xml:space="preserve">	2025-09-03 14:55:13</t>
  </si>
  <si>
    <t xml:space="preserve">	2025-08-28 18:15:05</t>
  </si>
  <si>
    <t xml:space="preserve">	6945318982374134980</t>
  </si>
  <si>
    <t>六合区</t>
  </si>
  <si>
    <t>雄州街道</t>
  </si>
  <si>
    <t xml:space="preserve">	2025-08-18 23:06:07</t>
  </si>
  <si>
    <t>SF3239467991508(收） Z1640-黑色-M*1#</t>
  </si>
  <si>
    <t xml:space="preserve">	2025-08-18 23:06:35</t>
  </si>
  <si>
    <t xml:space="preserve">	2025-09-02 23:06:35</t>
  </si>
  <si>
    <t xml:space="preserve">	6945316069614818498</t>
  </si>
  <si>
    <t xml:space="preserve">	【老板周】气质复古 夏季重工压褶松紧腰撞色莫奈半身裙</t>
  </si>
  <si>
    <t xml:space="preserve">	3766947478457418265</t>
  </si>
  <si>
    <t xml:space="preserve">	Z2148-蓝色-S</t>
  </si>
  <si>
    <t>昆山市</t>
  </si>
  <si>
    <t>张浦镇</t>
  </si>
  <si>
    <t xml:space="preserve">	2025-08-18 14:26:17</t>
  </si>
  <si>
    <t xml:space="preserve">	2025-08-18 14:26:18</t>
  </si>
  <si>
    <t xml:space="preserve">	2025-09-02 14:26:18</t>
  </si>
  <si>
    <t xml:space="preserve">	6945335753862223835</t>
  </si>
  <si>
    <t xml:space="preserve">	【老板周】极简设计 夏季新品重工肌理感慵懒针织上衣</t>
  </si>
  <si>
    <t xml:space="preserve">	杏色;M(100-120斤);15天内发货</t>
  </si>
  <si>
    <t xml:space="preserve">	3766946561599340937</t>
  </si>
  <si>
    <t xml:space="preserve">	Z2298-杏色-M</t>
  </si>
  <si>
    <t>高桥镇</t>
  </si>
  <si>
    <t xml:space="preserve">	2025-08-18 14:24:20</t>
  </si>
  <si>
    <t xml:space="preserve">	2025-08-23 22:03:57</t>
  </si>
  <si>
    <t xml:space="preserve">	2025-08-18 14:24:56</t>
  </si>
  <si>
    <t xml:space="preserve">	2025-09-02 14:24:57</t>
  </si>
  <si>
    <t xml:space="preserve">	2025-08-18 17:17:52</t>
  </si>
  <si>
    <t xml:space="preserve">	6945311586967754354</t>
  </si>
  <si>
    <t xml:space="preserve">	米白色;M(80-100斤);15天内发货</t>
  </si>
  <si>
    <t xml:space="preserve">	Z2183-米白色-M</t>
  </si>
  <si>
    <t>汉阳区</t>
  </si>
  <si>
    <t>永丰街道</t>
  </si>
  <si>
    <t xml:space="preserve">	2025-08-18 13:52:01</t>
  </si>
  <si>
    <t xml:space="preserve">	2025-08-25 14:56:48</t>
  </si>
  <si>
    <t xml:space="preserve">	2025-08-18 13:52:03</t>
  </si>
  <si>
    <t xml:space="preserve">	2025-09-02 13:52:03</t>
  </si>
  <si>
    <t xml:space="preserve">	2025-08-18 14:56:48</t>
  </si>
  <si>
    <t xml:space="preserve">	6920805346524495104</t>
  </si>
  <si>
    <t>漯河市</t>
  </si>
  <si>
    <t>郾城区</t>
  </si>
  <si>
    <t xml:space="preserve">	2025-08-18 13:03:10</t>
  </si>
  <si>
    <t xml:space="preserve">	2025-08-18 13:03:13</t>
  </si>
  <si>
    <t xml:space="preserve">	2025-09-02 13:03:14</t>
  </si>
  <si>
    <t xml:space="preserve">	6945328782093063550</t>
  </si>
  <si>
    <t xml:space="preserve">	Z1781-蓝色-S</t>
  </si>
  <si>
    <t>平台商城加补券-24.91</t>
  </si>
  <si>
    <t>东莞市</t>
  </si>
  <si>
    <t>塘厦镇</t>
  </si>
  <si>
    <t xml:space="preserve">	2025-08-18 11:31:15</t>
  </si>
  <si>
    <t xml:space="preserve">	2025-08-18 11:32:36</t>
  </si>
  <si>
    <t xml:space="preserve">	2025-09-02 11:32:37</t>
  </si>
  <si>
    <t xml:space="preserve">	6945315703914370917</t>
  </si>
  <si>
    <t>平台商城加补券-15.00</t>
  </si>
  <si>
    <t>道里区</t>
  </si>
  <si>
    <t>群力街道</t>
  </si>
  <si>
    <t xml:space="preserve">	2025-08-18 10:38:53</t>
  </si>
  <si>
    <t xml:space="preserve">	2025-08-28 22:34:45</t>
  </si>
  <si>
    <t xml:space="preserve">	2025-08-18 10:38:56</t>
  </si>
  <si>
    <t xml:space="preserve">	2025-09-02 10:38:56</t>
  </si>
  <si>
    <t xml:space="preserve">	2025-08-21 22:34:45</t>
  </si>
  <si>
    <t xml:space="preserve">	6945324220283426475</t>
  </si>
  <si>
    <t xml:space="preserve">	【老板周】夏季极简条纹 经典圆领复古条纹套头上衣</t>
  </si>
  <si>
    <t xml:space="preserve">	黑白条纹;M(100-120斤);15天内发货</t>
  </si>
  <si>
    <t xml:space="preserve">	3766239021462847944</t>
  </si>
  <si>
    <t xml:space="preserve">	Z558-黑白条纹-M</t>
  </si>
  <si>
    <t>上城区</t>
  </si>
  <si>
    <t>彭埠街道</t>
  </si>
  <si>
    <t xml:space="preserve">	2025-08-18 06:24:03</t>
  </si>
  <si>
    <t>橙色</t>
  </si>
  <si>
    <t>Z558劝退</t>
  </si>
  <si>
    <t xml:space="preserve">	2025-08-18 06:24:09</t>
  </si>
  <si>
    <t xml:space="preserve">	2025-09-02 06:24:09</t>
  </si>
  <si>
    <t xml:space="preserve">	2025-09-01 10:34:03</t>
  </si>
  <si>
    <t xml:space="preserve">	6945290770993518354</t>
  </si>
  <si>
    <t>连云港市</t>
  </si>
  <si>
    <t>海州区</t>
  </si>
  <si>
    <t>云台农场</t>
  </si>
  <si>
    <t xml:space="preserve">	2025-08-17 21:03:22</t>
  </si>
  <si>
    <t xml:space="preserve">	2025-08-17 21:03:23</t>
  </si>
  <si>
    <t xml:space="preserve">	2025-09-01 21:03:24</t>
  </si>
  <si>
    <t xml:space="preserve">	6945297131025930200</t>
  </si>
  <si>
    <t>平台商城加补券-27.90</t>
  </si>
  <si>
    <t>长宁区</t>
  </si>
  <si>
    <t>新泾镇</t>
  </si>
  <si>
    <t xml:space="preserve">	2025-08-17 20:43:17</t>
  </si>
  <si>
    <t xml:space="preserve">	2025-08-17 20:43:19</t>
  </si>
  <si>
    <t xml:space="preserve">	2025-09-01 20:43:19</t>
  </si>
  <si>
    <t xml:space="preserve">	6945308120525051209</t>
  </si>
  <si>
    <t>大庆市</t>
  </si>
  <si>
    <t>萨尔图区</t>
  </si>
  <si>
    <t xml:space="preserve">	2025-08-17 20:29:00</t>
  </si>
  <si>
    <t xml:space="preserve">	2025-08-17 20:29:07</t>
  </si>
  <si>
    <t xml:space="preserve">	2025-09-01 20:29:08</t>
  </si>
  <si>
    <t xml:space="preserve">	6945299530932426542</t>
  </si>
  <si>
    <t>新疆维吾尔自治区</t>
  </si>
  <si>
    <t>石河子市</t>
  </si>
  <si>
    <t>东城街道</t>
  </si>
  <si>
    <t xml:space="preserve">	2025-08-17 20:08:05</t>
  </si>
  <si>
    <t xml:space="preserve">	2025-09-01 20:08:05</t>
  </si>
  <si>
    <t xml:space="preserve">	6945305665120310969</t>
  </si>
  <si>
    <t>福建省</t>
  </si>
  <si>
    <t>漳州市</t>
  </si>
  <si>
    <t>南靖县</t>
  </si>
  <si>
    <t>山城镇</t>
  </si>
  <si>
    <t xml:space="preserve">	2025-08-17 18:47:28</t>
  </si>
  <si>
    <t xml:space="preserve">	2025-08-17 18:47:29</t>
  </si>
  <si>
    <t xml:space="preserve">	2025-09-01 18:47:29</t>
  </si>
  <si>
    <t xml:space="preserve">	6945292351831938263</t>
  </si>
  <si>
    <t>东营市</t>
  </si>
  <si>
    <t>东营区</t>
  </si>
  <si>
    <t>黄河路街道</t>
  </si>
  <si>
    <t xml:space="preserve">	2025-08-17 18:38:00</t>
  </si>
  <si>
    <t>73571486521586(收） Z1640-黑色-S*1#</t>
  </si>
  <si>
    <t xml:space="preserve">	2025-08-17 18:38:06</t>
  </si>
  <si>
    <t xml:space="preserve">	2025-09-01 18:38:07</t>
  </si>
  <si>
    <t xml:space="preserve">	6920791727018835103</t>
  </si>
  <si>
    <t>静安区</t>
  </si>
  <si>
    <t>共和新路街道</t>
  </si>
  <si>
    <t xml:space="preserve">	2025-08-17 18:36:26</t>
  </si>
  <si>
    <t xml:space="preserve">	2025-09-03 16:49:58</t>
  </si>
  <si>
    <t xml:space="preserve">	2025-08-17 18:36:53</t>
  </si>
  <si>
    <t xml:space="preserve">	2025-09-01 18:36:53</t>
  </si>
  <si>
    <t xml:space="preserve">	6920789437762927951</t>
  </si>
  <si>
    <t>平城区</t>
  </si>
  <si>
    <t xml:space="preserve">	2025-08-17 18:30:13</t>
  </si>
  <si>
    <t xml:space="preserve">	2025-09-07 16:42:55</t>
  </si>
  <si>
    <t xml:space="preserve">	2025-08-17 18:30:24</t>
  </si>
  <si>
    <t xml:space="preserve">	2025-09-01 18:30:25</t>
  </si>
  <si>
    <t xml:space="preserve">	2025-08-31 16:42:55</t>
  </si>
  <si>
    <t xml:space="preserve">	6945290518034912491</t>
  </si>
  <si>
    <t xml:space="preserve">	2025-08-17 17:43:04</t>
  </si>
  <si>
    <t xml:space="preserve">	2025-09-01 17:43:04</t>
  </si>
  <si>
    <t xml:space="preserve">	6945307868248938335</t>
  </si>
  <si>
    <t xml:space="preserve">	2025-08-17 17:37:11</t>
  </si>
  <si>
    <t xml:space="preserve">	2025-09-01 17:37:11</t>
  </si>
  <si>
    <t xml:space="preserve">	6945292309502433007</t>
  </si>
  <si>
    <t>金山区</t>
  </si>
  <si>
    <t>枫泾镇</t>
  </si>
  <si>
    <t xml:space="preserve">	2025-08-17 17:34:00</t>
  </si>
  <si>
    <t xml:space="preserve">	2025-09-01 17:34:00</t>
  </si>
  <si>
    <t xml:space="preserve">	6945296867555415850</t>
  </si>
  <si>
    <t>璧山区</t>
  </si>
  <si>
    <t>璧城街道</t>
  </si>
  <si>
    <t xml:space="preserve">	2025-08-17 17:33:52</t>
  </si>
  <si>
    <t>悟空浏览器-抖音电商</t>
  </si>
  <si>
    <t xml:space="preserve">	2025-09-01 17:33:52</t>
  </si>
  <si>
    <t xml:space="preserve">	6945303825128101475</t>
  </si>
  <si>
    <t>枣庄市</t>
  </si>
  <si>
    <t>中心街街道</t>
  </si>
  <si>
    <t xml:space="preserve">	2025-08-17 17:33:17</t>
  </si>
  <si>
    <t xml:space="preserve">	2025-09-01 17:33:17</t>
  </si>
  <si>
    <t xml:space="preserve">	6945294381278893085</t>
  </si>
  <si>
    <t>运城市</t>
  </si>
  <si>
    <t>河津市</t>
  </si>
  <si>
    <t>樊村镇</t>
  </si>
  <si>
    <t xml:space="preserve">	2025-08-17 17:31:57</t>
  </si>
  <si>
    <t xml:space="preserve">	2025-09-04 09:12:46</t>
  </si>
  <si>
    <t xml:space="preserve">	2025-08-17 17:32:06</t>
  </si>
  <si>
    <t xml:space="preserve">	2025-09-01 17:32:07</t>
  </si>
  <si>
    <t xml:space="preserve">	6945290317376132678</t>
  </si>
  <si>
    <t>蚌埠市</t>
  </si>
  <si>
    <t>蚌山区</t>
  </si>
  <si>
    <t>淮河社区行政事务管理中心</t>
  </si>
  <si>
    <t xml:space="preserve">	2025-08-17 16:15:56</t>
  </si>
  <si>
    <t xml:space="preserve">	2025-09-01 16:15:56</t>
  </si>
  <si>
    <t xml:space="preserve">	6945305412187395454</t>
  </si>
  <si>
    <t xml:space="preserve">	2025-08-17 16:02:39</t>
  </si>
  <si>
    <t>YT2566229803291(收） Z1640-黑色-S*1#</t>
  </si>
  <si>
    <t xml:space="preserve">	2025-08-17 16:02:50</t>
  </si>
  <si>
    <t xml:space="preserve">	2025-09-01 16:02:50</t>
  </si>
  <si>
    <t xml:space="preserve">	6945287749033924300</t>
  </si>
  <si>
    <t>渝北区</t>
  </si>
  <si>
    <t>金山街道</t>
  </si>
  <si>
    <t xml:space="preserve">	2025-08-17 15:21:18</t>
  </si>
  <si>
    <t xml:space="preserve">	2025-09-01 15:21:18</t>
  </si>
  <si>
    <t xml:space="preserve">	6920792942682996539</t>
  </si>
  <si>
    <t>于洪区</t>
  </si>
  <si>
    <t>城东湖街道</t>
  </si>
  <si>
    <t xml:space="preserve">	2025-08-17 10:49:35</t>
  </si>
  <si>
    <t xml:space="preserve">	2025-09-07 10:22:48</t>
  </si>
  <si>
    <t xml:space="preserve">	2025-08-17 10:49:36</t>
  </si>
  <si>
    <t xml:space="preserve">	2025-09-01 10:49:36</t>
  </si>
  <si>
    <t xml:space="preserve">	2025-08-31 10:22:48</t>
  </si>
  <si>
    <t xml:space="preserve">	6945278838046922469</t>
  </si>
  <si>
    <t>东港区</t>
  </si>
  <si>
    <t>秦楼街道</t>
  </si>
  <si>
    <t xml:space="preserve">	2025-08-17 10:24:59</t>
  </si>
  <si>
    <t>SF3286667791168(收） Z1640-黑色-M*1#</t>
  </si>
  <si>
    <t xml:space="preserve">	2025-08-17 10:25:02</t>
  </si>
  <si>
    <t xml:space="preserve">	2025-09-01 10:25:02</t>
  </si>
  <si>
    <t xml:space="preserve">	6920762935932976726</t>
  </si>
  <si>
    <t>智远街道</t>
  </si>
  <si>
    <t xml:space="preserve">	2025-08-16 14:37:16</t>
  </si>
  <si>
    <t xml:space="preserve">	2025-08-16 14:37:17</t>
  </si>
  <si>
    <t xml:space="preserve">	2025-08-31 14:37:18</t>
  </si>
  <si>
    <t xml:space="preserve">	6945248353013339353</t>
  </si>
  <si>
    <t xml:space="preserve">	Z1578-黑色-S</t>
  </si>
  <si>
    <t>温州市</t>
  </si>
  <si>
    <t>龙湾区</t>
  </si>
  <si>
    <t>瑶溪街道</t>
  </si>
  <si>
    <t xml:space="preserve">	2025-08-16 14:18:11</t>
  </si>
  <si>
    <t>73569589518805(收） Z1578-黑色-S*1#</t>
  </si>
  <si>
    <t xml:space="preserve">	2025-08-16 14:18:15</t>
  </si>
  <si>
    <t xml:space="preserve">	2025-08-31 14:18:16</t>
  </si>
  <si>
    <t xml:space="preserve">	2025-08-23 21:25:58</t>
  </si>
  <si>
    <t xml:space="preserve">	6945250607244841999</t>
  </si>
  <si>
    <t>平台商城加补券-27.42</t>
  </si>
  <si>
    <t>盘锦市</t>
  </si>
  <si>
    <t>兴隆台区</t>
  </si>
  <si>
    <t>欢喜岭街道</t>
  </si>
  <si>
    <t xml:space="preserve">	2025-08-16 14:09:15</t>
  </si>
  <si>
    <t>YT2564994243245(收） Z1640-黑色-M*1#</t>
  </si>
  <si>
    <t xml:space="preserve">	2025-08-16 14:09:23</t>
  </si>
  <si>
    <t xml:space="preserve">	2025-08-31 14:09:24</t>
  </si>
  <si>
    <t xml:space="preserve">	2025-08-30 10:30:57</t>
  </si>
  <si>
    <t xml:space="preserve">	6945279328687363646</t>
  </si>
  <si>
    <t xml:space="preserve">	米白色;L(100-120斤);15天内发货</t>
  </si>
  <si>
    <t xml:space="preserve">	Z2183-米白色-L</t>
  </si>
  <si>
    <t>固镇县</t>
  </si>
  <si>
    <t>城关镇</t>
  </si>
  <si>
    <t xml:space="preserve">	2025-08-16 13:09:05</t>
  </si>
  <si>
    <t xml:space="preserve">	2025-08-31 13:09:05</t>
  </si>
  <si>
    <t xml:space="preserve">	6945279326828369664</t>
  </si>
  <si>
    <t>平台商城加补券-28.53</t>
  </si>
  <si>
    <t>望京街道</t>
  </si>
  <si>
    <t xml:space="preserve">	2025-08-16 12:12:29</t>
  </si>
  <si>
    <t xml:space="preserve">	2025-09-06 10:30:57</t>
  </si>
  <si>
    <t xml:space="preserve">	2025-08-16 12:13:29</t>
  </si>
  <si>
    <t xml:space="preserve">	2025-08-31 12:13:30</t>
  </si>
  <si>
    <t xml:space="preserve">	6945236501077955934</t>
  </si>
  <si>
    <t xml:space="preserve">	浅灰色;S(80-100斤);15天内发货</t>
  </si>
  <si>
    <t xml:space="preserve">	Z1578-浅灰色-S</t>
  </si>
  <si>
    <t>平台商城加补券-28.91</t>
  </si>
  <si>
    <t>宁波市</t>
  </si>
  <si>
    <t>海曙区</t>
  </si>
  <si>
    <t>西门街道</t>
  </si>
  <si>
    <t xml:space="preserve">	2025-08-16 00:44:53</t>
  </si>
  <si>
    <t>SF3289160335136(收） Z1578-浅灰色-S*1#;SF3284909704982(收） Z1781-蓝色-S*1#</t>
  </si>
  <si>
    <t xml:space="preserve">	2025-08-16 00:44:56</t>
  </si>
  <si>
    <t xml:space="preserve">	2025-08-31 00:44:58</t>
  </si>
  <si>
    <t xml:space="preserve">	2025-08-17 23:53:07</t>
  </si>
  <si>
    <t xml:space="preserve">	6945236501078021470</t>
  </si>
  <si>
    <t xml:space="preserve">	2025-09-01 17:19:05</t>
  </si>
  <si>
    <t xml:space="preserve">	2025-08-25 17:19:05</t>
  </si>
  <si>
    <t xml:space="preserve">	6945236501078087006</t>
  </si>
  <si>
    <t xml:space="preserve">	2025-08-30 21:25:39</t>
  </si>
  <si>
    <t xml:space="preserve">	2025-08-23 21:25:39</t>
  </si>
  <si>
    <t xml:space="preserve">	6945236511291086174</t>
  </si>
  <si>
    <t xml:space="preserve">	2025-08-16 00:34:56</t>
  </si>
  <si>
    <t xml:space="preserve">	2025-08-16 00:34:58</t>
  </si>
  <si>
    <t xml:space="preserve">	2025-08-31 00:34:59</t>
  </si>
  <si>
    <t xml:space="preserve">	6920753847085203326</t>
  </si>
  <si>
    <t>平台商城爆神券-32.00</t>
  </si>
  <si>
    <t xml:space="preserve">	2025-08-15 22:47:40</t>
  </si>
  <si>
    <t xml:space="preserve">	2025-08-15 22:47:41</t>
  </si>
  <si>
    <t xml:space="preserve">	2025-08-30 22:47:41</t>
  </si>
  <si>
    <t xml:space="preserve">	6920761446877724542</t>
  </si>
  <si>
    <t>平台商城爆神券-19.00</t>
  </si>
  <si>
    <t xml:space="preserve">	2025-08-15 22:42:57</t>
  </si>
  <si>
    <t xml:space="preserve">	2025-08-15 22:42:59</t>
  </si>
  <si>
    <t xml:space="preserve">	2025-08-30 22:42:59</t>
  </si>
  <si>
    <t xml:space="preserve">	6920760906437132185</t>
  </si>
  <si>
    <t>金新街道</t>
  </si>
  <si>
    <t xml:space="preserve">	2025-08-15 22:38:40</t>
  </si>
  <si>
    <t xml:space="preserve">	2025-08-15 22:38:46</t>
  </si>
  <si>
    <t xml:space="preserve">	2025-08-30 22:38:46</t>
  </si>
  <si>
    <t xml:space="preserve">	6920753783782276516</t>
  </si>
  <si>
    <t>昌平区</t>
  </si>
  <si>
    <t xml:space="preserve">	2025-08-15 22:13:41</t>
  </si>
  <si>
    <t xml:space="preserve">	2025-08-30 22:13:41</t>
  </si>
  <si>
    <t xml:space="preserve">	6945249427889985351</t>
  </si>
  <si>
    <t>吴江区</t>
  </si>
  <si>
    <t>同里镇</t>
  </si>
  <si>
    <t xml:space="preserve">	2025-08-15 22:12:36</t>
  </si>
  <si>
    <t xml:space="preserve">	2025-08-15 22:12:41</t>
  </si>
  <si>
    <t xml:space="preserve">	2025-08-30 22:12:41</t>
  </si>
  <si>
    <t xml:space="preserve">	6945265273816683633</t>
  </si>
  <si>
    <t>安阳市</t>
  </si>
  <si>
    <t>安阳县</t>
  </si>
  <si>
    <t>白璧镇</t>
  </si>
  <si>
    <t xml:space="preserve">	2025-08-15 22:10:04</t>
  </si>
  <si>
    <t xml:space="preserve">	2025-08-15 22:10:12</t>
  </si>
  <si>
    <t xml:space="preserve">	2025-08-30 22:10:12</t>
  </si>
  <si>
    <t xml:space="preserve">	6945238636667278449</t>
  </si>
  <si>
    <t xml:space="preserve">	2025-08-15 22:09:11</t>
  </si>
  <si>
    <t xml:space="preserve">	2025-08-30 22:09:11</t>
  </si>
  <si>
    <t xml:space="preserve">	6945249536084416116</t>
  </si>
  <si>
    <t>嘉禾街道</t>
  </si>
  <si>
    <t xml:space="preserve">	2025-08-15 22:08:37</t>
  </si>
  <si>
    <t xml:space="preserve">	2025-08-22 23:15:26</t>
  </si>
  <si>
    <t xml:space="preserve">	2025-08-15 22:08:46</t>
  </si>
  <si>
    <t xml:space="preserve">	2025-08-30 22:08:47</t>
  </si>
  <si>
    <t xml:space="preserve">	2025-08-15 23:15:26</t>
  </si>
  <si>
    <t xml:space="preserve">	6945260659039868532</t>
  </si>
  <si>
    <t>广场街道</t>
  </si>
  <si>
    <t xml:space="preserve">	2025-08-15 21:57:20</t>
  </si>
  <si>
    <t xml:space="preserve">	2025-08-15 21:57:30</t>
  </si>
  <si>
    <t xml:space="preserve">	2025-08-30 21:57:30</t>
  </si>
  <si>
    <t xml:space="preserve">	6945243322999444483</t>
  </si>
  <si>
    <t>齐齐哈尔市</t>
  </si>
  <si>
    <t>富拉尔基区</t>
  </si>
  <si>
    <t>沿江街道</t>
  </si>
  <si>
    <t xml:space="preserve">	2025-08-15 21:55:27</t>
  </si>
  <si>
    <t xml:space="preserve">	2025-08-15 21:55:29</t>
  </si>
  <si>
    <t xml:space="preserve">	2025-08-30 21:55:30</t>
  </si>
  <si>
    <t xml:space="preserve">	6945246939908609136</t>
  </si>
  <si>
    <t>托克托县</t>
  </si>
  <si>
    <t>双河镇</t>
  </si>
  <si>
    <t xml:space="preserve">	2025-08-15 19:08:53</t>
  </si>
  <si>
    <t xml:space="preserve">	2025-08-15 19:08:59</t>
  </si>
  <si>
    <t xml:space="preserve">	2025-08-30 19:08:59</t>
  </si>
  <si>
    <t xml:space="preserve">	6920755562061922174</t>
  </si>
  <si>
    <t>平台商城爆神券-10.00</t>
  </si>
  <si>
    <t xml:space="preserve">	2025-08-15 18:46:43</t>
  </si>
  <si>
    <t xml:space="preserve">	2025-08-15 18:46:46</t>
  </si>
  <si>
    <t xml:space="preserve">	2025-08-30 18:46:47</t>
  </si>
  <si>
    <t xml:space="preserve">	6945251381291194010</t>
  </si>
  <si>
    <t>新华区</t>
  </si>
  <si>
    <t>西市场街道</t>
  </si>
  <si>
    <t xml:space="preserve">	2025-08-15 17:36:41</t>
  </si>
  <si>
    <t xml:space="preserve">	2025-08-15 17:36:42</t>
  </si>
  <si>
    <t xml:space="preserve">	2025-08-30 17:36:43</t>
  </si>
  <si>
    <t xml:space="preserve">	6945251203414693060</t>
  </si>
  <si>
    <t>龙海区</t>
  </si>
  <si>
    <t>招商局漳州开发区</t>
  </si>
  <si>
    <t xml:space="preserve">	2025-08-15 17:33:23</t>
  </si>
  <si>
    <t xml:space="preserve">	2025-08-30 17:33:23</t>
  </si>
  <si>
    <t xml:space="preserve">	6945246762042725958</t>
  </si>
  <si>
    <t>宝山区</t>
  </si>
  <si>
    <t>大场镇</t>
  </si>
  <si>
    <t xml:space="preserve">	2025-08-15 17:27:48</t>
  </si>
  <si>
    <t xml:space="preserve">	2025-08-15 17:27:50</t>
  </si>
  <si>
    <t xml:space="preserve">	2025-08-30 17:27:50</t>
  </si>
  <si>
    <t xml:space="preserve">	6920753069385678508</t>
  </si>
  <si>
    <t xml:space="preserve">	2025-08-15 17:23:15</t>
  </si>
  <si>
    <t xml:space="preserve">	2025-08-30 17:23:15</t>
  </si>
  <si>
    <t xml:space="preserve">	6945242911708550408</t>
  </si>
  <si>
    <t>鄂尔多斯市</t>
  </si>
  <si>
    <t>东胜区</t>
  </si>
  <si>
    <t>交通街道</t>
  </si>
  <si>
    <t xml:space="preserve">	2025-08-15 17:13:27</t>
  </si>
  <si>
    <t xml:space="preserve">	2025-08-30 17:13:27</t>
  </si>
  <si>
    <t xml:space="preserve">	6920757644008193116</t>
  </si>
  <si>
    <t xml:space="preserve">	蓝色;L(120-135斤);15天内发货</t>
  </si>
  <si>
    <t xml:space="preserve">	Z1781-蓝色-L</t>
  </si>
  <si>
    <t>无锡市</t>
  </si>
  <si>
    <t>新吴区</t>
  </si>
  <si>
    <t>鸿山街道</t>
  </si>
  <si>
    <t xml:space="preserve">	2025-08-15 16:53:47</t>
  </si>
  <si>
    <t xml:space="preserve">	2025-08-15 16:53:59</t>
  </si>
  <si>
    <t xml:space="preserve">	2025-08-30 16:53:59</t>
  </si>
  <si>
    <t xml:space="preserve">	6918362764207488064</t>
  </si>
  <si>
    <t xml:space="preserve">	2025-08-15 16:50:50</t>
  </si>
  <si>
    <t xml:space="preserve">	2025-08-15 16:50:52</t>
  </si>
  <si>
    <t xml:space="preserve">	2025-08-30 16:50:52</t>
  </si>
  <si>
    <t xml:space="preserve">	6920757597803020244</t>
  </si>
  <si>
    <t xml:space="preserve">	2025-08-15 16:49:03</t>
  </si>
  <si>
    <t xml:space="preserve">	2025-08-15 16:49:07</t>
  </si>
  <si>
    <t xml:space="preserve">	2025-08-30 16:49:08</t>
  </si>
  <si>
    <t xml:space="preserve">	6920759707604778423</t>
  </si>
  <si>
    <t xml:space="preserve">	2025-08-15 16:31:57</t>
  </si>
  <si>
    <t>SF3230994316371(收） Z1781-蓝色-M*1#</t>
  </si>
  <si>
    <t xml:space="preserve">	2025-08-15 16:31:58</t>
  </si>
  <si>
    <t xml:space="preserve">	2025-08-30 16:31:59</t>
  </si>
  <si>
    <t xml:space="preserve">	6945237859127465558</t>
  </si>
  <si>
    <t>呼伦贝尔市</t>
  </si>
  <si>
    <t>海拉尔区</t>
  </si>
  <si>
    <t>奋斗镇</t>
  </si>
  <si>
    <t xml:space="preserve">	2025-08-15 16:26:24</t>
  </si>
  <si>
    <t xml:space="preserve">	2025-08-15 16:26:26</t>
  </si>
  <si>
    <t xml:space="preserve">	2025-08-30 16:26:26</t>
  </si>
  <si>
    <t xml:space="preserve">	6920759661687242038</t>
  </si>
  <si>
    <t>玉泉区</t>
  </si>
  <si>
    <t>昭君路街道</t>
  </si>
  <si>
    <t xml:space="preserve">	2025-08-15 16:07:19</t>
  </si>
  <si>
    <t xml:space="preserve">	2025-08-15 16:07:22</t>
  </si>
  <si>
    <t xml:space="preserve">	2025-08-30 16:07:22</t>
  </si>
  <si>
    <t xml:space="preserve">	6945222422298695549</t>
  </si>
  <si>
    <t>商洛市</t>
  </si>
  <si>
    <t>镇安县</t>
  </si>
  <si>
    <t>永乐街道</t>
  </si>
  <si>
    <t xml:space="preserve">	2025-08-15 16:06:54</t>
  </si>
  <si>
    <t xml:space="preserve">	2025-08-30 16:06:54</t>
  </si>
  <si>
    <t xml:space="preserve">	6945248647600740174</t>
  </si>
  <si>
    <t>平台三单挑战惊喜券-3.00</t>
  </si>
  <si>
    <t>吴中区</t>
  </si>
  <si>
    <t>城南街道</t>
  </si>
  <si>
    <t xml:space="preserve">	2025-08-15 16:06:37</t>
  </si>
  <si>
    <t xml:space="preserve">	2025-09-21 10:30:57</t>
  </si>
  <si>
    <t xml:space="preserve">	2025-08-15 16:06:46</t>
  </si>
  <si>
    <t xml:space="preserve">	2025-08-30 16:06:46</t>
  </si>
  <si>
    <t xml:space="preserve">	6945231454283371543</t>
  </si>
  <si>
    <t>平台抽红包惊喜券-1.62;金币抵扣金额-0.14</t>
  </si>
  <si>
    <t>南阳市</t>
  </si>
  <si>
    <t>镇平县</t>
  </si>
  <si>
    <t>涅阳街道</t>
  </si>
  <si>
    <t xml:space="preserve">	2025-08-15 16:06:14</t>
  </si>
  <si>
    <t xml:space="preserve">	2025-08-15 16:06:23</t>
  </si>
  <si>
    <t xml:space="preserve">	2025-08-30 16:06:24</t>
  </si>
  <si>
    <t xml:space="preserve">	6945244741839819854</t>
  </si>
  <si>
    <t>景宁畲族自治县</t>
  </si>
  <si>
    <t>梧桐乡</t>
  </si>
  <si>
    <t xml:space="preserve">	2025-08-15 16:06:08</t>
  </si>
  <si>
    <t xml:space="preserve">	2025-08-15 16:06:10</t>
  </si>
  <si>
    <t xml:space="preserve">	2025-08-30 16:06:10</t>
  </si>
  <si>
    <t xml:space="preserve">	6945253334436877685</t>
  </si>
  <si>
    <t>南昌市</t>
  </si>
  <si>
    <t>青山湖区</t>
  </si>
  <si>
    <t xml:space="preserve">	2025-08-15 16:05:56</t>
  </si>
  <si>
    <t xml:space="preserve">	2025-08-15 16:05:58</t>
  </si>
  <si>
    <t xml:space="preserve">	2025-08-30 16:05:59</t>
  </si>
  <si>
    <t xml:space="preserve">	6945224627973264927</t>
  </si>
  <si>
    <t>遵义市</t>
  </si>
  <si>
    <t>红花岗区</t>
  </si>
  <si>
    <t>老城街道</t>
  </si>
  <si>
    <t xml:space="preserve">	2025-08-15 16:05:39</t>
  </si>
  <si>
    <t xml:space="preserve">	2025-08-15 16:05:42</t>
  </si>
  <si>
    <t xml:space="preserve">	2025-08-30 16:05:42</t>
  </si>
  <si>
    <t xml:space="preserve">	6920757321389473400</t>
  </si>
  <si>
    <t>天山路街道</t>
  </si>
  <si>
    <t xml:space="preserve">	2025-08-15 16:05:38</t>
  </si>
  <si>
    <t xml:space="preserve">	2025-08-15 16:06:41</t>
  </si>
  <si>
    <t xml:space="preserve">	2025-08-30 16:06:41</t>
  </si>
  <si>
    <t xml:space="preserve">	6945253322358592563</t>
  </si>
  <si>
    <t>经纬街道</t>
  </si>
  <si>
    <t xml:space="preserve">	2025-08-15 16:05:31</t>
  </si>
  <si>
    <t xml:space="preserve">	2025-08-15 16:05:33</t>
  </si>
  <si>
    <t xml:space="preserve">	2025-08-30 16:05:33</t>
  </si>
  <si>
    <t xml:space="preserve">	6945240148543149761</t>
  </si>
  <si>
    <t>龙岩市</t>
  </si>
  <si>
    <t>连城县</t>
  </si>
  <si>
    <t>朋口镇</t>
  </si>
  <si>
    <t xml:space="preserve">	2025-08-15 16:04:28</t>
  </si>
  <si>
    <t xml:space="preserve">	2025-08-15 16:04:30</t>
  </si>
  <si>
    <t xml:space="preserve">	2025-08-30 16:04:31</t>
  </si>
  <si>
    <t xml:space="preserve">	6945239995919767126</t>
  </si>
  <si>
    <t xml:space="preserve">	2025-08-15 16:03:39</t>
  </si>
  <si>
    <t xml:space="preserve">	2025-08-15 16:03:41</t>
  </si>
  <si>
    <t xml:space="preserve">	2025-08-30 16:03:41</t>
  </si>
  <si>
    <t xml:space="preserve">	6945239816775866213</t>
  </si>
  <si>
    <t>中卫市</t>
  </si>
  <si>
    <t>沙坡头区</t>
  </si>
  <si>
    <t>文昌镇</t>
  </si>
  <si>
    <t xml:space="preserve">	2025-08-15 11:53:35</t>
  </si>
  <si>
    <t xml:space="preserve">	2025-09-05 10:42:02</t>
  </si>
  <si>
    <t xml:space="preserve">	2025-08-15 11:53:41</t>
  </si>
  <si>
    <t xml:space="preserve">	2025-08-30 11:53:42</t>
  </si>
  <si>
    <t xml:space="preserve">	2025-08-29 10:42:02</t>
  </si>
  <si>
    <t xml:space="preserve">	6945221954644415682</t>
  </si>
  <si>
    <t xml:space="preserve">	2025-08-15 10:45:30</t>
  </si>
  <si>
    <t xml:space="preserve">	2025-08-15 10:45:31</t>
  </si>
  <si>
    <t xml:space="preserve">	2025-08-30 10:45:32</t>
  </si>
  <si>
    <t xml:space="preserve">	6945228659681727682</t>
  </si>
  <si>
    <t xml:space="preserve">	2025-08-15 10:44:36</t>
  </si>
  <si>
    <t xml:space="preserve">	2025-08-15 10:44:37</t>
  </si>
  <si>
    <t xml:space="preserve">	2025-08-30 10:44:38</t>
  </si>
  <si>
    <t xml:space="preserve">	6945219778497615722</t>
  </si>
  <si>
    <t>晚发即赔-2.18</t>
  </si>
  <si>
    <t>海珠区</t>
  </si>
  <si>
    <t>凤阳街道</t>
  </si>
  <si>
    <t xml:space="preserve">	2025-08-15 10:39:46</t>
  </si>
  <si>
    <t>78530201364004(收） Z1781-蓝色-M*1#</t>
  </si>
  <si>
    <t xml:space="preserve">	2025-08-15 10:39:53</t>
  </si>
  <si>
    <t xml:space="preserve">	2025-08-30 10:39:54</t>
  </si>
  <si>
    <t xml:space="preserve">	6945232762196465252</t>
  </si>
  <si>
    <t xml:space="preserve">	Z482-黑色-L</t>
  </si>
  <si>
    <t>金州区</t>
  </si>
  <si>
    <t>湾里街道</t>
  </si>
  <si>
    <t xml:space="preserve">	2025-08-15 05:11:20</t>
  </si>
  <si>
    <t xml:space="preserve">	2025-08-15 05:11:24</t>
  </si>
  <si>
    <t xml:space="preserve">	2025-08-30 05:11:25</t>
  </si>
  <si>
    <t xml:space="preserve">	6920739509448834350</t>
  </si>
  <si>
    <t>平台商城爆神券-36.00</t>
  </si>
  <si>
    <t>浦口区</t>
  </si>
  <si>
    <t xml:space="preserve">	2025-08-14 21:29:43</t>
  </si>
  <si>
    <t xml:space="preserve">	2025-08-14 21:29:58</t>
  </si>
  <si>
    <t xml:space="preserve">	2025-08-29 21:29:58</t>
  </si>
  <si>
    <t xml:space="preserve">	6945211827840685273</t>
  </si>
  <si>
    <t xml:space="preserve">	Z482-黑色-S</t>
  </si>
  <si>
    <t xml:space="preserve">	2025-08-14 18:32:34</t>
  </si>
  <si>
    <t xml:space="preserve">	2025-08-14 18:32:48</t>
  </si>
  <si>
    <t xml:space="preserve">	2025-08-29 18:32:48</t>
  </si>
  <si>
    <t xml:space="preserve">	6945198774981301293</t>
  </si>
  <si>
    <t xml:space="preserve">	2025-08-14 15:43:05</t>
  </si>
  <si>
    <t>6944898612081267757和这个订单一起售后</t>
  </si>
  <si>
    <t xml:space="preserve">	2025-08-14 15:43:06</t>
  </si>
  <si>
    <t xml:space="preserve">	2025-08-29 15:43:06</t>
  </si>
  <si>
    <t xml:space="preserve">	6945209773169776071</t>
  </si>
  <si>
    <t xml:space="preserve">	【老板周】老钱感 夏季新款舒适简约松紧腰叠褶休闲裤</t>
  </si>
  <si>
    <t xml:space="preserve">	3766961954804072682</t>
  </si>
  <si>
    <t xml:space="preserve">	Z1876-红色-S</t>
  </si>
  <si>
    <t>沙河地区</t>
  </si>
  <si>
    <t xml:space="preserve">	2025-08-14 14:44:57</t>
  </si>
  <si>
    <t>拦截;76730661675587(收） Z1876-红色-S*1#</t>
  </si>
  <si>
    <t xml:space="preserve">	2025-08-14 14:44:58</t>
  </si>
  <si>
    <t xml:space="preserve">	2025-08-29 14:44:58</t>
  </si>
  <si>
    <t xml:space="preserve">	2025-08-14 15:42:11</t>
  </si>
  <si>
    <t xml:space="preserve">	6920737252771200971</t>
  </si>
  <si>
    <t>开鲁县</t>
  </si>
  <si>
    <t>开鲁镇</t>
  </si>
  <si>
    <t xml:space="preserve">	2025-08-14 10:38:08</t>
  </si>
  <si>
    <t xml:space="preserve">	2025-08-14 10:38:10</t>
  </si>
  <si>
    <t xml:space="preserve">	2025-08-29 10:38:10</t>
  </si>
  <si>
    <t xml:space="preserve">	6945193466524865690</t>
  </si>
  <si>
    <t>青海省</t>
  </si>
  <si>
    <t>西宁市</t>
  </si>
  <si>
    <t>城西区</t>
  </si>
  <si>
    <t>西关大街街道</t>
  </si>
  <si>
    <t xml:space="preserve">	2025-08-14 07:43:06</t>
  </si>
  <si>
    <t>SF3289069133339(收） Z1578-浅灰色-S*1#</t>
  </si>
  <si>
    <t xml:space="preserve">	2025-08-14 07:43:39</t>
  </si>
  <si>
    <t xml:space="preserve">	2025-08-29 07:43:39</t>
  </si>
  <si>
    <t xml:space="preserve">	6920727616853671145</t>
  </si>
  <si>
    <t>邱县</t>
  </si>
  <si>
    <t>新马头镇</t>
  </si>
  <si>
    <t xml:space="preserve">	2025-08-13 23:42:55</t>
  </si>
  <si>
    <t xml:space="preserve">	2025-08-13 23:43:00</t>
  </si>
  <si>
    <t xml:space="preserve">	2025-08-28 23:43:01</t>
  </si>
  <si>
    <t xml:space="preserve">	6945193166181307942</t>
  </si>
  <si>
    <t>娄底市</t>
  </si>
  <si>
    <t>新化县</t>
  </si>
  <si>
    <t xml:space="preserve">	2025-08-13 23:20:28</t>
  </si>
  <si>
    <t>73568209870661(收） Z2183-米白色-L*1#</t>
  </si>
  <si>
    <t xml:space="preserve">	2025-08-13 23:20:30</t>
  </si>
  <si>
    <t xml:space="preserve">	2025-08-28 23:20:30</t>
  </si>
  <si>
    <t xml:space="preserve">	2025-08-14 00:10:54</t>
  </si>
  <si>
    <t xml:space="preserve">	6920734064164962201</t>
  </si>
  <si>
    <t xml:space="preserve">	2025-08-13 23:20:18</t>
  </si>
  <si>
    <t xml:space="preserve">	2025-08-13 23:21:06</t>
  </si>
  <si>
    <t xml:space="preserve">	2025-08-28 23:21:07</t>
  </si>
  <si>
    <t xml:space="preserve">	6920736344332664110</t>
  </si>
  <si>
    <t xml:space="preserve">	2025-08-13 23:12:44</t>
  </si>
  <si>
    <t xml:space="preserve">	2025-08-13 23:12:52</t>
  </si>
  <si>
    <t xml:space="preserve">	2025-08-28 23:12:52</t>
  </si>
  <si>
    <t xml:space="preserve">	6920736283076886495</t>
  </si>
  <si>
    <t>泸州市</t>
  </si>
  <si>
    <t>泸县</t>
  </si>
  <si>
    <t>玉蟾街道</t>
  </si>
  <si>
    <t xml:space="preserve">	2025-08-13 23:09:12</t>
  </si>
  <si>
    <t>73570900108165(收） Z1578-黑色-M*1#</t>
  </si>
  <si>
    <t xml:space="preserve">	2025-08-27 23:09:02</t>
  </si>
  <si>
    <t xml:space="preserve">	2025-08-13 23:11:43</t>
  </si>
  <si>
    <t xml:space="preserve">	2025-08-28 23:11:44</t>
  </si>
  <si>
    <t xml:space="preserve">	2025-08-20 23:09:02</t>
  </si>
  <si>
    <t xml:space="preserve">	6945203995795592203</t>
  </si>
  <si>
    <t>鹿城区</t>
  </si>
  <si>
    <t>大南街道</t>
  </si>
  <si>
    <t xml:space="preserve">	2025-08-13 22:44:16</t>
  </si>
  <si>
    <t xml:space="preserve">	2025-08-13 22:45:02</t>
  </si>
  <si>
    <t xml:space="preserve">	2025-08-28 22:45:03</t>
  </si>
  <si>
    <t xml:space="preserve">	6945197610143716489</t>
  </si>
  <si>
    <t>黔南布依族苗族自治州</t>
  </si>
  <si>
    <t>都匀市</t>
  </si>
  <si>
    <t>文峰街道</t>
  </si>
  <si>
    <t xml:space="preserve">	2025-08-13 22:26:34</t>
  </si>
  <si>
    <t>73571130643750(收） Z1640-黑色-M*1#</t>
  </si>
  <si>
    <t xml:space="preserve">	2025-09-03 21:30:19</t>
  </si>
  <si>
    <t xml:space="preserve">	2025-08-13 22:26:35</t>
  </si>
  <si>
    <t xml:space="preserve">	2025-08-28 22:26:36</t>
  </si>
  <si>
    <t xml:space="preserve">	2025-08-27 21:30:19</t>
  </si>
  <si>
    <t xml:space="preserve">	6945197653693765010</t>
  </si>
  <si>
    <t>北塔街道</t>
  </si>
  <si>
    <t xml:space="preserve">	2025-08-13 22:24:53</t>
  </si>
  <si>
    <t xml:space="preserve">	2025-09-03 20:04:11</t>
  </si>
  <si>
    <t xml:space="preserve">	2025-08-13 22:24:54</t>
  </si>
  <si>
    <t xml:space="preserve">	2025-08-28 22:24:55</t>
  </si>
  <si>
    <t xml:space="preserve">	2025-08-27 20:04:11</t>
  </si>
  <si>
    <t xml:space="preserve">	6945190817006556354</t>
  </si>
  <si>
    <t xml:space="preserve">	2025-08-13 22:24:50</t>
  </si>
  <si>
    <t xml:space="preserve">	2025-08-13 22:24:51</t>
  </si>
  <si>
    <t xml:space="preserve">	2025-08-28 22:24:51</t>
  </si>
  <si>
    <t xml:space="preserve">	6920727398252248176</t>
  </si>
  <si>
    <t>新罗区</t>
  </si>
  <si>
    <t>曹溪街道</t>
  </si>
  <si>
    <t xml:space="preserve">	2025-08-13 22:17:05</t>
  </si>
  <si>
    <t xml:space="preserve">	2025-09-03 16:32:12</t>
  </si>
  <si>
    <t xml:space="preserve">	2025-08-13 22:17:10</t>
  </si>
  <si>
    <t xml:space="preserve">	2025-08-28 22:17:10</t>
  </si>
  <si>
    <t xml:space="preserve">	2025-08-27 16:32:12</t>
  </si>
  <si>
    <t xml:space="preserve">	6945208612259829633</t>
  </si>
  <si>
    <t>尖草坪街道</t>
  </si>
  <si>
    <t xml:space="preserve">	2025-08-13 22:16:23</t>
  </si>
  <si>
    <t xml:space="preserve">	2025-09-02 22:11:50</t>
  </si>
  <si>
    <t xml:space="preserve">	2025-08-13 22:16:27</t>
  </si>
  <si>
    <t xml:space="preserve">	2025-08-28 22:16:27</t>
  </si>
  <si>
    <t xml:space="preserve">	2025-08-26 22:11:50</t>
  </si>
  <si>
    <t xml:space="preserve">	6945197630990980729</t>
  </si>
  <si>
    <t>临沂市</t>
  </si>
  <si>
    <t>郯城县</t>
  </si>
  <si>
    <t>郯城街道</t>
  </si>
  <si>
    <t xml:space="preserve">	2025-08-13 22:14:04</t>
  </si>
  <si>
    <t xml:space="preserve">	2025-09-02 00:07:21</t>
  </si>
  <si>
    <t xml:space="preserve">	2025-08-13 22:14:05</t>
  </si>
  <si>
    <t xml:space="preserve">	2025-08-28 22:14:06</t>
  </si>
  <si>
    <t xml:space="preserve">	2025-08-26 00:07:21</t>
  </si>
  <si>
    <t xml:space="preserve">	6945183969226134933</t>
  </si>
  <si>
    <t>泰安市</t>
  </si>
  <si>
    <t>岱岳区</t>
  </si>
  <si>
    <t>粥店街道</t>
  </si>
  <si>
    <t xml:space="preserve">	2025-08-13 22:13:53</t>
  </si>
  <si>
    <t xml:space="preserve">	2025-09-02 20:46:43</t>
  </si>
  <si>
    <t xml:space="preserve">	2025-08-13 22:13:57</t>
  </si>
  <si>
    <t xml:space="preserve">	2025-08-28 22:13:58</t>
  </si>
  <si>
    <t xml:space="preserve">	2025-08-26 20:46:43</t>
  </si>
  <si>
    <t xml:space="preserve">	6945195208008406644</t>
  </si>
  <si>
    <t xml:space="preserve">	2025-08-13 22:12:43</t>
  </si>
  <si>
    <t xml:space="preserve">	2025-08-28 22:12:43</t>
  </si>
  <si>
    <t xml:space="preserve">	6945184076152706276</t>
  </si>
  <si>
    <t>西湖区</t>
  </si>
  <si>
    <t>蒋村街道</t>
  </si>
  <si>
    <t xml:space="preserve">	2025-08-13 22:12:17</t>
  </si>
  <si>
    <t xml:space="preserve">	2025-09-02 16:26:39</t>
  </si>
  <si>
    <t xml:space="preserve">	2025-08-13 22:12:23</t>
  </si>
  <si>
    <t xml:space="preserve">	2025-08-28 22:12:24</t>
  </si>
  <si>
    <t xml:space="preserve">	2025-08-26 16:26:39</t>
  </si>
  <si>
    <t xml:space="preserve">	6945206374817469895</t>
  </si>
  <si>
    <t xml:space="preserve">	2025-08-13 22:10:42</t>
  </si>
  <si>
    <t xml:space="preserve">	2025-08-13 22:10:43</t>
  </si>
  <si>
    <t xml:space="preserve">	2025-08-28 22:10:44</t>
  </si>
  <si>
    <t xml:space="preserve">	6920727387720678877</t>
  </si>
  <si>
    <t xml:space="preserve">	2025-08-13 22:09:54</t>
  </si>
  <si>
    <t xml:space="preserve">	2025-08-27 18:17:35</t>
  </si>
  <si>
    <t xml:space="preserve">	2025-08-13 22:10:24</t>
  </si>
  <si>
    <t xml:space="preserve">	2025-08-28 22:10:24</t>
  </si>
  <si>
    <t xml:space="preserve">	6945208671813769084</t>
  </si>
  <si>
    <t>万柏林区</t>
  </si>
  <si>
    <t xml:space="preserve">	2025-08-13 22:09:35</t>
  </si>
  <si>
    <t>SF3284017092372(收） Z1640-黑色-S*1#</t>
  </si>
  <si>
    <t xml:space="preserve">	2025-08-13 22:09:45</t>
  </si>
  <si>
    <t xml:space="preserve">	2025-08-28 22:09:46</t>
  </si>
  <si>
    <t xml:space="preserve">	6945190862148408607</t>
  </si>
  <si>
    <t>宜良县</t>
  </si>
  <si>
    <t>匡远街道</t>
  </si>
  <si>
    <t xml:space="preserve">	2025-08-13 22:07:54</t>
  </si>
  <si>
    <t xml:space="preserve">	2025-08-13 22:07:58</t>
  </si>
  <si>
    <t xml:space="preserve">	2025-08-28 22:07:59</t>
  </si>
  <si>
    <t xml:space="preserve">	6945201528055862494</t>
  </si>
  <si>
    <t>平台电商惊喜券-9.00</t>
  </si>
  <si>
    <t>惠山区</t>
  </si>
  <si>
    <t>长安街道</t>
  </si>
  <si>
    <t>确保质量</t>
  </si>
  <si>
    <t xml:space="preserve">	2025-08-13 22:07:47</t>
  </si>
  <si>
    <t xml:space="preserve">	2025-09-07 00:07:21</t>
  </si>
  <si>
    <t xml:space="preserve">	2025-08-13 22:08:01</t>
  </si>
  <si>
    <t xml:space="preserve">	2025-08-28 22:08:02</t>
  </si>
  <si>
    <t xml:space="preserve">	6920736100260478449</t>
  </si>
  <si>
    <t xml:space="preserve">	2025-08-13 22:05:39</t>
  </si>
  <si>
    <t xml:space="preserve">	2025-09-01 20:25:23</t>
  </si>
  <si>
    <t xml:space="preserve">	2025-08-13 22:05:47</t>
  </si>
  <si>
    <t xml:space="preserve">	2025-08-28 22:05:47</t>
  </si>
  <si>
    <t xml:space="preserve">	2025-08-25 20:25:23</t>
  </si>
  <si>
    <t xml:space="preserve">	6945181696602871628</t>
  </si>
  <si>
    <t>洪山坡街道</t>
  </si>
  <si>
    <t xml:space="preserve">	2025-08-13 22:04:45</t>
  </si>
  <si>
    <t>SF3280248922373(收） Z1640-黑色-M*1#</t>
  </si>
  <si>
    <t xml:space="preserve">	2025-08-13 22:04:58</t>
  </si>
  <si>
    <t xml:space="preserve">	2025-08-28 22:04:58</t>
  </si>
  <si>
    <t xml:space="preserve">	6920727383428136327</t>
  </si>
  <si>
    <t>沙河口区</t>
  </si>
  <si>
    <t>西安路街道</t>
  </si>
  <si>
    <t xml:space="preserve">	2025-08-13 22:03:17</t>
  </si>
  <si>
    <t xml:space="preserve">	2025-08-31 16:58:02</t>
  </si>
  <si>
    <t xml:space="preserve">	2025-08-13 22:03:19</t>
  </si>
  <si>
    <t xml:space="preserve">	2025-08-28 22:03:19</t>
  </si>
  <si>
    <t xml:space="preserve">	2025-08-24 16:58:02</t>
  </si>
  <si>
    <t xml:space="preserve">	6945193030162978613</t>
  </si>
  <si>
    <t>沈河区</t>
  </si>
  <si>
    <t>南塔街道</t>
  </si>
  <si>
    <t xml:space="preserve">	2025-08-13 22:02:28</t>
  </si>
  <si>
    <t>SF3230463180289(收） Z1640-黑色-S*1#</t>
  </si>
  <si>
    <t xml:space="preserve">	2025-08-13 22:02:30</t>
  </si>
  <si>
    <t xml:space="preserve">	2025-08-28 22:02:30</t>
  </si>
  <si>
    <t xml:space="preserve">	6945195123592992681</t>
  </si>
  <si>
    <t>台州市</t>
  </si>
  <si>
    <t>黄岩区</t>
  </si>
  <si>
    <t xml:space="preserve">	2025-08-13 22:01:57</t>
  </si>
  <si>
    <t xml:space="preserve">	2025-08-13 22:02:01</t>
  </si>
  <si>
    <t xml:space="preserve">	2025-08-28 22:02:02</t>
  </si>
  <si>
    <t xml:space="preserve">	6920729127552318766</t>
  </si>
  <si>
    <t xml:space="preserve">	2025-08-13 22:01:09</t>
  </si>
  <si>
    <t xml:space="preserve">	2025-08-13 22:01:18</t>
  </si>
  <si>
    <t xml:space="preserve">	2025-08-28 22:01:19</t>
  </si>
  <si>
    <t xml:space="preserve">	6945181644850927145</t>
  </si>
  <si>
    <t>平台省钱卡惊喜券-10.00</t>
  </si>
  <si>
    <t>嘉兴市</t>
  </si>
  <si>
    <t>桐乡市</t>
  </si>
  <si>
    <t>濮院镇</t>
  </si>
  <si>
    <t xml:space="preserve">	2025-08-13 21:47:50</t>
  </si>
  <si>
    <t xml:space="preserve">	2025-08-24 23:53:07</t>
  </si>
  <si>
    <t xml:space="preserve">	2025-08-13 21:47:52</t>
  </si>
  <si>
    <t xml:space="preserve">	2025-08-28 21:47:53</t>
  </si>
  <si>
    <t xml:space="preserve">	6920731491795107118</t>
  </si>
  <si>
    <t xml:space="preserve">	2025-08-13 21:38:46</t>
  </si>
  <si>
    <t xml:space="preserve">	2025-08-13 21:38:52</t>
  </si>
  <si>
    <t xml:space="preserve">	2025-08-28 21:38:53</t>
  </si>
  <si>
    <t xml:space="preserve">	6945186268693075326</t>
  </si>
  <si>
    <t xml:space="preserve">	2025-08-13 20:54:27</t>
  </si>
  <si>
    <t xml:space="preserve">	2025-08-13 20:54:35</t>
  </si>
  <si>
    <t xml:space="preserve">	2025-08-28 20:54:36</t>
  </si>
  <si>
    <t xml:space="preserve">	6920726956480560299</t>
  </si>
  <si>
    <t>梨园地区</t>
  </si>
  <si>
    <t xml:space="preserve">	2025-08-13 20:43:09</t>
  </si>
  <si>
    <t xml:space="preserve">	2025-08-13 20:43:12</t>
  </si>
  <si>
    <t xml:space="preserve">	2025-08-28 20:43:12</t>
  </si>
  <si>
    <t xml:space="preserve">	6945208467016455661</t>
  </si>
  <si>
    <t>都江堰市</t>
  </si>
  <si>
    <t>幸福街道</t>
  </si>
  <si>
    <t xml:space="preserve">	2025-08-13 20:37:02</t>
  </si>
  <si>
    <t xml:space="preserve">	2025-08-13 20:37:07</t>
  </si>
  <si>
    <t xml:space="preserve">	2025-08-28 20:37:07</t>
  </si>
  <si>
    <t xml:space="preserve">	6920735688708554123</t>
  </si>
  <si>
    <t>溧水区</t>
  </si>
  <si>
    <t>洪蓝街道</t>
  </si>
  <si>
    <t xml:space="preserve">	2025-08-13 20:31:01</t>
  </si>
  <si>
    <t>312875405530455(收） Z1640-黑色-L*1#</t>
  </si>
  <si>
    <t xml:space="preserve">	2025-08-13 20:31:03</t>
  </si>
  <si>
    <t xml:space="preserve">	2025-08-28 20:31:04</t>
  </si>
  <si>
    <t xml:space="preserve">	2025-08-24 00:29:28</t>
  </si>
  <si>
    <t xml:space="preserve">	6920722747556527856</t>
  </si>
  <si>
    <t xml:space="preserve">	2025-08-13 18:29:20</t>
  </si>
  <si>
    <t xml:space="preserve">	2025-08-13 18:29:26</t>
  </si>
  <si>
    <t xml:space="preserve">	2025-08-28 18:29:27</t>
  </si>
  <si>
    <t xml:space="preserve">	6920725174015392984</t>
  </si>
  <si>
    <t>高沟镇</t>
  </si>
  <si>
    <t xml:space="preserve">	2025-08-13 18:19:38</t>
  </si>
  <si>
    <t xml:space="preserve">	2025-08-28 18:19:38</t>
  </si>
  <si>
    <t xml:space="preserve">	6920722841648463300</t>
  </si>
  <si>
    <t>龙马潭区</t>
  </si>
  <si>
    <t>鱼塘街道</t>
  </si>
  <si>
    <t xml:space="preserve">	2025-08-13 18:18:39</t>
  </si>
  <si>
    <t xml:space="preserve">	2025-08-13 18:18:51</t>
  </si>
  <si>
    <t xml:space="preserve">	2025-08-28 18:18:52</t>
  </si>
  <si>
    <t xml:space="preserve">	6920725579013389910</t>
  </si>
  <si>
    <t xml:space="preserve">	2025-08-13 18:18:38</t>
  </si>
  <si>
    <t xml:space="preserve">	2025-08-28 18:18:39</t>
  </si>
  <si>
    <t xml:space="preserve">	6920725541839797810</t>
  </si>
  <si>
    <t xml:space="preserve">	2025-08-13 18:18:34</t>
  </si>
  <si>
    <t xml:space="preserve">	6920725911519788608</t>
  </si>
  <si>
    <t>闵行区</t>
  </si>
  <si>
    <t>颛桥镇</t>
  </si>
  <si>
    <t xml:space="preserve">	2025-08-13 18:18:30</t>
  </si>
  <si>
    <t>SF3230035829688(收） Z1781-蓝色-L*1#</t>
  </si>
  <si>
    <t xml:space="preserve">	2025-08-13 18:18:31</t>
  </si>
  <si>
    <t xml:space="preserve">	2025-08-28 18:18:32</t>
  </si>
  <si>
    <t xml:space="preserve">	2025-08-21 22:34:01</t>
  </si>
  <si>
    <t xml:space="preserve">	6920725682495258232</t>
  </si>
  <si>
    <t xml:space="preserve">	2025-08-13 18:16:44</t>
  </si>
  <si>
    <t xml:space="preserve">	2025-08-13 18:16:51</t>
  </si>
  <si>
    <t xml:space="preserve">	2025-08-28 18:16:52</t>
  </si>
  <si>
    <t xml:space="preserve">	6920723484938633096</t>
  </si>
  <si>
    <t>金昌市</t>
  </si>
  <si>
    <t>金川区</t>
  </si>
  <si>
    <t>新华路街道</t>
  </si>
  <si>
    <t xml:space="preserve">	2025-08-13 18:16:41</t>
  </si>
  <si>
    <t xml:space="preserve">	2025-08-28 22:30:20</t>
  </si>
  <si>
    <t xml:space="preserve">	2025-08-13 18:16:46</t>
  </si>
  <si>
    <t xml:space="preserve">	2025-08-28 18:16:46</t>
  </si>
  <si>
    <t xml:space="preserve">	2025-08-21 22:30:20</t>
  </si>
  <si>
    <t xml:space="preserve">	6920725477723831884</t>
  </si>
  <si>
    <t>湘潭市</t>
  </si>
  <si>
    <t>雨湖区</t>
  </si>
  <si>
    <t>楠竹山镇</t>
  </si>
  <si>
    <t xml:space="preserve">	2025-08-13 18:16:38</t>
  </si>
  <si>
    <t xml:space="preserve">	2025-08-13 18:17:02</t>
  </si>
  <si>
    <t xml:space="preserve">	2025-08-28 18:17:03</t>
  </si>
  <si>
    <t xml:space="preserve">	6920725581623885560</t>
  </si>
  <si>
    <t>柳州市</t>
  </si>
  <si>
    <t>融安县</t>
  </si>
  <si>
    <t>长安镇</t>
  </si>
  <si>
    <t xml:space="preserve">	2025-08-13 18:16:29</t>
  </si>
  <si>
    <t xml:space="preserve">	2025-08-28 22:34:01</t>
  </si>
  <si>
    <t xml:space="preserve">	2025-08-13 18:16:35</t>
  </si>
  <si>
    <t xml:space="preserve">	2025-08-28 18:16:35</t>
  </si>
  <si>
    <t xml:space="preserve">	6920720675995614368</t>
  </si>
  <si>
    <t>临海市</t>
  </si>
  <si>
    <t>杜桥镇</t>
  </si>
  <si>
    <t xml:space="preserve">	2025-08-13 18:16:26</t>
  </si>
  <si>
    <t xml:space="preserve">	2025-08-25 21:05:47</t>
  </si>
  <si>
    <t xml:space="preserve">	2025-08-13 18:16:31</t>
  </si>
  <si>
    <t xml:space="preserve">	2025-08-28 18:16:32</t>
  </si>
  <si>
    <t xml:space="preserve">	2025-08-21 22:30:19</t>
  </si>
  <si>
    <t xml:space="preserve">	6920725895835713273</t>
  </si>
  <si>
    <t>武侯区</t>
  </si>
  <si>
    <t>簇锦街道</t>
  </si>
  <si>
    <t xml:space="preserve">	2025-08-13 18:16:18</t>
  </si>
  <si>
    <t xml:space="preserve">	2025-08-13 18:16:20</t>
  </si>
  <si>
    <t xml:space="preserve">	2025-08-28 18:16:20</t>
  </si>
  <si>
    <t xml:space="preserve">	6920717926487195376</t>
  </si>
  <si>
    <t xml:space="preserve">	2025-08-13 18:04:45</t>
  </si>
  <si>
    <t xml:space="preserve">	2025-08-13 18:04:52</t>
  </si>
  <si>
    <t xml:space="preserve">	2025-08-28 18:04:52</t>
  </si>
  <si>
    <t xml:space="preserve">	6918355654138100800</t>
  </si>
  <si>
    <t xml:space="preserve">	2025-08-13 18:02:37</t>
  </si>
  <si>
    <t xml:space="preserve">	2025-08-13 18:02:40</t>
  </si>
  <si>
    <t xml:space="preserve">	2025-08-28 18:02:40</t>
  </si>
  <si>
    <t xml:space="preserve">	6920718205487972080</t>
  </si>
  <si>
    <t xml:space="preserve">	2025-08-13 18:00:39</t>
  </si>
  <si>
    <t xml:space="preserve">	2025-08-28 18:00:39</t>
  </si>
  <si>
    <t>你已取消订单：收货地址选择/填写有误</t>
  </si>
  <si>
    <t xml:space="preserve">	6920725655821188287</t>
  </si>
  <si>
    <t>清溪镇</t>
  </si>
  <si>
    <t xml:space="preserve">	2025-08-13 17:48:45</t>
  </si>
  <si>
    <t xml:space="preserve">	2025-08-28 17:48:45</t>
  </si>
  <si>
    <t xml:space="preserve">	6920725906366693319</t>
  </si>
  <si>
    <t>南湖区</t>
  </si>
  <si>
    <t>长水街道</t>
  </si>
  <si>
    <t xml:space="preserve">	2025-08-13 17:33:38</t>
  </si>
  <si>
    <t xml:space="preserve">	2025-08-30 01:33:13</t>
  </si>
  <si>
    <t xml:space="preserve">	2025-08-13 17:33:43</t>
  </si>
  <si>
    <t xml:space="preserve">	2025-08-28 17:33:43</t>
  </si>
  <si>
    <t xml:space="preserve">	2025-08-25 20:29:27</t>
  </si>
  <si>
    <t xml:space="preserve">	6920723160930549703</t>
  </si>
  <si>
    <t>平台特惠省钱卡券-3.00</t>
  </si>
  <si>
    <t xml:space="preserve">	2025-08-13 17:31:39</t>
  </si>
  <si>
    <t xml:space="preserve">	2025-08-28 17:31:39</t>
  </si>
  <si>
    <t xml:space="preserve">	6920725368513855311</t>
  </si>
  <si>
    <t>锦州市</t>
  </si>
  <si>
    <t>太和区</t>
  </si>
  <si>
    <t>凌南街道</t>
  </si>
  <si>
    <t xml:space="preserve">	2025-08-13 17:16:34</t>
  </si>
  <si>
    <t xml:space="preserve">	2025-08-26 22:26:29</t>
  </si>
  <si>
    <t xml:space="preserve">	2025-08-13 17:16:35</t>
  </si>
  <si>
    <t xml:space="preserve">	2025-08-28 17:16:35</t>
  </si>
  <si>
    <t xml:space="preserve">	2025-08-19 22:26:29</t>
  </si>
  <si>
    <t xml:space="preserve">	6920718447559015484</t>
  </si>
  <si>
    <t xml:space="preserve">	Z1578-黑色-L</t>
  </si>
  <si>
    <t>平台商城爆神券-35.11</t>
  </si>
  <si>
    <t xml:space="preserve">	2025-08-13 17:15:44</t>
  </si>
  <si>
    <t xml:space="preserve">	2025-08-13 17:15:46</t>
  </si>
  <si>
    <t xml:space="preserve">	2025-08-28 17:15:46</t>
  </si>
  <si>
    <t xml:space="preserve">	6920724789263433292</t>
  </si>
  <si>
    <t xml:space="preserve">	2025-08-13 17:09:49</t>
  </si>
  <si>
    <t xml:space="preserve">	2025-08-13 17:10:13</t>
  </si>
  <si>
    <t xml:space="preserve">	2025-08-28 17:10:13</t>
  </si>
  <si>
    <t xml:space="preserve">	6920718071896178510</t>
  </si>
  <si>
    <t>南平市</t>
  </si>
  <si>
    <t>浦城县</t>
  </si>
  <si>
    <t>南浦街道</t>
  </si>
  <si>
    <t xml:space="preserve">	2025-08-13 17:07:36</t>
  </si>
  <si>
    <t xml:space="preserve">	2025-08-13 17:07:37</t>
  </si>
  <si>
    <t xml:space="preserve">	2025-08-28 17:07:37</t>
  </si>
  <si>
    <t xml:space="preserve">	6920715686469664505</t>
  </si>
  <si>
    <t xml:space="preserve">	2025-08-13 17:07:39</t>
  </si>
  <si>
    <t xml:space="preserve">	2025-08-28 17:07:39</t>
  </si>
  <si>
    <t xml:space="preserve">	6920724902415924688</t>
  </si>
  <si>
    <t>象山县</t>
  </si>
  <si>
    <t>丹东街道</t>
  </si>
  <si>
    <t xml:space="preserve">	2025-08-13 17:07:30</t>
  </si>
  <si>
    <t>SF3230851098118(收） Z1640-黑色-M*1#</t>
  </si>
  <si>
    <t xml:space="preserve">	2025-08-13 17:07:35</t>
  </si>
  <si>
    <t xml:space="preserve">	2025-08-28 17:07:35</t>
  </si>
  <si>
    <t xml:space="preserve">	2025-08-25 17:17:33</t>
  </si>
  <si>
    <t xml:space="preserve">	6920720453079760742</t>
  </si>
  <si>
    <t>泉园街道</t>
  </si>
  <si>
    <t xml:space="preserve">	2025-08-13 17:07:28</t>
  </si>
  <si>
    <t xml:space="preserve">	2025-08-29 21:25:53</t>
  </si>
  <si>
    <t xml:space="preserve">	2025-08-13 17:07:29</t>
  </si>
  <si>
    <t xml:space="preserve">	2025-08-28 17:07:30</t>
  </si>
  <si>
    <t xml:space="preserve">	2025-08-22 21:25:53</t>
  </si>
  <si>
    <t xml:space="preserve">	6920717505666383504</t>
  </si>
  <si>
    <t xml:space="preserve">	浅灰色;L(120-135斤);15天内发货</t>
  </si>
  <si>
    <t xml:space="preserve">	Z1578-浅灰色-L</t>
  </si>
  <si>
    <t>崂山区</t>
  </si>
  <si>
    <t>金家岭街道</t>
  </si>
  <si>
    <t xml:space="preserve">	2025-08-13 17:05:32</t>
  </si>
  <si>
    <t xml:space="preserve">	2025-08-24 23:18:19</t>
  </si>
  <si>
    <t xml:space="preserve">	2025-08-13 17:05:38</t>
  </si>
  <si>
    <t xml:space="preserve">	2025-08-28 17:05:39</t>
  </si>
  <si>
    <t xml:space="preserve">	2025-08-17 23:18:19</t>
  </si>
  <si>
    <t xml:space="preserve">	6920718213666733316</t>
  </si>
  <si>
    <t>雁塔区</t>
  </si>
  <si>
    <t>长延堡街道</t>
  </si>
  <si>
    <t xml:space="preserve">	2025-08-13 17:04:48</t>
  </si>
  <si>
    <t xml:space="preserve">	2025-08-13 17:04:50</t>
  </si>
  <si>
    <t xml:space="preserve">	2025-08-28 17:04:50</t>
  </si>
  <si>
    <t xml:space="preserve">	6920715978398465705</t>
  </si>
  <si>
    <t>毕节市</t>
  </si>
  <si>
    <t>金沙县</t>
  </si>
  <si>
    <t>民兴街道</t>
  </si>
  <si>
    <t xml:space="preserve">	2025-08-13 17:04:41</t>
  </si>
  <si>
    <t xml:space="preserve">	2025-08-24 23:42:37</t>
  </si>
  <si>
    <t xml:space="preserve">	2025-08-13 17:04:42</t>
  </si>
  <si>
    <t xml:space="preserve">	2025-08-28 17:04:42</t>
  </si>
  <si>
    <t xml:space="preserve">	2025-08-17 23:42:37</t>
  </si>
  <si>
    <t xml:space="preserve">	6945183869186283152</t>
  </si>
  <si>
    <t xml:space="preserve">	2025-08-13 17:04:18</t>
  </si>
  <si>
    <t xml:space="preserve">	2025-08-29 21:19:06</t>
  </si>
  <si>
    <t xml:space="preserve">	2025-08-13 17:04:23</t>
  </si>
  <si>
    <t xml:space="preserve">	2025-08-28 17:04:23</t>
  </si>
  <si>
    <t xml:space="preserve">	2025-08-22 21:19:06</t>
  </si>
  <si>
    <t xml:space="preserve">	6920720124431137986</t>
  </si>
  <si>
    <t xml:space="preserve">	2025-08-13 16:58:10</t>
  </si>
  <si>
    <t xml:space="preserve">	2025-08-13 16:58:11</t>
  </si>
  <si>
    <t xml:space="preserve">	2025-08-28 16:58:11</t>
  </si>
  <si>
    <t xml:space="preserve">	6920720380046442388</t>
  </si>
  <si>
    <t>平台专属限时优惠券-13.00</t>
  </si>
  <si>
    <t>万全区</t>
  </si>
  <si>
    <t>孔家庄镇</t>
  </si>
  <si>
    <t xml:space="preserve">	2025-08-13 16:55:43</t>
  </si>
  <si>
    <t>YT2564162014985(收） Z1640-黑色-L*1#</t>
  </si>
  <si>
    <t xml:space="preserve">	2025-08-13 16:56:03</t>
  </si>
  <si>
    <t xml:space="preserve">	2025-08-28 16:56:03</t>
  </si>
  <si>
    <t xml:space="preserve">	6920722557550886804</t>
  </si>
  <si>
    <t xml:space="preserve">	2025-08-13 16:54:09</t>
  </si>
  <si>
    <t xml:space="preserve">	2025-08-13 16:54:23</t>
  </si>
  <si>
    <t xml:space="preserve">	2025-08-28 16:54:24</t>
  </si>
  <si>
    <t xml:space="preserve">	6920717752304762467</t>
  </si>
  <si>
    <t>平台商城报销返券-18.00</t>
  </si>
  <si>
    <t>固原市</t>
  </si>
  <si>
    <t>隆德县</t>
  </si>
  <si>
    <t xml:space="preserve">	2025-08-13 16:52:34</t>
  </si>
  <si>
    <t xml:space="preserve">	2025-08-13 16:52:39</t>
  </si>
  <si>
    <t xml:space="preserve">	2025-08-28 16:52:40</t>
  </si>
  <si>
    <t xml:space="preserve">	6945190665693632442</t>
  </si>
  <si>
    <t>青浦区</t>
  </si>
  <si>
    <t xml:space="preserve">	2025-08-13 16:21:07</t>
  </si>
  <si>
    <t xml:space="preserve">	2025-08-13 16:21:08</t>
  </si>
  <si>
    <t xml:space="preserve">	2025-08-28 16:21:09</t>
  </si>
  <si>
    <t xml:space="preserve">	6920715963911208681</t>
  </si>
  <si>
    <t xml:space="preserve">	2025-08-13 16:18:44</t>
  </si>
  <si>
    <t>YT2532619744109(收） Z1640-黑色-M*1#</t>
  </si>
  <si>
    <t xml:space="preserve">	2025-08-31 00:29:28</t>
  </si>
  <si>
    <t xml:space="preserve">	2025-08-13 16:18:49</t>
  </si>
  <si>
    <t xml:space="preserve">	2025-08-28 16:18:49</t>
  </si>
  <si>
    <t xml:space="preserve">	6920717705224617870</t>
  </si>
  <si>
    <t>商丘市</t>
  </si>
  <si>
    <t>睢阳区</t>
  </si>
  <si>
    <t>新城街道</t>
  </si>
  <si>
    <t xml:space="preserve">	2025-08-13 16:18:42</t>
  </si>
  <si>
    <t xml:space="preserve">	2025-08-13 16:18:43</t>
  </si>
  <si>
    <t xml:space="preserve">	2025-08-28 16:18:43</t>
  </si>
  <si>
    <t xml:space="preserve">	6920715772775857215</t>
  </si>
  <si>
    <t>铁岭市</t>
  </si>
  <si>
    <t>昌图县</t>
  </si>
  <si>
    <t>昌图镇</t>
  </si>
  <si>
    <t xml:space="preserve">	2025-08-13 16:18:38</t>
  </si>
  <si>
    <t>73569707178632(收） Z1640-黑色-L*1#</t>
  </si>
  <si>
    <t xml:space="preserve">	2025-08-13 16:18:45</t>
  </si>
  <si>
    <t xml:space="preserve">	2025-08-28 16:18:46</t>
  </si>
  <si>
    <t xml:space="preserve">	6920715554917415942</t>
  </si>
  <si>
    <t>长沙市</t>
  </si>
  <si>
    <t>长沙县</t>
  </si>
  <si>
    <t>黄兴镇</t>
  </si>
  <si>
    <t xml:space="preserve">	2025-08-13 16:18:20</t>
  </si>
  <si>
    <t xml:space="preserve">	2025-08-13 16:18:26</t>
  </si>
  <si>
    <t xml:space="preserve">	2025-08-28 16:18:27</t>
  </si>
  <si>
    <t xml:space="preserve">	6920724638964678550</t>
  </si>
  <si>
    <t>莲湖区</t>
  </si>
  <si>
    <t xml:space="preserve">	2025-08-13 16:18:19</t>
  </si>
  <si>
    <t xml:space="preserve">	2025-08-13 16:18:21</t>
  </si>
  <si>
    <t xml:space="preserve">	2025-08-28 16:18:21</t>
  </si>
  <si>
    <t xml:space="preserve">	6920719831124770325</t>
  </si>
  <si>
    <t>潮州市</t>
  </si>
  <si>
    <t>潮安区</t>
  </si>
  <si>
    <t>枫溪镇</t>
  </si>
  <si>
    <t xml:space="preserve">	6920724642234203993</t>
  </si>
  <si>
    <t>青县</t>
  </si>
  <si>
    <t>清州镇</t>
  </si>
  <si>
    <t xml:space="preserve">	2025-08-28 16:18:20</t>
  </si>
  <si>
    <t xml:space="preserve">	6920722356508262244</t>
  </si>
  <si>
    <t>滨江街道</t>
  </si>
  <si>
    <t xml:space="preserve">	2025-08-13 16:15:11</t>
  </si>
  <si>
    <t xml:space="preserve">	2025-08-13 16:15:12</t>
  </si>
  <si>
    <t xml:space="preserve">	2025-08-28 16:15:12</t>
  </si>
  <si>
    <t xml:space="preserve">	6920724495368224332</t>
  </si>
  <si>
    <t xml:space="preserve">	2025-08-13 16:13:12</t>
  </si>
  <si>
    <t>773373916720381(收） Z1640-黑色-L*1#</t>
  </si>
  <si>
    <t xml:space="preserve">	2025-08-13 16:13:21</t>
  </si>
  <si>
    <t xml:space="preserve">	2025-08-28 16:13:22</t>
  </si>
  <si>
    <t xml:space="preserve">	6920718078317460968</t>
  </si>
  <si>
    <t>嘉定区</t>
  </si>
  <si>
    <t>安亭镇</t>
  </si>
  <si>
    <t xml:space="preserve">	2025-08-13 16:07:22</t>
  </si>
  <si>
    <t xml:space="preserve">	2025-08-13 16:07:27</t>
  </si>
  <si>
    <t xml:space="preserve">	2025-08-28 16:07:28</t>
  </si>
  <si>
    <t xml:space="preserve">	6920722294289563222</t>
  </si>
  <si>
    <t xml:space="preserve">	2025-08-13 15:53:11</t>
  </si>
  <si>
    <t xml:space="preserve">	2025-08-13 15:53:16</t>
  </si>
  <si>
    <t xml:space="preserve">	2025-08-28 15:53:16</t>
  </si>
  <si>
    <t xml:space="preserve">	6920713261015334715</t>
  </si>
  <si>
    <t>铁西区</t>
  </si>
  <si>
    <t>霁虹街道</t>
  </si>
  <si>
    <t xml:space="preserve">	2025-08-12 22:39:07</t>
  </si>
  <si>
    <t xml:space="preserve">	2025-08-12 22:39:12</t>
  </si>
  <si>
    <t xml:space="preserve">	2025-08-27 22:39:12</t>
  </si>
  <si>
    <t xml:space="preserve">	6920712909795720768</t>
  </si>
  <si>
    <t>平台商城爆神券-22.00</t>
  </si>
  <si>
    <t>香坊区</t>
  </si>
  <si>
    <t>和平路街道</t>
  </si>
  <si>
    <t xml:space="preserve">	2025-08-12 20:54:03</t>
  </si>
  <si>
    <t xml:space="preserve">	2025-08-30 14:17:30</t>
  </si>
  <si>
    <t xml:space="preserve">	2025-08-12 20:54:05</t>
  </si>
  <si>
    <t xml:space="preserve">	2025-08-27 20:54:05</t>
  </si>
  <si>
    <t xml:space="preserve">	6920712704446856506</t>
  </si>
  <si>
    <t xml:space="preserve">	【老板周】舒适复古 夏季新品极简松紧腰开叉蓝宝石半身裙</t>
  </si>
  <si>
    <t xml:space="preserve">	藏蓝色;M(100-120斤);15天内发货</t>
  </si>
  <si>
    <t xml:space="preserve">	3766942526569840906</t>
  </si>
  <si>
    <t xml:space="preserve">	Z2211-藏蓝色-M</t>
  </si>
  <si>
    <t xml:space="preserve">	2025-08-12 20:03:27</t>
  </si>
  <si>
    <t xml:space="preserve">	2025-08-25 16:42:01</t>
  </si>
  <si>
    <t xml:space="preserve">	2025-08-12 20:03:29</t>
  </si>
  <si>
    <t xml:space="preserve">	2025-08-27 20:03:29</t>
  </si>
  <si>
    <t xml:space="preserve">	2025-08-19 18:02:34</t>
  </si>
  <si>
    <t xml:space="preserve">	6920712704446922042</t>
  </si>
  <si>
    <t xml:space="preserve">	2025-08-23 21:26:12</t>
  </si>
  <si>
    <t xml:space="preserve">	6920707472428990351</t>
  </si>
  <si>
    <t>建华区</t>
  </si>
  <si>
    <t>卜奎街道</t>
  </si>
  <si>
    <t xml:space="preserve">	2025-08-12 16:10:32</t>
  </si>
  <si>
    <t xml:space="preserve">	2025-08-27 23:47:16</t>
  </si>
  <si>
    <t xml:space="preserve">	2025-08-12 16:10:34</t>
  </si>
  <si>
    <t xml:space="preserve">	2025-08-27 16:10:34</t>
  </si>
  <si>
    <t xml:space="preserve">	2025-08-20 23:47:16</t>
  </si>
  <si>
    <t xml:space="preserve">	6945160088344925335</t>
  </si>
  <si>
    <t>平台回归礼券-5.00</t>
  </si>
  <si>
    <t>椒江区</t>
  </si>
  <si>
    <t>葭沚街道</t>
  </si>
  <si>
    <t xml:space="preserve">	2025-08-12 14:49:32</t>
  </si>
  <si>
    <t xml:space="preserve">	2025-08-31 00:01:34</t>
  </si>
  <si>
    <t xml:space="preserve">	2025-08-12 14:49:40</t>
  </si>
  <si>
    <t xml:space="preserve">	2025-08-27 14:49:41</t>
  </si>
  <si>
    <t xml:space="preserve">	6945150314986346059</t>
  </si>
  <si>
    <t xml:space="preserve">	Z2298-黑色-L</t>
  </si>
  <si>
    <t>桐庐县</t>
  </si>
  <si>
    <t>富春江镇</t>
  </si>
  <si>
    <t xml:space="preserve">	2025-08-12 06:47:12</t>
  </si>
  <si>
    <t>SF3231510313747(收） Z2298-黑色-L*1#</t>
  </si>
  <si>
    <t xml:space="preserve">	2025-08-12 06:47:13</t>
  </si>
  <si>
    <t xml:space="preserve">	2025-08-27 06:47:13</t>
  </si>
  <si>
    <t xml:space="preserve">	2025-08-12 15:33:38</t>
  </si>
  <si>
    <t xml:space="preserve">	6920698865460739648</t>
  </si>
  <si>
    <t xml:space="preserve">	【老板周】 慵懒松弛 新款极简设计弯刀私服牛仔裤</t>
  </si>
  <si>
    <t xml:space="preserve">	3766962528224149911</t>
  </si>
  <si>
    <t xml:space="preserve">	Z2157-白色-L</t>
  </si>
  <si>
    <t xml:space="preserve">	2025-08-12 00:37:46</t>
  </si>
  <si>
    <t>73568701297410(收） Z2157-白色-L*1#</t>
  </si>
  <si>
    <t xml:space="preserve">	2025-08-12 00:37:48</t>
  </si>
  <si>
    <t xml:space="preserve">	2025-08-27 00:37:48</t>
  </si>
  <si>
    <t xml:space="preserve">	2025-08-14 18:16:30</t>
  </si>
  <si>
    <t xml:space="preserve">	6920693113869664049</t>
  </si>
  <si>
    <t>许昌市</t>
  </si>
  <si>
    <t>魏都区</t>
  </si>
  <si>
    <t>南关街道</t>
  </si>
  <si>
    <t xml:space="preserve">	2025-08-11 18:01:39</t>
  </si>
  <si>
    <t>倒数第二个扣子  线下寄回维修;补发(1707946)#</t>
  </si>
  <si>
    <t xml:space="preserve">	2025-08-11 18:02:20</t>
  </si>
  <si>
    <t xml:space="preserve">	2025-08-26 18:02:20</t>
  </si>
  <si>
    <t xml:space="preserve">	6920680887065149045</t>
  </si>
  <si>
    <t>番禺区</t>
  </si>
  <si>
    <t>钟村街道</t>
  </si>
  <si>
    <t xml:space="preserve">	2025-08-11 10:46:21</t>
  </si>
  <si>
    <t xml:space="preserve">	2025-08-11 10:46:22</t>
  </si>
  <si>
    <t xml:space="preserve">	2025-08-26 10:46:22</t>
  </si>
  <si>
    <t xml:space="preserve">	6945106424901276742</t>
  </si>
  <si>
    <t xml:space="preserve">	2025-08-11 07:49:53</t>
  </si>
  <si>
    <t xml:space="preserve">	2025-08-11 07:50:15</t>
  </si>
  <si>
    <t xml:space="preserve">	2025-08-26 07:50:15</t>
  </si>
  <si>
    <t xml:space="preserve">	6945113155589706969</t>
  </si>
  <si>
    <t xml:space="preserve">	Z476-灰色-S</t>
  </si>
  <si>
    <t>平台商城报销返券-8.00</t>
  </si>
  <si>
    <t xml:space="preserve">	2025-08-11 01:25:47</t>
  </si>
  <si>
    <t xml:space="preserve">	2025-08-11 01:25:53</t>
  </si>
  <si>
    <t xml:space="preserve">	2025-08-26 01:25:53</t>
  </si>
  <si>
    <t xml:space="preserve">	6945108604058605543</t>
  </si>
  <si>
    <t xml:space="preserve">	【老板周】复古英伦 极简设计立体剪裁无领廓形外套</t>
  </si>
  <si>
    <t xml:space="preserve">	3766960333395198324</t>
  </si>
  <si>
    <t xml:space="preserve">	Z1688-黑色-M</t>
  </si>
  <si>
    <t>郑州市</t>
  </si>
  <si>
    <t>惠济区</t>
  </si>
  <si>
    <t xml:space="preserve">	2025-08-11 00:52:15</t>
  </si>
  <si>
    <t xml:space="preserve">	2025-08-29 21:13:05</t>
  </si>
  <si>
    <t xml:space="preserve">	2025-08-11 00:53:05</t>
  </si>
  <si>
    <t xml:space="preserve">	2025-08-26 00:53:06</t>
  </si>
  <si>
    <t xml:space="preserve">	2025-08-22 21:13:05</t>
  </si>
  <si>
    <t xml:space="preserve">	6945117821148927762</t>
  </si>
  <si>
    <t xml:space="preserve">	Z1688-黑色-S</t>
  </si>
  <si>
    <t>木渎镇</t>
  </si>
  <si>
    <t xml:space="preserve">	2025-08-10 23:41:45</t>
  </si>
  <si>
    <t xml:space="preserve">	2025-08-10 23:41:49</t>
  </si>
  <si>
    <t xml:space="preserve">	2025-08-25 23:41:49</t>
  </si>
  <si>
    <t xml:space="preserve">	6920680044383403322</t>
  </si>
  <si>
    <t xml:space="preserve">	【老板周】休闲立裁 夏季时髦肌理感挺括百搭九分裤</t>
  </si>
  <si>
    <t xml:space="preserve">	3766958469287117220</t>
  </si>
  <si>
    <t xml:space="preserve">	Z1913-黑色-M</t>
  </si>
  <si>
    <t xml:space="preserve">	2025-08-10 23:29:24</t>
  </si>
  <si>
    <t xml:space="preserve">	2025-08-13 08:24:52</t>
  </si>
  <si>
    <t xml:space="preserve">	2025-08-10 23:29:26</t>
  </si>
  <si>
    <t xml:space="preserve">	2025-08-25 23:29:26</t>
  </si>
  <si>
    <t xml:space="preserve">	2025-08-10 23:56:43</t>
  </si>
  <si>
    <t xml:space="preserve">	6920679924012318676</t>
  </si>
  <si>
    <t xml:space="preserve">	2025-08-10 22:22:23</t>
  </si>
  <si>
    <t xml:space="preserve">	2025-08-10 22:22:27</t>
  </si>
  <si>
    <t xml:space="preserve">	2025-08-25 22:22:27</t>
  </si>
  <si>
    <t xml:space="preserve">	6920686499751821247</t>
  </si>
  <si>
    <t xml:space="preserve">	黑色;M(80-100斤);15天内发货</t>
  </si>
  <si>
    <t xml:space="preserve">	Z2183-黑色-M</t>
  </si>
  <si>
    <t>宿迁市</t>
  </si>
  <si>
    <t>宿城区</t>
  </si>
  <si>
    <t>双庄街道</t>
  </si>
  <si>
    <t xml:space="preserve">	2025-08-10 22:22:04</t>
  </si>
  <si>
    <t xml:space="preserve">	2025-08-10 22:22:09</t>
  </si>
  <si>
    <t xml:space="preserve">	2025-08-25 22:22:10</t>
  </si>
  <si>
    <t xml:space="preserve">	6920684019955040212</t>
  </si>
  <si>
    <t xml:space="preserve">	2025-08-10 22:20:25</t>
  </si>
  <si>
    <t xml:space="preserve">	2025-08-10 22:20:29</t>
  </si>
  <si>
    <t xml:space="preserve">	2025-08-25 22:20:30</t>
  </si>
  <si>
    <t xml:space="preserve">	6945099741793162870</t>
  </si>
  <si>
    <t>郴州市</t>
  </si>
  <si>
    <t>苏仙区</t>
  </si>
  <si>
    <t>王仙岭街道</t>
  </si>
  <si>
    <t xml:space="preserve">	2025-08-10 22:00:59</t>
  </si>
  <si>
    <t xml:space="preserve">	2025-08-25 22:00:59</t>
  </si>
  <si>
    <t xml:space="preserve">	6945099734941505142</t>
  </si>
  <si>
    <t xml:space="preserve">	2025-08-10 21:59:48</t>
  </si>
  <si>
    <t xml:space="preserve">	2025-08-25 21:59:48</t>
  </si>
  <si>
    <t xml:space="preserve">	6920683932857630400</t>
  </si>
  <si>
    <t>贺兰县</t>
  </si>
  <si>
    <t>习岗镇</t>
  </si>
  <si>
    <t xml:space="preserve">	2025-08-10 21:57:21</t>
  </si>
  <si>
    <t xml:space="preserve">	2025-08-10 21:57:22</t>
  </si>
  <si>
    <t xml:space="preserve">	2025-08-25 21:57:22</t>
  </si>
  <si>
    <t xml:space="preserve">	6945104247134820164</t>
  </si>
  <si>
    <t xml:space="preserve">	2025-08-25 21:57:21</t>
  </si>
  <si>
    <t xml:space="preserve">	6920679793944592096</t>
  </si>
  <si>
    <t>鞍山市</t>
  </si>
  <si>
    <t>铁东区</t>
  </si>
  <si>
    <t>园林街道</t>
  </si>
  <si>
    <t xml:space="preserve">	2025-08-10 21:56:04</t>
  </si>
  <si>
    <t>434758480183051(收） Z2183-黑色-L*1#</t>
  </si>
  <si>
    <t xml:space="preserve">	2025-08-28 16:40:20</t>
  </si>
  <si>
    <t xml:space="preserve">	2025-08-10 21:56:07</t>
  </si>
  <si>
    <t xml:space="preserve">	2025-08-25 21:56:07</t>
  </si>
  <si>
    <t xml:space="preserve">	2025-08-21 16:40:20</t>
  </si>
  <si>
    <t xml:space="preserve">	6920679823593798975</t>
  </si>
  <si>
    <t>江门市</t>
  </si>
  <si>
    <t>蓬江区</t>
  </si>
  <si>
    <t>环市街道</t>
  </si>
  <si>
    <t xml:space="preserve">	2025-08-10 21:38:34</t>
  </si>
  <si>
    <t xml:space="preserve">	2025-08-25 19:52:20</t>
  </si>
  <si>
    <t xml:space="preserve">	2025-08-10 21:38:39</t>
  </si>
  <si>
    <t xml:space="preserve">	2025-08-25 21:38:40</t>
  </si>
  <si>
    <t xml:space="preserve">	6920679640010227007</t>
  </si>
  <si>
    <t xml:space="preserve">	2025-08-10 21:06:42</t>
  </si>
  <si>
    <t xml:space="preserve">	2025-08-10 21:06:47</t>
  </si>
  <si>
    <t xml:space="preserve">	2025-08-25 21:06:47</t>
  </si>
  <si>
    <t xml:space="preserve">	6945126163459610564</t>
  </si>
  <si>
    <t>福州市</t>
  </si>
  <si>
    <t>鼓楼区</t>
  </si>
  <si>
    <t>鼓西街道</t>
  </si>
  <si>
    <t xml:space="preserve">	2025-08-10 21:04:07</t>
  </si>
  <si>
    <t xml:space="preserve">	2025-08-10 21:04:08</t>
  </si>
  <si>
    <t xml:space="preserve">	2025-08-25 21:04:09</t>
  </si>
  <si>
    <t xml:space="preserve">	6920688394522427072</t>
  </si>
  <si>
    <t>红河哈尼族彝族自治州</t>
  </si>
  <si>
    <t>建水县</t>
  </si>
  <si>
    <t>临安镇</t>
  </si>
  <si>
    <t xml:space="preserve">	2025-08-10 20:49:18</t>
  </si>
  <si>
    <t xml:space="preserve">	2025-08-10 20:49:22</t>
  </si>
  <si>
    <t xml:space="preserve">	2025-08-25 20:49:22</t>
  </si>
  <si>
    <t xml:space="preserve">	6945099584141596194</t>
  </si>
  <si>
    <t>紫金街道</t>
  </si>
  <si>
    <t xml:space="preserve">	2025-08-10 20:49:00</t>
  </si>
  <si>
    <t xml:space="preserve">	2025-08-10 20:49:02</t>
  </si>
  <si>
    <t xml:space="preserve">	2025-08-25 20:49:03</t>
  </si>
  <si>
    <t xml:space="preserve">	6945119651264010080</t>
  </si>
  <si>
    <t>黄埔区</t>
  </si>
  <si>
    <t>鱼珠街道</t>
  </si>
  <si>
    <t xml:space="preserve">	2025-08-10 20:43:58</t>
  </si>
  <si>
    <t>73569268266556(收） Z1688-黑色-M*1#</t>
  </si>
  <si>
    <t xml:space="preserve">	2025-08-10 20:44:01</t>
  </si>
  <si>
    <t xml:space="preserve">	2025-08-25 20:44:01</t>
  </si>
  <si>
    <t xml:space="preserve">	2025-08-18 22:37:32</t>
  </si>
  <si>
    <t xml:space="preserve">	6920681483720490688</t>
  </si>
  <si>
    <t xml:space="preserve">	Z1688-黑色-L</t>
  </si>
  <si>
    <t xml:space="preserve">	2025-08-10 20:42:11</t>
  </si>
  <si>
    <t xml:space="preserve">	2025-08-24 00:13:25</t>
  </si>
  <si>
    <t xml:space="preserve">	2025-08-10 20:42:27</t>
  </si>
  <si>
    <t xml:space="preserve">	2025-08-25 20:42:27</t>
  </si>
  <si>
    <t xml:space="preserve">	2025-08-17 00:13:25</t>
  </si>
  <si>
    <t xml:space="preserve">	6945121971214030261</t>
  </si>
  <si>
    <t>城中区</t>
  </si>
  <si>
    <t xml:space="preserve">	2025-08-10 20:42:02</t>
  </si>
  <si>
    <t xml:space="preserve">	2025-08-10 20:42:08</t>
  </si>
  <si>
    <t xml:space="preserve">	2025-08-25 20:42:08</t>
  </si>
  <si>
    <t xml:space="preserve">	6945128145686894025</t>
  </si>
  <si>
    <t>奉化区</t>
  </si>
  <si>
    <t>岳林街道</t>
  </si>
  <si>
    <t xml:space="preserve">	2025-08-10 20:42:01</t>
  </si>
  <si>
    <t xml:space="preserve">	2025-08-23 08:11:11</t>
  </si>
  <si>
    <t xml:space="preserve">	2025-08-10 20:42:04</t>
  </si>
  <si>
    <t xml:space="preserve">	2025-08-25 20:42:04</t>
  </si>
  <si>
    <t xml:space="preserve">	2025-08-17 22:17:46</t>
  </si>
  <si>
    <t xml:space="preserve">	6945097200975353681</t>
  </si>
  <si>
    <t>大东区</t>
  </si>
  <si>
    <t>上园街道</t>
  </si>
  <si>
    <t xml:space="preserve">	2025-08-10 20:42:00</t>
  </si>
  <si>
    <t xml:space="preserve">	2025-08-20 13:52:50</t>
  </si>
  <si>
    <t xml:space="preserve">	2025-08-10 20:42:05</t>
  </si>
  <si>
    <t xml:space="preserve">	2025-08-25 20:42:06</t>
  </si>
  <si>
    <t xml:space="preserve">	6920679642090994837</t>
  </si>
  <si>
    <t>平台物流异常赔付券-19.00</t>
  </si>
  <si>
    <t xml:space="preserve">	2025-08-10 20:41:58</t>
  </si>
  <si>
    <t xml:space="preserve">	2025-09-01 10:26:07</t>
  </si>
  <si>
    <t xml:space="preserve">	2025-08-10 20:42:06</t>
  </si>
  <si>
    <t xml:space="preserve">	2025-08-25 20:42:07</t>
  </si>
  <si>
    <t xml:space="preserve">	2025-08-25 10:26:07</t>
  </si>
  <si>
    <t xml:space="preserve">	6920679604736065136</t>
  </si>
  <si>
    <t>平台限时优惠券-24.00</t>
  </si>
  <si>
    <t>杨家峪街道</t>
  </si>
  <si>
    <t xml:space="preserve">	2025-08-10 20:30:05</t>
  </si>
  <si>
    <t xml:space="preserve">	2025-08-10 20:30:06</t>
  </si>
  <si>
    <t xml:space="preserve">	2025-08-25 20:30:06</t>
  </si>
  <si>
    <t xml:space="preserve">	6920688186241875316</t>
  </si>
  <si>
    <t xml:space="preserve">	2025-08-10 19:53:42</t>
  </si>
  <si>
    <t xml:space="preserve">	2025-08-10 19:53:43</t>
  </si>
  <si>
    <t xml:space="preserve">	2025-08-25 19:53:43</t>
  </si>
  <si>
    <t xml:space="preserve">	6945115037178205424</t>
  </si>
  <si>
    <t>平台省钱卡惊喜券-18.48</t>
  </si>
  <si>
    <t>永川区</t>
  </si>
  <si>
    <t>中山路街道</t>
  </si>
  <si>
    <t xml:space="preserve">	2025-08-10 19:53:32</t>
  </si>
  <si>
    <t xml:space="preserve">	2025-08-10 19:53:35</t>
  </si>
  <si>
    <t xml:space="preserve">	2025-08-25 19:53:35</t>
  </si>
  <si>
    <t xml:space="preserve">	6945115037178270960</t>
  </si>
  <si>
    <t>平台省钱卡惊喜券-11.52</t>
  </si>
  <si>
    <t xml:space="preserve">	6920679439718579572</t>
  </si>
  <si>
    <t xml:space="preserve">	2025-08-10 19:53:24</t>
  </si>
  <si>
    <t xml:space="preserve">	2025-08-10 19:53:26</t>
  </si>
  <si>
    <t xml:space="preserve">	2025-08-25 19:53:26</t>
  </si>
  <si>
    <t xml:space="preserve">	6945108229944710739</t>
  </si>
  <si>
    <t>宣化区</t>
  </si>
  <si>
    <t>春光乡</t>
  </si>
  <si>
    <t xml:space="preserve">	2025-08-10 19:51:52</t>
  </si>
  <si>
    <t xml:space="preserve">	2025-08-10 19:51:54</t>
  </si>
  <si>
    <t xml:space="preserve">	2025-08-25 19:51:55</t>
  </si>
  <si>
    <t xml:space="preserve">	6920683550216846708</t>
  </si>
  <si>
    <t xml:space="preserve">	2025-08-10 19:51:37</t>
  </si>
  <si>
    <t xml:space="preserve">	2025-08-23 18:03:16</t>
  </si>
  <si>
    <t xml:space="preserve">	2025-08-10 19:51:38</t>
  </si>
  <si>
    <t xml:space="preserve">	2025-08-25 19:51:38</t>
  </si>
  <si>
    <t xml:space="preserve">	6945108103060657747</t>
  </si>
  <si>
    <t xml:space="preserve">	2025-08-10 19:49:22</t>
  </si>
  <si>
    <t xml:space="preserve">	2025-08-10 19:49:25</t>
  </si>
  <si>
    <t xml:space="preserve">	2025-08-25 19:49:25</t>
  </si>
  <si>
    <t xml:space="preserve">	6945108157323613591</t>
  </si>
  <si>
    <t>朝阳市</t>
  </si>
  <si>
    <t>北票市</t>
  </si>
  <si>
    <t xml:space="preserve">	2025-08-10 19:49:16</t>
  </si>
  <si>
    <t xml:space="preserve">	2025-08-25 19:49:16</t>
  </si>
  <si>
    <t xml:space="preserve">	6920681384379121272</t>
  </si>
  <si>
    <t xml:space="preserve">	2025-08-10 19:49:09</t>
  </si>
  <si>
    <t xml:space="preserve">	2025-08-10 19:49:15</t>
  </si>
  <si>
    <t xml:space="preserve">	6945101752145680087</t>
  </si>
  <si>
    <t>北湖区</t>
  </si>
  <si>
    <t xml:space="preserve">	2025-08-10 19:48:35</t>
  </si>
  <si>
    <t xml:space="preserve">	2025-08-10 19:48:36</t>
  </si>
  <si>
    <t xml:space="preserve">	2025-08-25 19:48:37</t>
  </si>
  <si>
    <t xml:space="preserve">	6920683507951304451</t>
  </si>
  <si>
    <t>张店区</t>
  </si>
  <si>
    <t>南定镇</t>
  </si>
  <si>
    <t xml:space="preserve">	2025-08-10 19:48:28</t>
  </si>
  <si>
    <t xml:space="preserve">	2025-08-10 19:48:32</t>
  </si>
  <si>
    <t xml:space="preserve">	2025-08-25 19:48:32</t>
  </si>
  <si>
    <t xml:space="preserve">	6945123779488126359</t>
  </si>
  <si>
    <t xml:space="preserve">	2025-08-10 19:48:27</t>
  </si>
  <si>
    <t xml:space="preserve">	2025-08-25 19:48:27</t>
  </si>
  <si>
    <t xml:space="preserve">	6945121894632265431</t>
  </si>
  <si>
    <t xml:space="preserve">	2025-08-10 19:48:11</t>
  </si>
  <si>
    <t xml:space="preserve">	2025-08-27 23:47:15</t>
  </si>
  <si>
    <t xml:space="preserve">	2025-08-10 19:48:13</t>
  </si>
  <si>
    <t xml:space="preserve">	2025-08-25 19:48:13</t>
  </si>
  <si>
    <t xml:space="preserve">	2025-08-20 23:47:15</t>
  </si>
  <si>
    <t xml:space="preserve">	6945104016434533896</t>
  </si>
  <si>
    <t>三林镇</t>
  </si>
  <si>
    <t xml:space="preserve">	2025-08-10 19:48:04</t>
  </si>
  <si>
    <t xml:space="preserve">	2025-08-10 19:48:06</t>
  </si>
  <si>
    <t xml:space="preserve">	2025-08-25 19:48:06</t>
  </si>
  <si>
    <t xml:space="preserve">	6920688165555305701</t>
  </si>
  <si>
    <t>秦皇岛市</t>
  </si>
  <si>
    <t>海港区</t>
  </si>
  <si>
    <t>黄河道街道</t>
  </si>
  <si>
    <t xml:space="preserve">	2025-08-10 19:31:10</t>
  </si>
  <si>
    <t>73569434733156(收） Z476-灰色-L*1#</t>
  </si>
  <si>
    <t xml:space="preserve">	2025-08-10 19:31:11</t>
  </si>
  <si>
    <t xml:space="preserve">	2025-08-25 19:31:11</t>
  </si>
  <si>
    <t xml:space="preserve">	2025-08-20 23:05:32</t>
  </si>
  <si>
    <t xml:space="preserve">	6920688272115924197</t>
  </si>
  <si>
    <t xml:space="preserve">	2025-08-10 19:30:11</t>
  </si>
  <si>
    <t xml:space="preserve">	2025-08-21 20:44:58</t>
  </si>
  <si>
    <t xml:space="preserve">	2025-08-10 19:30:13</t>
  </si>
  <si>
    <t xml:space="preserve">	2025-08-25 19:30:13</t>
  </si>
  <si>
    <t xml:space="preserve">	2025-08-14 20:44:58</t>
  </si>
  <si>
    <t xml:space="preserve">	6945103992098788734</t>
  </si>
  <si>
    <t xml:space="preserve">	2025-08-10 19:20:36</t>
  </si>
  <si>
    <t>YT2564074690538(收） Z476-灰色-M*1#</t>
  </si>
  <si>
    <t xml:space="preserve">	2025-08-10 19:20:41</t>
  </si>
  <si>
    <t xml:space="preserve">	2025-08-25 19:20:41</t>
  </si>
  <si>
    <t xml:space="preserve">	2025-08-16 23:10:18</t>
  </si>
  <si>
    <t xml:space="preserve">	6920681224180301582</t>
  </si>
  <si>
    <t>株洲市</t>
  </si>
  <si>
    <t>芦淞区</t>
  </si>
  <si>
    <t>龙泉街道</t>
  </si>
  <si>
    <t xml:space="preserve">	2025-08-10 18:42:50</t>
  </si>
  <si>
    <t xml:space="preserve">	2025-08-25 18:42:50</t>
  </si>
  <si>
    <t xml:space="preserve">	6945101596984350471</t>
  </si>
  <si>
    <t>平台专属限时优惠券-15.00</t>
  </si>
  <si>
    <t>虹桥镇</t>
  </si>
  <si>
    <t xml:space="preserve">	2025-08-10 18:41:49</t>
  </si>
  <si>
    <t xml:space="preserve">	2025-08-17 20:17:46</t>
  </si>
  <si>
    <t xml:space="preserve">	2025-08-10 18:41:50</t>
  </si>
  <si>
    <t xml:space="preserve">	2025-08-25 18:41:51</t>
  </si>
  <si>
    <t xml:space="preserve">	2025-08-10 20:17:46</t>
  </si>
  <si>
    <t xml:space="preserve">	6920681168567959310</t>
  </si>
  <si>
    <t xml:space="preserve">	2025-08-10 18:38:54</t>
  </si>
  <si>
    <t xml:space="preserve">	2025-08-25 18:38:54</t>
  </si>
  <si>
    <t xml:space="preserve">	6945105653562742142</t>
  </si>
  <si>
    <t>平台三单挑战惊喜券-5.00</t>
  </si>
  <si>
    <t xml:space="preserve">	2025-08-10 18:37:24</t>
  </si>
  <si>
    <t xml:space="preserve">	2025-08-10 18:37:29</t>
  </si>
  <si>
    <t xml:space="preserve">	2025-08-25 18:37:29</t>
  </si>
  <si>
    <t xml:space="preserve">	6945123672683976537</t>
  </si>
  <si>
    <t>厦门市</t>
  </si>
  <si>
    <t>同安区</t>
  </si>
  <si>
    <t>大同街道</t>
  </si>
  <si>
    <t xml:space="preserve">	2025-08-10 18:33:05</t>
  </si>
  <si>
    <t xml:space="preserve">	2025-08-23 23:11:17</t>
  </si>
  <si>
    <t xml:space="preserve">	2025-08-10 18:33:07</t>
  </si>
  <si>
    <t xml:space="preserve">	2025-08-25 18:33:07</t>
  </si>
  <si>
    <t xml:space="preserve">	2025-08-16 23:11:17</t>
  </si>
  <si>
    <t xml:space="preserve">	6920681161974774893</t>
  </si>
  <si>
    <t>德阳市</t>
  </si>
  <si>
    <t>旌阳区</t>
  </si>
  <si>
    <t>东湖街道</t>
  </si>
  <si>
    <t xml:space="preserve">	2025-08-10 18:32:48</t>
  </si>
  <si>
    <t xml:space="preserve">	2025-08-23 23:10:19</t>
  </si>
  <si>
    <t xml:space="preserve">	2025-08-10 18:32:49</t>
  </si>
  <si>
    <t xml:space="preserve">	2025-08-25 18:32:49</t>
  </si>
  <si>
    <t xml:space="preserve">	2025-08-16 23:10:19</t>
  </si>
  <si>
    <t xml:space="preserve">	6920685791216106605</t>
  </si>
  <si>
    <t xml:space="preserve">	2025-08-10 18:32:24</t>
  </si>
  <si>
    <t xml:space="preserve">	2025-08-23 23:44:31</t>
  </si>
  <si>
    <t xml:space="preserve">	2025-08-10 18:32:25</t>
  </si>
  <si>
    <t xml:space="preserve">	2025-08-25 18:32:25</t>
  </si>
  <si>
    <t xml:space="preserve">	2025-08-16 23:44:31</t>
  </si>
  <si>
    <t xml:space="preserve">	6945112537264428626</t>
  </si>
  <si>
    <t>北林区</t>
  </si>
  <si>
    <t xml:space="preserve">	2025-08-10 18:31:54</t>
  </si>
  <si>
    <t xml:space="preserve">	2025-08-10 18:32:00</t>
  </si>
  <si>
    <t xml:space="preserve">	2025-08-25 18:32:00</t>
  </si>
  <si>
    <t xml:space="preserve">	6945112614087497561</t>
  </si>
  <si>
    <t xml:space="preserve">	2025-08-10 18:31:52</t>
  </si>
  <si>
    <t xml:space="preserve">	2025-08-10 18:31:53</t>
  </si>
  <si>
    <t xml:space="preserve">	2025-08-25 18:31:54</t>
  </si>
  <si>
    <t xml:space="preserve">	6945121736500320168</t>
  </si>
  <si>
    <t xml:space="preserve">	2025-08-10 18:31:41</t>
  </si>
  <si>
    <t>73569009735646(收） Z482-黑色-M*1#</t>
  </si>
  <si>
    <t xml:space="preserve">	2025-08-10 18:31:43</t>
  </si>
  <si>
    <t xml:space="preserve">	2025-08-25 18:31:44</t>
  </si>
  <si>
    <t xml:space="preserve">	2025-08-16 23:44:30</t>
  </si>
  <si>
    <t xml:space="preserve">	6945123623644894425</t>
  </si>
  <si>
    <t xml:space="preserve">	2025-08-10 18:31:36</t>
  </si>
  <si>
    <t xml:space="preserve">	2025-08-21 17:55:21</t>
  </si>
  <si>
    <t xml:space="preserve">	2025-08-25 18:31:41</t>
  </si>
  <si>
    <t xml:space="preserve">	2025-08-14 17:55:21</t>
  </si>
  <si>
    <t xml:space="preserve">	6920685781384396346</t>
  </si>
  <si>
    <t>河池市</t>
  </si>
  <si>
    <t>大化瑶族自治县</t>
  </si>
  <si>
    <t>大化镇</t>
  </si>
  <si>
    <t xml:space="preserve">	2025-08-10 18:31:27</t>
  </si>
  <si>
    <t xml:space="preserve">	2025-08-10 18:31:29</t>
  </si>
  <si>
    <t xml:space="preserve">	2025-08-25 18:31:29</t>
  </si>
  <si>
    <t xml:space="preserve">	6945114870564787961</t>
  </si>
  <si>
    <t xml:space="preserve">	2025-08-10 18:31:17</t>
  </si>
  <si>
    <t xml:space="preserve">	2025-08-10 18:31:19</t>
  </si>
  <si>
    <t xml:space="preserve">	2025-08-25 18:31:19</t>
  </si>
  <si>
    <t xml:space="preserve">	6945121743090357435</t>
  </si>
  <si>
    <t>藁城区</t>
  </si>
  <si>
    <t>岗上镇</t>
  </si>
  <si>
    <t xml:space="preserve">	2025-08-10 18:30:55</t>
  </si>
  <si>
    <t xml:space="preserve">	2025-08-10 18:30:56</t>
  </si>
  <si>
    <t xml:space="preserve">	2025-08-25 18:30:56</t>
  </si>
  <si>
    <t xml:space="preserve">	6945123738080843388</t>
  </si>
  <si>
    <t>龙凤区</t>
  </si>
  <si>
    <t>黎明街道</t>
  </si>
  <si>
    <t xml:space="preserve">	2025-08-10 18:31:00</t>
  </si>
  <si>
    <t xml:space="preserve">	2025-08-25 18:31:00</t>
  </si>
  <si>
    <t xml:space="preserve">	6945121801592051624</t>
  </si>
  <si>
    <t xml:space="preserve">	2025-08-10 18:30:46</t>
  </si>
  <si>
    <t>73569009735646(收） Z476-灰色-M*1#</t>
  </si>
  <si>
    <t xml:space="preserve">	2025-08-10 18:30:47</t>
  </si>
  <si>
    <t xml:space="preserve">	2025-08-25 18:30:48</t>
  </si>
  <si>
    <t xml:space="preserve">	6945119329413174815</t>
  </si>
  <si>
    <t>五华区</t>
  </si>
  <si>
    <t>莲华街道</t>
  </si>
  <si>
    <t xml:space="preserve">	2025-08-10 18:30:45</t>
  </si>
  <si>
    <t xml:space="preserve">	2025-08-19 15:22:48</t>
  </si>
  <si>
    <t xml:space="preserve">	2025-08-10 18:30:48</t>
  </si>
  <si>
    <t xml:space="preserve">	2025-08-16 23:17:26</t>
  </si>
  <si>
    <t xml:space="preserve">	6945092479563469949</t>
  </si>
  <si>
    <t>奉节县</t>
  </si>
  <si>
    <t>永安街道</t>
  </si>
  <si>
    <t xml:space="preserve">	2025-08-10 18:30:36</t>
  </si>
  <si>
    <t xml:space="preserve">	2025-08-10 18:30:38</t>
  </si>
  <si>
    <t xml:space="preserve">	2025-08-25 18:30:38</t>
  </si>
  <si>
    <t xml:space="preserve">	6945092450443007737</t>
  </si>
  <si>
    <t>平台新人券-4.00</t>
  </si>
  <si>
    <t xml:space="preserve">	2025-08-10 18:30:29</t>
  </si>
  <si>
    <t xml:space="preserve">	2025-08-25 18:30:46</t>
  </si>
  <si>
    <t xml:space="preserve">	6945112685728634073</t>
  </si>
  <si>
    <t xml:space="preserve">	2025-08-10 18:30:21</t>
  </si>
  <si>
    <t xml:space="preserve">	2025-08-10 18:30:26</t>
  </si>
  <si>
    <t xml:space="preserve">	2025-08-25 18:30:27</t>
  </si>
  <si>
    <t xml:space="preserve">	6945096956317079122</t>
  </si>
  <si>
    <t xml:space="preserve">	2025-08-10 18:30:17</t>
  </si>
  <si>
    <t xml:space="preserve">	2025-08-10 18:30:22</t>
  </si>
  <si>
    <t xml:space="preserve">	2025-08-25 18:30:22</t>
  </si>
  <si>
    <t xml:space="preserve">	6920673950760664985</t>
  </si>
  <si>
    <t xml:space="preserve">	2025-08-10 18:30:16</t>
  </si>
  <si>
    <t xml:space="preserve">	2025-08-25 18:30:23</t>
  </si>
  <si>
    <t xml:space="preserve">	6945105626723718706</t>
  </si>
  <si>
    <t xml:space="preserve">	2025-08-10 18:30:15</t>
  </si>
  <si>
    <t xml:space="preserve">	2025-08-10 18:30:19</t>
  </si>
  <si>
    <t xml:space="preserve">	2025-08-25 18:30:20</t>
  </si>
  <si>
    <t xml:space="preserve">	6920679373399687055</t>
  </si>
  <si>
    <t xml:space="preserve">	2025-08-10 18:30:08</t>
  </si>
  <si>
    <t xml:space="preserve">	2025-08-23 23:17:26</t>
  </si>
  <si>
    <t xml:space="preserve">	2025-08-10 18:30:10</t>
  </si>
  <si>
    <t xml:space="preserve">	2025-08-25 18:30:10</t>
  </si>
  <si>
    <t xml:space="preserve">	6920679374368898969</t>
  </si>
  <si>
    <t xml:space="preserve">	2025-08-10 18:28:01</t>
  </si>
  <si>
    <t xml:space="preserve">	2025-08-21 20:46:59</t>
  </si>
  <si>
    <t xml:space="preserve">	2025-08-10 18:28:08</t>
  </si>
  <si>
    <t xml:space="preserve">	2025-08-25 18:28:08</t>
  </si>
  <si>
    <t xml:space="preserve">	2025-08-14 20:46:59</t>
  </si>
  <si>
    <t xml:space="preserve">	6920678506888920975</t>
  </si>
  <si>
    <t xml:space="preserve">	2025-08-10 18:27:59</t>
  </si>
  <si>
    <t>SF3280756693811(收） Z482-黑色-L*1#</t>
  </si>
  <si>
    <t xml:space="preserve">	2025-08-25 18:28:01</t>
  </si>
  <si>
    <t xml:space="preserve">	6945117197164287538</t>
  </si>
  <si>
    <t xml:space="preserve">	2025-08-10 18:28:03</t>
  </si>
  <si>
    <t xml:space="preserve">	2025-08-25 18:28:04</t>
  </si>
  <si>
    <t xml:space="preserve">	6945121742294488265</t>
  </si>
  <si>
    <t>顺义区</t>
  </si>
  <si>
    <t>旺泉街道</t>
  </si>
  <si>
    <t xml:space="preserve">	2025-08-10 18:00:29</t>
  </si>
  <si>
    <t xml:space="preserve">	2025-08-10 18:00:38</t>
  </si>
  <si>
    <t xml:space="preserve">	2025-08-25 18:00:39</t>
  </si>
  <si>
    <t xml:space="preserve">	6945096925398897836</t>
  </si>
  <si>
    <t xml:space="preserve">	2025-08-10 17:25:18</t>
  </si>
  <si>
    <t>蛋花小说-抖音电商</t>
  </si>
  <si>
    <t xml:space="preserve">	2025-08-25 17:25:18</t>
  </si>
  <si>
    <t xml:space="preserve">	6945114738358556147</t>
  </si>
  <si>
    <t>普兰店区</t>
  </si>
  <si>
    <t>丰荣街道</t>
  </si>
  <si>
    <t xml:space="preserve">	2025-08-10 16:29:23</t>
  </si>
  <si>
    <t xml:space="preserve">	2025-08-25 16:29:23</t>
  </si>
  <si>
    <t xml:space="preserve">	6945114683530810867</t>
  </si>
  <si>
    <t xml:space="preserve">	2025-08-10 16:28:57</t>
  </si>
  <si>
    <t xml:space="preserve">	2025-08-25 16:28:57</t>
  </si>
  <si>
    <t xml:space="preserve">	6920671423990824206</t>
  </si>
  <si>
    <t>正定县</t>
  </si>
  <si>
    <t xml:space="preserve">	2025-08-10 16:12:51</t>
  </si>
  <si>
    <t xml:space="preserve">	2025-08-26 23:56:19</t>
  </si>
  <si>
    <t xml:space="preserve">	2025-08-10 16:13:06</t>
  </si>
  <si>
    <t xml:space="preserve">	2025-08-25 16:13:06</t>
  </si>
  <si>
    <t xml:space="preserve">	6945125745113634337</t>
  </si>
  <si>
    <t>常熟市</t>
  </si>
  <si>
    <t>董浜镇</t>
  </si>
  <si>
    <t xml:space="preserve">	2025-08-10 16:01:11</t>
  </si>
  <si>
    <t>1240904190019(收） Z1688-黑色-L*1#</t>
  </si>
  <si>
    <t xml:space="preserve">	2025-08-18 00:41:13</t>
  </si>
  <si>
    <t xml:space="preserve">	2025-08-10 16:01:16</t>
  </si>
  <si>
    <t xml:space="preserve">	2025-08-25 16:01:16</t>
  </si>
  <si>
    <t xml:space="preserve">	2025-08-11 00:41:13</t>
  </si>
  <si>
    <t xml:space="preserve">	6920679015321992458</t>
  </si>
  <si>
    <t>滨州市</t>
  </si>
  <si>
    <t>博兴县</t>
  </si>
  <si>
    <t>锦秋街道</t>
  </si>
  <si>
    <t xml:space="preserve">	2025-08-10 16:00:50</t>
  </si>
  <si>
    <t xml:space="preserve">	2025-08-10 16:00:52</t>
  </si>
  <si>
    <t xml:space="preserve">	2025-08-25 16:00:52</t>
  </si>
  <si>
    <t xml:space="preserve">	6945096578169771336</t>
  </si>
  <si>
    <t>平房地区</t>
  </si>
  <si>
    <t xml:space="preserve">	2025-08-10 16:00:47</t>
  </si>
  <si>
    <t xml:space="preserve">	2025-08-10 16:00:48</t>
  </si>
  <si>
    <t xml:space="preserve">	2025-08-25 16:00:49</t>
  </si>
  <si>
    <t xml:space="preserve">	6920679080055176824</t>
  </si>
  <si>
    <t xml:space="preserve">	2025-08-10 16:00:43</t>
  </si>
  <si>
    <t>73568089669244(收） Z1688-黑色-S*1#</t>
  </si>
  <si>
    <t xml:space="preserve">	2025-08-12 23:57:08</t>
  </si>
  <si>
    <t xml:space="preserve">	6945101402919081899</t>
  </si>
  <si>
    <t>巴彦淖尔市</t>
  </si>
  <si>
    <t>杭锦后旗</t>
  </si>
  <si>
    <t xml:space="preserve">	2025-08-10 16:00:37</t>
  </si>
  <si>
    <t xml:space="preserve">	2025-08-13 19:22:49</t>
  </si>
  <si>
    <t xml:space="preserve">	2025-08-10 16:01:12</t>
  </si>
  <si>
    <t xml:space="preserve">	2025-08-25 16:01:12</t>
  </si>
  <si>
    <t xml:space="preserve">	2025-08-10 17:08:21</t>
  </si>
  <si>
    <t xml:space="preserve">	6945103706766120388</t>
  </si>
  <si>
    <t xml:space="preserve">	2025-08-10 16:00:31</t>
  </si>
  <si>
    <t>73567729223702(收） Z1688-黑色-S*1#</t>
  </si>
  <si>
    <t xml:space="preserve">	2025-08-10 16:00:46</t>
  </si>
  <si>
    <t xml:space="preserve">	2025-08-25 16:00:47</t>
  </si>
  <si>
    <t xml:space="preserve">	2025-08-10 17:00:01</t>
  </si>
  <si>
    <t xml:space="preserve">	6945092259745109554</t>
  </si>
  <si>
    <t xml:space="preserve">	2025-08-10 16:00:26</t>
  </si>
  <si>
    <t>73567845722066(收） Z1688-黑色-S*1#</t>
  </si>
  <si>
    <t xml:space="preserve">	2025-08-25 16:00:31</t>
  </si>
  <si>
    <t xml:space="preserve">	2025-08-10 16:37:19</t>
  </si>
  <si>
    <t xml:space="preserve">	6945112383478175048</t>
  </si>
  <si>
    <t xml:space="preserve">	2025-08-10 16:00:18</t>
  </si>
  <si>
    <t>SF3287076016954(收） Z1688-黑色-S*1#</t>
  </si>
  <si>
    <t xml:space="preserve">	2025-08-10 16:00:19</t>
  </si>
  <si>
    <t xml:space="preserve">	2025-08-25 16:00:20</t>
  </si>
  <si>
    <t xml:space="preserve">	6920671466084532180</t>
  </si>
  <si>
    <t xml:space="preserve">	2025-08-10 16:00:17</t>
  </si>
  <si>
    <t xml:space="preserve">	2025-08-10 16:00:22</t>
  </si>
  <si>
    <t xml:space="preserve">	2025-08-25 16:00:22</t>
  </si>
  <si>
    <t xml:space="preserve">	6920676121101565560</t>
  </si>
  <si>
    <t xml:space="preserve">	2025-08-10 15:54:13</t>
  </si>
  <si>
    <t xml:space="preserve">	2025-08-10 15:54:19</t>
  </si>
  <si>
    <t xml:space="preserve">	2025-08-25 15:54:19</t>
  </si>
  <si>
    <t xml:space="preserve">	6945099149306631361</t>
  </si>
  <si>
    <t>荆门市</t>
  </si>
  <si>
    <t>钟祥市</t>
  </si>
  <si>
    <t xml:space="preserve">	2025-08-10 15:54:11</t>
  </si>
  <si>
    <t>SF3287655603872(收） Z1688-黑色-M*1#</t>
  </si>
  <si>
    <t xml:space="preserve">	2025-08-10 15:54:34</t>
  </si>
  <si>
    <t xml:space="preserve">	2025-08-25 15:54:34</t>
  </si>
  <si>
    <t xml:space="preserve">	2025-08-10 17:14:13</t>
  </si>
  <si>
    <t xml:space="preserve">	6945099068288406909</t>
  </si>
  <si>
    <t xml:space="preserve">	2025-08-10 15:54:10</t>
  </si>
  <si>
    <t xml:space="preserve">	2025-08-17 16:37:19</t>
  </si>
  <si>
    <t xml:space="preserve">	2025-08-25 15:54:20</t>
  </si>
  <si>
    <t xml:space="preserve">	6945099143779652673</t>
  </si>
  <si>
    <t>北仑区</t>
  </si>
  <si>
    <t>大碶街道</t>
  </si>
  <si>
    <t xml:space="preserve">	2025-08-10 15:54:09</t>
  </si>
  <si>
    <t>火山</t>
  </si>
  <si>
    <t xml:space="preserve">	2025-08-25 15:54:12</t>
  </si>
  <si>
    <t xml:space="preserve">	6945112398859409380</t>
  </si>
  <si>
    <t xml:space="preserve">	2025-08-10 15:54:08</t>
  </si>
  <si>
    <t>SF3287412038549(收） Z1688-黑色-S*1#</t>
  </si>
  <si>
    <t xml:space="preserve">	2025-08-25 15:54:09</t>
  </si>
  <si>
    <t xml:space="preserve">	6920673757535305387</t>
  </si>
  <si>
    <t>四平市</t>
  </si>
  <si>
    <t>伊通满族自治县</t>
  </si>
  <si>
    <t>永宁街道</t>
  </si>
  <si>
    <t>312862750292861(收） Z1688-黑色-M*1#</t>
  </si>
  <si>
    <t xml:space="preserve">	2025-08-10 15:54:21</t>
  </si>
  <si>
    <t>番茄畅听-抖音电商</t>
  </si>
  <si>
    <t xml:space="preserve">	2025-08-25 15:54:21</t>
  </si>
  <si>
    <t xml:space="preserve">	6945117084536149414</t>
  </si>
  <si>
    <t>七里河区</t>
  </si>
  <si>
    <t>彭家坪镇</t>
  </si>
  <si>
    <t xml:space="preserve">	2025-08-10 15:44:11</t>
  </si>
  <si>
    <t xml:space="preserve">	2025-08-10 15:44:12</t>
  </si>
  <si>
    <t xml:space="preserve">	2025-08-25 15:44:13</t>
  </si>
  <si>
    <t xml:space="preserve">	6945103635475010952</t>
  </si>
  <si>
    <t>海南省</t>
  </si>
  <si>
    <t>海口市</t>
  </si>
  <si>
    <t>金贸街道</t>
  </si>
  <si>
    <t xml:space="preserve">	2025-08-10 15:41:28</t>
  </si>
  <si>
    <t xml:space="preserve">	2025-08-27 15:06:27</t>
  </si>
  <si>
    <t xml:space="preserve">	2025-08-10 15:41:33</t>
  </si>
  <si>
    <t xml:space="preserve">	2025-08-25 15:41:33</t>
  </si>
  <si>
    <t xml:space="preserve">	2025-08-20 21:14:49</t>
  </si>
  <si>
    <t xml:space="preserve">	6920675943142227424</t>
  </si>
  <si>
    <t>温岭市</t>
  </si>
  <si>
    <t xml:space="preserve">	2025-08-10 15:24:00</t>
  </si>
  <si>
    <t xml:space="preserve">	2025-08-25 15:24:00</t>
  </si>
  <si>
    <t xml:space="preserve">	6945091228094764891</t>
  </si>
  <si>
    <t>龙沙区</t>
  </si>
  <si>
    <t>五龙街道</t>
  </si>
  <si>
    <t xml:space="preserve">	2025-08-09 21:57:04</t>
  </si>
  <si>
    <t xml:space="preserve">	2025-08-09 21:57:09</t>
  </si>
  <si>
    <t xml:space="preserve">	2025-09-01 23:59:59</t>
  </si>
  <si>
    <t xml:space="preserve">	6920669254760693312</t>
  </si>
  <si>
    <t xml:space="preserve">	【老板周】小众设计 搭配刚需简约百搭工字背心吊带</t>
  </si>
  <si>
    <t xml:space="preserve">	3766239227830993042</t>
  </si>
  <si>
    <t xml:space="preserve">	Z043-白色-L</t>
  </si>
  <si>
    <t>平台商城爆神券-6.22</t>
  </si>
  <si>
    <t xml:space="preserve">	2025-08-09 20:19:14</t>
  </si>
  <si>
    <t>73568701297410(收） Z043-白色-L*1#</t>
  </si>
  <si>
    <t xml:space="preserve">	2025-08-09 20:19:20</t>
  </si>
  <si>
    <t xml:space="preserve">	2025-08-24 20:19:20</t>
  </si>
  <si>
    <t xml:space="preserve">	2025-08-14 20:01:24</t>
  </si>
  <si>
    <t xml:space="preserve">	6945067737534436564</t>
  </si>
  <si>
    <t xml:space="preserve">	【老板周】松弛气质 夏季别致v领蝴蝶袖百搭舒适上衣</t>
  </si>
  <si>
    <t xml:space="preserve">	3766941036232966631</t>
  </si>
  <si>
    <t xml:space="preserve">	Z2129-黑色-M</t>
  </si>
  <si>
    <t>奉贤区</t>
  </si>
  <si>
    <t>青村镇</t>
  </si>
  <si>
    <t xml:space="preserve">	2025-08-08 22:26:57</t>
  </si>
  <si>
    <t>73567596265343(收） Z2129-黑色-M*1#</t>
  </si>
  <si>
    <t xml:space="preserve">	2025-08-08 22:27:05</t>
  </si>
  <si>
    <t xml:space="preserve">	2025-08-23 22:27:06</t>
  </si>
  <si>
    <t xml:space="preserve">	2025-08-09 21:13:33</t>
  </si>
  <si>
    <t xml:space="preserve">	6945053795091944869</t>
  </si>
  <si>
    <t xml:space="preserve">	【老板周】时髦精 秋冬新款段染不规则撞色针织上衣</t>
  </si>
  <si>
    <t xml:space="preserve">	绿色;M(100-135斤);15天内发货</t>
  </si>
  <si>
    <t xml:space="preserve">	3766961958989988137</t>
  </si>
  <si>
    <t xml:space="preserve">	Z2320-绿色-M</t>
  </si>
  <si>
    <t>汉川市</t>
  </si>
  <si>
    <t>仙女山街道</t>
  </si>
  <si>
    <t xml:space="preserve">	2025-08-08 13:01:55</t>
  </si>
  <si>
    <t xml:space="preserve">	2025-08-23 13:01:55</t>
  </si>
  <si>
    <t xml:space="preserve">	6945059690616395070</t>
  </si>
  <si>
    <t xml:space="preserve">	【老板周】休闲质感 夏季新品时髦复古阔腿九分牛仔裤</t>
  </si>
  <si>
    <t xml:space="preserve">	牛仔蓝;S(80-100斤);15天内发货</t>
  </si>
  <si>
    <t xml:space="preserve">	3766946939480965355</t>
  </si>
  <si>
    <t xml:space="preserve">	Z2005-牛仔蓝-S</t>
  </si>
  <si>
    <t>光明街道</t>
  </si>
  <si>
    <t xml:space="preserve">	2025-08-08 09:01:15</t>
  </si>
  <si>
    <t xml:space="preserve">	2025-08-08 09:01:16</t>
  </si>
  <si>
    <t xml:space="preserve">	2025-08-23 09:01:16</t>
  </si>
  <si>
    <t xml:space="preserve">	6945059829957662014</t>
  </si>
  <si>
    <t xml:space="preserve">	牛仔蓝;M(100-120斤);15天内发货</t>
  </si>
  <si>
    <t xml:space="preserve">	Z2005-牛仔蓝-M</t>
  </si>
  <si>
    <t xml:space="preserve">	2025-08-08 08:59:08</t>
  </si>
  <si>
    <t>拦截;76728873904830(收） Z2005-牛仔蓝-M*1#</t>
  </si>
  <si>
    <t xml:space="preserve">	2025-08-08 08:59:09</t>
  </si>
  <si>
    <t xml:space="preserve">	2025-08-23 08:59:09</t>
  </si>
  <si>
    <t xml:space="preserve">	2025-08-08 14:47:26</t>
  </si>
  <si>
    <t xml:space="preserve">	6945036187903792198</t>
  </si>
  <si>
    <t xml:space="preserve">	2025-08-07 13:30:37</t>
  </si>
  <si>
    <t xml:space="preserve">	2025-08-22 13:30:37</t>
  </si>
  <si>
    <t xml:space="preserve">	6945009735727584677</t>
  </si>
  <si>
    <t xml:space="preserve">	【老板周】时髦慵懒 冬季百搭立领休闲舒适外套  </t>
  </si>
  <si>
    <t xml:space="preserve">	3766959843701817399</t>
  </si>
  <si>
    <t xml:space="preserve">	Z1441-黑色-S</t>
  </si>
  <si>
    <t>荆州市</t>
  </si>
  <si>
    <t>公安县</t>
  </si>
  <si>
    <t>毛家港镇</t>
  </si>
  <si>
    <t xml:space="preserve">	2025-08-07 11:41:52</t>
  </si>
  <si>
    <t>YT2531355917219(收） Z1441-黑色-S*1#</t>
  </si>
  <si>
    <t xml:space="preserve">	2025-08-07 11:42:29</t>
  </si>
  <si>
    <t xml:space="preserve">	2025-08-22 11:42:30</t>
  </si>
  <si>
    <t xml:space="preserve">	2025-08-07 15:13:09</t>
  </si>
  <si>
    <t xml:space="preserve">	6920637381241896198</t>
  </si>
  <si>
    <t xml:space="preserve">	【老板周】夏季慵懒百搭 天然亚麻肌理舒适格子长裤</t>
  </si>
  <si>
    <t xml:space="preserve">	黑白格子;M(100-120斤);15天内发货</t>
  </si>
  <si>
    <t xml:space="preserve">	3766946986826268977</t>
  </si>
  <si>
    <t xml:space="preserve">	Z005-黑白格子-M</t>
  </si>
  <si>
    <t>新华街道</t>
  </si>
  <si>
    <t xml:space="preserve">	2025-08-06 14:30:58</t>
  </si>
  <si>
    <t>SF3233618568846(收） Z005-黑白格子-M*1#</t>
  </si>
  <si>
    <t xml:space="preserve">	2025-08-06 14:31:02</t>
  </si>
  <si>
    <t xml:space="preserve">	2025-08-21 14:31:02</t>
  </si>
  <si>
    <t xml:space="preserve">	2025-08-08 19:19:31</t>
  </si>
  <si>
    <t xml:space="preserve">	6944955454103689117</t>
  </si>
  <si>
    <t xml:space="preserve">	【老板周】极简风 新款小众百搭单肩手提通勤腋下包</t>
  </si>
  <si>
    <t xml:space="preserve">	黑色;15天内发货</t>
  </si>
  <si>
    <t xml:space="preserve">	3766943181409747253</t>
  </si>
  <si>
    <t xml:space="preserve">	P136-黑色</t>
  </si>
  <si>
    <t>平台商城爆神券-52.00</t>
  </si>
  <si>
    <t>拱墅区</t>
  </si>
  <si>
    <t>东新街道</t>
  </si>
  <si>
    <t xml:space="preserve">	2025-08-06 00:36:14</t>
  </si>
  <si>
    <t>SF3289576690046(收） P136-黑色*1#</t>
  </si>
  <si>
    <t xml:space="preserve">	2025-08-24 21:38:31</t>
  </si>
  <si>
    <t xml:space="preserve">	2025-08-06 00:36:15</t>
  </si>
  <si>
    <t xml:space="preserve">	2025-08-21 00:36:15</t>
  </si>
  <si>
    <t xml:space="preserve">	2025-08-12 21:38:31</t>
  </si>
  <si>
    <t xml:space="preserve">	6920636253911023064</t>
  </si>
  <si>
    <t>平台晚发即赔券-18.00</t>
  </si>
  <si>
    <t>萧山区</t>
  </si>
  <si>
    <t>盈丰街道</t>
  </si>
  <si>
    <t xml:space="preserve">	2025-08-05 23:35:19</t>
  </si>
  <si>
    <t xml:space="preserve">	2025-08-05 23:35:20</t>
  </si>
  <si>
    <t xml:space="preserve">	2025-08-20 23:35:20</t>
  </si>
  <si>
    <t xml:space="preserve">	6944984646656923106</t>
  </si>
  <si>
    <t>金华市</t>
  </si>
  <si>
    <t>义乌市</t>
  </si>
  <si>
    <t>稠城街道</t>
  </si>
  <si>
    <t xml:space="preserve">	2025-08-05 23:25:06</t>
  </si>
  <si>
    <t>73568871567505(收） Z1640-黑色-L*1#</t>
  </si>
  <si>
    <t xml:space="preserve">	2025-08-05 23:25:08</t>
  </si>
  <si>
    <t xml:space="preserve">	2025-08-20 23:25:08</t>
  </si>
  <si>
    <t xml:space="preserve">	2025-08-18 23:37:35</t>
  </si>
  <si>
    <t xml:space="preserve">	6920624335969287397</t>
  </si>
  <si>
    <t xml:space="preserve">	2025-08-05 23:20:56</t>
  </si>
  <si>
    <t xml:space="preserve">	2025-08-05 23:20:58</t>
  </si>
  <si>
    <t xml:space="preserve">	2025-08-20 23:20:58</t>
  </si>
  <si>
    <t xml:space="preserve">	6944966633992885488</t>
  </si>
  <si>
    <t>平台特惠省钱卡券-12.62</t>
  </si>
  <si>
    <t xml:space="preserve">	2025-08-05 23:20:53</t>
  </si>
  <si>
    <t>SF3230991095864(收） Z1640-黑色-S*1#</t>
  </si>
  <si>
    <t xml:space="preserve">	2025-08-20 23:20:56</t>
  </si>
  <si>
    <t xml:space="preserve">	2025-08-20 10:32:42</t>
  </si>
  <si>
    <t xml:space="preserve">	6944975891039327449</t>
  </si>
  <si>
    <t xml:space="preserve">	2025-08-05 23:20:51</t>
  </si>
  <si>
    <t xml:space="preserve">	2025-08-27 10:32:42</t>
  </si>
  <si>
    <t xml:space="preserve">	6920626663787954132</t>
  </si>
  <si>
    <t xml:space="preserve">	2025-08-05 23:20:27</t>
  </si>
  <si>
    <t xml:space="preserve">	2025-08-05 23:20:32</t>
  </si>
  <si>
    <t xml:space="preserve">	2025-08-20 23:20:32</t>
  </si>
  <si>
    <t xml:space="preserve">	6944978339047544226</t>
  </si>
  <si>
    <t>鄠邑区</t>
  </si>
  <si>
    <t>涝店镇</t>
  </si>
  <si>
    <t xml:space="preserve">	2025-08-05 23:20:01</t>
  </si>
  <si>
    <t xml:space="preserve">	2025-08-20 23:20:01</t>
  </si>
  <si>
    <t xml:space="preserve">	6944959739904661083</t>
  </si>
  <si>
    <t>平台特惠省钱卡券-4.00</t>
  </si>
  <si>
    <t>鄞州区</t>
  </si>
  <si>
    <t>福明街道</t>
  </si>
  <si>
    <t xml:space="preserve">	2025-08-05 23:14:00</t>
  </si>
  <si>
    <t xml:space="preserve">	2025-08-05 23:14:03</t>
  </si>
  <si>
    <t xml:space="preserve">	2025-08-20 23:14:03</t>
  </si>
  <si>
    <t xml:space="preserve">	6944969232220493527</t>
  </si>
  <si>
    <t xml:space="preserve">	2025-08-05 23:10:15</t>
  </si>
  <si>
    <t xml:space="preserve">	2025-08-05 23:10:20</t>
  </si>
  <si>
    <t xml:space="preserve">	2025-08-20 23:10:20</t>
  </si>
  <si>
    <t xml:space="preserve">	6920628748382732024</t>
  </si>
  <si>
    <t>平台物流异常赔付券-34.00</t>
  </si>
  <si>
    <t>汇川区</t>
  </si>
  <si>
    <t xml:space="preserve">	2025-08-05 22:37:57</t>
  </si>
  <si>
    <t xml:space="preserve">	2025-08-05 22:37:59</t>
  </si>
  <si>
    <t xml:space="preserve">	2025-08-20 22:38:00</t>
  </si>
  <si>
    <t xml:space="preserve">	6944957964485399662</t>
  </si>
  <si>
    <t>保定市</t>
  </si>
  <si>
    <t>徐水区</t>
  </si>
  <si>
    <t>安肃镇</t>
  </si>
  <si>
    <t xml:space="preserve">	2025-08-05 22:34:01</t>
  </si>
  <si>
    <t xml:space="preserve">	2025-08-05 22:34:20</t>
  </si>
  <si>
    <t xml:space="preserve">	2025-08-20 22:34:20</t>
  </si>
  <si>
    <t xml:space="preserve">	6944964544742102925</t>
  </si>
  <si>
    <t xml:space="preserve">	【老板周】法式气质 夏季新款重工斜裁开衩松紧腰半裙</t>
  </si>
  <si>
    <t xml:space="preserve">	粉色;S(80-95斤);15天内发货</t>
  </si>
  <si>
    <t xml:space="preserve">	3766943280328212883</t>
  </si>
  <si>
    <t xml:space="preserve">	Z2256-粉色-S</t>
  </si>
  <si>
    <t xml:space="preserve">	2025-08-05 22:29:10</t>
  </si>
  <si>
    <t xml:space="preserve">	2025-08-05 22:29:11</t>
  </si>
  <si>
    <t xml:space="preserve">	2025-08-20 22:29:12</t>
  </si>
  <si>
    <t xml:space="preserve">	6944953285442541377</t>
  </si>
  <si>
    <t>丰台区</t>
  </si>
  <si>
    <t>马家堡街道</t>
  </si>
  <si>
    <t xml:space="preserve">	2025-08-05 22:25:50</t>
  </si>
  <si>
    <t xml:space="preserve">	2025-08-20 22:16:32</t>
  </si>
  <si>
    <t xml:space="preserve">	2025-08-05 22:25:58</t>
  </si>
  <si>
    <t xml:space="preserve">	2025-08-20 22:25:58</t>
  </si>
  <si>
    <t xml:space="preserve">	2025-08-13 22:16:32</t>
  </si>
  <si>
    <t xml:space="preserve">	6944975819384100801</t>
  </si>
  <si>
    <t>周口市</t>
  </si>
  <si>
    <t>淮阳区</t>
  </si>
  <si>
    <t xml:space="preserve">	2025-08-05 21:40:16</t>
  </si>
  <si>
    <t xml:space="preserve">	2025-08-05 21:40:35</t>
  </si>
  <si>
    <t xml:space="preserve">	2025-08-20 21:40:35</t>
  </si>
  <si>
    <t xml:space="preserve">	6920622059630394415</t>
  </si>
  <si>
    <t>三门县</t>
  </si>
  <si>
    <t>海游街道</t>
  </si>
  <si>
    <t xml:space="preserve">	2025-08-05 21:39:25</t>
  </si>
  <si>
    <t xml:space="preserve">	2025-08-05 21:39:26</t>
  </si>
  <si>
    <t xml:space="preserve">	2025-08-20 21:39:26</t>
  </si>
  <si>
    <t xml:space="preserve">	6920621986287353350</t>
  </si>
  <si>
    <t>临河区</t>
  </si>
  <si>
    <t>金川街道</t>
  </si>
  <si>
    <t xml:space="preserve">	2025-08-05 21:15:09</t>
  </si>
  <si>
    <t xml:space="preserve">	2025-08-05 21:15:12</t>
  </si>
  <si>
    <t xml:space="preserve">	2025-08-20 21:15:12</t>
  </si>
  <si>
    <t xml:space="preserve">	6920621802504748846</t>
  </si>
  <si>
    <t>平台音乐版惊喜券-8.00</t>
  </si>
  <si>
    <t>黄石市</t>
  </si>
  <si>
    <t>下陆区</t>
  </si>
  <si>
    <t>团城山街道</t>
  </si>
  <si>
    <t xml:space="preserve">	2025-08-05 20:31:44</t>
  </si>
  <si>
    <t>SF3236051225253(收） Z2183-米白色-L*1#</t>
  </si>
  <si>
    <t xml:space="preserve">	2025-08-05 20:31:51</t>
  </si>
  <si>
    <t>番茄畅听音乐版-抖音电商</t>
  </si>
  <si>
    <t xml:space="preserve">	2025-08-20 20:31:51</t>
  </si>
  <si>
    <t xml:space="preserve">	2025-08-05 23:47:25</t>
  </si>
  <si>
    <t xml:space="preserve">	6944961800901432911</t>
  </si>
  <si>
    <t>牌楼街道</t>
  </si>
  <si>
    <t xml:space="preserve">	2025-08-05 20:27:00</t>
  </si>
  <si>
    <t>SF3236486644148(收） Z2183-米白色-XL*1#</t>
  </si>
  <si>
    <t xml:space="preserve">	2025-08-05 20:27:16</t>
  </si>
  <si>
    <t xml:space="preserve">	2025-08-20 20:27:17</t>
  </si>
  <si>
    <t xml:space="preserve">	2025-08-07 20:16:04</t>
  </si>
  <si>
    <t xml:space="preserve">	6944979649333368508</t>
  </si>
  <si>
    <t>丛台区</t>
  </si>
  <si>
    <t>苏曹乡</t>
  </si>
  <si>
    <t xml:space="preserve">	2025-08-05 20:22:21</t>
  </si>
  <si>
    <t>73567177171748(收） Z2183-米白色-L*1#</t>
  </si>
  <si>
    <t xml:space="preserve">	2025-08-05 20:22:22</t>
  </si>
  <si>
    <t xml:space="preserve">	2025-08-20 20:22:23</t>
  </si>
  <si>
    <t xml:space="preserve">	2025-08-05 21:52:55</t>
  </si>
  <si>
    <t xml:space="preserve">	6920628338653757284</t>
  </si>
  <si>
    <t>益阳市</t>
  </si>
  <si>
    <t>赫山区</t>
  </si>
  <si>
    <t xml:space="preserve">	2025-08-05 20:10:46</t>
  </si>
  <si>
    <t xml:space="preserve">	2025-08-05 20:10:49</t>
  </si>
  <si>
    <t xml:space="preserve">	2025-08-20 20:10:49</t>
  </si>
  <si>
    <t xml:space="preserve">	6920628357271617030</t>
  </si>
  <si>
    <t xml:space="preserve">	2025-08-05 20:00:31</t>
  </si>
  <si>
    <t xml:space="preserve">	2025-08-05 20:00:34</t>
  </si>
  <si>
    <t xml:space="preserve">	2025-08-20 20:00:34</t>
  </si>
  <si>
    <t xml:space="preserve">	6944975555435107709</t>
  </si>
  <si>
    <t xml:space="preserve">	2025-08-05 19:56:41</t>
  </si>
  <si>
    <t xml:space="preserve">	2025-08-05 19:56:45</t>
  </si>
  <si>
    <t xml:space="preserve">	2025-08-20 19:56:45</t>
  </si>
  <si>
    <t xml:space="preserve">	6944953009409234734</t>
  </si>
  <si>
    <t xml:space="preserve">	2025-08-05 19:41:29</t>
  </si>
  <si>
    <t xml:space="preserve">	2025-08-20 19:41:29</t>
  </si>
  <si>
    <t xml:space="preserve">	6944968803509670955</t>
  </si>
  <si>
    <t>海沧区</t>
  </si>
  <si>
    <t>东孚街道</t>
  </si>
  <si>
    <t xml:space="preserve">	2025-08-05 19:09:42</t>
  </si>
  <si>
    <t xml:space="preserve">	2025-08-05 19:09:46</t>
  </si>
  <si>
    <t xml:space="preserve">	2025-08-20 19:09:47</t>
  </si>
  <si>
    <t xml:space="preserve">	6944951023062815759</t>
  </si>
  <si>
    <t xml:space="preserve">	2025-08-05 18:07:14</t>
  </si>
  <si>
    <t xml:space="preserve">	2025-08-05 18:07:16</t>
  </si>
  <si>
    <t xml:space="preserve">	2025-08-20 18:07:16</t>
  </si>
  <si>
    <t xml:space="preserve">	6920623389321559269</t>
  </si>
  <si>
    <t xml:space="preserve">	2025-08-05 17:49:48</t>
  </si>
  <si>
    <t xml:space="preserve">	2025-08-05 17:49:49</t>
  </si>
  <si>
    <t xml:space="preserve">	2025-08-20 17:49:50</t>
  </si>
  <si>
    <t xml:space="preserve">	6944964007336154462</t>
  </si>
  <si>
    <t xml:space="preserve">	2025-08-05 17:30:34</t>
  </si>
  <si>
    <t xml:space="preserve">	2025-08-05 17:30:36</t>
  </si>
  <si>
    <t xml:space="preserve">	2025-08-20 17:30:37</t>
  </si>
  <si>
    <t xml:space="preserve">	6944957496899016206</t>
  </si>
  <si>
    <t>中山市</t>
  </si>
  <si>
    <t>南区街道</t>
  </si>
  <si>
    <t xml:space="preserve">	2025-08-05 17:17:51</t>
  </si>
  <si>
    <t xml:space="preserve">	2025-08-20 17:17:51</t>
  </si>
  <si>
    <t xml:space="preserve">	6944957310956999947</t>
  </si>
  <si>
    <t>寻甸回族彝族自治县</t>
  </si>
  <si>
    <t>仁德街道</t>
  </si>
  <si>
    <t xml:space="preserve">	2025-08-05 17:13:56</t>
  </si>
  <si>
    <t xml:space="preserve">	2025-08-05 17:13:59</t>
  </si>
  <si>
    <t xml:space="preserve">	2025-08-20 17:13:59</t>
  </si>
  <si>
    <t xml:space="preserve">	6944957360035730699</t>
  </si>
  <si>
    <t xml:space="preserve">	2025-08-05 17:10:29</t>
  </si>
  <si>
    <t xml:space="preserve">	2025-08-05 17:10:33</t>
  </si>
  <si>
    <t xml:space="preserve">	2025-08-20 17:10:33</t>
  </si>
  <si>
    <t xml:space="preserve">	6944968651697951916</t>
  </si>
  <si>
    <t xml:space="preserve">	2025-08-05 17:03:48</t>
  </si>
  <si>
    <t xml:space="preserve">	2025-08-05 17:03:56</t>
  </si>
  <si>
    <t xml:space="preserve">	2025-08-20 17:03:57</t>
  </si>
  <si>
    <t xml:space="preserve">	6944977580584277487</t>
  </si>
  <si>
    <t>合肥市</t>
  </si>
  <si>
    <t>瑶海区</t>
  </si>
  <si>
    <t>胜利路街道</t>
  </si>
  <si>
    <t xml:space="preserve">	2025-08-05 16:40:13</t>
  </si>
  <si>
    <t>73567576775193(收） Z2183-米白色-XL*1#</t>
  </si>
  <si>
    <t xml:space="preserve">	2025-08-05 16:40:23</t>
  </si>
  <si>
    <t xml:space="preserve">	2025-08-20 16:40:23</t>
  </si>
  <si>
    <t xml:space="preserve">	2025-08-07 15:22:59</t>
  </si>
  <si>
    <t xml:space="preserve">	6920627920432102947</t>
  </si>
  <si>
    <t xml:space="preserve">	先用后付</t>
  </si>
  <si>
    <t>河源市</t>
  </si>
  <si>
    <t>源城区</t>
  </si>
  <si>
    <t>东埔街道</t>
  </si>
  <si>
    <t xml:space="preserve">	2025-08-05 16:40:07</t>
  </si>
  <si>
    <t>拦截;76728055813010(收） Z2183-米白色-L*1#</t>
  </si>
  <si>
    <t xml:space="preserve">	2025-08-05 16:40:09</t>
  </si>
  <si>
    <t xml:space="preserve">	2025-08-20 16:40:10</t>
  </si>
  <si>
    <t xml:space="preserve">	2025-08-05 19:34:38</t>
  </si>
  <si>
    <t xml:space="preserve">	6920625446679837890</t>
  </si>
  <si>
    <t>后沙峪地区</t>
  </si>
  <si>
    <t xml:space="preserve">	2025-08-05 16:29:32</t>
  </si>
  <si>
    <t>SF3231074706727(收） Z1578-浅灰色-S*1#</t>
  </si>
  <si>
    <t xml:space="preserve">	2025-08-05 16:29:34</t>
  </si>
  <si>
    <t xml:space="preserve">	2025-08-20 16:29:34</t>
  </si>
  <si>
    <t xml:space="preserve">	2025-08-15 22:10:45</t>
  </si>
  <si>
    <t xml:space="preserve">	6944959108104984184</t>
  </si>
  <si>
    <t>达拉特旗</t>
  </si>
  <si>
    <t>树林召镇</t>
  </si>
  <si>
    <t xml:space="preserve">	2025-08-05 16:22:57</t>
  </si>
  <si>
    <t xml:space="preserve">	2025-08-05 16:22:58</t>
  </si>
  <si>
    <t xml:space="preserve">	2025-08-20 16:22:59</t>
  </si>
  <si>
    <t xml:space="preserve">	6920621338442103862</t>
  </si>
  <si>
    <t>上钢新村街道</t>
  </si>
  <si>
    <t xml:space="preserve">	2025-08-05 16:17:12</t>
  </si>
  <si>
    <t xml:space="preserve">	2025-08-05 16:17:14</t>
  </si>
  <si>
    <t xml:space="preserve">	2025-08-20 16:17:15</t>
  </si>
  <si>
    <t xml:space="preserve">	6944959062942357247</t>
  </si>
  <si>
    <t>平台特惠省钱卡券-15.00</t>
  </si>
  <si>
    <t>中牟县</t>
  </si>
  <si>
    <t>大孟街道</t>
  </si>
  <si>
    <t xml:space="preserve">	2025-08-05 16:14:40</t>
  </si>
  <si>
    <t xml:space="preserve">	2025-08-25 23:31:30</t>
  </si>
  <si>
    <t xml:space="preserve">	2025-08-05 16:14:47</t>
  </si>
  <si>
    <t xml:space="preserve">	2025-08-20 16:14:48</t>
  </si>
  <si>
    <t xml:space="preserve">	2025-08-18 23:31:30</t>
  </si>
  <si>
    <t xml:space="preserve">	6944952640570332788</t>
  </si>
  <si>
    <t>浦江镇</t>
  </si>
  <si>
    <t xml:space="preserve">	2025-08-05 16:14:38</t>
  </si>
  <si>
    <t xml:space="preserve">	2025-08-20 16:14:41</t>
  </si>
  <si>
    <t xml:space="preserve">	6944950932732318859</t>
  </si>
  <si>
    <t>北七家镇</t>
  </si>
  <si>
    <t xml:space="preserve">	2025-08-05 16:14:30</t>
  </si>
  <si>
    <t xml:space="preserve">	2025-08-19 17:50:07</t>
  </si>
  <si>
    <t xml:space="preserve">	2025-08-05 16:14:31</t>
  </si>
  <si>
    <t xml:space="preserve">	2025-08-20 16:14:32</t>
  </si>
  <si>
    <t xml:space="preserve">	2025-08-16 22:00:52</t>
  </si>
  <si>
    <t xml:space="preserve">	6944961394970727602</t>
  </si>
  <si>
    <t>乐清市</t>
  </si>
  <si>
    <t xml:space="preserve">	2025-08-05 16:14:28</t>
  </si>
  <si>
    <t xml:space="preserve">	2025-08-05 16:14:36</t>
  </si>
  <si>
    <t xml:space="preserve">	2025-08-20 16:14:37</t>
  </si>
  <si>
    <t xml:space="preserve">	6944977539975222612</t>
  </si>
  <si>
    <t>东山街道</t>
  </si>
  <si>
    <t xml:space="preserve">	2025-08-05 16:14:26</t>
  </si>
  <si>
    <t>SF3289696078079(收） Z1640-黑色-M*1#</t>
  </si>
  <si>
    <t xml:space="preserve">	2025-08-20 16:14:29</t>
  </si>
  <si>
    <t xml:space="preserve">	6920623249652940196</t>
  </si>
  <si>
    <t>黑河市</t>
  </si>
  <si>
    <t>爱辉区</t>
  </si>
  <si>
    <t xml:space="preserve">	2025-08-05 16:14:25</t>
  </si>
  <si>
    <t xml:space="preserve">	2025-08-05 16:14:59</t>
  </si>
  <si>
    <t xml:space="preserve">	2025-08-20 16:15:00</t>
  </si>
  <si>
    <t xml:space="preserve">	6920623177386654869</t>
  </si>
  <si>
    <t xml:space="preserve">	2025-08-05 16:14:22</t>
  </si>
  <si>
    <t xml:space="preserve">	2025-08-05 16:14:23</t>
  </si>
  <si>
    <t xml:space="preserve">	2025-08-20 16:14:24</t>
  </si>
  <si>
    <t xml:space="preserve">	6920623208407596480</t>
  </si>
  <si>
    <t>六里屯街道</t>
  </si>
  <si>
    <t xml:space="preserve">	2025-08-05 16:14:18</t>
  </si>
  <si>
    <t>SF3286241117039(收） Z1640-黑色-M*1#</t>
  </si>
  <si>
    <t xml:space="preserve">	2025-08-05 16:14:19</t>
  </si>
  <si>
    <t xml:space="preserve">	2025-08-20 16:14:19</t>
  </si>
  <si>
    <t xml:space="preserve">	6944950906906088501</t>
  </si>
  <si>
    <t xml:space="preserve">	浅灰色;M(100-120斤);15天内发货</t>
  </si>
  <si>
    <t xml:space="preserve">	Z1578-浅灰色-M</t>
  </si>
  <si>
    <t>珠海市</t>
  </si>
  <si>
    <t>斗门区</t>
  </si>
  <si>
    <t>井岸镇</t>
  </si>
  <si>
    <t xml:space="preserve">	2025-08-05 16:12:17</t>
  </si>
  <si>
    <t xml:space="preserve">	2025-08-22 22:08:57</t>
  </si>
  <si>
    <t xml:space="preserve">	2025-08-05 16:12:19</t>
  </si>
  <si>
    <t xml:space="preserve">	2025-08-20 16:12:19</t>
  </si>
  <si>
    <t xml:space="preserve">	2025-08-15 22:08:57</t>
  </si>
  <si>
    <t xml:space="preserve">	6944959103140172870</t>
  </si>
  <si>
    <t xml:space="preserve">	2025-08-05 16:09:02</t>
  </si>
  <si>
    <t xml:space="preserve">	2025-08-20 16:09:02</t>
  </si>
  <si>
    <t xml:space="preserve">	6944950801309242421</t>
  </si>
  <si>
    <t xml:space="preserve">	2025-08-05 16:08:11</t>
  </si>
  <si>
    <t xml:space="preserve">	2025-08-05 16:08:13</t>
  </si>
  <si>
    <t xml:space="preserve">	2025-08-20 16:08:13</t>
  </si>
  <si>
    <t xml:space="preserve">	6944968570105369665</t>
  </si>
  <si>
    <t xml:space="preserve">	2025-08-05 16:08:04</t>
  </si>
  <si>
    <t xml:space="preserve">	2025-08-05 16:08:07</t>
  </si>
  <si>
    <t xml:space="preserve">	2025-08-20 16:08:07</t>
  </si>
  <si>
    <t xml:space="preserve">	6944950886274962772</t>
  </si>
  <si>
    <t xml:space="preserve">	2025-08-05 16:04:44</t>
  </si>
  <si>
    <t xml:space="preserve">	2025-08-05 16:04:47</t>
  </si>
  <si>
    <t xml:space="preserve">	2025-08-20 16:04:47</t>
  </si>
  <si>
    <t xml:space="preserve">	6944954560107648200</t>
  </si>
  <si>
    <t>向阳里街道</t>
  </si>
  <si>
    <t xml:space="preserve">	2025-08-05 16:04:41</t>
  </si>
  <si>
    <t xml:space="preserve">	2025-08-05 16:04:46</t>
  </si>
  <si>
    <t xml:space="preserve">	6944977544809092363</t>
  </si>
  <si>
    <t xml:space="preserve">	2025-08-05 15:58:23</t>
  </si>
  <si>
    <t xml:space="preserve">	2025-08-05 15:58:27</t>
  </si>
  <si>
    <t xml:space="preserve">	2025-08-20 15:58:28</t>
  </si>
  <si>
    <t xml:space="preserve">	6920627828688911695</t>
  </si>
  <si>
    <t>安次区</t>
  </si>
  <si>
    <t xml:space="preserve">	2025-08-05 15:58:05</t>
  </si>
  <si>
    <t xml:space="preserve">	2025-08-05 15:58:09</t>
  </si>
  <si>
    <t xml:space="preserve">	2025-08-20 15:58:09</t>
  </si>
  <si>
    <t xml:space="preserve">	6944958987061565293</t>
  </si>
  <si>
    <t>南充市</t>
  </si>
  <si>
    <t>仪陇县</t>
  </si>
  <si>
    <t>金城镇</t>
  </si>
  <si>
    <t xml:space="preserve">	2025-08-05 15:57:55</t>
  </si>
  <si>
    <t xml:space="preserve">	2025-08-20 15:58:05</t>
  </si>
  <si>
    <t xml:space="preserve">	6944950918635263128</t>
  </si>
  <si>
    <t>黔西南布依族苗族自治州</t>
  </si>
  <si>
    <t>兴义市</t>
  </si>
  <si>
    <t>兴泰街道</t>
  </si>
  <si>
    <t xml:space="preserve">	2025-08-05 15:57:38</t>
  </si>
  <si>
    <t xml:space="preserve">	2025-08-05 15:57:43</t>
  </si>
  <si>
    <t xml:space="preserve">	2025-08-20 15:57:43</t>
  </si>
  <si>
    <t xml:space="preserve">	6920625499578859407</t>
  </si>
  <si>
    <t xml:space="preserve">	2025-08-05 15:57:26</t>
  </si>
  <si>
    <t>SF3231818256965(收） Z1578-黑色-L*1#</t>
  </si>
  <si>
    <t xml:space="preserve">	2025-08-05 15:57:28</t>
  </si>
  <si>
    <t xml:space="preserve">	2025-08-20 15:57:28</t>
  </si>
  <si>
    <t xml:space="preserve">	2025-08-15 17:28:45</t>
  </si>
  <si>
    <t xml:space="preserve">	6944958967077541294</t>
  </si>
  <si>
    <t>虹桥街道</t>
  </si>
  <si>
    <t xml:space="preserve">	2025-08-05 15:57:20</t>
  </si>
  <si>
    <t>73568371684437(收） Z1578-黑色-M*1#</t>
  </si>
  <si>
    <t xml:space="preserve">	2025-08-05 15:57:25</t>
  </si>
  <si>
    <t xml:space="preserve">	2025-08-20 15:57:26</t>
  </si>
  <si>
    <t xml:space="preserve">	2025-08-15 22:08:02</t>
  </si>
  <si>
    <t xml:space="preserve">	6944972944518550716</t>
  </si>
  <si>
    <t>马尚街道</t>
  </si>
  <si>
    <t xml:space="preserve">	2025-08-05 15:57:16</t>
  </si>
  <si>
    <t xml:space="preserve">	2025-08-05 15:57:17</t>
  </si>
  <si>
    <t xml:space="preserve">	2025-08-20 15:57:18</t>
  </si>
  <si>
    <t xml:space="preserve">	6944950715772180275</t>
  </si>
  <si>
    <t>马驹桥镇</t>
  </si>
  <si>
    <t xml:space="preserve">	2025-08-17 21:26:20</t>
  </si>
  <si>
    <t xml:space="preserve">	2025-08-05 15:57:18</t>
  </si>
  <si>
    <t xml:space="preserve">	6920625504863551332</t>
  </si>
  <si>
    <t xml:space="preserve">	2025-08-05 15:57:15</t>
  </si>
  <si>
    <t xml:space="preserve">	2025-09-01 22:08:02</t>
  </si>
  <si>
    <t xml:space="preserve">	2025-08-20 15:57:17</t>
  </si>
  <si>
    <t xml:space="preserve">	6944946155381659186</t>
  </si>
  <si>
    <t xml:space="preserve">	2025-08-05 15:57:14</t>
  </si>
  <si>
    <t xml:space="preserve">	6944954582617035976</t>
  </si>
  <si>
    <t xml:space="preserve">	2025-08-05 15:57:11</t>
  </si>
  <si>
    <t xml:space="preserve">	2025-08-20 15:57:15</t>
  </si>
  <si>
    <t xml:space="preserve">	6944954581036701234</t>
  </si>
  <si>
    <t xml:space="preserve">	2025-08-05 15:53:41</t>
  </si>
  <si>
    <t xml:space="preserve">	2025-08-05 15:53:46</t>
  </si>
  <si>
    <t xml:space="preserve">	2025-08-20 15:53:47</t>
  </si>
  <si>
    <t xml:space="preserve">	6920625548926615460</t>
  </si>
  <si>
    <t>汕头市</t>
  </si>
  <si>
    <t>澄海区</t>
  </si>
  <si>
    <t>莲下镇</t>
  </si>
  <si>
    <t xml:space="preserve">	2025-08-05 15:53:28</t>
  </si>
  <si>
    <t xml:space="preserve">	2025-08-12 20:44:44</t>
  </si>
  <si>
    <t xml:space="preserve">	2025-08-05 15:53:34</t>
  </si>
  <si>
    <t xml:space="preserve">	2025-08-20 15:53:35</t>
  </si>
  <si>
    <t xml:space="preserve">	2025-08-05 20:44:44</t>
  </si>
  <si>
    <t xml:space="preserve">	6944959033161226075</t>
  </si>
  <si>
    <t xml:space="preserve">	2025-08-05 15:53:13</t>
  </si>
  <si>
    <t>73567534458967(收） Z1578-黑色-M*1#</t>
  </si>
  <si>
    <t xml:space="preserve">	2025-08-05 15:53:17</t>
  </si>
  <si>
    <t xml:space="preserve">	2025-08-20 15:53:17</t>
  </si>
  <si>
    <t xml:space="preserve">	2025-08-05 16:47:15</t>
  </si>
  <si>
    <t xml:space="preserve">	6944946092181821002</t>
  </si>
  <si>
    <t xml:space="preserve">	2025-08-05 15:53:12</t>
  </si>
  <si>
    <t xml:space="preserve">	2025-08-12 17:22:05</t>
  </si>
  <si>
    <t xml:space="preserve">	2025-08-05 15:53:16</t>
  </si>
  <si>
    <t xml:space="preserve">	2025-08-05 17:22:05</t>
  </si>
  <si>
    <t xml:space="preserve">	6920625495653711394</t>
  </si>
  <si>
    <t xml:space="preserve">	2025-08-05 15:53:11</t>
  </si>
  <si>
    <t xml:space="preserve">	2025-08-20 15:53:11</t>
  </si>
  <si>
    <t xml:space="preserve">	6944977600673944957</t>
  </si>
  <si>
    <t xml:space="preserve">	2025-08-05 15:53:07</t>
  </si>
  <si>
    <t>SF3233553794906(收） Z1578-黑色-M*1#</t>
  </si>
  <si>
    <t xml:space="preserve">	2025-08-05 15:53:09</t>
  </si>
  <si>
    <t xml:space="preserve">	2025-08-20 15:53:10</t>
  </si>
  <si>
    <t xml:space="preserve">	6944948490935997505</t>
  </si>
  <si>
    <t xml:space="preserve">	2025-08-05 15:53:06</t>
  </si>
  <si>
    <t xml:space="preserve">	2025-08-12 16:47:15</t>
  </si>
  <si>
    <t xml:space="preserve">	2025-08-20 15:53:09</t>
  </si>
  <si>
    <t xml:space="preserve">	6920627712154566372</t>
  </si>
  <si>
    <t xml:space="preserve">	2025-08-05 15:53:04</t>
  </si>
  <si>
    <t xml:space="preserve">	6944961265710863858</t>
  </si>
  <si>
    <t>临沭县</t>
  </si>
  <si>
    <t>临沭街道</t>
  </si>
  <si>
    <t xml:space="preserve">	2025-08-05 15:50:58</t>
  </si>
  <si>
    <t xml:space="preserve">	2025-08-20 15:50:58</t>
  </si>
  <si>
    <t xml:space="preserve">	6920630107057257697</t>
  </si>
  <si>
    <t>余杭区</t>
  </si>
  <si>
    <t>瓶窑镇</t>
  </si>
  <si>
    <t xml:space="preserve">	2025-08-05 15:50:28</t>
  </si>
  <si>
    <t xml:space="preserve">	2025-08-20 15:50:28</t>
  </si>
  <si>
    <t xml:space="preserve">	6944958923185330011</t>
  </si>
  <si>
    <t xml:space="preserve">	2025-08-05 15:50:11</t>
  </si>
  <si>
    <t xml:space="preserve">	2025-08-20 15:50:11</t>
  </si>
  <si>
    <t xml:space="preserve">	6920625428922269063</t>
  </si>
  <si>
    <t>郫都区</t>
  </si>
  <si>
    <t>唐昌镇</t>
  </si>
  <si>
    <t xml:space="preserve">	2025-08-05 15:47:54</t>
  </si>
  <si>
    <t xml:space="preserve">	2025-08-20 15:47:54</t>
  </si>
  <si>
    <t xml:space="preserve">	6920630017394310867</t>
  </si>
  <si>
    <t>平台常读小说惊喜券-13.00</t>
  </si>
  <si>
    <t>龙洞街道</t>
  </si>
  <si>
    <t xml:space="preserve">	2025-08-05 15:40:22</t>
  </si>
  <si>
    <t>SF3280270233876(收） Z1640-黑色-M*1#</t>
  </si>
  <si>
    <t xml:space="preserve">	2025-08-05 15:40:37</t>
  </si>
  <si>
    <t>常读小说-抖音电商</t>
  </si>
  <si>
    <t xml:space="preserve">	2025-08-20 15:40:38</t>
  </si>
  <si>
    <t xml:space="preserve">	6944950707880662220</t>
  </si>
  <si>
    <t>东丽区</t>
  </si>
  <si>
    <t>东丽湖街道</t>
  </si>
  <si>
    <t xml:space="preserve">	2025-08-05 15:36:24</t>
  </si>
  <si>
    <t xml:space="preserve">	2025-08-05 15:36:26</t>
  </si>
  <si>
    <t xml:space="preserve">	2025-08-20 15:36:26</t>
  </si>
  <si>
    <t xml:space="preserve">	6944957166414075627</t>
  </si>
  <si>
    <t>二道区</t>
  </si>
  <si>
    <t xml:space="preserve">	2025-08-05 15:26:12</t>
  </si>
  <si>
    <t xml:space="preserve">	2025-08-05 15:26:18</t>
  </si>
  <si>
    <t xml:space="preserve">	2025-08-20 15:26:18</t>
  </si>
  <si>
    <t xml:space="preserve">	6920625222096879054</t>
  </si>
  <si>
    <t xml:space="preserve">	【老板周】小众设计 秋冬新款通勤垂感休闲阔腿裤</t>
  </si>
  <si>
    <t xml:space="preserve">	3766962798706425895</t>
  </si>
  <si>
    <t xml:space="preserve">	Z2316-黑色-M</t>
  </si>
  <si>
    <t>平台商城满减券-26.20</t>
  </si>
  <si>
    <t>威海市</t>
  </si>
  <si>
    <t>环翠区</t>
  </si>
  <si>
    <t>竹岛街道</t>
  </si>
  <si>
    <t xml:space="preserve">	2025-08-05 14:09:27</t>
  </si>
  <si>
    <t>补发(6127922)#;补发76736668246633</t>
  </si>
  <si>
    <t xml:space="preserve">	2025-08-31 10:25:31</t>
  </si>
  <si>
    <t xml:space="preserve">	2025-08-05 14:09:33</t>
  </si>
  <si>
    <t xml:space="preserve">	2025-08-20 14:09:34</t>
  </si>
  <si>
    <t xml:space="preserve">	2025-08-19 10:25:31</t>
  </si>
  <si>
    <t xml:space="preserve">	6920618201222249852</t>
  </si>
  <si>
    <t>平台商城满减券-21.14</t>
  </si>
  <si>
    <t>刘寨街道</t>
  </si>
  <si>
    <t xml:space="preserve">	2025-08-04 19:20:07</t>
  </si>
  <si>
    <t xml:space="preserve">	2025-08-25 21:22:48</t>
  </si>
  <si>
    <t xml:space="preserve">	2025-08-04 19:20:19</t>
  </si>
  <si>
    <t xml:space="preserve">	2025-08-19 19:20:19</t>
  </si>
  <si>
    <t xml:space="preserve">	2025-08-18 21:22:48</t>
  </si>
  <si>
    <t xml:space="preserve">	6920612931793354304</t>
  </si>
  <si>
    <t xml:space="preserve">	【老板周】松弛感 秋冬新品复古v领开叉开箱针织上衣</t>
  </si>
  <si>
    <t xml:space="preserve">	灰卡其色;S(80-100斤);15天内发货</t>
  </si>
  <si>
    <t xml:space="preserve">	3766962903916347441</t>
  </si>
  <si>
    <t xml:space="preserve">	Z2290-灰卡其色-S</t>
  </si>
  <si>
    <t>平台有用评价激励券-5.00</t>
  </si>
  <si>
    <t xml:space="preserve">	2025-08-04 17:01:50</t>
  </si>
  <si>
    <t xml:space="preserve">	2025-08-04 17:01:51</t>
  </si>
  <si>
    <t xml:space="preserve">	2025-08-19 17:01:51</t>
  </si>
  <si>
    <t xml:space="preserve">	6920605298699632192</t>
  </si>
  <si>
    <t xml:space="preserve">	2025-08-04 13:30:22</t>
  </si>
  <si>
    <t xml:space="preserve">	2025-08-04 13:30:24</t>
  </si>
  <si>
    <t xml:space="preserve">	2025-08-19 13:30:24</t>
  </si>
  <si>
    <t xml:space="preserve">	6920608037183782497</t>
  </si>
  <si>
    <t xml:space="preserve">	【老板周】小众复古 夏季新品时髦松紧腰青提半身裙</t>
  </si>
  <si>
    <t xml:space="preserve">	花色;L(120-135斤);15天内发货</t>
  </si>
  <si>
    <t xml:space="preserve">	3766942913116897480</t>
  </si>
  <si>
    <t xml:space="preserve">	Z2206-花色-L</t>
  </si>
  <si>
    <t>海淀区</t>
  </si>
  <si>
    <t>八里庄街道</t>
  </si>
  <si>
    <t xml:space="preserve">	2025-08-04 12:25:17</t>
  </si>
  <si>
    <t>SF3236746509661(收） Z2206-花色-L*1#</t>
  </si>
  <si>
    <t xml:space="preserve">	2025-08-04 12:25:20</t>
  </si>
  <si>
    <t xml:space="preserve">	2025-08-19 12:25:21</t>
  </si>
  <si>
    <t xml:space="preserve">	2025-08-06 19:55:31</t>
  </si>
  <si>
    <t xml:space="preserve">	6920600395440946785</t>
  </si>
  <si>
    <t xml:space="preserve">	2025-08-04 12:18:26</t>
  </si>
  <si>
    <t xml:space="preserve">	2025-08-13 17:59:42</t>
  </si>
  <si>
    <t xml:space="preserve">	2025-08-04 12:18:30</t>
  </si>
  <si>
    <t xml:space="preserve">	2025-08-19 12:18:30</t>
  </si>
  <si>
    <t xml:space="preserve">	2025-08-06 17:59:42</t>
  </si>
  <si>
    <t xml:space="preserve">	6920600395441012321</t>
  </si>
  <si>
    <t xml:space="preserve">	粉色;XL(125-140斤);15天内发货</t>
  </si>
  <si>
    <t xml:space="preserve">	Z2256-粉色-XL</t>
  </si>
  <si>
    <t xml:space="preserve">	2025-08-13 19:41:54</t>
  </si>
  <si>
    <t xml:space="preserve">	2025-08-06 19:41:54</t>
  </si>
  <si>
    <t xml:space="preserve">	6920600395441077857</t>
  </si>
  <si>
    <t xml:space="preserve">	2025-08-19 21:05:10</t>
  </si>
  <si>
    <t xml:space="preserve">	2025-08-12 21:05:10</t>
  </si>
  <si>
    <t xml:space="preserve">	6944927892023088740</t>
  </si>
  <si>
    <t xml:space="preserve">	粉色;M(95-110斤);15天内发货</t>
  </si>
  <si>
    <t xml:space="preserve">	Z2256-粉色-M</t>
  </si>
  <si>
    <t>江溪街道</t>
  </si>
  <si>
    <t xml:space="preserve">	2025-08-04 01:33:01</t>
  </si>
  <si>
    <t xml:space="preserve">	2025-08-04 01:33:07</t>
  </si>
  <si>
    <t xml:space="preserve">	2025-08-19 01:33:07</t>
  </si>
  <si>
    <t xml:space="preserve">	6944914627432813785</t>
  </si>
  <si>
    <t xml:space="preserve">	2025-08-04 00:16:41</t>
  </si>
  <si>
    <t xml:space="preserve">	2025-08-04 00:16:46</t>
  </si>
  <si>
    <t xml:space="preserve">	2025-08-19 00:16:47</t>
  </si>
  <si>
    <t xml:space="preserve">	6920601694353325640</t>
  </si>
  <si>
    <t>福保街道</t>
  </si>
  <si>
    <t xml:space="preserve">	2025-08-03 23:20:25</t>
  </si>
  <si>
    <t>SF3287036445761(收） Z2183-黑色-M*1#</t>
  </si>
  <si>
    <t xml:space="preserve">	2025-08-03 23:20:27</t>
  </si>
  <si>
    <t xml:space="preserve">	2025-08-18 23:20:28</t>
  </si>
  <si>
    <t xml:space="preserve">	2025-08-12 21:07:49</t>
  </si>
  <si>
    <t xml:space="preserve">	6920604063669190129</t>
  </si>
  <si>
    <t>吴忠市</t>
  </si>
  <si>
    <t>利通区</t>
  </si>
  <si>
    <t>古城镇</t>
  </si>
  <si>
    <t xml:space="preserve">	2025-08-03 23:09:43</t>
  </si>
  <si>
    <t>73566929226126(收） Z2183-米白色-L*1#</t>
  </si>
  <si>
    <t xml:space="preserve">	2025-08-03 23:09:45</t>
  </si>
  <si>
    <t xml:space="preserve">	2025-08-18 23:09:45</t>
  </si>
  <si>
    <t xml:space="preserve">	2025-08-03 23:44:25</t>
  </si>
  <si>
    <t xml:space="preserve">	6944912275027137802</t>
  </si>
  <si>
    <t xml:space="preserve">	2025-08-03 22:14:14</t>
  </si>
  <si>
    <t>拦截  退回2件Z2285;76731045646942(收） Z2285-灰色-L*1
Z2285-灰色-M*1#</t>
  </si>
  <si>
    <t xml:space="preserve">	2025-08-03 22:14:19</t>
  </si>
  <si>
    <t xml:space="preserve">	2025-08-18 22:14:20</t>
  </si>
  <si>
    <t xml:space="preserve">	2025-08-16 00:35:04</t>
  </si>
  <si>
    <t xml:space="preserve">	6920597304474435144</t>
  </si>
  <si>
    <t xml:space="preserve">	2025-08-03 22:08:00</t>
  </si>
  <si>
    <t xml:space="preserve">	2025-08-03 22:08:02</t>
  </si>
  <si>
    <t xml:space="preserve">	2025-08-18 22:08:02</t>
  </si>
  <si>
    <t xml:space="preserve">	6944918576931608501</t>
  </si>
  <si>
    <t xml:space="preserve">	2025-08-03 21:55:12</t>
  </si>
  <si>
    <t xml:space="preserve">	2025-08-08 09:20:53</t>
  </si>
  <si>
    <t xml:space="preserve">	2025-08-03 21:55:13</t>
  </si>
  <si>
    <t xml:space="preserve">	2025-08-18 21:55:13</t>
  </si>
  <si>
    <t xml:space="preserve">	2025-08-03 22:58:50</t>
  </si>
  <si>
    <t xml:space="preserve">	6944903525287073623</t>
  </si>
  <si>
    <t>海伦市</t>
  </si>
  <si>
    <t xml:space="preserve">	2025-08-03 21:41:41</t>
  </si>
  <si>
    <t xml:space="preserve">	2025-08-03 21:41:47</t>
  </si>
  <si>
    <t xml:space="preserve">	2025-08-18 21:41:48</t>
  </si>
  <si>
    <t xml:space="preserve">	6920597250638314613</t>
  </si>
  <si>
    <t>平台体验补偿券-8.00</t>
  </si>
  <si>
    <t>屯昌县</t>
  </si>
  <si>
    <t>屯城镇</t>
  </si>
  <si>
    <t xml:space="preserve">	2025-08-03 21:40:33</t>
  </si>
  <si>
    <t xml:space="preserve">	2025-08-03 21:40:37</t>
  </si>
  <si>
    <t xml:space="preserve">	2025-08-18 21:40:38</t>
  </si>
  <si>
    <t xml:space="preserve">	6944910099995694939</t>
  </si>
  <si>
    <t xml:space="preserve">	2025-08-03 21:37:20</t>
  </si>
  <si>
    <t xml:space="preserve">	2025-08-03 21:37:24</t>
  </si>
  <si>
    <t xml:space="preserve">	2025-08-18 21:37:24</t>
  </si>
  <si>
    <t xml:space="preserve">	6944916083590370827</t>
  </si>
  <si>
    <t>婺城区</t>
  </si>
  <si>
    <t xml:space="preserve">	2025-08-03 21:01:06</t>
  </si>
  <si>
    <t>JT0018098467073(收） Z2183-米白色-L*1#</t>
  </si>
  <si>
    <t xml:space="preserve">	2025-08-03 21:01:18</t>
  </si>
  <si>
    <t xml:space="preserve">	2025-08-18 21:01:30</t>
  </si>
  <si>
    <t xml:space="preserve">	6944916130719602370</t>
  </si>
  <si>
    <t xml:space="preserve">	【老板周】随性松弛 夏季自在松紧腰舒适肌理感绿豆沙阔腿裤</t>
  </si>
  <si>
    <t xml:space="preserve">	灰绿色;M(100-120斤);15天内发货</t>
  </si>
  <si>
    <t xml:space="preserve">	3766942655402082491</t>
  </si>
  <si>
    <t xml:space="preserve">	Z2219-灰绿色-M</t>
  </si>
  <si>
    <t>新建区</t>
  </si>
  <si>
    <t>新祺周管理处</t>
  </si>
  <si>
    <t xml:space="preserve">	2025-08-03 20:59:11</t>
  </si>
  <si>
    <t xml:space="preserve">	2025-08-07 21:00:02</t>
  </si>
  <si>
    <t xml:space="preserve">	2025-08-03 20:59:13</t>
  </si>
  <si>
    <t xml:space="preserve">	2025-08-18 20:59:14</t>
  </si>
  <si>
    <t xml:space="preserve">	2025-08-05 23:44:13</t>
  </si>
  <si>
    <t xml:space="preserve">	6920598999028760314</t>
  </si>
  <si>
    <t>平台晚发即赔券-12.00</t>
  </si>
  <si>
    <t xml:space="preserve">	2025-08-03 20:55:06</t>
  </si>
  <si>
    <t xml:space="preserve">	2025-08-03 20:55:24</t>
  </si>
  <si>
    <t xml:space="preserve">	2025-08-18 20:55:24</t>
  </si>
  <si>
    <t xml:space="preserve">	6944892079395116489</t>
  </si>
  <si>
    <t xml:space="preserve">	2025-08-03 20:53:09</t>
  </si>
  <si>
    <t xml:space="preserve">	2025-08-12 20:38:21</t>
  </si>
  <si>
    <t xml:space="preserve">	2025-08-03 20:53:12</t>
  </si>
  <si>
    <t xml:space="preserve">	2025-08-18 20:53:12</t>
  </si>
  <si>
    <t xml:space="preserve">	2025-08-11 00:03:25</t>
  </si>
  <si>
    <t xml:space="preserve">	6944925213471151392</t>
  </si>
  <si>
    <t>延边朝鲜族自治州</t>
  </si>
  <si>
    <t>珲春市</t>
  </si>
  <si>
    <t xml:space="preserve">	2025-08-03 20:51:16</t>
  </si>
  <si>
    <t xml:space="preserve">	2025-08-03 20:51:17</t>
  </si>
  <si>
    <t xml:space="preserve">	2025-08-18 20:51:18</t>
  </si>
  <si>
    <t xml:space="preserve">	6944903365806855796</t>
  </si>
  <si>
    <t xml:space="preserve">	2025-08-03 20:51:08</t>
  </si>
  <si>
    <t xml:space="preserve">	2025-08-18 20:51:08</t>
  </si>
  <si>
    <t xml:space="preserve">	6920601220563696669</t>
  </si>
  <si>
    <t>自贡市</t>
  </si>
  <si>
    <t>富顺县</t>
  </si>
  <si>
    <t>富世街道</t>
  </si>
  <si>
    <t xml:space="preserve">	2025-08-03 20:47:24</t>
  </si>
  <si>
    <t>YT2562942665888(收） Z2183-黑色-M*1#</t>
  </si>
  <si>
    <t xml:space="preserve">	2025-08-03 20:47:25</t>
  </si>
  <si>
    <t xml:space="preserve">	2025-08-18 20:47:26</t>
  </si>
  <si>
    <t xml:space="preserve">	2025-08-12 17:04:05</t>
  </si>
  <si>
    <t xml:space="preserve">	6944912101348349659</t>
  </si>
  <si>
    <t>大渡口区</t>
  </si>
  <si>
    <t xml:space="preserve">	2025-08-03 20:44:13</t>
  </si>
  <si>
    <t xml:space="preserve">	2025-08-03 20:44:15</t>
  </si>
  <si>
    <t xml:space="preserve">	2025-08-18 20:44:15</t>
  </si>
  <si>
    <t xml:space="preserve">	6944910033171518863</t>
  </si>
  <si>
    <t>天水市</t>
  </si>
  <si>
    <t>秦州区</t>
  </si>
  <si>
    <t>东关街道</t>
  </si>
  <si>
    <t xml:space="preserve">	2025-08-03 20:38:41</t>
  </si>
  <si>
    <t xml:space="preserve">	2025-08-03 20:38:44</t>
  </si>
  <si>
    <t xml:space="preserve">	2025-08-18 20:38:44</t>
  </si>
  <si>
    <t xml:space="preserve">	6944894348539598117</t>
  </si>
  <si>
    <t>玉带街道</t>
  </si>
  <si>
    <t xml:space="preserve">	2025-08-03 20:36:01</t>
  </si>
  <si>
    <t xml:space="preserve">	2025-08-10 21:08:44</t>
  </si>
  <si>
    <t xml:space="preserve">	2025-08-03 20:36:05</t>
  </si>
  <si>
    <t xml:space="preserve">	2025-08-18 20:36:05</t>
  </si>
  <si>
    <t xml:space="preserve">	2025-08-03 21:08:44</t>
  </si>
  <si>
    <t xml:space="preserve">	6944894445950997914</t>
  </si>
  <si>
    <t>盐湖区</t>
  </si>
  <si>
    <t>北城街道</t>
  </si>
  <si>
    <t xml:space="preserve">	2025-08-03 20:34:30</t>
  </si>
  <si>
    <t>73566921758077(收） Z2183-米白色-L*1#</t>
  </si>
  <si>
    <t xml:space="preserve">	2025-08-03 20:34:31</t>
  </si>
  <si>
    <t xml:space="preserve">	2025-08-18 20:34:31</t>
  </si>
  <si>
    <t xml:space="preserve">	2025-08-03 20:58:02</t>
  </si>
  <si>
    <t xml:space="preserve">	6920598910303829221</t>
  </si>
  <si>
    <t xml:space="preserve">	2025-08-03 20:34:22</t>
  </si>
  <si>
    <t>73567240817554(收） Z2183-米白色-XL*1#</t>
  </si>
  <si>
    <t xml:space="preserve">	2025-08-03 20:34:24</t>
  </si>
  <si>
    <t xml:space="preserve">	2025-08-18 20:34:24</t>
  </si>
  <si>
    <t xml:space="preserve">	2025-08-04 16:32:02</t>
  </si>
  <si>
    <t xml:space="preserve">	6920597029757287796</t>
  </si>
  <si>
    <t xml:space="preserve">	2025-08-03 20:10:46</t>
  </si>
  <si>
    <t xml:space="preserve">	2025-08-22 00:05:58</t>
  </si>
  <si>
    <t xml:space="preserve">	2025-08-03 20:10:47</t>
  </si>
  <si>
    <t xml:space="preserve">	2025-08-18 20:10:47</t>
  </si>
  <si>
    <t>售后关闭</t>
  </si>
  <si>
    <t xml:space="preserve">	2025-08-15 00:05:58</t>
  </si>
  <si>
    <t xml:space="preserve">	6944903288191849689</t>
  </si>
  <si>
    <t xml:space="preserve">	2025-08-03 20:09:37</t>
  </si>
  <si>
    <t xml:space="preserve">	2025-08-03 20:09:41</t>
  </si>
  <si>
    <t xml:space="preserve">	2025-08-18 20:09:42</t>
  </si>
  <si>
    <t xml:space="preserve">	6920603387878342120</t>
  </si>
  <si>
    <t xml:space="preserve">	2025-08-03 19:47:22</t>
  </si>
  <si>
    <t xml:space="preserve">	2025-08-03 19:47:27</t>
  </si>
  <si>
    <t xml:space="preserve">	2025-08-18 19:47:27</t>
  </si>
  <si>
    <t xml:space="preserve">	6920603501684751405</t>
  </si>
  <si>
    <t>西山区</t>
  </si>
  <si>
    <t>昆明滇池国家旅游度假区</t>
  </si>
  <si>
    <t xml:space="preserve">	2025-08-03 19:47:21</t>
  </si>
  <si>
    <t xml:space="preserve">	6944915975575115032</t>
  </si>
  <si>
    <t xml:space="preserve">	2025-08-03 19:46:49</t>
  </si>
  <si>
    <t xml:space="preserve">	2025-08-03 19:46:53</t>
  </si>
  <si>
    <t xml:space="preserve">	2025-08-18 19:46:53</t>
  </si>
  <si>
    <t xml:space="preserve">	6944903281207219612</t>
  </si>
  <si>
    <t>安宁区</t>
  </si>
  <si>
    <t>刘家堡街道</t>
  </si>
  <si>
    <t xml:space="preserve">	2025-08-03 19:33:45</t>
  </si>
  <si>
    <t xml:space="preserve">	2025-08-25 22:15:36</t>
  </si>
  <si>
    <t xml:space="preserve">	2025-08-03 19:33:47</t>
  </si>
  <si>
    <t xml:space="preserve">	2025-08-18 19:33:47</t>
  </si>
  <si>
    <t xml:space="preserve">	2025-08-13 22:15:36</t>
  </si>
  <si>
    <t xml:space="preserve">	6944887422009677402</t>
  </si>
  <si>
    <t>达州市</t>
  </si>
  <si>
    <t>通川区</t>
  </si>
  <si>
    <t>朝阳街道</t>
  </si>
  <si>
    <t xml:space="preserve">	2025-08-03 18:51:53</t>
  </si>
  <si>
    <t xml:space="preserve">	2025-08-18 18:51:53</t>
  </si>
  <si>
    <t xml:space="preserve">	6944909737862109152</t>
  </si>
  <si>
    <t>霸州市</t>
  </si>
  <si>
    <t>康仙庄镇</t>
  </si>
  <si>
    <t xml:space="preserve">	2025-08-03 17:57:41</t>
  </si>
  <si>
    <t xml:space="preserve">	2025-08-18 17:41:11</t>
  </si>
  <si>
    <t xml:space="preserve">	2025-08-03 17:57:50</t>
  </si>
  <si>
    <t xml:space="preserve">	2025-08-18 17:57:50</t>
  </si>
  <si>
    <t xml:space="preserve">	6920596679912357496</t>
  </si>
  <si>
    <t xml:space="preserve">	2025-08-03 17:55:00</t>
  </si>
  <si>
    <t>73568089669244(收） Z1640-黑色-L*1#</t>
  </si>
  <si>
    <t xml:space="preserve">	2025-08-03 17:55:07</t>
  </si>
  <si>
    <t xml:space="preserve">	2025-08-18 17:55:07</t>
  </si>
  <si>
    <t xml:space="preserve">	2025-08-14 00:50:34</t>
  </si>
  <si>
    <t xml:space="preserve">	6944915932657882862</t>
  </si>
  <si>
    <t>城阳区</t>
  </si>
  <si>
    <t xml:space="preserve">	2025-08-03 17:54:28</t>
  </si>
  <si>
    <t>SF3287812506848(收） Z1640-黑色-L*1#</t>
  </si>
  <si>
    <t xml:space="preserve">	2025-08-03 17:54:29</t>
  </si>
  <si>
    <t xml:space="preserve">	2025-08-18 17:54:30</t>
  </si>
  <si>
    <t xml:space="preserve">	6944894183921226983</t>
  </si>
  <si>
    <t>岳麓区</t>
  </si>
  <si>
    <t>梅溪湖街道</t>
  </si>
  <si>
    <t xml:space="preserve">	2025-08-03 17:54:23</t>
  </si>
  <si>
    <t xml:space="preserve">	2025-08-03 17:54:37</t>
  </si>
  <si>
    <t xml:space="preserve">	2025-08-18 17:54:37</t>
  </si>
  <si>
    <t xml:space="preserve">	6920595999283117844</t>
  </si>
  <si>
    <t>平台晚发即赔券-1.02</t>
  </si>
  <si>
    <t>仓山区</t>
  </si>
  <si>
    <t>建新镇</t>
  </si>
  <si>
    <t xml:space="preserve">	2025-08-03 17:43:50</t>
  </si>
  <si>
    <t xml:space="preserve">	2025-08-03 17:43:55</t>
  </si>
  <si>
    <t xml:space="preserve">	2025-08-18 17:43:55</t>
  </si>
  <si>
    <t xml:space="preserve">	6920596653714472528</t>
  </si>
  <si>
    <t>广安市</t>
  </si>
  <si>
    <t>广安区</t>
  </si>
  <si>
    <t>浓洄街道</t>
  </si>
  <si>
    <t xml:space="preserve">	2025-08-03 17:42:17</t>
  </si>
  <si>
    <t xml:space="preserve">	2025-08-18 23:21:27</t>
  </si>
  <si>
    <t xml:space="preserve">	2025-08-03 17:42:20</t>
  </si>
  <si>
    <t xml:space="preserve">	2025-08-18 17:42:20</t>
  </si>
  <si>
    <t xml:space="preserve">	2025-08-11 23:21:27</t>
  </si>
  <si>
    <t xml:space="preserve">	6920598489672613361</t>
  </si>
  <si>
    <t xml:space="preserve">	2025-08-03 17:42:09</t>
  </si>
  <si>
    <t>内物不符  正确退回单号73570720542543</t>
  </si>
  <si>
    <t xml:space="preserve">	2025-08-27 10:26:32</t>
  </si>
  <si>
    <t xml:space="preserve">	2025-08-03 17:42:11</t>
  </si>
  <si>
    <t xml:space="preserve">	2025-08-18 17:42:11</t>
  </si>
  <si>
    <t xml:space="preserve">	6944911746054559433</t>
  </si>
  <si>
    <t>泰州市</t>
  </si>
  <si>
    <t>兴化市</t>
  </si>
  <si>
    <t>戴南镇</t>
  </si>
  <si>
    <t xml:space="preserve">	2025-08-03 17:24:52</t>
  </si>
  <si>
    <t>1231197045019(收） Z1640-黑色-L*1#</t>
  </si>
  <si>
    <t xml:space="preserve">	2025-08-03 17:24:53</t>
  </si>
  <si>
    <t xml:space="preserve">	2025-08-18 17:24:53</t>
  </si>
  <si>
    <t xml:space="preserve">	6944905263971308862</t>
  </si>
  <si>
    <t>丹东市</t>
  </si>
  <si>
    <t>宽甸满族自治县</t>
  </si>
  <si>
    <t>宽甸镇</t>
  </si>
  <si>
    <t xml:space="preserve">	2025-08-03 16:51:25</t>
  </si>
  <si>
    <t xml:space="preserve">	2025-08-03 16:51:29</t>
  </si>
  <si>
    <t xml:space="preserve">	2025-08-18 16:51:29</t>
  </si>
  <si>
    <t xml:space="preserve">	6944900948916705134</t>
  </si>
  <si>
    <t>城东区</t>
  </si>
  <si>
    <t>乐家湾镇</t>
  </si>
  <si>
    <t xml:space="preserve">	2025-08-03 16:45:10</t>
  </si>
  <si>
    <t xml:space="preserve">	2025-08-03 16:45:11</t>
  </si>
  <si>
    <t xml:space="preserve">	2025-08-18 16:45:12</t>
  </si>
  <si>
    <t xml:space="preserve">	6920596529080008518</t>
  </si>
  <si>
    <t>聊城市</t>
  </si>
  <si>
    <t>莘县</t>
  </si>
  <si>
    <t>东鲁街道</t>
  </si>
  <si>
    <t xml:space="preserve">	2025-08-03 16:32:37</t>
  </si>
  <si>
    <t>1239931830819(收） Z1640-黑色-L*1#</t>
  </si>
  <si>
    <t xml:space="preserve">	2025-08-03 16:32:59</t>
  </si>
  <si>
    <t xml:space="preserve">	2025-08-18 16:32:59</t>
  </si>
  <si>
    <t xml:space="preserve">	6920591248822075206</t>
  </si>
  <si>
    <t xml:space="preserve">	2025-08-03 16:31:39</t>
  </si>
  <si>
    <t xml:space="preserve">	2025-08-18 16:31:39</t>
  </si>
  <si>
    <t xml:space="preserve">	6944902895775061304</t>
  </si>
  <si>
    <t>崇左市</t>
  </si>
  <si>
    <t>天等县</t>
  </si>
  <si>
    <t>天等镇</t>
  </si>
  <si>
    <t xml:space="preserve">	2025-08-03 16:19:10</t>
  </si>
  <si>
    <t xml:space="preserve">	2025-08-18 16:19:10</t>
  </si>
  <si>
    <t xml:space="preserve">	6920588888889982814</t>
  </si>
  <si>
    <t>华新街道</t>
  </si>
  <si>
    <t xml:space="preserve">	2025-08-03 16:17:29</t>
  </si>
  <si>
    <t xml:space="preserve">	2025-08-20 22:15:36</t>
  </si>
  <si>
    <t xml:space="preserve">	2025-08-03 16:17:49</t>
  </si>
  <si>
    <t xml:space="preserve">	2025-08-18 16:17:49</t>
  </si>
  <si>
    <t xml:space="preserve">	6920591197742464020</t>
  </si>
  <si>
    <t>平台专享惊喜券-5.00</t>
  </si>
  <si>
    <t>二七区</t>
  </si>
  <si>
    <t>京广路街道</t>
  </si>
  <si>
    <t xml:space="preserve">	2025-08-03 16:16:36</t>
  </si>
  <si>
    <t>773372604483603(收） Z1640-黑色-M*1#</t>
  </si>
  <si>
    <t xml:space="preserve">	2025-08-03 16:16:53</t>
  </si>
  <si>
    <t xml:space="preserve">	2025-08-18 16:16:53</t>
  </si>
  <si>
    <t xml:space="preserve">	6920593429064155094</t>
  </si>
  <si>
    <t xml:space="preserve">	2025-08-03 16:08:59</t>
  </si>
  <si>
    <t xml:space="preserve">	2025-08-03 16:09:26</t>
  </si>
  <si>
    <t xml:space="preserve">	2025-08-18 16:09:27</t>
  </si>
  <si>
    <t xml:space="preserve">	6920591250014764061</t>
  </si>
  <si>
    <t>孝感市经济开发区丹阳街道</t>
  </si>
  <si>
    <t xml:space="preserve">	2025-08-03 16:08:48</t>
  </si>
  <si>
    <t xml:space="preserve">	2025-08-18 16:08:48</t>
  </si>
  <si>
    <t>你已取消订单：余额不足/支付方式不全</t>
  </si>
  <si>
    <t xml:space="preserve">	6920596473726795749</t>
  </si>
  <si>
    <t>东海县</t>
  </si>
  <si>
    <t>黄川镇</t>
  </si>
  <si>
    <t xml:space="preserve">	2025-08-03 16:08:21</t>
  </si>
  <si>
    <t xml:space="preserve">	2025-08-03 16:08:25</t>
  </si>
  <si>
    <t xml:space="preserve">	2025-08-18 16:08:25</t>
  </si>
  <si>
    <t xml:space="preserve">	6920593558862462310</t>
  </si>
  <si>
    <t>蛟河市</t>
  </si>
  <si>
    <t>河北街道</t>
  </si>
  <si>
    <t xml:space="preserve">	2025-08-03 16:08:01</t>
  </si>
  <si>
    <t xml:space="preserve">	2025-08-18 16:08:01</t>
  </si>
  <si>
    <t xml:space="preserve">	6920595750336756765</t>
  </si>
  <si>
    <t xml:space="preserve">	2025-08-03 16:07:56</t>
  </si>
  <si>
    <t xml:space="preserve">	2025-08-18 16:07:56</t>
  </si>
  <si>
    <t xml:space="preserve">	6944913823821207524</t>
  </si>
  <si>
    <t xml:space="preserve">	2025-08-03 16:07:06</t>
  </si>
  <si>
    <t xml:space="preserve">	2025-08-14 13:45:37</t>
  </si>
  <si>
    <t xml:space="preserve">	2025-08-03 16:07:07</t>
  </si>
  <si>
    <t xml:space="preserve">	2025-08-18 16:07:07</t>
  </si>
  <si>
    <t xml:space="preserve">	2025-08-10 23:59:52</t>
  </si>
  <si>
    <t xml:space="preserve">	6944913782896727376</t>
  </si>
  <si>
    <t>南城街道</t>
  </si>
  <si>
    <t xml:space="preserve">	2025-08-22 22:28:05</t>
  </si>
  <si>
    <t xml:space="preserve">	2025-08-10 22:28:05</t>
  </si>
  <si>
    <t xml:space="preserve">	6920595828799602096</t>
  </si>
  <si>
    <t>卧龙区</t>
  </si>
  <si>
    <t>南阳高新区张衡街道</t>
  </si>
  <si>
    <t xml:space="preserve">	2025-08-17 22:28:05</t>
  </si>
  <si>
    <t xml:space="preserve">	6944898612081267757</t>
  </si>
  <si>
    <t>SF3289595452632(收） Z1640-黑色-M*1#</t>
  </si>
  <si>
    <t xml:space="preserve">	2025-08-03 16:07:08</t>
  </si>
  <si>
    <t xml:space="preserve">	2025-08-18 16:07:09</t>
  </si>
  <si>
    <t xml:space="preserve">	6944889506626475696</t>
  </si>
  <si>
    <t>泰达街道</t>
  </si>
  <si>
    <t xml:space="preserve">	2025-08-03 16:07:03</t>
  </si>
  <si>
    <t xml:space="preserve">	2025-08-03 16:07:04</t>
  </si>
  <si>
    <t xml:space="preserve">	2025-08-18 16:07:04</t>
  </si>
  <si>
    <t xml:space="preserve">	6944898621220590637</t>
  </si>
  <si>
    <t xml:space="preserve">	2025-08-03 16:06:58</t>
  </si>
  <si>
    <t xml:space="preserve">	2025-08-03 16:06:59</t>
  </si>
  <si>
    <t xml:space="preserve">	2025-08-18 16:07:00</t>
  </si>
  <si>
    <t xml:space="preserve">	6944907411156702858</t>
  </si>
  <si>
    <t>定兴县</t>
  </si>
  <si>
    <t>定兴镇</t>
  </si>
  <si>
    <t>73567949784333(收） Z1640-黑色-M*1#</t>
  </si>
  <si>
    <t xml:space="preserve">	6944887162760664290</t>
  </si>
  <si>
    <t>海陵区</t>
  </si>
  <si>
    <t>城东街道</t>
  </si>
  <si>
    <t xml:space="preserve">	2025-08-03 16:06:57</t>
  </si>
  <si>
    <t xml:space="preserve">	2025-08-16 10:51:30</t>
  </si>
  <si>
    <t xml:space="preserve">	2025-08-18 16:07:03</t>
  </si>
  <si>
    <t xml:space="preserve">	2025-08-10 22:27:23</t>
  </si>
  <si>
    <t xml:space="preserve">	6944898600932415456</t>
  </si>
  <si>
    <t>合川区</t>
  </si>
  <si>
    <t>钓鱼城街道</t>
  </si>
  <si>
    <t xml:space="preserve">	2025-08-03 15:56:34</t>
  </si>
  <si>
    <t xml:space="preserve">	2025-08-18 15:56:34</t>
  </si>
  <si>
    <t xml:space="preserve">	6944882686955362001</t>
  </si>
  <si>
    <t xml:space="preserve">	2025-08-03 15:55:32</t>
  </si>
  <si>
    <t>YT2562770644059(收） Z1640-黑色-L*1#</t>
  </si>
  <si>
    <t xml:space="preserve">	2025-08-03 15:56:18</t>
  </si>
  <si>
    <t xml:space="preserve">	2025-08-18 15:56:19</t>
  </si>
  <si>
    <t xml:space="preserve">	6920591173433851504</t>
  </si>
  <si>
    <t>东昌府区</t>
  </si>
  <si>
    <t>李海务街道</t>
  </si>
  <si>
    <t xml:space="preserve">	2025-08-03 15:54:29</t>
  </si>
  <si>
    <t>73567618912540(收） Z1640-黑色-M*1#</t>
  </si>
  <si>
    <t xml:space="preserve">	2025-08-03 15:54:40</t>
  </si>
  <si>
    <t xml:space="preserve">	2025-08-18 15:54:40</t>
  </si>
  <si>
    <t xml:space="preserve">	2025-08-09 22:53:36</t>
  </si>
  <si>
    <t xml:space="preserve">	6920591128329813298</t>
  </si>
  <si>
    <t>黑林铺街道</t>
  </si>
  <si>
    <t xml:space="preserve">	2025-08-03 15:53:52</t>
  </si>
  <si>
    <t xml:space="preserve">	2025-08-18 15:53:52</t>
  </si>
  <si>
    <t xml:space="preserve">	6920591090003770491</t>
  </si>
  <si>
    <t>莼湖街道</t>
  </si>
  <si>
    <t xml:space="preserve">	2025-08-03 15:53:49</t>
  </si>
  <si>
    <t>73567460008722(收） Z1640-黑色-S*1#</t>
  </si>
  <si>
    <t xml:space="preserve">	2025-08-10 16:02:49</t>
  </si>
  <si>
    <t xml:space="preserve">	2025-08-03 15:53:59</t>
  </si>
  <si>
    <t xml:space="preserve">	2025-08-18 15:54:00</t>
  </si>
  <si>
    <t xml:space="preserve">	2025-08-03 16:02:49</t>
  </si>
  <si>
    <t xml:space="preserve">	6944896306207725197</t>
  </si>
  <si>
    <t>花溪区</t>
  </si>
  <si>
    <t xml:space="preserve">	2025-08-03 15:53:48</t>
  </si>
  <si>
    <t xml:space="preserve">	2025-08-03 15:54:20</t>
  </si>
  <si>
    <t xml:space="preserve">	2025-08-18 15:54:21</t>
  </si>
  <si>
    <t xml:space="preserve">	6944889464345662958</t>
  </si>
  <si>
    <t>文峰区</t>
  </si>
  <si>
    <t xml:space="preserve">	2025-08-03 15:53:39</t>
  </si>
  <si>
    <t xml:space="preserve">	2025-08-03 15:53:45</t>
  </si>
  <si>
    <t xml:space="preserve">	2025-08-18 15:53:46</t>
  </si>
  <si>
    <t xml:space="preserve">	6920588865561066923</t>
  </si>
  <si>
    <t>洛阳市</t>
  </si>
  <si>
    <t>瀍河回族区</t>
  </si>
  <si>
    <t>华林新村街道</t>
  </si>
  <si>
    <t xml:space="preserve">	2025-08-03 15:53:37</t>
  </si>
  <si>
    <t xml:space="preserve">	2025-08-06 13:44:59</t>
  </si>
  <si>
    <t xml:space="preserve">	6920595711959268850</t>
  </si>
  <si>
    <t>新场镇</t>
  </si>
  <si>
    <t xml:space="preserve">	2025-08-03 15:53:36</t>
  </si>
  <si>
    <t>73566903617237(收） Z1640-黑色-M*1#</t>
  </si>
  <si>
    <t xml:space="preserve">	2025-08-18 15:53:37</t>
  </si>
  <si>
    <t xml:space="preserve">	6944911627680224317</t>
  </si>
  <si>
    <t>望江县</t>
  </si>
  <si>
    <t>华阳镇</t>
  </si>
  <si>
    <t xml:space="preserve">	2025-08-03 15:53:33</t>
  </si>
  <si>
    <t>76727393964617(收） Z1640-黑色-M*1#</t>
  </si>
  <si>
    <t xml:space="preserve">	2025-08-03 15:53:35</t>
  </si>
  <si>
    <t xml:space="preserve">	2025-08-18 15:53:35</t>
  </si>
  <si>
    <t xml:space="preserve">	6920591140366679715</t>
  </si>
  <si>
    <t>SF3236533968849(收） Z1640-黑色-L*1#</t>
  </si>
  <si>
    <t xml:space="preserve">	6920595763321732711</t>
  </si>
  <si>
    <t>常营地区</t>
  </si>
  <si>
    <t xml:space="preserve">	2025-08-03 15:53:34</t>
  </si>
  <si>
    <t xml:space="preserve">	2025-08-18 15:53:34</t>
  </si>
  <si>
    <t xml:space="preserve">	6944898523525224184</t>
  </si>
  <si>
    <t xml:space="preserve">	2025-08-03 15:53:38</t>
  </si>
  <si>
    <t xml:space="preserve">	2025-08-18 15:53:39</t>
  </si>
  <si>
    <t xml:space="preserve">	6944889432733980469</t>
  </si>
  <si>
    <t>通海县</t>
  </si>
  <si>
    <t>秀山街道</t>
  </si>
  <si>
    <t xml:space="preserve">	2025-08-03 15:53:32</t>
  </si>
  <si>
    <t xml:space="preserve">	6944909669982082869</t>
  </si>
  <si>
    <t xml:space="preserve">	2025-08-03 15:52:08</t>
  </si>
  <si>
    <t xml:space="preserve">	2025-08-18 15:52:08</t>
  </si>
  <si>
    <t xml:space="preserve">	6920588872737127466</t>
  </si>
  <si>
    <t>双塔区</t>
  </si>
  <si>
    <t>燕北街道</t>
  </si>
  <si>
    <t xml:space="preserve">	2025-08-03 15:52:02</t>
  </si>
  <si>
    <t>73567311870237(收） Z1640-黑色-M*1#</t>
  </si>
  <si>
    <t xml:space="preserve">	2025-08-03 15:52:06</t>
  </si>
  <si>
    <t xml:space="preserve">	2025-08-18 15:52:06</t>
  </si>
  <si>
    <t xml:space="preserve">	2025-08-03 16:02:50</t>
  </si>
  <si>
    <t xml:space="preserve">	6944902982330619855</t>
  </si>
  <si>
    <t xml:space="preserve">	2025-08-03 15:51:57</t>
  </si>
  <si>
    <t xml:space="preserve">	2025-08-03 15:52:04</t>
  </si>
  <si>
    <t xml:space="preserve">	2025-08-18 15:52:05</t>
  </si>
  <si>
    <t xml:space="preserve">	6944902956203382263</t>
  </si>
  <si>
    <t>浮宫镇</t>
  </si>
  <si>
    <t xml:space="preserve">	2025-08-03 15:51:56</t>
  </si>
  <si>
    <t xml:space="preserve">	2025-08-08 10:06:34</t>
  </si>
  <si>
    <t xml:space="preserve">	2025-08-03 15:52:00</t>
  </si>
  <si>
    <t xml:space="preserve">	2025-08-18 15:52:00</t>
  </si>
  <si>
    <t xml:space="preserve">	6920596475869822155</t>
  </si>
  <si>
    <t>SF3287826860359(收） Z1640-黑色-S*1#</t>
  </si>
  <si>
    <t xml:space="preserve">	2025-08-15 16:02:50</t>
  </si>
  <si>
    <t xml:space="preserve">	2025-08-03 15:51:59</t>
  </si>
  <si>
    <t xml:space="preserve">	2025-08-18 15:51:59</t>
  </si>
  <si>
    <t xml:space="preserve">	6944887188029576198</t>
  </si>
  <si>
    <t xml:space="preserve">	2025-08-03 15:51:54</t>
  </si>
  <si>
    <t>1222804498219(收） Z1640-黑色-L*1#</t>
  </si>
  <si>
    <t xml:space="preserve">	6944893979538953366</t>
  </si>
  <si>
    <t>红桥区</t>
  </si>
  <si>
    <t>邵公庄街道</t>
  </si>
  <si>
    <t>SF3236362362932(收） Z1640-黑色-M*1#</t>
  </si>
  <si>
    <t xml:space="preserve">	2025-08-03 15:52:01</t>
  </si>
  <si>
    <t xml:space="preserve">	2025-08-18 15:52:02</t>
  </si>
  <si>
    <t xml:space="preserve">	6944900882349627297</t>
  </si>
  <si>
    <t>越秀区</t>
  </si>
  <si>
    <t xml:space="preserve">	2025-08-03 15:52:20</t>
  </si>
  <si>
    <t xml:space="preserve">	2025-08-18 15:52:21</t>
  </si>
  <si>
    <t xml:space="preserve">	6944909565032862834</t>
  </si>
  <si>
    <t>滨江区</t>
  </si>
  <si>
    <t>浦沿街道</t>
  </si>
  <si>
    <t>YT2562865718434(收） Z1640-黑色-M*1#;换货(6107050)#;换货76731648668406</t>
  </si>
  <si>
    <t xml:space="preserve">	2025-08-18 15:51:56</t>
  </si>
  <si>
    <t xml:space="preserve">	6920588768434027755</t>
  </si>
  <si>
    <t xml:space="preserve">	2025-08-03 15:51:53</t>
  </si>
  <si>
    <t xml:space="preserve">	2025-08-10 16:02:50</t>
  </si>
  <si>
    <t xml:space="preserve">	6944894013550499428</t>
  </si>
  <si>
    <t xml:space="preserve">	2025-08-03 15:51:55</t>
  </si>
  <si>
    <t xml:space="preserve">	2025-08-18 15:51:55</t>
  </si>
  <si>
    <t xml:space="preserve">	6920591103095635580</t>
  </si>
  <si>
    <t>武进区</t>
  </si>
  <si>
    <t>西湖街道</t>
  </si>
  <si>
    <t xml:space="preserve">	2025-08-03 15:51:52</t>
  </si>
  <si>
    <t xml:space="preserve">	2025-08-18 15:51:54</t>
  </si>
  <si>
    <t xml:space="preserve">	6944898532312946567</t>
  </si>
  <si>
    <t>中河街道</t>
  </si>
  <si>
    <t xml:space="preserve">	2025-08-03 15:51:51</t>
  </si>
  <si>
    <t xml:space="preserve">	2025-08-18 15:51:53</t>
  </si>
  <si>
    <t xml:space="preserve">	6920595717507612464</t>
  </si>
  <si>
    <t>宁围街道</t>
  </si>
  <si>
    <t xml:space="preserve">	2025-08-03 15:51:50</t>
  </si>
  <si>
    <t>SF3235752654381(收） Z1640-黑色-M*1#</t>
  </si>
  <si>
    <t xml:space="preserve">	2025-08-18 15:51:52</t>
  </si>
  <si>
    <t xml:space="preserve">	6920588758294560314</t>
  </si>
  <si>
    <t>邵武市</t>
  </si>
  <si>
    <t>昭阳街道</t>
  </si>
  <si>
    <t xml:space="preserve">	6944898533917857149</t>
  </si>
  <si>
    <t xml:space="preserve">	2025-08-03 15:51:49</t>
  </si>
  <si>
    <t>SF3236589548708(收） Z1640-黑色-S*1#</t>
  </si>
  <si>
    <t xml:space="preserve">	2025-08-18 15:51:51</t>
  </si>
  <si>
    <t xml:space="preserve">	6944887150090327695</t>
  </si>
  <si>
    <t>清江浦区</t>
  </si>
  <si>
    <t>浦楼街道</t>
  </si>
  <si>
    <t>1223290453819(收） Z1640-黑色-M*1#</t>
  </si>
  <si>
    <t xml:space="preserve">	2025-08-18 15:51:57</t>
  </si>
  <si>
    <t xml:space="preserve">	6920596375530012559</t>
  </si>
  <si>
    <t xml:space="preserve">	2025-08-03 15:51:46</t>
  </si>
  <si>
    <t>SF3233139745976(收） Z1640-黑色-L*1#</t>
  </si>
  <si>
    <t xml:space="preserve">	2025-08-11 14:07:57</t>
  </si>
  <si>
    <t xml:space="preserve">	2025-08-18 15:51:49</t>
  </si>
  <si>
    <t xml:space="preserve">	6944907522698319140</t>
  </si>
  <si>
    <t>信阳市</t>
  </si>
  <si>
    <t>浉河区</t>
  </si>
  <si>
    <t>73569287208831(收） Z1640-黑色-M*1#</t>
  </si>
  <si>
    <t xml:space="preserve">	2025-08-15 16:02:49</t>
  </si>
  <si>
    <t xml:space="preserve">	2025-08-18 15:51:50</t>
  </si>
  <si>
    <t xml:space="preserve">	6944909511565579469</t>
  </si>
  <si>
    <t>小东门街道</t>
  </si>
  <si>
    <t xml:space="preserve">	2025-08-03 15:51:43</t>
  </si>
  <si>
    <t xml:space="preserve">	2025-08-05 20:13:04</t>
  </si>
  <si>
    <t xml:space="preserve">	2025-08-18 15:51:46</t>
  </si>
  <si>
    <t xml:space="preserve">	6920593459695811924</t>
  </si>
  <si>
    <t>镇江市</t>
  </si>
  <si>
    <t>丹阳市</t>
  </si>
  <si>
    <t>延陵镇</t>
  </si>
  <si>
    <t xml:space="preserve">	2025-08-03 15:48:54</t>
  </si>
  <si>
    <t xml:space="preserve">	2025-08-03 15:48:55</t>
  </si>
  <si>
    <t xml:space="preserve">	2025-08-18 15:48:55</t>
  </si>
  <si>
    <t xml:space="preserve">	6920593510361562342</t>
  </si>
  <si>
    <t>滑县</t>
  </si>
  <si>
    <t>白道口镇</t>
  </si>
  <si>
    <t xml:space="preserve">	2025-08-03 15:42:33</t>
  </si>
  <si>
    <t xml:space="preserve">	2025-08-18 15:42:33</t>
  </si>
  <si>
    <t xml:space="preserve">	6920593412218257092</t>
  </si>
  <si>
    <t>岳池县</t>
  </si>
  <si>
    <t>九龙街道</t>
  </si>
  <si>
    <t xml:space="preserve">	2025-08-03 15:37:26</t>
  </si>
  <si>
    <t xml:space="preserve">	2025-08-18 15:37:26</t>
  </si>
  <si>
    <t xml:space="preserve">	6944882648633644317</t>
  </si>
  <si>
    <t>大足区</t>
  </si>
  <si>
    <t>棠香街道</t>
  </si>
  <si>
    <t xml:space="preserve">	2025-08-03 15:31:19</t>
  </si>
  <si>
    <t xml:space="preserve">	2025-08-18 15:31:19</t>
  </si>
  <si>
    <t xml:space="preserve">	6944896217304668124</t>
  </si>
  <si>
    <t>砀山县</t>
  </si>
  <si>
    <t>砀城镇</t>
  </si>
  <si>
    <t xml:space="preserve">	2025-08-03 15:29:08</t>
  </si>
  <si>
    <t>拦截;76727393964395(收） Z2183-米白色-L*1#</t>
  </si>
  <si>
    <t xml:space="preserve">	2025-08-03 15:29:17</t>
  </si>
  <si>
    <t xml:space="preserve">	2025-08-18 15:29:18</t>
  </si>
  <si>
    <t xml:space="preserve">	2025-08-03 16:54:07</t>
  </si>
  <si>
    <t xml:space="preserve">	6920591145836052327</t>
  </si>
  <si>
    <t>宜昌市</t>
  </si>
  <si>
    <t>伍家岗区</t>
  </si>
  <si>
    <t>伍家岗街道</t>
  </si>
  <si>
    <t xml:space="preserve">	2025-08-03 15:25:59</t>
  </si>
  <si>
    <t xml:space="preserve">	2025-08-18 00:04:19</t>
  </si>
  <si>
    <t xml:space="preserve">	2025-08-03 15:26:05</t>
  </si>
  <si>
    <t xml:space="preserve">	2025-08-18 15:26:06</t>
  </si>
  <si>
    <t xml:space="preserve">	2025-08-11 00:04:19</t>
  </si>
  <si>
    <t xml:space="preserve">	6920596234507616231</t>
  </si>
  <si>
    <t>合阳县</t>
  </si>
  <si>
    <t>城关街道</t>
  </si>
  <si>
    <t xml:space="preserve">	2025-08-03 15:14:16</t>
  </si>
  <si>
    <t xml:space="preserve">	2025-08-03 15:14:20</t>
  </si>
  <si>
    <t xml:space="preserve">	2025-08-18 15:14:20</t>
  </si>
  <si>
    <t xml:space="preserve">	6944909623736276679</t>
  </si>
  <si>
    <t xml:space="preserve">	2025-08-03 15:14:14</t>
  </si>
  <si>
    <t xml:space="preserve">	2025-08-18 15:14:16</t>
  </si>
  <si>
    <t xml:space="preserve">	6944905038057903256</t>
  </si>
  <si>
    <t xml:space="preserve">	2025-08-03 15:13:43</t>
  </si>
  <si>
    <t xml:space="preserve">	2025-08-03 15:13:48</t>
  </si>
  <si>
    <t xml:space="preserve">	2025-08-18 15:13:48</t>
  </si>
  <si>
    <t>6921014879971867995</t>
  </si>
  <si>
    <t>3772185880568135686</t>
  </si>
  <si>
    <t>6945703385201317436</t>
  </si>
  <si>
    <t>3767004410471907465</t>
  </si>
  <si>
    <t>6945727588250948678</t>
  </si>
  <si>
    <t>6945714505452361238</t>
  </si>
  <si>
    <t>6945700999501124814</t>
  </si>
  <si>
    <t>3772189127454359773</t>
  </si>
  <si>
    <t>6921014170429783498</t>
  </si>
  <si>
    <t>6945712098356630732</t>
  </si>
  <si>
    <t>6921016389061410674</t>
  </si>
  <si>
    <t>6945711936320509468</t>
  </si>
  <si>
    <t>6921016313814548201</t>
  </si>
  <si>
    <t>6945707477692061056</t>
  </si>
  <si>
    <t>3771440658552848740</t>
  </si>
  <si>
    <t>6945694166426850837</t>
  </si>
  <si>
    <t>6945716113981314698</t>
  </si>
  <si>
    <t>6921011676079357340</t>
  </si>
  <si>
    <t>6945711886863766847</t>
  </si>
  <si>
    <t>6921009635296968526</t>
  </si>
  <si>
    <t>6921016365371785140</t>
  </si>
  <si>
    <t>6921009588551319487</t>
  </si>
  <si>
    <t>6921018615091854571</t>
  </si>
  <si>
    <t>6945702914926777790</t>
  </si>
  <si>
    <t>6945716202524317053</t>
  </si>
  <si>
    <t>6921018667371494935</t>
  </si>
  <si>
    <t>6945696235709732402</t>
  </si>
  <si>
    <t>6921009624776736703</t>
  </si>
  <si>
    <t>6921013958667763428</t>
  </si>
  <si>
    <t>6945698443959669805</t>
  </si>
  <si>
    <t>6945649067193472893</t>
  </si>
  <si>
    <t>6920964153135168659</t>
  </si>
  <si>
    <t>3770653191356678342</t>
  </si>
  <si>
    <t>6920966085271780499</t>
  </si>
  <si>
    <t>6945610806981695196</t>
  </si>
  <si>
    <t>6920952081164304100</t>
  </si>
  <si>
    <t>6945587885982618859</t>
  </si>
  <si>
    <t>6945598979942323318</t>
  </si>
  <si>
    <t>6945583048360597411</t>
  </si>
  <si>
    <t>6945609733810165452</t>
  </si>
  <si>
    <t>6945592088900211946</t>
  </si>
  <si>
    <t>6945600734649980653</t>
  </si>
  <si>
    <t>6945589601420317825</t>
  </si>
  <si>
    <t>6920950993200905666</t>
  </si>
  <si>
    <t>6945602769375205012</t>
  </si>
  <si>
    <t>6945580306812376109</t>
  </si>
  <si>
    <t>3770720616102101370</t>
  </si>
  <si>
    <t>6945596186333484482</t>
  </si>
  <si>
    <t>6920955047060602569</t>
  </si>
  <si>
    <t>6945604921919543082</t>
  </si>
  <si>
    <t>6945582609766290962</t>
  </si>
  <si>
    <t>6945579848162809517</t>
  </si>
  <si>
    <t>6945600144409499309</t>
  </si>
  <si>
    <t>6920942457770770369</t>
  </si>
  <si>
    <t>6945586204071892038</t>
  </si>
  <si>
    <t>6945547648096343360</t>
  </si>
  <si>
    <t>6945547648096408896</t>
  </si>
  <si>
    <t>3770648898645918626</t>
  </si>
  <si>
    <t>6945550015473390912</t>
  </si>
  <si>
    <t>6945550015473456448</t>
  </si>
  <si>
    <t>6920932842713087724</t>
  </si>
  <si>
    <t>6920932842713153260</t>
  </si>
  <si>
    <t>6945569726276310761</t>
  </si>
  <si>
    <t>6920928532274839276</t>
  </si>
  <si>
    <t>6920928532274904812</t>
  </si>
  <si>
    <t>6945529053386118931</t>
  </si>
  <si>
    <t>6945548577267651706</t>
  </si>
  <si>
    <t>6945543583900899197</t>
  </si>
  <si>
    <t>6920929009547574969</t>
  </si>
  <si>
    <t>6920935968749813406</t>
  </si>
  <si>
    <t>6920923676778724668</t>
  </si>
  <si>
    <t>6945514875424281953</t>
  </si>
  <si>
    <t>6945539203760789124</t>
  </si>
  <si>
    <t>6918363477932670688</t>
  </si>
  <si>
    <t>6920925448404893520</t>
  </si>
  <si>
    <t>6945539142283629576</t>
  </si>
  <si>
    <t>6945511996582664089</t>
  </si>
  <si>
    <t>6945518268966573163</t>
  </si>
  <si>
    <t>6945515811466254054</t>
  </si>
  <si>
    <t>6945513256170493793</t>
  </si>
  <si>
    <t>6945504197030777878</t>
  </si>
  <si>
    <t>6920902861000703125</t>
  </si>
  <si>
    <t>6920902023287176940</t>
  </si>
  <si>
    <t>6920893032532966569</t>
  </si>
  <si>
    <t>6945478419003544648</t>
  </si>
  <si>
    <t>6920892838365920628</t>
  </si>
  <si>
    <t>6918358695102807059</t>
  </si>
  <si>
    <t>6945467765155763766</t>
  </si>
  <si>
    <t>6920899223566450595</t>
  </si>
  <si>
    <t>6945487810204669849</t>
  </si>
  <si>
    <t>6945485370033444761</t>
  </si>
  <si>
    <t>6945473693492254155</t>
  </si>
  <si>
    <t>6920894543975054469</t>
  </si>
  <si>
    <t>6945467619805763273</t>
  </si>
  <si>
    <t>6920892563116359550</t>
  </si>
  <si>
    <t>6945475825819719198</t>
  </si>
  <si>
    <t>6945475928514172446</t>
  </si>
  <si>
    <t>6945471889155364583</t>
  </si>
  <si>
    <t>6945469470994273593</t>
  </si>
  <si>
    <t>6920896745472556170</t>
  </si>
  <si>
    <t>6920892429455490186</t>
  </si>
  <si>
    <t>6945480350198339381</t>
  </si>
  <si>
    <t>6920901228969950691</t>
  </si>
  <si>
    <t>6920901308765076963</t>
  </si>
  <si>
    <t>6945487556598699454</t>
  </si>
  <si>
    <t>6945469101898405538</t>
  </si>
  <si>
    <t>6945462887669438186</t>
  </si>
  <si>
    <t>6920901062190268051</t>
  </si>
  <si>
    <t>6945462820960868074</t>
  </si>
  <si>
    <t>6920894107364392270</t>
  </si>
  <si>
    <t>6920896399719563224</t>
  </si>
  <si>
    <t>6920896355542990031</t>
  </si>
  <si>
    <t>6945487267150042975</t>
  </si>
  <si>
    <t>6945460391769085454</t>
  </si>
  <si>
    <t>6945469142987052290</t>
  </si>
  <si>
    <t>6945480073616299715</t>
  </si>
  <si>
    <t>6920896250379926829</t>
  </si>
  <si>
    <t>6945465039402308657</t>
  </si>
  <si>
    <t>6945484829238433404</t>
  </si>
  <si>
    <t>6945458268737247045</t>
  </si>
  <si>
    <t>6920900918420668183</t>
  </si>
  <si>
    <t>6945484894946923883</t>
  </si>
  <si>
    <t>6920900867074194727</t>
  </si>
  <si>
    <t>6945475497009222936</t>
  </si>
  <si>
    <t>6945487269556392966</t>
  </si>
  <si>
    <t>6945471502347802470</t>
  </si>
  <si>
    <t>6945462667492136202</t>
  </si>
  <si>
    <t>6920891842832006313</t>
  </si>
  <si>
    <t>6945447471494337581</t>
  </si>
  <si>
    <t>6945454471833916461</t>
  </si>
  <si>
    <t>6945415789939070779</t>
  </si>
  <si>
    <t>3766944150033924646</t>
  </si>
  <si>
    <t>6945412809789544176</t>
  </si>
  <si>
    <t>6945403508019697170</t>
  </si>
  <si>
    <t>6945421304006513940</t>
  </si>
  <si>
    <t>3766941074745065512</t>
  </si>
  <si>
    <t>6920864062673682121</t>
  </si>
  <si>
    <t>3766942533029069048</t>
  </si>
  <si>
    <t>6920858880126123988</t>
  </si>
  <si>
    <t>6920862917685968813</t>
  </si>
  <si>
    <t>3766240353087259102</t>
  </si>
  <si>
    <t>6920858151961328822</t>
  </si>
  <si>
    <t>3766240945658527845</t>
  </si>
  <si>
    <t>6945400012555097472</t>
  </si>
  <si>
    <t>3767375525761384637</t>
  </si>
  <si>
    <t>6945400012555163008</t>
  </si>
  <si>
    <t>6920845819507277720</t>
  </si>
  <si>
    <t>6945392522590950549</t>
  </si>
  <si>
    <t>3766942257983389868</t>
  </si>
  <si>
    <t>6945370087508874574</t>
  </si>
  <si>
    <t>3766961742253523242</t>
  </si>
  <si>
    <t>6945387745243239758</t>
  </si>
  <si>
    <t>6945349306336613631</t>
  </si>
  <si>
    <t>6945349201670575934</t>
  </si>
  <si>
    <t>6945318982374134980</t>
  </si>
  <si>
    <t>6945316069614818498</t>
  </si>
  <si>
    <t>3766947478457418265</t>
  </si>
  <si>
    <t>6945335753862223835</t>
  </si>
  <si>
    <t>3766946561599340937</t>
  </si>
  <si>
    <t>6945311586967754354</t>
  </si>
  <si>
    <t>6920805346524495104</t>
  </si>
  <si>
    <t>6945328782093063550</t>
  </si>
  <si>
    <t>6945315703914370917</t>
  </si>
  <si>
    <t>6945324220283426475</t>
  </si>
  <si>
    <t>3766239021462847944</t>
  </si>
  <si>
    <t>6945290770993518354</t>
  </si>
  <si>
    <t>6945297131025930200</t>
  </si>
  <si>
    <t>6945308120525051209</t>
  </si>
  <si>
    <t>6945299530932426542</t>
  </si>
  <si>
    <t>6945305665120310969</t>
  </si>
  <si>
    <t>6945292351831938263</t>
  </si>
  <si>
    <t>6920791727018835103</t>
  </si>
  <si>
    <t>6920789437762927951</t>
  </si>
  <si>
    <t>6945290518034912491</t>
  </si>
  <si>
    <t>6945307868248938335</t>
  </si>
  <si>
    <t>6945292309502433007</t>
  </si>
  <si>
    <t>6945296867555415850</t>
  </si>
  <si>
    <t>6945303825128101475</t>
  </si>
  <si>
    <t>6945294381278893085</t>
  </si>
  <si>
    <t>6945290317376132678</t>
  </si>
  <si>
    <t>6945305412187395454</t>
  </si>
  <si>
    <t>6945287749033924300</t>
  </si>
  <si>
    <t>6920792942682996539</t>
  </si>
  <si>
    <t>6945278838046922469</t>
  </si>
  <si>
    <t>6920762935932976726</t>
  </si>
  <si>
    <t>6945248353013339353</t>
  </si>
  <si>
    <t>6945250607244841999</t>
  </si>
  <si>
    <t>6945279328687363646</t>
  </si>
  <si>
    <t>6945279326828369664</t>
  </si>
  <si>
    <t>6945236501077955934</t>
  </si>
  <si>
    <t>6945236501078021470</t>
  </si>
  <si>
    <t>6945236501078087006</t>
  </si>
  <si>
    <t>6945236511291086174</t>
  </si>
  <si>
    <t>6920753847085203326</t>
  </si>
  <si>
    <t>6920761446877724542</t>
  </si>
  <si>
    <t>6920760906437132185</t>
  </si>
  <si>
    <t>6920753783782276516</t>
  </si>
  <si>
    <t>6945249427889985351</t>
  </si>
  <si>
    <t>6945265273816683633</t>
  </si>
  <si>
    <t>6945238636667278449</t>
  </si>
  <si>
    <t>6945249536084416116</t>
  </si>
  <si>
    <t>6945260659039868532</t>
  </si>
  <si>
    <t>6945243322999444483</t>
  </si>
  <si>
    <t>6945246939908609136</t>
  </si>
  <si>
    <t>6920755562061922174</t>
  </si>
  <si>
    <t>6945251381291194010</t>
  </si>
  <si>
    <t>6945251203414693060</t>
  </si>
  <si>
    <t>6945246762042725958</t>
  </si>
  <si>
    <t>6920753069385678508</t>
  </si>
  <si>
    <t>6945242911708550408</t>
  </si>
  <si>
    <t>6920757644008193116</t>
  </si>
  <si>
    <t>6918362764207488064</t>
  </si>
  <si>
    <t>6920757597803020244</t>
  </si>
  <si>
    <t>6920759707604778423</t>
  </si>
  <si>
    <t>6945237859127465558</t>
  </si>
  <si>
    <t>6920759661687242038</t>
  </si>
  <si>
    <t>6945222422298695549</t>
  </si>
  <si>
    <t>6945248647600740174</t>
  </si>
  <si>
    <t>6945231454283371543</t>
  </si>
  <si>
    <t>6945244741839819854</t>
  </si>
  <si>
    <t>6945253334436877685</t>
  </si>
  <si>
    <t>6945224627973264927</t>
  </si>
  <si>
    <t>6920757321389473400</t>
  </si>
  <si>
    <t>6945253322358592563</t>
  </si>
  <si>
    <t>6945240148543149761</t>
  </si>
  <si>
    <t>6945239995919767126</t>
  </si>
  <si>
    <t>6945239816775866213</t>
  </si>
  <si>
    <t>6945221954644415682</t>
  </si>
  <si>
    <t>6945228659681727682</t>
  </si>
  <si>
    <t>6945219778497615722</t>
  </si>
  <si>
    <t>6945232762196465252</t>
  </si>
  <si>
    <t>6920739509448834350</t>
  </si>
  <si>
    <t>6945211827840685273</t>
  </si>
  <si>
    <t>6945198774981301293</t>
  </si>
  <si>
    <t>6945209773169776071</t>
  </si>
  <si>
    <t>3766961954804072682</t>
  </si>
  <si>
    <t>6920737252771200971</t>
  </si>
  <si>
    <t>6945193466524865690</t>
  </si>
  <si>
    <t>6920727616853671145</t>
  </si>
  <si>
    <t>6945193166181307942</t>
  </si>
  <si>
    <t>6920734064164962201</t>
  </si>
  <si>
    <t>6920736344332664110</t>
  </si>
  <si>
    <t>6920736283076886495</t>
  </si>
  <si>
    <t>6945203995795592203</t>
  </si>
  <si>
    <t>6945197610143716489</t>
  </si>
  <si>
    <t>6945197653693765010</t>
  </si>
  <si>
    <t>6945190817006556354</t>
  </si>
  <si>
    <t>6920727398252248176</t>
  </si>
  <si>
    <t>6945208612259829633</t>
  </si>
  <si>
    <t>6945197630990980729</t>
  </si>
  <si>
    <t>6945183969226134933</t>
  </si>
  <si>
    <t>6945195208008406644</t>
  </si>
  <si>
    <t>6945184076152706276</t>
  </si>
  <si>
    <t>6945206374817469895</t>
  </si>
  <si>
    <t>6920727387720678877</t>
  </si>
  <si>
    <t>6945208671813769084</t>
  </si>
  <si>
    <t>6945190862148408607</t>
  </si>
  <si>
    <t>6945201528055862494</t>
  </si>
  <si>
    <t>6920736100260478449</t>
  </si>
  <si>
    <t>6945181696602871628</t>
  </si>
  <si>
    <t>6920727383428136327</t>
  </si>
  <si>
    <t>6945193030162978613</t>
  </si>
  <si>
    <t>6945195123592992681</t>
  </si>
  <si>
    <t>6920729127552318766</t>
  </si>
  <si>
    <t>6945181644850927145</t>
  </si>
  <si>
    <t>6920731491795107118</t>
  </si>
  <si>
    <t>6945186268693075326</t>
  </si>
  <si>
    <t>6920726956480560299</t>
  </si>
  <si>
    <t>6945208467016455661</t>
  </si>
  <si>
    <t>6920735688708554123</t>
  </si>
  <si>
    <t>6920722747556527856</t>
  </si>
  <si>
    <t>6920725174015392984</t>
  </si>
  <si>
    <t>6920722841648463300</t>
  </si>
  <si>
    <t>6920725579013389910</t>
  </si>
  <si>
    <t>6920725541839797810</t>
  </si>
  <si>
    <t>6920725911519788608</t>
  </si>
  <si>
    <t>6920725682495258232</t>
  </si>
  <si>
    <t>6920723484938633096</t>
  </si>
  <si>
    <t>6920725477723831884</t>
  </si>
  <si>
    <t>6920725581623885560</t>
  </si>
  <si>
    <t>6920720675995614368</t>
  </si>
  <si>
    <t>6920725895835713273</t>
  </si>
  <si>
    <t>6920717926487195376</t>
  </si>
  <si>
    <t>6918355654138100800</t>
  </si>
  <si>
    <t>6920718205487972080</t>
  </si>
  <si>
    <t>6920725655821188287</t>
  </si>
  <si>
    <t>6920725906366693319</t>
  </si>
  <si>
    <t>6920723160930549703</t>
  </si>
  <si>
    <t>6920725368513855311</t>
  </si>
  <si>
    <t>6920718447559015484</t>
  </si>
  <si>
    <t>6920724789263433292</t>
  </si>
  <si>
    <t>6920718071896178510</t>
  </si>
  <si>
    <t>6920715686469664505</t>
  </si>
  <si>
    <t>6920724902415924688</t>
  </si>
  <si>
    <t>6920720453079760742</t>
  </si>
  <si>
    <t>6920717505666383504</t>
  </si>
  <si>
    <t>6920718213666733316</t>
  </si>
  <si>
    <t>6920715978398465705</t>
  </si>
  <si>
    <t>6945183869186283152</t>
  </si>
  <si>
    <t>6920720124431137986</t>
  </si>
  <si>
    <t>6920720380046442388</t>
  </si>
  <si>
    <t>6920722557550886804</t>
  </si>
  <si>
    <t>6920717752304762467</t>
  </si>
  <si>
    <t>6945190665693632442</t>
  </si>
  <si>
    <t>6920715963911208681</t>
  </si>
  <si>
    <t>6920717705224617870</t>
  </si>
  <si>
    <t>6920715772775857215</t>
  </si>
  <si>
    <t>6920715554917415942</t>
  </si>
  <si>
    <t>6920724638964678550</t>
  </si>
  <si>
    <t>6920719831124770325</t>
  </si>
  <si>
    <t>6920724642234203993</t>
  </si>
  <si>
    <t>6920722356508262244</t>
  </si>
  <si>
    <t>6920724495368224332</t>
  </si>
  <si>
    <t>6920718078317460968</t>
  </si>
  <si>
    <t>6920722294289563222</t>
  </si>
  <si>
    <t>6920713261015334715</t>
  </si>
  <si>
    <t>6920712909795720768</t>
  </si>
  <si>
    <t>6920712704446856506</t>
  </si>
  <si>
    <t>3766942526569840906</t>
  </si>
  <si>
    <t>6920712704446922042</t>
  </si>
  <si>
    <t>6920707472428990351</t>
  </si>
  <si>
    <t>6945160088344925335</t>
  </si>
  <si>
    <t>6945150314986346059</t>
  </si>
  <si>
    <t>6920698865460739648</t>
  </si>
  <si>
    <t>3766962528224149911</t>
  </si>
  <si>
    <t>6920693113869664049</t>
  </si>
  <si>
    <t>6920680887065149045</t>
  </si>
  <si>
    <t>6945106424901276742</t>
  </si>
  <si>
    <t>6945113155589706969</t>
  </si>
  <si>
    <t>6945108604058605543</t>
  </si>
  <si>
    <t>3766960333395198324</t>
  </si>
  <si>
    <t>6945117821148927762</t>
  </si>
  <si>
    <t>6920680044383403322</t>
  </si>
  <si>
    <t>3766958469287117220</t>
  </si>
  <si>
    <t>6920679924012318676</t>
  </si>
  <si>
    <t>6920686499751821247</t>
  </si>
  <si>
    <t>6920684019955040212</t>
  </si>
  <si>
    <t>6945099741793162870</t>
  </si>
  <si>
    <t>6945099734941505142</t>
  </si>
  <si>
    <t>6920683932857630400</t>
  </si>
  <si>
    <t>6945104247134820164</t>
  </si>
  <si>
    <t>6920679793944592096</t>
  </si>
  <si>
    <t>6920679823593798975</t>
  </si>
  <si>
    <t>6920679640010227007</t>
  </si>
  <si>
    <t>6945126163459610564</t>
  </si>
  <si>
    <t>6920688394522427072</t>
  </si>
  <si>
    <t>6945099584141596194</t>
  </si>
  <si>
    <t>6945119651264010080</t>
  </si>
  <si>
    <t>6920681483720490688</t>
  </si>
  <si>
    <t>6945121971214030261</t>
  </si>
  <si>
    <t>6945128145686894025</t>
  </si>
  <si>
    <t>6945097200975353681</t>
  </si>
  <si>
    <t>6920679642090994837</t>
  </si>
  <si>
    <t>6920679604736065136</t>
  </si>
  <si>
    <t>6920688186241875316</t>
  </si>
  <si>
    <t>6945115037178205424</t>
  </si>
  <si>
    <t>6945115037178270960</t>
  </si>
  <si>
    <t>6920679439718579572</t>
  </si>
  <si>
    <t>6945108229944710739</t>
  </si>
  <si>
    <t>6920683550216846708</t>
  </si>
  <si>
    <t>6945108103060657747</t>
  </si>
  <si>
    <t>6945108157323613591</t>
  </si>
  <si>
    <t>6920681384379121272</t>
  </si>
  <si>
    <t>6945101752145680087</t>
  </si>
  <si>
    <t>6920683507951304451</t>
  </si>
  <si>
    <t>6945123779488126359</t>
  </si>
  <si>
    <t>6945121894632265431</t>
  </si>
  <si>
    <t>6945104016434533896</t>
  </si>
  <si>
    <t>6920688165555305701</t>
  </si>
  <si>
    <t>6920688272115924197</t>
  </si>
  <si>
    <t>6945103992098788734</t>
  </si>
  <si>
    <t>6920681224180301582</t>
  </si>
  <si>
    <t>6945101596984350471</t>
  </si>
  <si>
    <t>6920681168567959310</t>
  </si>
  <si>
    <t>6945105653562742142</t>
  </si>
  <si>
    <t>6945123672683976537</t>
  </si>
  <si>
    <t>6920681161974774893</t>
  </si>
  <si>
    <t>6920685791216106605</t>
  </si>
  <si>
    <t>6945112537264428626</t>
  </si>
  <si>
    <t>6945112614087497561</t>
  </si>
  <si>
    <t>6945121736500320168</t>
  </si>
  <si>
    <t>6945123623644894425</t>
  </si>
  <si>
    <t>6920685781384396346</t>
  </si>
  <si>
    <t>6945114870564787961</t>
  </si>
  <si>
    <t>6945121743090357435</t>
  </si>
  <si>
    <t>6945123738080843388</t>
  </si>
  <si>
    <t>6945121801592051624</t>
  </si>
  <si>
    <t>6945119329413174815</t>
  </si>
  <si>
    <t>6945092479563469949</t>
  </si>
  <si>
    <t>6945092450443007737</t>
  </si>
  <si>
    <t>6945112685728634073</t>
  </si>
  <si>
    <t>6945096956317079122</t>
  </si>
  <si>
    <t>6920673950760664985</t>
  </si>
  <si>
    <t>6945105626723718706</t>
  </si>
  <si>
    <t>6920679373399687055</t>
  </si>
  <si>
    <t>6920679374368898969</t>
  </si>
  <si>
    <t>6920678506888920975</t>
  </si>
  <si>
    <t>6945117197164287538</t>
  </si>
  <si>
    <t>6945121742294488265</t>
  </si>
  <si>
    <t>6945096925398897836</t>
  </si>
  <si>
    <t>6945114738358556147</t>
  </si>
  <si>
    <t>6945114683530810867</t>
  </si>
  <si>
    <t>6920671423990824206</t>
  </si>
  <si>
    <t>6945125745113634337</t>
  </si>
  <si>
    <t>6920679015321992458</t>
  </si>
  <si>
    <t>6945096578169771336</t>
  </si>
  <si>
    <t>6920679080055176824</t>
  </si>
  <si>
    <t>6945101402919081899</t>
  </si>
  <si>
    <t>6945103706766120388</t>
  </si>
  <si>
    <t>6945092259745109554</t>
  </si>
  <si>
    <t>6945112383478175048</t>
  </si>
  <si>
    <t>6920671466084532180</t>
  </si>
  <si>
    <t>6920676121101565560</t>
  </si>
  <si>
    <t>6945099149306631361</t>
  </si>
  <si>
    <t>6945099068288406909</t>
  </si>
  <si>
    <t>6945099143779652673</t>
  </si>
  <si>
    <t>6945112398859409380</t>
  </si>
  <si>
    <t>6920673757535305387</t>
  </si>
  <si>
    <t>6945117084536149414</t>
  </si>
  <si>
    <t>6945103635475010952</t>
  </si>
  <si>
    <t>6920675943142227424</t>
  </si>
  <si>
    <t>6945091228094764891</t>
  </si>
  <si>
    <t>6920669254760693312</t>
  </si>
  <si>
    <t>3766239227830993042</t>
  </si>
  <si>
    <t>6945067737534436564</t>
  </si>
  <si>
    <t>3766941036232966631</t>
  </si>
  <si>
    <t>6945053795091944869</t>
  </si>
  <si>
    <t>3766961958989988137</t>
  </si>
  <si>
    <t>6945059690616395070</t>
  </si>
  <si>
    <t>3766946939480965355</t>
  </si>
  <si>
    <t>6945059829957662014</t>
  </si>
  <si>
    <t>6945036187903792198</t>
  </si>
  <si>
    <t>6945009735727584677</t>
  </si>
  <si>
    <t>3766959843701817399</t>
  </si>
  <si>
    <t>6920637381241896198</t>
  </si>
  <si>
    <t>3766946986826268977</t>
  </si>
  <si>
    <t>6944955454103689117</t>
  </si>
  <si>
    <t>3766943181409747253</t>
  </si>
  <si>
    <t>6920636253911023064</t>
  </si>
  <si>
    <t>6944984646656923106</t>
  </si>
  <si>
    <t>6920624335969287397</t>
  </si>
  <si>
    <t>6944966633992885488</t>
  </si>
  <si>
    <t>6944975891039327449</t>
  </si>
  <si>
    <t>6920626663787954132</t>
  </si>
  <si>
    <t>6944978339047544226</t>
  </si>
  <si>
    <t>6944959739904661083</t>
  </si>
  <si>
    <t>6944969232220493527</t>
  </si>
  <si>
    <t>6920628748382732024</t>
  </si>
  <si>
    <t>6944957964485399662</t>
  </si>
  <si>
    <t>6944964544742102925</t>
  </si>
  <si>
    <t>3766943280328212883</t>
  </si>
  <si>
    <t>6944953285442541377</t>
  </si>
  <si>
    <t>6944975819384100801</t>
  </si>
  <si>
    <t>6920622059630394415</t>
  </si>
  <si>
    <t>6920621986287353350</t>
  </si>
  <si>
    <t>6920621802504748846</t>
  </si>
  <si>
    <t>6944961800901432911</t>
  </si>
  <si>
    <t>6944979649333368508</t>
  </si>
  <si>
    <t>6920628338653757284</t>
  </si>
  <si>
    <t>6920628357271617030</t>
  </si>
  <si>
    <t>6944975555435107709</t>
  </si>
  <si>
    <t>6944953009409234734</t>
  </si>
  <si>
    <t>6944968803509670955</t>
  </si>
  <si>
    <t>6944951023062815759</t>
  </si>
  <si>
    <t>6920623389321559269</t>
  </si>
  <si>
    <t>6944964007336154462</t>
  </si>
  <si>
    <t>6944957496899016206</t>
  </si>
  <si>
    <t>6944957310956999947</t>
  </si>
  <si>
    <t>6944957360035730699</t>
  </si>
  <si>
    <t>6944968651697951916</t>
  </si>
  <si>
    <t>6944977580584277487</t>
  </si>
  <si>
    <t>6920627920432102947</t>
  </si>
  <si>
    <t>6920625446679837890</t>
  </si>
  <si>
    <t>6944959108104984184</t>
  </si>
  <si>
    <t>6920621338442103862</t>
  </si>
  <si>
    <t>6944959062942357247</t>
  </si>
  <si>
    <t>6944952640570332788</t>
  </si>
  <si>
    <t>6944950932732318859</t>
  </si>
  <si>
    <t>6944961394970727602</t>
  </si>
  <si>
    <t>6944977539975222612</t>
  </si>
  <si>
    <t>6920623249652940196</t>
  </si>
  <si>
    <t>6920623177386654869</t>
  </si>
  <si>
    <t>6920623208407596480</t>
  </si>
  <si>
    <t>6944950906906088501</t>
  </si>
  <si>
    <t>6944959103140172870</t>
  </si>
  <si>
    <t>6944950801309242421</t>
  </si>
  <si>
    <t>6944968570105369665</t>
  </si>
  <si>
    <t>6944950886274962772</t>
  </si>
  <si>
    <t>6944954560107648200</t>
  </si>
  <si>
    <t>6944977544809092363</t>
  </si>
  <si>
    <t>6920627828688911695</t>
  </si>
  <si>
    <t>6944958987061565293</t>
  </si>
  <si>
    <t>6944950918635263128</t>
  </si>
  <si>
    <t>6920625499578859407</t>
  </si>
  <si>
    <t>6944958967077541294</t>
  </si>
  <si>
    <t>6944972944518550716</t>
  </si>
  <si>
    <t>6944950715772180275</t>
  </si>
  <si>
    <t>6920625504863551332</t>
  </si>
  <si>
    <t>6944946155381659186</t>
  </si>
  <si>
    <t>6944954582617035976</t>
  </si>
  <si>
    <t>6944954581036701234</t>
  </si>
  <si>
    <t>6920625548926615460</t>
  </si>
  <si>
    <t>6944959033161226075</t>
  </si>
  <si>
    <t>6944946092181821002</t>
  </si>
  <si>
    <t>6920625495653711394</t>
  </si>
  <si>
    <t>6944977600673944957</t>
  </si>
  <si>
    <t>6944948490935997505</t>
  </si>
  <si>
    <t>6920627712154566372</t>
  </si>
  <si>
    <t>6944961265710863858</t>
  </si>
  <si>
    <t>6920630107057257697</t>
  </si>
  <si>
    <t>6944958923185330011</t>
  </si>
  <si>
    <t>6920625428922269063</t>
  </si>
  <si>
    <t>6920630017394310867</t>
  </si>
  <si>
    <t>6944950707880662220</t>
  </si>
  <si>
    <t>6944957166414075627</t>
  </si>
  <si>
    <t>6920625222096879054</t>
  </si>
  <si>
    <t>3766962798706425895</t>
  </si>
  <si>
    <t>6920618201222249852</t>
  </si>
  <si>
    <t>6920612931793354304</t>
  </si>
  <si>
    <t>3766962903916347441</t>
  </si>
  <si>
    <t>6920605298699632192</t>
  </si>
  <si>
    <t>6920608037183782497</t>
  </si>
  <si>
    <t>3766942913116897480</t>
  </si>
  <si>
    <t>6920600395440946785</t>
  </si>
  <si>
    <t>6920600395441012321</t>
  </si>
  <si>
    <t>6920600395441077857</t>
  </si>
  <si>
    <t>6944927892023088740</t>
  </si>
  <si>
    <t>6944914627432813785</t>
  </si>
  <si>
    <t>6920601694353325640</t>
  </si>
  <si>
    <t>6920604063669190129</t>
  </si>
  <si>
    <t>6944912275027137802</t>
  </si>
  <si>
    <t>6920597304474435144</t>
  </si>
  <si>
    <t>6944918576931608501</t>
  </si>
  <si>
    <t>6944903525287073623</t>
  </si>
  <si>
    <t>6920597250638314613</t>
  </si>
  <si>
    <t>6944910099995694939</t>
  </si>
  <si>
    <t>6944916083590370827</t>
  </si>
  <si>
    <t>6944916130719602370</t>
  </si>
  <si>
    <t>3766942655402082491</t>
  </si>
  <si>
    <t>6920598999028760314</t>
  </si>
  <si>
    <t>6944892079395116489</t>
  </si>
  <si>
    <t>6944925213471151392</t>
  </si>
  <si>
    <t>6944903365806855796</t>
  </si>
  <si>
    <t>6920601220563696669</t>
  </si>
  <si>
    <t>6944912101348349659</t>
  </si>
  <si>
    <t>6944910033171518863</t>
  </si>
  <si>
    <t>6944894348539598117</t>
  </si>
  <si>
    <t>6944894445950997914</t>
  </si>
  <si>
    <t>6920598910303829221</t>
  </si>
  <si>
    <t>6920597029757287796</t>
  </si>
  <si>
    <t>6944903288191849689</t>
  </si>
  <si>
    <t>6920603387878342120</t>
  </si>
  <si>
    <t>6920603501684751405</t>
  </si>
  <si>
    <t>6944915975575115032</t>
  </si>
  <si>
    <t>6944903281207219612</t>
  </si>
  <si>
    <t>6944887422009677402</t>
  </si>
  <si>
    <t>6944909737862109152</t>
  </si>
  <si>
    <t>6920596679912357496</t>
  </si>
  <si>
    <t>6944915932657882862</t>
  </si>
  <si>
    <t>6944894183921226983</t>
  </si>
  <si>
    <t>6920595999283117844</t>
  </si>
  <si>
    <t>6920596653714472528</t>
  </si>
  <si>
    <t>6920598489672613361</t>
  </si>
  <si>
    <t>6944911746054559433</t>
  </si>
  <si>
    <t>6944905263971308862</t>
  </si>
  <si>
    <t>6944900948916705134</t>
  </si>
  <si>
    <t>6920596529080008518</t>
  </si>
  <si>
    <t>6920591248822075206</t>
  </si>
  <si>
    <t>6944902895775061304</t>
  </si>
  <si>
    <t>6920588888889982814</t>
  </si>
  <si>
    <t>6920591197742464020</t>
  </si>
  <si>
    <t>6920593429064155094</t>
  </si>
  <si>
    <t>6920591250014764061</t>
  </si>
  <si>
    <t>6920596473726795749</t>
  </si>
  <si>
    <t>6920593558862462310</t>
  </si>
  <si>
    <t>6920595750336756765</t>
  </si>
  <si>
    <t>6944913823821207524</t>
  </si>
  <si>
    <t>6944913782896727376</t>
  </si>
  <si>
    <t>6920595828799602096</t>
  </si>
  <si>
    <t>6944898612081267757</t>
  </si>
  <si>
    <t>6944889506626475696</t>
  </si>
  <si>
    <t>6944898621220590637</t>
  </si>
  <si>
    <t>6944907411156702858</t>
  </si>
  <si>
    <t>6944887162760664290</t>
  </si>
  <si>
    <t>6944898600932415456</t>
  </si>
  <si>
    <t>6944882686955362001</t>
  </si>
  <si>
    <t>6920591173433851504</t>
  </si>
  <si>
    <t>6920591128329813298</t>
  </si>
  <si>
    <t>6920591090003770491</t>
  </si>
  <si>
    <t>6944896306207725197</t>
  </si>
  <si>
    <t>6944889464345662958</t>
  </si>
  <si>
    <t>6920588865561066923</t>
  </si>
  <si>
    <t>6920595711959268850</t>
  </si>
  <si>
    <t>6944911627680224317</t>
  </si>
  <si>
    <t>6920591140366679715</t>
  </si>
  <si>
    <t>6920595763321732711</t>
  </si>
  <si>
    <t>6944898523525224184</t>
  </si>
  <si>
    <t>6944889432733980469</t>
  </si>
  <si>
    <t>6944909669982082869</t>
  </si>
  <si>
    <t>6920588872737127466</t>
  </si>
  <si>
    <t>6944902982330619855</t>
  </si>
  <si>
    <t>6944902956203382263</t>
  </si>
  <si>
    <t>6920596475869822155</t>
  </si>
  <si>
    <t>6944887188029576198</t>
  </si>
  <si>
    <t>6944893979538953366</t>
  </si>
  <si>
    <t>6944900882349627297</t>
  </si>
  <si>
    <t>6944909565032862834</t>
  </si>
  <si>
    <t>6920588768434027755</t>
  </si>
  <si>
    <t>6944894013550499428</t>
  </si>
  <si>
    <t>6920591103095635580</t>
  </si>
  <si>
    <t>6944898532312946567</t>
  </si>
  <si>
    <t>6920595717507612464</t>
  </si>
  <si>
    <t>6920588758294560314</t>
  </si>
  <si>
    <t>6944898533917857149</t>
  </si>
  <si>
    <t>6944887150090327695</t>
  </si>
  <si>
    <t>6920596375530012559</t>
  </si>
  <si>
    <t>6944907522698319140</t>
  </si>
  <si>
    <t>6944909511565579469</t>
  </si>
  <si>
    <t>6920593459695811924</t>
  </si>
  <si>
    <t>6920593510361562342</t>
  </si>
  <si>
    <t>6920593412218257092</t>
  </si>
  <si>
    <t>6944882648633644317</t>
  </si>
  <si>
    <t>6944896217304668124</t>
  </si>
  <si>
    <t>6920591145836052327</t>
  </si>
  <si>
    <t>6920596234507616231</t>
  </si>
  <si>
    <t>6944909623736276679</t>
  </si>
  <si>
    <t>6944905038057903256</t>
  </si>
  <si>
    <t>结算时间</t>
  </si>
  <si>
    <t>订单号</t>
  </si>
  <si>
    <t>子订单号</t>
  </si>
  <si>
    <t>结算金额</t>
  </si>
  <si>
    <t>结算账户</t>
  </si>
  <si>
    <t>结算单类型</t>
  </si>
  <si>
    <t>有结算前退款</t>
  </si>
  <si>
    <t>下单时间</t>
  </si>
  <si>
    <t>商品名称</t>
  </si>
  <si>
    <t>达人名称</t>
  </si>
  <si>
    <t>业务类型</t>
  </si>
  <si>
    <t>订单总价</t>
  </si>
  <si>
    <t>商品总价</t>
  </si>
  <si>
    <t>店铺劵</t>
  </si>
  <si>
    <t>政府补贴商家垫资</t>
  </si>
  <si>
    <t>结算前退款金额</t>
  </si>
  <si>
    <t>平台补贴</t>
  </si>
  <si>
    <t>其他平台补贴</t>
  </si>
  <si>
    <t>政府补贴平台垫资</t>
  </si>
  <si>
    <t>达人补贴</t>
  </si>
  <si>
    <t>抖音支付补贴</t>
  </si>
  <si>
    <t>抖音月付营销补贴</t>
  </si>
  <si>
    <t>银行补贴</t>
  </si>
  <si>
    <t>以旧换新抵扣</t>
  </si>
  <si>
    <t>平台补贴运费</t>
  </si>
  <si>
    <t>用户实付</t>
  </si>
  <si>
    <t>收入合计</t>
  </si>
  <si>
    <t>平台服务费</t>
  </si>
  <si>
    <t>达人佣金</t>
  </si>
  <si>
    <t>服务商佣金</t>
  </si>
  <si>
    <t>渠道分成</t>
  </si>
  <si>
    <t>招商服务费</t>
  </si>
  <si>
    <t>站外推广费</t>
  </si>
  <si>
    <t>其他分成</t>
  </si>
  <si>
    <t>其他分成说明</t>
  </si>
  <si>
    <t>支出合计</t>
  </si>
  <si>
    <t>是否免佣</t>
  </si>
  <si>
    <t>免佣金额</t>
  </si>
  <si>
    <t>商户主体名称</t>
  </si>
  <si>
    <t>备注</t>
  </si>
  <si>
    <t>年</t>
  </si>
  <si>
    <t>月</t>
  </si>
  <si>
    <t>订单行数</t>
  </si>
  <si>
    <t>订单序位</t>
  </si>
  <si>
    <t>平台商品编码</t>
  </si>
  <si>
    <t>财务核算编码</t>
  </si>
  <si>
    <t>销售数量</t>
  </si>
  <si>
    <t>应收客户</t>
  </si>
  <si>
    <t>应收平台</t>
  </si>
  <si>
    <t>收：价外收费</t>
  </si>
  <si>
    <t>扣：平台佣金用</t>
  </si>
  <si>
    <t>扣：分销佣金</t>
  </si>
  <si>
    <t>扣：其它费用</t>
  </si>
  <si>
    <t>应到账金额</t>
  </si>
  <si>
    <t>备注1</t>
  </si>
  <si>
    <t>备注2</t>
  </si>
  <si>
    <t xml:space="preserve"> </t>
  </si>
  <si>
    <t>收入+支出</t>
  </si>
  <si>
    <t>商品总价+运费</t>
  </si>
  <si>
    <t>包括商家发的优惠券、商品直降金额以及与平台混资补贴商家承担的金额</t>
  </si>
  <si>
    <t>以旧换新商家先行出资，结算后商家拿着对应金额发票与政府进行金额结算。</t>
  </si>
  <si>
    <t>退给用户的货款+运费+退补贴</t>
  </si>
  <si>
    <t>其他平台补贴包括话费充值平台优惠金额，此部分补贴金额商家无需给平台开票</t>
  </si>
  <si>
    <t>以旧换新政府出资补商家，跟随货款一同结算给商家，包括以旧换新政府补贴券，商家无需开票。</t>
  </si>
  <si>
    <t>用户实付+平台补贴+达人补贴+抖音支付补贴+抖音月付补贴+银行补贴+以旧换新抵扣+平台补贴运费+政府补贴平台垫资+其他平台补贴</t>
  </si>
  <si>
    <t>'-(用户实付+平台补贴+达人补贴+平台补贴运费+政府补贴平台垫资+其他平台补贴)*费率
平台按照商品类目费率收取商家的费用</t>
  </si>
  <si>
    <t>'-(用户实付-运费+平台补贴+达人补贴+平台补贴运费+抖音支付补贴+抖音月付补贴+政府补贴平台垫资+其他平台补贴)*费率
商家支出给达人的佣金</t>
  </si>
  <si>
    <t>商家使用了服务商服务（例如商家招募与培训、内容制作、抖店开设与运营、达人运营等一站式服务），需要支付给对应服务商的佣金</t>
  </si>
  <si>
    <t>仅在学浪订单场景下存在的分成，如果订单非学浪订单则不会有这个费用</t>
  </si>
  <si>
    <t>商家支出给团长的佣金</t>
  </si>
  <si>
    <t>推广者在抖音APP外进行商品推广，用户因推广者推广进入抖音APP进入小店平台并完成商品购买。商家商品通过精选联盟平台的推广者成交的，每笔订单商家需要向推广者支付一定比例的推广费</t>
  </si>
  <si>
    <t>除“佣金、渠道分成、招商服务费、站外推广费”等账单中已分列展示之外的分成项目</t>
  </si>
  <si>
    <t>平台服务费+达人佣金+服务商佣金+渠道分成+招商服务费+站外推广费+其他分成</t>
  </si>
  <si>
    <t>订单是否命中了平台各类平台服务费减免活动，例如商品卡佣金减免等活动</t>
  </si>
  <si>
    <t>订单结算时按照平台活动规则减免掉的金额，免佣金额不会结算或打款给商家</t>
  </si>
  <si>
    <t>'6944909511565579469</t>
  </si>
  <si>
    <t>聚合账户</t>
  </si>
  <si>
    <t>已结算</t>
  </si>
  <si>
    <t>'3767004410471907465</t>
  </si>
  <si>
    <t>【老板周】日系极简 春季新品圆领简约设计感无袖马甲</t>
  </si>
  <si>
    <t>'2353393836764088</t>
  </si>
  <si>
    <t>广州欣煌服饰有限公司</t>
  </si>
  <si>
    <t>'6920625548926615460</t>
  </si>
  <si>
    <t>'3767375525761384637</t>
  </si>
  <si>
    <t>【老板周】慵懒风 新品混纱法式极简复古廓形针织上衣</t>
  </si>
  <si>
    <t>'6944946092181821002</t>
  </si>
  <si>
    <t>'6920588865561066923</t>
  </si>
  <si>
    <t>'6944948490935997505</t>
  </si>
  <si>
    <t>'6945101402919081899</t>
  </si>
  <si>
    <t>'3766960333395198324</t>
  </si>
  <si>
    <t>【老板周】复古英伦 极简设计立体剪裁无领廓形外套</t>
  </si>
  <si>
    <t>'6944916130719602370</t>
  </si>
  <si>
    <t>'3766942655402082491</t>
  </si>
  <si>
    <t>【老板周】随性松弛 夏季自在松紧腰舒适肌理感绿豆沙阔腿裤</t>
  </si>
  <si>
    <t>'6920680044383403322</t>
  </si>
  <si>
    <t>'3766958469287117220</t>
  </si>
  <si>
    <t>【老板周】休闲立裁 夏季时髦肌理感挺括百搭九分裤</t>
  </si>
  <si>
    <t>'6944918576931608501</t>
  </si>
  <si>
    <t>'3766942533029069048</t>
  </si>
  <si>
    <t>【老板周】夏季轻盈 新品圆领气质轻薄不规则透气上衣</t>
  </si>
  <si>
    <t>'6944902956203382263</t>
  </si>
  <si>
    <t>'6944898532312946567</t>
  </si>
  <si>
    <t>'6944889464345662958</t>
  </si>
  <si>
    <t>'6920588758294560314</t>
  </si>
  <si>
    <t>'6944900882349627297</t>
  </si>
  <si>
    <t>'6920588768434027755</t>
  </si>
  <si>
    <t>'6920591103095635580</t>
  </si>
  <si>
    <t>'6944894013550499428</t>
  </si>
  <si>
    <t>'6944889432733980469</t>
  </si>
  <si>
    <t>'6920595763321732711</t>
  </si>
  <si>
    <t>'6944909565032862834</t>
  </si>
  <si>
    <t>'6944902982330619855</t>
  </si>
  <si>
    <t>'6944894348539598117</t>
  </si>
  <si>
    <t>'6944898523525224184</t>
  </si>
  <si>
    <t>'6944896306207725197</t>
  </si>
  <si>
    <t>'6945099143779652673</t>
  </si>
  <si>
    <t>'6944950715772180275</t>
  </si>
  <si>
    <t>'6945101596984350471</t>
  </si>
  <si>
    <t>'6945099068288406909</t>
  </si>
  <si>
    <t>'6945125745113634337</t>
  </si>
  <si>
    <t>'6944892079395116489</t>
  </si>
  <si>
    <t>'6945119329413174815</t>
  </si>
  <si>
    <t>'3766240353087259102</t>
  </si>
  <si>
    <t>【老板周】春夏经典时髦 简约基础款拉长比例短上衣</t>
  </si>
  <si>
    <t>'6920600395440946785</t>
  </si>
  <si>
    <t>'6920600395441012321</t>
  </si>
  <si>
    <t>'3766943280328212883</t>
  </si>
  <si>
    <t>【老板周】法式气质 夏季新款重工斜裁开衩松紧腰半裙</t>
  </si>
  <si>
    <t>'6944950932732318859</t>
  </si>
  <si>
    <t>'6945097200975353681</t>
  </si>
  <si>
    <t>'6944913823821207524</t>
  </si>
  <si>
    <t>'6944953285442541377</t>
  </si>
  <si>
    <t>'6920679374368898969</t>
  </si>
  <si>
    <t>'3766240945658527845</t>
  </si>
  <si>
    <t>【老板周】老钱风 简约休闲圆领后背扣子时髦马甲</t>
  </si>
  <si>
    <t>'6920688272115924197</t>
  </si>
  <si>
    <t>'6945123623644894425</t>
  </si>
  <si>
    <t>'6945117197164287538</t>
  </si>
  <si>
    <t>'6920678506888920975</t>
  </si>
  <si>
    <t>'6944950906906088501</t>
  </si>
  <si>
    <t>'6944887162760664290</t>
  </si>
  <si>
    <t>结算后退款-原路退回</t>
  </si>
  <si>
    <t>'6945249536084416116</t>
  </si>
  <si>
    <t>'6920685781384396346</t>
  </si>
  <si>
    <t>'6920673950760664985</t>
  </si>
  <si>
    <t>'6945105626723718706</t>
  </si>
  <si>
    <t>'6920679373399687055</t>
  </si>
  <si>
    <t>'6920595828799602096</t>
  </si>
  <si>
    <t>'6920683550216846708</t>
  </si>
  <si>
    <t>'6920681161974774893</t>
  </si>
  <si>
    <t>'6945128145686894025</t>
  </si>
  <si>
    <t>'6945335753862223835</t>
  </si>
  <si>
    <t>'3766946561599340937</t>
  </si>
  <si>
    <t>【老板周】极简设计 夏季新品重工肌理感慵懒针织上衣</t>
  </si>
  <si>
    <t>'6945123672683976537</t>
  </si>
  <si>
    <t>'6920685791216106605</t>
  </si>
  <si>
    <t>'6944909737862109152</t>
  </si>
  <si>
    <t>'6920681483720490688</t>
  </si>
  <si>
    <t>'6945181644850927145</t>
  </si>
  <si>
    <t>'6920715978398465705</t>
  </si>
  <si>
    <t>'6920593429064155094</t>
  </si>
  <si>
    <t>'6920717505666383504</t>
  </si>
  <si>
    <t>'6920596653714472528</t>
  </si>
  <si>
    <t>'6920591145836052327</t>
  </si>
  <si>
    <t>'6920679823593798975</t>
  </si>
  <si>
    <t>'6920712704446856506</t>
  </si>
  <si>
    <t>'3766942526569840906</t>
  </si>
  <si>
    <t>【老板周】舒适复古 夏季新品极简松紧腰开叉蓝宝石半身裙</t>
  </si>
  <si>
    <t>'6945311586967754354</t>
  </si>
  <si>
    <t>'6920623249652940196</t>
  </si>
  <si>
    <t>'6920600395441077857</t>
  </si>
  <si>
    <t>'6920712704446922042</t>
  </si>
  <si>
    <t>'6944950801309242421</t>
  </si>
  <si>
    <t>'6944968570105369665</t>
  </si>
  <si>
    <t>'6920623208407596480</t>
  </si>
  <si>
    <t>'6920720675995614368</t>
  </si>
  <si>
    <t>'3766961742253523242</t>
  </si>
  <si>
    <t>【老板周】早春新款 法式复古百搭圆领灯笼袖针织上衣</t>
  </si>
  <si>
    <t>'6920862917685968813</t>
  </si>
  <si>
    <t>'6944959062942357247</t>
  </si>
  <si>
    <t>保证金退款-支出退回</t>
  </si>
  <si>
    <t>结算后退款-非原路退回</t>
  </si>
  <si>
    <t>'6920671423990824206</t>
  </si>
  <si>
    <t>'6920725368513855311</t>
  </si>
  <si>
    <t>'6920588888889982814</t>
  </si>
  <si>
    <t>'6920736283076886495</t>
  </si>
  <si>
    <t>'6944975555435107709</t>
  </si>
  <si>
    <t>'6920727387720678877</t>
  </si>
  <si>
    <t>'6945121894632265431</t>
  </si>
  <si>
    <t>'6945103635475010952</t>
  </si>
  <si>
    <t>'6944961394970727602</t>
  </si>
  <si>
    <t>'6944975891039327449</t>
  </si>
  <si>
    <t>'6920707472428990351</t>
  </si>
  <si>
    <t>'6920622059630394415</t>
  </si>
  <si>
    <t>'6920623177386654869</t>
  </si>
  <si>
    <t>'6944969232220493527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</si>
</sst>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.25"/>
      <color theme="1"/>
      <name val="Menlo-Regular"/>
      <charset val="134"/>
    </font>
    <font>
      <b/>
      <sz val="11"/>
      <color theme="0"/>
      <name val="宋体"/>
      <charset val="134"/>
      <scheme val="minor"/>
    </font>
    <font>
      <b/>
      <sz val="9"/>
      <color rgb="FFFF0000"/>
      <name val="Microsoft YaHei"/>
      <charset val="134"/>
    </font>
    <font>
      <b/>
      <sz val="9"/>
      <color theme="0"/>
      <name val="Microsoft YaHei"/>
      <charset val="134"/>
    </font>
    <font>
      <b/>
      <sz val="12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43" fontId="6" fillId="0" borderId="0" xfId="0" applyNumberFormat="1" applyFont="1" applyFill="1" applyAlignment="1">
      <alignment horizontal="center" vertical="center" wrapText="1"/>
    </xf>
    <xf numFmtId="0" fontId="7" fillId="4" borderId="3" xfId="0" applyNumberFormat="1" applyFont="1" applyFill="1" applyBorder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5" borderId="0" xfId="0" applyFill="1" applyAlignment="1">
      <alignment vertical="center" wrapText="1"/>
    </xf>
    <xf numFmtId="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593"/>
  <sheetViews>
    <sheetView zoomScale="80" zoomScaleNormal="80" workbookViewId="0">
      <pane xSplit="4" ySplit="1" topLeftCell="AE2" activePane="bottomRight" state="frozen"/>
      <selection/>
      <selection pane="topRight"/>
      <selection pane="bottomLeft"/>
      <selection pane="bottomRight" activeCell="A1" sqref="A1:BU1"/>
    </sheetView>
  </sheetViews>
  <sheetFormatPr defaultColWidth="9.47115384615385" defaultRowHeight="16.8"/>
  <cols>
    <col min="1" max="2" width="21.7884615384615" customWidth="1"/>
    <col min="3" max="3" width="61.375" customWidth="1"/>
    <col min="4" max="4" width="35.5192307692308" customWidth="1"/>
    <col min="6" max="6" width="21.7884615384615" customWidth="1"/>
    <col min="7" max="7" width="24.6826923076923" customWidth="1"/>
  </cols>
  <sheetData>
    <row r="1" ht="51" spans="1:7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</row>
    <row r="2" customFormat="1" spans="1:73">
      <c r="A2" t="s">
        <v>73</v>
      </c>
      <c r="B2" t="s">
        <v>73</v>
      </c>
      <c r="C2" t="s">
        <v>74</v>
      </c>
      <c r="D2" t="s">
        <v>75</v>
      </c>
      <c r="E2">
        <v>1</v>
      </c>
      <c r="F2" t="s">
        <v>76</v>
      </c>
      <c r="G2" t="s">
        <v>77</v>
      </c>
      <c r="H2">
        <v>329</v>
      </c>
      <c r="I2">
        <v>329</v>
      </c>
      <c r="J2">
        <v>0</v>
      </c>
      <c r="K2">
        <v>0</v>
      </c>
      <c r="L2" t="s">
        <v>78</v>
      </c>
      <c r="M2" t="s">
        <v>78</v>
      </c>
      <c r="N2" t="s">
        <v>78</v>
      </c>
      <c r="O2">
        <v>0</v>
      </c>
      <c r="P2">
        <v>0</v>
      </c>
      <c r="Q2">
        <v>0</v>
      </c>
      <c r="R2" t="s">
        <v>79</v>
      </c>
      <c r="S2">
        <v>0</v>
      </c>
      <c r="T2" t="s">
        <v>80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80</v>
      </c>
      <c r="AA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78</v>
      </c>
      <c r="AQ2" t="s">
        <v>99</v>
      </c>
      <c r="AS2" t="s">
        <v>78</v>
      </c>
      <c r="AT2" t="s">
        <v>100</v>
      </c>
      <c r="AU2" t="s">
        <v>100</v>
      </c>
      <c r="AW2" t="s">
        <v>85</v>
      </c>
      <c r="AX2" t="s">
        <v>101</v>
      </c>
      <c r="AY2" t="s">
        <v>102</v>
      </c>
      <c r="AZ2" t="s">
        <v>103</v>
      </c>
      <c r="BA2" t="s">
        <v>104</v>
      </c>
      <c r="BB2" t="s">
        <v>78</v>
      </c>
      <c r="BC2" t="s">
        <v>78</v>
      </c>
      <c r="BD2" t="s">
        <v>105</v>
      </c>
      <c r="BE2">
        <v>0</v>
      </c>
      <c r="BF2">
        <v>0</v>
      </c>
      <c r="BG2">
        <v>0</v>
      </c>
      <c r="BH2">
        <v>0</v>
      </c>
      <c r="BJ2" t="s">
        <v>85</v>
      </c>
      <c r="BP2" t="s">
        <v>78</v>
      </c>
      <c r="BQ2" t="s">
        <v>78</v>
      </c>
      <c r="BR2" t="s">
        <v>78</v>
      </c>
    </row>
    <row r="3" customFormat="1" spans="1:73">
      <c r="A3" t="s">
        <v>106</v>
      </c>
      <c r="B3" t="s">
        <v>106</v>
      </c>
      <c r="C3" t="s">
        <v>107</v>
      </c>
      <c r="D3" t="s">
        <v>108</v>
      </c>
      <c r="E3">
        <v>1</v>
      </c>
      <c r="F3" t="s">
        <v>109</v>
      </c>
      <c r="G3" t="s">
        <v>110</v>
      </c>
      <c r="H3">
        <v>289</v>
      </c>
      <c r="I3">
        <v>289</v>
      </c>
      <c r="J3">
        <v>0</v>
      </c>
      <c r="K3">
        <v>0</v>
      </c>
      <c r="L3" t="s">
        <v>78</v>
      </c>
      <c r="M3" t="s">
        <v>78</v>
      </c>
      <c r="N3" t="s">
        <v>78</v>
      </c>
      <c r="O3">
        <v>0</v>
      </c>
      <c r="P3">
        <v>0</v>
      </c>
      <c r="Q3">
        <v>0</v>
      </c>
      <c r="R3" t="s">
        <v>111</v>
      </c>
      <c r="S3">
        <v>0</v>
      </c>
      <c r="T3" t="s">
        <v>80</v>
      </c>
      <c r="U3" t="s">
        <v>80</v>
      </c>
      <c r="V3" t="s">
        <v>112</v>
      </c>
      <c r="W3" t="s">
        <v>113</v>
      </c>
      <c r="X3" t="s">
        <v>114</v>
      </c>
      <c r="Y3" t="s">
        <v>115</v>
      </c>
      <c r="Z3" t="s">
        <v>80</v>
      </c>
      <c r="AA3" t="s">
        <v>85</v>
      </c>
      <c r="AC3" t="s">
        <v>116</v>
      </c>
      <c r="AD3" t="s">
        <v>87</v>
      </c>
      <c r="AF3" t="s">
        <v>117</v>
      </c>
      <c r="AG3" t="s">
        <v>118</v>
      </c>
      <c r="AH3" t="s">
        <v>91</v>
      </c>
      <c r="AI3" t="s">
        <v>92</v>
      </c>
      <c r="AJ3" t="s">
        <v>93</v>
      </c>
      <c r="AK3" t="s">
        <v>119</v>
      </c>
      <c r="AL3" t="s">
        <v>95</v>
      </c>
      <c r="AM3" t="s">
        <v>96</v>
      </c>
      <c r="AN3" t="s">
        <v>97</v>
      </c>
      <c r="AO3" t="s">
        <v>98</v>
      </c>
      <c r="AP3" t="s">
        <v>78</v>
      </c>
      <c r="AQ3" t="s">
        <v>78</v>
      </c>
      <c r="AS3" t="s">
        <v>78</v>
      </c>
      <c r="AT3" t="s">
        <v>100</v>
      </c>
      <c r="AU3" t="s">
        <v>100</v>
      </c>
      <c r="AW3" t="s">
        <v>85</v>
      </c>
      <c r="AX3" t="s">
        <v>101</v>
      </c>
      <c r="AY3" t="s">
        <v>102</v>
      </c>
      <c r="AZ3" t="s">
        <v>103</v>
      </c>
      <c r="BA3" t="s">
        <v>120</v>
      </c>
      <c r="BB3" t="s">
        <v>78</v>
      </c>
      <c r="BC3" t="s">
        <v>78</v>
      </c>
      <c r="BD3" t="s">
        <v>121</v>
      </c>
      <c r="BE3">
        <v>0</v>
      </c>
      <c r="BF3">
        <v>0</v>
      </c>
      <c r="BG3">
        <v>0</v>
      </c>
      <c r="BH3">
        <v>0</v>
      </c>
      <c r="BJ3" t="s">
        <v>85</v>
      </c>
      <c r="BP3" t="s">
        <v>78</v>
      </c>
      <c r="BQ3" t="s">
        <v>78</v>
      </c>
      <c r="BR3" t="s">
        <v>78</v>
      </c>
    </row>
    <row r="4" customFormat="1" spans="1:73">
      <c r="A4" t="s">
        <v>122</v>
      </c>
      <c r="B4" t="s">
        <v>122</v>
      </c>
      <c r="C4" t="s">
        <v>107</v>
      </c>
      <c r="D4" t="s">
        <v>123</v>
      </c>
      <c r="E4">
        <v>1</v>
      </c>
      <c r="F4" t="s">
        <v>109</v>
      </c>
      <c r="G4" t="s">
        <v>124</v>
      </c>
      <c r="H4">
        <v>289</v>
      </c>
      <c r="I4">
        <v>289</v>
      </c>
      <c r="J4">
        <v>0</v>
      </c>
      <c r="K4">
        <v>0</v>
      </c>
      <c r="L4" t="s">
        <v>78</v>
      </c>
      <c r="M4" t="s">
        <v>78</v>
      </c>
      <c r="N4" t="s">
        <v>78</v>
      </c>
      <c r="O4">
        <v>0</v>
      </c>
      <c r="P4">
        <v>0</v>
      </c>
      <c r="Q4">
        <v>0</v>
      </c>
      <c r="R4" t="s">
        <v>125</v>
      </c>
      <c r="S4">
        <v>0</v>
      </c>
      <c r="T4" t="s">
        <v>80</v>
      </c>
      <c r="U4" t="s">
        <v>80</v>
      </c>
      <c r="V4" t="s">
        <v>126</v>
      </c>
      <c r="W4" t="s">
        <v>127</v>
      </c>
      <c r="X4" t="s">
        <v>128</v>
      </c>
      <c r="Y4" t="s">
        <v>78</v>
      </c>
      <c r="Z4" t="s">
        <v>80</v>
      </c>
      <c r="AA4" t="s">
        <v>85</v>
      </c>
      <c r="AC4" t="s">
        <v>129</v>
      </c>
      <c r="AD4" t="s">
        <v>87</v>
      </c>
      <c r="AG4" t="s">
        <v>130</v>
      </c>
      <c r="AH4" t="s">
        <v>91</v>
      </c>
      <c r="AI4" t="s">
        <v>92</v>
      </c>
      <c r="AJ4" t="s">
        <v>131</v>
      </c>
      <c r="AK4" t="s">
        <v>132</v>
      </c>
      <c r="AL4" t="s">
        <v>95</v>
      </c>
      <c r="AM4" t="s">
        <v>96</v>
      </c>
      <c r="AN4" t="s">
        <v>97</v>
      </c>
      <c r="AO4" t="s">
        <v>98</v>
      </c>
      <c r="AP4" t="s">
        <v>78</v>
      </c>
      <c r="AQ4" t="s">
        <v>99</v>
      </c>
      <c r="AS4" t="s">
        <v>78</v>
      </c>
      <c r="AT4" t="s">
        <v>100</v>
      </c>
      <c r="AU4" t="s">
        <v>100</v>
      </c>
      <c r="AW4" t="s">
        <v>85</v>
      </c>
      <c r="AX4" t="s">
        <v>101</v>
      </c>
      <c r="AY4" t="s">
        <v>102</v>
      </c>
      <c r="AZ4" t="s">
        <v>103</v>
      </c>
      <c r="BA4" t="s">
        <v>133</v>
      </c>
      <c r="BB4" t="s">
        <v>78</v>
      </c>
      <c r="BC4" t="s">
        <v>78</v>
      </c>
      <c r="BE4">
        <v>0</v>
      </c>
      <c r="BF4">
        <v>0</v>
      </c>
      <c r="BG4">
        <v>0</v>
      </c>
      <c r="BH4">
        <v>0</v>
      </c>
      <c r="BJ4" t="s">
        <v>85</v>
      </c>
      <c r="BP4" t="s">
        <v>78</v>
      </c>
      <c r="BQ4" t="s">
        <v>78</v>
      </c>
      <c r="BR4" t="s">
        <v>78</v>
      </c>
    </row>
    <row r="5" customFormat="1" spans="1:73">
      <c r="A5" t="s">
        <v>134</v>
      </c>
      <c r="B5" t="s">
        <v>134</v>
      </c>
      <c r="C5" t="s">
        <v>107</v>
      </c>
      <c r="D5" t="s">
        <v>135</v>
      </c>
      <c r="E5">
        <v>1</v>
      </c>
      <c r="F5" t="s">
        <v>109</v>
      </c>
      <c r="G5" t="s">
        <v>136</v>
      </c>
      <c r="H5">
        <v>289</v>
      </c>
      <c r="I5">
        <v>286</v>
      </c>
      <c r="J5">
        <v>0</v>
      </c>
      <c r="K5">
        <v>4</v>
      </c>
      <c r="L5" t="s">
        <v>137</v>
      </c>
      <c r="M5" t="s">
        <v>78</v>
      </c>
      <c r="N5" t="s">
        <v>78</v>
      </c>
      <c r="O5">
        <v>0</v>
      </c>
      <c r="P5">
        <v>1</v>
      </c>
      <c r="Q5">
        <v>0</v>
      </c>
      <c r="R5" t="s">
        <v>125</v>
      </c>
      <c r="S5">
        <v>0</v>
      </c>
      <c r="T5" t="s">
        <v>80</v>
      </c>
      <c r="U5" t="s">
        <v>80</v>
      </c>
      <c r="V5" t="s">
        <v>138</v>
      </c>
      <c r="W5" t="s">
        <v>139</v>
      </c>
      <c r="X5" t="s">
        <v>140</v>
      </c>
      <c r="Y5" t="s">
        <v>141</v>
      </c>
      <c r="Z5" t="s">
        <v>80</v>
      </c>
      <c r="AA5" t="s">
        <v>85</v>
      </c>
      <c r="AC5" t="s">
        <v>142</v>
      </c>
      <c r="AD5" t="s">
        <v>87</v>
      </c>
      <c r="AG5" t="s">
        <v>143</v>
      </c>
      <c r="AH5" t="s">
        <v>91</v>
      </c>
      <c r="AI5" t="s">
        <v>92</v>
      </c>
      <c r="AJ5" t="s">
        <v>131</v>
      </c>
      <c r="AK5" t="s">
        <v>144</v>
      </c>
      <c r="AL5" t="s">
        <v>95</v>
      </c>
      <c r="AM5" t="s">
        <v>96</v>
      </c>
      <c r="AN5" t="s">
        <v>97</v>
      </c>
      <c r="AO5" t="s">
        <v>98</v>
      </c>
      <c r="AP5" t="s">
        <v>78</v>
      </c>
      <c r="AQ5" t="s">
        <v>99</v>
      </c>
      <c r="AS5" t="s">
        <v>78</v>
      </c>
      <c r="AT5" t="s">
        <v>100</v>
      </c>
      <c r="AU5" t="s">
        <v>100</v>
      </c>
      <c r="AW5" t="s">
        <v>85</v>
      </c>
      <c r="AX5" t="s">
        <v>101</v>
      </c>
      <c r="AY5" t="s">
        <v>102</v>
      </c>
      <c r="AZ5" t="s">
        <v>145</v>
      </c>
      <c r="BA5" t="s">
        <v>146</v>
      </c>
      <c r="BB5" t="s">
        <v>78</v>
      </c>
      <c r="BC5" t="s">
        <v>78</v>
      </c>
      <c r="BE5">
        <v>0</v>
      </c>
      <c r="BF5">
        <v>3</v>
      </c>
      <c r="BG5">
        <v>0</v>
      </c>
      <c r="BH5">
        <v>0</v>
      </c>
      <c r="BJ5" t="s">
        <v>85</v>
      </c>
      <c r="BP5" t="s">
        <v>78</v>
      </c>
      <c r="BQ5" t="s">
        <v>78</v>
      </c>
      <c r="BR5" t="s">
        <v>78</v>
      </c>
    </row>
    <row r="6" customFormat="1" spans="1:73">
      <c r="A6" t="s">
        <v>147</v>
      </c>
      <c r="B6" t="s">
        <v>147</v>
      </c>
      <c r="C6" t="s">
        <v>148</v>
      </c>
      <c r="D6" t="s">
        <v>149</v>
      </c>
      <c r="E6">
        <v>1</v>
      </c>
      <c r="F6" t="s">
        <v>150</v>
      </c>
      <c r="G6" t="s">
        <v>151</v>
      </c>
      <c r="H6">
        <v>289</v>
      </c>
      <c r="I6">
        <v>289</v>
      </c>
      <c r="J6">
        <v>0</v>
      </c>
      <c r="K6">
        <v>0</v>
      </c>
      <c r="L6" t="s">
        <v>78</v>
      </c>
      <c r="M6" t="s">
        <v>78</v>
      </c>
      <c r="N6" t="s">
        <v>78</v>
      </c>
      <c r="O6">
        <v>0</v>
      </c>
      <c r="P6">
        <v>0</v>
      </c>
      <c r="Q6">
        <v>0</v>
      </c>
      <c r="R6" t="s">
        <v>125</v>
      </c>
      <c r="S6">
        <v>0</v>
      </c>
      <c r="T6" t="s">
        <v>80</v>
      </c>
      <c r="U6" t="s">
        <v>80</v>
      </c>
      <c r="V6" t="s">
        <v>152</v>
      </c>
      <c r="W6" t="s">
        <v>153</v>
      </c>
      <c r="X6" t="s">
        <v>154</v>
      </c>
      <c r="Y6" t="s">
        <v>155</v>
      </c>
      <c r="Z6" t="s">
        <v>80</v>
      </c>
      <c r="AA6" t="s">
        <v>85</v>
      </c>
      <c r="AC6" t="s">
        <v>156</v>
      </c>
      <c r="AD6" t="s">
        <v>87</v>
      </c>
      <c r="AG6" t="s">
        <v>157</v>
      </c>
      <c r="AH6" t="s">
        <v>91</v>
      </c>
      <c r="AI6" t="s">
        <v>92</v>
      </c>
      <c r="AJ6" t="s">
        <v>131</v>
      </c>
      <c r="AK6" t="s">
        <v>158</v>
      </c>
      <c r="AL6" t="s">
        <v>95</v>
      </c>
      <c r="AM6" t="s">
        <v>96</v>
      </c>
      <c r="AN6" t="s">
        <v>97</v>
      </c>
      <c r="AO6" t="s">
        <v>98</v>
      </c>
      <c r="AP6" t="s">
        <v>78</v>
      </c>
      <c r="AQ6" t="s">
        <v>99</v>
      </c>
      <c r="AS6" t="s">
        <v>78</v>
      </c>
      <c r="AT6" t="s">
        <v>100</v>
      </c>
      <c r="AU6" t="s">
        <v>100</v>
      </c>
      <c r="AW6" t="s">
        <v>85</v>
      </c>
      <c r="AX6" t="s">
        <v>103</v>
      </c>
      <c r="AY6" t="s">
        <v>159</v>
      </c>
      <c r="AZ6" t="s">
        <v>103</v>
      </c>
      <c r="BA6" t="s">
        <v>104</v>
      </c>
      <c r="BB6" t="s">
        <v>78</v>
      </c>
      <c r="BC6" t="s">
        <v>78</v>
      </c>
      <c r="BE6">
        <v>0</v>
      </c>
      <c r="BF6">
        <v>0</v>
      </c>
      <c r="BG6">
        <v>0</v>
      </c>
      <c r="BH6">
        <v>0</v>
      </c>
      <c r="BJ6" t="s">
        <v>85</v>
      </c>
      <c r="BP6" t="s">
        <v>78</v>
      </c>
      <c r="BQ6" t="s">
        <v>78</v>
      </c>
      <c r="BR6" t="s">
        <v>78</v>
      </c>
    </row>
    <row r="7" customFormat="1" spans="1:73">
      <c r="A7" t="s">
        <v>160</v>
      </c>
      <c r="B7" t="s">
        <v>160</v>
      </c>
      <c r="C7" t="s">
        <v>107</v>
      </c>
      <c r="D7" t="s">
        <v>108</v>
      </c>
      <c r="E7">
        <v>1</v>
      </c>
      <c r="F7" t="s">
        <v>109</v>
      </c>
      <c r="G7" t="s">
        <v>110</v>
      </c>
      <c r="H7">
        <v>289</v>
      </c>
      <c r="I7">
        <v>289</v>
      </c>
      <c r="J7">
        <v>0</v>
      </c>
      <c r="K7">
        <v>0</v>
      </c>
      <c r="L7" t="s">
        <v>78</v>
      </c>
      <c r="M7" t="s">
        <v>78</v>
      </c>
      <c r="N7" t="s">
        <v>78</v>
      </c>
      <c r="O7">
        <v>0</v>
      </c>
      <c r="P7">
        <v>0</v>
      </c>
      <c r="Q7">
        <v>0</v>
      </c>
      <c r="R7" t="s">
        <v>111</v>
      </c>
      <c r="S7">
        <v>0</v>
      </c>
      <c r="T7" t="s">
        <v>80</v>
      </c>
      <c r="U7" t="s">
        <v>80</v>
      </c>
      <c r="V7" t="s">
        <v>161</v>
      </c>
      <c r="W7" t="s">
        <v>161</v>
      </c>
      <c r="X7" t="s">
        <v>162</v>
      </c>
      <c r="Y7" t="s">
        <v>78</v>
      </c>
      <c r="Z7" t="s">
        <v>80</v>
      </c>
      <c r="AA7" t="s">
        <v>85</v>
      </c>
      <c r="AC7" t="s">
        <v>163</v>
      </c>
      <c r="AD7" t="s">
        <v>87</v>
      </c>
      <c r="AF7" t="s">
        <v>117</v>
      </c>
      <c r="AG7" t="s">
        <v>164</v>
      </c>
      <c r="AH7" t="s">
        <v>91</v>
      </c>
      <c r="AI7" t="s">
        <v>92</v>
      </c>
      <c r="AJ7" t="s">
        <v>93</v>
      </c>
      <c r="AK7" t="s">
        <v>165</v>
      </c>
      <c r="AL7" t="s">
        <v>95</v>
      </c>
      <c r="AM7" t="s">
        <v>96</v>
      </c>
      <c r="AN7" t="s">
        <v>97</v>
      </c>
      <c r="AO7" t="s">
        <v>98</v>
      </c>
      <c r="AP7" t="s">
        <v>78</v>
      </c>
      <c r="AQ7" t="s">
        <v>78</v>
      </c>
      <c r="AS7" t="s">
        <v>78</v>
      </c>
      <c r="AT7" t="s">
        <v>100</v>
      </c>
      <c r="AU7" t="s">
        <v>100</v>
      </c>
      <c r="AW7" t="s">
        <v>85</v>
      </c>
      <c r="AX7" t="s">
        <v>101</v>
      </c>
      <c r="AY7" t="s">
        <v>102</v>
      </c>
      <c r="AZ7" t="s">
        <v>103</v>
      </c>
      <c r="BA7" t="s">
        <v>133</v>
      </c>
      <c r="BB7" t="s">
        <v>78</v>
      </c>
      <c r="BC7" t="s">
        <v>78</v>
      </c>
      <c r="BD7" t="s">
        <v>121</v>
      </c>
      <c r="BE7">
        <v>0</v>
      </c>
      <c r="BF7">
        <v>0</v>
      </c>
      <c r="BG7">
        <v>0</v>
      </c>
      <c r="BH7">
        <v>0</v>
      </c>
      <c r="BJ7" t="s">
        <v>85</v>
      </c>
      <c r="BP7" t="s">
        <v>78</v>
      </c>
      <c r="BQ7" t="s">
        <v>78</v>
      </c>
      <c r="BR7" t="s">
        <v>78</v>
      </c>
    </row>
    <row r="8" customFormat="1" spans="1:73">
      <c r="A8" t="s">
        <v>166</v>
      </c>
      <c r="B8" t="s">
        <v>166</v>
      </c>
      <c r="C8" t="s">
        <v>107</v>
      </c>
      <c r="D8" t="s">
        <v>108</v>
      </c>
      <c r="E8">
        <v>1</v>
      </c>
      <c r="F8" t="s">
        <v>109</v>
      </c>
      <c r="G8" t="s">
        <v>110</v>
      </c>
      <c r="H8">
        <v>289</v>
      </c>
      <c r="I8">
        <v>289</v>
      </c>
      <c r="J8">
        <v>0</v>
      </c>
      <c r="K8">
        <v>0</v>
      </c>
      <c r="L8" t="s">
        <v>78</v>
      </c>
      <c r="M8" t="s">
        <v>78</v>
      </c>
      <c r="N8" t="s">
        <v>78</v>
      </c>
      <c r="O8">
        <v>0</v>
      </c>
      <c r="P8">
        <v>0</v>
      </c>
      <c r="Q8">
        <v>0</v>
      </c>
      <c r="R8" t="s">
        <v>79</v>
      </c>
      <c r="S8">
        <v>0</v>
      </c>
      <c r="T8" t="s">
        <v>80</v>
      </c>
      <c r="U8" t="s">
        <v>80</v>
      </c>
      <c r="V8" t="s">
        <v>167</v>
      </c>
      <c r="W8" t="s">
        <v>168</v>
      </c>
      <c r="X8" t="s">
        <v>169</v>
      </c>
      <c r="Y8" t="s">
        <v>170</v>
      </c>
      <c r="Z8" t="s">
        <v>80</v>
      </c>
      <c r="AA8" t="s">
        <v>85</v>
      </c>
      <c r="AC8" t="s">
        <v>171</v>
      </c>
      <c r="AD8" t="s">
        <v>87</v>
      </c>
      <c r="AF8" t="s">
        <v>117</v>
      </c>
      <c r="AG8" t="s">
        <v>172</v>
      </c>
      <c r="AH8" t="s">
        <v>91</v>
      </c>
      <c r="AI8" t="s">
        <v>92</v>
      </c>
      <c r="AJ8" t="s">
        <v>93</v>
      </c>
      <c r="AK8" t="s">
        <v>173</v>
      </c>
      <c r="AL8" t="s">
        <v>95</v>
      </c>
      <c r="AM8" t="s">
        <v>96</v>
      </c>
      <c r="AN8" t="s">
        <v>97</v>
      </c>
      <c r="AO8" t="s">
        <v>98</v>
      </c>
      <c r="AP8" t="s">
        <v>78</v>
      </c>
      <c r="AQ8" t="s">
        <v>99</v>
      </c>
      <c r="AS8" t="s">
        <v>78</v>
      </c>
      <c r="AT8" t="s">
        <v>100</v>
      </c>
      <c r="AU8" t="s">
        <v>100</v>
      </c>
      <c r="AW8" t="s">
        <v>85</v>
      </c>
      <c r="AX8" t="s">
        <v>101</v>
      </c>
      <c r="AY8" t="s">
        <v>102</v>
      </c>
      <c r="AZ8" t="s">
        <v>103</v>
      </c>
      <c r="BA8" t="s">
        <v>133</v>
      </c>
      <c r="BB8" t="s">
        <v>78</v>
      </c>
      <c r="BC8" t="s">
        <v>78</v>
      </c>
      <c r="BD8" t="s">
        <v>121</v>
      </c>
      <c r="BE8">
        <v>0</v>
      </c>
      <c r="BF8">
        <v>0</v>
      </c>
      <c r="BG8">
        <v>0</v>
      </c>
      <c r="BH8">
        <v>0</v>
      </c>
      <c r="BJ8" t="s">
        <v>85</v>
      </c>
      <c r="BP8" t="s">
        <v>78</v>
      </c>
      <c r="BQ8" t="s">
        <v>78</v>
      </c>
      <c r="BR8" t="s">
        <v>78</v>
      </c>
    </row>
    <row r="9" customFormat="1" spans="1:73">
      <c r="A9" t="s">
        <v>174</v>
      </c>
      <c r="B9" t="s">
        <v>174</v>
      </c>
      <c r="C9" t="s">
        <v>148</v>
      </c>
      <c r="D9" t="s">
        <v>175</v>
      </c>
      <c r="E9">
        <v>1</v>
      </c>
      <c r="F9" t="s">
        <v>150</v>
      </c>
      <c r="G9" t="s">
        <v>176</v>
      </c>
      <c r="H9">
        <v>289</v>
      </c>
      <c r="I9">
        <v>284</v>
      </c>
      <c r="J9">
        <v>0</v>
      </c>
      <c r="K9">
        <v>5</v>
      </c>
      <c r="L9" t="s">
        <v>177</v>
      </c>
      <c r="M9" t="s">
        <v>78</v>
      </c>
      <c r="N9" t="s">
        <v>78</v>
      </c>
      <c r="O9">
        <v>0</v>
      </c>
      <c r="P9">
        <v>0</v>
      </c>
      <c r="Q9">
        <v>0</v>
      </c>
      <c r="R9" t="s">
        <v>79</v>
      </c>
      <c r="S9">
        <v>0</v>
      </c>
      <c r="T9" t="s">
        <v>80</v>
      </c>
      <c r="U9" t="s">
        <v>80</v>
      </c>
      <c r="V9" t="s">
        <v>178</v>
      </c>
      <c r="W9" t="s">
        <v>178</v>
      </c>
      <c r="X9" t="s">
        <v>179</v>
      </c>
      <c r="Y9" t="s">
        <v>180</v>
      </c>
      <c r="Z9" t="s">
        <v>80</v>
      </c>
      <c r="AA9" t="s">
        <v>85</v>
      </c>
      <c r="AC9" t="s">
        <v>181</v>
      </c>
      <c r="AD9" t="s">
        <v>87</v>
      </c>
      <c r="AG9" t="s">
        <v>182</v>
      </c>
      <c r="AH9" t="s">
        <v>183</v>
      </c>
      <c r="AI9" t="s">
        <v>92</v>
      </c>
      <c r="AJ9" t="s">
        <v>131</v>
      </c>
      <c r="AK9" t="s">
        <v>184</v>
      </c>
      <c r="AL9" t="s">
        <v>95</v>
      </c>
      <c r="AM9" t="s">
        <v>96</v>
      </c>
      <c r="AN9" t="s">
        <v>97</v>
      </c>
      <c r="AO9" t="s">
        <v>98</v>
      </c>
      <c r="AP9" t="s">
        <v>78</v>
      </c>
      <c r="AQ9" t="s">
        <v>99</v>
      </c>
      <c r="AS9" t="s">
        <v>78</v>
      </c>
      <c r="AT9" t="s">
        <v>100</v>
      </c>
      <c r="AU9" t="s">
        <v>100</v>
      </c>
      <c r="AW9" t="s">
        <v>85</v>
      </c>
      <c r="AX9" t="s">
        <v>103</v>
      </c>
      <c r="AY9" t="s">
        <v>159</v>
      </c>
      <c r="AZ9" t="s">
        <v>103</v>
      </c>
      <c r="BA9" t="s">
        <v>185</v>
      </c>
      <c r="BB9" t="s">
        <v>78</v>
      </c>
      <c r="BC9" t="s">
        <v>78</v>
      </c>
      <c r="BE9">
        <v>0</v>
      </c>
      <c r="BF9">
        <v>5</v>
      </c>
      <c r="BG9">
        <v>0</v>
      </c>
      <c r="BH9">
        <v>0</v>
      </c>
      <c r="BJ9" t="s">
        <v>85</v>
      </c>
      <c r="BP9" t="s">
        <v>78</v>
      </c>
      <c r="BQ9" t="s">
        <v>78</v>
      </c>
      <c r="BR9" t="s">
        <v>78</v>
      </c>
    </row>
    <row r="10" customFormat="1" spans="1:73">
      <c r="A10" t="s">
        <v>186</v>
      </c>
      <c r="B10" t="s">
        <v>186</v>
      </c>
      <c r="C10" t="s">
        <v>148</v>
      </c>
      <c r="D10" t="s">
        <v>187</v>
      </c>
      <c r="E10">
        <v>1</v>
      </c>
      <c r="F10" t="s">
        <v>150</v>
      </c>
      <c r="G10" t="s">
        <v>188</v>
      </c>
      <c r="H10">
        <v>289</v>
      </c>
      <c r="I10">
        <v>289</v>
      </c>
      <c r="J10">
        <v>0</v>
      </c>
      <c r="K10">
        <v>0</v>
      </c>
      <c r="L10" t="s">
        <v>78</v>
      </c>
      <c r="M10" t="s">
        <v>78</v>
      </c>
      <c r="N10" t="s">
        <v>78</v>
      </c>
      <c r="O10">
        <v>0</v>
      </c>
      <c r="P10">
        <v>0</v>
      </c>
      <c r="Q10">
        <v>0</v>
      </c>
      <c r="R10" t="s">
        <v>125</v>
      </c>
      <c r="S10">
        <v>0</v>
      </c>
      <c r="T10" t="s">
        <v>80</v>
      </c>
      <c r="U10" t="s">
        <v>80</v>
      </c>
      <c r="V10" t="s">
        <v>189</v>
      </c>
      <c r="W10" t="s">
        <v>190</v>
      </c>
      <c r="X10" t="s">
        <v>191</v>
      </c>
      <c r="Y10" t="s">
        <v>192</v>
      </c>
      <c r="Z10" t="s">
        <v>80</v>
      </c>
      <c r="AA10" t="s">
        <v>85</v>
      </c>
      <c r="AC10" t="s">
        <v>193</v>
      </c>
      <c r="AD10" t="s">
        <v>87</v>
      </c>
      <c r="AH10" t="s">
        <v>91</v>
      </c>
      <c r="AI10" t="s">
        <v>92</v>
      </c>
      <c r="AJ10" t="s">
        <v>131</v>
      </c>
      <c r="AK10" t="s">
        <v>194</v>
      </c>
      <c r="AL10" t="s">
        <v>95</v>
      </c>
      <c r="AM10" t="s">
        <v>96</v>
      </c>
      <c r="AN10" t="s">
        <v>97</v>
      </c>
      <c r="AO10" t="s">
        <v>98</v>
      </c>
      <c r="AP10" t="s">
        <v>78</v>
      </c>
      <c r="AQ10" t="s">
        <v>78</v>
      </c>
      <c r="AR10" t="s">
        <v>195</v>
      </c>
      <c r="AS10" t="s">
        <v>78</v>
      </c>
      <c r="AT10" t="s">
        <v>100</v>
      </c>
      <c r="AU10" t="s">
        <v>100</v>
      </c>
      <c r="AW10" t="s">
        <v>85</v>
      </c>
      <c r="AX10" t="s">
        <v>101</v>
      </c>
      <c r="AY10" t="s">
        <v>102</v>
      </c>
      <c r="AZ10" t="s">
        <v>103</v>
      </c>
      <c r="BA10" t="s">
        <v>133</v>
      </c>
      <c r="BB10" t="s">
        <v>78</v>
      </c>
      <c r="BC10" t="s">
        <v>78</v>
      </c>
      <c r="BE10">
        <v>0</v>
      </c>
      <c r="BF10">
        <v>0</v>
      </c>
      <c r="BG10">
        <v>0</v>
      </c>
      <c r="BH10">
        <v>0</v>
      </c>
      <c r="BJ10" t="s">
        <v>85</v>
      </c>
      <c r="BP10" t="s">
        <v>78</v>
      </c>
      <c r="BQ10" t="s">
        <v>78</v>
      </c>
      <c r="BR10" t="s">
        <v>78</v>
      </c>
    </row>
    <row r="11" customFormat="1" spans="1:73">
      <c r="A11" t="s">
        <v>196</v>
      </c>
      <c r="B11" t="s">
        <v>196</v>
      </c>
      <c r="C11" t="s">
        <v>148</v>
      </c>
      <c r="D11" t="s">
        <v>149</v>
      </c>
      <c r="E11">
        <v>1</v>
      </c>
      <c r="F11" t="s">
        <v>150</v>
      </c>
      <c r="G11" t="s">
        <v>151</v>
      </c>
      <c r="H11">
        <v>289</v>
      </c>
      <c r="I11">
        <v>267</v>
      </c>
      <c r="J11">
        <v>0</v>
      </c>
      <c r="K11">
        <v>22</v>
      </c>
      <c r="L11" t="s">
        <v>197</v>
      </c>
      <c r="M11" t="s">
        <v>78</v>
      </c>
      <c r="N11" t="s">
        <v>78</v>
      </c>
      <c r="O11">
        <v>0</v>
      </c>
      <c r="P11">
        <v>0</v>
      </c>
      <c r="Q11">
        <v>0</v>
      </c>
      <c r="R11" t="s">
        <v>79</v>
      </c>
      <c r="S11">
        <v>0</v>
      </c>
      <c r="T11" t="s">
        <v>80</v>
      </c>
      <c r="U11" t="s">
        <v>80</v>
      </c>
      <c r="V11" t="s">
        <v>112</v>
      </c>
      <c r="W11" t="s">
        <v>198</v>
      </c>
      <c r="X11" t="s">
        <v>199</v>
      </c>
      <c r="Y11" t="s">
        <v>200</v>
      </c>
      <c r="Z11" t="s">
        <v>80</v>
      </c>
      <c r="AA11" t="s">
        <v>85</v>
      </c>
      <c r="AC11" t="s">
        <v>201</v>
      </c>
      <c r="AD11" t="s">
        <v>202</v>
      </c>
      <c r="AE11" t="s">
        <v>203</v>
      </c>
      <c r="AG11" t="s">
        <v>204</v>
      </c>
      <c r="AH11" t="s">
        <v>91</v>
      </c>
      <c r="AI11" t="s">
        <v>92</v>
      </c>
      <c r="AJ11" t="s">
        <v>131</v>
      </c>
      <c r="AK11" t="s">
        <v>205</v>
      </c>
      <c r="AL11" t="s">
        <v>95</v>
      </c>
      <c r="AM11" t="s">
        <v>96</v>
      </c>
      <c r="AN11" t="s">
        <v>97</v>
      </c>
      <c r="AO11" t="s">
        <v>98</v>
      </c>
      <c r="AP11" t="s">
        <v>78</v>
      </c>
      <c r="AQ11" t="s">
        <v>99</v>
      </c>
      <c r="AS11" t="s">
        <v>78</v>
      </c>
      <c r="AT11" t="s">
        <v>100</v>
      </c>
      <c r="AU11" t="s">
        <v>100</v>
      </c>
      <c r="AW11" t="s">
        <v>85</v>
      </c>
      <c r="AX11" t="s">
        <v>101</v>
      </c>
      <c r="AY11" t="s">
        <v>102</v>
      </c>
      <c r="AZ11" t="s">
        <v>103</v>
      </c>
      <c r="BA11" t="s">
        <v>104</v>
      </c>
      <c r="BB11" t="s">
        <v>78</v>
      </c>
      <c r="BC11" t="s">
        <v>78</v>
      </c>
      <c r="BD11" t="s">
        <v>206</v>
      </c>
      <c r="BE11">
        <v>0</v>
      </c>
      <c r="BF11">
        <v>22</v>
      </c>
      <c r="BG11">
        <v>0</v>
      </c>
      <c r="BH11">
        <v>0</v>
      </c>
      <c r="BJ11" t="s">
        <v>85</v>
      </c>
      <c r="BP11" t="s">
        <v>78</v>
      </c>
      <c r="BQ11" t="s">
        <v>78</v>
      </c>
      <c r="BR11" t="s">
        <v>78</v>
      </c>
    </row>
    <row r="12" customFormat="1" spans="1:73">
      <c r="A12" t="s">
        <v>207</v>
      </c>
      <c r="B12" t="s">
        <v>207</v>
      </c>
      <c r="C12" t="s">
        <v>208</v>
      </c>
      <c r="D12" t="s">
        <v>209</v>
      </c>
      <c r="E12">
        <v>1</v>
      </c>
      <c r="F12" t="s">
        <v>210</v>
      </c>
      <c r="G12" t="s">
        <v>211</v>
      </c>
      <c r="H12">
        <v>229</v>
      </c>
      <c r="I12">
        <v>229</v>
      </c>
      <c r="J12">
        <v>0</v>
      </c>
      <c r="K12">
        <v>0</v>
      </c>
      <c r="L12" t="s">
        <v>78</v>
      </c>
      <c r="M12" t="s">
        <v>78</v>
      </c>
      <c r="N12" t="s">
        <v>78</v>
      </c>
      <c r="O12">
        <v>0</v>
      </c>
      <c r="P12">
        <v>0</v>
      </c>
      <c r="Q12">
        <v>0</v>
      </c>
      <c r="R12" t="s">
        <v>125</v>
      </c>
      <c r="S12">
        <v>0</v>
      </c>
      <c r="T12" t="s">
        <v>80</v>
      </c>
      <c r="U12" t="s">
        <v>80</v>
      </c>
      <c r="V12" t="s">
        <v>152</v>
      </c>
      <c r="W12" t="s">
        <v>153</v>
      </c>
      <c r="X12" t="s">
        <v>154</v>
      </c>
      <c r="Y12" t="s">
        <v>212</v>
      </c>
      <c r="Z12" t="s">
        <v>80</v>
      </c>
      <c r="AA12" t="s">
        <v>85</v>
      </c>
      <c r="AC12" t="s">
        <v>213</v>
      </c>
      <c r="AD12" t="s">
        <v>202</v>
      </c>
      <c r="AE12" t="s">
        <v>214</v>
      </c>
      <c r="AG12" t="s">
        <v>215</v>
      </c>
      <c r="AH12" t="s">
        <v>91</v>
      </c>
      <c r="AI12" t="s">
        <v>216</v>
      </c>
      <c r="AJ12" t="s">
        <v>131</v>
      </c>
      <c r="AK12" t="s">
        <v>217</v>
      </c>
      <c r="AL12" t="s">
        <v>95</v>
      </c>
      <c r="AM12" t="s">
        <v>96</v>
      </c>
      <c r="AN12" t="s">
        <v>96</v>
      </c>
      <c r="AP12" t="s">
        <v>78</v>
      </c>
      <c r="AQ12" t="s">
        <v>99</v>
      </c>
      <c r="AS12" t="s">
        <v>78</v>
      </c>
      <c r="AT12" t="s">
        <v>100</v>
      </c>
      <c r="AU12" t="s">
        <v>100</v>
      </c>
      <c r="AW12" t="s">
        <v>85</v>
      </c>
      <c r="AX12" t="s">
        <v>101</v>
      </c>
      <c r="AY12" t="s">
        <v>102</v>
      </c>
      <c r="AZ12" t="s">
        <v>145</v>
      </c>
      <c r="BA12" t="s">
        <v>218</v>
      </c>
      <c r="BB12" t="s">
        <v>78</v>
      </c>
      <c r="BC12" t="s">
        <v>78</v>
      </c>
      <c r="BD12" t="s">
        <v>219</v>
      </c>
      <c r="BE12">
        <v>0</v>
      </c>
      <c r="BF12">
        <v>0</v>
      </c>
      <c r="BG12">
        <v>0</v>
      </c>
      <c r="BH12">
        <v>0</v>
      </c>
      <c r="BJ12" t="s">
        <v>85</v>
      </c>
      <c r="BP12" t="s">
        <v>78</v>
      </c>
      <c r="BQ12" t="s">
        <v>78</v>
      </c>
      <c r="BR12" t="s">
        <v>78</v>
      </c>
    </row>
    <row r="13" customFormat="1" spans="1:73">
      <c r="A13" t="s">
        <v>220</v>
      </c>
      <c r="B13" t="s">
        <v>220</v>
      </c>
      <c r="C13" t="s">
        <v>74</v>
      </c>
      <c r="D13" t="s">
        <v>75</v>
      </c>
      <c r="E13">
        <v>1</v>
      </c>
      <c r="F13" t="s">
        <v>76</v>
      </c>
      <c r="G13" t="s">
        <v>77</v>
      </c>
      <c r="H13">
        <v>329</v>
      </c>
      <c r="I13">
        <v>329</v>
      </c>
      <c r="J13">
        <v>0</v>
      </c>
      <c r="K13">
        <v>0</v>
      </c>
      <c r="L13" t="s">
        <v>78</v>
      </c>
      <c r="M13" t="s">
        <v>78</v>
      </c>
      <c r="N13" t="s">
        <v>78</v>
      </c>
      <c r="O13">
        <v>0</v>
      </c>
      <c r="P13">
        <v>0</v>
      </c>
      <c r="Q13">
        <v>0</v>
      </c>
      <c r="R13" t="s">
        <v>111</v>
      </c>
      <c r="S13">
        <v>0</v>
      </c>
      <c r="T13" t="s">
        <v>80</v>
      </c>
      <c r="U13" t="s">
        <v>80</v>
      </c>
      <c r="V13" t="s">
        <v>221</v>
      </c>
      <c r="W13" t="s">
        <v>222</v>
      </c>
      <c r="X13" t="s">
        <v>223</v>
      </c>
      <c r="Y13" t="s">
        <v>224</v>
      </c>
      <c r="Z13" t="s">
        <v>80</v>
      </c>
      <c r="AA13" t="s">
        <v>85</v>
      </c>
      <c r="AC13" t="s">
        <v>225</v>
      </c>
      <c r="AD13" t="s">
        <v>87</v>
      </c>
      <c r="AG13" t="s">
        <v>226</v>
      </c>
      <c r="AH13" t="s">
        <v>227</v>
      </c>
      <c r="AI13" t="s">
        <v>92</v>
      </c>
      <c r="AJ13" t="s">
        <v>131</v>
      </c>
      <c r="AK13" t="s">
        <v>228</v>
      </c>
      <c r="AL13" t="s">
        <v>95</v>
      </c>
      <c r="AM13" t="s">
        <v>96</v>
      </c>
      <c r="AN13" t="s">
        <v>97</v>
      </c>
      <c r="AO13" t="s">
        <v>98</v>
      </c>
      <c r="AP13" t="s">
        <v>78</v>
      </c>
      <c r="AQ13" t="s">
        <v>99</v>
      </c>
      <c r="AS13" t="s">
        <v>78</v>
      </c>
      <c r="AT13" t="s">
        <v>100</v>
      </c>
      <c r="AU13" t="s">
        <v>100</v>
      </c>
      <c r="AW13" t="s">
        <v>85</v>
      </c>
      <c r="AX13" t="s">
        <v>101</v>
      </c>
      <c r="AY13" t="s">
        <v>102</v>
      </c>
      <c r="AZ13" t="s">
        <v>103</v>
      </c>
      <c r="BA13" t="s">
        <v>104</v>
      </c>
      <c r="BB13" t="s">
        <v>78</v>
      </c>
      <c r="BC13" t="s">
        <v>78</v>
      </c>
      <c r="BE13">
        <v>0</v>
      </c>
      <c r="BF13">
        <v>0</v>
      </c>
      <c r="BG13">
        <v>0</v>
      </c>
      <c r="BH13">
        <v>0</v>
      </c>
      <c r="BJ13" t="s">
        <v>85</v>
      </c>
      <c r="BP13" t="s">
        <v>78</v>
      </c>
      <c r="BQ13" t="s">
        <v>78</v>
      </c>
      <c r="BR13" t="s">
        <v>78</v>
      </c>
    </row>
    <row r="14" customFormat="1" spans="1:73">
      <c r="A14" t="s">
        <v>229</v>
      </c>
      <c r="B14" t="s">
        <v>229</v>
      </c>
      <c r="C14" t="s">
        <v>74</v>
      </c>
      <c r="D14" t="s">
        <v>230</v>
      </c>
      <c r="E14">
        <v>1</v>
      </c>
      <c r="F14" t="s">
        <v>76</v>
      </c>
      <c r="G14" t="s">
        <v>231</v>
      </c>
      <c r="H14">
        <v>329</v>
      </c>
      <c r="I14">
        <v>329</v>
      </c>
      <c r="J14">
        <v>0</v>
      </c>
      <c r="K14">
        <v>0</v>
      </c>
      <c r="L14" t="s">
        <v>78</v>
      </c>
      <c r="M14" t="s">
        <v>78</v>
      </c>
      <c r="N14" t="s">
        <v>78</v>
      </c>
      <c r="O14">
        <v>0</v>
      </c>
      <c r="P14">
        <v>0</v>
      </c>
      <c r="Q14">
        <v>0</v>
      </c>
      <c r="R14" t="s">
        <v>79</v>
      </c>
      <c r="S14">
        <v>0</v>
      </c>
      <c r="T14" t="s">
        <v>80</v>
      </c>
      <c r="U14" t="s">
        <v>80</v>
      </c>
      <c r="V14" t="s">
        <v>167</v>
      </c>
      <c r="W14" t="s">
        <v>232</v>
      </c>
      <c r="X14" t="s">
        <v>233</v>
      </c>
      <c r="Y14" t="s">
        <v>234</v>
      </c>
      <c r="Z14" t="s">
        <v>80</v>
      </c>
      <c r="AA14" t="s">
        <v>85</v>
      </c>
      <c r="AC14" t="s">
        <v>235</v>
      </c>
      <c r="AD14" t="s">
        <v>87</v>
      </c>
      <c r="AG14" t="s">
        <v>236</v>
      </c>
      <c r="AH14" t="s">
        <v>91</v>
      </c>
      <c r="AI14" t="s">
        <v>92</v>
      </c>
      <c r="AJ14" t="s">
        <v>131</v>
      </c>
      <c r="AK14" t="s">
        <v>237</v>
      </c>
      <c r="AL14" t="s">
        <v>95</v>
      </c>
      <c r="AM14" t="s">
        <v>96</v>
      </c>
      <c r="AN14" t="s">
        <v>97</v>
      </c>
      <c r="AO14" t="s">
        <v>98</v>
      </c>
      <c r="AP14" t="s">
        <v>78</v>
      </c>
      <c r="AQ14" t="s">
        <v>99</v>
      </c>
      <c r="AS14" t="s">
        <v>78</v>
      </c>
      <c r="AT14" t="s">
        <v>100</v>
      </c>
      <c r="AU14" t="s">
        <v>100</v>
      </c>
      <c r="AW14" t="s">
        <v>85</v>
      </c>
      <c r="AX14" t="s">
        <v>101</v>
      </c>
      <c r="AY14" t="s">
        <v>102</v>
      </c>
      <c r="AZ14" t="s">
        <v>103</v>
      </c>
      <c r="BA14" t="s">
        <v>133</v>
      </c>
      <c r="BB14" t="s">
        <v>78</v>
      </c>
      <c r="BC14" t="s">
        <v>78</v>
      </c>
      <c r="BE14">
        <v>0</v>
      </c>
      <c r="BF14">
        <v>0</v>
      </c>
      <c r="BG14">
        <v>0</v>
      </c>
      <c r="BH14">
        <v>0</v>
      </c>
      <c r="BJ14" t="s">
        <v>85</v>
      </c>
      <c r="BP14" t="s">
        <v>78</v>
      </c>
      <c r="BQ14" t="s">
        <v>78</v>
      </c>
      <c r="BR14" t="s">
        <v>78</v>
      </c>
    </row>
    <row r="15" customFormat="1" spans="1:73">
      <c r="A15" t="s">
        <v>238</v>
      </c>
      <c r="B15" t="s">
        <v>238</v>
      </c>
      <c r="C15" t="s">
        <v>74</v>
      </c>
      <c r="D15" t="s">
        <v>230</v>
      </c>
      <c r="E15">
        <v>1</v>
      </c>
      <c r="F15" t="s">
        <v>76</v>
      </c>
      <c r="G15" t="s">
        <v>231</v>
      </c>
      <c r="H15">
        <v>329</v>
      </c>
      <c r="I15">
        <v>329</v>
      </c>
      <c r="J15">
        <v>0</v>
      </c>
      <c r="K15">
        <v>0</v>
      </c>
      <c r="L15" t="s">
        <v>78</v>
      </c>
      <c r="M15" t="s">
        <v>78</v>
      </c>
      <c r="N15" t="s">
        <v>78</v>
      </c>
      <c r="O15">
        <v>0</v>
      </c>
      <c r="P15">
        <v>0</v>
      </c>
      <c r="Q15">
        <v>0</v>
      </c>
      <c r="R15" t="s">
        <v>79</v>
      </c>
      <c r="S15">
        <v>0</v>
      </c>
      <c r="T15" t="s">
        <v>80</v>
      </c>
      <c r="U15" t="s">
        <v>80</v>
      </c>
      <c r="V15" t="s">
        <v>239</v>
      </c>
      <c r="W15" t="s">
        <v>240</v>
      </c>
      <c r="X15" t="s">
        <v>241</v>
      </c>
      <c r="Y15" t="s">
        <v>78</v>
      </c>
      <c r="Z15" t="s">
        <v>80</v>
      </c>
      <c r="AA15" t="s">
        <v>85</v>
      </c>
      <c r="AC15" t="s">
        <v>242</v>
      </c>
      <c r="AD15" t="s">
        <v>87</v>
      </c>
      <c r="AG15" t="s">
        <v>243</v>
      </c>
      <c r="AH15" t="s">
        <v>91</v>
      </c>
      <c r="AI15" t="s">
        <v>92</v>
      </c>
      <c r="AJ15" t="s">
        <v>131</v>
      </c>
      <c r="AK15" t="s">
        <v>244</v>
      </c>
      <c r="AL15" t="s">
        <v>95</v>
      </c>
      <c r="AM15" t="s">
        <v>96</v>
      </c>
      <c r="AN15" t="s">
        <v>97</v>
      </c>
      <c r="AO15" t="s">
        <v>98</v>
      </c>
      <c r="AP15" t="s">
        <v>78</v>
      </c>
      <c r="AQ15" t="s">
        <v>99</v>
      </c>
      <c r="AS15" t="s">
        <v>78</v>
      </c>
      <c r="AT15" t="s">
        <v>100</v>
      </c>
      <c r="AU15" t="s">
        <v>100</v>
      </c>
      <c r="AW15" t="s">
        <v>85</v>
      </c>
      <c r="AX15" t="s">
        <v>101</v>
      </c>
      <c r="AY15" t="s">
        <v>102</v>
      </c>
      <c r="AZ15" t="s">
        <v>103</v>
      </c>
      <c r="BA15" t="s">
        <v>245</v>
      </c>
      <c r="BB15" t="s">
        <v>78</v>
      </c>
      <c r="BC15" t="s">
        <v>78</v>
      </c>
      <c r="BE15">
        <v>0</v>
      </c>
      <c r="BF15">
        <v>0</v>
      </c>
      <c r="BG15">
        <v>0</v>
      </c>
      <c r="BH15">
        <v>0</v>
      </c>
      <c r="BJ15" t="s">
        <v>85</v>
      </c>
      <c r="BP15" t="s">
        <v>78</v>
      </c>
      <c r="BQ15" t="s">
        <v>78</v>
      </c>
      <c r="BR15" t="s">
        <v>78</v>
      </c>
    </row>
    <row r="16" customFormat="1" spans="1:73">
      <c r="A16" t="s">
        <v>246</v>
      </c>
      <c r="B16" t="s">
        <v>246</v>
      </c>
      <c r="C16" t="s">
        <v>74</v>
      </c>
      <c r="D16" t="s">
        <v>247</v>
      </c>
      <c r="E16">
        <v>1</v>
      </c>
      <c r="F16" t="s">
        <v>76</v>
      </c>
      <c r="G16" t="s">
        <v>248</v>
      </c>
      <c r="H16">
        <v>329</v>
      </c>
      <c r="I16">
        <v>329</v>
      </c>
      <c r="J16">
        <v>0</v>
      </c>
      <c r="K16">
        <v>0</v>
      </c>
      <c r="L16" t="s">
        <v>78</v>
      </c>
      <c r="M16" t="s">
        <v>78</v>
      </c>
      <c r="N16" t="s">
        <v>78</v>
      </c>
      <c r="O16">
        <v>0</v>
      </c>
      <c r="P16">
        <v>0</v>
      </c>
      <c r="Q16">
        <v>0</v>
      </c>
      <c r="R16" t="s">
        <v>111</v>
      </c>
      <c r="S16">
        <v>0</v>
      </c>
      <c r="T16" t="s">
        <v>80</v>
      </c>
      <c r="U16" t="s">
        <v>80</v>
      </c>
      <c r="V16" t="s">
        <v>152</v>
      </c>
      <c r="W16" t="s">
        <v>249</v>
      </c>
      <c r="X16" t="s">
        <v>250</v>
      </c>
      <c r="Y16" t="s">
        <v>251</v>
      </c>
      <c r="Z16" t="s">
        <v>80</v>
      </c>
      <c r="AA16" t="s">
        <v>85</v>
      </c>
      <c r="AC16" t="s">
        <v>252</v>
      </c>
      <c r="AD16" t="s">
        <v>87</v>
      </c>
      <c r="AG16" t="s">
        <v>253</v>
      </c>
      <c r="AH16" t="s">
        <v>254</v>
      </c>
      <c r="AI16" t="s">
        <v>92</v>
      </c>
      <c r="AJ16" t="s">
        <v>131</v>
      </c>
      <c r="AK16" t="s">
        <v>255</v>
      </c>
      <c r="AL16" t="s">
        <v>95</v>
      </c>
      <c r="AM16" t="s">
        <v>96</v>
      </c>
      <c r="AN16" t="s">
        <v>97</v>
      </c>
      <c r="AO16" t="s">
        <v>98</v>
      </c>
      <c r="AP16" t="s">
        <v>78</v>
      </c>
      <c r="AQ16" t="s">
        <v>99</v>
      </c>
      <c r="AS16" t="s">
        <v>78</v>
      </c>
      <c r="AT16" t="s">
        <v>100</v>
      </c>
      <c r="AU16" t="s">
        <v>100</v>
      </c>
      <c r="AW16" t="s">
        <v>85</v>
      </c>
      <c r="AX16" t="s">
        <v>103</v>
      </c>
      <c r="AY16" t="s">
        <v>159</v>
      </c>
      <c r="AZ16" t="s">
        <v>103</v>
      </c>
      <c r="BA16" t="s">
        <v>102</v>
      </c>
      <c r="BB16" t="s">
        <v>78</v>
      </c>
      <c r="BC16" t="s">
        <v>78</v>
      </c>
      <c r="BE16">
        <v>0</v>
      </c>
      <c r="BF16">
        <v>0</v>
      </c>
      <c r="BG16">
        <v>0</v>
      </c>
      <c r="BH16">
        <v>0</v>
      </c>
      <c r="BJ16" t="s">
        <v>85</v>
      </c>
      <c r="BP16" t="s">
        <v>78</v>
      </c>
      <c r="BQ16" t="s">
        <v>78</v>
      </c>
      <c r="BR16" t="s">
        <v>78</v>
      </c>
    </row>
    <row r="17" customFormat="1" spans="1:70">
      <c r="A17" t="s">
        <v>256</v>
      </c>
      <c r="B17" t="s">
        <v>256</v>
      </c>
      <c r="C17" t="s">
        <v>74</v>
      </c>
      <c r="D17" t="s">
        <v>247</v>
      </c>
      <c r="E17">
        <v>1</v>
      </c>
      <c r="F17" t="s">
        <v>76</v>
      </c>
      <c r="G17" t="s">
        <v>248</v>
      </c>
      <c r="H17">
        <v>329</v>
      </c>
      <c r="I17">
        <v>329</v>
      </c>
      <c r="J17">
        <v>0</v>
      </c>
      <c r="K17">
        <v>0</v>
      </c>
      <c r="L17" t="s">
        <v>78</v>
      </c>
      <c r="M17" t="s">
        <v>78</v>
      </c>
      <c r="N17" t="s">
        <v>78</v>
      </c>
      <c r="O17">
        <v>0</v>
      </c>
      <c r="P17">
        <v>0</v>
      </c>
      <c r="Q17">
        <v>0</v>
      </c>
      <c r="R17" t="s">
        <v>125</v>
      </c>
      <c r="S17">
        <v>0</v>
      </c>
      <c r="T17" t="s">
        <v>80</v>
      </c>
      <c r="U17" t="s">
        <v>80</v>
      </c>
      <c r="V17" t="s">
        <v>257</v>
      </c>
      <c r="W17" t="s">
        <v>257</v>
      </c>
      <c r="X17" t="s">
        <v>258</v>
      </c>
      <c r="Y17" t="s">
        <v>78</v>
      </c>
      <c r="Z17" t="s">
        <v>80</v>
      </c>
      <c r="AA17" t="s">
        <v>85</v>
      </c>
      <c r="AC17" t="s">
        <v>259</v>
      </c>
      <c r="AD17" t="s">
        <v>87</v>
      </c>
      <c r="AG17" t="s">
        <v>260</v>
      </c>
      <c r="AH17" t="s">
        <v>91</v>
      </c>
      <c r="AI17" t="s">
        <v>92</v>
      </c>
      <c r="AJ17" t="s">
        <v>131</v>
      </c>
      <c r="AK17" t="s">
        <v>261</v>
      </c>
      <c r="AL17" t="s">
        <v>95</v>
      </c>
      <c r="AM17" t="s">
        <v>96</v>
      </c>
      <c r="AN17" t="s">
        <v>97</v>
      </c>
      <c r="AO17" t="s">
        <v>98</v>
      </c>
      <c r="AP17" t="s">
        <v>78</v>
      </c>
      <c r="AQ17" t="s">
        <v>99</v>
      </c>
      <c r="AS17" t="s">
        <v>78</v>
      </c>
      <c r="AT17" t="s">
        <v>100</v>
      </c>
      <c r="AU17" t="s">
        <v>100</v>
      </c>
      <c r="AW17" t="s">
        <v>85</v>
      </c>
      <c r="AX17" t="s">
        <v>101</v>
      </c>
      <c r="AY17" t="s">
        <v>102</v>
      </c>
      <c r="AZ17" t="s">
        <v>103</v>
      </c>
      <c r="BA17" t="s">
        <v>245</v>
      </c>
      <c r="BB17" t="s">
        <v>78</v>
      </c>
      <c r="BC17" t="s">
        <v>78</v>
      </c>
      <c r="BE17">
        <v>0</v>
      </c>
      <c r="BF17">
        <v>0</v>
      </c>
      <c r="BG17">
        <v>0</v>
      </c>
      <c r="BH17">
        <v>0</v>
      </c>
      <c r="BJ17" t="s">
        <v>85</v>
      </c>
      <c r="BP17" t="s">
        <v>78</v>
      </c>
      <c r="BQ17" t="s">
        <v>78</v>
      </c>
      <c r="BR17" t="s">
        <v>78</v>
      </c>
    </row>
    <row r="18" customFormat="1" spans="1:70">
      <c r="A18" t="s">
        <v>262</v>
      </c>
      <c r="B18" t="s">
        <v>262</v>
      </c>
      <c r="C18" t="s">
        <v>74</v>
      </c>
      <c r="D18" t="s">
        <v>247</v>
      </c>
      <c r="E18">
        <v>1</v>
      </c>
      <c r="F18" t="s">
        <v>76</v>
      </c>
      <c r="G18" t="s">
        <v>248</v>
      </c>
      <c r="H18">
        <v>329</v>
      </c>
      <c r="I18">
        <v>329</v>
      </c>
      <c r="J18">
        <v>0</v>
      </c>
      <c r="K18">
        <v>0</v>
      </c>
      <c r="L18" t="s">
        <v>78</v>
      </c>
      <c r="M18" t="s">
        <v>78</v>
      </c>
      <c r="N18" t="s">
        <v>78</v>
      </c>
      <c r="O18">
        <v>0</v>
      </c>
      <c r="P18">
        <v>0</v>
      </c>
      <c r="Q18">
        <v>0</v>
      </c>
      <c r="R18" t="s">
        <v>111</v>
      </c>
      <c r="S18">
        <v>0</v>
      </c>
      <c r="T18" t="s">
        <v>80</v>
      </c>
      <c r="U18" t="s">
        <v>80</v>
      </c>
      <c r="V18" t="s">
        <v>239</v>
      </c>
      <c r="W18" t="s">
        <v>263</v>
      </c>
      <c r="X18" t="s">
        <v>264</v>
      </c>
      <c r="Y18" t="s">
        <v>265</v>
      </c>
      <c r="Z18" t="s">
        <v>80</v>
      </c>
      <c r="AA18" t="s">
        <v>85</v>
      </c>
      <c r="AC18" t="s">
        <v>266</v>
      </c>
      <c r="AD18" t="s">
        <v>202</v>
      </c>
      <c r="AE18" t="s">
        <v>267</v>
      </c>
      <c r="AG18" t="s">
        <v>268</v>
      </c>
      <c r="AH18" t="s">
        <v>91</v>
      </c>
      <c r="AI18" t="s">
        <v>92</v>
      </c>
      <c r="AJ18" t="s">
        <v>131</v>
      </c>
      <c r="AK18" t="s">
        <v>269</v>
      </c>
      <c r="AL18" t="s">
        <v>95</v>
      </c>
      <c r="AM18" t="s">
        <v>96</v>
      </c>
      <c r="AN18" t="s">
        <v>97</v>
      </c>
      <c r="AO18" t="s">
        <v>98</v>
      </c>
      <c r="AP18" t="s">
        <v>78</v>
      </c>
      <c r="AQ18" t="s">
        <v>99</v>
      </c>
      <c r="AS18" t="s">
        <v>78</v>
      </c>
      <c r="AT18" t="s">
        <v>100</v>
      </c>
      <c r="AU18" t="s">
        <v>100</v>
      </c>
      <c r="AW18" t="s">
        <v>85</v>
      </c>
      <c r="AX18" t="s">
        <v>101</v>
      </c>
      <c r="AY18" t="s">
        <v>102</v>
      </c>
      <c r="AZ18" t="s">
        <v>103</v>
      </c>
      <c r="BA18" t="s">
        <v>133</v>
      </c>
      <c r="BB18" t="s">
        <v>78</v>
      </c>
      <c r="BC18" t="s">
        <v>78</v>
      </c>
      <c r="BD18" t="s">
        <v>105</v>
      </c>
      <c r="BE18">
        <v>0</v>
      </c>
      <c r="BF18">
        <v>0</v>
      </c>
      <c r="BG18">
        <v>0</v>
      </c>
      <c r="BH18">
        <v>0</v>
      </c>
      <c r="BJ18" t="s">
        <v>85</v>
      </c>
      <c r="BP18" t="s">
        <v>78</v>
      </c>
      <c r="BQ18" t="s">
        <v>78</v>
      </c>
      <c r="BR18" t="s">
        <v>78</v>
      </c>
    </row>
    <row r="19" customFormat="1" spans="1:70">
      <c r="A19" t="s">
        <v>270</v>
      </c>
      <c r="B19" t="s">
        <v>270</v>
      </c>
      <c r="C19" t="s">
        <v>74</v>
      </c>
      <c r="D19" t="s">
        <v>230</v>
      </c>
      <c r="E19">
        <v>1</v>
      </c>
      <c r="F19" t="s">
        <v>76</v>
      </c>
      <c r="G19" t="s">
        <v>231</v>
      </c>
      <c r="H19">
        <v>329</v>
      </c>
      <c r="I19">
        <v>329</v>
      </c>
      <c r="J19">
        <v>0</v>
      </c>
      <c r="K19">
        <v>0</v>
      </c>
      <c r="L19" t="s">
        <v>78</v>
      </c>
      <c r="M19" t="s">
        <v>78</v>
      </c>
      <c r="N19" t="s">
        <v>78</v>
      </c>
      <c r="O19">
        <v>0</v>
      </c>
      <c r="P19">
        <v>0</v>
      </c>
      <c r="Q19">
        <v>0</v>
      </c>
      <c r="R19" t="s">
        <v>125</v>
      </c>
      <c r="S19">
        <v>0</v>
      </c>
      <c r="T19" t="s">
        <v>80</v>
      </c>
      <c r="U19" t="s">
        <v>80</v>
      </c>
      <c r="V19" t="s">
        <v>271</v>
      </c>
      <c r="W19" t="s">
        <v>272</v>
      </c>
      <c r="X19" t="s">
        <v>273</v>
      </c>
      <c r="Y19" t="s">
        <v>274</v>
      </c>
      <c r="Z19" t="s">
        <v>80</v>
      </c>
      <c r="AA19" t="s">
        <v>85</v>
      </c>
      <c r="AC19" t="s">
        <v>275</v>
      </c>
      <c r="AD19" t="s">
        <v>87</v>
      </c>
      <c r="AG19" t="s">
        <v>266</v>
      </c>
      <c r="AH19" t="s">
        <v>91</v>
      </c>
      <c r="AI19" t="s">
        <v>92</v>
      </c>
      <c r="AJ19" t="s">
        <v>131</v>
      </c>
      <c r="AK19" t="s">
        <v>276</v>
      </c>
      <c r="AL19" t="s">
        <v>95</v>
      </c>
      <c r="AM19" t="s">
        <v>96</v>
      </c>
      <c r="AN19" t="s">
        <v>97</v>
      </c>
      <c r="AO19" t="s">
        <v>98</v>
      </c>
      <c r="AP19" t="s">
        <v>78</v>
      </c>
      <c r="AQ19" t="s">
        <v>99</v>
      </c>
      <c r="AS19" t="s">
        <v>78</v>
      </c>
      <c r="AT19" t="s">
        <v>100</v>
      </c>
      <c r="AU19" t="s">
        <v>100</v>
      </c>
      <c r="AW19" t="s">
        <v>85</v>
      </c>
      <c r="AX19" t="s">
        <v>101</v>
      </c>
      <c r="AY19" t="s">
        <v>102</v>
      </c>
      <c r="AZ19" t="s">
        <v>103</v>
      </c>
      <c r="BA19" t="s">
        <v>120</v>
      </c>
      <c r="BB19" t="s">
        <v>78</v>
      </c>
      <c r="BC19" t="s">
        <v>78</v>
      </c>
      <c r="BE19">
        <v>0</v>
      </c>
      <c r="BF19">
        <v>0</v>
      </c>
      <c r="BG19">
        <v>0</v>
      </c>
      <c r="BH19">
        <v>0</v>
      </c>
      <c r="BJ19" t="s">
        <v>85</v>
      </c>
      <c r="BP19" t="s">
        <v>78</v>
      </c>
      <c r="BQ19" t="s">
        <v>78</v>
      </c>
      <c r="BR19" t="s">
        <v>78</v>
      </c>
    </row>
    <row r="20" customFormat="1" spans="1:70">
      <c r="A20" t="s">
        <v>277</v>
      </c>
      <c r="B20" t="s">
        <v>277</v>
      </c>
      <c r="C20" t="s">
        <v>74</v>
      </c>
      <c r="D20" t="s">
        <v>75</v>
      </c>
      <c r="E20">
        <v>1</v>
      </c>
      <c r="F20" t="s">
        <v>76</v>
      </c>
      <c r="G20" t="s">
        <v>77</v>
      </c>
      <c r="H20">
        <v>329</v>
      </c>
      <c r="I20">
        <v>329</v>
      </c>
      <c r="J20">
        <v>0</v>
      </c>
      <c r="K20">
        <v>0</v>
      </c>
      <c r="L20" t="s">
        <v>78</v>
      </c>
      <c r="M20" t="s">
        <v>78</v>
      </c>
      <c r="N20" t="s">
        <v>78</v>
      </c>
      <c r="O20">
        <v>0</v>
      </c>
      <c r="P20">
        <v>0</v>
      </c>
      <c r="Q20">
        <v>0</v>
      </c>
      <c r="R20" t="s">
        <v>125</v>
      </c>
      <c r="S20">
        <v>0</v>
      </c>
      <c r="T20" t="s">
        <v>80</v>
      </c>
      <c r="U20" t="s">
        <v>80</v>
      </c>
      <c r="V20" t="s">
        <v>239</v>
      </c>
      <c r="W20" t="s">
        <v>278</v>
      </c>
      <c r="X20" t="s">
        <v>279</v>
      </c>
      <c r="Y20" t="s">
        <v>280</v>
      </c>
      <c r="Z20" t="s">
        <v>80</v>
      </c>
      <c r="AA20" t="s">
        <v>85</v>
      </c>
      <c r="AC20" t="s">
        <v>281</v>
      </c>
      <c r="AD20" t="s">
        <v>87</v>
      </c>
      <c r="AG20" t="s">
        <v>282</v>
      </c>
      <c r="AH20" t="s">
        <v>91</v>
      </c>
      <c r="AI20" t="s">
        <v>92</v>
      </c>
      <c r="AJ20" t="s">
        <v>131</v>
      </c>
      <c r="AK20" t="s">
        <v>283</v>
      </c>
      <c r="AL20" t="s">
        <v>95</v>
      </c>
      <c r="AM20" t="s">
        <v>96</v>
      </c>
      <c r="AN20" t="s">
        <v>97</v>
      </c>
      <c r="AO20" t="s">
        <v>98</v>
      </c>
      <c r="AP20" t="s">
        <v>78</v>
      </c>
      <c r="AQ20" t="s">
        <v>99</v>
      </c>
      <c r="AS20" t="s">
        <v>78</v>
      </c>
      <c r="AT20" t="s">
        <v>100</v>
      </c>
      <c r="AU20" t="s">
        <v>100</v>
      </c>
      <c r="AW20" t="s">
        <v>85</v>
      </c>
      <c r="AX20" t="s">
        <v>101</v>
      </c>
      <c r="AY20" t="s">
        <v>102</v>
      </c>
      <c r="AZ20" t="s">
        <v>103</v>
      </c>
      <c r="BA20" t="s">
        <v>133</v>
      </c>
      <c r="BB20" t="s">
        <v>78</v>
      </c>
      <c r="BC20" t="s">
        <v>78</v>
      </c>
      <c r="BE20">
        <v>0</v>
      </c>
      <c r="BF20">
        <v>0</v>
      </c>
      <c r="BG20">
        <v>0</v>
      </c>
      <c r="BH20">
        <v>0</v>
      </c>
      <c r="BJ20" t="s">
        <v>85</v>
      </c>
      <c r="BP20" t="s">
        <v>78</v>
      </c>
      <c r="BQ20" t="s">
        <v>78</v>
      </c>
      <c r="BR20" t="s">
        <v>78</v>
      </c>
    </row>
    <row r="21" customFormat="1" spans="1:70">
      <c r="A21" t="s">
        <v>284</v>
      </c>
      <c r="B21" t="s">
        <v>284</v>
      </c>
      <c r="C21" t="s">
        <v>74</v>
      </c>
      <c r="D21" t="s">
        <v>247</v>
      </c>
      <c r="E21">
        <v>1</v>
      </c>
      <c r="F21" t="s">
        <v>76</v>
      </c>
      <c r="G21" t="s">
        <v>248</v>
      </c>
      <c r="H21">
        <v>329</v>
      </c>
      <c r="I21">
        <v>329</v>
      </c>
      <c r="J21">
        <v>0</v>
      </c>
      <c r="K21">
        <v>0</v>
      </c>
      <c r="L21" t="s">
        <v>78</v>
      </c>
      <c r="M21" t="s">
        <v>78</v>
      </c>
      <c r="N21" t="s">
        <v>78</v>
      </c>
      <c r="O21">
        <v>0</v>
      </c>
      <c r="P21">
        <v>0</v>
      </c>
      <c r="Q21">
        <v>0</v>
      </c>
      <c r="R21" t="s">
        <v>125</v>
      </c>
      <c r="S21">
        <v>0</v>
      </c>
      <c r="T21" t="s">
        <v>80</v>
      </c>
      <c r="U21" t="s">
        <v>80</v>
      </c>
      <c r="V21" t="s">
        <v>167</v>
      </c>
      <c r="W21" t="s">
        <v>285</v>
      </c>
      <c r="X21" t="s">
        <v>286</v>
      </c>
      <c r="Y21" t="s">
        <v>287</v>
      </c>
      <c r="Z21" t="s">
        <v>80</v>
      </c>
      <c r="AA21" t="s">
        <v>85</v>
      </c>
      <c r="AC21" t="s">
        <v>288</v>
      </c>
      <c r="AD21" t="s">
        <v>87</v>
      </c>
      <c r="AF21" t="s">
        <v>289</v>
      </c>
      <c r="AG21" t="s">
        <v>290</v>
      </c>
      <c r="AH21" t="s">
        <v>227</v>
      </c>
      <c r="AI21" t="s">
        <v>92</v>
      </c>
      <c r="AJ21" t="s">
        <v>93</v>
      </c>
      <c r="AK21" t="s">
        <v>291</v>
      </c>
      <c r="AL21" t="s">
        <v>95</v>
      </c>
      <c r="AM21" t="s">
        <v>96</v>
      </c>
      <c r="AN21" t="s">
        <v>97</v>
      </c>
      <c r="AO21" t="s">
        <v>98</v>
      </c>
      <c r="AP21" t="s">
        <v>78</v>
      </c>
      <c r="AQ21" t="s">
        <v>78</v>
      </c>
      <c r="AS21" t="s">
        <v>78</v>
      </c>
      <c r="AT21" t="s">
        <v>100</v>
      </c>
      <c r="AU21" t="s">
        <v>100</v>
      </c>
      <c r="AW21" t="s">
        <v>85</v>
      </c>
      <c r="AX21" t="s">
        <v>103</v>
      </c>
      <c r="AY21" t="s">
        <v>159</v>
      </c>
      <c r="AZ21" t="s">
        <v>103</v>
      </c>
      <c r="BA21" t="s">
        <v>133</v>
      </c>
      <c r="BB21" t="s">
        <v>78</v>
      </c>
      <c r="BC21" t="s">
        <v>78</v>
      </c>
      <c r="BD21" t="s">
        <v>105</v>
      </c>
      <c r="BE21">
        <v>0</v>
      </c>
      <c r="BF21">
        <v>0</v>
      </c>
      <c r="BG21">
        <v>0</v>
      </c>
      <c r="BH21">
        <v>0</v>
      </c>
      <c r="BJ21" t="s">
        <v>85</v>
      </c>
      <c r="BP21" t="s">
        <v>78</v>
      </c>
      <c r="BQ21" t="s">
        <v>78</v>
      </c>
      <c r="BR21" t="s">
        <v>78</v>
      </c>
    </row>
    <row r="22" customFormat="1" spans="1:70">
      <c r="A22" t="s">
        <v>292</v>
      </c>
      <c r="B22" t="s">
        <v>292</v>
      </c>
      <c r="C22" t="s">
        <v>74</v>
      </c>
      <c r="D22" t="s">
        <v>247</v>
      </c>
      <c r="E22">
        <v>1</v>
      </c>
      <c r="F22" t="s">
        <v>76</v>
      </c>
      <c r="G22" t="s">
        <v>248</v>
      </c>
      <c r="H22">
        <v>329</v>
      </c>
      <c r="I22">
        <v>329</v>
      </c>
      <c r="J22">
        <v>0</v>
      </c>
      <c r="K22">
        <v>0</v>
      </c>
      <c r="L22" t="s">
        <v>78</v>
      </c>
      <c r="M22" t="s">
        <v>78</v>
      </c>
      <c r="N22" t="s">
        <v>78</v>
      </c>
      <c r="O22">
        <v>0</v>
      </c>
      <c r="P22">
        <v>0</v>
      </c>
      <c r="Q22">
        <v>0</v>
      </c>
      <c r="R22" t="s">
        <v>79</v>
      </c>
      <c r="S22">
        <v>0</v>
      </c>
      <c r="T22" t="s">
        <v>80</v>
      </c>
      <c r="U22" t="s">
        <v>80</v>
      </c>
      <c r="V22" t="s">
        <v>178</v>
      </c>
      <c r="W22" t="s">
        <v>178</v>
      </c>
      <c r="X22" t="s">
        <v>293</v>
      </c>
      <c r="Y22" t="s">
        <v>294</v>
      </c>
      <c r="Z22" t="s">
        <v>80</v>
      </c>
      <c r="AA22" t="s">
        <v>85</v>
      </c>
      <c r="AC22" t="s">
        <v>295</v>
      </c>
      <c r="AD22" t="s">
        <v>202</v>
      </c>
      <c r="AE22" t="s">
        <v>296</v>
      </c>
      <c r="AG22" t="s">
        <v>297</v>
      </c>
      <c r="AH22" t="s">
        <v>298</v>
      </c>
      <c r="AI22" t="s">
        <v>92</v>
      </c>
      <c r="AJ22" t="s">
        <v>131</v>
      </c>
      <c r="AK22" t="s">
        <v>299</v>
      </c>
      <c r="AL22" t="s">
        <v>95</v>
      </c>
      <c r="AM22" t="s">
        <v>96</v>
      </c>
      <c r="AN22" t="s">
        <v>97</v>
      </c>
      <c r="AO22" t="s">
        <v>98</v>
      </c>
      <c r="AP22" t="s">
        <v>78</v>
      </c>
      <c r="AQ22" t="s">
        <v>99</v>
      </c>
      <c r="AS22" t="s">
        <v>78</v>
      </c>
      <c r="AT22" t="s">
        <v>100</v>
      </c>
      <c r="AU22" t="s">
        <v>100</v>
      </c>
      <c r="AW22" t="s">
        <v>85</v>
      </c>
      <c r="AX22" t="s">
        <v>101</v>
      </c>
      <c r="AY22" t="s">
        <v>102</v>
      </c>
      <c r="AZ22" t="s">
        <v>103</v>
      </c>
      <c r="BA22" t="s">
        <v>104</v>
      </c>
      <c r="BB22" t="s">
        <v>78</v>
      </c>
      <c r="BC22" t="s">
        <v>78</v>
      </c>
      <c r="BD22" t="s">
        <v>300</v>
      </c>
      <c r="BE22">
        <v>0</v>
      </c>
      <c r="BF22">
        <v>0</v>
      </c>
      <c r="BG22">
        <v>0</v>
      </c>
      <c r="BH22">
        <v>0</v>
      </c>
      <c r="BJ22" t="s">
        <v>85</v>
      </c>
      <c r="BP22" t="s">
        <v>78</v>
      </c>
      <c r="BQ22" t="s">
        <v>78</v>
      </c>
      <c r="BR22" t="s">
        <v>78</v>
      </c>
    </row>
    <row r="23" customFormat="1" spans="1:70">
      <c r="A23" t="s">
        <v>301</v>
      </c>
      <c r="B23" t="s">
        <v>301</v>
      </c>
      <c r="C23" t="s">
        <v>74</v>
      </c>
      <c r="D23" t="s">
        <v>230</v>
      </c>
      <c r="E23">
        <v>1</v>
      </c>
      <c r="F23" t="s">
        <v>76</v>
      </c>
      <c r="G23" t="s">
        <v>231</v>
      </c>
      <c r="H23">
        <v>329</v>
      </c>
      <c r="I23">
        <v>329</v>
      </c>
      <c r="J23">
        <v>0</v>
      </c>
      <c r="K23">
        <v>0</v>
      </c>
      <c r="L23" t="s">
        <v>78</v>
      </c>
      <c r="M23" t="s">
        <v>78</v>
      </c>
      <c r="N23" t="s">
        <v>78</v>
      </c>
      <c r="O23">
        <v>0</v>
      </c>
      <c r="P23">
        <v>0</v>
      </c>
      <c r="Q23">
        <v>0</v>
      </c>
      <c r="R23" t="s">
        <v>111</v>
      </c>
      <c r="S23">
        <v>0</v>
      </c>
      <c r="T23" t="s">
        <v>80</v>
      </c>
      <c r="U23" t="s">
        <v>80</v>
      </c>
      <c r="V23" t="s">
        <v>302</v>
      </c>
      <c r="W23" t="s">
        <v>303</v>
      </c>
      <c r="X23" t="s">
        <v>304</v>
      </c>
      <c r="Y23" t="s">
        <v>305</v>
      </c>
      <c r="Z23" t="s">
        <v>80</v>
      </c>
      <c r="AA23" t="s">
        <v>85</v>
      </c>
      <c r="AC23" t="s">
        <v>306</v>
      </c>
      <c r="AD23" t="s">
        <v>202</v>
      </c>
      <c r="AE23" t="s">
        <v>307</v>
      </c>
      <c r="AG23" t="s">
        <v>308</v>
      </c>
      <c r="AH23" t="s">
        <v>91</v>
      </c>
      <c r="AI23" t="s">
        <v>92</v>
      </c>
      <c r="AJ23" t="s">
        <v>131</v>
      </c>
      <c r="AK23" t="s">
        <v>299</v>
      </c>
      <c r="AL23" t="s">
        <v>95</v>
      </c>
      <c r="AM23" t="s">
        <v>96</v>
      </c>
      <c r="AN23" t="s">
        <v>97</v>
      </c>
      <c r="AO23" t="s">
        <v>98</v>
      </c>
      <c r="AP23" t="s">
        <v>78</v>
      </c>
      <c r="AQ23" t="s">
        <v>99</v>
      </c>
      <c r="AS23" t="s">
        <v>78</v>
      </c>
      <c r="AT23" t="s">
        <v>100</v>
      </c>
      <c r="AU23" t="s">
        <v>100</v>
      </c>
      <c r="AW23" t="s">
        <v>85</v>
      </c>
      <c r="AX23" t="s">
        <v>103</v>
      </c>
      <c r="AY23" t="s">
        <v>159</v>
      </c>
      <c r="AZ23" t="s">
        <v>103</v>
      </c>
      <c r="BA23" t="s">
        <v>104</v>
      </c>
      <c r="BB23" t="s">
        <v>78</v>
      </c>
      <c r="BC23" t="s">
        <v>78</v>
      </c>
      <c r="BD23" t="s">
        <v>105</v>
      </c>
      <c r="BE23">
        <v>0</v>
      </c>
      <c r="BF23">
        <v>0</v>
      </c>
      <c r="BG23">
        <v>0</v>
      </c>
      <c r="BH23">
        <v>0</v>
      </c>
      <c r="BJ23" t="s">
        <v>85</v>
      </c>
      <c r="BP23" t="s">
        <v>78</v>
      </c>
      <c r="BQ23" t="s">
        <v>78</v>
      </c>
      <c r="BR23" t="s">
        <v>78</v>
      </c>
    </row>
    <row r="24" customFormat="1" spans="1:70">
      <c r="A24" t="s">
        <v>309</v>
      </c>
      <c r="B24" t="s">
        <v>309</v>
      </c>
      <c r="C24" t="s">
        <v>74</v>
      </c>
      <c r="D24" t="s">
        <v>230</v>
      </c>
      <c r="E24">
        <v>1</v>
      </c>
      <c r="F24" t="s">
        <v>76</v>
      </c>
      <c r="G24" t="s">
        <v>231</v>
      </c>
      <c r="H24">
        <v>329</v>
      </c>
      <c r="I24">
        <v>329</v>
      </c>
      <c r="J24">
        <v>0</v>
      </c>
      <c r="K24">
        <v>2.05</v>
      </c>
      <c r="L24" t="s">
        <v>78</v>
      </c>
      <c r="M24" t="s">
        <v>78</v>
      </c>
      <c r="N24" t="s">
        <v>78</v>
      </c>
      <c r="O24">
        <v>0</v>
      </c>
      <c r="P24">
        <v>2.05</v>
      </c>
      <c r="Q24">
        <v>0</v>
      </c>
      <c r="R24" t="s">
        <v>125</v>
      </c>
      <c r="S24">
        <v>0</v>
      </c>
      <c r="T24" t="s">
        <v>80</v>
      </c>
      <c r="U24" t="s">
        <v>80</v>
      </c>
      <c r="V24" t="s">
        <v>302</v>
      </c>
      <c r="W24" t="s">
        <v>303</v>
      </c>
      <c r="X24" t="s">
        <v>310</v>
      </c>
      <c r="Y24" t="s">
        <v>311</v>
      </c>
      <c r="Z24" t="s">
        <v>80</v>
      </c>
      <c r="AA24" t="s">
        <v>85</v>
      </c>
      <c r="AC24" t="s">
        <v>312</v>
      </c>
      <c r="AD24" t="s">
        <v>87</v>
      </c>
      <c r="AF24" t="s">
        <v>89</v>
      </c>
      <c r="AG24" t="s">
        <v>313</v>
      </c>
      <c r="AH24" t="s">
        <v>91</v>
      </c>
      <c r="AI24" t="s">
        <v>92</v>
      </c>
      <c r="AJ24" t="s">
        <v>93</v>
      </c>
      <c r="AK24" t="s">
        <v>314</v>
      </c>
      <c r="AL24" t="s">
        <v>95</v>
      </c>
      <c r="AM24" t="s">
        <v>96</v>
      </c>
      <c r="AN24" t="s">
        <v>97</v>
      </c>
      <c r="AO24" t="s">
        <v>98</v>
      </c>
      <c r="AP24" t="s">
        <v>78</v>
      </c>
      <c r="AQ24" t="s">
        <v>78</v>
      </c>
      <c r="AS24" t="s">
        <v>78</v>
      </c>
      <c r="AT24" t="s">
        <v>100</v>
      </c>
      <c r="AU24" t="s">
        <v>100</v>
      </c>
      <c r="AW24" t="s">
        <v>85</v>
      </c>
      <c r="AX24" t="s">
        <v>101</v>
      </c>
      <c r="AY24" t="s">
        <v>102</v>
      </c>
      <c r="AZ24" t="s">
        <v>103</v>
      </c>
      <c r="BA24" t="s">
        <v>245</v>
      </c>
      <c r="BB24" t="s">
        <v>78</v>
      </c>
      <c r="BC24" t="s">
        <v>78</v>
      </c>
      <c r="BD24" t="s">
        <v>105</v>
      </c>
      <c r="BE24">
        <v>0</v>
      </c>
      <c r="BF24">
        <v>0</v>
      </c>
      <c r="BG24">
        <v>0</v>
      </c>
      <c r="BH24">
        <v>0</v>
      </c>
      <c r="BJ24" t="s">
        <v>85</v>
      </c>
      <c r="BP24" t="s">
        <v>78</v>
      </c>
      <c r="BQ24" t="s">
        <v>78</v>
      </c>
      <c r="BR24" t="s">
        <v>78</v>
      </c>
    </row>
    <row r="25" customFormat="1" spans="1:70">
      <c r="A25" t="s">
        <v>315</v>
      </c>
      <c r="B25" t="s">
        <v>315</v>
      </c>
      <c r="C25" t="s">
        <v>74</v>
      </c>
      <c r="D25" t="s">
        <v>247</v>
      </c>
      <c r="E25">
        <v>1</v>
      </c>
      <c r="F25" t="s">
        <v>76</v>
      </c>
      <c r="G25" t="s">
        <v>248</v>
      </c>
      <c r="H25">
        <v>329</v>
      </c>
      <c r="I25">
        <v>329</v>
      </c>
      <c r="J25">
        <v>0</v>
      </c>
      <c r="K25">
        <v>0</v>
      </c>
      <c r="L25" t="s">
        <v>78</v>
      </c>
      <c r="M25" t="s">
        <v>78</v>
      </c>
      <c r="N25" t="s">
        <v>78</v>
      </c>
      <c r="O25">
        <v>0</v>
      </c>
      <c r="P25">
        <v>0</v>
      </c>
      <c r="Q25">
        <v>0</v>
      </c>
      <c r="R25" t="s">
        <v>125</v>
      </c>
      <c r="S25">
        <v>0</v>
      </c>
      <c r="T25" t="s">
        <v>80</v>
      </c>
      <c r="U25" t="s">
        <v>80</v>
      </c>
      <c r="V25" t="s">
        <v>271</v>
      </c>
      <c r="W25" t="s">
        <v>272</v>
      </c>
      <c r="X25" t="s">
        <v>273</v>
      </c>
      <c r="Y25" t="s">
        <v>274</v>
      </c>
      <c r="Z25" t="s">
        <v>80</v>
      </c>
      <c r="AA25" t="s">
        <v>85</v>
      </c>
      <c r="AC25" t="s">
        <v>316</v>
      </c>
      <c r="AD25" t="s">
        <v>87</v>
      </c>
      <c r="AG25" t="s">
        <v>317</v>
      </c>
      <c r="AH25" t="s">
        <v>91</v>
      </c>
      <c r="AI25" t="s">
        <v>92</v>
      </c>
      <c r="AJ25" t="s">
        <v>131</v>
      </c>
      <c r="AK25" t="s">
        <v>318</v>
      </c>
      <c r="AL25" t="s">
        <v>95</v>
      </c>
      <c r="AM25" t="s">
        <v>96</v>
      </c>
      <c r="AN25" t="s">
        <v>97</v>
      </c>
      <c r="AO25" t="s">
        <v>98</v>
      </c>
      <c r="AP25" t="s">
        <v>78</v>
      </c>
      <c r="AQ25" t="s">
        <v>99</v>
      </c>
      <c r="AS25" t="s">
        <v>78</v>
      </c>
      <c r="AT25" t="s">
        <v>100</v>
      </c>
      <c r="AU25" t="s">
        <v>100</v>
      </c>
      <c r="AW25" t="s">
        <v>85</v>
      </c>
      <c r="AX25" t="s">
        <v>101</v>
      </c>
      <c r="AY25" t="s">
        <v>102</v>
      </c>
      <c r="AZ25" t="s">
        <v>103</v>
      </c>
      <c r="BA25" t="s">
        <v>120</v>
      </c>
      <c r="BB25" t="s">
        <v>78</v>
      </c>
      <c r="BC25" t="s">
        <v>78</v>
      </c>
      <c r="BE25">
        <v>0</v>
      </c>
      <c r="BF25">
        <v>0</v>
      </c>
      <c r="BG25">
        <v>0</v>
      </c>
      <c r="BH25">
        <v>0</v>
      </c>
      <c r="BJ25" t="s">
        <v>85</v>
      </c>
      <c r="BP25" t="s">
        <v>78</v>
      </c>
      <c r="BQ25" t="s">
        <v>78</v>
      </c>
      <c r="BR25" t="s">
        <v>78</v>
      </c>
    </row>
    <row r="26" customFormat="1" spans="1:70">
      <c r="A26" t="s">
        <v>319</v>
      </c>
      <c r="B26" t="s">
        <v>319</v>
      </c>
      <c r="C26" t="s">
        <v>74</v>
      </c>
      <c r="D26" t="s">
        <v>230</v>
      </c>
      <c r="E26">
        <v>1</v>
      </c>
      <c r="F26" t="s">
        <v>76</v>
      </c>
      <c r="G26" t="s">
        <v>231</v>
      </c>
      <c r="H26">
        <v>329</v>
      </c>
      <c r="I26">
        <v>329</v>
      </c>
      <c r="J26">
        <v>0</v>
      </c>
      <c r="K26">
        <v>0</v>
      </c>
      <c r="L26" t="s">
        <v>78</v>
      </c>
      <c r="M26" t="s">
        <v>78</v>
      </c>
      <c r="N26" t="s">
        <v>78</v>
      </c>
      <c r="O26">
        <v>0</v>
      </c>
      <c r="P26">
        <v>0</v>
      </c>
      <c r="Q26">
        <v>0</v>
      </c>
      <c r="R26" t="s">
        <v>111</v>
      </c>
      <c r="S26">
        <v>0</v>
      </c>
      <c r="T26" t="s">
        <v>80</v>
      </c>
      <c r="U26" t="s">
        <v>80</v>
      </c>
      <c r="V26" t="s">
        <v>189</v>
      </c>
      <c r="W26" t="s">
        <v>190</v>
      </c>
      <c r="X26" t="s">
        <v>320</v>
      </c>
      <c r="Y26" t="s">
        <v>321</v>
      </c>
      <c r="Z26" t="s">
        <v>80</v>
      </c>
      <c r="AA26" t="s">
        <v>85</v>
      </c>
      <c r="AC26" t="s">
        <v>322</v>
      </c>
      <c r="AD26" t="s">
        <v>87</v>
      </c>
      <c r="AG26" t="s">
        <v>317</v>
      </c>
      <c r="AH26" t="s">
        <v>91</v>
      </c>
      <c r="AI26" t="s">
        <v>92</v>
      </c>
      <c r="AJ26" t="s">
        <v>131</v>
      </c>
      <c r="AK26" t="s">
        <v>323</v>
      </c>
      <c r="AL26" t="s">
        <v>95</v>
      </c>
      <c r="AM26" t="s">
        <v>96</v>
      </c>
      <c r="AN26" t="s">
        <v>97</v>
      </c>
      <c r="AO26" t="s">
        <v>98</v>
      </c>
      <c r="AP26" t="s">
        <v>78</v>
      </c>
      <c r="AQ26" t="s">
        <v>99</v>
      </c>
      <c r="AS26" t="s">
        <v>78</v>
      </c>
      <c r="AT26" t="s">
        <v>100</v>
      </c>
      <c r="AU26" t="s">
        <v>100</v>
      </c>
      <c r="AW26" t="s">
        <v>85</v>
      </c>
      <c r="AX26" t="s">
        <v>101</v>
      </c>
      <c r="AY26" t="s">
        <v>102</v>
      </c>
      <c r="AZ26" t="s">
        <v>103</v>
      </c>
      <c r="BA26" t="s">
        <v>133</v>
      </c>
      <c r="BB26" t="s">
        <v>78</v>
      </c>
      <c r="BC26" t="s">
        <v>78</v>
      </c>
      <c r="BE26">
        <v>0</v>
      </c>
      <c r="BF26">
        <v>0</v>
      </c>
      <c r="BG26">
        <v>0</v>
      </c>
      <c r="BH26">
        <v>0</v>
      </c>
      <c r="BJ26" t="s">
        <v>85</v>
      </c>
      <c r="BP26" t="s">
        <v>78</v>
      </c>
      <c r="BQ26" t="s">
        <v>78</v>
      </c>
      <c r="BR26" t="s">
        <v>78</v>
      </c>
    </row>
    <row r="27" customFormat="1" spans="1:70">
      <c r="A27" t="s">
        <v>324</v>
      </c>
      <c r="B27" t="s">
        <v>324</v>
      </c>
      <c r="C27" t="s">
        <v>107</v>
      </c>
      <c r="D27" t="s">
        <v>123</v>
      </c>
      <c r="E27">
        <v>1</v>
      </c>
      <c r="F27" t="s">
        <v>109</v>
      </c>
      <c r="G27" t="s">
        <v>124</v>
      </c>
      <c r="H27">
        <v>289</v>
      </c>
      <c r="I27">
        <v>314</v>
      </c>
      <c r="J27">
        <v>25</v>
      </c>
      <c r="K27">
        <v>0</v>
      </c>
      <c r="L27" t="s">
        <v>78</v>
      </c>
      <c r="M27" t="s">
        <v>78</v>
      </c>
      <c r="N27" t="s">
        <v>78</v>
      </c>
      <c r="O27">
        <v>0</v>
      </c>
      <c r="P27">
        <v>0</v>
      </c>
      <c r="Q27">
        <v>0</v>
      </c>
      <c r="R27" t="s">
        <v>79</v>
      </c>
      <c r="S27">
        <v>0</v>
      </c>
      <c r="T27" t="s">
        <v>80</v>
      </c>
      <c r="U27" t="s">
        <v>80</v>
      </c>
      <c r="V27" t="s">
        <v>325</v>
      </c>
      <c r="W27" t="s">
        <v>326</v>
      </c>
      <c r="X27" t="s">
        <v>327</v>
      </c>
      <c r="Y27" t="s">
        <v>328</v>
      </c>
      <c r="Z27" t="s">
        <v>80</v>
      </c>
      <c r="AA27" t="s">
        <v>85</v>
      </c>
      <c r="AC27" t="s">
        <v>329</v>
      </c>
      <c r="AD27" t="s">
        <v>87</v>
      </c>
      <c r="AF27" t="s">
        <v>330</v>
      </c>
      <c r="AG27" t="s">
        <v>331</v>
      </c>
      <c r="AH27" t="s">
        <v>91</v>
      </c>
      <c r="AI27" t="s">
        <v>92</v>
      </c>
      <c r="AJ27" t="s">
        <v>93</v>
      </c>
      <c r="AK27" t="s">
        <v>332</v>
      </c>
      <c r="AL27" t="s">
        <v>95</v>
      </c>
      <c r="AM27" t="s">
        <v>96</v>
      </c>
      <c r="AN27" t="s">
        <v>97</v>
      </c>
      <c r="AO27" t="s">
        <v>98</v>
      </c>
      <c r="AP27" t="s">
        <v>78</v>
      </c>
      <c r="AQ27" t="s">
        <v>78</v>
      </c>
      <c r="AS27" t="s">
        <v>78</v>
      </c>
      <c r="AT27" t="s">
        <v>100</v>
      </c>
      <c r="AU27" t="s">
        <v>100</v>
      </c>
      <c r="AW27" t="s">
        <v>85</v>
      </c>
      <c r="AX27" t="s">
        <v>101</v>
      </c>
      <c r="AY27" t="s">
        <v>102</v>
      </c>
      <c r="AZ27" t="s">
        <v>103</v>
      </c>
      <c r="BA27" t="s">
        <v>133</v>
      </c>
      <c r="BB27" t="s">
        <v>78</v>
      </c>
      <c r="BC27" t="s">
        <v>78</v>
      </c>
      <c r="BD27" t="s">
        <v>333</v>
      </c>
      <c r="BE27">
        <v>0</v>
      </c>
      <c r="BF27">
        <v>0</v>
      </c>
      <c r="BG27">
        <v>0</v>
      </c>
      <c r="BH27">
        <v>0</v>
      </c>
      <c r="BJ27" t="s">
        <v>85</v>
      </c>
      <c r="BP27" t="s">
        <v>78</v>
      </c>
      <c r="BQ27" t="s">
        <v>78</v>
      </c>
      <c r="BR27" t="s">
        <v>78</v>
      </c>
    </row>
    <row r="28" customFormat="1" spans="1:70">
      <c r="A28" t="s">
        <v>334</v>
      </c>
      <c r="B28" t="s">
        <v>334</v>
      </c>
      <c r="C28" t="s">
        <v>107</v>
      </c>
      <c r="D28" t="s">
        <v>135</v>
      </c>
      <c r="E28">
        <v>1</v>
      </c>
      <c r="F28" t="s">
        <v>109</v>
      </c>
      <c r="G28" t="s">
        <v>136</v>
      </c>
      <c r="H28">
        <v>289</v>
      </c>
      <c r="I28">
        <v>254.06</v>
      </c>
      <c r="J28">
        <v>0</v>
      </c>
      <c r="K28">
        <v>35.86</v>
      </c>
      <c r="L28" t="s">
        <v>335</v>
      </c>
      <c r="M28" t="s">
        <v>78</v>
      </c>
      <c r="N28" t="s">
        <v>78</v>
      </c>
      <c r="O28">
        <v>0</v>
      </c>
      <c r="P28">
        <v>0.92</v>
      </c>
      <c r="Q28">
        <v>0</v>
      </c>
      <c r="R28" t="s">
        <v>125</v>
      </c>
      <c r="S28">
        <v>0</v>
      </c>
      <c r="T28" t="s">
        <v>80</v>
      </c>
      <c r="U28" t="s">
        <v>80</v>
      </c>
      <c r="V28" t="s">
        <v>221</v>
      </c>
      <c r="W28" t="s">
        <v>336</v>
      </c>
      <c r="X28" t="s">
        <v>337</v>
      </c>
      <c r="Y28" t="s">
        <v>78</v>
      </c>
      <c r="Z28" t="s">
        <v>80</v>
      </c>
      <c r="AA28" t="s">
        <v>85</v>
      </c>
      <c r="AC28" t="s">
        <v>338</v>
      </c>
      <c r="AD28" t="s">
        <v>87</v>
      </c>
      <c r="AE28" t="s">
        <v>339</v>
      </c>
      <c r="AF28" t="s">
        <v>117</v>
      </c>
      <c r="AG28" t="s">
        <v>340</v>
      </c>
      <c r="AH28" t="s">
        <v>91</v>
      </c>
      <c r="AI28" t="s">
        <v>92</v>
      </c>
      <c r="AJ28" t="s">
        <v>93</v>
      </c>
      <c r="AK28" t="s">
        <v>341</v>
      </c>
      <c r="AL28" t="s">
        <v>95</v>
      </c>
      <c r="AM28" t="s">
        <v>96</v>
      </c>
      <c r="AN28" t="s">
        <v>97</v>
      </c>
      <c r="AO28" t="s">
        <v>98</v>
      </c>
      <c r="AP28" t="s">
        <v>78</v>
      </c>
      <c r="AQ28" t="s">
        <v>99</v>
      </c>
      <c r="AS28" t="s">
        <v>78</v>
      </c>
      <c r="AT28" t="s">
        <v>100</v>
      </c>
      <c r="AU28" t="s">
        <v>100</v>
      </c>
      <c r="AW28" t="s">
        <v>85</v>
      </c>
      <c r="AX28" t="s">
        <v>101</v>
      </c>
      <c r="AY28" t="s">
        <v>102</v>
      </c>
      <c r="AZ28" t="s">
        <v>103</v>
      </c>
      <c r="BA28" t="s">
        <v>218</v>
      </c>
      <c r="BB28" t="s">
        <v>78</v>
      </c>
      <c r="BC28" t="s">
        <v>78</v>
      </c>
      <c r="BD28" t="s">
        <v>121</v>
      </c>
      <c r="BE28">
        <v>0</v>
      </c>
      <c r="BF28">
        <v>34.94</v>
      </c>
      <c r="BG28">
        <v>0</v>
      </c>
      <c r="BH28">
        <v>0</v>
      </c>
      <c r="BJ28" t="s">
        <v>85</v>
      </c>
      <c r="BP28" t="s">
        <v>78</v>
      </c>
      <c r="BQ28" t="s">
        <v>78</v>
      </c>
      <c r="BR28" t="s">
        <v>78</v>
      </c>
    </row>
    <row r="29" customFormat="1" spans="1:70">
      <c r="A29" t="s">
        <v>342</v>
      </c>
      <c r="B29" t="s">
        <v>342</v>
      </c>
      <c r="C29" t="s">
        <v>343</v>
      </c>
      <c r="D29" t="s">
        <v>344</v>
      </c>
      <c r="E29">
        <v>1</v>
      </c>
      <c r="F29" t="s">
        <v>345</v>
      </c>
      <c r="G29" t="s">
        <v>346</v>
      </c>
      <c r="H29">
        <v>299</v>
      </c>
      <c r="I29">
        <v>299</v>
      </c>
      <c r="J29">
        <v>0</v>
      </c>
      <c r="K29">
        <v>0</v>
      </c>
      <c r="L29" t="s">
        <v>78</v>
      </c>
      <c r="M29" t="s">
        <v>78</v>
      </c>
      <c r="N29" t="s">
        <v>78</v>
      </c>
      <c r="O29">
        <v>0</v>
      </c>
      <c r="P29">
        <v>0</v>
      </c>
      <c r="Q29">
        <v>0</v>
      </c>
      <c r="R29" t="s">
        <v>125</v>
      </c>
      <c r="S29">
        <v>0</v>
      </c>
      <c r="T29" t="s">
        <v>80</v>
      </c>
      <c r="U29" t="s">
        <v>80</v>
      </c>
      <c r="V29" t="s">
        <v>347</v>
      </c>
      <c r="W29" t="s">
        <v>348</v>
      </c>
      <c r="X29" t="s">
        <v>349</v>
      </c>
      <c r="Y29" t="s">
        <v>350</v>
      </c>
      <c r="Z29" t="s">
        <v>80</v>
      </c>
      <c r="AA29" t="s">
        <v>85</v>
      </c>
      <c r="AC29" t="s">
        <v>351</v>
      </c>
      <c r="AD29" t="s">
        <v>87</v>
      </c>
      <c r="AH29" t="s">
        <v>91</v>
      </c>
      <c r="AI29" t="s">
        <v>216</v>
      </c>
      <c r="AJ29" t="s">
        <v>131</v>
      </c>
      <c r="AK29" t="s">
        <v>352</v>
      </c>
      <c r="AL29" t="s">
        <v>95</v>
      </c>
      <c r="AM29" t="s">
        <v>96</v>
      </c>
      <c r="AN29" t="s">
        <v>96</v>
      </c>
      <c r="AP29" t="s">
        <v>78</v>
      </c>
      <c r="AQ29" t="s">
        <v>78</v>
      </c>
      <c r="AR29" t="s">
        <v>353</v>
      </c>
      <c r="AS29" t="s">
        <v>78</v>
      </c>
      <c r="AT29" t="s">
        <v>100</v>
      </c>
      <c r="AU29" t="s">
        <v>100</v>
      </c>
      <c r="AW29" t="s">
        <v>85</v>
      </c>
      <c r="AX29" t="s">
        <v>101</v>
      </c>
      <c r="AY29" t="s">
        <v>102</v>
      </c>
      <c r="AZ29" t="s">
        <v>145</v>
      </c>
      <c r="BA29" t="s">
        <v>354</v>
      </c>
      <c r="BB29" t="s">
        <v>78</v>
      </c>
      <c r="BC29" t="s">
        <v>78</v>
      </c>
      <c r="BE29">
        <v>0</v>
      </c>
      <c r="BF29">
        <v>0</v>
      </c>
      <c r="BG29">
        <v>0</v>
      </c>
      <c r="BH29">
        <v>0</v>
      </c>
      <c r="BJ29" t="s">
        <v>85</v>
      </c>
      <c r="BP29" t="s">
        <v>78</v>
      </c>
      <c r="BQ29" t="s">
        <v>78</v>
      </c>
      <c r="BR29" t="s">
        <v>78</v>
      </c>
    </row>
    <row r="30" customFormat="1" spans="1:70">
      <c r="A30" t="s">
        <v>355</v>
      </c>
      <c r="B30" t="s">
        <v>355</v>
      </c>
      <c r="C30" t="s">
        <v>343</v>
      </c>
      <c r="D30" t="s">
        <v>344</v>
      </c>
      <c r="E30">
        <v>1</v>
      </c>
      <c r="F30" t="s">
        <v>345</v>
      </c>
      <c r="G30" t="s">
        <v>346</v>
      </c>
      <c r="H30">
        <v>299</v>
      </c>
      <c r="I30">
        <v>299</v>
      </c>
      <c r="J30">
        <v>0</v>
      </c>
      <c r="K30">
        <v>0</v>
      </c>
      <c r="L30" t="s">
        <v>78</v>
      </c>
      <c r="M30" t="s">
        <v>78</v>
      </c>
      <c r="N30" t="s">
        <v>78</v>
      </c>
      <c r="O30">
        <v>0</v>
      </c>
      <c r="P30">
        <v>0</v>
      </c>
      <c r="Q30">
        <v>0</v>
      </c>
      <c r="R30" t="s">
        <v>125</v>
      </c>
      <c r="S30">
        <v>0</v>
      </c>
      <c r="T30" t="s">
        <v>80</v>
      </c>
      <c r="U30" t="s">
        <v>80</v>
      </c>
      <c r="V30" t="s">
        <v>347</v>
      </c>
      <c r="W30" t="s">
        <v>348</v>
      </c>
      <c r="X30" t="s">
        <v>349</v>
      </c>
      <c r="Y30" t="s">
        <v>350</v>
      </c>
      <c r="Z30" t="s">
        <v>80</v>
      </c>
      <c r="AA30" t="s">
        <v>85</v>
      </c>
      <c r="AC30" t="s">
        <v>356</v>
      </c>
      <c r="AD30" t="s">
        <v>87</v>
      </c>
      <c r="AH30" t="s">
        <v>91</v>
      </c>
      <c r="AI30" t="s">
        <v>216</v>
      </c>
      <c r="AJ30" t="s">
        <v>131</v>
      </c>
      <c r="AK30" t="s">
        <v>357</v>
      </c>
      <c r="AL30" t="s">
        <v>95</v>
      </c>
      <c r="AM30" t="s">
        <v>96</v>
      </c>
      <c r="AN30" t="s">
        <v>96</v>
      </c>
      <c r="AP30" t="s">
        <v>78</v>
      </c>
      <c r="AQ30" t="s">
        <v>78</v>
      </c>
      <c r="AR30" t="s">
        <v>353</v>
      </c>
      <c r="AS30" t="s">
        <v>78</v>
      </c>
      <c r="AT30" t="s">
        <v>100</v>
      </c>
      <c r="AU30" t="s">
        <v>100</v>
      </c>
      <c r="AW30" t="s">
        <v>85</v>
      </c>
      <c r="AX30" t="s">
        <v>101</v>
      </c>
      <c r="AY30" t="s">
        <v>102</v>
      </c>
      <c r="AZ30" t="s">
        <v>145</v>
      </c>
      <c r="BA30" t="s">
        <v>354</v>
      </c>
      <c r="BB30" t="s">
        <v>78</v>
      </c>
      <c r="BC30" t="s">
        <v>78</v>
      </c>
      <c r="BE30">
        <v>0</v>
      </c>
      <c r="BF30">
        <v>0</v>
      </c>
      <c r="BG30">
        <v>0</v>
      </c>
      <c r="BH30">
        <v>0</v>
      </c>
      <c r="BJ30" t="s">
        <v>85</v>
      </c>
      <c r="BP30" t="s">
        <v>78</v>
      </c>
      <c r="BQ30" t="s">
        <v>78</v>
      </c>
      <c r="BR30" t="s">
        <v>78</v>
      </c>
    </row>
    <row r="31" customFormat="1" ht="202" spans="1:70">
      <c r="A31" t="s">
        <v>358</v>
      </c>
      <c r="B31" t="s">
        <v>358</v>
      </c>
      <c r="C31" t="s">
        <v>107</v>
      </c>
      <c r="D31" t="s">
        <v>108</v>
      </c>
      <c r="E31">
        <v>1</v>
      </c>
      <c r="F31" t="s">
        <v>109</v>
      </c>
      <c r="G31" t="s">
        <v>110</v>
      </c>
      <c r="H31">
        <v>289</v>
      </c>
      <c r="I31">
        <v>260.12</v>
      </c>
      <c r="J31">
        <v>0</v>
      </c>
      <c r="K31">
        <v>28.88</v>
      </c>
      <c r="L31" t="s">
        <v>359</v>
      </c>
      <c r="M31" t="s">
        <v>78</v>
      </c>
      <c r="N31" t="s">
        <v>78</v>
      </c>
      <c r="O31">
        <v>0</v>
      </c>
      <c r="P31">
        <v>0</v>
      </c>
      <c r="Q31">
        <v>0</v>
      </c>
      <c r="R31" t="s">
        <v>79</v>
      </c>
      <c r="S31">
        <v>0</v>
      </c>
      <c r="T31" t="s">
        <v>80</v>
      </c>
      <c r="U31" t="s">
        <v>80</v>
      </c>
      <c r="V31" t="s">
        <v>239</v>
      </c>
      <c r="W31" t="s">
        <v>278</v>
      </c>
      <c r="X31" t="s">
        <v>279</v>
      </c>
      <c r="Y31" t="s">
        <v>360</v>
      </c>
      <c r="Z31" t="s">
        <v>80</v>
      </c>
      <c r="AA31" t="s">
        <v>85</v>
      </c>
      <c r="AC31" t="s">
        <v>361</v>
      </c>
      <c r="AD31" t="s">
        <v>362</v>
      </c>
      <c r="AE31" s="1" t="s">
        <v>363</v>
      </c>
      <c r="AF31" t="s">
        <v>364</v>
      </c>
      <c r="AG31" t="s">
        <v>365</v>
      </c>
      <c r="AH31" t="s">
        <v>91</v>
      </c>
      <c r="AI31" t="s">
        <v>92</v>
      </c>
      <c r="AJ31" t="s">
        <v>93</v>
      </c>
      <c r="AK31" t="s">
        <v>366</v>
      </c>
      <c r="AL31" t="s">
        <v>95</v>
      </c>
      <c r="AM31" t="s">
        <v>96</v>
      </c>
      <c r="AN31" t="s">
        <v>97</v>
      </c>
      <c r="AO31" t="s">
        <v>98</v>
      </c>
      <c r="AP31" t="s">
        <v>78</v>
      </c>
      <c r="AQ31" t="s">
        <v>99</v>
      </c>
      <c r="AS31" t="s">
        <v>78</v>
      </c>
      <c r="AT31" t="s">
        <v>100</v>
      </c>
      <c r="AU31" t="s">
        <v>100</v>
      </c>
      <c r="AW31" t="s">
        <v>85</v>
      </c>
      <c r="AX31" t="s">
        <v>101</v>
      </c>
      <c r="AY31" t="s">
        <v>102</v>
      </c>
      <c r="AZ31" t="s">
        <v>145</v>
      </c>
      <c r="BA31" t="s">
        <v>146</v>
      </c>
      <c r="BB31" t="s">
        <v>78</v>
      </c>
      <c r="BC31" t="s">
        <v>78</v>
      </c>
      <c r="BD31" t="s">
        <v>367</v>
      </c>
      <c r="BE31">
        <v>0</v>
      </c>
      <c r="BF31">
        <v>28.88</v>
      </c>
      <c r="BG31">
        <v>0</v>
      </c>
      <c r="BH31">
        <v>0</v>
      </c>
      <c r="BJ31" t="s">
        <v>85</v>
      </c>
      <c r="BP31" t="s">
        <v>78</v>
      </c>
      <c r="BQ31" t="s">
        <v>78</v>
      </c>
      <c r="BR31" t="s">
        <v>78</v>
      </c>
    </row>
    <row r="32" customFormat="1" spans="1:70">
      <c r="A32" t="s">
        <v>368</v>
      </c>
      <c r="B32" t="s">
        <v>368</v>
      </c>
      <c r="C32" t="s">
        <v>107</v>
      </c>
      <c r="D32" t="s">
        <v>108</v>
      </c>
      <c r="E32">
        <v>1</v>
      </c>
      <c r="F32" t="s">
        <v>109</v>
      </c>
      <c r="G32" t="s">
        <v>110</v>
      </c>
      <c r="H32">
        <v>289</v>
      </c>
      <c r="I32">
        <v>289</v>
      </c>
      <c r="J32">
        <v>0</v>
      </c>
      <c r="K32">
        <v>0</v>
      </c>
      <c r="L32" t="s">
        <v>78</v>
      </c>
      <c r="M32" t="s">
        <v>78</v>
      </c>
      <c r="N32" t="s">
        <v>78</v>
      </c>
      <c r="O32">
        <v>0</v>
      </c>
      <c r="P32">
        <v>0</v>
      </c>
      <c r="Q32">
        <v>0</v>
      </c>
      <c r="R32" t="s">
        <v>125</v>
      </c>
      <c r="S32">
        <v>0</v>
      </c>
      <c r="T32" t="s">
        <v>80</v>
      </c>
      <c r="U32" t="s">
        <v>80</v>
      </c>
      <c r="V32" t="s">
        <v>126</v>
      </c>
      <c r="W32" t="s">
        <v>369</v>
      </c>
      <c r="X32" t="s">
        <v>370</v>
      </c>
      <c r="Y32" t="s">
        <v>371</v>
      </c>
      <c r="Z32" t="s">
        <v>80</v>
      </c>
      <c r="AA32" t="s">
        <v>85</v>
      </c>
      <c r="AC32" t="s">
        <v>372</v>
      </c>
      <c r="AD32" t="s">
        <v>87</v>
      </c>
      <c r="AG32" t="s">
        <v>373</v>
      </c>
      <c r="AH32" t="s">
        <v>91</v>
      </c>
      <c r="AI32" t="s">
        <v>216</v>
      </c>
      <c r="AJ32" t="s">
        <v>131</v>
      </c>
      <c r="AK32" t="s">
        <v>374</v>
      </c>
      <c r="AL32" t="s">
        <v>95</v>
      </c>
      <c r="AM32" t="s">
        <v>96</v>
      </c>
      <c r="AN32" t="s">
        <v>96</v>
      </c>
      <c r="AP32" t="s">
        <v>78</v>
      </c>
      <c r="AQ32" t="s">
        <v>99</v>
      </c>
      <c r="AS32" t="s">
        <v>78</v>
      </c>
      <c r="AT32" t="s">
        <v>100</v>
      </c>
      <c r="AU32" t="s">
        <v>100</v>
      </c>
      <c r="AW32" t="s">
        <v>85</v>
      </c>
      <c r="AX32" t="s">
        <v>101</v>
      </c>
      <c r="AY32" t="s">
        <v>102</v>
      </c>
      <c r="AZ32" t="s">
        <v>145</v>
      </c>
      <c r="BA32" t="s">
        <v>218</v>
      </c>
      <c r="BB32" t="s">
        <v>78</v>
      </c>
      <c r="BC32" t="s">
        <v>78</v>
      </c>
      <c r="BE32">
        <v>0</v>
      </c>
      <c r="BF32">
        <v>0</v>
      </c>
      <c r="BG32">
        <v>0</v>
      </c>
      <c r="BH32">
        <v>0</v>
      </c>
      <c r="BJ32" t="s">
        <v>85</v>
      </c>
      <c r="BP32" t="s">
        <v>78</v>
      </c>
      <c r="BQ32" t="s">
        <v>78</v>
      </c>
      <c r="BR32" t="s">
        <v>78</v>
      </c>
    </row>
    <row r="33" customFormat="1" spans="1:70">
      <c r="A33" t="s">
        <v>375</v>
      </c>
      <c r="B33" t="s">
        <v>375</v>
      </c>
      <c r="C33" t="s">
        <v>107</v>
      </c>
      <c r="D33" t="s">
        <v>108</v>
      </c>
      <c r="E33">
        <v>1</v>
      </c>
      <c r="F33" t="s">
        <v>109</v>
      </c>
      <c r="G33" t="s">
        <v>110</v>
      </c>
      <c r="H33">
        <v>289</v>
      </c>
      <c r="I33">
        <v>278</v>
      </c>
      <c r="J33">
        <v>0</v>
      </c>
      <c r="K33">
        <v>11</v>
      </c>
      <c r="L33" t="s">
        <v>376</v>
      </c>
      <c r="M33" t="s">
        <v>78</v>
      </c>
      <c r="N33" t="s">
        <v>78</v>
      </c>
      <c r="O33">
        <v>0</v>
      </c>
      <c r="P33">
        <v>0</v>
      </c>
      <c r="Q33">
        <v>0</v>
      </c>
      <c r="R33" t="s">
        <v>125</v>
      </c>
      <c r="S33">
        <v>0</v>
      </c>
      <c r="T33" t="s">
        <v>80</v>
      </c>
      <c r="U33" t="s">
        <v>80</v>
      </c>
      <c r="V33" t="s">
        <v>126</v>
      </c>
      <c r="W33" t="s">
        <v>377</v>
      </c>
      <c r="X33" t="s">
        <v>378</v>
      </c>
      <c r="Y33" t="s">
        <v>379</v>
      </c>
      <c r="Z33" t="s">
        <v>80</v>
      </c>
      <c r="AA33" t="s">
        <v>85</v>
      </c>
      <c r="AC33" t="s">
        <v>380</v>
      </c>
      <c r="AD33" t="s">
        <v>87</v>
      </c>
      <c r="AG33" t="s">
        <v>381</v>
      </c>
      <c r="AH33" t="s">
        <v>298</v>
      </c>
      <c r="AI33" t="s">
        <v>92</v>
      </c>
      <c r="AJ33" t="s">
        <v>131</v>
      </c>
      <c r="AK33" t="s">
        <v>382</v>
      </c>
      <c r="AL33" t="s">
        <v>95</v>
      </c>
      <c r="AM33" t="s">
        <v>96</v>
      </c>
      <c r="AN33" t="s">
        <v>97</v>
      </c>
      <c r="AO33" t="s">
        <v>98</v>
      </c>
      <c r="AP33" t="s">
        <v>78</v>
      </c>
      <c r="AQ33" t="s">
        <v>99</v>
      </c>
      <c r="AS33" t="s">
        <v>78</v>
      </c>
      <c r="AT33" t="s">
        <v>100</v>
      </c>
      <c r="AU33" t="s">
        <v>100</v>
      </c>
      <c r="AW33" t="s">
        <v>85</v>
      </c>
      <c r="AX33" t="s">
        <v>103</v>
      </c>
      <c r="AY33" t="s">
        <v>159</v>
      </c>
      <c r="AZ33" t="s">
        <v>103</v>
      </c>
      <c r="BA33" t="s">
        <v>104</v>
      </c>
      <c r="BB33" t="s">
        <v>78</v>
      </c>
      <c r="BC33" t="s">
        <v>78</v>
      </c>
      <c r="BE33">
        <v>0</v>
      </c>
      <c r="BF33">
        <v>11</v>
      </c>
      <c r="BG33">
        <v>0</v>
      </c>
      <c r="BH33">
        <v>0</v>
      </c>
      <c r="BJ33" t="s">
        <v>85</v>
      </c>
      <c r="BP33" t="s">
        <v>78</v>
      </c>
      <c r="BQ33" t="s">
        <v>78</v>
      </c>
      <c r="BR33" t="s">
        <v>78</v>
      </c>
    </row>
    <row r="34" customFormat="1" spans="1:70">
      <c r="A34" t="s">
        <v>383</v>
      </c>
      <c r="B34" t="s">
        <v>383</v>
      </c>
      <c r="C34" t="s">
        <v>107</v>
      </c>
      <c r="D34" t="s">
        <v>108</v>
      </c>
      <c r="E34">
        <v>1</v>
      </c>
      <c r="F34" t="s">
        <v>109</v>
      </c>
      <c r="G34" t="s">
        <v>110</v>
      </c>
      <c r="H34">
        <v>289</v>
      </c>
      <c r="I34">
        <v>289</v>
      </c>
      <c r="J34">
        <v>0</v>
      </c>
      <c r="K34">
        <v>0</v>
      </c>
      <c r="L34" t="s">
        <v>78</v>
      </c>
      <c r="M34" t="s">
        <v>78</v>
      </c>
      <c r="N34" t="s">
        <v>78</v>
      </c>
      <c r="O34">
        <v>0</v>
      </c>
      <c r="P34">
        <v>0</v>
      </c>
      <c r="Q34">
        <v>0</v>
      </c>
      <c r="R34" t="s">
        <v>125</v>
      </c>
      <c r="S34">
        <v>0</v>
      </c>
      <c r="T34" t="s">
        <v>80</v>
      </c>
      <c r="U34" t="s">
        <v>80</v>
      </c>
      <c r="V34" t="s">
        <v>257</v>
      </c>
      <c r="W34" t="s">
        <v>257</v>
      </c>
      <c r="X34" t="s">
        <v>384</v>
      </c>
      <c r="Y34" t="s">
        <v>385</v>
      </c>
      <c r="Z34" t="s">
        <v>80</v>
      </c>
      <c r="AA34" t="s">
        <v>85</v>
      </c>
      <c r="AC34" t="s">
        <v>386</v>
      </c>
      <c r="AD34" t="s">
        <v>87</v>
      </c>
      <c r="AF34" t="s">
        <v>364</v>
      </c>
      <c r="AG34" t="s">
        <v>387</v>
      </c>
      <c r="AH34" t="s">
        <v>183</v>
      </c>
      <c r="AI34" t="s">
        <v>92</v>
      </c>
      <c r="AJ34" t="s">
        <v>93</v>
      </c>
      <c r="AK34" t="s">
        <v>388</v>
      </c>
      <c r="AL34" t="s">
        <v>95</v>
      </c>
      <c r="AM34" t="s">
        <v>96</v>
      </c>
      <c r="AN34" t="s">
        <v>97</v>
      </c>
      <c r="AO34" t="s">
        <v>98</v>
      </c>
      <c r="AP34" t="s">
        <v>78</v>
      </c>
      <c r="AQ34" t="s">
        <v>78</v>
      </c>
      <c r="AS34" t="s">
        <v>78</v>
      </c>
      <c r="AT34" t="s">
        <v>100</v>
      </c>
      <c r="AU34" t="s">
        <v>100</v>
      </c>
      <c r="AW34" t="s">
        <v>85</v>
      </c>
      <c r="AX34" t="s">
        <v>101</v>
      </c>
      <c r="AY34" t="s">
        <v>102</v>
      </c>
      <c r="AZ34" t="s">
        <v>103</v>
      </c>
      <c r="BA34" t="s">
        <v>185</v>
      </c>
      <c r="BB34" t="s">
        <v>78</v>
      </c>
      <c r="BC34" t="s">
        <v>78</v>
      </c>
      <c r="BD34" t="s">
        <v>367</v>
      </c>
      <c r="BE34">
        <v>0</v>
      </c>
      <c r="BF34">
        <v>0</v>
      </c>
      <c r="BG34">
        <v>0</v>
      </c>
      <c r="BH34">
        <v>0</v>
      </c>
      <c r="BJ34" t="s">
        <v>85</v>
      </c>
      <c r="BP34" t="s">
        <v>78</v>
      </c>
      <c r="BQ34" t="s">
        <v>78</v>
      </c>
      <c r="BR34" t="s">
        <v>78</v>
      </c>
    </row>
    <row r="35" customFormat="1" spans="1:70">
      <c r="A35" t="s">
        <v>389</v>
      </c>
      <c r="B35" t="s">
        <v>389</v>
      </c>
      <c r="C35" t="s">
        <v>107</v>
      </c>
      <c r="D35" t="s">
        <v>108</v>
      </c>
      <c r="E35">
        <v>1</v>
      </c>
      <c r="F35" t="s">
        <v>109</v>
      </c>
      <c r="G35" t="s">
        <v>110</v>
      </c>
      <c r="H35">
        <v>289</v>
      </c>
      <c r="I35">
        <v>289</v>
      </c>
      <c r="J35">
        <v>0</v>
      </c>
      <c r="K35">
        <v>0</v>
      </c>
      <c r="L35" t="s">
        <v>78</v>
      </c>
      <c r="M35" t="s">
        <v>78</v>
      </c>
      <c r="N35" t="s">
        <v>78</v>
      </c>
      <c r="O35">
        <v>0</v>
      </c>
      <c r="P35">
        <v>0</v>
      </c>
      <c r="Q35">
        <v>0</v>
      </c>
      <c r="R35" t="s">
        <v>79</v>
      </c>
      <c r="S35">
        <v>0</v>
      </c>
      <c r="T35" t="s">
        <v>80</v>
      </c>
      <c r="U35" t="s">
        <v>80</v>
      </c>
      <c r="V35" t="s">
        <v>126</v>
      </c>
      <c r="W35" t="s">
        <v>390</v>
      </c>
      <c r="X35" t="s">
        <v>391</v>
      </c>
      <c r="Y35" t="s">
        <v>392</v>
      </c>
      <c r="Z35" t="s">
        <v>80</v>
      </c>
      <c r="AA35" t="s">
        <v>85</v>
      </c>
      <c r="AC35" t="s">
        <v>393</v>
      </c>
      <c r="AD35" t="s">
        <v>202</v>
      </c>
      <c r="AE35" t="s">
        <v>394</v>
      </c>
      <c r="AG35" t="s">
        <v>395</v>
      </c>
      <c r="AH35" t="s">
        <v>91</v>
      </c>
      <c r="AI35" t="s">
        <v>92</v>
      </c>
      <c r="AJ35" t="s">
        <v>131</v>
      </c>
      <c r="AK35" t="s">
        <v>396</v>
      </c>
      <c r="AL35" t="s">
        <v>95</v>
      </c>
      <c r="AM35" t="s">
        <v>96</v>
      </c>
      <c r="AN35" t="s">
        <v>97</v>
      </c>
      <c r="AO35" t="s">
        <v>98</v>
      </c>
      <c r="AP35" t="s">
        <v>78</v>
      </c>
      <c r="AQ35" t="s">
        <v>99</v>
      </c>
      <c r="AS35" t="s">
        <v>78</v>
      </c>
      <c r="AT35" t="s">
        <v>100</v>
      </c>
      <c r="AU35" t="s">
        <v>100</v>
      </c>
      <c r="AW35" t="s">
        <v>85</v>
      </c>
      <c r="AX35" t="s">
        <v>101</v>
      </c>
      <c r="AY35" t="s">
        <v>102</v>
      </c>
      <c r="AZ35" t="s">
        <v>103</v>
      </c>
      <c r="BA35" t="s">
        <v>133</v>
      </c>
      <c r="BB35" t="s">
        <v>78</v>
      </c>
      <c r="BC35" t="s">
        <v>78</v>
      </c>
      <c r="BD35" t="s">
        <v>367</v>
      </c>
      <c r="BE35">
        <v>0</v>
      </c>
      <c r="BF35">
        <v>0</v>
      </c>
      <c r="BG35">
        <v>0</v>
      </c>
      <c r="BH35">
        <v>0</v>
      </c>
      <c r="BJ35" t="s">
        <v>85</v>
      </c>
      <c r="BP35" t="s">
        <v>78</v>
      </c>
      <c r="BQ35" t="s">
        <v>78</v>
      </c>
      <c r="BR35" t="s">
        <v>78</v>
      </c>
    </row>
    <row r="36" customFormat="1" spans="1:70">
      <c r="A36" t="s">
        <v>397</v>
      </c>
      <c r="B36" t="s">
        <v>397</v>
      </c>
      <c r="C36" t="s">
        <v>107</v>
      </c>
      <c r="D36" t="s">
        <v>108</v>
      </c>
      <c r="E36">
        <v>1</v>
      </c>
      <c r="F36" t="s">
        <v>109</v>
      </c>
      <c r="G36" t="s">
        <v>110</v>
      </c>
      <c r="H36">
        <v>289</v>
      </c>
      <c r="I36">
        <v>289</v>
      </c>
      <c r="J36">
        <v>0</v>
      </c>
      <c r="K36">
        <v>0</v>
      </c>
      <c r="L36" t="s">
        <v>78</v>
      </c>
      <c r="M36" t="s">
        <v>78</v>
      </c>
      <c r="N36" t="s">
        <v>78</v>
      </c>
      <c r="O36">
        <v>0</v>
      </c>
      <c r="P36">
        <v>0</v>
      </c>
      <c r="Q36">
        <v>0</v>
      </c>
      <c r="R36" t="s">
        <v>111</v>
      </c>
      <c r="S36">
        <v>0</v>
      </c>
      <c r="T36" t="s">
        <v>80</v>
      </c>
      <c r="U36" t="s">
        <v>80</v>
      </c>
      <c r="V36" t="s">
        <v>167</v>
      </c>
      <c r="W36" t="s">
        <v>168</v>
      </c>
      <c r="X36" t="s">
        <v>398</v>
      </c>
      <c r="Y36" t="s">
        <v>399</v>
      </c>
      <c r="Z36" t="s">
        <v>80</v>
      </c>
      <c r="AA36" t="s">
        <v>85</v>
      </c>
      <c r="AC36" t="s">
        <v>400</v>
      </c>
      <c r="AD36" t="s">
        <v>87</v>
      </c>
      <c r="AH36" t="s">
        <v>401</v>
      </c>
      <c r="AI36" t="s">
        <v>92</v>
      </c>
      <c r="AJ36" t="s">
        <v>131</v>
      </c>
      <c r="AK36" t="s">
        <v>402</v>
      </c>
      <c r="AL36" t="s">
        <v>95</v>
      </c>
      <c r="AM36" t="s">
        <v>96</v>
      </c>
      <c r="AN36" t="s">
        <v>97</v>
      </c>
      <c r="AO36" t="s">
        <v>98</v>
      </c>
      <c r="AP36" t="s">
        <v>78</v>
      </c>
      <c r="AQ36" t="s">
        <v>78</v>
      </c>
      <c r="AR36" t="s">
        <v>353</v>
      </c>
      <c r="AS36" t="s">
        <v>78</v>
      </c>
      <c r="AT36" t="s">
        <v>100</v>
      </c>
      <c r="AU36" t="s">
        <v>100</v>
      </c>
      <c r="AW36" t="s">
        <v>85</v>
      </c>
      <c r="AX36" t="s">
        <v>103</v>
      </c>
      <c r="AY36" t="s">
        <v>159</v>
      </c>
      <c r="AZ36" t="s">
        <v>103</v>
      </c>
      <c r="BA36" t="s">
        <v>102</v>
      </c>
      <c r="BB36" t="s">
        <v>78</v>
      </c>
      <c r="BC36" t="s">
        <v>78</v>
      </c>
      <c r="BE36">
        <v>0</v>
      </c>
      <c r="BF36">
        <v>0</v>
      </c>
      <c r="BG36">
        <v>0</v>
      </c>
      <c r="BH36">
        <v>0</v>
      </c>
      <c r="BJ36" t="s">
        <v>85</v>
      </c>
      <c r="BP36" t="s">
        <v>78</v>
      </c>
      <c r="BQ36" t="s">
        <v>78</v>
      </c>
      <c r="BR36" t="s">
        <v>78</v>
      </c>
    </row>
    <row r="37" customFormat="1" spans="1:70">
      <c r="A37" t="s">
        <v>403</v>
      </c>
      <c r="B37" t="s">
        <v>403</v>
      </c>
      <c r="C37" t="s">
        <v>107</v>
      </c>
      <c r="D37" t="s">
        <v>108</v>
      </c>
      <c r="E37">
        <v>1</v>
      </c>
      <c r="F37" t="s">
        <v>109</v>
      </c>
      <c r="G37" t="s">
        <v>110</v>
      </c>
      <c r="H37">
        <v>289</v>
      </c>
      <c r="I37">
        <v>289</v>
      </c>
      <c r="J37">
        <v>0</v>
      </c>
      <c r="K37">
        <v>0</v>
      </c>
      <c r="L37" t="s">
        <v>78</v>
      </c>
      <c r="M37" t="s">
        <v>78</v>
      </c>
      <c r="N37" t="s">
        <v>78</v>
      </c>
      <c r="O37">
        <v>0</v>
      </c>
      <c r="P37">
        <v>0</v>
      </c>
      <c r="Q37">
        <v>0</v>
      </c>
      <c r="R37" t="s">
        <v>125</v>
      </c>
      <c r="S37">
        <v>0</v>
      </c>
      <c r="T37" t="s">
        <v>80</v>
      </c>
      <c r="U37" t="s">
        <v>80</v>
      </c>
      <c r="V37" t="s">
        <v>271</v>
      </c>
      <c r="W37" t="s">
        <v>404</v>
      </c>
      <c r="X37" t="s">
        <v>405</v>
      </c>
      <c r="Y37" t="s">
        <v>406</v>
      </c>
      <c r="Z37" t="s">
        <v>80</v>
      </c>
      <c r="AA37" t="s">
        <v>85</v>
      </c>
      <c r="AC37" t="s">
        <v>407</v>
      </c>
      <c r="AD37" t="s">
        <v>202</v>
      </c>
      <c r="AE37" t="s">
        <v>408</v>
      </c>
      <c r="AG37" t="s">
        <v>409</v>
      </c>
      <c r="AH37" t="s">
        <v>91</v>
      </c>
      <c r="AI37" t="s">
        <v>92</v>
      </c>
      <c r="AJ37" t="s">
        <v>131</v>
      </c>
      <c r="AK37" t="s">
        <v>410</v>
      </c>
      <c r="AL37" t="s">
        <v>95</v>
      </c>
      <c r="AM37" t="s">
        <v>96</v>
      </c>
      <c r="AN37" t="s">
        <v>97</v>
      </c>
      <c r="AO37" t="s">
        <v>98</v>
      </c>
      <c r="AP37" t="s">
        <v>78</v>
      </c>
      <c r="AQ37" t="s">
        <v>99</v>
      </c>
      <c r="AS37" t="s">
        <v>78</v>
      </c>
      <c r="AT37" t="s">
        <v>100</v>
      </c>
      <c r="AU37" t="s">
        <v>100</v>
      </c>
      <c r="AW37" t="s">
        <v>85</v>
      </c>
      <c r="AX37" t="s">
        <v>103</v>
      </c>
      <c r="AY37" t="s">
        <v>159</v>
      </c>
      <c r="AZ37" t="s">
        <v>103</v>
      </c>
      <c r="BA37" t="s">
        <v>218</v>
      </c>
      <c r="BB37" t="s">
        <v>78</v>
      </c>
      <c r="BC37" t="s">
        <v>78</v>
      </c>
      <c r="BD37" t="s">
        <v>367</v>
      </c>
      <c r="BE37">
        <v>0</v>
      </c>
      <c r="BF37">
        <v>0</v>
      </c>
      <c r="BG37">
        <v>0</v>
      </c>
      <c r="BH37">
        <v>0</v>
      </c>
      <c r="BJ37" t="s">
        <v>85</v>
      </c>
      <c r="BP37" t="s">
        <v>78</v>
      </c>
      <c r="BQ37" t="s">
        <v>78</v>
      </c>
      <c r="BR37" t="s">
        <v>78</v>
      </c>
    </row>
    <row r="38" customFormat="1" spans="1:70">
      <c r="A38" t="s">
        <v>411</v>
      </c>
      <c r="B38" t="s">
        <v>411</v>
      </c>
      <c r="C38" t="s">
        <v>107</v>
      </c>
      <c r="D38" t="s">
        <v>108</v>
      </c>
      <c r="E38">
        <v>1</v>
      </c>
      <c r="F38" t="s">
        <v>109</v>
      </c>
      <c r="G38" t="s">
        <v>110</v>
      </c>
      <c r="H38">
        <v>289</v>
      </c>
      <c r="I38">
        <v>289</v>
      </c>
      <c r="J38">
        <v>0</v>
      </c>
      <c r="K38">
        <v>0</v>
      </c>
      <c r="L38" t="s">
        <v>78</v>
      </c>
      <c r="M38" t="s">
        <v>78</v>
      </c>
      <c r="N38" t="s">
        <v>78</v>
      </c>
      <c r="O38">
        <v>0</v>
      </c>
      <c r="P38">
        <v>0</v>
      </c>
      <c r="Q38">
        <v>0</v>
      </c>
      <c r="R38" t="s">
        <v>125</v>
      </c>
      <c r="S38">
        <v>0</v>
      </c>
      <c r="T38" t="s">
        <v>80</v>
      </c>
      <c r="U38" t="s">
        <v>80</v>
      </c>
      <c r="V38" t="s">
        <v>302</v>
      </c>
      <c r="W38" t="s">
        <v>412</v>
      </c>
      <c r="X38" t="s">
        <v>413</v>
      </c>
      <c r="Y38" t="s">
        <v>414</v>
      </c>
      <c r="Z38" t="s">
        <v>80</v>
      </c>
      <c r="AA38" t="s">
        <v>85</v>
      </c>
      <c r="AC38" t="s">
        <v>415</v>
      </c>
      <c r="AD38" t="s">
        <v>202</v>
      </c>
      <c r="AE38" t="s">
        <v>416</v>
      </c>
      <c r="AG38" t="s">
        <v>417</v>
      </c>
      <c r="AH38" t="s">
        <v>91</v>
      </c>
      <c r="AI38" t="s">
        <v>92</v>
      </c>
      <c r="AJ38" t="s">
        <v>131</v>
      </c>
      <c r="AK38" t="s">
        <v>418</v>
      </c>
      <c r="AL38" t="s">
        <v>95</v>
      </c>
      <c r="AM38" t="s">
        <v>96</v>
      </c>
      <c r="AN38" t="s">
        <v>97</v>
      </c>
      <c r="AO38" t="s">
        <v>98</v>
      </c>
      <c r="AP38" t="s">
        <v>78</v>
      </c>
      <c r="AQ38" t="s">
        <v>99</v>
      </c>
      <c r="AS38" t="s">
        <v>78</v>
      </c>
      <c r="AT38" t="s">
        <v>100</v>
      </c>
      <c r="AU38" t="s">
        <v>100</v>
      </c>
      <c r="AW38" t="s">
        <v>85</v>
      </c>
      <c r="AX38" t="s">
        <v>101</v>
      </c>
      <c r="AY38" t="s">
        <v>102</v>
      </c>
      <c r="AZ38" t="s">
        <v>103</v>
      </c>
      <c r="BA38" t="s">
        <v>419</v>
      </c>
      <c r="BB38" t="s">
        <v>78</v>
      </c>
      <c r="BC38" t="s">
        <v>78</v>
      </c>
      <c r="BD38" t="s">
        <v>367</v>
      </c>
      <c r="BE38">
        <v>0</v>
      </c>
      <c r="BF38">
        <v>0</v>
      </c>
      <c r="BG38">
        <v>0</v>
      </c>
      <c r="BH38">
        <v>0</v>
      </c>
      <c r="BJ38" t="s">
        <v>85</v>
      </c>
      <c r="BP38" t="s">
        <v>78</v>
      </c>
      <c r="BQ38" t="s">
        <v>78</v>
      </c>
      <c r="BR38" t="s">
        <v>78</v>
      </c>
    </row>
    <row r="39" customFormat="1" spans="1:70">
      <c r="A39" t="s">
        <v>420</v>
      </c>
      <c r="B39" t="s">
        <v>420</v>
      </c>
      <c r="C39" t="s">
        <v>107</v>
      </c>
      <c r="D39" t="s">
        <v>108</v>
      </c>
      <c r="E39">
        <v>1</v>
      </c>
      <c r="F39" t="s">
        <v>109</v>
      </c>
      <c r="G39" t="s">
        <v>110</v>
      </c>
      <c r="H39">
        <v>289</v>
      </c>
      <c r="I39">
        <v>289</v>
      </c>
      <c r="J39">
        <v>0</v>
      </c>
      <c r="K39">
        <v>0</v>
      </c>
      <c r="L39" t="s">
        <v>78</v>
      </c>
      <c r="M39" t="s">
        <v>78</v>
      </c>
      <c r="N39" t="s">
        <v>78</v>
      </c>
      <c r="O39">
        <v>0</v>
      </c>
      <c r="P39">
        <v>0</v>
      </c>
      <c r="Q39">
        <v>0</v>
      </c>
      <c r="R39" t="s">
        <v>125</v>
      </c>
      <c r="S39">
        <v>0</v>
      </c>
      <c r="T39" t="s">
        <v>80</v>
      </c>
      <c r="U39" t="s">
        <v>80</v>
      </c>
      <c r="V39" t="s">
        <v>271</v>
      </c>
      <c r="W39" t="s">
        <v>421</v>
      </c>
      <c r="X39" t="s">
        <v>422</v>
      </c>
      <c r="Y39" t="s">
        <v>423</v>
      </c>
      <c r="Z39" t="s">
        <v>80</v>
      </c>
      <c r="AA39" t="s">
        <v>85</v>
      </c>
      <c r="AC39" t="s">
        <v>424</v>
      </c>
      <c r="AD39" t="s">
        <v>362</v>
      </c>
      <c r="AE39" t="s">
        <v>425</v>
      </c>
      <c r="AF39" t="s">
        <v>364</v>
      </c>
      <c r="AG39" t="s">
        <v>426</v>
      </c>
      <c r="AH39" t="s">
        <v>91</v>
      </c>
      <c r="AI39" t="s">
        <v>92</v>
      </c>
      <c r="AJ39" t="s">
        <v>93</v>
      </c>
      <c r="AK39" t="s">
        <v>427</v>
      </c>
      <c r="AL39" t="s">
        <v>95</v>
      </c>
      <c r="AM39" t="s">
        <v>96</v>
      </c>
      <c r="AN39" t="s">
        <v>97</v>
      </c>
      <c r="AO39" t="s">
        <v>98</v>
      </c>
      <c r="AP39" t="s">
        <v>78</v>
      </c>
      <c r="AQ39" t="s">
        <v>428</v>
      </c>
      <c r="AS39" t="s">
        <v>78</v>
      </c>
      <c r="AT39" t="s">
        <v>100</v>
      </c>
      <c r="AU39" t="s">
        <v>100</v>
      </c>
      <c r="AW39" t="s">
        <v>85</v>
      </c>
      <c r="AX39" t="s">
        <v>101</v>
      </c>
      <c r="AY39" t="s">
        <v>102</v>
      </c>
      <c r="AZ39" t="s">
        <v>103</v>
      </c>
      <c r="BA39" t="s">
        <v>133</v>
      </c>
      <c r="BB39" t="s">
        <v>78</v>
      </c>
      <c r="BC39" t="s">
        <v>78</v>
      </c>
      <c r="BD39" t="s">
        <v>367</v>
      </c>
      <c r="BE39">
        <v>0</v>
      </c>
      <c r="BF39">
        <v>0</v>
      </c>
      <c r="BG39">
        <v>0</v>
      </c>
      <c r="BH39">
        <v>0</v>
      </c>
      <c r="BJ39" t="s">
        <v>85</v>
      </c>
      <c r="BP39" t="s">
        <v>78</v>
      </c>
      <c r="BQ39" t="s">
        <v>78</v>
      </c>
      <c r="BR39" t="s">
        <v>78</v>
      </c>
    </row>
    <row r="40" customFormat="1" spans="1:70">
      <c r="A40" t="s">
        <v>429</v>
      </c>
      <c r="B40" t="s">
        <v>429</v>
      </c>
      <c r="C40" t="s">
        <v>107</v>
      </c>
      <c r="D40" t="s">
        <v>108</v>
      </c>
      <c r="E40">
        <v>8</v>
      </c>
      <c r="F40" t="s">
        <v>109</v>
      </c>
      <c r="G40" t="s">
        <v>110</v>
      </c>
      <c r="H40">
        <v>289</v>
      </c>
      <c r="I40" s="20">
        <v>2312</v>
      </c>
      <c r="J40">
        <v>0</v>
      </c>
      <c r="K40">
        <v>0</v>
      </c>
      <c r="L40" t="s">
        <v>78</v>
      </c>
      <c r="M40" t="s">
        <v>78</v>
      </c>
      <c r="N40" t="s">
        <v>78</v>
      </c>
      <c r="O40">
        <v>0</v>
      </c>
      <c r="P40">
        <v>0</v>
      </c>
      <c r="Q40">
        <v>0</v>
      </c>
      <c r="R40" t="s">
        <v>111</v>
      </c>
      <c r="S40">
        <v>0</v>
      </c>
      <c r="T40" t="s">
        <v>80</v>
      </c>
      <c r="U40" t="s">
        <v>80</v>
      </c>
      <c r="V40" t="s">
        <v>126</v>
      </c>
      <c r="W40" t="s">
        <v>430</v>
      </c>
      <c r="X40" t="s">
        <v>431</v>
      </c>
      <c r="Y40" t="s">
        <v>78</v>
      </c>
      <c r="Z40" t="s">
        <v>80</v>
      </c>
      <c r="AA40" t="s">
        <v>85</v>
      </c>
      <c r="AC40" t="s">
        <v>432</v>
      </c>
      <c r="AD40" t="s">
        <v>87</v>
      </c>
      <c r="AH40" t="s">
        <v>183</v>
      </c>
      <c r="AI40" t="s">
        <v>92</v>
      </c>
      <c r="AJ40" t="s">
        <v>131</v>
      </c>
      <c r="AK40" t="s">
        <v>433</v>
      </c>
      <c r="AL40" t="s">
        <v>95</v>
      </c>
      <c r="AM40" t="s">
        <v>96</v>
      </c>
      <c r="AN40" t="s">
        <v>97</v>
      </c>
      <c r="AO40" t="s">
        <v>98</v>
      </c>
      <c r="AP40" t="s">
        <v>78</v>
      </c>
      <c r="AQ40" t="s">
        <v>78</v>
      </c>
      <c r="AR40" t="s">
        <v>353</v>
      </c>
      <c r="AS40" t="s">
        <v>78</v>
      </c>
      <c r="AT40" t="s">
        <v>100</v>
      </c>
      <c r="AU40" t="s">
        <v>100</v>
      </c>
      <c r="AW40" t="s">
        <v>85</v>
      </c>
      <c r="AX40" t="s">
        <v>103</v>
      </c>
      <c r="AY40" t="s">
        <v>159</v>
      </c>
      <c r="AZ40" t="s">
        <v>103</v>
      </c>
      <c r="BA40" t="s">
        <v>185</v>
      </c>
      <c r="BB40" t="s">
        <v>78</v>
      </c>
      <c r="BC40" t="s">
        <v>78</v>
      </c>
      <c r="BE40">
        <v>0</v>
      </c>
      <c r="BF40">
        <v>0</v>
      </c>
      <c r="BG40">
        <v>0</v>
      </c>
      <c r="BH40">
        <v>0</v>
      </c>
      <c r="BJ40" t="s">
        <v>85</v>
      </c>
      <c r="BP40" t="s">
        <v>78</v>
      </c>
      <c r="BQ40" t="s">
        <v>78</v>
      </c>
      <c r="BR40" t="s">
        <v>78</v>
      </c>
    </row>
    <row r="41" customFormat="1" spans="1:70">
      <c r="A41" t="s">
        <v>434</v>
      </c>
      <c r="B41" t="s">
        <v>434</v>
      </c>
      <c r="C41" t="s">
        <v>107</v>
      </c>
      <c r="D41" t="s">
        <v>123</v>
      </c>
      <c r="E41">
        <v>1</v>
      </c>
      <c r="F41" t="s">
        <v>109</v>
      </c>
      <c r="G41" t="s">
        <v>124</v>
      </c>
      <c r="H41">
        <v>289</v>
      </c>
      <c r="I41">
        <v>289</v>
      </c>
      <c r="J41">
        <v>0</v>
      </c>
      <c r="K41">
        <v>0</v>
      </c>
      <c r="L41" t="s">
        <v>78</v>
      </c>
      <c r="M41" t="s">
        <v>78</v>
      </c>
      <c r="N41" t="s">
        <v>78</v>
      </c>
      <c r="O41">
        <v>0</v>
      </c>
      <c r="P41">
        <v>0</v>
      </c>
      <c r="Q41">
        <v>0</v>
      </c>
      <c r="R41" t="s">
        <v>125</v>
      </c>
      <c r="S41">
        <v>0</v>
      </c>
      <c r="T41" t="s">
        <v>80</v>
      </c>
      <c r="U41" t="s">
        <v>80</v>
      </c>
      <c r="V41" t="s">
        <v>81</v>
      </c>
      <c r="W41" t="s">
        <v>435</v>
      </c>
      <c r="X41" t="s">
        <v>436</v>
      </c>
      <c r="Y41" t="s">
        <v>437</v>
      </c>
      <c r="Z41" t="s">
        <v>80</v>
      </c>
      <c r="AA41" t="s">
        <v>85</v>
      </c>
      <c r="AC41" t="s">
        <v>438</v>
      </c>
      <c r="AD41" t="s">
        <v>87</v>
      </c>
      <c r="AF41" t="s">
        <v>439</v>
      </c>
      <c r="AG41" t="s">
        <v>440</v>
      </c>
      <c r="AH41" t="s">
        <v>91</v>
      </c>
      <c r="AI41" t="s">
        <v>92</v>
      </c>
      <c r="AJ41" t="s">
        <v>93</v>
      </c>
      <c r="AK41" t="s">
        <v>441</v>
      </c>
      <c r="AL41" t="s">
        <v>95</v>
      </c>
      <c r="AM41" t="s">
        <v>96</v>
      </c>
      <c r="AN41" t="s">
        <v>97</v>
      </c>
      <c r="AO41" t="s">
        <v>98</v>
      </c>
      <c r="AP41" t="s">
        <v>78</v>
      </c>
      <c r="AQ41" t="s">
        <v>78</v>
      </c>
      <c r="AS41" t="s">
        <v>78</v>
      </c>
      <c r="AT41" t="s">
        <v>100</v>
      </c>
      <c r="AU41" t="s">
        <v>100</v>
      </c>
      <c r="AW41" t="s">
        <v>85</v>
      </c>
      <c r="AX41" t="s">
        <v>101</v>
      </c>
      <c r="AY41" t="s">
        <v>102</v>
      </c>
      <c r="AZ41" t="s">
        <v>103</v>
      </c>
      <c r="BA41" t="s">
        <v>133</v>
      </c>
      <c r="BB41" t="s">
        <v>78</v>
      </c>
      <c r="BC41" t="s">
        <v>78</v>
      </c>
      <c r="BD41" t="s">
        <v>442</v>
      </c>
      <c r="BE41">
        <v>0</v>
      </c>
      <c r="BF41">
        <v>0</v>
      </c>
      <c r="BG41">
        <v>0</v>
      </c>
      <c r="BH41">
        <v>0</v>
      </c>
      <c r="BJ41" t="s">
        <v>85</v>
      </c>
      <c r="BP41" t="s">
        <v>78</v>
      </c>
      <c r="BQ41" t="s">
        <v>78</v>
      </c>
      <c r="BR41" t="s">
        <v>78</v>
      </c>
    </row>
    <row r="42" customFormat="1" spans="1:70">
      <c r="A42" t="s">
        <v>443</v>
      </c>
      <c r="B42" t="s">
        <v>443</v>
      </c>
      <c r="C42" t="s">
        <v>444</v>
      </c>
      <c r="D42" t="s">
        <v>135</v>
      </c>
      <c r="E42">
        <v>1</v>
      </c>
      <c r="F42" t="s">
        <v>445</v>
      </c>
      <c r="G42" t="s">
        <v>446</v>
      </c>
      <c r="H42">
        <v>319</v>
      </c>
      <c r="I42">
        <v>319</v>
      </c>
      <c r="J42">
        <v>0</v>
      </c>
      <c r="K42">
        <v>0</v>
      </c>
      <c r="L42" t="s">
        <v>78</v>
      </c>
      <c r="M42" t="s">
        <v>78</v>
      </c>
      <c r="N42" t="s">
        <v>78</v>
      </c>
      <c r="O42">
        <v>0</v>
      </c>
      <c r="P42">
        <v>0</v>
      </c>
      <c r="Q42">
        <v>0</v>
      </c>
      <c r="R42" t="s">
        <v>79</v>
      </c>
      <c r="S42">
        <v>0</v>
      </c>
      <c r="T42" t="s">
        <v>80</v>
      </c>
      <c r="U42" t="s">
        <v>80</v>
      </c>
      <c r="V42" t="s">
        <v>447</v>
      </c>
      <c r="W42" t="s">
        <v>448</v>
      </c>
      <c r="X42" t="s">
        <v>449</v>
      </c>
      <c r="Y42" t="s">
        <v>450</v>
      </c>
      <c r="Z42" t="s">
        <v>80</v>
      </c>
      <c r="AA42" t="s">
        <v>85</v>
      </c>
      <c r="AC42" t="s">
        <v>451</v>
      </c>
      <c r="AD42" t="s">
        <v>202</v>
      </c>
      <c r="AE42" t="s">
        <v>452</v>
      </c>
      <c r="AG42" t="s">
        <v>453</v>
      </c>
      <c r="AH42" t="s">
        <v>91</v>
      </c>
      <c r="AI42" t="s">
        <v>216</v>
      </c>
      <c r="AJ42" t="s">
        <v>131</v>
      </c>
      <c r="AK42" t="s">
        <v>454</v>
      </c>
      <c r="AL42" t="s">
        <v>95</v>
      </c>
      <c r="AM42" t="s">
        <v>96</v>
      </c>
      <c r="AN42" t="s">
        <v>96</v>
      </c>
      <c r="AP42" t="s">
        <v>78</v>
      </c>
      <c r="AQ42" t="s">
        <v>99</v>
      </c>
      <c r="AS42" t="s">
        <v>78</v>
      </c>
      <c r="AT42" t="s">
        <v>100</v>
      </c>
      <c r="AU42" t="s">
        <v>100</v>
      </c>
      <c r="AW42" t="s">
        <v>85</v>
      </c>
      <c r="AX42" t="s">
        <v>101</v>
      </c>
      <c r="AY42" t="s">
        <v>102</v>
      </c>
      <c r="AZ42" t="s">
        <v>145</v>
      </c>
      <c r="BA42" t="s">
        <v>354</v>
      </c>
      <c r="BB42" t="s">
        <v>78</v>
      </c>
      <c r="BC42" t="s">
        <v>78</v>
      </c>
      <c r="BD42" t="s">
        <v>455</v>
      </c>
      <c r="BE42">
        <v>0</v>
      </c>
      <c r="BF42">
        <v>0</v>
      </c>
      <c r="BG42">
        <v>0</v>
      </c>
      <c r="BH42">
        <v>0</v>
      </c>
      <c r="BJ42" t="s">
        <v>85</v>
      </c>
      <c r="BP42" t="s">
        <v>78</v>
      </c>
      <c r="BQ42" t="s">
        <v>78</v>
      </c>
      <c r="BR42" t="s">
        <v>78</v>
      </c>
    </row>
    <row r="43" customFormat="1" spans="1:70">
      <c r="A43" t="s">
        <v>456</v>
      </c>
      <c r="B43" t="s">
        <v>456</v>
      </c>
      <c r="C43" t="s">
        <v>107</v>
      </c>
      <c r="D43" t="s">
        <v>108</v>
      </c>
      <c r="E43">
        <v>1</v>
      </c>
      <c r="F43" t="s">
        <v>109</v>
      </c>
      <c r="G43" t="s">
        <v>110</v>
      </c>
      <c r="H43">
        <v>289</v>
      </c>
      <c r="I43">
        <v>289</v>
      </c>
      <c r="J43">
        <v>0</v>
      </c>
      <c r="K43">
        <v>0</v>
      </c>
      <c r="L43" t="s">
        <v>78</v>
      </c>
      <c r="M43" t="s">
        <v>78</v>
      </c>
      <c r="N43" t="s">
        <v>78</v>
      </c>
      <c r="O43">
        <v>0</v>
      </c>
      <c r="P43">
        <v>0</v>
      </c>
      <c r="Q43">
        <v>0</v>
      </c>
      <c r="R43" t="s">
        <v>79</v>
      </c>
      <c r="S43">
        <v>0</v>
      </c>
      <c r="T43" t="s">
        <v>80</v>
      </c>
      <c r="U43" t="s">
        <v>80</v>
      </c>
      <c r="V43" t="s">
        <v>81</v>
      </c>
      <c r="W43" t="s">
        <v>457</v>
      </c>
      <c r="X43" t="s">
        <v>458</v>
      </c>
      <c r="Y43" t="s">
        <v>459</v>
      </c>
      <c r="Z43" t="s">
        <v>80</v>
      </c>
      <c r="AA43" t="s">
        <v>85</v>
      </c>
      <c r="AC43" t="s">
        <v>460</v>
      </c>
      <c r="AD43" t="s">
        <v>87</v>
      </c>
      <c r="AG43" t="s">
        <v>461</v>
      </c>
      <c r="AH43" t="s">
        <v>91</v>
      </c>
      <c r="AI43" t="s">
        <v>92</v>
      </c>
      <c r="AJ43" t="s">
        <v>131</v>
      </c>
      <c r="AK43" t="s">
        <v>462</v>
      </c>
      <c r="AL43" t="s">
        <v>95</v>
      </c>
      <c r="AM43" t="s">
        <v>96</v>
      </c>
      <c r="AN43" t="s">
        <v>97</v>
      </c>
      <c r="AO43" t="s">
        <v>98</v>
      </c>
      <c r="AP43" t="s">
        <v>78</v>
      </c>
      <c r="AQ43" t="s">
        <v>99</v>
      </c>
      <c r="AS43" t="s">
        <v>78</v>
      </c>
      <c r="AT43" t="s">
        <v>100</v>
      </c>
      <c r="AU43" t="s">
        <v>100</v>
      </c>
      <c r="AW43" t="s">
        <v>85</v>
      </c>
      <c r="AX43" t="s">
        <v>101</v>
      </c>
      <c r="AY43" t="s">
        <v>102</v>
      </c>
      <c r="AZ43" t="s">
        <v>103</v>
      </c>
      <c r="BA43" t="s">
        <v>133</v>
      </c>
      <c r="BB43" t="s">
        <v>78</v>
      </c>
      <c r="BC43" t="s">
        <v>78</v>
      </c>
      <c r="BE43">
        <v>0</v>
      </c>
      <c r="BF43">
        <v>0</v>
      </c>
      <c r="BG43">
        <v>0</v>
      </c>
      <c r="BH43">
        <v>0</v>
      </c>
      <c r="BJ43" t="s">
        <v>85</v>
      </c>
      <c r="BP43" t="s">
        <v>78</v>
      </c>
      <c r="BQ43" t="s">
        <v>78</v>
      </c>
      <c r="BR43" t="s">
        <v>78</v>
      </c>
    </row>
    <row r="44" customFormat="1" spans="1:70">
      <c r="A44" t="s">
        <v>463</v>
      </c>
      <c r="B44" t="s">
        <v>463</v>
      </c>
      <c r="C44" t="s">
        <v>107</v>
      </c>
      <c r="D44" t="s">
        <v>108</v>
      </c>
      <c r="E44">
        <v>1</v>
      </c>
      <c r="F44" t="s">
        <v>109</v>
      </c>
      <c r="G44" t="s">
        <v>110</v>
      </c>
      <c r="H44">
        <v>289</v>
      </c>
      <c r="I44">
        <v>289</v>
      </c>
      <c r="J44">
        <v>0</v>
      </c>
      <c r="K44">
        <v>0</v>
      </c>
      <c r="L44" t="s">
        <v>78</v>
      </c>
      <c r="M44" t="s">
        <v>78</v>
      </c>
      <c r="N44" t="s">
        <v>78</v>
      </c>
      <c r="O44">
        <v>0</v>
      </c>
      <c r="P44">
        <v>0</v>
      </c>
      <c r="Q44">
        <v>0</v>
      </c>
      <c r="R44" t="s">
        <v>125</v>
      </c>
      <c r="S44">
        <v>0</v>
      </c>
      <c r="T44" t="s">
        <v>80</v>
      </c>
      <c r="U44" t="s">
        <v>80</v>
      </c>
      <c r="V44" t="s">
        <v>464</v>
      </c>
      <c r="W44" t="s">
        <v>465</v>
      </c>
      <c r="X44" t="s">
        <v>466</v>
      </c>
      <c r="Y44" t="s">
        <v>467</v>
      </c>
      <c r="Z44" t="s">
        <v>80</v>
      </c>
      <c r="AA44" t="s">
        <v>85</v>
      </c>
      <c r="AC44" t="s">
        <v>468</v>
      </c>
      <c r="AD44" t="s">
        <v>202</v>
      </c>
      <c r="AE44" t="s">
        <v>469</v>
      </c>
      <c r="AG44" t="s">
        <v>470</v>
      </c>
      <c r="AH44" t="s">
        <v>91</v>
      </c>
      <c r="AI44" t="s">
        <v>92</v>
      </c>
      <c r="AJ44" t="s">
        <v>131</v>
      </c>
      <c r="AK44" t="s">
        <v>471</v>
      </c>
      <c r="AL44" t="s">
        <v>95</v>
      </c>
      <c r="AM44" t="s">
        <v>96</v>
      </c>
      <c r="AN44" t="s">
        <v>97</v>
      </c>
      <c r="AO44" t="s">
        <v>98</v>
      </c>
      <c r="AP44" t="s">
        <v>78</v>
      </c>
      <c r="AQ44" t="s">
        <v>99</v>
      </c>
      <c r="AS44" t="s">
        <v>78</v>
      </c>
      <c r="AT44" t="s">
        <v>100</v>
      </c>
      <c r="AU44" t="s">
        <v>100</v>
      </c>
      <c r="AW44" t="s">
        <v>85</v>
      </c>
      <c r="AX44" t="s">
        <v>101</v>
      </c>
      <c r="AY44" t="s">
        <v>102</v>
      </c>
      <c r="AZ44" t="s">
        <v>103</v>
      </c>
      <c r="BA44" t="s">
        <v>245</v>
      </c>
      <c r="BB44" t="s">
        <v>78</v>
      </c>
      <c r="BC44" t="s">
        <v>78</v>
      </c>
      <c r="BD44" t="s">
        <v>472</v>
      </c>
      <c r="BE44">
        <v>0</v>
      </c>
      <c r="BF44">
        <v>0</v>
      </c>
      <c r="BG44">
        <v>0</v>
      </c>
      <c r="BH44">
        <v>0</v>
      </c>
      <c r="BJ44" t="s">
        <v>85</v>
      </c>
      <c r="BP44" t="s">
        <v>78</v>
      </c>
      <c r="BQ44" t="s">
        <v>78</v>
      </c>
      <c r="BR44" t="s">
        <v>78</v>
      </c>
    </row>
    <row r="45" customFormat="1" spans="1:70">
      <c r="A45" t="s">
        <v>473</v>
      </c>
      <c r="B45" t="s">
        <v>473</v>
      </c>
      <c r="C45" t="s">
        <v>107</v>
      </c>
      <c r="D45" t="s">
        <v>123</v>
      </c>
      <c r="E45">
        <v>1</v>
      </c>
      <c r="F45" t="s">
        <v>109</v>
      </c>
      <c r="G45" t="s">
        <v>124</v>
      </c>
      <c r="H45">
        <v>289</v>
      </c>
      <c r="I45">
        <v>289</v>
      </c>
      <c r="J45">
        <v>0</v>
      </c>
      <c r="K45">
        <v>0</v>
      </c>
      <c r="L45" t="s">
        <v>78</v>
      </c>
      <c r="M45" t="s">
        <v>78</v>
      </c>
      <c r="N45" t="s">
        <v>78</v>
      </c>
      <c r="O45">
        <v>0</v>
      </c>
      <c r="P45">
        <v>0</v>
      </c>
      <c r="Q45">
        <v>0</v>
      </c>
      <c r="R45" t="s">
        <v>111</v>
      </c>
      <c r="S45">
        <v>0</v>
      </c>
      <c r="T45" t="s">
        <v>80</v>
      </c>
      <c r="U45" t="s">
        <v>80</v>
      </c>
      <c r="V45" t="s">
        <v>161</v>
      </c>
      <c r="W45" t="s">
        <v>161</v>
      </c>
      <c r="X45" t="s">
        <v>474</v>
      </c>
      <c r="Y45" t="s">
        <v>475</v>
      </c>
      <c r="Z45" t="s">
        <v>80</v>
      </c>
      <c r="AA45" t="s">
        <v>85</v>
      </c>
      <c r="AC45" t="s">
        <v>476</v>
      </c>
      <c r="AD45" t="s">
        <v>87</v>
      </c>
      <c r="AG45" t="s">
        <v>477</v>
      </c>
      <c r="AH45" t="s">
        <v>91</v>
      </c>
      <c r="AI45" t="s">
        <v>92</v>
      </c>
      <c r="AJ45" t="s">
        <v>131</v>
      </c>
      <c r="AK45" t="s">
        <v>478</v>
      </c>
      <c r="AL45" t="s">
        <v>95</v>
      </c>
      <c r="AM45" t="s">
        <v>96</v>
      </c>
      <c r="AN45" t="s">
        <v>97</v>
      </c>
      <c r="AO45" t="s">
        <v>98</v>
      </c>
      <c r="AP45" t="s">
        <v>78</v>
      </c>
      <c r="AQ45" t="s">
        <v>99</v>
      </c>
      <c r="AS45" t="s">
        <v>78</v>
      </c>
      <c r="AT45" t="s">
        <v>100</v>
      </c>
      <c r="AU45" t="s">
        <v>100</v>
      </c>
      <c r="AW45" t="s">
        <v>85</v>
      </c>
      <c r="AX45" t="s">
        <v>101</v>
      </c>
      <c r="AY45" t="s">
        <v>102</v>
      </c>
      <c r="AZ45" t="s">
        <v>103</v>
      </c>
      <c r="BA45" t="s">
        <v>133</v>
      </c>
      <c r="BB45" t="s">
        <v>78</v>
      </c>
      <c r="BC45" t="s">
        <v>78</v>
      </c>
      <c r="BE45">
        <v>0</v>
      </c>
      <c r="BF45">
        <v>0</v>
      </c>
      <c r="BG45">
        <v>0</v>
      </c>
      <c r="BH45">
        <v>0</v>
      </c>
      <c r="BJ45" t="s">
        <v>85</v>
      </c>
      <c r="BP45" t="s">
        <v>78</v>
      </c>
      <c r="BQ45" t="s">
        <v>78</v>
      </c>
      <c r="BR45" t="s">
        <v>78</v>
      </c>
    </row>
    <row r="46" customFormat="1" spans="1:70">
      <c r="A46" t="s">
        <v>479</v>
      </c>
      <c r="B46" t="s">
        <v>479</v>
      </c>
      <c r="C46" t="s">
        <v>107</v>
      </c>
      <c r="D46" t="s">
        <v>108</v>
      </c>
      <c r="E46">
        <v>1</v>
      </c>
      <c r="F46" t="s">
        <v>109</v>
      </c>
      <c r="G46" t="s">
        <v>110</v>
      </c>
      <c r="H46">
        <v>289</v>
      </c>
      <c r="I46">
        <v>274.3</v>
      </c>
      <c r="J46">
        <v>0</v>
      </c>
      <c r="K46">
        <v>14.7</v>
      </c>
      <c r="L46" t="s">
        <v>480</v>
      </c>
      <c r="M46" t="s">
        <v>78</v>
      </c>
      <c r="N46" t="s">
        <v>78</v>
      </c>
      <c r="O46">
        <v>0</v>
      </c>
      <c r="P46">
        <v>0</v>
      </c>
      <c r="Q46">
        <v>0</v>
      </c>
      <c r="R46" t="s">
        <v>79</v>
      </c>
      <c r="S46">
        <v>0</v>
      </c>
      <c r="T46" t="s">
        <v>80</v>
      </c>
      <c r="U46" t="s">
        <v>80</v>
      </c>
      <c r="V46" t="s">
        <v>81</v>
      </c>
      <c r="W46" t="s">
        <v>481</v>
      </c>
      <c r="X46" t="s">
        <v>482</v>
      </c>
      <c r="Y46" t="s">
        <v>483</v>
      </c>
      <c r="Z46" t="s">
        <v>80</v>
      </c>
      <c r="AA46" t="s">
        <v>85</v>
      </c>
      <c r="AC46" t="s">
        <v>484</v>
      </c>
      <c r="AD46" t="s">
        <v>87</v>
      </c>
      <c r="AF46" t="s">
        <v>364</v>
      </c>
      <c r="AG46" t="s">
        <v>485</v>
      </c>
      <c r="AH46" t="s">
        <v>91</v>
      </c>
      <c r="AI46" t="s">
        <v>92</v>
      </c>
      <c r="AJ46" t="s">
        <v>93</v>
      </c>
      <c r="AK46" t="s">
        <v>486</v>
      </c>
      <c r="AL46" t="s">
        <v>95</v>
      </c>
      <c r="AM46" t="s">
        <v>96</v>
      </c>
      <c r="AN46" t="s">
        <v>97</v>
      </c>
      <c r="AO46" t="s">
        <v>98</v>
      </c>
      <c r="AP46" t="s">
        <v>78</v>
      </c>
      <c r="AQ46" t="s">
        <v>78</v>
      </c>
      <c r="AS46" t="s">
        <v>78</v>
      </c>
      <c r="AT46" t="s">
        <v>100</v>
      </c>
      <c r="AU46" t="s">
        <v>100</v>
      </c>
      <c r="AW46" t="s">
        <v>85</v>
      </c>
      <c r="AX46" t="s">
        <v>101</v>
      </c>
      <c r="AY46" t="s">
        <v>102</v>
      </c>
      <c r="AZ46" t="s">
        <v>103</v>
      </c>
      <c r="BA46" t="s">
        <v>133</v>
      </c>
      <c r="BB46" t="s">
        <v>78</v>
      </c>
      <c r="BC46" t="s">
        <v>78</v>
      </c>
      <c r="BD46" t="s">
        <v>367</v>
      </c>
      <c r="BE46">
        <v>0</v>
      </c>
      <c r="BF46">
        <v>14.7</v>
      </c>
      <c r="BG46">
        <v>0</v>
      </c>
      <c r="BH46">
        <v>0</v>
      </c>
      <c r="BJ46" t="s">
        <v>85</v>
      </c>
      <c r="BP46" t="s">
        <v>78</v>
      </c>
      <c r="BQ46" t="s">
        <v>78</v>
      </c>
      <c r="BR46" t="s">
        <v>78</v>
      </c>
    </row>
    <row r="47" customFormat="1" spans="1:70">
      <c r="A47" t="s">
        <v>487</v>
      </c>
      <c r="B47" t="s">
        <v>487</v>
      </c>
      <c r="C47" t="s">
        <v>107</v>
      </c>
      <c r="D47" t="s">
        <v>108</v>
      </c>
      <c r="E47">
        <v>1</v>
      </c>
      <c r="F47" t="s">
        <v>109</v>
      </c>
      <c r="G47" t="s">
        <v>110</v>
      </c>
      <c r="H47">
        <v>289</v>
      </c>
      <c r="I47">
        <v>261</v>
      </c>
      <c r="J47">
        <v>0</v>
      </c>
      <c r="K47">
        <v>28</v>
      </c>
      <c r="L47" t="s">
        <v>488</v>
      </c>
      <c r="M47" t="s">
        <v>78</v>
      </c>
      <c r="N47" t="s">
        <v>78</v>
      </c>
      <c r="O47">
        <v>0</v>
      </c>
      <c r="P47">
        <v>0</v>
      </c>
      <c r="Q47">
        <v>0</v>
      </c>
      <c r="R47" t="s">
        <v>79</v>
      </c>
      <c r="S47">
        <v>0</v>
      </c>
      <c r="T47" t="s">
        <v>80</v>
      </c>
      <c r="U47" t="s">
        <v>80</v>
      </c>
      <c r="V47" t="s">
        <v>257</v>
      </c>
      <c r="W47" t="s">
        <v>257</v>
      </c>
      <c r="X47" t="s">
        <v>489</v>
      </c>
      <c r="Y47" t="s">
        <v>490</v>
      </c>
      <c r="Z47" t="s">
        <v>80</v>
      </c>
      <c r="AA47" t="s">
        <v>85</v>
      </c>
      <c r="AC47" t="s">
        <v>491</v>
      </c>
      <c r="AD47" t="s">
        <v>87</v>
      </c>
      <c r="AG47" t="s">
        <v>492</v>
      </c>
      <c r="AH47" t="s">
        <v>91</v>
      </c>
      <c r="AI47" t="s">
        <v>216</v>
      </c>
      <c r="AJ47" t="s">
        <v>131</v>
      </c>
      <c r="AK47" t="s">
        <v>493</v>
      </c>
      <c r="AL47" t="s">
        <v>95</v>
      </c>
      <c r="AM47" t="s">
        <v>96</v>
      </c>
      <c r="AN47" t="s">
        <v>96</v>
      </c>
      <c r="AP47" t="s">
        <v>78</v>
      </c>
      <c r="AQ47" t="s">
        <v>99</v>
      </c>
      <c r="AS47" t="s">
        <v>78</v>
      </c>
      <c r="AT47" t="s">
        <v>100</v>
      </c>
      <c r="AU47" t="s">
        <v>100</v>
      </c>
      <c r="AW47" t="s">
        <v>85</v>
      </c>
      <c r="AX47" t="s">
        <v>101</v>
      </c>
      <c r="AY47" t="s">
        <v>102</v>
      </c>
      <c r="AZ47" t="s">
        <v>145</v>
      </c>
      <c r="BA47" t="s">
        <v>102</v>
      </c>
      <c r="BB47" t="s">
        <v>78</v>
      </c>
      <c r="BC47" t="s">
        <v>78</v>
      </c>
      <c r="BE47">
        <v>0</v>
      </c>
      <c r="BF47">
        <v>28</v>
      </c>
      <c r="BG47">
        <v>0</v>
      </c>
      <c r="BH47">
        <v>0</v>
      </c>
      <c r="BJ47" t="s">
        <v>85</v>
      </c>
      <c r="BP47" t="s">
        <v>78</v>
      </c>
      <c r="BQ47" t="s">
        <v>78</v>
      </c>
      <c r="BR47" t="s">
        <v>78</v>
      </c>
    </row>
    <row r="48" customFormat="1" spans="1:70">
      <c r="A48" t="s">
        <v>494</v>
      </c>
      <c r="B48" t="s">
        <v>494</v>
      </c>
      <c r="C48" t="s">
        <v>107</v>
      </c>
      <c r="D48" t="s">
        <v>108</v>
      </c>
      <c r="E48">
        <v>1</v>
      </c>
      <c r="F48" t="s">
        <v>109</v>
      </c>
      <c r="G48" t="s">
        <v>110</v>
      </c>
      <c r="H48">
        <v>289</v>
      </c>
      <c r="I48">
        <v>269</v>
      </c>
      <c r="J48">
        <v>0</v>
      </c>
      <c r="K48">
        <v>20</v>
      </c>
      <c r="L48" t="s">
        <v>495</v>
      </c>
      <c r="M48" t="s">
        <v>78</v>
      </c>
      <c r="N48" t="s">
        <v>78</v>
      </c>
      <c r="O48">
        <v>0</v>
      </c>
      <c r="P48">
        <v>0</v>
      </c>
      <c r="Q48">
        <v>0</v>
      </c>
      <c r="R48" t="s">
        <v>79</v>
      </c>
      <c r="S48">
        <v>0</v>
      </c>
      <c r="T48" t="s">
        <v>80</v>
      </c>
      <c r="U48" t="s">
        <v>80</v>
      </c>
      <c r="V48" t="s">
        <v>257</v>
      </c>
      <c r="W48" t="s">
        <v>257</v>
      </c>
      <c r="X48" t="s">
        <v>489</v>
      </c>
      <c r="Y48" t="s">
        <v>490</v>
      </c>
      <c r="Z48" t="s">
        <v>80</v>
      </c>
      <c r="AA48" t="s">
        <v>85</v>
      </c>
      <c r="AC48" t="s">
        <v>496</v>
      </c>
      <c r="AD48" t="s">
        <v>87</v>
      </c>
      <c r="AG48" t="s">
        <v>497</v>
      </c>
      <c r="AH48" t="s">
        <v>91</v>
      </c>
      <c r="AI48" t="s">
        <v>216</v>
      </c>
      <c r="AJ48" t="s">
        <v>131</v>
      </c>
      <c r="AK48" t="s">
        <v>498</v>
      </c>
      <c r="AL48" t="s">
        <v>95</v>
      </c>
      <c r="AM48" t="s">
        <v>96</v>
      </c>
      <c r="AN48" t="s">
        <v>96</v>
      </c>
      <c r="AP48" t="s">
        <v>78</v>
      </c>
      <c r="AQ48" t="s">
        <v>99</v>
      </c>
      <c r="AS48" t="s">
        <v>78</v>
      </c>
      <c r="AT48" t="s">
        <v>100</v>
      </c>
      <c r="AU48" t="s">
        <v>100</v>
      </c>
      <c r="AW48" t="s">
        <v>85</v>
      </c>
      <c r="AX48" t="s">
        <v>101</v>
      </c>
      <c r="AY48" t="s">
        <v>102</v>
      </c>
      <c r="AZ48" t="s">
        <v>145</v>
      </c>
      <c r="BA48" t="s">
        <v>102</v>
      </c>
      <c r="BB48" t="s">
        <v>78</v>
      </c>
      <c r="BC48" t="s">
        <v>78</v>
      </c>
      <c r="BE48">
        <v>0</v>
      </c>
      <c r="BF48">
        <v>20</v>
      </c>
      <c r="BG48">
        <v>0</v>
      </c>
      <c r="BH48">
        <v>0</v>
      </c>
      <c r="BJ48" t="s">
        <v>85</v>
      </c>
      <c r="BP48" t="s">
        <v>78</v>
      </c>
      <c r="BQ48" t="s">
        <v>78</v>
      </c>
      <c r="BR48" t="s">
        <v>78</v>
      </c>
    </row>
    <row r="49" customFormat="1" spans="1:70">
      <c r="A49" t="s">
        <v>499</v>
      </c>
      <c r="B49" t="s">
        <v>499</v>
      </c>
      <c r="C49" t="s">
        <v>107</v>
      </c>
      <c r="D49" t="s">
        <v>108</v>
      </c>
      <c r="E49">
        <v>1</v>
      </c>
      <c r="F49" t="s">
        <v>109</v>
      </c>
      <c r="G49" t="s">
        <v>110</v>
      </c>
      <c r="H49">
        <v>289</v>
      </c>
      <c r="I49">
        <v>289</v>
      </c>
      <c r="J49">
        <v>0</v>
      </c>
      <c r="K49">
        <v>0</v>
      </c>
      <c r="L49" t="s">
        <v>78</v>
      </c>
      <c r="M49" t="s">
        <v>78</v>
      </c>
      <c r="N49" t="s">
        <v>78</v>
      </c>
      <c r="O49">
        <v>0</v>
      </c>
      <c r="P49">
        <v>0</v>
      </c>
      <c r="Q49">
        <v>0</v>
      </c>
      <c r="R49" t="s">
        <v>125</v>
      </c>
      <c r="S49">
        <v>0</v>
      </c>
      <c r="T49" t="s">
        <v>80</v>
      </c>
      <c r="U49" t="s">
        <v>80</v>
      </c>
      <c r="V49" t="s">
        <v>500</v>
      </c>
      <c r="W49" t="s">
        <v>501</v>
      </c>
      <c r="X49" t="s">
        <v>502</v>
      </c>
      <c r="Y49" t="s">
        <v>503</v>
      </c>
      <c r="Z49" t="s">
        <v>80</v>
      </c>
      <c r="AA49" t="s">
        <v>504</v>
      </c>
      <c r="AC49" t="s">
        <v>505</v>
      </c>
      <c r="AD49" t="s">
        <v>87</v>
      </c>
      <c r="AG49" t="s">
        <v>506</v>
      </c>
      <c r="AH49" t="s">
        <v>91</v>
      </c>
      <c r="AI49" t="s">
        <v>216</v>
      </c>
      <c r="AJ49" t="s">
        <v>131</v>
      </c>
      <c r="AK49" t="s">
        <v>507</v>
      </c>
      <c r="AL49" t="s">
        <v>95</v>
      </c>
      <c r="AM49" t="s">
        <v>96</v>
      </c>
      <c r="AN49" t="s">
        <v>96</v>
      </c>
      <c r="AP49" t="s">
        <v>78</v>
      </c>
      <c r="AQ49" t="s">
        <v>99</v>
      </c>
      <c r="AS49" t="s">
        <v>78</v>
      </c>
      <c r="AT49" t="s">
        <v>100</v>
      </c>
      <c r="AU49" t="s">
        <v>100</v>
      </c>
      <c r="AW49" t="s">
        <v>85</v>
      </c>
      <c r="AX49" t="s">
        <v>101</v>
      </c>
      <c r="AY49" t="s">
        <v>102</v>
      </c>
      <c r="AZ49" t="s">
        <v>145</v>
      </c>
      <c r="BA49" t="s">
        <v>354</v>
      </c>
      <c r="BB49" t="s">
        <v>78</v>
      </c>
      <c r="BC49" t="s">
        <v>78</v>
      </c>
      <c r="BE49">
        <v>0</v>
      </c>
      <c r="BF49">
        <v>0</v>
      </c>
      <c r="BG49">
        <v>0</v>
      </c>
      <c r="BH49">
        <v>0</v>
      </c>
      <c r="BJ49" t="s">
        <v>85</v>
      </c>
      <c r="BP49" t="s">
        <v>78</v>
      </c>
      <c r="BQ49" t="s">
        <v>78</v>
      </c>
      <c r="BR49" t="s">
        <v>78</v>
      </c>
    </row>
    <row r="50" customFormat="1" spans="1:70">
      <c r="A50" t="s">
        <v>508</v>
      </c>
      <c r="B50" t="s">
        <v>508</v>
      </c>
      <c r="C50" t="s">
        <v>107</v>
      </c>
      <c r="D50" t="s">
        <v>108</v>
      </c>
      <c r="E50">
        <v>1</v>
      </c>
      <c r="F50" t="s">
        <v>109</v>
      </c>
      <c r="G50" t="s">
        <v>110</v>
      </c>
      <c r="H50">
        <v>289</v>
      </c>
      <c r="I50">
        <v>289</v>
      </c>
      <c r="J50">
        <v>0</v>
      </c>
      <c r="K50">
        <v>0</v>
      </c>
      <c r="L50" t="s">
        <v>78</v>
      </c>
      <c r="M50" t="s">
        <v>78</v>
      </c>
      <c r="N50" t="s">
        <v>78</v>
      </c>
      <c r="O50">
        <v>0</v>
      </c>
      <c r="P50">
        <v>0</v>
      </c>
      <c r="Q50">
        <v>0</v>
      </c>
      <c r="R50" t="s">
        <v>125</v>
      </c>
      <c r="S50">
        <v>0</v>
      </c>
      <c r="T50" t="s">
        <v>80</v>
      </c>
      <c r="U50" t="s">
        <v>80</v>
      </c>
      <c r="V50" t="s">
        <v>509</v>
      </c>
      <c r="W50" t="s">
        <v>510</v>
      </c>
      <c r="X50" t="s">
        <v>511</v>
      </c>
      <c r="Y50" t="s">
        <v>512</v>
      </c>
      <c r="Z50" t="s">
        <v>80</v>
      </c>
      <c r="AA50" t="s">
        <v>85</v>
      </c>
      <c r="AC50" t="s">
        <v>513</v>
      </c>
      <c r="AD50" t="s">
        <v>87</v>
      </c>
      <c r="AG50" t="s">
        <v>514</v>
      </c>
      <c r="AH50" t="s">
        <v>91</v>
      </c>
      <c r="AI50" t="s">
        <v>92</v>
      </c>
      <c r="AJ50" t="s">
        <v>131</v>
      </c>
      <c r="AK50" t="s">
        <v>515</v>
      </c>
      <c r="AL50" t="s">
        <v>95</v>
      </c>
      <c r="AM50" t="s">
        <v>96</v>
      </c>
      <c r="AN50" t="s">
        <v>97</v>
      </c>
      <c r="AO50" t="s">
        <v>98</v>
      </c>
      <c r="AP50" t="s">
        <v>78</v>
      </c>
      <c r="AQ50" t="s">
        <v>99</v>
      </c>
      <c r="AS50" t="s">
        <v>78</v>
      </c>
      <c r="AT50" t="s">
        <v>100</v>
      </c>
      <c r="AU50" t="s">
        <v>100</v>
      </c>
      <c r="AW50" t="s">
        <v>85</v>
      </c>
      <c r="AX50" t="s">
        <v>101</v>
      </c>
      <c r="AY50" t="s">
        <v>102</v>
      </c>
      <c r="AZ50" t="s">
        <v>145</v>
      </c>
      <c r="BA50" t="s">
        <v>146</v>
      </c>
      <c r="BB50" t="s">
        <v>78</v>
      </c>
      <c r="BC50" t="s">
        <v>78</v>
      </c>
      <c r="BE50">
        <v>0</v>
      </c>
      <c r="BF50">
        <v>0</v>
      </c>
      <c r="BG50">
        <v>0</v>
      </c>
      <c r="BH50">
        <v>0</v>
      </c>
      <c r="BJ50" t="s">
        <v>85</v>
      </c>
      <c r="BP50" t="s">
        <v>78</v>
      </c>
      <c r="BQ50" t="s">
        <v>78</v>
      </c>
      <c r="BR50" t="s">
        <v>78</v>
      </c>
    </row>
    <row r="51" customFormat="1" spans="1:70">
      <c r="A51" t="s">
        <v>516</v>
      </c>
      <c r="B51" t="s">
        <v>516</v>
      </c>
      <c r="C51" t="s">
        <v>107</v>
      </c>
      <c r="D51" t="s">
        <v>123</v>
      </c>
      <c r="E51">
        <v>1</v>
      </c>
      <c r="F51" t="s">
        <v>109</v>
      </c>
      <c r="G51" t="s">
        <v>124</v>
      </c>
      <c r="H51">
        <v>289</v>
      </c>
      <c r="I51">
        <v>265.32</v>
      </c>
      <c r="J51">
        <v>0</v>
      </c>
      <c r="K51">
        <v>23.68</v>
      </c>
      <c r="L51" t="s">
        <v>517</v>
      </c>
      <c r="M51" t="s">
        <v>78</v>
      </c>
      <c r="N51" t="s">
        <v>78</v>
      </c>
      <c r="O51">
        <v>0</v>
      </c>
      <c r="P51">
        <v>0</v>
      </c>
      <c r="Q51">
        <v>0</v>
      </c>
      <c r="R51" t="s">
        <v>79</v>
      </c>
      <c r="S51">
        <v>0</v>
      </c>
      <c r="T51" t="s">
        <v>80</v>
      </c>
      <c r="U51" t="s">
        <v>80</v>
      </c>
      <c r="V51" t="s">
        <v>126</v>
      </c>
      <c r="W51" t="s">
        <v>518</v>
      </c>
      <c r="X51" t="s">
        <v>519</v>
      </c>
      <c r="Y51" t="s">
        <v>520</v>
      </c>
      <c r="Z51" t="s">
        <v>80</v>
      </c>
      <c r="AA51" t="s">
        <v>85</v>
      </c>
      <c r="AC51" t="s">
        <v>521</v>
      </c>
      <c r="AD51" t="s">
        <v>202</v>
      </c>
      <c r="AE51" t="s">
        <v>522</v>
      </c>
      <c r="AG51" t="s">
        <v>523</v>
      </c>
      <c r="AH51" t="s">
        <v>91</v>
      </c>
      <c r="AI51" t="s">
        <v>216</v>
      </c>
      <c r="AJ51" t="s">
        <v>131</v>
      </c>
      <c r="AK51" t="s">
        <v>524</v>
      </c>
      <c r="AL51" t="s">
        <v>95</v>
      </c>
      <c r="AM51" t="s">
        <v>96</v>
      </c>
      <c r="AN51" t="s">
        <v>96</v>
      </c>
      <c r="AP51" t="s">
        <v>78</v>
      </c>
      <c r="AQ51" t="s">
        <v>99</v>
      </c>
      <c r="AS51" t="s">
        <v>78</v>
      </c>
      <c r="AT51" t="s">
        <v>100</v>
      </c>
      <c r="AU51" t="s">
        <v>100</v>
      </c>
      <c r="AW51" t="s">
        <v>85</v>
      </c>
      <c r="AX51" t="s">
        <v>101</v>
      </c>
      <c r="AY51" t="s">
        <v>102</v>
      </c>
      <c r="AZ51" t="s">
        <v>145</v>
      </c>
      <c r="BA51" t="s">
        <v>525</v>
      </c>
      <c r="BB51" t="s">
        <v>78</v>
      </c>
      <c r="BC51" t="s">
        <v>78</v>
      </c>
      <c r="BE51">
        <v>0</v>
      </c>
      <c r="BF51">
        <v>23.68</v>
      </c>
      <c r="BG51">
        <v>0</v>
      </c>
      <c r="BH51">
        <v>0</v>
      </c>
      <c r="BJ51" t="s">
        <v>85</v>
      </c>
      <c r="BP51" t="s">
        <v>78</v>
      </c>
      <c r="BQ51" t="s">
        <v>78</v>
      </c>
      <c r="BR51" t="s">
        <v>78</v>
      </c>
    </row>
    <row r="52" customFormat="1" spans="1:70">
      <c r="A52" t="s">
        <v>516</v>
      </c>
      <c r="B52" t="s">
        <v>526</v>
      </c>
      <c r="C52" t="s">
        <v>527</v>
      </c>
      <c r="D52" t="s">
        <v>123</v>
      </c>
      <c r="E52">
        <v>1</v>
      </c>
      <c r="F52" t="s">
        <v>528</v>
      </c>
      <c r="G52" t="s">
        <v>529</v>
      </c>
      <c r="H52">
        <v>199</v>
      </c>
      <c r="I52">
        <v>182.68</v>
      </c>
      <c r="J52">
        <v>0</v>
      </c>
      <c r="K52">
        <v>16.32</v>
      </c>
      <c r="L52" t="s">
        <v>530</v>
      </c>
      <c r="M52" t="s">
        <v>78</v>
      </c>
      <c r="N52" t="s">
        <v>78</v>
      </c>
      <c r="O52">
        <v>0</v>
      </c>
      <c r="P52">
        <v>0</v>
      </c>
      <c r="Q52">
        <v>0</v>
      </c>
      <c r="R52" t="s">
        <v>79</v>
      </c>
      <c r="S52">
        <v>0</v>
      </c>
      <c r="T52" t="s">
        <v>80</v>
      </c>
      <c r="U52" t="s">
        <v>80</v>
      </c>
      <c r="V52" t="s">
        <v>126</v>
      </c>
      <c r="W52" t="s">
        <v>518</v>
      </c>
      <c r="X52" t="s">
        <v>519</v>
      </c>
      <c r="Y52" t="s">
        <v>520</v>
      </c>
      <c r="Z52" t="s">
        <v>80</v>
      </c>
      <c r="AA52" t="s">
        <v>85</v>
      </c>
      <c r="AC52" t="s">
        <v>521</v>
      </c>
      <c r="AD52" t="s">
        <v>202</v>
      </c>
      <c r="AE52" t="s">
        <v>522</v>
      </c>
      <c r="AG52" t="s">
        <v>523</v>
      </c>
      <c r="AH52" t="s">
        <v>91</v>
      </c>
      <c r="AI52" t="s">
        <v>216</v>
      </c>
      <c r="AJ52" t="s">
        <v>131</v>
      </c>
      <c r="AK52" t="s">
        <v>524</v>
      </c>
      <c r="AL52" t="s">
        <v>95</v>
      </c>
      <c r="AM52" t="s">
        <v>96</v>
      </c>
      <c r="AN52" t="s">
        <v>96</v>
      </c>
      <c r="AP52" t="s">
        <v>78</v>
      </c>
      <c r="AQ52" t="s">
        <v>99</v>
      </c>
      <c r="AS52" t="s">
        <v>78</v>
      </c>
      <c r="AT52" t="s">
        <v>100</v>
      </c>
      <c r="AU52" t="s">
        <v>100</v>
      </c>
      <c r="AW52" t="s">
        <v>85</v>
      </c>
      <c r="AX52" t="s">
        <v>101</v>
      </c>
      <c r="AY52" t="s">
        <v>102</v>
      </c>
      <c r="AZ52" t="s">
        <v>145</v>
      </c>
      <c r="BA52" t="s">
        <v>525</v>
      </c>
      <c r="BB52" t="s">
        <v>78</v>
      </c>
      <c r="BC52" t="s">
        <v>78</v>
      </c>
      <c r="BD52" t="s">
        <v>531</v>
      </c>
      <c r="BE52">
        <v>0</v>
      </c>
      <c r="BF52">
        <v>16.32</v>
      </c>
      <c r="BG52">
        <v>0</v>
      </c>
      <c r="BH52">
        <v>0</v>
      </c>
      <c r="BJ52" t="s">
        <v>85</v>
      </c>
      <c r="BP52" t="s">
        <v>78</v>
      </c>
      <c r="BQ52" t="s">
        <v>78</v>
      </c>
      <c r="BR52" t="s">
        <v>78</v>
      </c>
    </row>
    <row r="53" customFormat="1" spans="1:70">
      <c r="A53" t="s">
        <v>532</v>
      </c>
      <c r="B53" t="s">
        <v>532</v>
      </c>
      <c r="C53" t="s">
        <v>527</v>
      </c>
      <c r="D53" t="s">
        <v>123</v>
      </c>
      <c r="E53">
        <v>1</v>
      </c>
      <c r="F53" t="s">
        <v>528</v>
      </c>
      <c r="G53" t="s">
        <v>529</v>
      </c>
      <c r="H53">
        <v>199</v>
      </c>
      <c r="I53">
        <v>182.69</v>
      </c>
      <c r="J53">
        <v>0</v>
      </c>
      <c r="K53">
        <v>16.31</v>
      </c>
      <c r="L53" t="s">
        <v>533</v>
      </c>
      <c r="M53" t="s">
        <v>78</v>
      </c>
      <c r="N53" t="s">
        <v>78</v>
      </c>
      <c r="O53">
        <v>0</v>
      </c>
      <c r="P53">
        <v>0</v>
      </c>
      <c r="Q53">
        <v>0</v>
      </c>
      <c r="R53" t="s">
        <v>79</v>
      </c>
      <c r="S53">
        <v>0</v>
      </c>
      <c r="T53" t="s">
        <v>80</v>
      </c>
      <c r="U53" t="s">
        <v>80</v>
      </c>
      <c r="V53" t="s">
        <v>126</v>
      </c>
      <c r="W53" t="s">
        <v>518</v>
      </c>
      <c r="X53" t="s">
        <v>519</v>
      </c>
      <c r="Y53" t="s">
        <v>520</v>
      </c>
      <c r="Z53" t="s">
        <v>80</v>
      </c>
      <c r="AA53" t="s">
        <v>85</v>
      </c>
      <c r="AC53" t="s">
        <v>534</v>
      </c>
      <c r="AD53" t="s">
        <v>87</v>
      </c>
      <c r="AH53" t="s">
        <v>91</v>
      </c>
      <c r="AI53" t="s">
        <v>92</v>
      </c>
      <c r="AJ53" t="s">
        <v>131</v>
      </c>
      <c r="AK53" t="s">
        <v>535</v>
      </c>
      <c r="AL53" t="s">
        <v>95</v>
      </c>
      <c r="AM53" t="s">
        <v>96</v>
      </c>
      <c r="AN53" t="s">
        <v>97</v>
      </c>
      <c r="AO53" t="s">
        <v>98</v>
      </c>
      <c r="AP53" t="s">
        <v>78</v>
      </c>
      <c r="AQ53" t="s">
        <v>78</v>
      </c>
      <c r="AR53" t="s">
        <v>536</v>
      </c>
      <c r="AS53" t="s">
        <v>78</v>
      </c>
      <c r="AT53" t="s">
        <v>100</v>
      </c>
      <c r="AU53" t="s">
        <v>100</v>
      </c>
      <c r="AW53" t="s">
        <v>85</v>
      </c>
      <c r="AX53" t="s">
        <v>101</v>
      </c>
      <c r="AY53" t="s">
        <v>102</v>
      </c>
      <c r="AZ53" t="s">
        <v>103</v>
      </c>
      <c r="BA53" t="s">
        <v>133</v>
      </c>
      <c r="BB53" t="s">
        <v>78</v>
      </c>
      <c r="BC53" t="s">
        <v>78</v>
      </c>
      <c r="BE53">
        <v>0</v>
      </c>
      <c r="BF53">
        <v>16.31</v>
      </c>
      <c r="BG53">
        <v>0</v>
      </c>
      <c r="BH53">
        <v>0</v>
      </c>
      <c r="BJ53" t="s">
        <v>85</v>
      </c>
      <c r="BP53" t="s">
        <v>78</v>
      </c>
      <c r="BQ53" t="s">
        <v>78</v>
      </c>
      <c r="BR53" t="s">
        <v>78</v>
      </c>
    </row>
    <row r="54" customFormat="1" spans="1:70">
      <c r="A54" t="s">
        <v>532</v>
      </c>
      <c r="B54" t="s">
        <v>537</v>
      </c>
      <c r="C54" t="s">
        <v>107</v>
      </c>
      <c r="D54" t="s">
        <v>123</v>
      </c>
      <c r="E54">
        <v>1</v>
      </c>
      <c r="F54" t="s">
        <v>109</v>
      </c>
      <c r="G54" t="s">
        <v>124</v>
      </c>
      <c r="H54">
        <v>289</v>
      </c>
      <c r="I54">
        <v>265.31</v>
      </c>
      <c r="J54">
        <v>0</v>
      </c>
      <c r="K54">
        <v>23.69</v>
      </c>
      <c r="L54" t="s">
        <v>538</v>
      </c>
      <c r="M54" t="s">
        <v>78</v>
      </c>
      <c r="N54" t="s">
        <v>78</v>
      </c>
      <c r="O54">
        <v>0</v>
      </c>
      <c r="P54">
        <v>0</v>
      </c>
      <c r="Q54">
        <v>0</v>
      </c>
      <c r="R54" t="s">
        <v>79</v>
      </c>
      <c r="S54">
        <v>0</v>
      </c>
      <c r="T54" t="s">
        <v>80</v>
      </c>
      <c r="U54" t="s">
        <v>80</v>
      </c>
      <c r="V54" t="s">
        <v>126</v>
      </c>
      <c r="W54" t="s">
        <v>518</v>
      </c>
      <c r="X54" t="s">
        <v>519</v>
      </c>
      <c r="Y54" t="s">
        <v>520</v>
      </c>
      <c r="Z54" t="s">
        <v>80</v>
      </c>
      <c r="AA54" t="s">
        <v>85</v>
      </c>
      <c r="AC54" t="s">
        <v>534</v>
      </c>
      <c r="AD54" t="s">
        <v>87</v>
      </c>
      <c r="AH54" t="s">
        <v>91</v>
      </c>
      <c r="AI54" t="s">
        <v>92</v>
      </c>
      <c r="AJ54" t="s">
        <v>131</v>
      </c>
      <c r="AK54" t="s">
        <v>535</v>
      </c>
      <c r="AL54" t="s">
        <v>95</v>
      </c>
      <c r="AM54" t="s">
        <v>96</v>
      </c>
      <c r="AN54" t="s">
        <v>97</v>
      </c>
      <c r="AO54" t="s">
        <v>98</v>
      </c>
      <c r="AP54" t="s">
        <v>78</v>
      </c>
      <c r="AQ54" t="s">
        <v>78</v>
      </c>
      <c r="AR54" t="s">
        <v>536</v>
      </c>
      <c r="AS54" t="s">
        <v>78</v>
      </c>
      <c r="AT54" t="s">
        <v>100</v>
      </c>
      <c r="AU54" t="s">
        <v>100</v>
      </c>
      <c r="AW54" t="s">
        <v>85</v>
      </c>
      <c r="AX54" t="s">
        <v>101</v>
      </c>
      <c r="AY54" t="s">
        <v>102</v>
      </c>
      <c r="AZ54" t="s">
        <v>103</v>
      </c>
      <c r="BA54" t="s">
        <v>133</v>
      </c>
      <c r="BB54" t="s">
        <v>78</v>
      </c>
      <c r="BC54" t="s">
        <v>78</v>
      </c>
      <c r="BE54">
        <v>0</v>
      </c>
      <c r="BF54">
        <v>23.69</v>
      </c>
      <c r="BG54">
        <v>0</v>
      </c>
      <c r="BH54">
        <v>0</v>
      </c>
      <c r="BJ54" t="s">
        <v>85</v>
      </c>
      <c r="BP54" t="s">
        <v>78</v>
      </c>
      <c r="BQ54" t="s">
        <v>78</v>
      </c>
      <c r="BR54" t="s">
        <v>78</v>
      </c>
    </row>
    <row r="55" customFormat="1" spans="1:70">
      <c r="A55" t="s">
        <v>539</v>
      </c>
      <c r="B55" t="s">
        <v>539</v>
      </c>
      <c r="C55" t="s">
        <v>527</v>
      </c>
      <c r="D55" t="s">
        <v>135</v>
      </c>
      <c r="E55">
        <v>1</v>
      </c>
      <c r="F55" t="s">
        <v>528</v>
      </c>
      <c r="G55" t="s">
        <v>540</v>
      </c>
      <c r="H55">
        <v>199</v>
      </c>
      <c r="I55">
        <v>184.73</v>
      </c>
      <c r="J55">
        <v>0</v>
      </c>
      <c r="K55">
        <v>14.78</v>
      </c>
      <c r="L55" t="s">
        <v>541</v>
      </c>
      <c r="M55" t="s">
        <v>78</v>
      </c>
      <c r="N55" t="s">
        <v>78</v>
      </c>
      <c r="O55">
        <v>0</v>
      </c>
      <c r="P55">
        <v>0.51</v>
      </c>
      <c r="Q55">
        <v>0</v>
      </c>
      <c r="R55" t="s">
        <v>125</v>
      </c>
      <c r="S55">
        <v>0</v>
      </c>
      <c r="T55" t="s">
        <v>80</v>
      </c>
      <c r="U55" t="s">
        <v>80</v>
      </c>
      <c r="V55" t="s">
        <v>464</v>
      </c>
      <c r="W55" t="s">
        <v>542</v>
      </c>
      <c r="X55" t="s">
        <v>543</v>
      </c>
      <c r="Y55" t="s">
        <v>544</v>
      </c>
      <c r="Z55" t="s">
        <v>80</v>
      </c>
      <c r="AA55" t="s">
        <v>85</v>
      </c>
      <c r="AC55" t="s">
        <v>545</v>
      </c>
      <c r="AD55" t="s">
        <v>87</v>
      </c>
      <c r="AF55" t="s">
        <v>546</v>
      </c>
      <c r="AG55" t="s">
        <v>547</v>
      </c>
      <c r="AH55" t="s">
        <v>91</v>
      </c>
      <c r="AI55" t="s">
        <v>216</v>
      </c>
      <c r="AJ55" t="s">
        <v>93</v>
      </c>
      <c r="AK55" t="s">
        <v>548</v>
      </c>
      <c r="AL55" t="s">
        <v>95</v>
      </c>
      <c r="AM55" t="s">
        <v>96</v>
      </c>
      <c r="AN55" t="s">
        <v>96</v>
      </c>
      <c r="AP55" t="s">
        <v>78</v>
      </c>
      <c r="AQ55" t="s">
        <v>78</v>
      </c>
      <c r="AS55" t="s">
        <v>78</v>
      </c>
      <c r="AT55" t="s">
        <v>100</v>
      </c>
      <c r="AU55" t="s">
        <v>100</v>
      </c>
      <c r="AW55" t="s">
        <v>85</v>
      </c>
      <c r="AX55" t="s">
        <v>101</v>
      </c>
      <c r="AY55" t="s">
        <v>102</v>
      </c>
      <c r="AZ55" t="s">
        <v>145</v>
      </c>
      <c r="BA55" t="s">
        <v>218</v>
      </c>
      <c r="BB55" t="s">
        <v>78</v>
      </c>
      <c r="BC55" t="s">
        <v>78</v>
      </c>
      <c r="BD55" t="s">
        <v>549</v>
      </c>
      <c r="BE55">
        <v>0</v>
      </c>
      <c r="BF55">
        <v>14.27</v>
      </c>
      <c r="BG55">
        <v>0</v>
      </c>
      <c r="BH55">
        <v>0</v>
      </c>
      <c r="BJ55" t="s">
        <v>85</v>
      </c>
      <c r="BP55" t="s">
        <v>78</v>
      </c>
      <c r="BQ55" t="s">
        <v>78</v>
      </c>
      <c r="BR55" t="s">
        <v>78</v>
      </c>
    </row>
    <row r="56" customFormat="1" spans="1:70">
      <c r="A56" t="s">
        <v>539</v>
      </c>
      <c r="B56" t="s">
        <v>550</v>
      </c>
      <c r="C56" t="s">
        <v>107</v>
      </c>
      <c r="D56" t="s">
        <v>135</v>
      </c>
      <c r="E56">
        <v>1</v>
      </c>
      <c r="F56" t="s">
        <v>109</v>
      </c>
      <c r="G56" t="s">
        <v>136</v>
      </c>
      <c r="H56">
        <v>289</v>
      </c>
      <c r="I56">
        <v>268.27</v>
      </c>
      <c r="J56">
        <v>0</v>
      </c>
      <c r="K56">
        <v>21.46</v>
      </c>
      <c r="L56" t="s">
        <v>551</v>
      </c>
      <c r="M56" t="s">
        <v>78</v>
      </c>
      <c r="N56" t="s">
        <v>78</v>
      </c>
      <c r="O56">
        <v>0</v>
      </c>
      <c r="P56">
        <v>0.73</v>
      </c>
      <c r="Q56">
        <v>0</v>
      </c>
      <c r="R56" t="s">
        <v>125</v>
      </c>
      <c r="S56">
        <v>0</v>
      </c>
      <c r="T56" t="s">
        <v>80</v>
      </c>
      <c r="U56" t="s">
        <v>80</v>
      </c>
      <c r="V56" t="s">
        <v>464</v>
      </c>
      <c r="W56" t="s">
        <v>542</v>
      </c>
      <c r="X56" t="s">
        <v>543</v>
      </c>
      <c r="Y56" t="s">
        <v>544</v>
      </c>
      <c r="Z56" t="s">
        <v>80</v>
      </c>
      <c r="AA56" t="s">
        <v>85</v>
      </c>
      <c r="AC56" t="s">
        <v>545</v>
      </c>
      <c r="AD56" t="s">
        <v>87</v>
      </c>
      <c r="AF56" t="s">
        <v>552</v>
      </c>
      <c r="AG56" t="s">
        <v>547</v>
      </c>
      <c r="AH56" t="s">
        <v>91</v>
      </c>
      <c r="AI56" t="s">
        <v>216</v>
      </c>
      <c r="AJ56" t="s">
        <v>93</v>
      </c>
      <c r="AK56" t="s">
        <v>548</v>
      </c>
      <c r="AL56" t="s">
        <v>95</v>
      </c>
      <c r="AM56" t="s">
        <v>96</v>
      </c>
      <c r="AN56" t="s">
        <v>96</v>
      </c>
      <c r="AP56" t="s">
        <v>78</v>
      </c>
      <c r="AQ56" t="s">
        <v>78</v>
      </c>
      <c r="AS56" t="s">
        <v>78</v>
      </c>
      <c r="AT56" t="s">
        <v>100</v>
      </c>
      <c r="AU56" t="s">
        <v>100</v>
      </c>
      <c r="AW56" t="s">
        <v>85</v>
      </c>
      <c r="AX56" t="s">
        <v>101</v>
      </c>
      <c r="AY56" t="s">
        <v>102</v>
      </c>
      <c r="AZ56" t="s">
        <v>145</v>
      </c>
      <c r="BA56" t="s">
        <v>218</v>
      </c>
      <c r="BB56" t="s">
        <v>78</v>
      </c>
      <c r="BC56" t="s">
        <v>78</v>
      </c>
      <c r="BD56" t="s">
        <v>553</v>
      </c>
      <c r="BE56">
        <v>0</v>
      </c>
      <c r="BF56">
        <v>20.73</v>
      </c>
      <c r="BG56">
        <v>0</v>
      </c>
      <c r="BH56">
        <v>0</v>
      </c>
      <c r="BJ56" t="s">
        <v>85</v>
      </c>
      <c r="BP56" t="s">
        <v>78</v>
      </c>
      <c r="BQ56" t="s">
        <v>78</v>
      </c>
      <c r="BR56" t="s">
        <v>78</v>
      </c>
    </row>
    <row r="57" customFormat="1" spans="1:70">
      <c r="A57" t="s">
        <v>554</v>
      </c>
      <c r="B57" t="s">
        <v>554</v>
      </c>
      <c r="C57" t="s">
        <v>107</v>
      </c>
      <c r="D57" t="s">
        <v>108</v>
      </c>
      <c r="E57">
        <v>1</v>
      </c>
      <c r="F57" t="s">
        <v>109</v>
      </c>
      <c r="G57" t="s">
        <v>110</v>
      </c>
      <c r="H57">
        <v>289</v>
      </c>
      <c r="I57">
        <v>250.82</v>
      </c>
      <c r="J57">
        <v>0</v>
      </c>
      <c r="K57">
        <v>38.18</v>
      </c>
      <c r="L57" t="s">
        <v>555</v>
      </c>
      <c r="M57" t="s">
        <v>78</v>
      </c>
      <c r="N57" t="s">
        <v>78</v>
      </c>
      <c r="O57">
        <v>0</v>
      </c>
      <c r="P57">
        <v>0</v>
      </c>
      <c r="Q57">
        <v>0</v>
      </c>
      <c r="R57" t="s">
        <v>79</v>
      </c>
      <c r="S57">
        <v>0</v>
      </c>
      <c r="T57" t="s">
        <v>80</v>
      </c>
      <c r="U57" t="s">
        <v>80</v>
      </c>
      <c r="V57" t="s">
        <v>556</v>
      </c>
      <c r="W57" t="s">
        <v>557</v>
      </c>
      <c r="X57" t="s">
        <v>558</v>
      </c>
      <c r="Y57" t="s">
        <v>559</v>
      </c>
      <c r="Z57" t="s">
        <v>80</v>
      </c>
      <c r="AA57" t="s">
        <v>85</v>
      </c>
      <c r="AC57" t="s">
        <v>560</v>
      </c>
      <c r="AD57" t="s">
        <v>87</v>
      </c>
      <c r="AF57" t="s">
        <v>561</v>
      </c>
      <c r="AG57" t="s">
        <v>562</v>
      </c>
      <c r="AH57" t="s">
        <v>91</v>
      </c>
      <c r="AI57" t="s">
        <v>92</v>
      </c>
      <c r="AJ57" t="s">
        <v>93</v>
      </c>
      <c r="AK57" t="s">
        <v>563</v>
      </c>
      <c r="AL57" t="s">
        <v>95</v>
      </c>
      <c r="AM57" t="s">
        <v>96</v>
      </c>
      <c r="AN57" t="s">
        <v>97</v>
      </c>
      <c r="AO57" t="s">
        <v>98</v>
      </c>
      <c r="AP57" t="s">
        <v>78</v>
      </c>
      <c r="AQ57" t="s">
        <v>78</v>
      </c>
      <c r="AS57" t="s">
        <v>78</v>
      </c>
      <c r="AT57" t="s">
        <v>100</v>
      </c>
      <c r="AU57" t="s">
        <v>100</v>
      </c>
      <c r="AW57" t="s">
        <v>85</v>
      </c>
      <c r="AX57" t="s">
        <v>101</v>
      </c>
      <c r="AY57" t="s">
        <v>102</v>
      </c>
      <c r="AZ57" t="s">
        <v>103</v>
      </c>
      <c r="BA57" t="s">
        <v>133</v>
      </c>
      <c r="BB57" t="s">
        <v>78</v>
      </c>
      <c r="BC57" t="s">
        <v>78</v>
      </c>
      <c r="BD57" t="s">
        <v>564</v>
      </c>
      <c r="BE57">
        <v>0</v>
      </c>
      <c r="BF57">
        <v>38.18</v>
      </c>
      <c r="BG57">
        <v>0</v>
      </c>
      <c r="BH57">
        <v>0</v>
      </c>
      <c r="BJ57" t="s">
        <v>85</v>
      </c>
      <c r="BP57" t="s">
        <v>78</v>
      </c>
      <c r="BQ57" t="s">
        <v>78</v>
      </c>
      <c r="BR57" t="s">
        <v>78</v>
      </c>
    </row>
    <row r="58" customFormat="1" spans="1:70">
      <c r="A58" t="s">
        <v>565</v>
      </c>
      <c r="B58" t="s">
        <v>565</v>
      </c>
      <c r="C58" t="s">
        <v>107</v>
      </c>
      <c r="D58" t="s">
        <v>135</v>
      </c>
      <c r="E58">
        <v>1</v>
      </c>
      <c r="F58" t="s">
        <v>109</v>
      </c>
      <c r="G58" t="s">
        <v>136</v>
      </c>
      <c r="H58">
        <v>289</v>
      </c>
      <c r="I58">
        <v>268.28</v>
      </c>
      <c r="J58">
        <v>0</v>
      </c>
      <c r="K58">
        <v>21.48</v>
      </c>
      <c r="L58" t="s">
        <v>566</v>
      </c>
      <c r="M58" t="s">
        <v>78</v>
      </c>
      <c r="N58" t="s">
        <v>78</v>
      </c>
      <c r="O58">
        <v>0</v>
      </c>
      <c r="P58">
        <v>0.76</v>
      </c>
      <c r="Q58">
        <v>0</v>
      </c>
      <c r="R58" t="s">
        <v>125</v>
      </c>
      <c r="S58">
        <v>0</v>
      </c>
      <c r="T58" t="s">
        <v>80</v>
      </c>
      <c r="U58" t="s">
        <v>80</v>
      </c>
      <c r="V58" t="s">
        <v>464</v>
      </c>
      <c r="W58" t="s">
        <v>542</v>
      </c>
      <c r="X58" t="s">
        <v>543</v>
      </c>
      <c r="Y58" t="s">
        <v>544</v>
      </c>
      <c r="Z58" t="s">
        <v>80</v>
      </c>
      <c r="AA58" t="s">
        <v>85</v>
      </c>
      <c r="AC58" t="s">
        <v>567</v>
      </c>
      <c r="AD58" t="s">
        <v>87</v>
      </c>
      <c r="AG58" t="s">
        <v>568</v>
      </c>
      <c r="AH58" t="s">
        <v>91</v>
      </c>
      <c r="AI58" t="s">
        <v>92</v>
      </c>
      <c r="AJ58" t="s">
        <v>131</v>
      </c>
      <c r="AK58" t="s">
        <v>569</v>
      </c>
      <c r="AL58" t="s">
        <v>95</v>
      </c>
      <c r="AM58" t="s">
        <v>96</v>
      </c>
      <c r="AN58" t="s">
        <v>97</v>
      </c>
      <c r="AO58" t="s">
        <v>98</v>
      </c>
      <c r="AP58" t="s">
        <v>78</v>
      </c>
      <c r="AQ58" t="s">
        <v>99</v>
      </c>
      <c r="AS58" t="s">
        <v>78</v>
      </c>
      <c r="AT58" t="s">
        <v>100</v>
      </c>
      <c r="AU58" t="s">
        <v>100</v>
      </c>
      <c r="AW58" t="s">
        <v>85</v>
      </c>
      <c r="AX58" t="s">
        <v>101</v>
      </c>
      <c r="AY58" t="s">
        <v>102</v>
      </c>
      <c r="AZ58" t="s">
        <v>145</v>
      </c>
      <c r="BA58" t="s">
        <v>146</v>
      </c>
      <c r="BB58" t="s">
        <v>78</v>
      </c>
      <c r="BC58" t="s">
        <v>78</v>
      </c>
      <c r="BE58">
        <v>0</v>
      </c>
      <c r="BF58">
        <v>20.72</v>
      </c>
      <c r="BG58">
        <v>0</v>
      </c>
      <c r="BH58">
        <v>0</v>
      </c>
      <c r="BJ58" t="s">
        <v>85</v>
      </c>
      <c r="BP58" t="s">
        <v>78</v>
      </c>
      <c r="BQ58" t="s">
        <v>78</v>
      </c>
      <c r="BR58" t="s">
        <v>78</v>
      </c>
    </row>
    <row r="59" customFormat="1" spans="1:70">
      <c r="A59" t="s">
        <v>565</v>
      </c>
      <c r="B59" t="s">
        <v>570</v>
      </c>
      <c r="C59" t="s">
        <v>527</v>
      </c>
      <c r="D59" t="s">
        <v>135</v>
      </c>
      <c r="E59">
        <v>1</v>
      </c>
      <c r="F59" t="s">
        <v>528</v>
      </c>
      <c r="G59" t="s">
        <v>540</v>
      </c>
      <c r="H59">
        <v>199</v>
      </c>
      <c r="I59">
        <v>184.72</v>
      </c>
      <c r="J59">
        <v>0</v>
      </c>
      <c r="K59">
        <v>14.81</v>
      </c>
      <c r="L59" t="s">
        <v>571</v>
      </c>
      <c r="M59" t="s">
        <v>78</v>
      </c>
      <c r="N59" t="s">
        <v>78</v>
      </c>
      <c r="O59">
        <v>0</v>
      </c>
      <c r="P59">
        <v>0.53</v>
      </c>
      <c r="Q59">
        <v>0</v>
      </c>
      <c r="R59" t="s">
        <v>125</v>
      </c>
      <c r="S59">
        <v>0</v>
      </c>
      <c r="T59" t="s">
        <v>80</v>
      </c>
      <c r="U59" t="s">
        <v>80</v>
      </c>
      <c r="V59" t="s">
        <v>464</v>
      </c>
      <c r="W59" t="s">
        <v>542</v>
      </c>
      <c r="X59" t="s">
        <v>543</v>
      </c>
      <c r="Y59" t="s">
        <v>544</v>
      </c>
      <c r="Z59" t="s">
        <v>80</v>
      </c>
      <c r="AA59" t="s">
        <v>85</v>
      </c>
      <c r="AC59" t="s">
        <v>567</v>
      </c>
      <c r="AD59" t="s">
        <v>87</v>
      </c>
      <c r="AG59" t="s">
        <v>568</v>
      </c>
      <c r="AH59" t="s">
        <v>91</v>
      </c>
      <c r="AI59" t="s">
        <v>92</v>
      </c>
      <c r="AJ59" t="s">
        <v>131</v>
      </c>
      <c r="AK59" t="s">
        <v>569</v>
      </c>
      <c r="AL59" t="s">
        <v>95</v>
      </c>
      <c r="AM59" t="s">
        <v>96</v>
      </c>
      <c r="AN59" t="s">
        <v>97</v>
      </c>
      <c r="AO59" t="s">
        <v>98</v>
      </c>
      <c r="AP59" t="s">
        <v>78</v>
      </c>
      <c r="AQ59" t="s">
        <v>99</v>
      </c>
      <c r="AS59" t="s">
        <v>78</v>
      </c>
      <c r="AT59" t="s">
        <v>100</v>
      </c>
      <c r="AU59" t="s">
        <v>100</v>
      </c>
      <c r="AW59" t="s">
        <v>85</v>
      </c>
      <c r="AX59" t="s">
        <v>101</v>
      </c>
      <c r="AY59" t="s">
        <v>102</v>
      </c>
      <c r="AZ59" t="s">
        <v>103</v>
      </c>
      <c r="BA59" t="s">
        <v>104</v>
      </c>
      <c r="BB59" t="s">
        <v>78</v>
      </c>
      <c r="BC59" t="s">
        <v>78</v>
      </c>
      <c r="BE59">
        <v>0</v>
      </c>
      <c r="BF59">
        <v>14.28</v>
      </c>
      <c r="BG59">
        <v>0</v>
      </c>
      <c r="BH59">
        <v>0</v>
      </c>
      <c r="BJ59" t="s">
        <v>85</v>
      </c>
      <c r="BP59" t="s">
        <v>78</v>
      </c>
      <c r="BQ59" t="s">
        <v>78</v>
      </c>
      <c r="BR59" t="s">
        <v>78</v>
      </c>
    </row>
    <row r="60" customFormat="1" spans="1:70">
      <c r="A60" t="s">
        <v>572</v>
      </c>
      <c r="B60" t="s">
        <v>572</v>
      </c>
      <c r="C60" t="s">
        <v>107</v>
      </c>
      <c r="D60" t="s">
        <v>108</v>
      </c>
      <c r="E60">
        <v>1</v>
      </c>
      <c r="F60" t="s">
        <v>109</v>
      </c>
      <c r="G60" t="s">
        <v>110</v>
      </c>
      <c r="H60">
        <v>289</v>
      </c>
      <c r="I60">
        <v>260.96</v>
      </c>
      <c r="J60">
        <v>0</v>
      </c>
      <c r="K60">
        <v>28.04</v>
      </c>
      <c r="L60" t="s">
        <v>573</v>
      </c>
      <c r="M60" t="s">
        <v>78</v>
      </c>
      <c r="N60" t="s">
        <v>78</v>
      </c>
      <c r="O60">
        <v>0</v>
      </c>
      <c r="P60">
        <v>0</v>
      </c>
      <c r="Q60">
        <v>0</v>
      </c>
      <c r="R60" t="s">
        <v>125</v>
      </c>
      <c r="S60">
        <v>0</v>
      </c>
      <c r="T60" t="s">
        <v>80</v>
      </c>
      <c r="U60" t="s">
        <v>80</v>
      </c>
      <c r="V60" t="s">
        <v>574</v>
      </c>
      <c r="W60" t="s">
        <v>574</v>
      </c>
      <c r="X60" t="s">
        <v>575</v>
      </c>
      <c r="Y60" t="s">
        <v>576</v>
      </c>
      <c r="Z60" t="s">
        <v>80</v>
      </c>
      <c r="AA60" t="s">
        <v>85</v>
      </c>
      <c r="AC60" t="s">
        <v>577</v>
      </c>
      <c r="AD60" t="s">
        <v>87</v>
      </c>
      <c r="AF60" t="s">
        <v>578</v>
      </c>
      <c r="AG60" t="s">
        <v>579</v>
      </c>
      <c r="AH60" t="s">
        <v>91</v>
      </c>
      <c r="AI60" t="s">
        <v>92</v>
      </c>
      <c r="AJ60" t="s">
        <v>93</v>
      </c>
      <c r="AK60" t="s">
        <v>580</v>
      </c>
      <c r="AL60" t="s">
        <v>95</v>
      </c>
      <c r="AM60" t="s">
        <v>96</v>
      </c>
      <c r="AN60" t="s">
        <v>97</v>
      </c>
      <c r="AO60" t="s">
        <v>98</v>
      </c>
      <c r="AP60" t="s">
        <v>78</v>
      </c>
      <c r="AQ60" t="s">
        <v>78</v>
      </c>
      <c r="AS60" t="s">
        <v>78</v>
      </c>
      <c r="AT60" t="s">
        <v>100</v>
      </c>
      <c r="AU60" t="s">
        <v>100</v>
      </c>
      <c r="AW60" t="s">
        <v>85</v>
      </c>
      <c r="AX60" t="s">
        <v>101</v>
      </c>
      <c r="AY60" t="s">
        <v>102</v>
      </c>
      <c r="AZ60" t="s">
        <v>103</v>
      </c>
      <c r="BA60" t="s">
        <v>120</v>
      </c>
      <c r="BB60" t="s">
        <v>78</v>
      </c>
      <c r="BC60" t="s">
        <v>78</v>
      </c>
      <c r="BD60" t="s">
        <v>581</v>
      </c>
      <c r="BE60">
        <v>0</v>
      </c>
      <c r="BF60">
        <v>28.04</v>
      </c>
      <c r="BG60">
        <v>0</v>
      </c>
      <c r="BH60">
        <v>0</v>
      </c>
      <c r="BJ60" t="s">
        <v>85</v>
      </c>
      <c r="BP60" t="s">
        <v>78</v>
      </c>
      <c r="BQ60" t="s">
        <v>78</v>
      </c>
      <c r="BR60" t="s">
        <v>78</v>
      </c>
    </row>
    <row r="61" customFormat="1" spans="1:70">
      <c r="A61" t="s">
        <v>582</v>
      </c>
      <c r="B61" t="s">
        <v>582</v>
      </c>
      <c r="C61" t="s">
        <v>107</v>
      </c>
      <c r="D61" t="s">
        <v>108</v>
      </c>
      <c r="E61">
        <v>1</v>
      </c>
      <c r="F61" t="s">
        <v>109</v>
      </c>
      <c r="G61" t="s">
        <v>110</v>
      </c>
      <c r="H61">
        <v>289</v>
      </c>
      <c r="I61">
        <v>289</v>
      </c>
      <c r="J61">
        <v>0</v>
      </c>
      <c r="K61">
        <v>0</v>
      </c>
      <c r="L61" t="s">
        <v>78</v>
      </c>
      <c r="M61" t="s">
        <v>78</v>
      </c>
      <c r="N61" t="s">
        <v>78</v>
      </c>
      <c r="O61">
        <v>0</v>
      </c>
      <c r="P61">
        <v>0</v>
      </c>
      <c r="Q61">
        <v>0</v>
      </c>
      <c r="R61" t="s">
        <v>79</v>
      </c>
      <c r="S61">
        <v>0</v>
      </c>
      <c r="T61" t="s">
        <v>80</v>
      </c>
      <c r="U61" t="s">
        <v>80</v>
      </c>
      <c r="V61" t="s">
        <v>583</v>
      </c>
      <c r="W61" t="s">
        <v>584</v>
      </c>
      <c r="X61" t="s">
        <v>585</v>
      </c>
      <c r="Y61" t="s">
        <v>586</v>
      </c>
      <c r="Z61" t="s">
        <v>80</v>
      </c>
      <c r="AA61" t="s">
        <v>85</v>
      </c>
      <c r="AC61" t="s">
        <v>587</v>
      </c>
      <c r="AD61" t="s">
        <v>87</v>
      </c>
      <c r="AF61" t="s">
        <v>578</v>
      </c>
      <c r="AG61" t="s">
        <v>588</v>
      </c>
      <c r="AH61" t="s">
        <v>91</v>
      </c>
      <c r="AI61" t="s">
        <v>92</v>
      </c>
      <c r="AJ61" t="s">
        <v>93</v>
      </c>
      <c r="AK61" t="s">
        <v>589</v>
      </c>
      <c r="AL61" t="s">
        <v>95</v>
      </c>
      <c r="AM61" t="s">
        <v>96</v>
      </c>
      <c r="AN61" t="s">
        <v>97</v>
      </c>
      <c r="AO61" t="s">
        <v>98</v>
      </c>
      <c r="AP61" t="s">
        <v>78</v>
      </c>
      <c r="AQ61" t="s">
        <v>78</v>
      </c>
      <c r="AS61" t="s">
        <v>78</v>
      </c>
      <c r="AT61" t="s">
        <v>100</v>
      </c>
      <c r="AU61" t="s">
        <v>100</v>
      </c>
      <c r="AW61" t="s">
        <v>85</v>
      </c>
      <c r="AX61" t="s">
        <v>101</v>
      </c>
      <c r="AY61" t="s">
        <v>102</v>
      </c>
      <c r="AZ61" t="s">
        <v>103</v>
      </c>
      <c r="BA61" t="s">
        <v>133</v>
      </c>
      <c r="BB61" t="s">
        <v>78</v>
      </c>
      <c r="BC61" t="s">
        <v>78</v>
      </c>
      <c r="BD61" t="s">
        <v>581</v>
      </c>
      <c r="BE61">
        <v>0</v>
      </c>
      <c r="BF61">
        <v>0</v>
      </c>
      <c r="BG61">
        <v>0</v>
      </c>
      <c r="BH61">
        <v>0</v>
      </c>
      <c r="BJ61" t="s">
        <v>85</v>
      </c>
      <c r="BP61" t="s">
        <v>78</v>
      </c>
      <c r="BQ61" t="s">
        <v>78</v>
      </c>
      <c r="BR61" t="s">
        <v>78</v>
      </c>
    </row>
    <row r="62" customFormat="1" spans="1:70">
      <c r="A62" t="s">
        <v>590</v>
      </c>
      <c r="B62" t="s">
        <v>590</v>
      </c>
      <c r="C62" t="s">
        <v>107</v>
      </c>
      <c r="D62" t="s">
        <v>135</v>
      </c>
      <c r="E62">
        <v>1</v>
      </c>
      <c r="F62" t="s">
        <v>109</v>
      </c>
      <c r="G62" t="s">
        <v>136</v>
      </c>
      <c r="H62">
        <v>289</v>
      </c>
      <c r="I62">
        <v>260.66</v>
      </c>
      <c r="J62">
        <v>0</v>
      </c>
      <c r="K62">
        <v>28.34</v>
      </c>
      <c r="L62" t="s">
        <v>591</v>
      </c>
      <c r="M62" t="s">
        <v>78</v>
      </c>
      <c r="N62" t="s">
        <v>78</v>
      </c>
      <c r="O62">
        <v>0</v>
      </c>
      <c r="P62">
        <v>0</v>
      </c>
      <c r="Q62">
        <v>0</v>
      </c>
      <c r="R62" t="s">
        <v>79</v>
      </c>
      <c r="S62">
        <v>0</v>
      </c>
      <c r="T62" t="s">
        <v>80</v>
      </c>
      <c r="U62" t="s">
        <v>80</v>
      </c>
      <c r="V62" t="s">
        <v>126</v>
      </c>
      <c r="W62" t="s">
        <v>592</v>
      </c>
      <c r="X62" t="s">
        <v>593</v>
      </c>
      <c r="Y62" t="s">
        <v>594</v>
      </c>
      <c r="Z62" t="s">
        <v>80</v>
      </c>
      <c r="AA62" t="s">
        <v>85</v>
      </c>
      <c r="AC62" t="s">
        <v>595</v>
      </c>
      <c r="AD62" t="s">
        <v>87</v>
      </c>
      <c r="AG62" t="s">
        <v>596</v>
      </c>
      <c r="AH62" t="s">
        <v>91</v>
      </c>
      <c r="AI62" t="s">
        <v>92</v>
      </c>
      <c r="AJ62" t="s">
        <v>131</v>
      </c>
      <c r="AK62" t="s">
        <v>597</v>
      </c>
      <c r="AL62" t="s">
        <v>95</v>
      </c>
      <c r="AM62" t="s">
        <v>96</v>
      </c>
      <c r="AN62" t="s">
        <v>97</v>
      </c>
      <c r="AO62" t="s">
        <v>98</v>
      </c>
      <c r="AP62" t="s">
        <v>78</v>
      </c>
      <c r="AQ62" t="s">
        <v>99</v>
      </c>
      <c r="AS62" t="s">
        <v>78</v>
      </c>
      <c r="AT62" t="s">
        <v>100</v>
      </c>
      <c r="AU62" t="s">
        <v>100</v>
      </c>
      <c r="AW62" t="s">
        <v>85</v>
      </c>
      <c r="AX62" t="s">
        <v>103</v>
      </c>
      <c r="AY62" t="s">
        <v>159</v>
      </c>
      <c r="AZ62" t="s">
        <v>103</v>
      </c>
      <c r="BA62" t="s">
        <v>104</v>
      </c>
      <c r="BB62" t="s">
        <v>78</v>
      </c>
      <c r="BC62" t="s">
        <v>78</v>
      </c>
      <c r="BE62">
        <v>0</v>
      </c>
      <c r="BF62">
        <v>28.34</v>
      </c>
      <c r="BG62">
        <v>0</v>
      </c>
      <c r="BH62">
        <v>0</v>
      </c>
      <c r="BJ62" t="s">
        <v>85</v>
      </c>
      <c r="BP62" t="s">
        <v>78</v>
      </c>
      <c r="BQ62" t="s">
        <v>78</v>
      </c>
      <c r="BR62" t="s">
        <v>78</v>
      </c>
    </row>
    <row r="63" customFormat="1" spans="1:70">
      <c r="A63" t="s">
        <v>598</v>
      </c>
      <c r="B63" t="s">
        <v>598</v>
      </c>
      <c r="C63" t="s">
        <v>107</v>
      </c>
      <c r="D63" t="s">
        <v>108</v>
      </c>
      <c r="E63">
        <v>1</v>
      </c>
      <c r="F63" t="s">
        <v>109</v>
      </c>
      <c r="G63" t="s">
        <v>110</v>
      </c>
      <c r="H63">
        <v>289</v>
      </c>
      <c r="I63">
        <v>289</v>
      </c>
      <c r="J63">
        <v>0</v>
      </c>
      <c r="K63">
        <v>0</v>
      </c>
      <c r="L63" t="s">
        <v>78</v>
      </c>
      <c r="M63" t="s">
        <v>78</v>
      </c>
      <c r="N63" t="s">
        <v>78</v>
      </c>
      <c r="O63">
        <v>0</v>
      </c>
      <c r="P63">
        <v>0</v>
      </c>
      <c r="Q63">
        <v>0</v>
      </c>
      <c r="R63" t="s">
        <v>79</v>
      </c>
      <c r="S63">
        <v>0</v>
      </c>
      <c r="T63" t="s">
        <v>80</v>
      </c>
      <c r="U63" t="s">
        <v>80</v>
      </c>
      <c r="V63" t="s">
        <v>221</v>
      </c>
      <c r="W63" t="s">
        <v>599</v>
      </c>
      <c r="X63" t="s">
        <v>600</v>
      </c>
      <c r="Y63" t="s">
        <v>601</v>
      </c>
      <c r="Z63" t="s">
        <v>80</v>
      </c>
      <c r="AA63" t="s">
        <v>85</v>
      </c>
      <c r="AC63" t="s">
        <v>602</v>
      </c>
      <c r="AD63" t="s">
        <v>87</v>
      </c>
      <c r="AF63" t="s">
        <v>603</v>
      </c>
      <c r="AG63" t="s">
        <v>604</v>
      </c>
      <c r="AH63" t="s">
        <v>91</v>
      </c>
      <c r="AI63" t="s">
        <v>92</v>
      </c>
      <c r="AJ63" t="s">
        <v>93</v>
      </c>
      <c r="AK63" t="s">
        <v>605</v>
      </c>
      <c r="AL63" t="s">
        <v>95</v>
      </c>
      <c r="AM63" t="s">
        <v>96</v>
      </c>
      <c r="AN63" t="s">
        <v>97</v>
      </c>
      <c r="AO63" t="s">
        <v>98</v>
      </c>
      <c r="AP63" t="s">
        <v>78</v>
      </c>
      <c r="AQ63" t="s">
        <v>78</v>
      </c>
      <c r="AS63" t="s">
        <v>78</v>
      </c>
      <c r="AT63" t="s">
        <v>100</v>
      </c>
      <c r="AU63" t="s">
        <v>100</v>
      </c>
      <c r="AW63" t="s">
        <v>85</v>
      </c>
      <c r="AX63" t="s">
        <v>101</v>
      </c>
      <c r="AY63" t="s">
        <v>102</v>
      </c>
      <c r="AZ63" t="s">
        <v>103</v>
      </c>
      <c r="BA63" t="s">
        <v>419</v>
      </c>
      <c r="BB63" t="s">
        <v>78</v>
      </c>
      <c r="BC63" t="s">
        <v>78</v>
      </c>
      <c r="BD63" t="s">
        <v>606</v>
      </c>
      <c r="BE63">
        <v>0</v>
      </c>
      <c r="BF63">
        <v>0</v>
      </c>
      <c r="BG63">
        <v>0</v>
      </c>
      <c r="BH63">
        <v>0</v>
      </c>
      <c r="BJ63" t="s">
        <v>85</v>
      </c>
      <c r="BP63" t="s">
        <v>78</v>
      </c>
      <c r="BQ63" t="s">
        <v>78</v>
      </c>
      <c r="BR63" t="s">
        <v>78</v>
      </c>
    </row>
    <row r="64" customFormat="1" spans="1:70">
      <c r="A64" t="s">
        <v>607</v>
      </c>
      <c r="B64" t="s">
        <v>607</v>
      </c>
      <c r="C64" t="s">
        <v>107</v>
      </c>
      <c r="D64" t="s">
        <v>123</v>
      </c>
      <c r="E64">
        <v>1</v>
      </c>
      <c r="F64" t="s">
        <v>109</v>
      </c>
      <c r="G64" t="s">
        <v>124</v>
      </c>
      <c r="H64">
        <v>289</v>
      </c>
      <c r="I64">
        <v>289</v>
      </c>
      <c r="J64">
        <v>0</v>
      </c>
      <c r="K64">
        <v>0</v>
      </c>
      <c r="L64" t="s">
        <v>78</v>
      </c>
      <c r="M64" t="s">
        <v>78</v>
      </c>
      <c r="N64" t="s">
        <v>78</v>
      </c>
      <c r="O64">
        <v>0</v>
      </c>
      <c r="P64">
        <v>0</v>
      </c>
      <c r="Q64">
        <v>0</v>
      </c>
      <c r="R64" t="s">
        <v>79</v>
      </c>
      <c r="S64">
        <v>0</v>
      </c>
      <c r="T64" t="s">
        <v>80</v>
      </c>
      <c r="U64" t="s">
        <v>80</v>
      </c>
      <c r="V64" t="s">
        <v>152</v>
      </c>
      <c r="W64" t="s">
        <v>608</v>
      </c>
      <c r="X64" t="s">
        <v>609</v>
      </c>
      <c r="Y64" t="s">
        <v>610</v>
      </c>
      <c r="Z64" t="s">
        <v>80</v>
      </c>
      <c r="AA64" t="s">
        <v>85</v>
      </c>
      <c r="AC64" t="s">
        <v>611</v>
      </c>
      <c r="AD64" t="s">
        <v>87</v>
      </c>
      <c r="AF64" t="s">
        <v>612</v>
      </c>
      <c r="AG64" t="s">
        <v>613</v>
      </c>
      <c r="AH64" t="s">
        <v>91</v>
      </c>
      <c r="AI64" t="s">
        <v>92</v>
      </c>
      <c r="AJ64" t="s">
        <v>93</v>
      </c>
      <c r="AK64" t="s">
        <v>614</v>
      </c>
      <c r="AL64" t="s">
        <v>95</v>
      </c>
      <c r="AM64" t="s">
        <v>96</v>
      </c>
      <c r="AN64" t="s">
        <v>97</v>
      </c>
      <c r="AO64" t="s">
        <v>98</v>
      </c>
      <c r="AP64" t="s">
        <v>78</v>
      </c>
      <c r="AQ64" t="s">
        <v>78</v>
      </c>
      <c r="AS64" t="s">
        <v>78</v>
      </c>
      <c r="AT64" t="s">
        <v>100</v>
      </c>
      <c r="AU64" t="s">
        <v>100</v>
      </c>
      <c r="AW64" t="s">
        <v>85</v>
      </c>
      <c r="AX64" t="s">
        <v>101</v>
      </c>
      <c r="AY64" t="s">
        <v>102</v>
      </c>
      <c r="AZ64" t="s">
        <v>103</v>
      </c>
      <c r="BA64" t="s">
        <v>133</v>
      </c>
      <c r="BB64" t="s">
        <v>78</v>
      </c>
      <c r="BC64" t="s">
        <v>78</v>
      </c>
      <c r="BD64" t="s">
        <v>615</v>
      </c>
      <c r="BE64">
        <v>0</v>
      </c>
      <c r="BF64">
        <v>0</v>
      </c>
      <c r="BG64">
        <v>0</v>
      </c>
      <c r="BH64">
        <v>0</v>
      </c>
      <c r="BJ64" t="s">
        <v>85</v>
      </c>
      <c r="BP64" t="s">
        <v>78</v>
      </c>
      <c r="BQ64" t="s">
        <v>78</v>
      </c>
      <c r="BR64" t="s">
        <v>78</v>
      </c>
    </row>
    <row r="65" customFormat="1" spans="1:70">
      <c r="A65" t="s">
        <v>616</v>
      </c>
      <c r="B65" t="s">
        <v>616</v>
      </c>
      <c r="C65" t="s">
        <v>107</v>
      </c>
      <c r="D65" t="s">
        <v>123</v>
      </c>
      <c r="E65">
        <v>1</v>
      </c>
      <c r="F65" t="s">
        <v>109</v>
      </c>
      <c r="G65" t="s">
        <v>124</v>
      </c>
      <c r="H65">
        <v>289</v>
      </c>
      <c r="I65">
        <v>289</v>
      </c>
      <c r="J65">
        <v>0</v>
      </c>
      <c r="K65">
        <v>0</v>
      </c>
      <c r="L65" t="s">
        <v>78</v>
      </c>
      <c r="M65" t="s">
        <v>78</v>
      </c>
      <c r="N65" t="s">
        <v>78</v>
      </c>
      <c r="O65">
        <v>0</v>
      </c>
      <c r="P65">
        <v>0</v>
      </c>
      <c r="Q65">
        <v>0</v>
      </c>
      <c r="R65" t="s">
        <v>125</v>
      </c>
      <c r="S65">
        <v>0</v>
      </c>
      <c r="T65" t="s">
        <v>80</v>
      </c>
      <c r="U65" t="s">
        <v>80</v>
      </c>
      <c r="V65" t="s">
        <v>509</v>
      </c>
      <c r="W65" t="s">
        <v>617</v>
      </c>
      <c r="X65" t="s">
        <v>618</v>
      </c>
      <c r="Y65" t="s">
        <v>619</v>
      </c>
      <c r="Z65" t="s">
        <v>80</v>
      </c>
      <c r="AA65" t="s">
        <v>85</v>
      </c>
      <c r="AC65" t="s">
        <v>620</v>
      </c>
      <c r="AD65" t="s">
        <v>87</v>
      </c>
      <c r="AH65" t="s">
        <v>227</v>
      </c>
      <c r="AI65" t="s">
        <v>92</v>
      </c>
      <c r="AJ65" t="s">
        <v>131</v>
      </c>
      <c r="AK65" t="s">
        <v>621</v>
      </c>
      <c r="AL65" t="s">
        <v>95</v>
      </c>
      <c r="AM65" t="s">
        <v>96</v>
      </c>
      <c r="AN65" t="s">
        <v>97</v>
      </c>
      <c r="AO65" t="s">
        <v>98</v>
      </c>
      <c r="AP65" t="s">
        <v>78</v>
      </c>
      <c r="AQ65" t="s">
        <v>78</v>
      </c>
      <c r="AR65" t="s">
        <v>195</v>
      </c>
      <c r="AS65" t="s">
        <v>78</v>
      </c>
      <c r="AT65" t="s">
        <v>100</v>
      </c>
      <c r="AU65" t="s">
        <v>100</v>
      </c>
      <c r="AW65" t="s">
        <v>85</v>
      </c>
      <c r="AX65" t="s">
        <v>103</v>
      </c>
      <c r="AY65" t="s">
        <v>159</v>
      </c>
      <c r="AZ65" t="s">
        <v>103</v>
      </c>
      <c r="BA65" t="s">
        <v>245</v>
      </c>
      <c r="BB65" t="s">
        <v>78</v>
      </c>
      <c r="BC65" t="s">
        <v>78</v>
      </c>
      <c r="BE65">
        <v>0</v>
      </c>
      <c r="BF65">
        <v>0</v>
      </c>
      <c r="BG65">
        <v>0</v>
      </c>
      <c r="BH65">
        <v>0</v>
      </c>
      <c r="BJ65" t="s">
        <v>85</v>
      </c>
      <c r="BP65" t="s">
        <v>78</v>
      </c>
      <c r="BQ65" t="s">
        <v>78</v>
      </c>
      <c r="BR65" t="s">
        <v>78</v>
      </c>
    </row>
    <row r="66" customFormat="1" spans="1:70">
      <c r="A66" t="s">
        <v>622</v>
      </c>
      <c r="B66" t="s">
        <v>622</v>
      </c>
      <c r="C66" t="s">
        <v>107</v>
      </c>
      <c r="D66" t="s">
        <v>108</v>
      </c>
      <c r="E66">
        <v>1</v>
      </c>
      <c r="F66" t="s">
        <v>109</v>
      </c>
      <c r="G66" t="s">
        <v>110</v>
      </c>
      <c r="H66">
        <v>289</v>
      </c>
      <c r="I66">
        <v>289</v>
      </c>
      <c r="J66">
        <v>0</v>
      </c>
      <c r="K66">
        <v>0</v>
      </c>
      <c r="L66" t="s">
        <v>78</v>
      </c>
      <c r="M66" t="s">
        <v>78</v>
      </c>
      <c r="N66" t="s">
        <v>78</v>
      </c>
      <c r="O66">
        <v>0</v>
      </c>
      <c r="P66">
        <v>0</v>
      </c>
      <c r="Q66">
        <v>0</v>
      </c>
      <c r="R66" t="s">
        <v>79</v>
      </c>
      <c r="S66">
        <v>0</v>
      </c>
      <c r="T66" t="s">
        <v>80</v>
      </c>
      <c r="U66" t="s">
        <v>80</v>
      </c>
      <c r="V66" t="s">
        <v>509</v>
      </c>
      <c r="W66" t="s">
        <v>623</v>
      </c>
      <c r="X66" t="s">
        <v>624</v>
      </c>
      <c r="Y66" t="s">
        <v>625</v>
      </c>
      <c r="Z66" t="s">
        <v>80</v>
      </c>
      <c r="AA66" t="s">
        <v>85</v>
      </c>
      <c r="AC66" t="s">
        <v>626</v>
      </c>
      <c r="AD66" t="s">
        <v>87</v>
      </c>
      <c r="AG66" t="s">
        <v>627</v>
      </c>
      <c r="AH66" t="s">
        <v>91</v>
      </c>
      <c r="AI66" t="s">
        <v>92</v>
      </c>
      <c r="AJ66" t="s">
        <v>131</v>
      </c>
      <c r="AK66" t="s">
        <v>628</v>
      </c>
      <c r="AL66" t="s">
        <v>95</v>
      </c>
      <c r="AM66" t="s">
        <v>96</v>
      </c>
      <c r="AN66" t="s">
        <v>97</v>
      </c>
      <c r="AO66" t="s">
        <v>98</v>
      </c>
      <c r="AP66" t="s">
        <v>78</v>
      </c>
      <c r="AQ66" t="s">
        <v>99</v>
      </c>
      <c r="AS66" t="s">
        <v>78</v>
      </c>
      <c r="AT66" t="s">
        <v>100</v>
      </c>
      <c r="AU66" t="s">
        <v>100</v>
      </c>
      <c r="AW66" t="s">
        <v>85</v>
      </c>
      <c r="AX66" t="s">
        <v>101</v>
      </c>
      <c r="AY66" t="s">
        <v>102</v>
      </c>
      <c r="AZ66" t="s">
        <v>103</v>
      </c>
      <c r="BA66" t="s">
        <v>133</v>
      </c>
      <c r="BB66" t="s">
        <v>78</v>
      </c>
      <c r="BC66" t="s">
        <v>78</v>
      </c>
      <c r="BE66">
        <v>0</v>
      </c>
      <c r="BF66">
        <v>0</v>
      </c>
      <c r="BG66">
        <v>0</v>
      </c>
      <c r="BH66">
        <v>0</v>
      </c>
      <c r="BJ66" t="s">
        <v>85</v>
      </c>
      <c r="BP66" t="s">
        <v>78</v>
      </c>
      <c r="BQ66" t="s">
        <v>78</v>
      </c>
      <c r="BR66" t="s">
        <v>78</v>
      </c>
    </row>
    <row r="67" customFormat="1" spans="1:70">
      <c r="A67" t="s">
        <v>629</v>
      </c>
      <c r="B67" t="s">
        <v>629</v>
      </c>
      <c r="C67" t="s">
        <v>107</v>
      </c>
      <c r="D67" t="s">
        <v>123</v>
      </c>
      <c r="E67">
        <v>1</v>
      </c>
      <c r="F67" t="s">
        <v>109</v>
      </c>
      <c r="G67" t="s">
        <v>124</v>
      </c>
      <c r="H67">
        <v>289</v>
      </c>
      <c r="I67">
        <v>289</v>
      </c>
      <c r="J67">
        <v>0</v>
      </c>
      <c r="K67">
        <v>0</v>
      </c>
      <c r="L67" t="s">
        <v>78</v>
      </c>
      <c r="M67" t="s">
        <v>78</v>
      </c>
      <c r="N67" t="s">
        <v>78</v>
      </c>
      <c r="O67">
        <v>0</v>
      </c>
      <c r="P67">
        <v>0</v>
      </c>
      <c r="Q67">
        <v>0</v>
      </c>
      <c r="R67" t="s">
        <v>111</v>
      </c>
      <c r="S67">
        <v>0</v>
      </c>
      <c r="T67" t="s">
        <v>80</v>
      </c>
      <c r="U67" t="s">
        <v>80</v>
      </c>
      <c r="V67" t="s">
        <v>325</v>
      </c>
      <c r="W67" t="s">
        <v>630</v>
      </c>
      <c r="X67" t="s">
        <v>631</v>
      </c>
      <c r="Y67" t="s">
        <v>632</v>
      </c>
      <c r="Z67" t="s">
        <v>80</v>
      </c>
      <c r="AA67" t="s">
        <v>85</v>
      </c>
      <c r="AC67" t="s">
        <v>633</v>
      </c>
      <c r="AD67" t="s">
        <v>87</v>
      </c>
      <c r="AH67" t="s">
        <v>227</v>
      </c>
      <c r="AI67" t="s">
        <v>92</v>
      </c>
      <c r="AJ67" t="s">
        <v>131</v>
      </c>
      <c r="AK67" t="s">
        <v>634</v>
      </c>
      <c r="AL67" t="s">
        <v>95</v>
      </c>
      <c r="AM67" t="s">
        <v>96</v>
      </c>
      <c r="AN67" t="s">
        <v>97</v>
      </c>
      <c r="AO67" t="s">
        <v>98</v>
      </c>
      <c r="AP67" t="s">
        <v>78</v>
      </c>
      <c r="AQ67" t="s">
        <v>78</v>
      </c>
      <c r="AR67" t="s">
        <v>353</v>
      </c>
      <c r="AS67" t="s">
        <v>78</v>
      </c>
      <c r="AT67" t="s">
        <v>100</v>
      </c>
      <c r="AU67" t="s">
        <v>100</v>
      </c>
      <c r="AW67" t="s">
        <v>85</v>
      </c>
      <c r="AX67" t="s">
        <v>103</v>
      </c>
      <c r="AY67" t="s">
        <v>159</v>
      </c>
      <c r="AZ67" t="s">
        <v>103</v>
      </c>
      <c r="BA67" t="s">
        <v>133</v>
      </c>
      <c r="BB67" t="s">
        <v>78</v>
      </c>
      <c r="BC67" t="s">
        <v>78</v>
      </c>
      <c r="BE67">
        <v>0</v>
      </c>
      <c r="BF67">
        <v>0</v>
      </c>
      <c r="BG67">
        <v>0</v>
      </c>
      <c r="BH67">
        <v>0</v>
      </c>
      <c r="BJ67" t="s">
        <v>85</v>
      </c>
      <c r="BP67" t="s">
        <v>78</v>
      </c>
      <c r="BQ67" t="s">
        <v>78</v>
      </c>
      <c r="BR67" t="s">
        <v>78</v>
      </c>
    </row>
    <row r="68" customFormat="1" spans="1:70">
      <c r="A68" t="s">
        <v>635</v>
      </c>
      <c r="B68" t="s">
        <v>635</v>
      </c>
      <c r="C68" t="s">
        <v>107</v>
      </c>
      <c r="D68" t="s">
        <v>108</v>
      </c>
      <c r="E68">
        <v>1</v>
      </c>
      <c r="F68" t="s">
        <v>109</v>
      </c>
      <c r="G68" t="s">
        <v>110</v>
      </c>
      <c r="H68">
        <v>289</v>
      </c>
      <c r="I68">
        <v>263.76</v>
      </c>
      <c r="J68">
        <v>0</v>
      </c>
      <c r="K68">
        <v>25.24</v>
      </c>
      <c r="L68" t="s">
        <v>636</v>
      </c>
      <c r="M68" t="s">
        <v>78</v>
      </c>
      <c r="N68" t="s">
        <v>78</v>
      </c>
      <c r="O68">
        <v>0</v>
      </c>
      <c r="P68">
        <v>0</v>
      </c>
      <c r="Q68">
        <v>0</v>
      </c>
      <c r="R68" t="s">
        <v>111</v>
      </c>
      <c r="S68">
        <v>0</v>
      </c>
      <c r="T68" t="s">
        <v>80</v>
      </c>
      <c r="U68" t="s">
        <v>80</v>
      </c>
      <c r="V68" t="s">
        <v>464</v>
      </c>
      <c r="W68" t="s">
        <v>637</v>
      </c>
      <c r="X68" t="s">
        <v>638</v>
      </c>
      <c r="Y68" t="s">
        <v>639</v>
      </c>
      <c r="Z68" t="s">
        <v>80</v>
      </c>
      <c r="AA68" t="s">
        <v>85</v>
      </c>
      <c r="AC68" t="s">
        <v>640</v>
      </c>
      <c r="AD68" t="s">
        <v>87</v>
      </c>
      <c r="AG68" t="s">
        <v>641</v>
      </c>
      <c r="AH68" t="s">
        <v>227</v>
      </c>
      <c r="AI68" t="s">
        <v>92</v>
      </c>
      <c r="AJ68" t="s">
        <v>131</v>
      </c>
      <c r="AK68" t="s">
        <v>642</v>
      </c>
      <c r="AL68" t="s">
        <v>95</v>
      </c>
      <c r="AM68" t="s">
        <v>96</v>
      </c>
      <c r="AN68" t="s">
        <v>97</v>
      </c>
      <c r="AO68" t="s">
        <v>98</v>
      </c>
      <c r="AP68" t="s">
        <v>78</v>
      </c>
      <c r="AQ68" t="s">
        <v>99</v>
      </c>
      <c r="AS68" t="s">
        <v>78</v>
      </c>
      <c r="AT68" t="s">
        <v>100</v>
      </c>
      <c r="AU68" t="s">
        <v>100</v>
      </c>
      <c r="AW68" t="s">
        <v>85</v>
      </c>
      <c r="AX68" t="s">
        <v>103</v>
      </c>
      <c r="AY68" t="s">
        <v>159</v>
      </c>
      <c r="AZ68" t="s">
        <v>103</v>
      </c>
      <c r="BA68" t="s">
        <v>120</v>
      </c>
      <c r="BB68" t="s">
        <v>78</v>
      </c>
      <c r="BC68" t="s">
        <v>78</v>
      </c>
      <c r="BE68">
        <v>0</v>
      </c>
      <c r="BF68">
        <v>25.24</v>
      </c>
      <c r="BG68">
        <v>0</v>
      </c>
      <c r="BH68">
        <v>0</v>
      </c>
      <c r="BJ68" t="s">
        <v>85</v>
      </c>
      <c r="BP68" t="s">
        <v>78</v>
      </c>
      <c r="BQ68" t="s">
        <v>78</v>
      </c>
      <c r="BR68" t="s">
        <v>78</v>
      </c>
    </row>
    <row r="69" customFormat="1" spans="1:70">
      <c r="A69" t="s">
        <v>643</v>
      </c>
      <c r="B69" t="s">
        <v>643</v>
      </c>
      <c r="C69" t="s">
        <v>107</v>
      </c>
      <c r="D69" t="s">
        <v>135</v>
      </c>
      <c r="E69">
        <v>1</v>
      </c>
      <c r="F69" t="s">
        <v>109</v>
      </c>
      <c r="G69" t="s">
        <v>136</v>
      </c>
      <c r="H69">
        <v>289</v>
      </c>
      <c r="I69">
        <v>289</v>
      </c>
      <c r="J69">
        <v>0</v>
      </c>
      <c r="K69">
        <v>0</v>
      </c>
      <c r="L69" t="s">
        <v>78</v>
      </c>
      <c r="M69" t="s">
        <v>78</v>
      </c>
      <c r="N69" t="s">
        <v>78</v>
      </c>
      <c r="O69">
        <v>0</v>
      </c>
      <c r="P69">
        <v>0</v>
      </c>
      <c r="Q69">
        <v>0</v>
      </c>
      <c r="R69" t="s">
        <v>111</v>
      </c>
      <c r="S69">
        <v>0</v>
      </c>
      <c r="T69" t="s">
        <v>80</v>
      </c>
      <c r="U69" t="s">
        <v>80</v>
      </c>
      <c r="V69" t="s">
        <v>509</v>
      </c>
      <c r="W69" t="s">
        <v>623</v>
      </c>
      <c r="X69" t="s">
        <v>644</v>
      </c>
      <c r="Y69" t="s">
        <v>645</v>
      </c>
      <c r="Z69" t="s">
        <v>80</v>
      </c>
      <c r="AA69" t="s">
        <v>85</v>
      </c>
      <c r="AC69" t="s">
        <v>646</v>
      </c>
      <c r="AD69" t="s">
        <v>87</v>
      </c>
      <c r="AF69" t="s">
        <v>647</v>
      </c>
      <c r="AG69" t="s">
        <v>648</v>
      </c>
      <c r="AH69" t="s">
        <v>91</v>
      </c>
      <c r="AI69" t="s">
        <v>92</v>
      </c>
      <c r="AJ69" t="s">
        <v>93</v>
      </c>
      <c r="AK69" t="s">
        <v>649</v>
      </c>
      <c r="AL69" t="s">
        <v>95</v>
      </c>
      <c r="AM69" t="s">
        <v>96</v>
      </c>
      <c r="AN69" t="s">
        <v>97</v>
      </c>
      <c r="AO69" t="s">
        <v>98</v>
      </c>
      <c r="AP69" t="s">
        <v>78</v>
      </c>
      <c r="AQ69" t="s">
        <v>78</v>
      </c>
      <c r="AS69" t="s">
        <v>78</v>
      </c>
      <c r="AT69" t="s">
        <v>100</v>
      </c>
      <c r="AU69" t="s">
        <v>100</v>
      </c>
      <c r="AW69" t="s">
        <v>85</v>
      </c>
      <c r="AX69" t="s">
        <v>101</v>
      </c>
      <c r="AY69" t="s">
        <v>102</v>
      </c>
      <c r="AZ69" t="s">
        <v>103</v>
      </c>
      <c r="BA69" t="s">
        <v>133</v>
      </c>
      <c r="BB69" t="s">
        <v>78</v>
      </c>
      <c r="BC69" t="s">
        <v>78</v>
      </c>
      <c r="BD69" t="s">
        <v>650</v>
      </c>
      <c r="BE69">
        <v>0</v>
      </c>
      <c r="BF69">
        <v>0</v>
      </c>
      <c r="BG69">
        <v>0</v>
      </c>
      <c r="BH69">
        <v>0</v>
      </c>
      <c r="BJ69" t="s">
        <v>85</v>
      </c>
      <c r="BP69" t="s">
        <v>78</v>
      </c>
      <c r="BQ69" t="s">
        <v>78</v>
      </c>
      <c r="BR69" t="s">
        <v>78</v>
      </c>
    </row>
    <row r="70" customFormat="1" spans="1:70">
      <c r="A70" t="s">
        <v>651</v>
      </c>
      <c r="B70" t="s">
        <v>651</v>
      </c>
      <c r="C70" t="s">
        <v>107</v>
      </c>
      <c r="D70" t="s">
        <v>123</v>
      </c>
      <c r="E70">
        <v>1</v>
      </c>
      <c r="F70" t="s">
        <v>109</v>
      </c>
      <c r="G70" t="s">
        <v>124</v>
      </c>
      <c r="H70">
        <v>289</v>
      </c>
      <c r="I70">
        <v>260.1</v>
      </c>
      <c r="J70">
        <v>0</v>
      </c>
      <c r="K70">
        <v>28.9</v>
      </c>
      <c r="L70" t="s">
        <v>652</v>
      </c>
      <c r="M70" t="s">
        <v>78</v>
      </c>
      <c r="N70" t="s">
        <v>78</v>
      </c>
      <c r="O70">
        <v>0</v>
      </c>
      <c r="P70">
        <v>0</v>
      </c>
      <c r="Q70">
        <v>0</v>
      </c>
      <c r="R70" t="s">
        <v>79</v>
      </c>
      <c r="S70">
        <v>0</v>
      </c>
      <c r="T70" t="s">
        <v>80</v>
      </c>
      <c r="U70" t="s">
        <v>80</v>
      </c>
      <c r="V70" t="s">
        <v>257</v>
      </c>
      <c r="W70" t="s">
        <v>257</v>
      </c>
      <c r="X70" t="s">
        <v>653</v>
      </c>
      <c r="Y70" t="s">
        <v>654</v>
      </c>
      <c r="Z70" t="s">
        <v>80</v>
      </c>
      <c r="AA70" t="s">
        <v>85</v>
      </c>
      <c r="AC70" t="s">
        <v>655</v>
      </c>
      <c r="AD70" t="s">
        <v>87</v>
      </c>
      <c r="AG70" t="s">
        <v>656</v>
      </c>
      <c r="AH70" t="s">
        <v>91</v>
      </c>
      <c r="AI70" t="s">
        <v>92</v>
      </c>
      <c r="AJ70" t="s">
        <v>131</v>
      </c>
      <c r="AK70" t="s">
        <v>657</v>
      </c>
      <c r="AL70" t="s">
        <v>95</v>
      </c>
      <c r="AM70" t="s">
        <v>96</v>
      </c>
      <c r="AN70" t="s">
        <v>97</v>
      </c>
      <c r="AO70" t="s">
        <v>98</v>
      </c>
      <c r="AP70" t="s">
        <v>78</v>
      </c>
      <c r="AQ70" t="s">
        <v>99</v>
      </c>
      <c r="AS70" t="s">
        <v>78</v>
      </c>
      <c r="AT70" t="s">
        <v>100</v>
      </c>
      <c r="AU70" t="s">
        <v>100</v>
      </c>
      <c r="AW70" t="s">
        <v>85</v>
      </c>
      <c r="AX70" t="s">
        <v>101</v>
      </c>
      <c r="AY70" t="s">
        <v>102</v>
      </c>
      <c r="AZ70" t="s">
        <v>145</v>
      </c>
      <c r="BA70" t="s">
        <v>146</v>
      </c>
      <c r="BB70" t="s">
        <v>78</v>
      </c>
      <c r="BC70" t="s">
        <v>78</v>
      </c>
      <c r="BE70">
        <v>0</v>
      </c>
      <c r="BF70">
        <v>28.9</v>
      </c>
      <c r="BG70">
        <v>0</v>
      </c>
      <c r="BH70">
        <v>0</v>
      </c>
      <c r="BJ70" t="s">
        <v>85</v>
      </c>
      <c r="BP70" t="s">
        <v>78</v>
      </c>
      <c r="BQ70" t="s">
        <v>78</v>
      </c>
      <c r="BR70" t="s">
        <v>78</v>
      </c>
    </row>
    <row r="71" customFormat="1" spans="1:70">
      <c r="A71" t="s">
        <v>658</v>
      </c>
      <c r="B71" t="s">
        <v>658</v>
      </c>
      <c r="C71" t="s">
        <v>527</v>
      </c>
      <c r="D71" t="s">
        <v>123</v>
      </c>
      <c r="E71">
        <v>1</v>
      </c>
      <c r="F71" t="s">
        <v>528</v>
      </c>
      <c r="G71" t="s">
        <v>529</v>
      </c>
      <c r="H71">
        <v>199</v>
      </c>
      <c r="I71">
        <v>194</v>
      </c>
      <c r="J71">
        <v>0</v>
      </c>
      <c r="K71">
        <v>8</v>
      </c>
      <c r="L71" t="s">
        <v>659</v>
      </c>
      <c r="M71" t="s">
        <v>78</v>
      </c>
      <c r="N71" t="s">
        <v>78</v>
      </c>
      <c r="O71">
        <v>0</v>
      </c>
      <c r="P71">
        <v>3</v>
      </c>
      <c r="Q71">
        <v>0</v>
      </c>
      <c r="R71" t="s">
        <v>79</v>
      </c>
      <c r="S71">
        <v>0</v>
      </c>
      <c r="T71" t="s">
        <v>80</v>
      </c>
      <c r="U71" t="s">
        <v>80</v>
      </c>
      <c r="V71" t="s">
        <v>574</v>
      </c>
      <c r="W71" t="s">
        <v>574</v>
      </c>
      <c r="X71" t="s">
        <v>575</v>
      </c>
      <c r="Y71" t="s">
        <v>660</v>
      </c>
      <c r="Z71" t="s">
        <v>80</v>
      </c>
      <c r="AA71" t="s">
        <v>85</v>
      </c>
      <c r="AC71" t="s">
        <v>661</v>
      </c>
      <c r="AD71" t="s">
        <v>202</v>
      </c>
      <c r="AE71" t="s">
        <v>662</v>
      </c>
      <c r="AG71" t="s">
        <v>663</v>
      </c>
      <c r="AH71" t="s">
        <v>91</v>
      </c>
      <c r="AI71" t="s">
        <v>216</v>
      </c>
      <c r="AJ71" t="s">
        <v>131</v>
      </c>
      <c r="AK71" t="s">
        <v>664</v>
      </c>
      <c r="AL71" t="s">
        <v>95</v>
      </c>
      <c r="AM71" t="s">
        <v>96</v>
      </c>
      <c r="AN71" t="s">
        <v>96</v>
      </c>
      <c r="AP71" t="s">
        <v>78</v>
      </c>
      <c r="AQ71" t="s">
        <v>99</v>
      </c>
      <c r="AS71" t="s">
        <v>78</v>
      </c>
      <c r="AT71" t="s">
        <v>100</v>
      </c>
      <c r="AU71" t="s">
        <v>100</v>
      </c>
      <c r="AW71" t="s">
        <v>85</v>
      </c>
      <c r="AX71" t="s">
        <v>101</v>
      </c>
      <c r="AY71" t="s">
        <v>102</v>
      </c>
      <c r="AZ71" t="s">
        <v>145</v>
      </c>
      <c r="BA71" t="s">
        <v>525</v>
      </c>
      <c r="BB71" t="s">
        <v>78</v>
      </c>
      <c r="BC71" t="s">
        <v>78</v>
      </c>
      <c r="BD71" t="s">
        <v>665</v>
      </c>
      <c r="BE71">
        <v>0</v>
      </c>
      <c r="BF71">
        <v>5</v>
      </c>
      <c r="BG71">
        <v>0</v>
      </c>
      <c r="BH71">
        <v>0</v>
      </c>
      <c r="BJ71" t="s">
        <v>85</v>
      </c>
      <c r="BP71" t="s">
        <v>78</v>
      </c>
      <c r="BQ71" t="s">
        <v>78</v>
      </c>
      <c r="BR71" t="s">
        <v>78</v>
      </c>
    </row>
    <row r="72" customFormat="1" spans="1:70">
      <c r="A72" t="s">
        <v>666</v>
      </c>
      <c r="B72" t="s">
        <v>666</v>
      </c>
      <c r="C72" t="s">
        <v>107</v>
      </c>
      <c r="D72" t="s">
        <v>123</v>
      </c>
      <c r="E72">
        <v>1</v>
      </c>
      <c r="F72" t="s">
        <v>109</v>
      </c>
      <c r="G72" t="s">
        <v>124</v>
      </c>
      <c r="H72">
        <v>289</v>
      </c>
      <c r="I72">
        <v>289</v>
      </c>
      <c r="J72">
        <v>0</v>
      </c>
      <c r="K72">
        <v>0</v>
      </c>
      <c r="L72" t="s">
        <v>78</v>
      </c>
      <c r="M72" t="s">
        <v>78</v>
      </c>
      <c r="N72" t="s">
        <v>78</v>
      </c>
      <c r="O72">
        <v>0</v>
      </c>
      <c r="P72">
        <v>0</v>
      </c>
      <c r="Q72">
        <v>0</v>
      </c>
      <c r="R72" t="s">
        <v>125</v>
      </c>
      <c r="S72">
        <v>0</v>
      </c>
      <c r="T72" t="s">
        <v>80</v>
      </c>
      <c r="U72" t="s">
        <v>80</v>
      </c>
      <c r="V72" t="s">
        <v>500</v>
      </c>
      <c r="W72" t="s">
        <v>667</v>
      </c>
      <c r="X72" t="s">
        <v>668</v>
      </c>
      <c r="Y72" t="s">
        <v>669</v>
      </c>
      <c r="Z72" t="s">
        <v>80</v>
      </c>
      <c r="AA72" t="s">
        <v>85</v>
      </c>
      <c r="AC72" t="s">
        <v>670</v>
      </c>
      <c r="AD72" t="s">
        <v>87</v>
      </c>
      <c r="AH72" t="s">
        <v>227</v>
      </c>
      <c r="AI72" t="s">
        <v>92</v>
      </c>
      <c r="AJ72" t="s">
        <v>131</v>
      </c>
      <c r="AK72" t="s">
        <v>671</v>
      </c>
      <c r="AL72" t="s">
        <v>95</v>
      </c>
      <c r="AM72" t="s">
        <v>96</v>
      </c>
      <c r="AN72" t="s">
        <v>97</v>
      </c>
      <c r="AO72" t="s">
        <v>98</v>
      </c>
      <c r="AP72" t="s">
        <v>78</v>
      </c>
      <c r="AQ72" t="s">
        <v>78</v>
      </c>
      <c r="AR72" t="s">
        <v>672</v>
      </c>
      <c r="AS72" t="s">
        <v>78</v>
      </c>
      <c r="AT72" t="s">
        <v>100</v>
      </c>
      <c r="AU72" t="s">
        <v>100</v>
      </c>
      <c r="AW72" t="s">
        <v>85</v>
      </c>
      <c r="AX72" t="s">
        <v>101</v>
      </c>
      <c r="AY72" t="s">
        <v>102</v>
      </c>
      <c r="AZ72" t="s">
        <v>145</v>
      </c>
      <c r="BA72" t="s">
        <v>146</v>
      </c>
      <c r="BB72" t="s">
        <v>78</v>
      </c>
      <c r="BC72" t="s">
        <v>78</v>
      </c>
      <c r="BE72">
        <v>0</v>
      </c>
      <c r="BF72">
        <v>0</v>
      </c>
      <c r="BG72">
        <v>0</v>
      </c>
      <c r="BH72">
        <v>0</v>
      </c>
      <c r="BJ72" t="s">
        <v>85</v>
      </c>
      <c r="BP72" t="s">
        <v>78</v>
      </c>
      <c r="BQ72" t="s">
        <v>78</v>
      </c>
      <c r="BR72" t="s">
        <v>78</v>
      </c>
    </row>
    <row r="73" customFormat="1" spans="1:70">
      <c r="A73" t="s">
        <v>673</v>
      </c>
      <c r="B73" t="s">
        <v>673</v>
      </c>
      <c r="C73" t="s">
        <v>527</v>
      </c>
      <c r="D73" t="s">
        <v>108</v>
      </c>
      <c r="E73">
        <v>1</v>
      </c>
      <c r="F73" t="s">
        <v>528</v>
      </c>
      <c r="G73" t="s">
        <v>674</v>
      </c>
      <c r="H73">
        <v>199</v>
      </c>
      <c r="I73">
        <v>179.25</v>
      </c>
      <c r="J73">
        <v>0</v>
      </c>
      <c r="K73">
        <v>19.75</v>
      </c>
      <c r="L73" t="s">
        <v>675</v>
      </c>
      <c r="M73" t="s">
        <v>78</v>
      </c>
      <c r="N73" t="s">
        <v>78</v>
      </c>
      <c r="O73">
        <v>0</v>
      </c>
      <c r="P73">
        <v>0</v>
      </c>
      <c r="Q73">
        <v>0</v>
      </c>
      <c r="R73" t="s">
        <v>79</v>
      </c>
      <c r="S73">
        <v>0</v>
      </c>
      <c r="T73" t="s">
        <v>80</v>
      </c>
      <c r="U73" t="s">
        <v>80</v>
      </c>
      <c r="V73" t="s">
        <v>676</v>
      </c>
      <c r="W73" t="s">
        <v>677</v>
      </c>
      <c r="X73" t="s">
        <v>678</v>
      </c>
      <c r="Y73" t="s">
        <v>679</v>
      </c>
      <c r="Z73" t="s">
        <v>80</v>
      </c>
      <c r="AA73" t="s">
        <v>85</v>
      </c>
      <c r="AC73" t="s">
        <v>680</v>
      </c>
      <c r="AD73" t="s">
        <v>87</v>
      </c>
      <c r="AG73" t="s">
        <v>681</v>
      </c>
      <c r="AH73" t="s">
        <v>227</v>
      </c>
      <c r="AI73" t="s">
        <v>216</v>
      </c>
      <c r="AJ73" t="s">
        <v>131</v>
      </c>
      <c r="AK73" t="s">
        <v>682</v>
      </c>
      <c r="AL73" t="s">
        <v>95</v>
      </c>
      <c r="AM73" t="s">
        <v>96</v>
      </c>
      <c r="AN73" t="s">
        <v>96</v>
      </c>
      <c r="AP73" t="s">
        <v>78</v>
      </c>
      <c r="AQ73" t="s">
        <v>99</v>
      </c>
      <c r="AS73" t="s">
        <v>78</v>
      </c>
      <c r="AT73" t="s">
        <v>100</v>
      </c>
      <c r="AU73" t="s">
        <v>100</v>
      </c>
      <c r="AW73" t="s">
        <v>85</v>
      </c>
      <c r="AX73" t="s">
        <v>101</v>
      </c>
      <c r="AY73" t="s">
        <v>102</v>
      </c>
      <c r="AZ73" t="s">
        <v>145</v>
      </c>
      <c r="BA73" t="s">
        <v>683</v>
      </c>
      <c r="BB73" t="s">
        <v>78</v>
      </c>
      <c r="BC73" t="s">
        <v>78</v>
      </c>
      <c r="BE73">
        <v>0</v>
      </c>
      <c r="BF73">
        <v>19.75</v>
      </c>
      <c r="BG73">
        <v>0</v>
      </c>
      <c r="BH73">
        <v>0</v>
      </c>
      <c r="BJ73" t="s">
        <v>85</v>
      </c>
      <c r="BP73" t="s">
        <v>78</v>
      </c>
      <c r="BQ73" t="s">
        <v>78</v>
      </c>
      <c r="BR73" t="s">
        <v>78</v>
      </c>
    </row>
    <row r="74" customFormat="1" spans="1:70">
      <c r="A74" t="s">
        <v>684</v>
      </c>
      <c r="B74" t="s">
        <v>684</v>
      </c>
      <c r="C74" t="s">
        <v>527</v>
      </c>
      <c r="D74" t="s">
        <v>108</v>
      </c>
      <c r="E74">
        <v>1</v>
      </c>
      <c r="F74" t="s">
        <v>528</v>
      </c>
      <c r="G74" t="s">
        <v>674</v>
      </c>
      <c r="H74">
        <v>199</v>
      </c>
      <c r="I74">
        <v>199</v>
      </c>
      <c r="J74">
        <v>0</v>
      </c>
      <c r="K74">
        <v>0</v>
      </c>
      <c r="L74" t="s">
        <v>78</v>
      </c>
      <c r="M74" t="s">
        <v>78</v>
      </c>
      <c r="N74" t="s">
        <v>78</v>
      </c>
      <c r="O74">
        <v>0</v>
      </c>
      <c r="P74">
        <v>0</v>
      </c>
      <c r="Q74">
        <v>0</v>
      </c>
      <c r="R74" t="s">
        <v>79</v>
      </c>
      <c r="S74">
        <v>0</v>
      </c>
      <c r="T74" t="s">
        <v>80</v>
      </c>
      <c r="U74" t="s">
        <v>80</v>
      </c>
      <c r="V74" t="s">
        <v>583</v>
      </c>
      <c r="W74" t="s">
        <v>685</v>
      </c>
      <c r="X74" t="s">
        <v>686</v>
      </c>
      <c r="Y74" t="s">
        <v>687</v>
      </c>
      <c r="Z74" t="s">
        <v>80</v>
      </c>
      <c r="AA74" t="s">
        <v>85</v>
      </c>
      <c r="AC74" t="s">
        <v>688</v>
      </c>
      <c r="AD74" t="s">
        <v>87</v>
      </c>
      <c r="AF74" t="s">
        <v>689</v>
      </c>
      <c r="AG74" t="s">
        <v>690</v>
      </c>
      <c r="AH74" t="s">
        <v>91</v>
      </c>
      <c r="AI74" t="s">
        <v>92</v>
      </c>
      <c r="AJ74" t="s">
        <v>93</v>
      </c>
      <c r="AK74" t="s">
        <v>691</v>
      </c>
      <c r="AL74" t="s">
        <v>95</v>
      </c>
      <c r="AM74" t="s">
        <v>96</v>
      </c>
      <c r="AN74" t="s">
        <v>97</v>
      </c>
      <c r="AO74" t="s">
        <v>98</v>
      </c>
      <c r="AP74" t="s">
        <v>78</v>
      </c>
      <c r="AQ74" t="s">
        <v>78</v>
      </c>
      <c r="AS74" t="s">
        <v>78</v>
      </c>
      <c r="AT74" t="s">
        <v>100</v>
      </c>
      <c r="AU74" t="s">
        <v>100</v>
      </c>
      <c r="AW74" t="s">
        <v>85</v>
      </c>
      <c r="AX74" t="s">
        <v>101</v>
      </c>
      <c r="AY74" t="s">
        <v>102</v>
      </c>
      <c r="AZ74" t="s">
        <v>103</v>
      </c>
      <c r="BA74" t="s">
        <v>104</v>
      </c>
      <c r="BB74" t="s">
        <v>78</v>
      </c>
      <c r="BC74" t="s">
        <v>78</v>
      </c>
      <c r="BD74" t="s">
        <v>531</v>
      </c>
      <c r="BE74">
        <v>0</v>
      </c>
      <c r="BF74">
        <v>0</v>
      </c>
      <c r="BG74">
        <v>0</v>
      </c>
      <c r="BH74">
        <v>0</v>
      </c>
      <c r="BJ74" t="s">
        <v>85</v>
      </c>
      <c r="BP74" t="s">
        <v>78</v>
      </c>
      <c r="BQ74" t="s">
        <v>78</v>
      </c>
      <c r="BR74" t="s">
        <v>78</v>
      </c>
    </row>
    <row r="75" customFormat="1" spans="1:70">
      <c r="A75" t="s">
        <v>692</v>
      </c>
      <c r="B75" t="s">
        <v>692</v>
      </c>
      <c r="C75" t="s">
        <v>527</v>
      </c>
      <c r="D75" t="s">
        <v>135</v>
      </c>
      <c r="E75">
        <v>1</v>
      </c>
      <c r="F75" t="s">
        <v>528</v>
      </c>
      <c r="G75" t="s">
        <v>540</v>
      </c>
      <c r="H75">
        <v>199</v>
      </c>
      <c r="I75">
        <v>199</v>
      </c>
      <c r="J75">
        <v>0</v>
      </c>
      <c r="K75">
        <v>0.84</v>
      </c>
      <c r="L75" t="s">
        <v>78</v>
      </c>
      <c r="M75" t="s">
        <v>78</v>
      </c>
      <c r="N75" t="s">
        <v>78</v>
      </c>
      <c r="O75">
        <v>0</v>
      </c>
      <c r="P75">
        <v>0.84</v>
      </c>
      <c r="Q75">
        <v>0</v>
      </c>
      <c r="R75" t="s">
        <v>125</v>
      </c>
      <c r="S75">
        <v>0</v>
      </c>
      <c r="T75" t="s">
        <v>80</v>
      </c>
      <c r="U75" t="s">
        <v>80</v>
      </c>
      <c r="V75" t="s">
        <v>509</v>
      </c>
      <c r="W75" t="s">
        <v>623</v>
      </c>
      <c r="X75" t="s">
        <v>624</v>
      </c>
      <c r="Y75" t="s">
        <v>693</v>
      </c>
      <c r="Z75" t="s">
        <v>80</v>
      </c>
      <c r="AA75" t="s">
        <v>85</v>
      </c>
      <c r="AC75" t="s">
        <v>694</v>
      </c>
      <c r="AD75" t="s">
        <v>87</v>
      </c>
      <c r="AF75" t="s">
        <v>695</v>
      </c>
      <c r="AG75" t="s">
        <v>696</v>
      </c>
      <c r="AH75" t="s">
        <v>91</v>
      </c>
      <c r="AI75" t="s">
        <v>92</v>
      </c>
      <c r="AJ75" t="s">
        <v>93</v>
      </c>
      <c r="AK75" t="s">
        <v>697</v>
      </c>
      <c r="AL75" t="s">
        <v>95</v>
      </c>
      <c r="AM75" t="s">
        <v>96</v>
      </c>
      <c r="AN75" t="s">
        <v>97</v>
      </c>
      <c r="AO75" t="s">
        <v>98</v>
      </c>
      <c r="AP75" t="s">
        <v>78</v>
      </c>
      <c r="AQ75" t="s">
        <v>78</v>
      </c>
      <c r="AS75" t="s">
        <v>78</v>
      </c>
      <c r="AT75" t="s">
        <v>100</v>
      </c>
      <c r="AU75" t="s">
        <v>100</v>
      </c>
      <c r="AW75" t="s">
        <v>85</v>
      </c>
      <c r="AX75" t="s">
        <v>101</v>
      </c>
      <c r="AY75" t="s">
        <v>102</v>
      </c>
      <c r="AZ75" t="s">
        <v>103</v>
      </c>
      <c r="BA75" t="s">
        <v>133</v>
      </c>
      <c r="BB75" t="s">
        <v>78</v>
      </c>
      <c r="BC75" t="s">
        <v>78</v>
      </c>
      <c r="BD75" t="s">
        <v>698</v>
      </c>
      <c r="BE75">
        <v>0</v>
      </c>
      <c r="BF75">
        <v>0</v>
      </c>
      <c r="BG75">
        <v>0</v>
      </c>
      <c r="BH75">
        <v>0</v>
      </c>
      <c r="BJ75" t="s">
        <v>85</v>
      </c>
      <c r="BP75" t="s">
        <v>78</v>
      </c>
      <c r="BQ75" t="s">
        <v>78</v>
      </c>
      <c r="BR75" t="s">
        <v>78</v>
      </c>
    </row>
    <row r="76" customFormat="1" spans="1:70">
      <c r="A76" t="s">
        <v>699</v>
      </c>
      <c r="B76" t="s">
        <v>699</v>
      </c>
      <c r="C76" t="s">
        <v>107</v>
      </c>
      <c r="D76" t="s">
        <v>123</v>
      </c>
      <c r="E76">
        <v>1</v>
      </c>
      <c r="F76" t="s">
        <v>109</v>
      </c>
      <c r="G76" t="s">
        <v>124</v>
      </c>
      <c r="H76">
        <v>289</v>
      </c>
      <c r="I76">
        <v>289</v>
      </c>
      <c r="J76">
        <v>0</v>
      </c>
      <c r="K76">
        <v>0</v>
      </c>
      <c r="L76" t="s">
        <v>78</v>
      </c>
      <c r="M76" t="s">
        <v>78</v>
      </c>
      <c r="N76" t="s">
        <v>78</v>
      </c>
      <c r="O76">
        <v>0</v>
      </c>
      <c r="P76">
        <v>0</v>
      </c>
      <c r="Q76">
        <v>0</v>
      </c>
      <c r="R76" t="s">
        <v>111</v>
      </c>
      <c r="S76">
        <v>0</v>
      </c>
      <c r="T76" t="s">
        <v>80</v>
      </c>
      <c r="U76" t="s">
        <v>80</v>
      </c>
      <c r="V76" t="s">
        <v>161</v>
      </c>
      <c r="W76" t="s">
        <v>161</v>
      </c>
      <c r="X76" t="s">
        <v>162</v>
      </c>
      <c r="Y76" t="s">
        <v>700</v>
      </c>
      <c r="Z76" t="s">
        <v>80</v>
      </c>
      <c r="AA76" t="s">
        <v>85</v>
      </c>
      <c r="AC76" t="s">
        <v>701</v>
      </c>
      <c r="AD76" t="s">
        <v>202</v>
      </c>
      <c r="AE76" t="s">
        <v>702</v>
      </c>
      <c r="AG76" t="s">
        <v>703</v>
      </c>
      <c r="AH76" t="s">
        <v>91</v>
      </c>
      <c r="AI76" t="s">
        <v>216</v>
      </c>
      <c r="AJ76" t="s">
        <v>131</v>
      </c>
      <c r="AK76" t="s">
        <v>704</v>
      </c>
      <c r="AL76" t="s">
        <v>95</v>
      </c>
      <c r="AM76" t="s">
        <v>96</v>
      </c>
      <c r="AN76" t="s">
        <v>96</v>
      </c>
      <c r="AP76" t="s">
        <v>78</v>
      </c>
      <c r="AQ76" t="s">
        <v>99</v>
      </c>
      <c r="AS76" t="s">
        <v>78</v>
      </c>
      <c r="AT76" t="s">
        <v>100</v>
      </c>
      <c r="AU76" t="s">
        <v>100</v>
      </c>
      <c r="AW76" t="s">
        <v>85</v>
      </c>
      <c r="AX76" t="s">
        <v>101</v>
      </c>
      <c r="AY76" t="s">
        <v>102</v>
      </c>
      <c r="AZ76" t="s">
        <v>145</v>
      </c>
      <c r="BA76" t="s">
        <v>525</v>
      </c>
      <c r="BB76" t="s">
        <v>78</v>
      </c>
      <c r="BC76" t="s">
        <v>78</v>
      </c>
      <c r="BD76" t="s">
        <v>705</v>
      </c>
      <c r="BE76">
        <v>0</v>
      </c>
      <c r="BF76">
        <v>0</v>
      </c>
      <c r="BG76">
        <v>0</v>
      </c>
      <c r="BH76">
        <v>0</v>
      </c>
      <c r="BJ76" t="s">
        <v>85</v>
      </c>
      <c r="BP76" t="s">
        <v>78</v>
      </c>
      <c r="BQ76" t="s">
        <v>78</v>
      </c>
      <c r="BR76" t="s">
        <v>78</v>
      </c>
    </row>
    <row r="77" customFormat="1" spans="1:70">
      <c r="A77" t="s">
        <v>706</v>
      </c>
      <c r="B77" t="s">
        <v>706</v>
      </c>
      <c r="C77" t="s">
        <v>107</v>
      </c>
      <c r="D77" t="s">
        <v>135</v>
      </c>
      <c r="E77">
        <v>1</v>
      </c>
      <c r="F77" t="s">
        <v>109</v>
      </c>
      <c r="G77" t="s">
        <v>136</v>
      </c>
      <c r="H77">
        <v>289</v>
      </c>
      <c r="I77">
        <v>253.32</v>
      </c>
      <c r="J77">
        <v>0</v>
      </c>
      <c r="K77">
        <v>35.68</v>
      </c>
      <c r="L77" t="s">
        <v>707</v>
      </c>
      <c r="M77" t="s">
        <v>78</v>
      </c>
      <c r="N77" t="s">
        <v>78</v>
      </c>
      <c r="O77">
        <v>0</v>
      </c>
      <c r="P77">
        <v>0</v>
      </c>
      <c r="Q77">
        <v>0</v>
      </c>
      <c r="R77" t="s">
        <v>125</v>
      </c>
      <c r="S77">
        <v>0</v>
      </c>
      <c r="T77" t="s">
        <v>80</v>
      </c>
      <c r="U77" t="s">
        <v>80</v>
      </c>
      <c r="V77" t="s">
        <v>464</v>
      </c>
      <c r="W77" t="s">
        <v>542</v>
      </c>
      <c r="X77" t="s">
        <v>543</v>
      </c>
      <c r="Y77" t="s">
        <v>544</v>
      </c>
      <c r="Z77" t="s">
        <v>80</v>
      </c>
      <c r="AA77" t="s">
        <v>85</v>
      </c>
      <c r="AC77" t="s">
        <v>708</v>
      </c>
      <c r="AD77" t="s">
        <v>87</v>
      </c>
      <c r="AG77" t="s">
        <v>709</v>
      </c>
      <c r="AH77" t="s">
        <v>91</v>
      </c>
      <c r="AI77" t="s">
        <v>92</v>
      </c>
      <c r="AJ77" t="s">
        <v>131</v>
      </c>
      <c r="AK77" t="s">
        <v>710</v>
      </c>
      <c r="AL77" t="s">
        <v>95</v>
      </c>
      <c r="AM77" t="s">
        <v>96</v>
      </c>
      <c r="AN77" t="s">
        <v>97</v>
      </c>
      <c r="AO77" t="s">
        <v>98</v>
      </c>
      <c r="AP77" t="s">
        <v>78</v>
      </c>
      <c r="AQ77" t="s">
        <v>99</v>
      </c>
      <c r="AS77" t="s">
        <v>78</v>
      </c>
      <c r="AT77" t="s">
        <v>100</v>
      </c>
      <c r="AU77" t="s">
        <v>100</v>
      </c>
      <c r="AW77" t="s">
        <v>85</v>
      </c>
      <c r="AX77" t="s">
        <v>101</v>
      </c>
      <c r="AY77" t="s">
        <v>102</v>
      </c>
      <c r="AZ77" t="s">
        <v>103</v>
      </c>
      <c r="BA77" t="s">
        <v>218</v>
      </c>
      <c r="BB77" t="s">
        <v>78</v>
      </c>
      <c r="BC77" t="s">
        <v>78</v>
      </c>
      <c r="BE77">
        <v>0</v>
      </c>
      <c r="BF77">
        <v>35.68</v>
      </c>
      <c r="BG77">
        <v>0</v>
      </c>
      <c r="BH77">
        <v>0</v>
      </c>
      <c r="BJ77" t="s">
        <v>85</v>
      </c>
      <c r="BP77" t="s">
        <v>78</v>
      </c>
      <c r="BQ77" t="s">
        <v>78</v>
      </c>
      <c r="BR77" t="s">
        <v>78</v>
      </c>
    </row>
    <row r="78" customFormat="1" spans="1:70">
      <c r="A78" t="s">
        <v>711</v>
      </c>
      <c r="B78" t="s">
        <v>711</v>
      </c>
      <c r="C78" t="s">
        <v>107</v>
      </c>
      <c r="D78" t="s">
        <v>108</v>
      </c>
      <c r="E78">
        <v>1</v>
      </c>
      <c r="F78" t="s">
        <v>109</v>
      </c>
      <c r="G78" t="s">
        <v>110</v>
      </c>
      <c r="H78">
        <v>289</v>
      </c>
      <c r="I78">
        <v>234</v>
      </c>
      <c r="J78">
        <v>0</v>
      </c>
      <c r="K78">
        <v>55</v>
      </c>
      <c r="L78" t="s">
        <v>712</v>
      </c>
      <c r="M78" t="s">
        <v>78</v>
      </c>
      <c r="N78" t="s">
        <v>78</v>
      </c>
      <c r="O78">
        <v>0</v>
      </c>
      <c r="P78">
        <v>0</v>
      </c>
      <c r="Q78">
        <v>0</v>
      </c>
      <c r="R78" t="s">
        <v>125</v>
      </c>
      <c r="S78">
        <v>0</v>
      </c>
      <c r="T78" t="s">
        <v>80</v>
      </c>
      <c r="U78" t="s">
        <v>80</v>
      </c>
      <c r="V78" t="s">
        <v>126</v>
      </c>
      <c r="W78" t="s">
        <v>377</v>
      </c>
      <c r="X78" t="s">
        <v>378</v>
      </c>
      <c r="Y78" t="s">
        <v>78</v>
      </c>
      <c r="Z78" t="s">
        <v>80</v>
      </c>
      <c r="AA78" t="s">
        <v>85</v>
      </c>
      <c r="AC78" t="s">
        <v>713</v>
      </c>
      <c r="AD78" t="s">
        <v>87</v>
      </c>
      <c r="AG78" t="s">
        <v>714</v>
      </c>
      <c r="AH78" t="s">
        <v>227</v>
      </c>
      <c r="AI78" t="s">
        <v>92</v>
      </c>
      <c r="AJ78" t="s">
        <v>131</v>
      </c>
      <c r="AK78" t="s">
        <v>715</v>
      </c>
      <c r="AL78" t="s">
        <v>95</v>
      </c>
      <c r="AM78" t="s">
        <v>96</v>
      </c>
      <c r="AN78" t="s">
        <v>97</v>
      </c>
      <c r="AO78" t="s">
        <v>98</v>
      </c>
      <c r="AP78" t="s">
        <v>78</v>
      </c>
      <c r="AQ78" t="s">
        <v>99</v>
      </c>
      <c r="AS78" t="s">
        <v>78</v>
      </c>
      <c r="AT78" t="s">
        <v>100</v>
      </c>
      <c r="AU78" t="s">
        <v>100</v>
      </c>
      <c r="AW78" t="s">
        <v>85</v>
      </c>
      <c r="AX78" t="s">
        <v>103</v>
      </c>
      <c r="AY78" t="s">
        <v>159</v>
      </c>
      <c r="AZ78" t="s">
        <v>103</v>
      </c>
      <c r="BA78" t="s">
        <v>104</v>
      </c>
      <c r="BB78" t="s">
        <v>78</v>
      </c>
      <c r="BC78" t="s">
        <v>78</v>
      </c>
      <c r="BE78">
        <v>0</v>
      </c>
      <c r="BF78">
        <v>55</v>
      </c>
      <c r="BG78">
        <v>0</v>
      </c>
      <c r="BH78">
        <v>0</v>
      </c>
      <c r="BJ78" t="s">
        <v>85</v>
      </c>
      <c r="BP78" t="s">
        <v>78</v>
      </c>
      <c r="BQ78" t="s">
        <v>78</v>
      </c>
      <c r="BR78" t="s">
        <v>78</v>
      </c>
    </row>
    <row r="79" customFormat="1" spans="1:70">
      <c r="A79" t="s">
        <v>716</v>
      </c>
      <c r="B79" t="s">
        <v>716</v>
      </c>
      <c r="C79" t="s">
        <v>107</v>
      </c>
      <c r="D79" t="s">
        <v>108</v>
      </c>
      <c r="E79">
        <v>1</v>
      </c>
      <c r="F79" t="s">
        <v>109</v>
      </c>
      <c r="G79" t="s">
        <v>110</v>
      </c>
      <c r="H79">
        <v>289</v>
      </c>
      <c r="I79">
        <v>289</v>
      </c>
      <c r="J79">
        <v>0</v>
      </c>
      <c r="K79">
        <v>0</v>
      </c>
      <c r="L79" t="s">
        <v>78</v>
      </c>
      <c r="M79" t="s">
        <v>78</v>
      </c>
      <c r="N79" t="s">
        <v>78</v>
      </c>
      <c r="O79">
        <v>0</v>
      </c>
      <c r="P79">
        <v>0</v>
      </c>
      <c r="Q79">
        <v>0</v>
      </c>
      <c r="R79" t="s">
        <v>79</v>
      </c>
      <c r="S79">
        <v>0</v>
      </c>
      <c r="T79" t="s">
        <v>80</v>
      </c>
      <c r="U79" t="s">
        <v>80</v>
      </c>
      <c r="V79" t="s">
        <v>271</v>
      </c>
      <c r="W79" t="s">
        <v>717</v>
      </c>
      <c r="X79" t="s">
        <v>718</v>
      </c>
      <c r="Y79" t="s">
        <v>719</v>
      </c>
      <c r="Z79" t="s">
        <v>80</v>
      </c>
      <c r="AA79" t="s">
        <v>85</v>
      </c>
      <c r="AC79" t="s">
        <v>720</v>
      </c>
      <c r="AD79" t="s">
        <v>87</v>
      </c>
      <c r="AF79" t="s">
        <v>721</v>
      </c>
      <c r="AG79" t="s">
        <v>722</v>
      </c>
      <c r="AH79" t="s">
        <v>91</v>
      </c>
      <c r="AI79" t="s">
        <v>92</v>
      </c>
      <c r="AJ79" t="s">
        <v>93</v>
      </c>
      <c r="AK79" t="s">
        <v>723</v>
      </c>
      <c r="AL79" t="s">
        <v>95</v>
      </c>
      <c r="AM79" t="s">
        <v>96</v>
      </c>
      <c r="AN79" t="s">
        <v>97</v>
      </c>
      <c r="AO79" t="s">
        <v>98</v>
      </c>
      <c r="AP79" t="s">
        <v>78</v>
      </c>
      <c r="AQ79" t="s">
        <v>78</v>
      </c>
      <c r="AS79" t="s">
        <v>78</v>
      </c>
      <c r="AT79" t="s">
        <v>100</v>
      </c>
      <c r="AU79" t="s">
        <v>100</v>
      </c>
      <c r="AW79" t="s">
        <v>85</v>
      </c>
      <c r="AX79" t="s">
        <v>101</v>
      </c>
      <c r="AY79" t="s">
        <v>102</v>
      </c>
      <c r="AZ79" t="s">
        <v>103</v>
      </c>
      <c r="BA79" t="s">
        <v>133</v>
      </c>
      <c r="BB79" t="s">
        <v>78</v>
      </c>
      <c r="BC79" t="s">
        <v>78</v>
      </c>
      <c r="BD79" t="s">
        <v>724</v>
      </c>
      <c r="BE79">
        <v>0</v>
      </c>
      <c r="BF79">
        <v>0</v>
      </c>
      <c r="BG79">
        <v>0</v>
      </c>
      <c r="BH79">
        <v>0</v>
      </c>
      <c r="BJ79" t="s">
        <v>85</v>
      </c>
      <c r="BP79" t="s">
        <v>78</v>
      </c>
      <c r="BQ79" t="s">
        <v>78</v>
      </c>
      <c r="BR79" t="s">
        <v>78</v>
      </c>
    </row>
    <row r="80" customFormat="1" spans="1:70">
      <c r="A80" t="s">
        <v>725</v>
      </c>
      <c r="B80" t="s">
        <v>725</v>
      </c>
      <c r="C80" t="s">
        <v>107</v>
      </c>
      <c r="D80" t="s">
        <v>108</v>
      </c>
      <c r="E80">
        <v>1</v>
      </c>
      <c r="F80" t="s">
        <v>109</v>
      </c>
      <c r="G80" t="s">
        <v>110</v>
      </c>
      <c r="H80">
        <v>289</v>
      </c>
      <c r="I80">
        <v>264.29</v>
      </c>
      <c r="J80">
        <v>0</v>
      </c>
      <c r="K80">
        <v>24.71</v>
      </c>
      <c r="L80" t="s">
        <v>726</v>
      </c>
      <c r="M80" t="s">
        <v>78</v>
      </c>
      <c r="N80" t="s">
        <v>78</v>
      </c>
      <c r="O80">
        <v>0</v>
      </c>
      <c r="P80">
        <v>0</v>
      </c>
      <c r="Q80">
        <v>0</v>
      </c>
      <c r="R80" t="s">
        <v>79</v>
      </c>
      <c r="S80">
        <v>0</v>
      </c>
      <c r="T80" t="s">
        <v>80</v>
      </c>
      <c r="U80" t="s">
        <v>80</v>
      </c>
      <c r="V80" t="s">
        <v>347</v>
      </c>
      <c r="W80" t="s">
        <v>727</v>
      </c>
      <c r="X80" t="s">
        <v>728</v>
      </c>
      <c r="Y80" t="s">
        <v>729</v>
      </c>
      <c r="Z80" t="s">
        <v>80</v>
      </c>
      <c r="AA80" t="s">
        <v>85</v>
      </c>
      <c r="AC80" t="s">
        <v>730</v>
      </c>
      <c r="AD80" t="s">
        <v>87</v>
      </c>
      <c r="AG80" t="s">
        <v>731</v>
      </c>
      <c r="AH80" t="s">
        <v>227</v>
      </c>
      <c r="AI80" t="s">
        <v>92</v>
      </c>
      <c r="AJ80" t="s">
        <v>131</v>
      </c>
      <c r="AK80" t="s">
        <v>732</v>
      </c>
      <c r="AL80" t="s">
        <v>95</v>
      </c>
      <c r="AM80" t="s">
        <v>96</v>
      </c>
      <c r="AN80" t="s">
        <v>97</v>
      </c>
      <c r="AO80" t="s">
        <v>98</v>
      </c>
      <c r="AP80" t="s">
        <v>78</v>
      </c>
      <c r="AQ80" t="s">
        <v>99</v>
      </c>
      <c r="AS80" t="s">
        <v>78</v>
      </c>
      <c r="AT80" t="s">
        <v>100</v>
      </c>
      <c r="AU80" t="s">
        <v>100</v>
      </c>
      <c r="AW80" t="s">
        <v>85</v>
      </c>
      <c r="AX80" t="s">
        <v>101</v>
      </c>
      <c r="AY80" t="s">
        <v>102</v>
      </c>
      <c r="AZ80" t="s">
        <v>103</v>
      </c>
      <c r="BA80" t="s">
        <v>683</v>
      </c>
      <c r="BB80" t="s">
        <v>78</v>
      </c>
      <c r="BC80" t="s">
        <v>78</v>
      </c>
      <c r="BE80">
        <v>0</v>
      </c>
      <c r="BF80">
        <v>24.71</v>
      </c>
      <c r="BG80">
        <v>0</v>
      </c>
      <c r="BH80">
        <v>0</v>
      </c>
      <c r="BJ80" t="s">
        <v>85</v>
      </c>
      <c r="BP80" t="s">
        <v>78</v>
      </c>
      <c r="BQ80" t="s">
        <v>78</v>
      </c>
      <c r="BR80" t="s">
        <v>78</v>
      </c>
    </row>
    <row r="81" customFormat="1" spans="1:70">
      <c r="A81" t="s">
        <v>733</v>
      </c>
      <c r="B81" t="s">
        <v>733</v>
      </c>
      <c r="C81" t="s">
        <v>527</v>
      </c>
      <c r="D81" t="s">
        <v>108</v>
      </c>
      <c r="E81">
        <v>1</v>
      </c>
      <c r="F81" t="s">
        <v>528</v>
      </c>
      <c r="G81" t="s">
        <v>674</v>
      </c>
      <c r="H81">
        <v>199</v>
      </c>
      <c r="I81">
        <v>173.97</v>
      </c>
      <c r="J81">
        <v>0</v>
      </c>
      <c r="K81">
        <v>25.03</v>
      </c>
      <c r="L81" t="s">
        <v>734</v>
      </c>
      <c r="M81" t="s">
        <v>78</v>
      </c>
      <c r="N81" t="s">
        <v>78</v>
      </c>
      <c r="O81">
        <v>0</v>
      </c>
      <c r="P81">
        <v>0</v>
      </c>
      <c r="Q81">
        <v>0</v>
      </c>
      <c r="R81" t="s">
        <v>79</v>
      </c>
      <c r="S81">
        <v>0</v>
      </c>
      <c r="T81" t="s">
        <v>80</v>
      </c>
      <c r="U81" t="s">
        <v>80</v>
      </c>
      <c r="V81" t="s">
        <v>152</v>
      </c>
      <c r="W81" t="s">
        <v>153</v>
      </c>
      <c r="X81" t="s">
        <v>154</v>
      </c>
      <c r="Y81" t="s">
        <v>735</v>
      </c>
      <c r="Z81" t="s">
        <v>80</v>
      </c>
      <c r="AA81" t="s">
        <v>85</v>
      </c>
      <c r="AC81" t="s">
        <v>736</v>
      </c>
      <c r="AD81" t="s">
        <v>87</v>
      </c>
      <c r="AG81" t="s">
        <v>737</v>
      </c>
      <c r="AH81" t="s">
        <v>91</v>
      </c>
      <c r="AI81" t="s">
        <v>92</v>
      </c>
      <c r="AJ81" t="s">
        <v>131</v>
      </c>
      <c r="AK81" t="s">
        <v>738</v>
      </c>
      <c r="AL81" t="s">
        <v>95</v>
      </c>
      <c r="AM81" t="s">
        <v>96</v>
      </c>
      <c r="AN81" t="s">
        <v>97</v>
      </c>
      <c r="AO81" t="s">
        <v>98</v>
      </c>
      <c r="AP81" t="s">
        <v>78</v>
      </c>
      <c r="AQ81" t="s">
        <v>99</v>
      </c>
      <c r="AS81" t="s">
        <v>78</v>
      </c>
      <c r="AT81" t="s">
        <v>100</v>
      </c>
      <c r="AU81" t="s">
        <v>100</v>
      </c>
      <c r="AW81" t="s">
        <v>85</v>
      </c>
      <c r="AX81" t="s">
        <v>103</v>
      </c>
      <c r="AY81" t="s">
        <v>159</v>
      </c>
      <c r="AZ81" t="s">
        <v>103</v>
      </c>
      <c r="BA81" t="s">
        <v>104</v>
      </c>
      <c r="BB81" t="s">
        <v>78</v>
      </c>
      <c r="BC81" t="s">
        <v>78</v>
      </c>
      <c r="BE81">
        <v>0</v>
      </c>
      <c r="BF81">
        <v>25.03</v>
      </c>
      <c r="BG81">
        <v>0</v>
      </c>
      <c r="BH81">
        <v>0</v>
      </c>
      <c r="BJ81" t="s">
        <v>85</v>
      </c>
      <c r="BP81" t="s">
        <v>78</v>
      </c>
      <c r="BQ81" t="s">
        <v>78</v>
      </c>
      <c r="BR81" t="s">
        <v>78</v>
      </c>
    </row>
    <row r="82" customFormat="1" spans="1:70">
      <c r="A82" t="s">
        <v>739</v>
      </c>
      <c r="B82" t="s">
        <v>739</v>
      </c>
      <c r="C82" t="s">
        <v>107</v>
      </c>
      <c r="D82" t="s">
        <v>108</v>
      </c>
      <c r="E82">
        <v>1</v>
      </c>
      <c r="F82" t="s">
        <v>109</v>
      </c>
      <c r="G82" t="s">
        <v>110</v>
      </c>
      <c r="H82">
        <v>289</v>
      </c>
      <c r="I82">
        <v>259.05</v>
      </c>
      <c r="J82">
        <v>0</v>
      </c>
      <c r="K82">
        <v>29.95</v>
      </c>
      <c r="L82" t="s">
        <v>740</v>
      </c>
      <c r="M82" t="s">
        <v>78</v>
      </c>
      <c r="N82" t="s">
        <v>78</v>
      </c>
      <c r="O82">
        <v>0</v>
      </c>
      <c r="P82">
        <v>0</v>
      </c>
      <c r="Q82">
        <v>0</v>
      </c>
      <c r="R82" t="s">
        <v>79</v>
      </c>
      <c r="S82">
        <v>0</v>
      </c>
      <c r="T82" t="s">
        <v>80</v>
      </c>
      <c r="U82" t="s">
        <v>80</v>
      </c>
      <c r="V82" t="s">
        <v>126</v>
      </c>
      <c r="W82" t="s">
        <v>518</v>
      </c>
      <c r="X82" t="s">
        <v>741</v>
      </c>
      <c r="Y82" t="s">
        <v>742</v>
      </c>
      <c r="Z82" t="s">
        <v>80</v>
      </c>
      <c r="AA82" t="s">
        <v>85</v>
      </c>
      <c r="AC82" t="s">
        <v>743</v>
      </c>
      <c r="AD82" t="s">
        <v>87</v>
      </c>
      <c r="AF82" t="s">
        <v>744</v>
      </c>
      <c r="AG82" t="s">
        <v>745</v>
      </c>
      <c r="AH82" t="s">
        <v>91</v>
      </c>
      <c r="AI82" t="s">
        <v>92</v>
      </c>
      <c r="AJ82" t="s">
        <v>93</v>
      </c>
      <c r="AK82" t="s">
        <v>746</v>
      </c>
      <c r="AL82" t="s">
        <v>95</v>
      </c>
      <c r="AM82" t="s">
        <v>96</v>
      </c>
      <c r="AN82" t="s">
        <v>97</v>
      </c>
      <c r="AO82" t="s">
        <v>98</v>
      </c>
      <c r="AP82" t="s">
        <v>78</v>
      </c>
      <c r="AQ82" t="s">
        <v>78</v>
      </c>
      <c r="AS82" t="s">
        <v>78</v>
      </c>
      <c r="AT82" t="s">
        <v>100</v>
      </c>
      <c r="AU82" t="s">
        <v>100</v>
      </c>
      <c r="AW82" t="s">
        <v>85</v>
      </c>
      <c r="AX82" t="s">
        <v>101</v>
      </c>
      <c r="AY82" t="s">
        <v>102</v>
      </c>
      <c r="AZ82" t="s">
        <v>103</v>
      </c>
      <c r="BA82" t="s">
        <v>218</v>
      </c>
      <c r="BB82" t="s">
        <v>78</v>
      </c>
      <c r="BC82" t="s">
        <v>78</v>
      </c>
      <c r="BD82" t="s">
        <v>747</v>
      </c>
      <c r="BE82">
        <v>0</v>
      </c>
      <c r="BF82">
        <v>29.95</v>
      </c>
      <c r="BG82">
        <v>0</v>
      </c>
      <c r="BH82">
        <v>0</v>
      </c>
      <c r="BJ82" t="s">
        <v>85</v>
      </c>
      <c r="BP82" t="s">
        <v>78</v>
      </c>
      <c r="BQ82" t="s">
        <v>78</v>
      </c>
      <c r="BR82" t="s">
        <v>78</v>
      </c>
    </row>
    <row r="83" customFormat="1" spans="1:70">
      <c r="A83" t="s">
        <v>748</v>
      </c>
      <c r="B83" t="s">
        <v>748</v>
      </c>
      <c r="C83" t="s">
        <v>107</v>
      </c>
      <c r="D83" t="s">
        <v>108</v>
      </c>
      <c r="E83">
        <v>1</v>
      </c>
      <c r="F83" t="s">
        <v>109</v>
      </c>
      <c r="G83" t="s">
        <v>110</v>
      </c>
      <c r="H83">
        <v>289</v>
      </c>
      <c r="I83">
        <v>250.81</v>
      </c>
      <c r="J83">
        <v>0</v>
      </c>
      <c r="K83">
        <v>38.19</v>
      </c>
      <c r="L83" t="s">
        <v>749</v>
      </c>
      <c r="M83" t="s">
        <v>78</v>
      </c>
      <c r="N83" t="s">
        <v>78</v>
      </c>
      <c r="O83">
        <v>0</v>
      </c>
      <c r="P83">
        <v>0</v>
      </c>
      <c r="Q83">
        <v>0</v>
      </c>
      <c r="R83" t="s">
        <v>79</v>
      </c>
      <c r="S83">
        <v>0</v>
      </c>
      <c r="T83" t="s">
        <v>80</v>
      </c>
      <c r="U83" t="s">
        <v>80</v>
      </c>
      <c r="V83" t="s">
        <v>500</v>
      </c>
      <c r="W83" t="s">
        <v>501</v>
      </c>
      <c r="X83" t="s">
        <v>750</v>
      </c>
      <c r="Y83" t="s">
        <v>751</v>
      </c>
      <c r="Z83" t="s">
        <v>80</v>
      </c>
      <c r="AA83" t="s">
        <v>85</v>
      </c>
      <c r="AC83" t="s">
        <v>752</v>
      </c>
      <c r="AD83" t="s">
        <v>202</v>
      </c>
      <c r="AE83" t="s">
        <v>753</v>
      </c>
      <c r="AG83" t="s">
        <v>754</v>
      </c>
      <c r="AH83" t="s">
        <v>91</v>
      </c>
      <c r="AI83" t="s">
        <v>92</v>
      </c>
      <c r="AJ83" t="s">
        <v>131</v>
      </c>
      <c r="AK83" t="s">
        <v>755</v>
      </c>
      <c r="AL83" t="s">
        <v>95</v>
      </c>
      <c r="AM83" t="s">
        <v>96</v>
      </c>
      <c r="AN83" t="s">
        <v>97</v>
      </c>
      <c r="AO83" t="s">
        <v>98</v>
      </c>
      <c r="AP83" t="s">
        <v>78</v>
      </c>
      <c r="AQ83" t="s">
        <v>99</v>
      </c>
      <c r="AS83" t="s">
        <v>78</v>
      </c>
      <c r="AT83" t="s">
        <v>100</v>
      </c>
      <c r="AU83" t="s">
        <v>100</v>
      </c>
      <c r="AW83" t="s">
        <v>85</v>
      </c>
      <c r="AX83" t="s">
        <v>101</v>
      </c>
      <c r="AY83" t="s">
        <v>102</v>
      </c>
      <c r="AZ83" t="s">
        <v>103</v>
      </c>
      <c r="BA83" t="s">
        <v>133</v>
      </c>
      <c r="BB83" t="s">
        <v>78</v>
      </c>
      <c r="BC83" t="s">
        <v>78</v>
      </c>
      <c r="BD83" t="s">
        <v>756</v>
      </c>
      <c r="BE83">
        <v>0</v>
      </c>
      <c r="BF83">
        <v>38.19</v>
      </c>
      <c r="BG83">
        <v>0</v>
      </c>
      <c r="BH83">
        <v>0</v>
      </c>
      <c r="BJ83" t="s">
        <v>85</v>
      </c>
      <c r="BP83" t="s">
        <v>78</v>
      </c>
      <c r="BQ83" t="s">
        <v>78</v>
      </c>
      <c r="BR83" t="s">
        <v>78</v>
      </c>
    </row>
    <row r="84" customFormat="1" spans="1:70">
      <c r="A84" t="s">
        <v>757</v>
      </c>
      <c r="B84" t="s">
        <v>757</v>
      </c>
      <c r="C84" t="s">
        <v>107</v>
      </c>
      <c r="D84" t="s">
        <v>123</v>
      </c>
      <c r="E84">
        <v>1</v>
      </c>
      <c r="F84" t="s">
        <v>109</v>
      </c>
      <c r="G84" t="s">
        <v>124</v>
      </c>
      <c r="H84">
        <v>289</v>
      </c>
      <c r="I84">
        <v>289</v>
      </c>
      <c r="J84">
        <v>0</v>
      </c>
      <c r="K84">
        <v>0</v>
      </c>
      <c r="L84" t="s">
        <v>78</v>
      </c>
      <c r="M84" t="s">
        <v>78</v>
      </c>
      <c r="N84" t="s">
        <v>78</v>
      </c>
      <c r="O84">
        <v>0</v>
      </c>
      <c r="P84">
        <v>0</v>
      </c>
      <c r="Q84">
        <v>0</v>
      </c>
      <c r="R84" t="s">
        <v>79</v>
      </c>
      <c r="S84">
        <v>0</v>
      </c>
      <c r="T84" t="s">
        <v>80</v>
      </c>
      <c r="U84" t="s">
        <v>80</v>
      </c>
      <c r="V84" t="s">
        <v>574</v>
      </c>
      <c r="W84" t="s">
        <v>574</v>
      </c>
      <c r="X84" t="s">
        <v>575</v>
      </c>
      <c r="Y84" t="s">
        <v>660</v>
      </c>
      <c r="Z84" t="s">
        <v>80</v>
      </c>
      <c r="AA84" t="s">
        <v>85</v>
      </c>
      <c r="AC84" t="s">
        <v>758</v>
      </c>
      <c r="AD84" t="s">
        <v>202</v>
      </c>
      <c r="AE84" t="s">
        <v>759</v>
      </c>
      <c r="AG84" t="s">
        <v>760</v>
      </c>
      <c r="AH84" t="s">
        <v>91</v>
      </c>
      <c r="AI84" t="s">
        <v>92</v>
      </c>
      <c r="AJ84" t="s">
        <v>131</v>
      </c>
      <c r="AK84" t="s">
        <v>761</v>
      </c>
      <c r="AL84" t="s">
        <v>95</v>
      </c>
      <c r="AM84" t="s">
        <v>96</v>
      </c>
      <c r="AN84" t="s">
        <v>97</v>
      </c>
      <c r="AO84" t="s">
        <v>98</v>
      </c>
      <c r="AP84" t="s">
        <v>78</v>
      </c>
      <c r="AQ84" t="s">
        <v>99</v>
      </c>
      <c r="AS84" t="s">
        <v>78</v>
      </c>
      <c r="AT84" t="s">
        <v>100</v>
      </c>
      <c r="AU84" t="s">
        <v>100</v>
      </c>
      <c r="AW84" t="s">
        <v>85</v>
      </c>
      <c r="AX84" t="s">
        <v>101</v>
      </c>
      <c r="AY84" t="s">
        <v>102</v>
      </c>
      <c r="AZ84" t="s">
        <v>103</v>
      </c>
      <c r="BA84" t="s">
        <v>120</v>
      </c>
      <c r="BB84" t="s">
        <v>78</v>
      </c>
      <c r="BC84" t="s">
        <v>78</v>
      </c>
      <c r="BD84" t="s">
        <v>705</v>
      </c>
      <c r="BE84">
        <v>0</v>
      </c>
      <c r="BF84">
        <v>0</v>
      </c>
      <c r="BG84">
        <v>0</v>
      </c>
      <c r="BH84">
        <v>0</v>
      </c>
      <c r="BJ84" t="s">
        <v>85</v>
      </c>
      <c r="BP84" t="s">
        <v>78</v>
      </c>
      <c r="BQ84" t="s">
        <v>78</v>
      </c>
      <c r="BR84" t="s">
        <v>78</v>
      </c>
    </row>
    <row r="85" customFormat="1" spans="1:70">
      <c r="A85" t="s">
        <v>762</v>
      </c>
      <c r="B85" t="s">
        <v>762</v>
      </c>
      <c r="C85" t="s">
        <v>527</v>
      </c>
      <c r="D85" t="s">
        <v>123</v>
      </c>
      <c r="E85">
        <v>1</v>
      </c>
      <c r="F85" t="s">
        <v>528</v>
      </c>
      <c r="G85" t="s">
        <v>529</v>
      </c>
      <c r="H85">
        <v>199</v>
      </c>
      <c r="I85">
        <v>199</v>
      </c>
      <c r="J85">
        <v>0</v>
      </c>
      <c r="K85">
        <v>0</v>
      </c>
      <c r="L85" t="s">
        <v>78</v>
      </c>
      <c r="M85" t="s">
        <v>78</v>
      </c>
      <c r="N85" t="s">
        <v>78</v>
      </c>
      <c r="O85">
        <v>0</v>
      </c>
      <c r="P85">
        <v>0</v>
      </c>
      <c r="Q85">
        <v>0</v>
      </c>
      <c r="R85" t="s">
        <v>79</v>
      </c>
      <c r="S85">
        <v>0</v>
      </c>
      <c r="T85" t="s">
        <v>80</v>
      </c>
      <c r="U85" t="s">
        <v>80</v>
      </c>
      <c r="V85" t="s">
        <v>574</v>
      </c>
      <c r="W85" t="s">
        <v>574</v>
      </c>
      <c r="X85" t="s">
        <v>575</v>
      </c>
      <c r="Y85" t="s">
        <v>660</v>
      </c>
      <c r="Z85" t="s">
        <v>80</v>
      </c>
      <c r="AA85" t="s">
        <v>85</v>
      </c>
      <c r="AC85" t="s">
        <v>763</v>
      </c>
      <c r="AD85" t="s">
        <v>87</v>
      </c>
      <c r="AG85" t="s">
        <v>764</v>
      </c>
      <c r="AH85" t="s">
        <v>91</v>
      </c>
      <c r="AI85" t="s">
        <v>92</v>
      </c>
      <c r="AJ85" t="s">
        <v>131</v>
      </c>
      <c r="AK85" t="s">
        <v>765</v>
      </c>
      <c r="AL85" t="s">
        <v>95</v>
      </c>
      <c r="AM85" t="s">
        <v>96</v>
      </c>
      <c r="AN85" t="s">
        <v>97</v>
      </c>
      <c r="AO85" t="s">
        <v>98</v>
      </c>
      <c r="AP85" t="s">
        <v>78</v>
      </c>
      <c r="AQ85" t="s">
        <v>99</v>
      </c>
      <c r="AS85" t="s">
        <v>78</v>
      </c>
      <c r="AT85" t="s">
        <v>100</v>
      </c>
      <c r="AU85" t="s">
        <v>100</v>
      </c>
      <c r="AW85" t="s">
        <v>85</v>
      </c>
      <c r="AX85" t="s">
        <v>101</v>
      </c>
      <c r="AY85" t="s">
        <v>102</v>
      </c>
      <c r="AZ85" t="s">
        <v>103</v>
      </c>
      <c r="BA85" t="s">
        <v>120</v>
      </c>
      <c r="BB85" t="s">
        <v>78</v>
      </c>
      <c r="BC85" t="s">
        <v>78</v>
      </c>
      <c r="BE85">
        <v>0</v>
      </c>
      <c r="BF85">
        <v>0</v>
      </c>
      <c r="BG85">
        <v>0</v>
      </c>
      <c r="BH85">
        <v>0</v>
      </c>
      <c r="BJ85" t="s">
        <v>85</v>
      </c>
      <c r="BP85" t="s">
        <v>78</v>
      </c>
      <c r="BQ85" t="s">
        <v>78</v>
      </c>
      <c r="BR85" t="s">
        <v>78</v>
      </c>
    </row>
    <row r="86" customFormat="1" spans="1:70">
      <c r="A86" t="s">
        <v>766</v>
      </c>
      <c r="B86" t="s">
        <v>766</v>
      </c>
      <c r="C86" t="s">
        <v>527</v>
      </c>
      <c r="D86" t="s">
        <v>108</v>
      </c>
      <c r="E86">
        <v>1</v>
      </c>
      <c r="F86" t="s">
        <v>528</v>
      </c>
      <c r="G86" t="s">
        <v>674</v>
      </c>
      <c r="H86">
        <v>199</v>
      </c>
      <c r="I86">
        <v>199</v>
      </c>
      <c r="J86">
        <v>0</v>
      </c>
      <c r="K86">
        <v>0</v>
      </c>
      <c r="L86" t="s">
        <v>78</v>
      </c>
      <c r="M86" t="s">
        <v>78</v>
      </c>
      <c r="N86" t="s">
        <v>78</v>
      </c>
      <c r="O86">
        <v>0</v>
      </c>
      <c r="P86">
        <v>0</v>
      </c>
      <c r="Q86">
        <v>0</v>
      </c>
      <c r="R86" t="s">
        <v>125</v>
      </c>
      <c r="S86">
        <v>0</v>
      </c>
      <c r="T86" t="s">
        <v>80</v>
      </c>
      <c r="U86" t="s">
        <v>80</v>
      </c>
      <c r="V86" t="s">
        <v>325</v>
      </c>
      <c r="W86" t="s">
        <v>767</v>
      </c>
      <c r="X86" t="s">
        <v>768</v>
      </c>
      <c r="Y86" t="s">
        <v>769</v>
      </c>
      <c r="Z86" t="s">
        <v>80</v>
      </c>
      <c r="AA86" t="s">
        <v>85</v>
      </c>
      <c r="AC86" t="s">
        <v>770</v>
      </c>
      <c r="AD86" t="s">
        <v>87</v>
      </c>
      <c r="AF86" t="s">
        <v>689</v>
      </c>
      <c r="AG86" t="s">
        <v>771</v>
      </c>
      <c r="AH86" t="s">
        <v>91</v>
      </c>
      <c r="AI86" t="s">
        <v>92</v>
      </c>
      <c r="AJ86" t="s">
        <v>93</v>
      </c>
      <c r="AK86" t="s">
        <v>772</v>
      </c>
      <c r="AL86" t="s">
        <v>95</v>
      </c>
      <c r="AM86" t="s">
        <v>96</v>
      </c>
      <c r="AN86" t="s">
        <v>97</v>
      </c>
      <c r="AO86" t="s">
        <v>98</v>
      </c>
      <c r="AP86" t="s">
        <v>78</v>
      </c>
      <c r="AQ86" t="s">
        <v>78</v>
      </c>
      <c r="AS86" t="s">
        <v>78</v>
      </c>
      <c r="AT86" t="s">
        <v>100</v>
      </c>
      <c r="AU86" t="s">
        <v>100</v>
      </c>
      <c r="AW86" t="s">
        <v>85</v>
      </c>
      <c r="AX86" t="s">
        <v>101</v>
      </c>
      <c r="AY86" t="s">
        <v>102</v>
      </c>
      <c r="AZ86" t="s">
        <v>103</v>
      </c>
      <c r="BA86" t="s">
        <v>133</v>
      </c>
      <c r="BB86" t="s">
        <v>78</v>
      </c>
      <c r="BC86" t="s">
        <v>78</v>
      </c>
      <c r="BD86" t="s">
        <v>531</v>
      </c>
      <c r="BE86">
        <v>0</v>
      </c>
      <c r="BF86">
        <v>0</v>
      </c>
      <c r="BG86">
        <v>0</v>
      </c>
      <c r="BH86">
        <v>0</v>
      </c>
      <c r="BJ86" t="s">
        <v>85</v>
      </c>
      <c r="BP86" t="s">
        <v>78</v>
      </c>
      <c r="BQ86" t="s">
        <v>78</v>
      </c>
      <c r="BR86" t="s">
        <v>78</v>
      </c>
    </row>
    <row r="87" customFormat="1" spans="1:70">
      <c r="A87" t="s">
        <v>773</v>
      </c>
      <c r="B87" t="s">
        <v>773</v>
      </c>
      <c r="C87" t="s">
        <v>107</v>
      </c>
      <c r="D87" t="s">
        <v>123</v>
      </c>
      <c r="E87">
        <v>1</v>
      </c>
      <c r="F87" t="s">
        <v>109</v>
      </c>
      <c r="G87" t="s">
        <v>124</v>
      </c>
      <c r="H87">
        <v>289</v>
      </c>
      <c r="I87">
        <v>289</v>
      </c>
      <c r="J87">
        <v>0</v>
      </c>
      <c r="K87">
        <v>0</v>
      </c>
      <c r="L87" t="s">
        <v>78</v>
      </c>
      <c r="M87" t="s">
        <v>78</v>
      </c>
      <c r="N87" t="s">
        <v>78</v>
      </c>
      <c r="O87">
        <v>0</v>
      </c>
      <c r="P87">
        <v>0</v>
      </c>
      <c r="Q87">
        <v>0</v>
      </c>
      <c r="R87" t="s">
        <v>79</v>
      </c>
      <c r="S87">
        <v>0</v>
      </c>
      <c r="T87" t="s">
        <v>80</v>
      </c>
      <c r="U87" t="s">
        <v>80</v>
      </c>
      <c r="V87" t="s">
        <v>500</v>
      </c>
      <c r="W87" t="s">
        <v>501</v>
      </c>
      <c r="X87" t="s">
        <v>502</v>
      </c>
      <c r="Y87" t="s">
        <v>774</v>
      </c>
      <c r="Z87" t="s">
        <v>80</v>
      </c>
      <c r="AA87" t="s">
        <v>85</v>
      </c>
      <c r="AC87" t="s">
        <v>775</v>
      </c>
      <c r="AD87" t="s">
        <v>87</v>
      </c>
      <c r="AF87" t="s">
        <v>776</v>
      </c>
      <c r="AG87" t="s">
        <v>777</v>
      </c>
      <c r="AH87" t="s">
        <v>91</v>
      </c>
      <c r="AI87" t="s">
        <v>92</v>
      </c>
      <c r="AJ87" t="s">
        <v>93</v>
      </c>
      <c r="AK87" t="s">
        <v>778</v>
      </c>
      <c r="AL87" t="s">
        <v>95</v>
      </c>
      <c r="AM87" t="s">
        <v>96</v>
      </c>
      <c r="AN87" t="s">
        <v>97</v>
      </c>
      <c r="AO87" t="s">
        <v>98</v>
      </c>
      <c r="AP87" t="s">
        <v>78</v>
      </c>
      <c r="AQ87" t="s">
        <v>78</v>
      </c>
      <c r="AS87" t="s">
        <v>78</v>
      </c>
      <c r="AT87" t="s">
        <v>100</v>
      </c>
      <c r="AU87" t="s">
        <v>100</v>
      </c>
      <c r="AW87" t="s">
        <v>85</v>
      </c>
      <c r="AX87" t="s">
        <v>101</v>
      </c>
      <c r="AY87" t="s">
        <v>102</v>
      </c>
      <c r="AZ87" t="s">
        <v>103</v>
      </c>
      <c r="BA87" t="s">
        <v>133</v>
      </c>
      <c r="BB87" t="s">
        <v>78</v>
      </c>
      <c r="BC87" t="s">
        <v>78</v>
      </c>
      <c r="BD87" t="s">
        <v>705</v>
      </c>
      <c r="BE87">
        <v>0</v>
      </c>
      <c r="BF87">
        <v>0</v>
      </c>
      <c r="BG87">
        <v>0</v>
      </c>
      <c r="BH87">
        <v>0</v>
      </c>
      <c r="BJ87" t="s">
        <v>85</v>
      </c>
      <c r="BP87" t="s">
        <v>78</v>
      </c>
      <c r="BQ87" t="s">
        <v>78</v>
      </c>
      <c r="BR87" t="s">
        <v>78</v>
      </c>
    </row>
    <row r="88" customFormat="1" spans="1:70">
      <c r="A88" t="s">
        <v>779</v>
      </c>
      <c r="B88" t="s">
        <v>779</v>
      </c>
      <c r="C88" t="s">
        <v>527</v>
      </c>
      <c r="D88" t="s">
        <v>108</v>
      </c>
      <c r="E88">
        <v>1</v>
      </c>
      <c r="F88" t="s">
        <v>528</v>
      </c>
      <c r="G88" t="s">
        <v>674</v>
      </c>
      <c r="H88">
        <v>199</v>
      </c>
      <c r="I88">
        <v>199</v>
      </c>
      <c r="J88">
        <v>0</v>
      </c>
      <c r="K88">
        <v>0</v>
      </c>
      <c r="L88" t="s">
        <v>78</v>
      </c>
      <c r="M88" t="s">
        <v>78</v>
      </c>
      <c r="N88" t="s">
        <v>78</v>
      </c>
      <c r="O88">
        <v>0</v>
      </c>
      <c r="P88">
        <v>0</v>
      </c>
      <c r="Q88">
        <v>0</v>
      </c>
      <c r="R88" t="s">
        <v>79</v>
      </c>
      <c r="S88">
        <v>0</v>
      </c>
      <c r="T88" t="s">
        <v>80</v>
      </c>
      <c r="U88" t="s">
        <v>80</v>
      </c>
      <c r="V88" t="s">
        <v>167</v>
      </c>
      <c r="W88" t="s">
        <v>780</v>
      </c>
      <c r="X88" t="s">
        <v>781</v>
      </c>
      <c r="Y88" t="s">
        <v>782</v>
      </c>
      <c r="Z88" t="s">
        <v>80</v>
      </c>
      <c r="AA88" t="s">
        <v>85</v>
      </c>
      <c r="AC88" t="s">
        <v>783</v>
      </c>
      <c r="AD88" t="s">
        <v>87</v>
      </c>
      <c r="AG88" t="s">
        <v>784</v>
      </c>
      <c r="AH88" t="s">
        <v>91</v>
      </c>
      <c r="AI88" t="s">
        <v>92</v>
      </c>
      <c r="AJ88" t="s">
        <v>131</v>
      </c>
      <c r="AK88" t="s">
        <v>785</v>
      </c>
      <c r="AL88" t="s">
        <v>95</v>
      </c>
      <c r="AM88" t="s">
        <v>96</v>
      </c>
      <c r="AN88" t="s">
        <v>97</v>
      </c>
      <c r="AO88" t="s">
        <v>98</v>
      </c>
      <c r="AP88" t="s">
        <v>78</v>
      </c>
      <c r="AQ88" t="s">
        <v>99</v>
      </c>
      <c r="AS88" t="s">
        <v>78</v>
      </c>
      <c r="AT88" t="s">
        <v>100</v>
      </c>
      <c r="AU88" t="s">
        <v>100</v>
      </c>
      <c r="AW88" t="s">
        <v>85</v>
      </c>
      <c r="AX88" t="s">
        <v>101</v>
      </c>
      <c r="AY88" t="s">
        <v>102</v>
      </c>
      <c r="AZ88" t="s">
        <v>103</v>
      </c>
      <c r="BA88" t="s">
        <v>133</v>
      </c>
      <c r="BB88" t="s">
        <v>78</v>
      </c>
      <c r="BC88" t="s">
        <v>78</v>
      </c>
      <c r="BE88">
        <v>0</v>
      </c>
      <c r="BF88">
        <v>0</v>
      </c>
      <c r="BG88">
        <v>0</v>
      </c>
      <c r="BH88">
        <v>0</v>
      </c>
      <c r="BJ88" t="s">
        <v>85</v>
      </c>
      <c r="BP88" t="s">
        <v>78</v>
      </c>
      <c r="BQ88" t="s">
        <v>78</v>
      </c>
      <c r="BR88" t="s">
        <v>78</v>
      </c>
    </row>
    <row r="89" customFormat="1" spans="1:70">
      <c r="A89" t="s">
        <v>786</v>
      </c>
      <c r="B89" t="s">
        <v>786</v>
      </c>
      <c r="C89" t="s">
        <v>527</v>
      </c>
      <c r="D89" t="s">
        <v>108</v>
      </c>
      <c r="E89">
        <v>1</v>
      </c>
      <c r="F89" t="s">
        <v>528</v>
      </c>
      <c r="G89" t="s">
        <v>674</v>
      </c>
      <c r="H89">
        <v>199</v>
      </c>
      <c r="I89">
        <v>179</v>
      </c>
      <c r="J89">
        <v>0</v>
      </c>
      <c r="K89">
        <v>20</v>
      </c>
      <c r="L89" t="s">
        <v>787</v>
      </c>
      <c r="M89" t="s">
        <v>78</v>
      </c>
      <c r="N89" t="s">
        <v>78</v>
      </c>
      <c r="O89">
        <v>0</v>
      </c>
      <c r="P89">
        <v>0</v>
      </c>
      <c r="Q89">
        <v>0</v>
      </c>
      <c r="R89" t="s">
        <v>111</v>
      </c>
      <c r="S89">
        <v>0</v>
      </c>
      <c r="T89" t="s">
        <v>80</v>
      </c>
      <c r="U89" t="s">
        <v>80</v>
      </c>
      <c r="V89" t="s">
        <v>325</v>
      </c>
      <c r="W89" t="s">
        <v>788</v>
      </c>
      <c r="X89" t="s">
        <v>789</v>
      </c>
      <c r="Y89" t="s">
        <v>790</v>
      </c>
      <c r="Z89" t="s">
        <v>80</v>
      </c>
      <c r="AA89" t="s">
        <v>85</v>
      </c>
      <c r="AC89" t="s">
        <v>791</v>
      </c>
      <c r="AD89" t="s">
        <v>202</v>
      </c>
      <c r="AE89" t="s">
        <v>792</v>
      </c>
      <c r="AG89" t="s">
        <v>793</v>
      </c>
      <c r="AH89" t="s">
        <v>91</v>
      </c>
      <c r="AI89" t="s">
        <v>92</v>
      </c>
      <c r="AJ89" t="s">
        <v>131</v>
      </c>
      <c r="AK89" t="s">
        <v>794</v>
      </c>
      <c r="AL89" t="s">
        <v>95</v>
      </c>
      <c r="AM89" t="s">
        <v>96</v>
      </c>
      <c r="AN89" t="s">
        <v>97</v>
      </c>
      <c r="AO89" t="s">
        <v>98</v>
      </c>
      <c r="AP89" t="s">
        <v>78</v>
      </c>
      <c r="AQ89" t="s">
        <v>99</v>
      </c>
      <c r="AS89" t="s">
        <v>78</v>
      </c>
      <c r="AT89" t="s">
        <v>100</v>
      </c>
      <c r="AU89" t="s">
        <v>100</v>
      </c>
      <c r="AW89" t="s">
        <v>85</v>
      </c>
      <c r="AX89" t="s">
        <v>103</v>
      </c>
      <c r="AY89" t="s">
        <v>159</v>
      </c>
      <c r="AZ89" t="s">
        <v>103</v>
      </c>
      <c r="BA89" t="s">
        <v>102</v>
      </c>
      <c r="BB89" t="s">
        <v>78</v>
      </c>
      <c r="BC89" t="s">
        <v>78</v>
      </c>
      <c r="BD89" t="s">
        <v>531</v>
      </c>
      <c r="BE89">
        <v>0</v>
      </c>
      <c r="BF89">
        <v>20</v>
      </c>
      <c r="BG89">
        <v>0</v>
      </c>
      <c r="BH89">
        <v>0</v>
      </c>
      <c r="BJ89" t="s">
        <v>85</v>
      </c>
      <c r="BP89" t="s">
        <v>78</v>
      </c>
      <c r="BQ89" t="s">
        <v>78</v>
      </c>
      <c r="BR89" t="s">
        <v>78</v>
      </c>
    </row>
    <row r="90" customFormat="1" spans="1:70">
      <c r="A90" t="s">
        <v>795</v>
      </c>
      <c r="B90" t="s">
        <v>795</v>
      </c>
      <c r="C90" t="s">
        <v>527</v>
      </c>
      <c r="D90" t="s">
        <v>108</v>
      </c>
      <c r="E90">
        <v>1</v>
      </c>
      <c r="F90" t="s">
        <v>528</v>
      </c>
      <c r="G90" t="s">
        <v>674</v>
      </c>
      <c r="H90">
        <v>199</v>
      </c>
      <c r="I90">
        <v>199</v>
      </c>
      <c r="J90">
        <v>0</v>
      </c>
      <c r="K90">
        <v>0</v>
      </c>
      <c r="L90" t="s">
        <v>78</v>
      </c>
      <c r="M90" t="s">
        <v>78</v>
      </c>
      <c r="N90" t="s">
        <v>78</v>
      </c>
      <c r="O90">
        <v>0</v>
      </c>
      <c r="P90">
        <v>0</v>
      </c>
      <c r="Q90">
        <v>0</v>
      </c>
      <c r="R90" t="s">
        <v>79</v>
      </c>
      <c r="S90">
        <v>0</v>
      </c>
      <c r="T90" t="s">
        <v>80</v>
      </c>
      <c r="U90" t="s">
        <v>80</v>
      </c>
      <c r="V90" t="s">
        <v>325</v>
      </c>
      <c r="W90" t="s">
        <v>796</v>
      </c>
      <c r="X90" t="s">
        <v>797</v>
      </c>
      <c r="Y90" t="s">
        <v>798</v>
      </c>
      <c r="Z90" t="s">
        <v>80</v>
      </c>
      <c r="AA90" t="s">
        <v>85</v>
      </c>
      <c r="AC90" t="s">
        <v>799</v>
      </c>
      <c r="AD90" t="s">
        <v>202</v>
      </c>
      <c r="AE90" t="s">
        <v>800</v>
      </c>
      <c r="AG90" t="s">
        <v>801</v>
      </c>
      <c r="AH90" t="s">
        <v>91</v>
      </c>
      <c r="AI90" t="s">
        <v>92</v>
      </c>
      <c r="AJ90" t="s">
        <v>131</v>
      </c>
      <c r="AK90" t="s">
        <v>802</v>
      </c>
      <c r="AL90" t="s">
        <v>95</v>
      </c>
      <c r="AM90" t="s">
        <v>96</v>
      </c>
      <c r="AN90" t="s">
        <v>97</v>
      </c>
      <c r="AO90" t="s">
        <v>98</v>
      </c>
      <c r="AP90" t="s">
        <v>78</v>
      </c>
      <c r="AQ90" t="s">
        <v>99</v>
      </c>
      <c r="AS90" t="s">
        <v>78</v>
      </c>
      <c r="AT90" t="s">
        <v>100</v>
      </c>
      <c r="AU90" t="s">
        <v>100</v>
      </c>
      <c r="AW90" t="s">
        <v>85</v>
      </c>
      <c r="AX90" t="s">
        <v>101</v>
      </c>
      <c r="AY90" t="s">
        <v>102</v>
      </c>
      <c r="AZ90" t="s">
        <v>103</v>
      </c>
      <c r="BA90" t="s">
        <v>133</v>
      </c>
      <c r="BB90" t="s">
        <v>78</v>
      </c>
      <c r="BC90" t="s">
        <v>78</v>
      </c>
      <c r="BD90" t="s">
        <v>531</v>
      </c>
      <c r="BE90">
        <v>0</v>
      </c>
      <c r="BF90">
        <v>0</v>
      </c>
      <c r="BG90">
        <v>0</v>
      </c>
      <c r="BH90">
        <v>0</v>
      </c>
      <c r="BJ90" t="s">
        <v>85</v>
      </c>
      <c r="BP90" t="s">
        <v>78</v>
      </c>
      <c r="BQ90" t="s">
        <v>78</v>
      </c>
      <c r="BR90" t="s">
        <v>78</v>
      </c>
    </row>
    <row r="91" customFormat="1" spans="1:70">
      <c r="A91" t="s">
        <v>803</v>
      </c>
      <c r="B91" t="s">
        <v>803</v>
      </c>
      <c r="C91" t="s">
        <v>107</v>
      </c>
      <c r="D91" t="s">
        <v>108</v>
      </c>
      <c r="E91">
        <v>1</v>
      </c>
      <c r="F91" t="s">
        <v>109</v>
      </c>
      <c r="G91" t="s">
        <v>110</v>
      </c>
      <c r="H91">
        <v>289</v>
      </c>
      <c r="I91">
        <v>289</v>
      </c>
      <c r="J91">
        <v>0</v>
      </c>
      <c r="K91">
        <v>0</v>
      </c>
      <c r="L91" t="s">
        <v>78</v>
      </c>
      <c r="M91" t="s">
        <v>78</v>
      </c>
      <c r="N91" t="s">
        <v>78</v>
      </c>
      <c r="O91">
        <v>0</v>
      </c>
      <c r="P91">
        <v>0</v>
      </c>
      <c r="Q91">
        <v>0</v>
      </c>
      <c r="R91" t="s">
        <v>79</v>
      </c>
      <c r="S91">
        <v>0</v>
      </c>
      <c r="T91" t="s">
        <v>80</v>
      </c>
      <c r="U91" t="s">
        <v>80</v>
      </c>
      <c r="V91" t="s">
        <v>325</v>
      </c>
      <c r="W91" t="s">
        <v>796</v>
      </c>
      <c r="X91" t="s">
        <v>797</v>
      </c>
      <c r="Y91" t="s">
        <v>798</v>
      </c>
      <c r="Z91" t="s">
        <v>80</v>
      </c>
      <c r="AA91" t="s">
        <v>85</v>
      </c>
      <c r="AC91" t="s">
        <v>804</v>
      </c>
      <c r="AD91" t="s">
        <v>202</v>
      </c>
      <c r="AE91" t="s">
        <v>805</v>
      </c>
      <c r="AG91" t="s">
        <v>806</v>
      </c>
      <c r="AH91" t="s">
        <v>91</v>
      </c>
      <c r="AI91" t="s">
        <v>92</v>
      </c>
      <c r="AJ91" t="s">
        <v>131</v>
      </c>
      <c r="AK91" t="s">
        <v>807</v>
      </c>
      <c r="AL91" t="s">
        <v>95</v>
      </c>
      <c r="AM91" t="s">
        <v>96</v>
      </c>
      <c r="AN91" t="s">
        <v>97</v>
      </c>
      <c r="AO91" t="s">
        <v>98</v>
      </c>
      <c r="AP91" t="s">
        <v>78</v>
      </c>
      <c r="AQ91" t="s">
        <v>99</v>
      </c>
      <c r="AS91" t="s">
        <v>78</v>
      </c>
      <c r="AT91" t="s">
        <v>100</v>
      </c>
      <c r="AU91" t="s">
        <v>100</v>
      </c>
      <c r="AW91" t="s">
        <v>85</v>
      </c>
      <c r="AX91" t="s">
        <v>101</v>
      </c>
      <c r="AY91" t="s">
        <v>102</v>
      </c>
      <c r="AZ91" t="s">
        <v>103</v>
      </c>
      <c r="BA91" t="s">
        <v>133</v>
      </c>
      <c r="BB91" t="s">
        <v>78</v>
      </c>
      <c r="BC91" t="s">
        <v>78</v>
      </c>
      <c r="BD91" t="s">
        <v>756</v>
      </c>
      <c r="BE91">
        <v>0</v>
      </c>
      <c r="BF91">
        <v>0</v>
      </c>
      <c r="BG91">
        <v>0</v>
      </c>
      <c r="BH91">
        <v>0</v>
      </c>
      <c r="BJ91" t="s">
        <v>85</v>
      </c>
      <c r="BP91" t="s">
        <v>78</v>
      </c>
      <c r="BQ91" t="s">
        <v>78</v>
      </c>
      <c r="BR91" t="s">
        <v>78</v>
      </c>
    </row>
    <row r="92" customFormat="1" spans="1:70">
      <c r="A92" t="s">
        <v>808</v>
      </c>
      <c r="B92" t="s">
        <v>808</v>
      </c>
      <c r="C92" t="s">
        <v>107</v>
      </c>
      <c r="D92" t="s">
        <v>123</v>
      </c>
      <c r="E92">
        <v>1</v>
      </c>
      <c r="F92" t="s">
        <v>109</v>
      </c>
      <c r="G92" t="s">
        <v>124</v>
      </c>
      <c r="H92">
        <v>289</v>
      </c>
      <c r="I92">
        <v>289</v>
      </c>
      <c r="J92">
        <v>0</v>
      </c>
      <c r="K92">
        <v>0</v>
      </c>
      <c r="L92" t="s">
        <v>78</v>
      </c>
      <c r="M92" t="s">
        <v>78</v>
      </c>
      <c r="N92" t="s">
        <v>78</v>
      </c>
      <c r="O92">
        <v>0</v>
      </c>
      <c r="P92">
        <v>0</v>
      </c>
      <c r="Q92">
        <v>0</v>
      </c>
      <c r="R92" t="s">
        <v>125</v>
      </c>
      <c r="S92">
        <v>0</v>
      </c>
      <c r="T92" t="s">
        <v>80</v>
      </c>
      <c r="U92" t="s">
        <v>80</v>
      </c>
      <c r="V92" t="s">
        <v>574</v>
      </c>
      <c r="W92" t="s">
        <v>574</v>
      </c>
      <c r="X92" t="s">
        <v>809</v>
      </c>
      <c r="Y92" t="s">
        <v>810</v>
      </c>
      <c r="Z92" t="s">
        <v>80</v>
      </c>
      <c r="AA92" t="s">
        <v>85</v>
      </c>
      <c r="AC92" t="s">
        <v>811</v>
      </c>
      <c r="AD92" t="s">
        <v>87</v>
      </c>
      <c r="AF92" t="s">
        <v>812</v>
      </c>
      <c r="AG92" t="s">
        <v>813</v>
      </c>
      <c r="AH92" t="s">
        <v>91</v>
      </c>
      <c r="AI92" t="s">
        <v>92</v>
      </c>
      <c r="AJ92" t="s">
        <v>93</v>
      </c>
      <c r="AK92" t="s">
        <v>814</v>
      </c>
      <c r="AL92" t="s">
        <v>95</v>
      </c>
      <c r="AM92" t="s">
        <v>96</v>
      </c>
      <c r="AN92" t="s">
        <v>97</v>
      </c>
      <c r="AO92" t="s">
        <v>98</v>
      </c>
      <c r="AP92" t="s">
        <v>78</v>
      </c>
      <c r="AQ92" t="s">
        <v>78</v>
      </c>
      <c r="AS92" t="s">
        <v>78</v>
      </c>
      <c r="AT92" t="s">
        <v>100</v>
      </c>
      <c r="AU92" t="s">
        <v>100</v>
      </c>
      <c r="AW92" t="s">
        <v>85</v>
      </c>
      <c r="AX92" t="s">
        <v>101</v>
      </c>
      <c r="AY92" t="s">
        <v>102</v>
      </c>
      <c r="AZ92" t="s">
        <v>103</v>
      </c>
      <c r="BA92" t="s">
        <v>120</v>
      </c>
      <c r="BB92" t="s">
        <v>78</v>
      </c>
      <c r="BC92" t="s">
        <v>78</v>
      </c>
      <c r="BD92" t="s">
        <v>705</v>
      </c>
      <c r="BE92">
        <v>0</v>
      </c>
      <c r="BF92">
        <v>0</v>
      </c>
      <c r="BG92">
        <v>0</v>
      </c>
      <c r="BH92">
        <v>0</v>
      </c>
      <c r="BJ92" t="s">
        <v>85</v>
      </c>
      <c r="BP92" t="s">
        <v>78</v>
      </c>
      <c r="BQ92" t="s">
        <v>78</v>
      </c>
      <c r="BR92" t="s">
        <v>78</v>
      </c>
    </row>
    <row r="93" customFormat="1" spans="1:70">
      <c r="A93" t="s">
        <v>815</v>
      </c>
      <c r="B93" t="s">
        <v>815</v>
      </c>
      <c r="C93" t="s">
        <v>527</v>
      </c>
      <c r="D93" t="s">
        <v>135</v>
      </c>
      <c r="E93">
        <v>1</v>
      </c>
      <c r="F93" t="s">
        <v>528</v>
      </c>
      <c r="G93" t="s">
        <v>540</v>
      </c>
      <c r="H93">
        <v>199</v>
      </c>
      <c r="I93">
        <v>199</v>
      </c>
      <c r="J93">
        <v>0</v>
      </c>
      <c r="K93">
        <v>0</v>
      </c>
      <c r="L93" t="s">
        <v>78</v>
      </c>
      <c r="M93" t="s">
        <v>78</v>
      </c>
      <c r="N93" t="s">
        <v>78</v>
      </c>
      <c r="O93">
        <v>0</v>
      </c>
      <c r="P93">
        <v>0</v>
      </c>
      <c r="Q93">
        <v>0</v>
      </c>
      <c r="R93" t="s">
        <v>79</v>
      </c>
      <c r="S93">
        <v>0</v>
      </c>
      <c r="T93" t="s">
        <v>80</v>
      </c>
      <c r="U93" t="s">
        <v>80</v>
      </c>
      <c r="V93" t="s">
        <v>112</v>
      </c>
      <c r="W93" t="s">
        <v>113</v>
      </c>
      <c r="X93" t="s">
        <v>816</v>
      </c>
      <c r="Y93" t="s">
        <v>817</v>
      </c>
      <c r="Z93" t="s">
        <v>80</v>
      </c>
      <c r="AA93" t="s">
        <v>85</v>
      </c>
      <c r="AC93" t="s">
        <v>818</v>
      </c>
      <c r="AD93" t="s">
        <v>87</v>
      </c>
      <c r="AG93" t="s">
        <v>819</v>
      </c>
      <c r="AH93" t="s">
        <v>91</v>
      </c>
      <c r="AI93" t="s">
        <v>92</v>
      </c>
      <c r="AJ93" t="s">
        <v>131</v>
      </c>
      <c r="AK93" t="s">
        <v>820</v>
      </c>
      <c r="AL93" t="s">
        <v>95</v>
      </c>
      <c r="AM93" t="s">
        <v>96</v>
      </c>
      <c r="AN93" t="s">
        <v>97</v>
      </c>
      <c r="AO93" t="s">
        <v>98</v>
      </c>
      <c r="AP93" t="s">
        <v>78</v>
      </c>
      <c r="AQ93" t="s">
        <v>99</v>
      </c>
      <c r="AS93" t="s">
        <v>78</v>
      </c>
      <c r="AT93" t="s">
        <v>100</v>
      </c>
      <c r="AU93" t="s">
        <v>100</v>
      </c>
      <c r="AW93" t="s">
        <v>85</v>
      </c>
      <c r="AX93" t="s">
        <v>101</v>
      </c>
      <c r="AY93" t="s">
        <v>102</v>
      </c>
      <c r="AZ93" t="s">
        <v>103</v>
      </c>
      <c r="BA93" t="s">
        <v>133</v>
      </c>
      <c r="BB93" t="s">
        <v>78</v>
      </c>
      <c r="BC93" t="s">
        <v>78</v>
      </c>
      <c r="BE93">
        <v>0</v>
      </c>
      <c r="BF93">
        <v>0</v>
      </c>
      <c r="BG93">
        <v>0</v>
      </c>
      <c r="BH93">
        <v>0</v>
      </c>
      <c r="BJ93" t="s">
        <v>85</v>
      </c>
      <c r="BP93" t="s">
        <v>78</v>
      </c>
      <c r="BQ93" t="s">
        <v>78</v>
      </c>
      <c r="BR93" t="s">
        <v>78</v>
      </c>
    </row>
    <row r="94" customFormat="1" spans="1:70">
      <c r="A94" t="s">
        <v>821</v>
      </c>
      <c r="B94" t="s">
        <v>821</v>
      </c>
      <c r="C94" t="s">
        <v>107</v>
      </c>
      <c r="D94" t="s">
        <v>108</v>
      </c>
      <c r="E94">
        <v>1</v>
      </c>
      <c r="F94" t="s">
        <v>109</v>
      </c>
      <c r="G94" t="s">
        <v>110</v>
      </c>
      <c r="H94">
        <v>289</v>
      </c>
      <c r="I94">
        <v>289</v>
      </c>
      <c r="J94">
        <v>0</v>
      </c>
      <c r="K94">
        <v>0</v>
      </c>
      <c r="L94" t="s">
        <v>78</v>
      </c>
      <c r="M94" t="s">
        <v>78</v>
      </c>
      <c r="N94" t="s">
        <v>78</v>
      </c>
      <c r="O94">
        <v>0</v>
      </c>
      <c r="P94">
        <v>0</v>
      </c>
      <c r="Q94">
        <v>0</v>
      </c>
      <c r="R94" t="s">
        <v>125</v>
      </c>
      <c r="S94">
        <v>0</v>
      </c>
      <c r="T94" t="s">
        <v>80</v>
      </c>
      <c r="U94" t="s">
        <v>80</v>
      </c>
      <c r="V94" t="s">
        <v>161</v>
      </c>
      <c r="W94" t="s">
        <v>161</v>
      </c>
      <c r="X94" t="s">
        <v>822</v>
      </c>
      <c r="Y94" t="s">
        <v>823</v>
      </c>
      <c r="Z94" t="s">
        <v>80</v>
      </c>
      <c r="AA94" t="s">
        <v>85</v>
      </c>
      <c r="AC94" t="s">
        <v>824</v>
      </c>
      <c r="AD94" t="s">
        <v>202</v>
      </c>
      <c r="AE94" t="s">
        <v>825</v>
      </c>
      <c r="AG94" t="s">
        <v>826</v>
      </c>
      <c r="AH94" t="s">
        <v>91</v>
      </c>
      <c r="AI94" t="s">
        <v>92</v>
      </c>
      <c r="AJ94" t="s">
        <v>131</v>
      </c>
      <c r="AK94" t="s">
        <v>827</v>
      </c>
      <c r="AL94" t="s">
        <v>95</v>
      </c>
      <c r="AM94" t="s">
        <v>96</v>
      </c>
      <c r="AN94" t="s">
        <v>97</v>
      </c>
      <c r="AO94" t="s">
        <v>98</v>
      </c>
      <c r="AP94" t="s">
        <v>78</v>
      </c>
      <c r="AQ94" t="s">
        <v>99</v>
      </c>
      <c r="AS94" t="s">
        <v>78</v>
      </c>
      <c r="AT94" t="s">
        <v>100</v>
      </c>
      <c r="AU94" t="s">
        <v>100</v>
      </c>
      <c r="AW94" t="s">
        <v>85</v>
      </c>
      <c r="AX94" t="s">
        <v>101</v>
      </c>
      <c r="AY94" t="s">
        <v>102</v>
      </c>
      <c r="AZ94" t="s">
        <v>103</v>
      </c>
      <c r="BA94" t="s">
        <v>133</v>
      </c>
      <c r="BB94" t="s">
        <v>78</v>
      </c>
      <c r="BC94" t="s">
        <v>78</v>
      </c>
      <c r="BD94" t="s">
        <v>756</v>
      </c>
      <c r="BE94">
        <v>0</v>
      </c>
      <c r="BF94">
        <v>0</v>
      </c>
      <c r="BG94">
        <v>0</v>
      </c>
      <c r="BH94">
        <v>0</v>
      </c>
      <c r="BJ94" t="s">
        <v>85</v>
      </c>
      <c r="BP94" t="s">
        <v>78</v>
      </c>
      <c r="BQ94" t="s">
        <v>78</v>
      </c>
      <c r="BR94" t="s">
        <v>78</v>
      </c>
    </row>
    <row r="95" customFormat="1" spans="1:70">
      <c r="A95" t="s">
        <v>828</v>
      </c>
      <c r="B95" t="s">
        <v>828</v>
      </c>
      <c r="C95" t="s">
        <v>527</v>
      </c>
      <c r="D95" t="s">
        <v>108</v>
      </c>
      <c r="E95">
        <v>1</v>
      </c>
      <c r="F95" t="s">
        <v>528</v>
      </c>
      <c r="G95" t="s">
        <v>674</v>
      </c>
      <c r="H95">
        <v>199</v>
      </c>
      <c r="I95">
        <v>199</v>
      </c>
      <c r="J95">
        <v>0</v>
      </c>
      <c r="K95">
        <v>0</v>
      </c>
      <c r="L95" t="s">
        <v>78</v>
      </c>
      <c r="M95" t="s">
        <v>78</v>
      </c>
      <c r="N95" t="s">
        <v>78</v>
      </c>
      <c r="O95">
        <v>0</v>
      </c>
      <c r="P95">
        <v>0</v>
      </c>
      <c r="Q95">
        <v>0</v>
      </c>
      <c r="R95" t="s">
        <v>125</v>
      </c>
      <c r="S95">
        <v>0</v>
      </c>
      <c r="T95" t="s">
        <v>80</v>
      </c>
      <c r="U95" t="s">
        <v>80</v>
      </c>
      <c r="V95" t="s">
        <v>161</v>
      </c>
      <c r="W95" t="s">
        <v>161</v>
      </c>
      <c r="X95" t="s">
        <v>822</v>
      </c>
      <c r="Y95" t="s">
        <v>823</v>
      </c>
      <c r="Z95" t="s">
        <v>80</v>
      </c>
      <c r="AA95" t="s">
        <v>85</v>
      </c>
      <c r="AC95" t="s">
        <v>829</v>
      </c>
      <c r="AD95" t="s">
        <v>202</v>
      </c>
      <c r="AE95" t="s">
        <v>830</v>
      </c>
      <c r="AG95" t="s">
        <v>831</v>
      </c>
      <c r="AH95" t="s">
        <v>91</v>
      </c>
      <c r="AI95" t="s">
        <v>92</v>
      </c>
      <c r="AJ95" t="s">
        <v>131</v>
      </c>
      <c r="AK95" t="s">
        <v>832</v>
      </c>
      <c r="AL95" t="s">
        <v>95</v>
      </c>
      <c r="AM95" t="s">
        <v>96</v>
      </c>
      <c r="AN95" t="s">
        <v>97</v>
      </c>
      <c r="AO95" t="s">
        <v>98</v>
      </c>
      <c r="AP95" t="s">
        <v>78</v>
      </c>
      <c r="AQ95" t="s">
        <v>99</v>
      </c>
      <c r="AS95" t="s">
        <v>78</v>
      </c>
      <c r="AT95" t="s">
        <v>100</v>
      </c>
      <c r="AU95" t="s">
        <v>100</v>
      </c>
      <c r="AW95" t="s">
        <v>85</v>
      </c>
      <c r="AX95" t="s">
        <v>101</v>
      </c>
      <c r="AY95" t="s">
        <v>102</v>
      </c>
      <c r="AZ95" t="s">
        <v>103</v>
      </c>
      <c r="BA95" t="s">
        <v>133</v>
      </c>
      <c r="BB95" t="s">
        <v>78</v>
      </c>
      <c r="BC95" t="s">
        <v>78</v>
      </c>
      <c r="BD95" t="s">
        <v>833</v>
      </c>
      <c r="BE95">
        <v>0</v>
      </c>
      <c r="BF95">
        <v>0</v>
      </c>
      <c r="BG95">
        <v>0</v>
      </c>
      <c r="BH95">
        <v>0</v>
      </c>
      <c r="BJ95" t="s">
        <v>85</v>
      </c>
      <c r="BP95" t="s">
        <v>78</v>
      </c>
      <c r="BQ95" t="s">
        <v>78</v>
      </c>
      <c r="BR95" t="s">
        <v>78</v>
      </c>
    </row>
    <row r="96" customFormat="1" spans="1:70">
      <c r="A96" t="s">
        <v>834</v>
      </c>
      <c r="B96" t="s">
        <v>834</v>
      </c>
      <c r="C96" t="s">
        <v>527</v>
      </c>
      <c r="D96" t="s">
        <v>108</v>
      </c>
      <c r="E96">
        <v>1</v>
      </c>
      <c r="F96" t="s">
        <v>528</v>
      </c>
      <c r="G96" t="s">
        <v>674</v>
      </c>
      <c r="H96">
        <v>199</v>
      </c>
      <c r="I96">
        <v>199</v>
      </c>
      <c r="J96">
        <v>0</v>
      </c>
      <c r="K96">
        <v>0</v>
      </c>
      <c r="L96" t="s">
        <v>78</v>
      </c>
      <c r="M96" t="s">
        <v>78</v>
      </c>
      <c r="N96" t="s">
        <v>78</v>
      </c>
      <c r="O96">
        <v>0</v>
      </c>
      <c r="P96">
        <v>0</v>
      </c>
      <c r="Q96">
        <v>0</v>
      </c>
      <c r="R96" t="s">
        <v>125</v>
      </c>
      <c r="S96">
        <v>0</v>
      </c>
      <c r="T96" t="s">
        <v>80</v>
      </c>
      <c r="U96" t="s">
        <v>80</v>
      </c>
      <c r="V96" t="s">
        <v>325</v>
      </c>
      <c r="W96" t="s">
        <v>788</v>
      </c>
      <c r="X96" t="s">
        <v>789</v>
      </c>
      <c r="Y96" t="s">
        <v>835</v>
      </c>
      <c r="Z96" t="s">
        <v>80</v>
      </c>
      <c r="AA96" t="s">
        <v>85</v>
      </c>
      <c r="AC96" t="s">
        <v>836</v>
      </c>
      <c r="AD96" t="s">
        <v>87</v>
      </c>
      <c r="AH96" t="s">
        <v>401</v>
      </c>
      <c r="AI96" t="s">
        <v>92</v>
      </c>
      <c r="AJ96" t="s">
        <v>131</v>
      </c>
      <c r="AK96" t="s">
        <v>837</v>
      </c>
      <c r="AL96" t="s">
        <v>95</v>
      </c>
      <c r="AM96" t="s">
        <v>96</v>
      </c>
      <c r="AN96" t="s">
        <v>97</v>
      </c>
      <c r="AO96" t="s">
        <v>98</v>
      </c>
      <c r="AP96" t="s">
        <v>78</v>
      </c>
      <c r="AQ96" t="s">
        <v>78</v>
      </c>
      <c r="AR96" t="s">
        <v>353</v>
      </c>
      <c r="AS96" t="s">
        <v>78</v>
      </c>
      <c r="AT96" t="s">
        <v>100</v>
      </c>
      <c r="AU96" t="s">
        <v>100</v>
      </c>
      <c r="AW96" t="s">
        <v>85</v>
      </c>
      <c r="AX96" t="s">
        <v>103</v>
      </c>
      <c r="AY96" t="s">
        <v>159</v>
      </c>
      <c r="AZ96" t="s">
        <v>103</v>
      </c>
      <c r="BA96" t="s">
        <v>102</v>
      </c>
      <c r="BB96" t="s">
        <v>78</v>
      </c>
      <c r="BC96" t="s">
        <v>78</v>
      </c>
      <c r="BE96">
        <v>0</v>
      </c>
      <c r="BF96">
        <v>0</v>
      </c>
      <c r="BG96">
        <v>0</v>
      </c>
      <c r="BH96">
        <v>0</v>
      </c>
      <c r="BJ96" t="s">
        <v>85</v>
      </c>
      <c r="BP96" t="s">
        <v>78</v>
      </c>
      <c r="BQ96" t="s">
        <v>78</v>
      </c>
      <c r="BR96" t="s">
        <v>78</v>
      </c>
    </row>
    <row r="97" customFormat="1" spans="1:70">
      <c r="A97" t="s">
        <v>838</v>
      </c>
      <c r="B97" t="s">
        <v>838</v>
      </c>
      <c r="C97" t="s">
        <v>107</v>
      </c>
      <c r="D97" t="s">
        <v>108</v>
      </c>
      <c r="E97">
        <v>1</v>
      </c>
      <c r="F97" t="s">
        <v>109</v>
      </c>
      <c r="G97" t="s">
        <v>110</v>
      </c>
      <c r="H97">
        <v>289</v>
      </c>
      <c r="I97">
        <v>289</v>
      </c>
      <c r="J97">
        <v>0</v>
      </c>
      <c r="K97">
        <v>0</v>
      </c>
      <c r="L97" t="s">
        <v>78</v>
      </c>
      <c r="M97" t="s">
        <v>78</v>
      </c>
      <c r="N97" t="s">
        <v>78</v>
      </c>
      <c r="O97">
        <v>0</v>
      </c>
      <c r="P97">
        <v>0</v>
      </c>
      <c r="Q97">
        <v>0</v>
      </c>
      <c r="R97" t="s">
        <v>125</v>
      </c>
      <c r="S97">
        <v>0</v>
      </c>
      <c r="T97" t="s">
        <v>80</v>
      </c>
      <c r="U97" t="s">
        <v>80</v>
      </c>
      <c r="V97" t="s">
        <v>221</v>
      </c>
      <c r="W97" t="s">
        <v>599</v>
      </c>
      <c r="X97" t="s">
        <v>839</v>
      </c>
      <c r="Y97" t="s">
        <v>840</v>
      </c>
      <c r="Z97" t="s">
        <v>80</v>
      </c>
      <c r="AA97" t="s">
        <v>85</v>
      </c>
      <c r="AC97" t="s">
        <v>841</v>
      </c>
      <c r="AD97" t="s">
        <v>87</v>
      </c>
      <c r="AG97" t="s">
        <v>842</v>
      </c>
      <c r="AH97" t="s">
        <v>91</v>
      </c>
      <c r="AI97" t="s">
        <v>92</v>
      </c>
      <c r="AJ97" t="s">
        <v>131</v>
      </c>
      <c r="AK97" t="s">
        <v>843</v>
      </c>
      <c r="AL97" t="s">
        <v>95</v>
      </c>
      <c r="AM97" t="s">
        <v>96</v>
      </c>
      <c r="AN97" t="s">
        <v>97</v>
      </c>
      <c r="AO97" t="s">
        <v>98</v>
      </c>
      <c r="AP97" t="s">
        <v>78</v>
      </c>
      <c r="AQ97" t="s">
        <v>99</v>
      </c>
      <c r="AS97" t="s">
        <v>78</v>
      </c>
      <c r="AT97" t="s">
        <v>100</v>
      </c>
      <c r="AU97" t="s">
        <v>100</v>
      </c>
      <c r="AW97" t="s">
        <v>85</v>
      </c>
      <c r="AX97" t="s">
        <v>101</v>
      </c>
      <c r="AY97" t="s">
        <v>102</v>
      </c>
      <c r="AZ97" t="s">
        <v>103</v>
      </c>
      <c r="BA97" t="s">
        <v>104</v>
      </c>
      <c r="BB97" t="s">
        <v>78</v>
      </c>
      <c r="BC97" t="s">
        <v>78</v>
      </c>
      <c r="BE97">
        <v>0</v>
      </c>
      <c r="BF97">
        <v>0</v>
      </c>
      <c r="BG97">
        <v>0</v>
      </c>
      <c r="BH97">
        <v>0</v>
      </c>
      <c r="BJ97" t="s">
        <v>85</v>
      </c>
      <c r="BP97" t="s">
        <v>78</v>
      </c>
      <c r="BQ97" t="s">
        <v>78</v>
      </c>
      <c r="BR97" t="s">
        <v>78</v>
      </c>
    </row>
    <row r="98" customFormat="1" spans="1:70">
      <c r="A98" t="s">
        <v>844</v>
      </c>
      <c r="B98" t="s">
        <v>844</v>
      </c>
      <c r="C98" t="s">
        <v>527</v>
      </c>
      <c r="D98" t="s">
        <v>108</v>
      </c>
      <c r="E98">
        <v>1</v>
      </c>
      <c r="F98" t="s">
        <v>528</v>
      </c>
      <c r="G98" t="s">
        <v>674</v>
      </c>
      <c r="H98">
        <v>199</v>
      </c>
      <c r="I98">
        <v>199</v>
      </c>
      <c r="J98">
        <v>0</v>
      </c>
      <c r="K98">
        <v>0</v>
      </c>
      <c r="L98" t="s">
        <v>78</v>
      </c>
      <c r="M98" t="s">
        <v>78</v>
      </c>
      <c r="N98" t="s">
        <v>78</v>
      </c>
      <c r="O98">
        <v>0</v>
      </c>
      <c r="P98">
        <v>0</v>
      </c>
      <c r="Q98">
        <v>0</v>
      </c>
      <c r="R98" t="s">
        <v>125</v>
      </c>
      <c r="S98">
        <v>0</v>
      </c>
      <c r="T98" t="s">
        <v>80</v>
      </c>
      <c r="U98" t="s">
        <v>80</v>
      </c>
      <c r="V98" t="s">
        <v>221</v>
      </c>
      <c r="W98" t="s">
        <v>599</v>
      </c>
      <c r="X98" t="s">
        <v>839</v>
      </c>
      <c r="Y98" t="s">
        <v>840</v>
      </c>
      <c r="Z98" t="s">
        <v>80</v>
      </c>
      <c r="AA98" t="s">
        <v>85</v>
      </c>
      <c r="AC98" t="s">
        <v>845</v>
      </c>
      <c r="AD98" t="s">
        <v>87</v>
      </c>
      <c r="AG98" t="s">
        <v>846</v>
      </c>
      <c r="AH98" t="s">
        <v>91</v>
      </c>
      <c r="AI98" t="s">
        <v>92</v>
      </c>
      <c r="AJ98" t="s">
        <v>131</v>
      </c>
      <c r="AK98" t="s">
        <v>847</v>
      </c>
      <c r="AL98" t="s">
        <v>95</v>
      </c>
      <c r="AM98" t="s">
        <v>96</v>
      </c>
      <c r="AN98" t="s">
        <v>97</v>
      </c>
      <c r="AO98" t="s">
        <v>98</v>
      </c>
      <c r="AP98" t="s">
        <v>78</v>
      </c>
      <c r="AQ98" t="s">
        <v>99</v>
      </c>
      <c r="AS98" t="s">
        <v>78</v>
      </c>
      <c r="AT98" t="s">
        <v>100</v>
      </c>
      <c r="AU98" t="s">
        <v>100</v>
      </c>
      <c r="AW98" t="s">
        <v>85</v>
      </c>
      <c r="AX98" t="s">
        <v>101</v>
      </c>
      <c r="AY98" t="s">
        <v>102</v>
      </c>
      <c r="AZ98" t="s">
        <v>103</v>
      </c>
      <c r="BA98" t="s">
        <v>104</v>
      </c>
      <c r="BB98" t="s">
        <v>78</v>
      </c>
      <c r="BC98" t="s">
        <v>78</v>
      </c>
      <c r="BE98">
        <v>0</v>
      </c>
      <c r="BF98">
        <v>0</v>
      </c>
      <c r="BG98">
        <v>0</v>
      </c>
      <c r="BH98">
        <v>0</v>
      </c>
      <c r="BJ98" t="s">
        <v>85</v>
      </c>
      <c r="BP98" t="s">
        <v>78</v>
      </c>
      <c r="BQ98" t="s">
        <v>78</v>
      </c>
      <c r="BR98" t="s">
        <v>78</v>
      </c>
    </row>
    <row r="99" customFormat="1" spans="1:70">
      <c r="A99" t="s">
        <v>848</v>
      </c>
      <c r="B99" t="s">
        <v>848</v>
      </c>
      <c r="C99" t="s">
        <v>527</v>
      </c>
      <c r="D99" t="s">
        <v>108</v>
      </c>
      <c r="E99">
        <v>1</v>
      </c>
      <c r="F99" t="s">
        <v>528</v>
      </c>
      <c r="G99" t="s">
        <v>674</v>
      </c>
      <c r="H99">
        <v>199</v>
      </c>
      <c r="I99">
        <v>199</v>
      </c>
      <c r="J99">
        <v>0</v>
      </c>
      <c r="K99">
        <v>0</v>
      </c>
      <c r="L99" t="s">
        <v>78</v>
      </c>
      <c r="M99" t="s">
        <v>78</v>
      </c>
      <c r="N99" t="s">
        <v>78</v>
      </c>
      <c r="O99">
        <v>0</v>
      </c>
      <c r="P99">
        <v>0</v>
      </c>
      <c r="Q99">
        <v>0</v>
      </c>
      <c r="R99" t="s">
        <v>79</v>
      </c>
      <c r="S99">
        <v>0</v>
      </c>
      <c r="T99" t="s">
        <v>80</v>
      </c>
      <c r="U99" t="s">
        <v>80</v>
      </c>
      <c r="V99" t="s">
        <v>167</v>
      </c>
      <c r="W99" t="s">
        <v>849</v>
      </c>
      <c r="X99" t="s">
        <v>850</v>
      </c>
      <c r="Y99" t="s">
        <v>851</v>
      </c>
      <c r="Z99" t="s">
        <v>80</v>
      </c>
      <c r="AA99" t="s">
        <v>85</v>
      </c>
      <c r="AC99" t="s">
        <v>852</v>
      </c>
      <c r="AD99" t="s">
        <v>202</v>
      </c>
      <c r="AE99" t="s">
        <v>853</v>
      </c>
      <c r="AG99" t="s">
        <v>854</v>
      </c>
      <c r="AH99" t="s">
        <v>91</v>
      </c>
      <c r="AI99" t="s">
        <v>92</v>
      </c>
      <c r="AJ99" t="s">
        <v>131</v>
      </c>
      <c r="AK99" t="s">
        <v>855</v>
      </c>
      <c r="AL99" t="s">
        <v>95</v>
      </c>
      <c r="AM99" t="s">
        <v>96</v>
      </c>
      <c r="AN99" t="s">
        <v>97</v>
      </c>
      <c r="AO99" t="s">
        <v>98</v>
      </c>
      <c r="AP99" t="s">
        <v>78</v>
      </c>
      <c r="AQ99" t="s">
        <v>99</v>
      </c>
      <c r="AS99" t="s">
        <v>78</v>
      </c>
      <c r="AT99" t="s">
        <v>100</v>
      </c>
      <c r="AU99" t="s">
        <v>100</v>
      </c>
      <c r="AW99" t="s">
        <v>85</v>
      </c>
      <c r="AX99" t="s">
        <v>101</v>
      </c>
      <c r="AY99" t="s">
        <v>102</v>
      </c>
      <c r="AZ99" t="s">
        <v>103</v>
      </c>
      <c r="BA99" t="s">
        <v>133</v>
      </c>
      <c r="BB99" t="s">
        <v>78</v>
      </c>
      <c r="BC99" t="s">
        <v>78</v>
      </c>
      <c r="BD99" t="s">
        <v>833</v>
      </c>
      <c r="BE99">
        <v>0</v>
      </c>
      <c r="BF99">
        <v>0</v>
      </c>
      <c r="BG99">
        <v>0</v>
      </c>
      <c r="BH99">
        <v>0</v>
      </c>
      <c r="BJ99" t="s">
        <v>85</v>
      </c>
      <c r="BP99" t="s">
        <v>78</v>
      </c>
      <c r="BQ99" t="s">
        <v>78</v>
      </c>
      <c r="BR99" t="s">
        <v>78</v>
      </c>
    </row>
    <row r="100" customFormat="1" spans="1:70">
      <c r="A100" t="s">
        <v>856</v>
      </c>
      <c r="B100" t="s">
        <v>856</v>
      </c>
      <c r="C100" t="s">
        <v>527</v>
      </c>
      <c r="D100" t="s">
        <v>123</v>
      </c>
      <c r="E100">
        <v>1</v>
      </c>
      <c r="F100" t="s">
        <v>528</v>
      </c>
      <c r="G100" t="s">
        <v>529</v>
      </c>
      <c r="H100">
        <v>199</v>
      </c>
      <c r="I100">
        <v>199</v>
      </c>
      <c r="J100">
        <v>0</v>
      </c>
      <c r="K100">
        <v>0</v>
      </c>
      <c r="L100" t="s">
        <v>78</v>
      </c>
      <c r="M100" t="s">
        <v>78</v>
      </c>
      <c r="N100" t="s">
        <v>78</v>
      </c>
      <c r="O100">
        <v>0</v>
      </c>
      <c r="P100">
        <v>0</v>
      </c>
      <c r="Q100">
        <v>0</v>
      </c>
      <c r="R100" t="s">
        <v>111</v>
      </c>
      <c r="S100">
        <v>0</v>
      </c>
      <c r="T100" t="s">
        <v>80</v>
      </c>
      <c r="U100" t="s">
        <v>80</v>
      </c>
      <c r="V100" t="s">
        <v>126</v>
      </c>
      <c r="W100" t="s">
        <v>369</v>
      </c>
      <c r="X100" t="s">
        <v>857</v>
      </c>
      <c r="Y100" t="s">
        <v>858</v>
      </c>
      <c r="Z100" t="s">
        <v>80</v>
      </c>
      <c r="AA100" t="s">
        <v>85</v>
      </c>
      <c r="AC100" t="s">
        <v>859</v>
      </c>
      <c r="AD100" t="s">
        <v>87</v>
      </c>
      <c r="AG100" t="s">
        <v>860</v>
      </c>
      <c r="AH100" t="s">
        <v>227</v>
      </c>
      <c r="AI100" t="s">
        <v>92</v>
      </c>
      <c r="AJ100" t="s">
        <v>131</v>
      </c>
      <c r="AK100" t="s">
        <v>861</v>
      </c>
      <c r="AL100" t="s">
        <v>95</v>
      </c>
      <c r="AM100" t="s">
        <v>96</v>
      </c>
      <c r="AN100" t="s">
        <v>97</v>
      </c>
      <c r="AO100" t="s">
        <v>98</v>
      </c>
      <c r="AP100" t="s">
        <v>78</v>
      </c>
      <c r="AQ100" t="s">
        <v>99</v>
      </c>
      <c r="AS100" t="s">
        <v>78</v>
      </c>
      <c r="AT100" t="s">
        <v>100</v>
      </c>
      <c r="AU100" t="s">
        <v>100</v>
      </c>
      <c r="AW100" t="s">
        <v>85</v>
      </c>
      <c r="AX100" t="s">
        <v>103</v>
      </c>
      <c r="AY100" t="s">
        <v>159</v>
      </c>
      <c r="AZ100" t="s">
        <v>103</v>
      </c>
      <c r="BA100" t="s">
        <v>218</v>
      </c>
      <c r="BB100" t="s">
        <v>78</v>
      </c>
      <c r="BC100" t="s">
        <v>78</v>
      </c>
      <c r="BE100">
        <v>0</v>
      </c>
      <c r="BF100">
        <v>0</v>
      </c>
      <c r="BG100">
        <v>0</v>
      </c>
      <c r="BH100">
        <v>0</v>
      </c>
      <c r="BJ100" t="s">
        <v>85</v>
      </c>
      <c r="BP100" t="s">
        <v>78</v>
      </c>
      <c r="BQ100" t="s">
        <v>78</v>
      </c>
      <c r="BR100" t="s">
        <v>78</v>
      </c>
    </row>
    <row r="101" customFormat="1" spans="1:70">
      <c r="A101" t="s">
        <v>862</v>
      </c>
      <c r="B101" t="s">
        <v>862</v>
      </c>
      <c r="C101" t="s">
        <v>527</v>
      </c>
      <c r="D101" t="s">
        <v>108</v>
      </c>
      <c r="E101">
        <v>1</v>
      </c>
      <c r="F101" t="s">
        <v>528</v>
      </c>
      <c r="G101" t="s">
        <v>674</v>
      </c>
      <c r="H101">
        <v>199</v>
      </c>
      <c r="I101">
        <v>214</v>
      </c>
      <c r="J101">
        <v>15</v>
      </c>
      <c r="K101">
        <v>0</v>
      </c>
      <c r="L101" t="s">
        <v>78</v>
      </c>
      <c r="M101" t="s">
        <v>78</v>
      </c>
      <c r="N101" t="s">
        <v>78</v>
      </c>
      <c r="O101">
        <v>0</v>
      </c>
      <c r="P101">
        <v>0</v>
      </c>
      <c r="Q101">
        <v>0</v>
      </c>
      <c r="R101" t="s">
        <v>125</v>
      </c>
      <c r="S101">
        <v>0</v>
      </c>
      <c r="T101" t="s">
        <v>80</v>
      </c>
      <c r="U101" t="s">
        <v>80</v>
      </c>
      <c r="V101" t="s">
        <v>863</v>
      </c>
      <c r="W101" t="s">
        <v>864</v>
      </c>
      <c r="X101" t="s">
        <v>865</v>
      </c>
      <c r="Y101" t="s">
        <v>866</v>
      </c>
      <c r="Z101" t="s">
        <v>80</v>
      </c>
      <c r="AA101" t="s">
        <v>85</v>
      </c>
      <c r="AC101" t="s">
        <v>867</v>
      </c>
      <c r="AD101" t="s">
        <v>87</v>
      </c>
      <c r="AH101" t="s">
        <v>91</v>
      </c>
      <c r="AI101" t="s">
        <v>92</v>
      </c>
      <c r="AJ101" t="s">
        <v>131</v>
      </c>
      <c r="AK101" t="s">
        <v>868</v>
      </c>
      <c r="AL101" t="s">
        <v>95</v>
      </c>
      <c r="AM101" t="s">
        <v>96</v>
      </c>
      <c r="AN101" t="s">
        <v>97</v>
      </c>
      <c r="AO101" t="s">
        <v>98</v>
      </c>
      <c r="AP101" t="s">
        <v>78</v>
      </c>
      <c r="AQ101" t="s">
        <v>78</v>
      </c>
      <c r="AR101" t="s">
        <v>353</v>
      </c>
      <c r="AS101" t="s">
        <v>78</v>
      </c>
      <c r="AT101" t="s">
        <v>100</v>
      </c>
      <c r="AU101" t="s">
        <v>100</v>
      </c>
      <c r="AW101" t="s">
        <v>85</v>
      </c>
      <c r="AX101" t="s">
        <v>101</v>
      </c>
      <c r="AY101" t="s">
        <v>102</v>
      </c>
      <c r="AZ101" t="s">
        <v>103</v>
      </c>
      <c r="BA101" t="s">
        <v>120</v>
      </c>
      <c r="BB101" t="s">
        <v>78</v>
      </c>
      <c r="BC101" t="s">
        <v>78</v>
      </c>
      <c r="BE101">
        <v>0</v>
      </c>
      <c r="BF101">
        <v>0</v>
      </c>
      <c r="BG101">
        <v>0</v>
      </c>
      <c r="BH101">
        <v>0</v>
      </c>
      <c r="BJ101" t="s">
        <v>85</v>
      </c>
      <c r="BP101" t="s">
        <v>78</v>
      </c>
      <c r="BQ101" t="s">
        <v>78</v>
      </c>
      <c r="BR101" t="s">
        <v>78</v>
      </c>
    </row>
    <row r="102" customFormat="1" spans="1:70">
      <c r="A102" t="s">
        <v>869</v>
      </c>
      <c r="B102" t="s">
        <v>869</v>
      </c>
      <c r="C102" t="s">
        <v>527</v>
      </c>
      <c r="D102" t="s">
        <v>123</v>
      </c>
      <c r="E102">
        <v>1</v>
      </c>
      <c r="F102" t="s">
        <v>528</v>
      </c>
      <c r="G102" t="s">
        <v>529</v>
      </c>
      <c r="H102">
        <v>199</v>
      </c>
      <c r="I102">
        <v>199</v>
      </c>
      <c r="J102">
        <v>0</v>
      </c>
      <c r="K102">
        <v>0</v>
      </c>
      <c r="L102" t="s">
        <v>78</v>
      </c>
      <c r="M102" t="s">
        <v>78</v>
      </c>
      <c r="N102" t="s">
        <v>78</v>
      </c>
      <c r="O102">
        <v>0</v>
      </c>
      <c r="P102">
        <v>0</v>
      </c>
      <c r="Q102">
        <v>0</v>
      </c>
      <c r="R102" t="s">
        <v>111</v>
      </c>
      <c r="S102">
        <v>0</v>
      </c>
      <c r="T102" t="s">
        <v>80</v>
      </c>
      <c r="U102" t="s">
        <v>80</v>
      </c>
      <c r="V102" t="s">
        <v>574</v>
      </c>
      <c r="W102" t="s">
        <v>574</v>
      </c>
      <c r="X102" t="s">
        <v>870</v>
      </c>
      <c r="Y102" t="s">
        <v>871</v>
      </c>
      <c r="Z102" t="s">
        <v>80</v>
      </c>
      <c r="AA102" t="s">
        <v>85</v>
      </c>
      <c r="AC102" t="s">
        <v>872</v>
      </c>
      <c r="AD102" t="s">
        <v>87</v>
      </c>
      <c r="AH102" t="s">
        <v>873</v>
      </c>
      <c r="AI102" t="s">
        <v>92</v>
      </c>
      <c r="AJ102" t="s">
        <v>131</v>
      </c>
      <c r="AK102" t="s">
        <v>874</v>
      </c>
      <c r="AL102" t="s">
        <v>95</v>
      </c>
      <c r="AM102" t="s">
        <v>96</v>
      </c>
      <c r="AN102" t="s">
        <v>97</v>
      </c>
      <c r="AO102" t="s">
        <v>98</v>
      </c>
      <c r="AP102" t="s">
        <v>78</v>
      </c>
      <c r="AQ102" t="s">
        <v>78</v>
      </c>
      <c r="AR102" t="s">
        <v>353</v>
      </c>
      <c r="AS102" t="s">
        <v>78</v>
      </c>
      <c r="AT102" t="s">
        <v>100</v>
      </c>
      <c r="AU102" t="s">
        <v>100</v>
      </c>
      <c r="AW102" t="s">
        <v>85</v>
      </c>
      <c r="AX102" t="s">
        <v>103</v>
      </c>
      <c r="AY102" t="s">
        <v>159</v>
      </c>
      <c r="AZ102" t="s">
        <v>103</v>
      </c>
      <c r="BA102" t="s">
        <v>185</v>
      </c>
      <c r="BB102" t="s">
        <v>78</v>
      </c>
      <c r="BC102" t="s">
        <v>78</v>
      </c>
      <c r="BE102">
        <v>0</v>
      </c>
      <c r="BF102">
        <v>0</v>
      </c>
      <c r="BG102">
        <v>0</v>
      </c>
      <c r="BH102">
        <v>0</v>
      </c>
      <c r="BJ102" t="s">
        <v>85</v>
      </c>
      <c r="BP102" t="s">
        <v>78</v>
      </c>
      <c r="BQ102" t="s">
        <v>78</v>
      </c>
      <c r="BR102" t="s">
        <v>78</v>
      </c>
    </row>
    <row r="103" customFormat="1" spans="1:70">
      <c r="A103" t="s">
        <v>875</v>
      </c>
      <c r="B103" t="s">
        <v>875</v>
      </c>
      <c r="C103" t="s">
        <v>527</v>
      </c>
      <c r="D103" t="s">
        <v>108</v>
      </c>
      <c r="E103">
        <v>1</v>
      </c>
      <c r="F103" t="s">
        <v>528</v>
      </c>
      <c r="G103" t="s">
        <v>674</v>
      </c>
      <c r="H103">
        <v>199</v>
      </c>
      <c r="I103">
        <v>214</v>
      </c>
      <c r="J103">
        <v>15</v>
      </c>
      <c r="K103">
        <v>0</v>
      </c>
      <c r="L103" t="s">
        <v>78</v>
      </c>
      <c r="M103" t="s">
        <v>78</v>
      </c>
      <c r="N103" t="s">
        <v>78</v>
      </c>
      <c r="O103">
        <v>0</v>
      </c>
      <c r="P103">
        <v>0</v>
      </c>
      <c r="Q103">
        <v>0</v>
      </c>
      <c r="R103" t="s">
        <v>876</v>
      </c>
      <c r="S103">
        <v>0</v>
      </c>
      <c r="T103" t="s">
        <v>80</v>
      </c>
      <c r="U103" t="s">
        <v>80</v>
      </c>
      <c r="V103" t="s">
        <v>863</v>
      </c>
      <c r="W103" t="s">
        <v>864</v>
      </c>
      <c r="X103" t="s">
        <v>865</v>
      </c>
      <c r="Y103" t="s">
        <v>866</v>
      </c>
      <c r="Z103" t="s">
        <v>80</v>
      </c>
      <c r="AA103" t="s">
        <v>85</v>
      </c>
      <c r="AC103" t="s">
        <v>877</v>
      </c>
      <c r="AD103" t="s">
        <v>87</v>
      </c>
      <c r="AH103" t="s">
        <v>91</v>
      </c>
      <c r="AI103" t="s">
        <v>92</v>
      </c>
      <c r="AJ103" t="s">
        <v>131</v>
      </c>
      <c r="AK103" t="s">
        <v>878</v>
      </c>
      <c r="AL103" t="s">
        <v>95</v>
      </c>
      <c r="AM103" t="s">
        <v>96</v>
      </c>
      <c r="AN103" t="s">
        <v>97</v>
      </c>
      <c r="AO103" t="s">
        <v>98</v>
      </c>
      <c r="AP103" t="s">
        <v>78</v>
      </c>
      <c r="AQ103" t="s">
        <v>78</v>
      </c>
      <c r="AR103" t="s">
        <v>879</v>
      </c>
      <c r="AS103" t="s">
        <v>78</v>
      </c>
      <c r="AT103" t="s">
        <v>100</v>
      </c>
      <c r="AU103" t="s">
        <v>100</v>
      </c>
      <c r="AW103" t="s">
        <v>85</v>
      </c>
      <c r="AX103" t="s">
        <v>101</v>
      </c>
      <c r="AY103" t="s">
        <v>102</v>
      </c>
      <c r="AZ103" t="s">
        <v>103</v>
      </c>
      <c r="BA103" t="s">
        <v>120</v>
      </c>
      <c r="BB103" t="s">
        <v>78</v>
      </c>
      <c r="BC103" t="s">
        <v>78</v>
      </c>
      <c r="BE103">
        <v>0</v>
      </c>
      <c r="BF103">
        <v>0</v>
      </c>
      <c r="BG103">
        <v>0</v>
      </c>
      <c r="BH103">
        <v>0</v>
      </c>
      <c r="BJ103" t="s">
        <v>85</v>
      </c>
      <c r="BP103" t="s">
        <v>78</v>
      </c>
      <c r="BQ103" t="s">
        <v>78</v>
      </c>
      <c r="BR103" t="s">
        <v>78</v>
      </c>
    </row>
    <row r="104" customFormat="1" spans="1:70">
      <c r="A104" t="s">
        <v>880</v>
      </c>
      <c r="B104" t="s">
        <v>880</v>
      </c>
      <c r="C104" t="s">
        <v>107</v>
      </c>
      <c r="D104" t="s">
        <v>108</v>
      </c>
      <c r="E104">
        <v>1</v>
      </c>
      <c r="F104" t="s">
        <v>109</v>
      </c>
      <c r="G104" t="s">
        <v>110</v>
      </c>
      <c r="H104">
        <v>289</v>
      </c>
      <c r="I104">
        <v>289</v>
      </c>
      <c r="J104">
        <v>0</v>
      </c>
      <c r="K104">
        <v>0</v>
      </c>
      <c r="L104" t="s">
        <v>78</v>
      </c>
      <c r="M104" t="s">
        <v>78</v>
      </c>
      <c r="N104" t="s">
        <v>78</v>
      </c>
      <c r="O104">
        <v>0</v>
      </c>
      <c r="P104">
        <v>0</v>
      </c>
      <c r="Q104">
        <v>0</v>
      </c>
      <c r="R104" t="s">
        <v>111</v>
      </c>
      <c r="S104">
        <v>0</v>
      </c>
      <c r="T104" t="s">
        <v>80</v>
      </c>
      <c r="U104" t="s">
        <v>80</v>
      </c>
      <c r="V104" t="s">
        <v>112</v>
      </c>
      <c r="W104" t="s">
        <v>113</v>
      </c>
      <c r="X104" t="s">
        <v>881</v>
      </c>
      <c r="Y104" t="s">
        <v>882</v>
      </c>
      <c r="Z104" t="s">
        <v>80</v>
      </c>
      <c r="AA104" t="s">
        <v>85</v>
      </c>
      <c r="AC104" t="s">
        <v>883</v>
      </c>
      <c r="AD104" t="s">
        <v>87</v>
      </c>
      <c r="AG104" t="s">
        <v>884</v>
      </c>
      <c r="AH104" t="s">
        <v>91</v>
      </c>
      <c r="AI104" t="s">
        <v>92</v>
      </c>
      <c r="AJ104" t="s">
        <v>131</v>
      </c>
      <c r="AK104" t="s">
        <v>885</v>
      </c>
      <c r="AL104" t="s">
        <v>95</v>
      </c>
      <c r="AM104" t="s">
        <v>96</v>
      </c>
      <c r="AN104" t="s">
        <v>97</v>
      </c>
      <c r="AO104" t="s">
        <v>98</v>
      </c>
      <c r="AP104" t="s">
        <v>78</v>
      </c>
      <c r="AQ104" t="s">
        <v>99</v>
      </c>
      <c r="AS104" t="s">
        <v>78</v>
      </c>
      <c r="AT104" t="s">
        <v>100</v>
      </c>
      <c r="AU104" t="s">
        <v>100</v>
      </c>
      <c r="AW104" t="s">
        <v>85</v>
      </c>
      <c r="AX104" t="s">
        <v>101</v>
      </c>
      <c r="AY104" t="s">
        <v>102</v>
      </c>
      <c r="AZ104" t="s">
        <v>103</v>
      </c>
      <c r="BA104" t="s">
        <v>133</v>
      </c>
      <c r="BB104" t="s">
        <v>78</v>
      </c>
      <c r="BC104" t="s">
        <v>78</v>
      </c>
      <c r="BE104">
        <v>0</v>
      </c>
      <c r="BF104">
        <v>0</v>
      </c>
      <c r="BG104">
        <v>0</v>
      </c>
      <c r="BH104">
        <v>0</v>
      </c>
      <c r="BJ104" t="s">
        <v>85</v>
      </c>
      <c r="BP104" t="s">
        <v>78</v>
      </c>
      <c r="BQ104" t="s">
        <v>78</v>
      </c>
      <c r="BR104" t="s">
        <v>78</v>
      </c>
    </row>
    <row r="105" customFormat="1" spans="1:70">
      <c r="A105" t="s">
        <v>886</v>
      </c>
      <c r="B105" t="s">
        <v>886</v>
      </c>
      <c r="C105" t="s">
        <v>527</v>
      </c>
      <c r="D105" t="s">
        <v>123</v>
      </c>
      <c r="E105">
        <v>1</v>
      </c>
      <c r="F105" t="s">
        <v>528</v>
      </c>
      <c r="G105" t="s">
        <v>529</v>
      </c>
      <c r="H105">
        <v>199</v>
      </c>
      <c r="I105">
        <v>199</v>
      </c>
      <c r="J105">
        <v>0</v>
      </c>
      <c r="K105">
        <v>0</v>
      </c>
      <c r="L105" t="s">
        <v>78</v>
      </c>
      <c r="M105" t="s">
        <v>78</v>
      </c>
      <c r="N105" t="s">
        <v>78</v>
      </c>
      <c r="O105">
        <v>0</v>
      </c>
      <c r="P105">
        <v>0</v>
      </c>
      <c r="Q105">
        <v>0</v>
      </c>
      <c r="R105" t="s">
        <v>125</v>
      </c>
      <c r="S105">
        <v>0</v>
      </c>
      <c r="T105" t="s">
        <v>80</v>
      </c>
      <c r="U105" t="s">
        <v>80</v>
      </c>
      <c r="V105" t="s">
        <v>887</v>
      </c>
      <c r="W105" t="s">
        <v>888</v>
      </c>
      <c r="X105" t="s">
        <v>889</v>
      </c>
      <c r="Y105" t="s">
        <v>890</v>
      </c>
      <c r="Z105" t="s">
        <v>80</v>
      </c>
      <c r="AA105" t="s">
        <v>85</v>
      </c>
      <c r="AC105" t="s">
        <v>891</v>
      </c>
      <c r="AD105" t="s">
        <v>87</v>
      </c>
      <c r="AH105" t="s">
        <v>183</v>
      </c>
      <c r="AI105" t="s">
        <v>92</v>
      </c>
      <c r="AJ105" t="s">
        <v>131</v>
      </c>
      <c r="AK105" t="s">
        <v>892</v>
      </c>
      <c r="AL105" t="s">
        <v>95</v>
      </c>
      <c r="AM105" t="s">
        <v>96</v>
      </c>
      <c r="AN105" t="s">
        <v>97</v>
      </c>
      <c r="AO105" t="s">
        <v>98</v>
      </c>
      <c r="AP105" t="s">
        <v>78</v>
      </c>
      <c r="AQ105" t="s">
        <v>78</v>
      </c>
      <c r="AR105" t="s">
        <v>353</v>
      </c>
      <c r="AS105" t="s">
        <v>78</v>
      </c>
      <c r="AT105" t="s">
        <v>100</v>
      </c>
      <c r="AU105" t="s">
        <v>100</v>
      </c>
      <c r="AW105" t="s">
        <v>85</v>
      </c>
      <c r="AX105" t="s">
        <v>103</v>
      </c>
      <c r="AY105" t="s">
        <v>159</v>
      </c>
      <c r="AZ105" t="s">
        <v>103</v>
      </c>
      <c r="BA105" t="s">
        <v>185</v>
      </c>
      <c r="BB105" t="s">
        <v>78</v>
      </c>
      <c r="BC105" t="s">
        <v>78</v>
      </c>
      <c r="BE105">
        <v>0</v>
      </c>
      <c r="BF105">
        <v>0</v>
      </c>
      <c r="BG105">
        <v>0</v>
      </c>
      <c r="BH105">
        <v>0</v>
      </c>
      <c r="BJ105" t="s">
        <v>85</v>
      </c>
      <c r="BP105" t="s">
        <v>78</v>
      </c>
      <c r="BQ105" t="s">
        <v>78</v>
      </c>
      <c r="BR105" t="s">
        <v>78</v>
      </c>
    </row>
    <row r="106" customFormat="1" spans="1:70">
      <c r="A106" t="s">
        <v>893</v>
      </c>
      <c r="B106" t="s">
        <v>893</v>
      </c>
      <c r="C106" t="s">
        <v>527</v>
      </c>
      <c r="D106" t="s">
        <v>135</v>
      </c>
      <c r="E106">
        <v>1</v>
      </c>
      <c r="F106" t="s">
        <v>528</v>
      </c>
      <c r="G106" t="s">
        <v>540</v>
      </c>
      <c r="H106">
        <v>199</v>
      </c>
      <c r="I106">
        <v>199</v>
      </c>
      <c r="J106">
        <v>0</v>
      </c>
      <c r="K106">
        <v>0</v>
      </c>
      <c r="L106" t="s">
        <v>78</v>
      </c>
      <c r="M106" t="s">
        <v>78</v>
      </c>
      <c r="N106" t="s">
        <v>78</v>
      </c>
      <c r="O106">
        <v>0</v>
      </c>
      <c r="P106">
        <v>0</v>
      </c>
      <c r="Q106">
        <v>0</v>
      </c>
      <c r="R106" t="s">
        <v>125</v>
      </c>
      <c r="S106">
        <v>0</v>
      </c>
      <c r="T106" t="s">
        <v>80</v>
      </c>
      <c r="U106" t="s">
        <v>80</v>
      </c>
      <c r="V106" t="s">
        <v>894</v>
      </c>
      <c r="W106" t="s">
        <v>895</v>
      </c>
      <c r="X106" t="s">
        <v>896</v>
      </c>
      <c r="Y106" t="s">
        <v>897</v>
      </c>
      <c r="Z106" t="s">
        <v>80</v>
      </c>
      <c r="AA106" t="s">
        <v>85</v>
      </c>
      <c r="AC106" t="s">
        <v>898</v>
      </c>
      <c r="AD106" t="s">
        <v>87</v>
      </c>
      <c r="AH106" t="s">
        <v>183</v>
      </c>
      <c r="AI106" t="s">
        <v>92</v>
      </c>
      <c r="AJ106" t="s">
        <v>131</v>
      </c>
      <c r="AK106" t="s">
        <v>899</v>
      </c>
      <c r="AL106" t="s">
        <v>95</v>
      </c>
      <c r="AM106" t="s">
        <v>96</v>
      </c>
      <c r="AN106" t="s">
        <v>97</v>
      </c>
      <c r="AO106" t="s">
        <v>98</v>
      </c>
      <c r="AP106" t="s">
        <v>78</v>
      </c>
      <c r="AQ106" t="s">
        <v>78</v>
      </c>
      <c r="AR106" t="s">
        <v>353</v>
      </c>
      <c r="AS106" t="s">
        <v>78</v>
      </c>
      <c r="AT106" t="s">
        <v>100</v>
      </c>
      <c r="AU106" t="s">
        <v>100</v>
      </c>
      <c r="AW106" t="s">
        <v>85</v>
      </c>
      <c r="AX106" t="s">
        <v>103</v>
      </c>
      <c r="AY106" t="s">
        <v>159</v>
      </c>
      <c r="AZ106" t="s">
        <v>103</v>
      </c>
      <c r="BA106" t="s">
        <v>185</v>
      </c>
      <c r="BB106" t="s">
        <v>78</v>
      </c>
      <c r="BC106" t="s">
        <v>78</v>
      </c>
      <c r="BE106">
        <v>0</v>
      </c>
      <c r="BF106">
        <v>0</v>
      </c>
      <c r="BG106">
        <v>0</v>
      </c>
      <c r="BH106">
        <v>0</v>
      </c>
      <c r="BJ106" t="s">
        <v>85</v>
      </c>
      <c r="BP106" t="s">
        <v>78</v>
      </c>
      <c r="BQ106" t="s">
        <v>78</v>
      </c>
      <c r="BR106" t="s">
        <v>78</v>
      </c>
    </row>
    <row r="107" customFormat="1" spans="1:70">
      <c r="A107" t="s">
        <v>900</v>
      </c>
      <c r="B107" t="s">
        <v>900</v>
      </c>
      <c r="C107" t="s">
        <v>107</v>
      </c>
      <c r="D107" t="s">
        <v>108</v>
      </c>
      <c r="E107">
        <v>1</v>
      </c>
      <c r="F107" t="s">
        <v>109</v>
      </c>
      <c r="G107" t="s">
        <v>110</v>
      </c>
      <c r="H107">
        <v>289</v>
      </c>
      <c r="I107">
        <v>289</v>
      </c>
      <c r="J107">
        <v>0</v>
      </c>
      <c r="K107">
        <v>0</v>
      </c>
      <c r="L107" t="s">
        <v>78</v>
      </c>
      <c r="M107" t="s">
        <v>78</v>
      </c>
      <c r="N107" t="s">
        <v>78</v>
      </c>
      <c r="O107">
        <v>0</v>
      </c>
      <c r="P107">
        <v>0</v>
      </c>
      <c r="Q107">
        <v>0</v>
      </c>
      <c r="R107" t="s">
        <v>125</v>
      </c>
      <c r="S107">
        <v>0</v>
      </c>
      <c r="T107" t="s">
        <v>80</v>
      </c>
      <c r="U107" t="s">
        <v>80</v>
      </c>
      <c r="V107" t="s">
        <v>347</v>
      </c>
      <c r="W107" t="s">
        <v>901</v>
      </c>
      <c r="X107" t="s">
        <v>902</v>
      </c>
      <c r="Y107" t="s">
        <v>78</v>
      </c>
      <c r="Z107" t="s">
        <v>80</v>
      </c>
      <c r="AA107" t="s">
        <v>85</v>
      </c>
      <c r="AC107" t="s">
        <v>903</v>
      </c>
      <c r="AD107" t="s">
        <v>87</v>
      </c>
      <c r="AH107" t="s">
        <v>401</v>
      </c>
      <c r="AI107" t="s">
        <v>92</v>
      </c>
      <c r="AJ107" t="s">
        <v>131</v>
      </c>
      <c r="AK107" t="s">
        <v>904</v>
      </c>
      <c r="AL107" t="s">
        <v>95</v>
      </c>
      <c r="AM107" t="s">
        <v>96</v>
      </c>
      <c r="AN107" t="s">
        <v>97</v>
      </c>
      <c r="AO107" t="s">
        <v>98</v>
      </c>
      <c r="AP107" t="s">
        <v>78</v>
      </c>
      <c r="AQ107" t="s">
        <v>78</v>
      </c>
      <c r="AR107" t="s">
        <v>353</v>
      </c>
      <c r="AS107" t="s">
        <v>78</v>
      </c>
      <c r="AT107" t="s">
        <v>100</v>
      </c>
      <c r="AU107" t="s">
        <v>100</v>
      </c>
      <c r="AW107" t="s">
        <v>85</v>
      </c>
      <c r="AX107" t="s">
        <v>103</v>
      </c>
      <c r="AY107" t="s">
        <v>159</v>
      </c>
      <c r="AZ107" t="s">
        <v>103</v>
      </c>
      <c r="BA107" t="s">
        <v>102</v>
      </c>
      <c r="BB107" t="s">
        <v>78</v>
      </c>
      <c r="BC107" t="s">
        <v>78</v>
      </c>
      <c r="BE107">
        <v>0</v>
      </c>
      <c r="BF107">
        <v>0</v>
      </c>
      <c r="BG107">
        <v>0</v>
      </c>
      <c r="BH107">
        <v>0</v>
      </c>
      <c r="BJ107" t="s">
        <v>85</v>
      </c>
      <c r="BP107" t="s">
        <v>78</v>
      </c>
      <c r="BQ107" t="s">
        <v>78</v>
      </c>
      <c r="BR107" t="s">
        <v>78</v>
      </c>
    </row>
    <row r="108" customFormat="1" spans="1:70">
      <c r="A108" t="s">
        <v>905</v>
      </c>
      <c r="B108" t="s">
        <v>905</v>
      </c>
      <c r="C108" t="s">
        <v>527</v>
      </c>
      <c r="D108" t="s">
        <v>135</v>
      </c>
      <c r="E108">
        <v>1</v>
      </c>
      <c r="F108" t="s">
        <v>528</v>
      </c>
      <c r="G108" t="s">
        <v>540</v>
      </c>
      <c r="H108">
        <v>199</v>
      </c>
      <c r="I108">
        <v>199</v>
      </c>
      <c r="J108">
        <v>0</v>
      </c>
      <c r="K108">
        <v>0</v>
      </c>
      <c r="L108" t="s">
        <v>78</v>
      </c>
      <c r="M108" t="s">
        <v>78</v>
      </c>
      <c r="N108" t="s">
        <v>78</v>
      </c>
      <c r="O108">
        <v>0</v>
      </c>
      <c r="P108">
        <v>0</v>
      </c>
      <c r="Q108">
        <v>0</v>
      </c>
      <c r="R108" t="s">
        <v>79</v>
      </c>
      <c r="S108">
        <v>0</v>
      </c>
      <c r="T108" t="s">
        <v>80</v>
      </c>
      <c r="U108" t="s">
        <v>80</v>
      </c>
      <c r="V108" t="s">
        <v>112</v>
      </c>
      <c r="W108" t="s">
        <v>906</v>
      </c>
      <c r="X108" t="s">
        <v>907</v>
      </c>
      <c r="Y108" t="s">
        <v>908</v>
      </c>
      <c r="Z108" t="s">
        <v>80</v>
      </c>
      <c r="AA108" t="s">
        <v>85</v>
      </c>
      <c r="AC108" t="s">
        <v>909</v>
      </c>
      <c r="AD108" t="s">
        <v>87</v>
      </c>
      <c r="AG108" t="s">
        <v>910</v>
      </c>
      <c r="AH108" t="s">
        <v>91</v>
      </c>
      <c r="AI108" t="s">
        <v>92</v>
      </c>
      <c r="AJ108" t="s">
        <v>131</v>
      </c>
      <c r="AK108" t="s">
        <v>911</v>
      </c>
      <c r="AL108" t="s">
        <v>95</v>
      </c>
      <c r="AM108" t="s">
        <v>96</v>
      </c>
      <c r="AN108" t="s">
        <v>97</v>
      </c>
      <c r="AO108" t="s">
        <v>98</v>
      </c>
      <c r="AP108" t="s">
        <v>78</v>
      </c>
      <c r="AQ108" t="s">
        <v>99</v>
      </c>
      <c r="AS108" t="s">
        <v>78</v>
      </c>
      <c r="AT108" t="s">
        <v>100</v>
      </c>
      <c r="AU108" t="s">
        <v>100</v>
      </c>
      <c r="AW108" t="s">
        <v>85</v>
      </c>
      <c r="AX108" t="s">
        <v>101</v>
      </c>
      <c r="AY108" t="s">
        <v>102</v>
      </c>
      <c r="AZ108" t="s">
        <v>103</v>
      </c>
      <c r="BA108" t="s">
        <v>133</v>
      </c>
      <c r="BB108" t="s">
        <v>78</v>
      </c>
      <c r="BC108" t="s">
        <v>78</v>
      </c>
      <c r="BE108">
        <v>0</v>
      </c>
      <c r="BF108">
        <v>0</v>
      </c>
      <c r="BG108">
        <v>0</v>
      </c>
      <c r="BH108">
        <v>0</v>
      </c>
      <c r="BJ108" t="s">
        <v>85</v>
      </c>
      <c r="BP108" t="s">
        <v>78</v>
      </c>
      <c r="BQ108" t="s">
        <v>78</v>
      </c>
      <c r="BR108" t="s">
        <v>78</v>
      </c>
    </row>
    <row r="109" customFormat="1" spans="1:70">
      <c r="A109" t="s">
        <v>912</v>
      </c>
      <c r="B109" t="s">
        <v>912</v>
      </c>
      <c r="C109" t="s">
        <v>527</v>
      </c>
      <c r="D109" t="s">
        <v>108</v>
      </c>
      <c r="E109">
        <v>1</v>
      </c>
      <c r="F109" t="s">
        <v>528</v>
      </c>
      <c r="G109" t="s">
        <v>674</v>
      </c>
      <c r="H109">
        <v>199</v>
      </c>
      <c r="I109">
        <v>199</v>
      </c>
      <c r="J109">
        <v>0</v>
      </c>
      <c r="K109">
        <v>0</v>
      </c>
      <c r="L109" t="s">
        <v>78</v>
      </c>
      <c r="M109" t="s">
        <v>78</v>
      </c>
      <c r="N109" t="s">
        <v>78</v>
      </c>
      <c r="O109">
        <v>0</v>
      </c>
      <c r="P109">
        <v>0</v>
      </c>
      <c r="Q109">
        <v>0</v>
      </c>
      <c r="R109" t="s">
        <v>125</v>
      </c>
      <c r="S109">
        <v>0</v>
      </c>
      <c r="T109" t="s">
        <v>80</v>
      </c>
      <c r="U109" t="s">
        <v>80</v>
      </c>
      <c r="V109" t="s">
        <v>239</v>
      </c>
      <c r="W109" t="s">
        <v>913</v>
      </c>
      <c r="X109" t="s">
        <v>914</v>
      </c>
      <c r="Y109" t="s">
        <v>915</v>
      </c>
      <c r="Z109" t="s">
        <v>80</v>
      </c>
      <c r="AA109" t="s">
        <v>85</v>
      </c>
      <c r="AC109" t="s">
        <v>916</v>
      </c>
      <c r="AD109" t="s">
        <v>87</v>
      </c>
      <c r="AG109" t="s">
        <v>917</v>
      </c>
      <c r="AH109" t="s">
        <v>91</v>
      </c>
      <c r="AI109" t="s">
        <v>92</v>
      </c>
      <c r="AJ109" t="s">
        <v>131</v>
      </c>
      <c r="AK109" t="s">
        <v>918</v>
      </c>
      <c r="AL109" t="s">
        <v>95</v>
      </c>
      <c r="AM109" t="s">
        <v>96</v>
      </c>
      <c r="AN109" t="s">
        <v>97</v>
      </c>
      <c r="AO109" t="s">
        <v>98</v>
      </c>
      <c r="AP109" t="s">
        <v>78</v>
      </c>
      <c r="AQ109" t="s">
        <v>99</v>
      </c>
      <c r="AS109" t="s">
        <v>78</v>
      </c>
      <c r="AT109" t="s">
        <v>100</v>
      </c>
      <c r="AU109" t="s">
        <v>100</v>
      </c>
      <c r="AW109" t="s">
        <v>85</v>
      </c>
      <c r="AX109" t="s">
        <v>101</v>
      </c>
      <c r="AY109" t="s">
        <v>102</v>
      </c>
      <c r="AZ109" t="s">
        <v>103</v>
      </c>
      <c r="BA109" t="s">
        <v>133</v>
      </c>
      <c r="BB109" t="s">
        <v>78</v>
      </c>
      <c r="BC109" t="s">
        <v>78</v>
      </c>
      <c r="BE109">
        <v>0</v>
      </c>
      <c r="BF109">
        <v>0</v>
      </c>
      <c r="BG109">
        <v>0</v>
      </c>
      <c r="BH109">
        <v>0</v>
      </c>
      <c r="BJ109" t="s">
        <v>85</v>
      </c>
      <c r="BP109" t="s">
        <v>78</v>
      </c>
      <c r="BQ109" t="s">
        <v>78</v>
      </c>
      <c r="BR109" t="s">
        <v>78</v>
      </c>
    </row>
    <row r="110" customFormat="1" spans="1:70">
      <c r="A110" t="s">
        <v>919</v>
      </c>
      <c r="B110" t="s">
        <v>919</v>
      </c>
      <c r="C110" t="s">
        <v>527</v>
      </c>
      <c r="D110" t="s">
        <v>135</v>
      </c>
      <c r="E110">
        <v>1</v>
      </c>
      <c r="F110" t="s">
        <v>528</v>
      </c>
      <c r="G110" t="s">
        <v>540</v>
      </c>
      <c r="H110">
        <v>199</v>
      </c>
      <c r="I110">
        <v>199</v>
      </c>
      <c r="J110">
        <v>0</v>
      </c>
      <c r="K110">
        <v>0</v>
      </c>
      <c r="L110" t="s">
        <v>78</v>
      </c>
      <c r="M110" t="s">
        <v>78</v>
      </c>
      <c r="N110" t="s">
        <v>78</v>
      </c>
      <c r="O110">
        <v>0</v>
      </c>
      <c r="P110">
        <v>0</v>
      </c>
      <c r="Q110">
        <v>0</v>
      </c>
      <c r="R110" t="s">
        <v>125</v>
      </c>
      <c r="S110">
        <v>0</v>
      </c>
      <c r="T110" t="s">
        <v>80</v>
      </c>
      <c r="U110" t="s">
        <v>80</v>
      </c>
      <c r="V110" t="s">
        <v>583</v>
      </c>
      <c r="W110" t="s">
        <v>920</v>
      </c>
      <c r="X110" t="s">
        <v>921</v>
      </c>
      <c r="Y110" t="s">
        <v>78</v>
      </c>
      <c r="Z110" t="s">
        <v>80</v>
      </c>
      <c r="AA110" t="s">
        <v>85</v>
      </c>
      <c r="AC110" t="s">
        <v>922</v>
      </c>
      <c r="AD110" t="s">
        <v>87</v>
      </c>
      <c r="AG110" t="s">
        <v>923</v>
      </c>
      <c r="AH110" t="s">
        <v>91</v>
      </c>
      <c r="AI110" t="s">
        <v>92</v>
      </c>
      <c r="AJ110" t="s">
        <v>131</v>
      </c>
      <c r="AK110" t="s">
        <v>924</v>
      </c>
      <c r="AL110" t="s">
        <v>95</v>
      </c>
      <c r="AM110" t="s">
        <v>96</v>
      </c>
      <c r="AN110" t="s">
        <v>97</v>
      </c>
      <c r="AO110" t="s">
        <v>98</v>
      </c>
      <c r="AP110" t="s">
        <v>78</v>
      </c>
      <c r="AQ110" t="s">
        <v>99</v>
      </c>
      <c r="AS110" t="s">
        <v>78</v>
      </c>
      <c r="AT110" t="s">
        <v>100</v>
      </c>
      <c r="AU110" t="s">
        <v>100</v>
      </c>
      <c r="AW110" t="s">
        <v>85</v>
      </c>
      <c r="AX110" t="s">
        <v>101</v>
      </c>
      <c r="AY110" t="s">
        <v>102</v>
      </c>
      <c r="AZ110" t="s">
        <v>103</v>
      </c>
      <c r="BA110" t="s">
        <v>419</v>
      </c>
      <c r="BB110" t="s">
        <v>78</v>
      </c>
      <c r="BC110" t="s">
        <v>78</v>
      </c>
      <c r="BE110">
        <v>0</v>
      </c>
      <c r="BF110">
        <v>0</v>
      </c>
      <c r="BG110">
        <v>0</v>
      </c>
      <c r="BH110">
        <v>0</v>
      </c>
      <c r="BJ110" t="s">
        <v>85</v>
      </c>
      <c r="BP110" t="s">
        <v>78</v>
      </c>
      <c r="BQ110" t="s">
        <v>78</v>
      </c>
      <c r="BR110" t="s">
        <v>78</v>
      </c>
    </row>
    <row r="111" customFormat="1" spans="1:70">
      <c r="A111" t="s">
        <v>925</v>
      </c>
      <c r="B111" t="s">
        <v>925</v>
      </c>
      <c r="C111" t="s">
        <v>107</v>
      </c>
      <c r="D111" t="s">
        <v>108</v>
      </c>
      <c r="E111">
        <v>1</v>
      </c>
      <c r="F111" t="s">
        <v>109</v>
      </c>
      <c r="G111" t="s">
        <v>110</v>
      </c>
      <c r="H111">
        <v>289</v>
      </c>
      <c r="I111">
        <v>289</v>
      </c>
      <c r="J111">
        <v>0</v>
      </c>
      <c r="K111">
        <v>0</v>
      </c>
      <c r="L111" t="s">
        <v>78</v>
      </c>
      <c r="M111" t="s">
        <v>78</v>
      </c>
      <c r="N111" t="s">
        <v>78</v>
      </c>
      <c r="O111">
        <v>0</v>
      </c>
      <c r="P111">
        <v>0</v>
      </c>
      <c r="Q111">
        <v>0</v>
      </c>
      <c r="R111" t="s">
        <v>111</v>
      </c>
      <c r="S111">
        <v>0</v>
      </c>
      <c r="T111" t="s">
        <v>80</v>
      </c>
      <c r="U111" t="s">
        <v>80</v>
      </c>
      <c r="V111" t="s">
        <v>574</v>
      </c>
      <c r="W111" t="s">
        <v>574</v>
      </c>
      <c r="X111" t="s">
        <v>926</v>
      </c>
      <c r="Y111" t="s">
        <v>927</v>
      </c>
      <c r="Z111" t="s">
        <v>80</v>
      </c>
      <c r="AA111" t="s">
        <v>85</v>
      </c>
      <c r="AC111" t="s">
        <v>928</v>
      </c>
      <c r="AD111" t="s">
        <v>87</v>
      </c>
      <c r="AH111" t="s">
        <v>873</v>
      </c>
      <c r="AI111" t="s">
        <v>92</v>
      </c>
      <c r="AJ111" t="s">
        <v>131</v>
      </c>
      <c r="AK111" t="s">
        <v>929</v>
      </c>
      <c r="AL111" t="s">
        <v>95</v>
      </c>
      <c r="AM111" t="s">
        <v>96</v>
      </c>
      <c r="AN111" t="s">
        <v>97</v>
      </c>
      <c r="AO111" t="s">
        <v>98</v>
      </c>
      <c r="AP111" t="s">
        <v>78</v>
      </c>
      <c r="AQ111" t="s">
        <v>78</v>
      </c>
      <c r="AR111" t="s">
        <v>353</v>
      </c>
      <c r="AS111" t="s">
        <v>78</v>
      </c>
      <c r="AT111" t="s">
        <v>100</v>
      </c>
      <c r="AU111" t="s">
        <v>100</v>
      </c>
      <c r="AW111" t="s">
        <v>85</v>
      </c>
      <c r="AX111" t="s">
        <v>103</v>
      </c>
      <c r="AY111" t="s">
        <v>159</v>
      </c>
      <c r="AZ111" t="s">
        <v>103</v>
      </c>
      <c r="BA111" t="s">
        <v>185</v>
      </c>
      <c r="BB111" t="s">
        <v>78</v>
      </c>
      <c r="BC111" t="s">
        <v>78</v>
      </c>
      <c r="BE111">
        <v>0</v>
      </c>
      <c r="BF111">
        <v>0</v>
      </c>
      <c r="BG111">
        <v>0</v>
      </c>
      <c r="BH111">
        <v>0</v>
      </c>
      <c r="BJ111" t="s">
        <v>85</v>
      </c>
      <c r="BP111" t="s">
        <v>78</v>
      </c>
      <c r="BQ111" t="s">
        <v>78</v>
      </c>
      <c r="BR111" t="s">
        <v>78</v>
      </c>
    </row>
    <row r="112" customFormat="1" spans="1:70">
      <c r="A112" t="s">
        <v>930</v>
      </c>
      <c r="B112" t="s">
        <v>930</v>
      </c>
      <c r="C112" t="s">
        <v>107</v>
      </c>
      <c r="D112" t="s">
        <v>123</v>
      </c>
      <c r="E112">
        <v>1</v>
      </c>
      <c r="F112" t="s">
        <v>109</v>
      </c>
      <c r="G112" t="s">
        <v>124</v>
      </c>
      <c r="H112">
        <v>289</v>
      </c>
      <c r="I112">
        <v>289</v>
      </c>
      <c r="J112">
        <v>0</v>
      </c>
      <c r="K112">
        <v>0</v>
      </c>
      <c r="L112" t="s">
        <v>78</v>
      </c>
      <c r="M112" t="s">
        <v>78</v>
      </c>
      <c r="N112" t="s">
        <v>78</v>
      </c>
      <c r="O112">
        <v>0</v>
      </c>
      <c r="P112">
        <v>0</v>
      </c>
      <c r="Q112">
        <v>0</v>
      </c>
      <c r="R112" t="s">
        <v>79</v>
      </c>
      <c r="S112">
        <v>0</v>
      </c>
      <c r="T112" t="s">
        <v>80</v>
      </c>
      <c r="U112" t="s">
        <v>80</v>
      </c>
      <c r="V112" t="s">
        <v>509</v>
      </c>
      <c r="W112" t="s">
        <v>623</v>
      </c>
      <c r="X112" t="s">
        <v>931</v>
      </c>
      <c r="Y112" t="s">
        <v>932</v>
      </c>
      <c r="Z112" t="s">
        <v>80</v>
      </c>
      <c r="AA112" t="s">
        <v>85</v>
      </c>
      <c r="AC112" t="s">
        <v>933</v>
      </c>
      <c r="AD112" t="s">
        <v>362</v>
      </c>
      <c r="AE112" t="s">
        <v>934</v>
      </c>
      <c r="AF112" t="s">
        <v>935</v>
      </c>
      <c r="AG112" t="s">
        <v>936</v>
      </c>
      <c r="AH112" t="s">
        <v>91</v>
      </c>
      <c r="AI112" t="s">
        <v>92</v>
      </c>
      <c r="AJ112" t="s">
        <v>93</v>
      </c>
      <c r="AK112" t="s">
        <v>937</v>
      </c>
      <c r="AL112" t="s">
        <v>95</v>
      </c>
      <c r="AM112" t="s">
        <v>96</v>
      </c>
      <c r="AN112" t="s">
        <v>97</v>
      </c>
      <c r="AO112" t="s">
        <v>98</v>
      </c>
      <c r="AP112" t="s">
        <v>78</v>
      </c>
      <c r="AQ112" t="s">
        <v>428</v>
      </c>
      <c r="AS112" t="s">
        <v>78</v>
      </c>
      <c r="AT112" t="s">
        <v>100</v>
      </c>
      <c r="AU112" t="s">
        <v>100</v>
      </c>
      <c r="AW112" t="s">
        <v>85</v>
      </c>
      <c r="AX112" t="s">
        <v>103</v>
      </c>
      <c r="AY112" t="s">
        <v>159</v>
      </c>
      <c r="AZ112" t="s">
        <v>103</v>
      </c>
      <c r="BA112" t="s">
        <v>104</v>
      </c>
      <c r="BB112" t="s">
        <v>78</v>
      </c>
      <c r="BC112" t="s">
        <v>78</v>
      </c>
      <c r="BD112" t="s">
        <v>705</v>
      </c>
      <c r="BE112">
        <v>0</v>
      </c>
      <c r="BF112">
        <v>0</v>
      </c>
      <c r="BG112">
        <v>0</v>
      </c>
      <c r="BH112">
        <v>0</v>
      </c>
      <c r="BJ112" t="s">
        <v>85</v>
      </c>
      <c r="BP112" t="s">
        <v>78</v>
      </c>
      <c r="BQ112" t="s">
        <v>78</v>
      </c>
      <c r="BR112" t="s">
        <v>78</v>
      </c>
    </row>
    <row r="113" customFormat="1" spans="1:70">
      <c r="A113" t="s">
        <v>938</v>
      </c>
      <c r="B113" t="s">
        <v>938</v>
      </c>
      <c r="C113" t="s">
        <v>527</v>
      </c>
      <c r="D113" t="s">
        <v>123</v>
      </c>
      <c r="E113">
        <v>1</v>
      </c>
      <c r="F113" t="s">
        <v>528</v>
      </c>
      <c r="G113" t="s">
        <v>529</v>
      </c>
      <c r="H113">
        <v>199</v>
      </c>
      <c r="I113">
        <v>199</v>
      </c>
      <c r="J113">
        <v>0</v>
      </c>
      <c r="K113">
        <v>0</v>
      </c>
      <c r="L113" t="s">
        <v>78</v>
      </c>
      <c r="M113" t="s">
        <v>78</v>
      </c>
      <c r="N113" t="s">
        <v>78</v>
      </c>
      <c r="O113">
        <v>0</v>
      </c>
      <c r="P113">
        <v>0</v>
      </c>
      <c r="Q113">
        <v>0</v>
      </c>
      <c r="R113" t="s">
        <v>111</v>
      </c>
      <c r="S113">
        <v>0</v>
      </c>
      <c r="T113" t="s">
        <v>80</v>
      </c>
      <c r="U113" t="s">
        <v>80</v>
      </c>
      <c r="V113" t="s">
        <v>271</v>
      </c>
      <c r="W113" t="s">
        <v>939</v>
      </c>
      <c r="X113" t="s">
        <v>940</v>
      </c>
      <c r="Y113" t="s">
        <v>941</v>
      </c>
      <c r="Z113" t="s">
        <v>80</v>
      </c>
      <c r="AA113" t="s">
        <v>85</v>
      </c>
      <c r="AC113" t="s">
        <v>942</v>
      </c>
      <c r="AD113" t="s">
        <v>87</v>
      </c>
      <c r="AH113" t="s">
        <v>91</v>
      </c>
      <c r="AI113" t="s">
        <v>92</v>
      </c>
      <c r="AJ113" t="s">
        <v>131</v>
      </c>
      <c r="AK113" t="s">
        <v>943</v>
      </c>
      <c r="AL113" t="s">
        <v>95</v>
      </c>
      <c r="AM113" t="s">
        <v>96</v>
      </c>
      <c r="AN113" t="s">
        <v>97</v>
      </c>
      <c r="AO113" t="s">
        <v>98</v>
      </c>
      <c r="AP113" t="s">
        <v>78</v>
      </c>
      <c r="AQ113" t="s">
        <v>78</v>
      </c>
      <c r="AR113" t="s">
        <v>353</v>
      </c>
      <c r="AS113" t="s">
        <v>78</v>
      </c>
      <c r="AT113" t="s">
        <v>100</v>
      </c>
      <c r="AU113" t="s">
        <v>100</v>
      </c>
      <c r="AW113" t="s">
        <v>85</v>
      </c>
      <c r="AX113" t="s">
        <v>103</v>
      </c>
      <c r="AY113" t="s">
        <v>159</v>
      </c>
      <c r="AZ113" t="s">
        <v>103</v>
      </c>
      <c r="BA113" t="s">
        <v>133</v>
      </c>
      <c r="BB113" t="s">
        <v>78</v>
      </c>
      <c r="BC113" t="s">
        <v>78</v>
      </c>
      <c r="BE113">
        <v>0</v>
      </c>
      <c r="BF113">
        <v>0</v>
      </c>
      <c r="BG113">
        <v>0</v>
      </c>
      <c r="BH113">
        <v>0</v>
      </c>
      <c r="BJ113" t="s">
        <v>85</v>
      </c>
      <c r="BP113" t="s">
        <v>78</v>
      </c>
      <c r="BQ113" t="s">
        <v>78</v>
      </c>
      <c r="BR113" t="s">
        <v>78</v>
      </c>
    </row>
    <row r="114" customFormat="1" spans="1:70">
      <c r="A114" t="s">
        <v>944</v>
      </c>
      <c r="B114" t="s">
        <v>944</v>
      </c>
      <c r="C114" t="s">
        <v>527</v>
      </c>
      <c r="D114" t="s">
        <v>108</v>
      </c>
      <c r="E114">
        <v>1</v>
      </c>
      <c r="F114" t="s">
        <v>528</v>
      </c>
      <c r="G114" t="s">
        <v>674</v>
      </c>
      <c r="H114">
        <v>199</v>
      </c>
      <c r="I114">
        <v>199</v>
      </c>
      <c r="J114">
        <v>0</v>
      </c>
      <c r="K114">
        <v>0</v>
      </c>
      <c r="L114" t="s">
        <v>78</v>
      </c>
      <c r="M114" t="s">
        <v>78</v>
      </c>
      <c r="N114" t="s">
        <v>78</v>
      </c>
      <c r="O114">
        <v>0</v>
      </c>
      <c r="P114">
        <v>0</v>
      </c>
      <c r="Q114">
        <v>0</v>
      </c>
      <c r="R114" t="s">
        <v>79</v>
      </c>
      <c r="S114">
        <v>0</v>
      </c>
      <c r="T114" t="s">
        <v>80</v>
      </c>
      <c r="U114" t="s">
        <v>80</v>
      </c>
      <c r="V114" t="s">
        <v>126</v>
      </c>
      <c r="W114" t="s">
        <v>945</v>
      </c>
      <c r="X114" t="s">
        <v>946</v>
      </c>
      <c r="Y114" t="s">
        <v>947</v>
      </c>
      <c r="Z114" t="s">
        <v>80</v>
      </c>
      <c r="AA114" t="s">
        <v>85</v>
      </c>
      <c r="AC114" t="s">
        <v>948</v>
      </c>
      <c r="AD114" t="s">
        <v>87</v>
      </c>
      <c r="AF114" t="s">
        <v>949</v>
      </c>
      <c r="AG114" t="s">
        <v>950</v>
      </c>
      <c r="AH114" t="s">
        <v>91</v>
      </c>
      <c r="AI114" t="s">
        <v>92</v>
      </c>
      <c r="AJ114" t="s">
        <v>93</v>
      </c>
      <c r="AK114" t="s">
        <v>951</v>
      </c>
      <c r="AL114" t="s">
        <v>95</v>
      </c>
      <c r="AM114" t="s">
        <v>96</v>
      </c>
      <c r="AN114" t="s">
        <v>97</v>
      </c>
      <c r="AO114" t="s">
        <v>98</v>
      </c>
      <c r="AP114" t="s">
        <v>78</v>
      </c>
      <c r="AQ114" t="s">
        <v>78</v>
      </c>
      <c r="AS114" t="s">
        <v>78</v>
      </c>
      <c r="AT114" t="s">
        <v>100</v>
      </c>
      <c r="AU114" t="s">
        <v>100</v>
      </c>
      <c r="AW114" t="s">
        <v>85</v>
      </c>
      <c r="AX114" t="s">
        <v>101</v>
      </c>
      <c r="AY114" t="s">
        <v>102</v>
      </c>
      <c r="AZ114" t="s">
        <v>103</v>
      </c>
      <c r="BA114" t="s">
        <v>133</v>
      </c>
      <c r="BB114" t="s">
        <v>78</v>
      </c>
      <c r="BC114" t="s">
        <v>78</v>
      </c>
      <c r="BD114" t="s">
        <v>833</v>
      </c>
      <c r="BE114">
        <v>0</v>
      </c>
      <c r="BF114">
        <v>0</v>
      </c>
      <c r="BG114">
        <v>0</v>
      </c>
      <c r="BH114">
        <v>0</v>
      </c>
      <c r="BJ114" t="s">
        <v>85</v>
      </c>
      <c r="BP114" t="s">
        <v>78</v>
      </c>
      <c r="BQ114" t="s">
        <v>78</v>
      </c>
      <c r="BR114" t="s">
        <v>78</v>
      </c>
    </row>
    <row r="115" customFormat="1" spans="1:70">
      <c r="A115" t="s">
        <v>952</v>
      </c>
      <c r="B115" t="s">
        <v>952</v>
      </c>
      <c r="C115" t="s">
        <v>527</v>
      </c>
      <c r="D115" t="s">
        <v>108</v>
      </c>
      <c r="E115">
        <v>1</v>
      </c>
      <c r="F115" t="s">
        <v>528</v>
      </c>
      <c r="G115" t="s">
        <v>674</v>
      </c>
      <c r="H115">
        <v>199</v>
      </c>
      <c r="I115">
        <v>199</v>
      </c>
      <c r="J115">
        <v>0</v>
      </c>
      <c r="K115">
        <v>0</v>
      </c>
      <c r="L115" t="s">
        <v>78</v>
      </c>
      <c r="M115" t="s">
        <v>78</v>
      </c>
      <c r="N115" t="s">
        <v>78</v>
      </c>
      <c r="O115">
        <v>0</v>
      </c>
      <c r="P115">
        <v>0</v>
      </c>
      <c r="Q115">
        <v>0</v>
      </c>
      <c r="R115" t="s">
        <v>111</v>
      </c>
      <c r="S115">
        <v>0</v>
      </c>
      <c r="T115" t="s">
        <v>80</v>
      </c>
      <c r="U115" t="s">
        <v>80</v>
      </c>
      <c r="V115" t="s">
        <v>556</v>
      </c>
      <c r="W115" t="s">
        <v>953</v>
      </c>
      <c r="X115" t="s">
        <v>954</v>
      </c>
      <c r="Y115" t="s">
        <v>955</v>
      </c>
      <c r="Z115" t="s">
        <v>80</v>
      </c>
      <c r="AA115" t="s">
        <v>85</v>
      </c>
      <c r="AC115" t="s">
        <v>956</v>
      </c>
      <c r="AD115" t="s">
        <v>87</v>
      </c>
      <c r="AF115" t="s">
        <v>957</v>
      </c>
      <c r="AG115" t="s">
        <v>958</v>
      </c>
      <c r="AH115" t="s">
        <v>227</v>
      </c>
      <c r="AI115" t="s">
        <v>92</v>
      </c>
      <c r="AJ115" t="s">
        <v>93</v>
      </c>
      <c r="AK115" t="s">
        <v>959</v>
      </c>
      <c r="AL115" t="s">
        <v>95</v>
      </c>
      <c r="AM115" t="s">
        <v>96</v>
      </c>
      <c r="AN115" t="s">
        <v>97</v>
      </c>
      <c r="AO115" t="s">
        <v>98</v>
      </c>
      <c r="AP115" t="s">
        <v>78</v>
      </c>
      <c r="AQ115" t="s">
        <v>78</v>
      </c>
      <c r="AS115" t="s">
        <v>78</v>
      </c>
      <c r="AT115" t="s">
        <v>100</v>
      </c>
      <c r="AU115" t="s">
        <v>100</v>
      </c>
      <c r="AW115" t="s">
        <v>85</v>
      </c>
      <c r="AX115" t="s">
        <v>101</v>
      </c>
      <c r="AY115" t="s">
        <v>102</v>
      </c>
      <c r="AZ115" t="s">
        <v>103</v>
      </c>
      <c r="BA115" t="s">
        <v>133</v>
      </c>
      <c r="BB115" t="s">
        <v>78</v>
      </c>
      <c r="BC115" t="s">
        <v>78</v>
      </c>
      <c r="BD115" t="s">
        <v>833</v>
      </c>
      <c r="BE115">
        <v>0</v>
      </c>
      <c r="BF115">
        <v>0</v>
      </c>
      <c r="BG115">
        <v>0</v>
      </c>
      <c r="BH115">
        <v>0</v>
      </c>
      <c r="BJ115" t="s">
        <v>85</v>
      </c>
      <c r="BP115" t="s">
        <v>78</v>
      </c>
      <c r="BQ115" t="s">
        <v>78</v>
      </c>
      <c r="BR115" t="s">
        <v>78</v>
      </c>
    </row>
    <row r="116" customFormat="1" spans="1:70">
      <c r="A116" t="s">
        <v>960</v>
      </c>
      <c r="B116" t="s">
        <v>960</v>
      </c>
      <c r="C116" t="s">
        <v>527</v>
      </c>
      <c r="D116" t="s">
        <v>123</v>
      </c>
      <c r="E116">
        <v>1</v>
      </c>
      <c r="F116" t="s">
        <v>528</v>
      </c>
      <c r="G116" t="s">
        <v>529</v>
      </c>
      <c r="H116">
        <v>199</v>
      </c>
      <c r="I116">
        <v>199</v>
      </c>
      <c r="J116">
        <v>0</v>
      </c>
      <c r="K116">
        <v>0</v>
      </c>
      <c r="L116" t="s">
        <v>78</v>
      </c>
      <c r="M116" t="s">
        <v>78</v>
      </c>
      <c r="N116" t="s">
        <v>78</v>
      </c>
      <c r="O116">
        <v>0</v>
      </c>
      <c r="P116">
        <v>0</v>
      </c>
      <c r="Q116">
        <v>0</v>
      </c>
      <c r="R116" t="s">
        <v>111</v>
      </c>
      <c r="S116">
        <v>0</v>
      </c>
      <c r="T116" t="s">
        <v>80</v>
      </c>
      <c r="U116" t="s">
        <v>80</v>
      </c>
      <c r="V116" t="s">
        <v>271</v>
      </c>
      <c r="W116" t="s">
        <v>961</v>
      </c>
      <c r="X116" t="s">
        <v>962</v>
      </c>
      <c r="Y116" t="s">
        <v>963</v>
      </c>
      <c r="Z116" t="s">
        <v>80</v>
      </c>
      <c r="AA116" t="s">
        <v>85</v>
      </c>
      <c r="AC116" t="s">
        <v>964</v>
      </c>
      <c r="AD116" t="s">
        <v>87</v>
      </c>
      <c r="AH116" t="s">
        <v>227</v>
      </c>
      <c r="AI116" t="s">
        <v>92</v>
      </c>
      <c r="AJ116" t="s">
        <v>131</v>
      </c>
      <c r="AK116" t="s">
        <v>965</v>
      </c>
      <c r="AL116" t="s">
        <v>95</v>
      </c>
      <c r="AM116" t="s">
        <v>96</v>
      </c>
      <c r="AN116" t="s">
        <v>97</v>
      </c>
      <c r="AO116" t="s">
        <v>98</v>
      </c>
      <c r="AP116" t="s">
        <v>78</v>
      </c>
      <c r="AQ116" t="s">
        <v>78</v>
      </c>
      <c r="AR116" t="s">
        <v>353</v>
      </c>
      <c r="AS116" t="s">
        <v>78</v>
      </c>
      <c r="AT116" t="s">
        <v>100</v>
      </c>
      <c r="AU116" t="s">
        <v>100</v>
      </c>
      <c r="AW116" t="s">
        <v>85</v>
      </c>
      <c r="AX116" t="s">
        <v>103</v>
      </c>
      <c r="AY116" t="s">
        <v>159</v>
      </c>
      <c r="AZ116" t="s">
        <v>103</v>
      </c>
      <c r="BA116" t="s">
        <v>133</v>
      </c>
      <c r="BB116" t="s">
        <v>78</v>
      </c>
      <c r="BC116" t="s">
        <v>78</v>
      </c>
      <c r="BE116">
        <v>0</v>
      </c>
      <c r="BF116">
        <v>0</v>
      </c>
      <c r="BG116">
        <v>0</v>
      </c>
      <c r="BH116">
        <v>0</v>
      </c>
      <c r="BJ116" t="s">
        <v>85</v>
      </c>
      <c r="BP116" t="s">
        <v>78</v>
      </c>
      <c r="BQ116" t="s">
        <v>78</v>
      </c>
      <c r="BR116" t="s">
        <v>78</v>
      </c>
    </row>
    <row r="117" customFormat="1" spans="1:70">
      <c r="A117" t="s">
        <v>966</v>
      </c>
      <c r="B117" t="s">
        <v>966</v>
      </c>
      <c r="C117" t="s">
        <v>107</v>
      </c>
      <c r="D117" t="s">
        <v>123</v>
      </c>
      <c r="E117">
        <v>1</v>
      </c>
      <c r="F117" t="s">
        <v>109</v>
      </c>
      <c r="G117" t="s">
        <v>124</v>
      </c>
      <c r="H117">
        <v>289</v>
      </c>
      <c r="I117">
        <v>289</v>
      </c>
      <c r="J117">
        <v>0</v>
      </c>
      <c r="K117">
        <v>0</v>
      </c>
      <c r="L117" t="s">
        <v>78</v>
      </c>
      <c r="M117" t="s">
        <v>78</v>
      </c>
      <c r="N117" t="s">
        <v>78</v>
      </c>
      <c r="O117">
        <v>0</v>
      </c>
      <c r="P117">
        <v>0</v>
      </c>
      <c r="Q117">
        <v>0</v>
      </c>
      <c r="R117" t="s">
        <v>111</v>
      </c>
      <c r="S117">
        <v>0</v>
      </c>
      <c r="T117" t="s">
        <v>80</v>
      </c>
      <c r="U117" t="s">
        <v>80</v>
      </c>
      <c r="V117" t="s">
        <v>239</v>
      </c>
      <c r="W117" t="s">
        <v>967</v>
      </c>
      <c r="X117" t="s">
        <v>968</v>
      </c>
      <c r="Y117" t="s">
        <v>969</v>
      </c>
      <c r="Z117" t="s">
        <v>80</v>
      </c>
      <c r="AA117" t="s">
        <v>85</v>
      </c>
      <c r="AC117" t="s">
        <v>970</v>
      </c>
      <c r="AD117" t="s">
        <v>87</v>
      </c>
      <c r="AH117" t="s">
        <v>227</v>
      </c>
      <c r="AI117" t="s">
        <v>92</v>
      </c>
      <c r="AJ117" t="s">
        <v>131</v>
      </c>
      <c r="AK117" t="s">
        <v>971</v>
      </c>
      <c r="AL117" t="s">
        <v>95</v>
      </c>
      <c r="AM117" t="s">
        <v>96</v>
      </c>
      <c r="AN117" t="s">
        <v>97</v>
      </c>
      <c r="AO117" t="s">
        <v>98</v>
      </c>
      <c r="AP117" t="s">
        <v>78</v>
      </c>
      <c r="AQ117" t="s">
        <v>78</v>
      </c>
      <c r="AR117" t="s">
        <v>353</v>
      </c>
      <c r="AS117" t="s">
        <v>78</v>
      </c>
      <c r="AT117" t="s">
        <v>100</v>
      </c>
      <c r="AU117" t="s">
        <v>100</v>
      </c>
      <c r="AW117" t="s">
        <v>85</v>
      </c>
      <c r="AX117" t="s">
        <v>103</v>
      </c>
      <c r="AY117" t="s">
        <v>159</v>
      </c>
      <c r="AZ117" t="s">
        <v>103</v>
      </c>
      <c r="BA117" t="s">
        <v>133</v>
      </c>
      <c r="BB117" t="s">
        <v>78</v>
      </c>
      <c r="BC117" t="s">
        <v>78</v>
      </c>
      <c r="BE117">
        <v>0</v>
      </c>
      <c r="BF117">
        <v>0</v>
      </c>
      <c r="BG117">
        <v>0</v>
      </c>
      <c r="BH117">
        <v>0</v>
      </c>
      <c r="BJ117" t="s">
        <v>85</v>
      </c>
      <c r="BP117" t="s">
        <v>78</v>
      </c>
      <c r="BQ117" t="s">
        <v>78</v>
      </c>
      <c r="BR117" t="s">
        <v>78</v>
      </c>
    </row>
    <row r="118" customFormat="1" spans="1:70">
      <c r="A118" t="s">
        <v>972</v>
      </c>
      <c r="B118" t="s">
        <v>972</v>
      </c>
      <c r="C118" t="s">
        <v>527</v>
      </c>
      <c r="D118" t="s">
        <v>135</v>
      </c>
      <c r="E118">
        <v>1</v>
      </c>
      <c r="F118" t="s">
        <v>528</v>
      </c>
      <c r="G118" t="s">
        <v>540</v>
      </c>
      <c r="H118">
        <v>199</v>
      </c>
      <c r="I118">
        <v>199</v>
      </c>
      <c r="J118">
        <v>0</v>
      </c>
      <c r="K118">
        <v>0</v>
      </c>
      <c r="L118" t="s">
        <v>78</v>
      </c>
      <c r="M118" t="s">
        <v>78</v>
      </c>
      <c r="N118" t="s">
        <v>78</v>
      </c>
      <c r="O118">
        <v>0</v>
      </c>
      <c r="P118">
        <v>0</v>
      </c>
      <c r="Q118">
        <v>0</v>
      </c>
      <c r="R118" t="s">
        <v>79</v>
      </c>
      <c r="S118">
        <v>0</v>
      </c>
      <c r="T118" t="s">
        <v>80</v>
      </c>
      <c r="U118" t="s">
        <v>80</v>
      </c>
      <c r="V118" t="s">
        <v>167</v>
      </c>
      <c r="W118" t="s">
        <v>168</v>
      </c>
      <c r="X118" t="s">
        <v>973</v>
      </c>
      <c r="Y118" t="s">
        <v>974</v>
      </c>
      <c r="Z118" t="s">
        <v>80</v>
      </c>
      <c r="AA118" t="s">
        <v>85</v>
      </c>
      <c r="AC118" t="s">
        <v>975</v>
      </c>
      <c r="AD118" t="s">
        <v>87</v>
      </c>
      <c r="AG118" t="s">
        <v>976</v>
      </c>
      <c r="AH118" t="s">
        <v>91</v>
      </c>
      <c r="AI118" t="s">
        <v>92</v>
      </c>
      <c r="AJ118" t="s">
        <v>131</v>
      </c>
      <c r="AK118" t="s">
        <v>977</v>
      </c>
      <c r="AL118" t="s">
        <v>95</v>
      </c>
      <c r="AM118" t="s">
        <v>96</v>
      </c>
      <c r="AN118" t="s">
        <v>97</v>
      </c>
      <c r="AO118" t="s">
        <v>98</v>
      </c>
      <c r="AP118" t="s">
        <v>78</v>
      </c>
      <c r="AQ118" t="s">
        <v>99</v>
      </c>
      <c r="AS118" t="s">
        <v>78</v>
      </c>
      <c r="AT118" t="s">
        <v>100</v>
      </c>
      <c r="AU118" t="s">
        <v>100</v>
      </c>
      <c r="AW118" t="s">
        <v>85</v>
      </c>
      <c r="AX118" t="s">
        <v>103</v>
      </c>
      <c r="AY118" t="s">
        <v>159</v>
      </c>
      <c r="AZ118" t="s">
        <v>103</v>
      </c>
      <c r="BA118" t="s">
        <v>104</v>
      </c>
      <c r="BB118" t="s">
        <v>78</v>
      </c>
      <c r="BC118" t="s">
        <v>78</v>
      </c>
      <c r="BE118">
        <v>0</v>
      </c>
      <c r="BF118">
        <v>0</v>
      </c>
      <c r="BG118">
        <v>0</v>
      </c>
      <c r="BH118">
        <v>0</v>
      </c>
      <c r="BJ118" t="s">
        <v>85</v>
      </c>
      <c r="BP118" t="s">
        <v>78</v>
      </c>
      <c r="BQ118" t="s">
        <v>78</v>
      </c>
      <c r="BR118" t="s">
        <v>78</v>
      </c>
    </row>
    <row r="119" customFormat="1" spans="1:70">
      <c r="A119" t="s">
        <v>978</v>
      </c>
      <c r="B119" t="s">
        <v>978</v>
      </c>
      <c r="C119" t="s">
        <v>527</v>
      </c>
      <c r="D119" t="s">
        <v>108</v>
      </c>
      <c r="E119">
        <v>1</v>
      </c>
      <c r="F119" t="s">
        <v>528</v>
      </c>
      <c r="G119" t="s">
        <v>674</v>
      </c>
      <c r="H119">
        <v>199</v>
      </c>
      <c r="I119">
        <v>199</v>
      </c>
      <c r="J119">
        <v>0</v>
      </c>
      <c r="K119">
        <v>0</v>
      </c>
      <c r="L119" t="s">
        <v>78</v>
      </c>
      <c r="M119" t="s">
        <v>78</v>
      </c>
      <c r="N119" t="s">
        <v>78</v>
      </c>
      <c r="O119">
        <v>0</v>
      </c>
      <c r="P119">
        <v>0</v>
      </c>
      <c r="Q119">
        <v>0</v>
      </c>
      <c r="R119" t="s">
        <v>125</v>
      </c>
      <c r="S119">
        <v>0</v>
      </c>
      <c r="T119" t="s">
        <v>80</v>
      </c>
      <c r="U119" t="s">
        <v>80</v>
      </c>
      <c r="V119" t="s">
        <v>126</v>
      </c>
      <c r="W119" t="s">
        <v>518</v>
      </c>
      <c r="X119" t="s">
        <v>979</v>
      </c>
      <c r="Y119" t="s">
        <v>980</v>
      </c>
      <c r="Z119" t="s">
        <v>80</v>
      </c>
      <c r="AA119" t="s">
        <v>85</v>
      </c>
      <c r="AC119" t="s">
        <v>981</v>
      </c>
      <c r="AD119" t="s">
        <v>87</v>
      </c>
      <c r="AH119" t="s">
        <v>254</v>
      </c>
      <c r="AI119" t="s">
        <v>92</v>
      </c>
      <c r="AJ119" t="s">
        <v>131</v>
      </c>
      <c r="AK119" t="s">
        <v>982</v>
      </c>
      <c r="AL119" t="s">
        <v>95</v>
      </c>
      <c r="AM119" t="s">
        <v>96</v>
      </c>
      <c r="AN119" t="s">
        <v>97</v>
      </c>
      <c r="AO119" t="s">
        <v>98</v>
      </c>
      <c r="AP119" t="s">
        <v>78</v>
      </c>
      <c r="AQ119" t="s">
        <v>78</v>
      </c>
      <c r="AR119" t="s">
        <v>353</v>
      </c>
      <c r="AS119" t="s">
        <v>78</v>
      </c>
      <c r="AT119" t="s">
        <v>100</v>
      </c>
      <c r="AU119" t="s">
        <v>100</v>
      </c>
      <c r="AW119" t="s">
        <v>85</v>
      </c>
      <c r="AX119" t="s">
        <v>103</v>
      </c>
      <c r="AY119" t="s">
        <v>159</v>
      </c>
      <c r="AZ119" t="s">
        <v>103</v>
      </c>
      <c r="BA119" t="s">
        <v>102</v>
      </c>
      <c r="BB119" t="s">
        <v>78</v>
      </c>
      <c r="BC119" t="s">
        <v>78</v>
      </c>
      <c r="BE119">
        <v>0</v>
      </c>
      <c r="BF119">
        <v>0</v>
      </c>
      <c r="BG119">
        <v>0</v>
      </c>
      <c r="BH119">
        <v>0</v>
      </c>
      <c r="BJ119" t="s">
        <v>85</v>
      </c>
      <c r="BP119" t="s">
        <v>78</v>
      </c>
      <c r="BQ119" t="s">
        <v>78</v>
      </c>
      <c r="BR119" t="s">
        <v>78</v>
      </c>
    </row>
    <row r="120" customFormat="1" spans="1:70">
      <c r="A120" t="s">
        <v>983</v>
      </c>
      <c r="B120" t="s">
        <v>983</v>
      </c>
      <c r="C120" t="s">
        <v>527</v>
      </c>
      <c r="D120" t="s">
        <v>135</v>
      </c>
      <c r="E120">
        <v>1</v>
      </c>
      <c r="F120" t="s">
        <v>528</v>
      </c>
      <c r="G120" t="s">
        <v>540</v>
      </c>
      <c r="H120">
        <v>199</v>
      </c>
      <c r="I120">
        <v>199</v>
      </c>
      <c r="J120">
        <v>0</v>
      </c>
      <c r="K120">
        <v>0</v>
      </c>
      <c r="L120" t="s">
        <v>78</v>
      </c>
      <c r="M120" t="s">
        <v>78</v>
      </c>
      <c r="N120" t="s">
        <v>78</v>
      </c>
      <c r="O120">
        <v>0</v>
      </c>
      <c r="P120">
        <v>0</v>
      </c>
      <c r="Q120">
        <v>0</v>
      </c>
      <c r="R120" t="s">
        <v>111</v>
      </c>
      <c r="S120">
        <v>0</v>
      </c>
      <c r="T120" t="s">
        <v>80</v>
      </c>
      <c r="U120" t="s">
        <v>80</v>
      </c>
      <c r="V120" t="s">
        <v>81</v>
      </c>
      <c r="W120" t="s">
        <v>984</v>
      </c>
      <c r="X120" t="s">
        <v>985</v>
      </c>
      <c r="Y120" t="s">
        <v>986</v>
      </c>
      <c r="Z120" t="s">
        <v>80</v>
      </c>
      <c r="AA120" t="s">
        <v>85</v>
      </c>
      <c r="AC120" t="s">
        <v>987</v>
      </c>
      <c r="AD120" t="s">
        <v>87</v>
      </c>
      <c r="AG120" t="s">
        <v>988</v>
      </c>
      <c r="AH120" t="s">
        <v>227</v>
      </c>
      <c r="AI120" t="s">
        <v>92</v>
      </c>
      <c r="AJ120" t="s">
        <v>131</v>
      </c>
      <c r="AK120" t="s">
        <v>989</v>
      </c>
      <c r="AL120" t="s">
        <v>95</v>
      </c>
      <c r="AM120" t="s">
        <v>96</v>
      </c>
      <c r="AN120" t="s">
        <v>97</v>
      </c>
      <c r="AO120" t="s">
        <v>98</v>
      </c>
      <c r="AP120" t="s">
        <v>78</v>
      </c>
      <c r="AQ120" t="s">
        <v>99</v>
      </c>
      <c r="AS120" t="s">
        <v>78</v>
      </c>
      <c r="AT120" t="s">
        <v>100</v>
      </c>
      <c r="AU120" t="s">
        <v>100</v>
      </c>
      <c r="AW120" t="s">
        <v>85</v>
      </c>
      <c r="AX120" t="s">
        <v>101</v>
      </c>
      <c r="AY120" t="s">
        <v>102</v>
      </c>
      <c r="AZ120" t="s">
        <v>103</v>
      </c>
      <c r="BA120" t="s">
        <v>120</v>
      </c>
      <c r="BB120" t="s">
        <v>78</v>
      </c>
      <c r="BC120" t="s">
        <v>78</v>
      </c>
      <c r="BE120">
        <v>0</v>
      </c>
      <c r="BF120">
        <v>0</v>
      </c>
      <c r="BG120">
        <v>0</v>
      </c>
      <c r="BH120">
        <v>0</v>
      </c>
      <c r="BJ120" t="s">
        <v>85</v>
      </c>
      <c r="BP120" t="s">
        <v>78</v>
      </c>
      <c r="BQ120" t="s">
        <v>78</v>
      </c>
      <c r="BR120" t="s">
        <v>78</v>
      </c>
    </row>
    <row r="121" customFormat="1" spans="1:70">
      <c r="A121" t="s">
        <v>990</v>
      </c>
      <c r="B121" t="s">
        <v>990</v>
      </c>
      <c r="C121" t="s">
        <v>107</v>
      </c>
      <c r="D121" t="s">
        <v>108</v>
      </c>
      <c r="E121">
        <v>1</v>
      </c>
      <c r="F121" t="s">
        <v>109</v>
      </c>
      <c r="G121" t="s">
        <v>110</v>
      </c>
      <c r="H121">
        <v>289</v>
      </c>
      <c r="I121">
        <v>289</v>
      </c>
      <c r="J121">
        <v>0</v>
      </c>
      <c r="K121">
        <v>0</v>
      </c>
      <c r="L121" t="s">
        <v>78</v>
      </c>
      <c r="M121" t="s">
        <v>78</v>
      </c>
      <c r="N121" t="s">
        <v>78</v>
      </c>
      <c r="O121">
        <v>0</v>
      </c>
      <c r="P121">
        <v>0</v>
      </c>
      <c r="Q121">
        <v>0</v>
      </c>
      <c r="R121" t="s">
        <v>79</v>
      </c>
      <c r="S121">
        <v>0</v>
      </c>
      <c r="T121" t="s">
        <v>80</v>
      </c>
      <c r="U121" t="s">
        <v>80</v>
      </c>
      <c r="V121" t="s">
        <v>500</v>
      </c>
      <c r="W121" t="s">
        <v>991</v>
      </c>
      <c r="X121" t="s">
        <v>992</v>
      </c>
      <c r="Y121" t="s">
        <v>993</v>
      </c>
      <c r="Z121" t="s">
        <v>80</v>
      </c>
      <c r="AA121" t="s">
        <v>85</v>
      </c>
      <c r="AC121" t="s">
        <v>987</v>
      </c>
      <c r="AD121" t="s">
        <v>202</v>
      </c>
      <c r="AE121" t="s">
        <v>994</v>
      </c>
      <c r="AG121" t="s">
        <v>995</v>
      </c>
      <c r="AH121" t="s">
        <v>227</v>
      </c>
      <c r="AI121" t="s">
        <v>92</v>
      </c>
      <c r="AJ121" t="s">
        <v>131</v>
      </c>
      <c r="AK121" t="s">
        <v>996</v>
      </c>
      <c r="AL121" t="s">
        <v>95</v>
      </c>
      <c r="AM121" t="s">
        <v>96</v>
      </c>
      <c r="AN121" t="s">
        <v>97</v>
      </c>
      <c r="AO121" t="s">
        <v>98</v>
      </c>
      <c r="AP121" t="s">
        <v>78</v>
      </c>
      <c r="AQ121" t="s">
        <v>99</v>
      </c>
      <c r="AS121" t="s">
        <v>78</v>
      </c>
      <c r="AT121" t="s">
        <v>100</v>
      </c>
      <c r="AU121" t="s">
        <v>100</v>
      </c>
      <c r="AW121" t="s">
        <v>85</v>
      </c>
      <c r="AX121" t="s">
        <v>101</v>
      </c>
      <c r="AY121" t="s">
        <v>102</v>
      </c>
      <c r="AZ121" t="s">
        <v>103</v>
      </c>
      <c r="BA121" t="s">
        <v>104</v>
      </c>
      <c r="BB121" t="s">
        <v>78</v>
      </c>
      <c r="BC121" t="s">
        <v>78</v>
      </c>
      <c r="BD121" t="s">
        <v>756</v>
      </c>
      <c r="BE121">
        <v>0</v>
      </c>
      <c r="BF121">
        <v>0</v>
      </c>
      <c r="BG121">
        <v>0</v>
      </c>
      <c r="BH121">
        <v>0</v>
      </c>
      <c r="BJ121" t="s">
        <v>85</v>
      </c>
      <c r="BP121" t="s">
        <v>78</v>
      </c>
      <c r="BQ121" t="s">
        <v>78</v>
      </c>
      <c r="BR121" t="s">
        <v>78</v>
      </c>
    </row>
    <row r="122" customFormat="1" spans="1:70">
      <c r="A122" t="s">
        <v>997</v>
      </c>
      <c r="B122" t="s">
        <v>997</v>
      </c>
      <c r="C122" t="s">
        <v>107</v>
      </c>
      <c r="D122" t="s">
        <v>108</v>
      </c>
      <c r="E122">
        <v>1</v>
      </c>
      <c r="F122" t="s">
        <v>109</v>
      </c>
      <c r="G122" t="s">
        <v>110</v>
      </c>
      <c r="H122">
        <v>289</v>
      </c>
      <c r="I122">
        <v>289</v>
      </c>
      <c r="J122">
        <v>0</v>
      </c>
      <c r="K122">
        <v>0</v>
      </c>
      <c r="L122" t="s">
        <v>78</v>
      </c>
      <c r="M122" t="s">
        <v>78</v>
      </c>
      <c r="N122" t="s">
        <v>78</v>
      </c>
      <c r="O122">
        <v>0</v>
      </c>
      <c r="P122">
        <v>0</v>
      </c>
      <c r="Q122">
        <v>0</v>
      </c>
      <c r="R122" t="s">
        <v>125</v>
      </c>
      <c r="S122">
        <v>0</v>
      </c>
      <c r="T122" t="s">
        <v>80</v>
      </c>
      <c r="U122" t="s">
        <v>80</v>
      </c>
      <c r="V122" t="s">
        <v>126</v>
      </c>
      <c r="W122" t="s">
        <v>377</v>
      </c>
      <c r="X122" t="s">
        <v>378</v>
      </c>
      <c r="Y122" t="s">
        <v>78</v>
      </c>
      <c r="Z122" t="s">
        <v>80</v>
      </c>
      <c r="AA122" t="s">
        <v>85</v>
      </c>
      <c r="AC122" t="s">
        <v>998</v>
      </c>
      <c r="AD122" t="s">
        <v>87</v>
      </c>
      <c r="AF122" t="s">
        <v>999</v>
      </c>
      <c r="AG122" t="s">
        <v>1000</v>
      </c>
      <c r="AH122" t="s">
        <v>91</v>
      </c>
      <c r="AI122" t="s">
        <v>92</v>
      </c>
      <c r="AJ122" t="s">
        <v>93</v>
      </c>
      <c r="AK122" t="s">
        <v>1001</v>
      </c>
      <c r="AL122" t="s">
        <v>95</v>
      </c>
      <c r="AM122" t="s">
        <v>96</v>
      </c>
      <c r="AN122" t="s">
        <v>97</v>
      </c>
      <c r="AO122" t="s">
        <v>98</v>
      </c>
      <c r="AP122" t="s">
        <v>78</v>
      </c>
      <c r="AQ122" t="s">
        <v>78</v>
      </c>
      <c r="AS122" t="s">
        <v>78</v>
      </c>
      <c r="AT122" t="s">
        <v>100</v>
      </c>
      <c r="AU122" t="s">
        <v>100</v>
      </c>
      <c r="AW122" t="s">
        <v>85</v>
      </c>
      <c r="AX122" t="s">
        <v>101</v>
      </c>
      <c r="AY122" t="s">
        <v>102</v>
      </c>
      <c r="AZ122" t="s">
        <v>103</v>
      </c>
      <c r="BA122" t="s">
        <v>133</v>
      </c>
      <c r="BB122" t="s">
        <v>78</v>
      </c>
      <c r="BC122" t="s">
        <v>78</v>
      </c>
      <c r="BD122" t="s">
        <v>756</v>
      </c>
      <c r="BE122">
        <v>0</v>
      </c>
      <c r="BF122">
        <v>0</v>
      </c>
      <c r="BG122">
        <v>0</v>
      </c>
      <c r="BH122">
        <v>0</v>
      </c>
      <c r="BJ122" t="s">
        <v>85</v>
      </c>
      <c r="BP122" t="s">
        <v>78</v>
      </c>
      <c r="BQ122" t="s">
        <v>78</v>
      </c>
      <c r="BR122" t="s">
        <v>78</v>
      </c>
    </row>
    <row r="123" customFormat="1" spans="1:70">
      <c r="A123" t="s">
        <v>1002</v>
      </c>
      <c r="B123" t="s">
        <v>1002</v>
      </c>
      <c r="C123" t="s">
        <v>107</v>
      </c>
      <c r="D123" t="s">
        <v>135</v>
      </c>
      <c r="E123">
        <v>1</v>
      </c>
      <c r="F123" t="s">
        <v>109</v>
      </c>
      <c r="G123" t="s">
        <v>136</v>
      </c>
      <c r="H123">
        <v>289</v>
      </c>
      <c r="I123">
        <v>263.64</v>
      </c>
      <c r="J123">
        <v>0</v>
      </c>
      <c r="K123">
        <v>25.36</v>
      </c>
      <c r="L123" t="s">
        <v>1003</v>
      </c>
      <c r="M123" t="s">
        <v>78</v>
      </c>
      <c r="N123" t="s">
        <v>78</v>
      </c>
      <c r="O123">
        <v>0</v>
      </c>
      <c r="P123">
        <v>0</v>
      </c>
      <c r="Q123">
        <v>0</v>
      </c>
      <c r="R123" t="s">
        <v>79</v>
      </c>
      <c r="S123">
        <v>0</v>
      </c>
      <c r="T123" t="s">
        <v>80</v>
      </c>
      <c r="U123" t="s">
        <v>80</v>
      </c>
      <c r="V123" t="s">
        <v>447</v>
      </c>
      <c r="W123" t="s">
        <v>448</v>
      </c>
      <c r="X123" t="s">
        <v>449</v>
      </c>
      <c r="Y123" t="s">
        <v>450</v>
      </c>
      <c r="Z123" t="s">
        <v>80</v>
      </c>
      <c r="AA123" t="s">
        <v>85</v>
      </c>
      <c r="AC123" t="s">
        <v>1004</v>
      </c>
      <c r="AD123" t="s">
        <v>202</v>
      </c>
      <c r="AE123" t="s">
        <v>1005</v>
      </c>
      <c r="AG123" t="s">
        <v>1006</v>
      </c>
      <c r="AH123" t="s">
        <v>91</v>
      </c>
      <c r="AI123" t="s">
        <v>216</v>
      </c>
      <c r="AJ123" t="s">
        <v>131</v>
      </c>
      <c r="AK123" t="s">
        <v>1007</v>
      </c>
      <c r="AL123" t="s">
        <v>95</v>
      </c>
      <c r="AM123" t="s">
        <v>96</v>
      </c>
      <c r="AN123" t="s">
        <v>96</v>
      </c>
      <c r="AP123" t="s">
        <v>78</v>
      </c>
      <c r="AQ123" t="s">
        <v>99</v>
      </c>
      <c r="AS123" t="s">
        <v>78</v>
      </c>
      <c r="AT123" t="s">
        <v>100</v>
      </c>
      <c r="AU123" t="s">
        <v>100</v>
      </c>
      <c r="AW123" t="s">
        <v>85</v>
      </c>
      <c r="AX123" t="s">
        <v>101</v>
      </c>
      <c r="AY123" t="s">
        <v>102</v>
      </c>
      <c r="AZ123" t="s">
        <v>145</v>
      </c>
      <c r="BA123" t="s">
        <v>683</v>
      </c>
      <c r="BB123" t="s">
        <v>78</v>
      </c>
      <c r="BC123" t="s">
        <v>78</v>
      </c>
      <c r="BD123" t="s">
        <v>1008</v>
      </c>
      <c r="BE123">
        <v>0</v>
      </c>
      <c r="BF123">
        <v>25.36</v>
      </c>
      <c r="BG123">
        <v>0</v>
      </c>
      <c r="BH123">
        <v>0</v>
      </c>
      <c r="BJ123" t="s">
        <v>85</v>
      </c>
      <c r="BP123" t="s">
        <v>78</v>
      </c>
      <c r="BQ123" t="s">
        <v>78</v>
      </c>
      <c r="BR123" t="s">
        <v>78</v>
      </c>
    </row>
    <row r="124" customFormat="1" spans="1:70">
      <c r="A124" t="s">
        <v>1009</v>
      </c>
      <c r="B124" t="s">
        <v>1009</v>
      </c>
      <c r="C124" t="s">
        <v>107</v>
      </c>
      <c r="D124" t="s">
        <v>135</v>
      </c>
      <c r="E124">
        <v>1</v>
      </c>
      <c r="F124" t="s">
        <v>109</v>
      </c>
      <c r="G124" t="s">
        <v>136</v>
      </c>
      <c r="H124">
        <v>289</v>
      </c>
      <c r="I124">
        <v>279</v>
      </c>
      <c r="J124">
        <v>0</v>
      </c>
      <c r="K124">
        <v>10</v>
      </c>
      <c r="L124" t="s">
        <v>1010</v>
      </c>
      <c r="M124" t="s">
        <v>78</v>
      </c>
      <c r="N124" t="s">
        <v>78</v>
      </c>
      <c r="O124">
        <v>0</v>
      </c>
      <c r="P124">
        <v>0</v>
      </c>
      <c r="Q124">
        <v>0</v>
      </c>
      <c r="R124" t="s">
        <v>79</v>
      </c>
      <c r="S124">
        <v>0</v>
      </c>
      <c r="T124" t="s">
        <v>80</v>
      </c>
      <c r="U124" t="s">
        <v>80</v>
      </c>
      <c r="V124" t="s">
        <v>447</v>
      </c>
      <c r="W124" t="s">
        <v>448</v>
      </c>
      <c r="X124" t="s">
        <v>449</v>
      </c>
      <c r="Y124" t="s">
        <v>450</v>
      </c>
      <c r="Z124" t="s">
        <v>80</v>
      </c>
      <c r="AA124" t="s">
        <v>85</v>
      </c>
      <c r="AC124" t="s">
        <v>1011</v>
      </c>
      <c r="AD124" t="s">
        <v>87</v>
      </c>
      <c r="AG124" t="s">
        <v>1012</v>
      </c>
      <c r="AH124" t="s">
        <v>91</v>
      </c>
      <c r="AI124" t="s">
        <v>216</v>
      </c>
      <c r="AJ124" t="s">
        <v>131</v>
      </c>
      <c r="AK124" t="s">
        <v>1013</v>
      </c>
      <c r="AL124" t="s">
        <v>95</v>
      </c>
      <c r="AM124" t="s">
        <v>96</v>
      </c>
      <c r="AN124" t="s">
        <v>96</v>
      </c>
      <c r="AP124" t="s">
        <v>78</v>
      </c>
      <c r="AQ124" t="s">
        <v>99</v>
      </c>
      <c r="AS124" t="s">
        <v>78</v>
      </c>
      <c r="AT124" t="s">
        <v>100</v>
      </c>
      <c r="AU124" t="s">
        <v>100</v>
      </c>
      <c r="AW124" t="s">
        <v>85</v>
      </c>
      <c r="AX124" t="s">
        <v>101</v>
      </c>
      <c r="AY124" t="s">
        <v>102</v>
      </c>
      <c r="AZ124" t="s">
        <v>145</v>
      </c>
      <c r="BA124" t="s">
        <v>102</v>
      </c>
      <c r="BB124" t="s">
        <v>78</v>
      </c>
      <c r="BC124" t="s">
        <v>78</v>
      </c>
      <c r="BE124">
        <v>0</v>
      </c>
      <c r="BF124">
        <v>10</v>
      </c>
      <c r="BG124">
        <v>0</v>
      </c>
      <c r="BH124">
        <v>0</v>
      </c>
      <c r="BJ124" t="s">
        <v>85</v>
      </c>
      <c r="BP124" t="s">
        <v>78</v>
      </c>
      <c r="BQ124" t="s">
        <v>78</v>
      </c>
      <c r="BR124" t="s">
        <v>78</v>
      </c>
    </row>
    <row r="125" customFormat="1" spans="1:70">
      <c r="A125" t="s">
        <v>1014</v>
      </c>
      <c r="B125" t="s">
        <v>1014</v>
      </c>
      <c r="C125" t="s">
        <v>1015</v>
      </c>
      <c r="D125" t="s">
        <v>75</v>
      </c>
      <c r="E125">
        <v>1</v>
      </c>
      <c r="F125" t="s">
        <v>1016</v>
      </c>
      <c r="G125" t="s">
        <v>1017</v>
      </c>
      <c r="H125">
        <v>129</v>
      </c>
      <c r="I125">
        <v>129</v>
      </c>
      <c r="J125">
        <v>0</v>
      </c>
      <c r="K125">
        <v>0</v>
      </c>
      <c r="L125" t="s">
        <v>78</v>
      </c>
      <c r="M125" t="s">
        <v>78</v>
      </c>
      <c r="N125" t="s">
        <v>78</v>
      </c>
      <c r="O125">
        <v>0</v>
      </c>
      <c r="P125">
        <v>0</v>
      </c>
      <c r="Q125">
        <v>0</v>
      </c>
      <c r="R125" t="s">
        <v>125</v>
      </c>
      <c r="S125">
        <v>0</v>
      </c>
      <c r="T125" t="s">
        <v>80</v>
      </c>
      <c r="U125" t="s">
        <v>80</v>
      </c>
      <c r="V125" t="s">
        <v>583</v>
      </c>
      <c r="W125" t="s">
        <v>1018</v>
      </c>
      <c r="X125" t="s">
        <v>1019</v>
      </c>
      <c r="Y125" t="s">
        <v>1020</v>
      </c>
      <c r="Z125" t="s">
        <v>80</v>
      </c>
      <c r="AA125" t="s">
        <v>85</v>
      </c>
      <c r="AC125" t="s">
        <v>1021</v>
      </c>
      <c r="AD125" t="s">
        <v>202</v>
      </c>
      <c r="AE125" t="s">
        <v>1022</v>
      </c>
      <c r="AG125" t="s">
        <v>1023</v>
      </c>
      <c r="AH125" t="s">
        <v>91</v>
      </c>
      <c r="AI125" t="s">
        <v>216</v>
      </c>
      <c r="AJ125" t="s">
        <v>131</v>
      </c>
      <c r="AK125" t="s">
        <v>1024</v>
      </c>
      <c r="AL125" t="s">
        <v>95</v>
      </c>
      <c r="AM125" t="s">
        <v>96</v>
      </c>
      <c r="AN125" t="s">
        <v>96</v>
      </c>
      <c r="AP125" t="s">
        <v>78</v>
      </c>
      <c r="AQ125" t="s">
        <v>99</v>
      </c>
      <c r="AS125" t="s">
        <v>78</v>
      </c>
      <c r="AT125" t="s">
        <v>100</v>
      </c>
      <c r="AU125" t="s">
        <v>100</v>
      </c>
      <c r="AW125" t="s">
        <v>85</v>
      </c>
      <c r="AX125" t="s">
        <v>101</v>
      </c>
      <c r="AY125" t="s">
        <v>102</v>
      </c>
      <c r="AZ125" t="s">
        <v>145</v>
      </c>
      <c r="BA125" t="s">
        <v>218</v>
      </c>
      <c r="BB125" t="s">
        <v>78</v>
      </c>
      <c r="BC125" t="s">
        <v>78</v>
      </c>
      <c r="BD125" t="s">
        <v>1025</v>
      </c>
      <c r="BE125">
        <v>0</v>
      </c>
      <c r="BF125">
        <v>0</v>
      </c>
      <c r="BG125">
        <v>0</v>
      </c>
      <c r="BH125">
        <v>0</v>
      </c>
      <c r="BJ125" t="s">
        <v>85</v>
      </c>
      <c r="BP125" t="s">
        <v>78</v>
      </c>
      <c r="BQ125" t="s">
        <v>78</v>
      </c>
      <c r="BR125" t="s">
        <v>78</v>
      </c>
    </row>
    <row r="126" customFormat="1" spans="1:70">
      <c r="A126" t="s">
        <v>1026</v>
      </c>
      <c r="B126" t="s">
        <v>1026</v>
      </c>
      <c r="C126" t="s">
        <v>107</v>
      </c>
      <c r="D126" t="s">
        <v>135</v>
      </c>
      <c r="E126">
        <v>1</v>
      </c>
      <c r="F126" t="s">
        <v>109</v>
      </c>
      <c r="G126" t="s">
        <v>136</v>
      </c>
      <c r="H126">
        <v>289</v>
      </c>
      <c r="I126">
        <v>289</v>
      </c>
      <c r="J126">
        <v>0</v>
      </c>
      <c r="K126">
        <v>0</v>
      </c>
      <c r="L126" t="s">
        <v>78</v>
      </c>
      <c r="M126" t="s">
        <v>78</v>
      </c>
      <c r="N126" t="s">
        <v>78</v>
      </c>
      <c r="O126">
        <v>0</v>
      </c>
      <c r="P126">
        <v>0</v>
      </c>
      <c r="Q126">
        <v>0</v>
      </c>
      <c r="R126" t="s">
        <v>125</v>
      </c>
      <c r="S126">
        <v>0</v>
      </c>
      <c r="T126" t="s">
        <v>80</v>
      </c>
      <c r="U126" t="s">
        <v>80</v>
      </c>
      <c r="V126" t="s">
        <v>126</v>
      </c>
      <c r="W126" t="s">
        <v>377</v>
      </c>
      <c r="X126" t="s">
        <v>378</v>
      </c>
      <c r="Y126" t="s">
        <v>1027</v>
      </c>
      <c r="Z126" t="s">
        <v>80</v>
      </c>
      <c r="AA126" t="s">
        <v>85</v>
      </c>
      <c r="AC126" t="s">
        <v>1028</v>
      </c>
      <c r="AD126" t="s">
        <v>87</v>
      </c>
      <c r="AG126" t="s">
        <v>1029</v>
      </c>
      <c r="AH126" t="s">
        <v>91</v>
      </c>
      <c r="AI126" t="s">
        <v>92</v>
      </c>
      <c r="AJ126" t="s">
        <v>131</v>
      </c>
      <c r="AK126" t="s">
        <v>1030</v>
      </c>
      <c r="AL126" t="s">
        <v>95</v>
      </c>
      <c r="AM126" t="s">
        <v>96</v>
      </c>
      <c r="AN126" t="s">
        <v>97</v>
      </c>
      <c r="AO126" t="s">
        <v>98</v>
      </c>
      <c r="AP126" t="s">
        <v>78</v>
      </c>
      <c r="AQ126" t="s">
        <v>99</v>
      </c>
      <c r="AS126" t="s">
        <v>78</v>
      </c>
      <c r="AT126" t="s">
        <v>100</v>
      </c>
      <c r="AU126" t="s">
        <v>100</v>
      </c>
      <c r="AW126" t="s">
        <v>85</v>
      </c>
      <c r="AX126" t="s">
        <v>101</v>
      </c>
      <c r="AY126" t="s">
        <v>102</v>
      </c>
      <c r="AZ126" t="s">
        <v>145</v>
      </c>
      <c r="BA126" t="s">
        <v>146</v>
      </c>
      <c r="BB126" t="s">
        <v>78</v>
      </c>
      <c r="BC126" t="s">
        <v>78</v>
      </c>
      <c r="BE126">
        <v>0</v>
      </c>
      <c r="BF126">
        <v>0</v>
      </c>
      <c r="BG126">
        <v>0</v>
      </c>
      <c r="BH126">
        <v>0</v>
      </c>
      <c r="BJ126" t="s">
        <v>85</v>
      </c>
      <c r="BP126" t="s">
        <v>78</v>
      </c>
      <c r="BQ126" t="s">
        <v>78</v>
      </c>
      <c r="BR126" t="s">
        <v>78</v>
      </c>
    </row>
    <row r="127" customFormat="1" spans="1:70">
      <c r="A127" t="s">
        <v>1031</v>
      </c>
      <c r="B127" t="s">
        <v>1031</v>
      </c>
      <c r="C127" t="s">
        <v>107</v>
      </c>
      <c r="D127" t="s">
        <v>108</v>
      </c>
      <c r="E127">
        <v>1</v>
      </c>
      <c r="F127" t="s">
        <v>109</v>
      </c>
      <c r="G127" t="s">
        <v>110</v>
      </c>
      <c r="H127">
        <v>289</v>
      </c>
      <c r="I127">
        <v>289</v>
      </c>
      <c r="J127">
        <v>0</v>
      </c>
      <c r="K127">
        <v>0</v>
      </c>
      <c r="L127" t="s">
        <v>78</v>
      </c>
      <c r="M127" t="s">
        <v>78</v>
      </c>
      <c r="N127" t="s">
        <v>78</v>
      </c>
      <c r="O127">
        <v>0</v>
      </c>
      <c r="P127">
        <v>0</v>
      </c>
      <c r="Q127">
        <v>0</v>
      </c>
      <c r="R127" t="s">
        <v>79</v>
      </c>
      <c r="S127">
        <v>0</v>
      </c>
      <c r="T127" t="s">
        <v>80</v>
      </c>
      <c r="U127" t="s">
        <v>80</v>
      </c>
      <c r="V127" t="s">
        <v>81</v>
      </c>
      <c r="W127" t="s">
        <v>481</v>
      </c>
      <c r="X127" t="s">
        <v>482</v>
      </c>
      <c r="Y127" t="s">
        <v>483</v>
      </c>
      <c r="Z127" t="s">
        <v>80</v>
      </c>
      <c r="AA127" t="s">
        <v>85</v>
      </c>
      <c r="AC127" t="s">
        <v>1032</v>
      </c>
      <c r="AD127" t="s">
        <v>87</v>
      </c>
      <c r="AG127" t="s">
        <v>1033</v>
      </c>
      <c r="AH127" t="s">
        <v>91</v>
      </c>
      <c r="AI127" t="s">
        <v>92</v>
      </c>
      <c r="AJ127" t="s">
        <v>131</v>
      </c>
      <c r="AK127" t="s">
        <v>1034</v>
      </c>
      <c r="AL127" t="s">
        <v>95</v>
      </c>
      <c r="AM127" t="s">
        <v>96</v>
      </c>
      <c r="AN127" t="s">
        <v>97</v>
      </c>
      <c r="AO127" t="s">
        <v>98</v>
      </c>
      <c r="AP127" t="s">
        <v>78</v>
      </c>
      <c r="AQ127" t="s">
        <v>99</v>
      </c>
      <c r="AS127" t="s">
        <v>78</v>
      </c>
      <c r="AT127" t="s">
        <v>100</v>
      </c>
      <c r="AU127" t="s">
        <v>100</v>
      </c>
      <c r="AW127" t="s">
        <v>85</v>
      </c>
      <c r="AX127" t="s">
        <v>101</v>
      </c>
      <c r="AY127" t="s">
        <v>102</v>
      </c>
      <c r="AZ127" t="s">
        <v>145</v>
      </c>
      <c r="BA127" t="s">
        <v>1035</v>
      </c>
      <c r="BB127" t="s">
        <v>78</v>
      </c>
      <c r="BC127" t="s">
        <v>78</v>
      </c>
      <c r="BE127">
        <v>0</v>
      </c>
      <c r="BF127">
        <v>0</v>
      </c>
      <c r="BG127">
        <v>0</v>
      </c>
      <c r="BH127">
        <v>0</v>
      </c>
      <c r="BJ127" t="s">
        <v>85</v>
      </c>
      <c r="BP127" t="s">
        <v>78</v>
      </c>
      <c r="BQ127" t="s">
        <v>78</v>
      </c>
      <c r="BR127" t="s">
        <v>78</v>
      </c>
    </row>
    <row r="128" customFormat="1" spans="1:70">
      <c r="A128" t="s">
        <v>1036</v>
      </c>
      <c r="B128" t="s">
        <v>1036</v>
      </c>
      <c r="C128" t="s">
        <v>1037</v>
      </c>
      <c r="D128" t="s">
        <v>1038</v>
      </c>
      <c r="E128">
        <v>1</v>
      </c>
      <c r="F128" t="s">
        <v>1039</v>
      </c>
      <c r="G128" t="s">
        <v>1040</v>
      </c>
      <c r="H128">
        <v>139</v>
      </c>
      <c r="I128">
        <v>139</v>
      </c>
      <c r="J128">
        <v>0</v>
      </c>
      <c r="K128">
        <v>0</v>
      </c>
      <c r="L128" t="s">
        <v>78</v>
      </c>
      <c r="M128" t="s">
        <v>78</v>
      </c>
      <c r="N128" t="s">
        <v>78</v>
      </c>
      <c r="O128">
        <v>0</v>
      </c>
      <c r="P128">
        <v>0</v>
      </c>
      <c r="Q128">
        <v>0</v>
      </c>
      <c r="R128" t="s">
        <v>125</v>
      </c>
      <c r="S128">
        <v>0</v>
      </c>
      <c r="T128" t="s">
        <v>80</v>
      </c>
      <c r="U128" t="s">
        <v>80</v>
      </c>
      <c r="V128" t="s">
        <v>271</v>
      </c>
      <c r="W128" t="s">
        <v>717</v>
      </c>
      <c r="X128" t="s">
        <v>1041</v>
      </c>
      <c r="Y128" t="s">
        <v>1042</v>
      </c>
      <c r="Z128" t="s">
        <v>80</v>
      </c>
      <c r="AA128" t="s">
        <v>85</v>
      </c>
      <c r="AC128" t="s">
        <v>1043</v>
      </c>
      <c r="AD128" t="s">
        <v>202</v>
      </c>
      <c r="AE128" t="s">
        <v>1044</v>
      </c>
      <c r="AF128" t="s">
        <v>1045</v>
      </c>
      <c r="AG128" t="s">
        <v>1046</v>
      </c>
      <c r="AH128" t="s">
        <v>91</v>
      </c>
      <c r="AI128" t="s">
        <v>216</v>
      </c>
      <c r="AJ128" t="s">
        <v>93</v>
      </c>
      <c r="AK128" t="s">
        <v>1047</v>
      </c>
      <c r="AL128" t="s">
        <v>95</v>
      </c>
      <c r="AM128" t="s">
        <v>96</v>
      </c>
      <c r="AN128" t="s">
        <v>96</v>
      </c>
      <c r="AP128" t="s">
        <v>78</v>
      </c>
      <c r="AQ128" t="s">
        <v>99</v>
      </c>
      <c r="AS128" t="s">
        <v>78</v>
      </c>
      <c r="AT128" t="s">
        <v>100</v>
      </c>
      <c r="AU128" t="s">
        <v>100</v>
      </c>
      <c r="AW128" t="s">
        <v>85</v>
      </c>
      <c r="AX128" t="s">
        <v>101</v>
      </c>
      <c r="AY128" t="s">
        <v>102</v>
      </c>
      <c r="AZ128" t="s">
        <v>145</v>
      </c>
      <c r="BA128" t="s">
        <v>218</v>
      </c>
      <c r="BB128" t="s">
        <v>78</v>
      </c>
      <c r="BC128" t="s">
        <v>78</v>
      </c>
      <c r="BD128" t="s">
        <v>1048</v>
      </c>
      <c r="BE128">
        <v>0</v>
      </c>
      <c r="BF128">
        <v>0</v>
      </c>
      <c r="BG128">
        <v>0</v>
      </c>
      <c r="BH128">
        <v>0</v>
      </c>
      <c r="BJ128" t="s">
        <v>85</v>
      </c>
      <c r="BP128" t="s">
        <v>78</v>
      </c>
      <c r="BQ128" t="s">
        <v>78</v>
      </c>
      <c r="BR128" t="s">
        <v>78</v>
      </c>
    </row>
    <row r="129" customFormat="1" spans="1:70">
      <c r="A129" t="s">
        <v>1049</v>
      </c>
      <c r="B129" t="s">
        <v>1049</v>
      </c>
      <c r="C129" t="s">
        <v>1050</v>
      </c>
      <c r="D129" t="s">
        <v>1051</v>
      </c>
      <c r="E129">
        <v>1</v>
      </c>
      <c r="F129" t="s">
        <v>1052</v>
      </c>
      <c r="G129" t="s">
        <v>1053</v>
      </c>
      <c r="H129">
        <v>129</v>
      </c>
      <c r="I129">
        <v>129</v>
      </c>
      <c r="J129">
        <v>0</v>
      </c>
      <c r="K129">
        <v>0</v>
      </c>
      <c r="L129" t="s">
        <v>78</v>
      </c>
      <c r="M129" t="s">
        <v>78</v>
      </c>
      <c r="N129" t="s">
        <v>78</v>
      </c>
      <c r="O129">
        <v>0</v>
      </c>
      <c r="P129">
        <v>0</v>
      </c>
      <c r="Q129">
        <v>0</v>
      </c>
      <c r="R129" t="s">
        <v>111</v>
      </c>
      <c r="S129">
        <v>0</v>
      </c>
      <c r="T129" t="s">
        <v>80</v>
      </c>
      <c r="U129" t="s">
        <v>80</v>
      </c>
      <c r="V129" t="s">
        <v>126</v>
      </c>
      <c r="W129" t="s">
        <v>592</v>
      </c>
      <c r="X129" t="s">
        <v>1054</v>
      </c>
      <c r="Y129" t="s">
        <v>1055</v>
      </c>
      <c r="Z129" t="s">
        <v>80</v>
      </c>
      <c r="AA129" t="s">
        <v>85</v>
      </c>
      <c r="AC129" t="s">
        <v>1056</v>
      </c>
      <c r="AD129" t="s">
        <v>87</v>
      </c>
      <c r="AF129" t="s">
        <v>1057</v>
      </c>
      <c r="AG129" t="s">
        <v>1058</v>
      </c>
      <c r="AH129" t="s">
        <v>91</v>
      </c>
      <c r="AI129" t="s">
        <v>216</v>
      </c>
      <c r="AJ129" t="s">
        <v>93</v>
      </c>
      <c r="AK129" t="s">
        <v>1059</v>
      </c>
      <c r="AL129" t="s">
        <v>95</v>
      </c>
      <c r="AM129" t="s">
        <v>96</v>
      </c>
      <c r="AN129" t="s">
        <v>96</v>
      </c>
      <c r="AP129" t="s">
        <v>78</v>
      </c>
      <c r="AQ129" t="s">
        <v>78</v>
      </c>
      <c r="AS129" t="s">
        <v>78</v>
      </c>
      <c r="AT129" t="s">
        <v>100</v>
      </c>
      <c r="AU129" t="s">
        <v>100</v>
      </c>
      <c r="AW129" t="s">
        <v>85</v>
      </c>
      <c r="AX129" t="s">
        <v>101</v>
      </c>
      <c r="AY129" t="s">
        <v>102</v>
      </c>
      <c r="AZ129" t="s">
        <v>145</v>
      </c>
      <c r="BA129" t="s">
        <v>218</v>
      </c>
      <c r="BB129" t="s">
        <v>78</v>
      </c>
      <c r="BC129" t="s">
        <v>78</v>
      </c>
      <c r="BD129" t="s">
        <v>1060</v>
      </c>
      <c r="BE129">
        <v>0</v>
      </c>
      <c r="BF129">
        <v>0</v>
      </c>
      <c r="BG129">
        <v>0</v>
      </c>
      <c r="BH129">
        <v>0</v>
      </c>
      <c r="BJ129" t="s">
        <v>85</v>
      </c>
      <c r="BP129" t="s">
        <v>78</v>
      </c>
      <c r="BQ129" t="s">
        <v>78</v>
      </c>
      <c r="BR129" t="s">
        <v>78</v>
      </c>
    </row>
    <row r="130" customFormat="1" spans="1:70">
      <c r="A130" t="s">
        <v>1061</v>
      </c>
      <c r="B130" t="s">
        <v>1061</v>
      </c>
      <c r="C130" t="s">
        <v>107</v>
      </c>
      <c r="D130" t="s">
        <v>108</v>
      </c>
      <c r="E130">
        <v>1</v>
      </c>
      <c r="F130" t="s">
        <v>109</v>
      </c>
      <c r="G130" t="s">
        <v>110</v>
      </c>
      <c r="H130">
        <v>289</v>
      </c>
      <c r="I130">
        <v>279</v>
      </c>
      <c r="J130">
        <v>0</v>
      </c>
      <c r="K130">
        <v>10</v>
      </c>
      <c r="L130" t="s">
        <v>1010</v>
      </c>
      <c r="M130" t="s">
        <v>78</v>
      </c>
      <c r="N130" t="s">
        <v>78</v>
      </c>
      <c r="O130">
        <v>0</v>
      </c>
      <c r="P130">
        <v>0</v>
      </c>
      <c r="Q130">
        <v>0</v>
      </c>
      <c r="R130" t="s">
        <v>125</v>
      </c>
      <c r="S130">
        <v>0</v>
      </c>
      <c r="T130" t="s">
        <v>80</v>
      </c>
      <c r="U130" t="s">
        <v>80</v>
      </c>
      <c r="V130" t="s">
        <v>221</v>
      </c>
      <c r="W130" t="s">
        <v>599</v>
      </c>
      <c r="X130" t="s">
        <v>1062</v>
      </c>
      <c r="Y130" t="s">
        <v>1063</v>
      </c>
      <c r="Z130" t="s">
        <v>80</v>
      </c>
      <c r="AA130" t="s">
        <v>85</v>
      </c>
      <c r="AC130" t="s">
        <v>1064</v>
      </c>
      <c r="AD130" t="s">
        <v>87</v>
      </c>
      <c r="AF130" t="s">
        <v>999</v>
      </c>
      <c r="AG130" t="s">
        <v>1065</v>
      </c>
      <c r="AH130" t="s">
        <v>91</v>
      </c>
      <c r="AI130" t="s">
        <v>216</v>
      </c>
      <c r="AJ130" t="s">
        <v>93</v>
      </c>
      <c r="AK130" t="s">
        <v>1066</v>
      </c>
      <c r="AL130" t="s">
        <v>95</v>
      </c>
      <c r="AM130" t="s">
        <v>96</v>
      </c>
      <c r="AN130" t="s">
        <v>96</v>
      </c>
      <c r="AP130" t="s">
        <v>78</v>
      </c>
      <c r="AQ130" t="s">
        <v>78</v>
      </c>
      <c r="AS130" t="s">
        <v>78</v>
      </c>
      <c r="AT130" t="s">
        <v>100</v>
      </c>
      <c r="AU130" t="s">
        <v>100</v>
      </c>
      <c r="AW130" t="s">
        <v>85</v>
      </c>
      <c r="AX130" t="s">
        <v>101</v>
      </c>
      <c r="AY130" t="s">
        <v>102</v>
      </c>
      <c r="AZ130" t="s">
        <v>145</v>
      </c>
      <c r="BA130" t="s">
        <v>218</v>
      </c>
      <c r="BB130" t="s">
        <v>78</v>
      </c>
      <c r="BC130" t="s">
        <v>78</v>
      </c>
      <c r="BD130" t="s">
        <v>756</v>
      </c>
      <c r="BE130">
        <v>0</v>
      </c>
      <c r="BF130">
        <v>10</v>
      </c>
      <c r="BG130">
        <v>0</v>
      </c>
      <c r="BH130">
        <v>0</v>
      </c>
      <c r="BJ130" t="s">
        <v>85</v>
      </c>
      <c r="BP130" t="s">
        <v>78</v>
      </c>
      <c r="BQ130" t="s">
        <v>78</v>
      </c>
      <c r="BR130" t="s">
        <v>78</v>
      </c>
    </row>
    <row r="131" customFormat="1" spans="1:70">
      <c r="A131" t="s">
        <v>1067</v>
      </c>
      <c r="B131" t="s">
        <v>1067</v>
      </c>
      <c r="C131" t="s">
        <v>1068</v>
      </c>
      <c r="D131" t="s">
        <v>75</v>
      </c>
      <c r="E131">
        <v>1</v>
      </c>
      <c r="F131" t="s">
        <v>1069</v>
      </c>
      <c r="G131" t="s">
        <v>1070</v>
      </c>
      <c r="H131">
        <v>180</v>
      </c>
      <c r="I131">
        <v>180</v>
      </c>
      <c r="J131">
        <v>0</v>
      </c>
      <c r="K131">
        <v>0</v>
      </c>
      <c r="L131" t="s">
        <v>78</v>
      </c>
      <c r="M131" t="s">
        <v>78</v>
      </c>
      <c r="N131" t="s">
        <v>78</v>
      </c>
      <c r="O131">
        <v>0</v>
      </c>
      <c r="P131">
        <v>0</v>
      </c>
      <c r="Q131">
        <v>0</v>
      </c>
      <c r="R131" t="s">
        <v>125</v>
      </c>
      <c r="S131">
        <v>0</v>
      </c>
      <c r="T131" t="s">
        <v>80</v>
      </c>
      <c r="U131" t="s">
        <v>80</v>
      </c>
      <c r="V131" t="s">
        <v>325</v>
      </c>
      <c r="W131" t="s">
        <v>326</v>
      </c>
      <c r="X131" t="s">
        <v>1071</v>
      </c>
      <c r="Y131" t="s">
        <v>1072</v>
      </c>
      <c r="Z131" t="s">
        <v>80</v>
      </c>
      <c r="AA131" t="s">
        <v>85</v>
      </c>
      <c r="AC131" t="s">
        <v>1073</v>
      </c>
      <c r="AD131" t="s">
        <v>87</v>
      </c>
      <c r="AF131" t="s">
        <v>1074</v>
      </c>
      <c r="AG131" t="s">
        <v>1075</v>
      </c>
      <c r="AH131" t="s">
        <v>91</v>
      </c>
      <c r="AI131" t="s">
        <v>92</v>
      </c>
      <c r="AJ131" t="s">
        <v>93</v>
      </c>
      <c r="AK131" t="s">
        <v>1076</v>
      </c>
      <c r="AL131" t="s">
        <v>95</v>
      </c>
      <c r="AM131" t="s">
        <v>96</v>
      </c>
      <c r="AN131" t="s">
        <v>97</v>
      </c>
      <c r="AO131" t="s">
        <v>98</v>
      </c>
      <c r="AP131" t="s">
        <v>78</v>
      </c>
      <c r="AQ131" t="s">
        <v>78</v>
      </c>
      <c r="AS131" t="s">
        <v>78</v>
      </c>
      <c r="AT131" t="s">
        <v>100</v>
      </c>
      <c r="AU131" t="s">
        <v>100</v>
      </c>
      <c r="AW131" t="s">
        <v>85</v>
      </c>
      <c r="AX131" t="s">
        <v>101</v>
      </c>
      <c r="AY131" t="s">
        <v>102</v>
      </c>
      <c r="AZ131" t="s">
        <v>145</v>
      </c>
      <c r="BA131" t="s">
        <v>1077</v>
      </c>
      <c r="BB131" t="s">
        <v>78</v>
      </c>
      <c r="BC131" t="s">
        <v>78</v>
      </c>
      <c r="BD131" t="s">
        <v>1078</v>
      </c>
      <c r="BE131">
        <v>0</v>
      </c>
      <c r="BF131">
        <v>0</v>
      </c>
      <c r="BG131">
        <v>0</v>
      </c>
      <c r="BH131">
        <v>0</v>
      </c>
      <c r="BJ131" t="s">
        <v>85</v>
      </c>
      <c r="BP131" t="s">
        <v>78</v>
      </c>
      <c r="BQ131" t="s">
        <v>78</v>
      </c>
      <c r="BR131" t="s">
        <v>78</v>
      </c>
    </row>
    <row r="132" customFormat="1" spans="1:70">
      <c r="A132" t="s">
        <v>1079</v>
      </c>
      <c r="B132" t="s">
        <v>1079</v>
      </c>
      <c r="C132" t="s">
        <v>1080</v>
      </c>
      <c r="D132" t="s">
        <v>108</v>
      </c>
      <c r="E132">
        <v>1</v>
      </c>
      <c r="F132" t="s">
        <v>1081</v>
      </c>
      <c r="G132" t="s">
        <v>1082</v>
      </c>
      <c r="H132">
        <v>289</v>
      </c>
      <c r="I132">
        <v>289</v>
      </c>
      <c r="J132">
        <v>0</v>
      </c>
      <c r="K132">
        <v>0</v>
      </c>
      <c r="L132" t="s">
        <v>78</v>
      </c>
      <c r="M132" t="s">
        <v>78</v>
      </c>
      <c r="N132" t="s">
        <v>78</v>
      </c>
      <c r="O132">
        <v>0</v>
      </c>
      <c r="P132">
        <v>0</v>
      </c>
      <c r="Q132">
        <v>0</v>
      </c>
      <c r="R132" t="s">
        <v>111</v>
      </c>
      <c r="S132">
        <v>0</v>
      </c>
      <c r="T132" t="s">
        <v>80</v>
      </c>
      <c r="U132" t="s">
        <v>80</v>
      </c>
      <c r="V132" t="s">
        <v>676</v>
      </c>
      <c r="W132" t="s">
        <v>1083</v>
      </c>
      <c r="X132" t="s">
        <v>1084</v>
      </c>
      <c r="Y132" t="s">
        <v>1085</v>
      </c>
      <c r="Z132" t="s">
        <v>80</v>
      </c>
      <c r="AA132" t="s">
        <v>85</v>
      </c>
      <c r="AC132" t="s">
        <v>1086</v>
      </c>
      <c r="AD132" t="s">
        <v>202</v>
      </c>
      <c r="AE132" t="s">
        <v>1087</v>
      </c>
      <c r="AG132" t="s">
        <v>1088</v>
      </c>
      <c r="AH132" t="s">
        <v>91</v>
      </c>
      <c r="AI132" t="s">
        <v>216</v>
      </c>
      <c r="AJ132" t="s">
        <v>131</v>
      </c>
      <c r="AK132" t="s">
        <v>1089</v>
      </c>
      <c r="AL132" t="s">
        <v>95</v>
      </c>
      <c r="AM132" t="s">
        <v>96</v>
      </c>
      <c r="AN132" t="s">
        <v>96</v>
      </c>
      <c r="AP132" t="s">
        <v>78</v>
      </c>
      <c r="AQ132" t="s">
        <v>99</v>
      </c>
      <c r="AS132" t="s">
        <v>78</v>
      </c>
      <c r="AT132" t="s">
        <v>100</v>
      </c>
      <c r="AU132" t="s">
        <v>100</v>
      </c>
      <c r="AW132" t="s">
        <v>85</v>
      </c>
      <c r="AX132" t="s">
        <v>101</v>
      </c>
      <c r="AY132" t="s">
        <v>102</v>
      </c>
      <c r="AZ132" t="s">
        <v>145</v>
      </c>
      <c r="BA132" t="s">
        <v>104</v>
      </c>
      <c r="BB132" t="s">
        <v>78</v>
      </c>
      <c r="BC132" t="s">
        <v>78</v>
      </c>
      <c r="BD132" t="s">
        <v>1090</v>
      </c>
      <c r="BE132">
        <v>0</v>
      </c>
      <c r="BF132">
        <v>0</v>
      </c>
      <c r="BG132">
        <v>0</v>
      </c>
      <c r="BH132">
        <v>0</v>
      </c>
      <c r="BJ132" t="s">
        <v>85</v>
      </c>
      <c r="BP132" t="s">
        <v>78</v>
      </c>
      <c r="BQ132" t="s">
        <v>78</v>
      </c>
      <c r="BR132" t="s">
        <v>78</v>
      </c>
    </row>
    <row r="133" customFormat="1" spans="1:70">
      <c r="A133" t="s">
        <v>1091</v>
      </c>
      <c r="B133" t="s">
        <v>1091</v>
      </c>
      <c r="C133" t="s">
        <v>1092</v>
      </c>
      <c r="D133" t="s">
        <v>108</v>
      </c>
      <c r="E133">
        <v>1</v>
      </c>
      <c r="F133" t="s">
        <v>1093</v>
      </c>
      <c r="G133" t="s">
        <v>1094</v>
      </c>
      <c r="H133">
        <v>289</v>
      </c>
      <c r="I133">
        <v>260.11</v>
      </c>
      <c r="J133">
        <v>0</v>
      </c>
      <c r="K133">
        <v>28.89</v>
      </c>
      <c r="L133" t="s">
        <v>1095</v>
      </c>
      <c r="M133" t="s">
        <v>78</v>
      </c>
      <c r="N133" t="s">
        <v>78</v>
      </c>
      <c r="O133">
        <v>0</v>
      </c>
      <c r="P133">
        <v>0</v>
      </c>
      <c r="Q133">
        <v>0</v>
      </c>
      <c r="R133" t="s">
        <v>125</v>
      </c>
      <c r="S133">
        <v>0</v>
      </c>
      <c r="T133" t="s">
        <v>80</v>
      </c>
      <c r="U133" t="s">
        <v>80</v>
      </c>
      <c r="V133" t="s">
        <v>152</v>
      </c>
      <c r="W133" t="s">
        <v>153</v>
      </c>
      <c r="X133" t="s">
        <v>154</v>
      </c>
      <c r="Y133" t="s">
        <v>212</v>
      </c>
      <c r="Z133" t="s">
        <v>80</v>
      </c>
      <c r="AA133" t="s">
        <v>85</v>
      </c>
      <c r="AC133" t="s">
        <v>1096</v>
      </c>
      <c r="AD133" t="s">
        <v>202</v>
      </c>
      <c r="AE133" t="s">
        <v>1097</v>
      </c>
      <c r="AG133" t="s">
        <v>1098</v>
      </c>
      <c r="AH133" t="s">
        <v>91</v>
      </c>
      <c r="AI133" t="s">
        <v>216</v>
      </c>
      <c r="AJ133" t="s">
        <v>131</v>
      </c>
      <c r="AK133" t="s">
        <v>1099</v>
      </c>
      <c r="AL133" t="s">
        <v>95</v>
      </c>
      <c r="AM133" t="s">
        <v>96</v>
      </c>
      <c r="AN133" t="s">
        <v>96</v>
      </c>
      <c r="AP133" t="s">
        <v>78</v>
      </c>
      <c r="AQ133" t="s">
        <v>99</v>
      </c>
      <c r="AS133" t="s">
        <v>78</v>
      </c>
      <c r="AT133" t="s">
        <v>100</v>
      </c>
      <c r="AU133" t="s">
        <v>100</v>
      </c>
      <c r="AW133" t="s">
        <v>85</v>
      </c>
      <c r="AX133" t="s">
        <v>101</v>
      </c>
      <c r="AY133" t="s">
        <v>102</v>
      </c>
      <c r="AZ133" t="s">
        <v>145</v>
      </c>
      <c r="BA133" t="s">
        <v>683</v>
      </c>
      <c r="BB133" t="s">
        <v>78</v>
      </c>
      <c r="BC133" t="s">
        <v>78</v>
      </c>
      <c r="BD133" t="s">
        <v>1100</v>
      </c>
      <c r="BE133">
        <v>0</v>
      </c>
      <c r="BF133">
        <v>28.89</v>
      </c>
      <c r="BG133">
        <v>0</v>
      </c>
      <c r="BH133">
        <v>0</v>
      </c>
      <c r="BJ133" t="s">
        <v>85</v>
      </c>
      <c r="BP133" t="s">
        <v>78</v>
      </c>
      <c r="BQ133" t="s">
        <v>78</v>
      </c>
      <c r="BR133" t="s">
        <v>78</v>
      </c>
    </row>
    <row r="134" customFormat="1" spans="1:70">
      <c r="A134" t="s">
        <v>1091</v>
      </c>
      <c r="B134" t="s">
        <v>1101</v>
      </c>
      <c r="C134" t="s">
        <v>107</v>
      </c>
      <c r="D134" t="s">
        <v>108</v>
      </c>
      <c r="E134">
        <v>1</v>
      </c>
      <c r="F134" t="s">
        <v>109</v>
      </c>
      <c r="G134" t="s">
        <v>110</v>
      </c>
      <c r="H134">
        <v>289</v>
      </c>
      <c r="I134">
        <v>260.06</v>
      </c>
      <c r="J134">
        <v>0</v>
      </c>
      <c r="K134">
        <v>28.94</v>
      </c>
      <c r="L134" t="s">
        <v>1102</v>
      </c>
      <c r="M134" t="s">
        <v>78</v>
      </c>
      <c r="N134" t="s">
        <v>78</v>
      </c>
      <c r="O134">
        <v>0</v>
      </c>
      <c r="P134">
        <v>0</v>
      </c>
      <c r="Q134">
        <v>0</v>
      </c>
      <c r="R134" t="s">
        <v>125</v>
      </c>
      <c r="S134">
        <v>0</v>
      </c>
      <c r="T134" t="s">
        <v>80</v>
      </c>
      <c r="U134" t="s">
        <v>80</v>
      </c>
      <c r="V134" t="s">
        <v>152</v>
      </c>
      <c r="W134" t="s">
        <v>153</v>
      </c>
      <c r="X134" t="s">
        <v>154</v>
      </c>
      <c r="Y134" t="s">
        <v>212</v>
      </c>
      <c r="Z134" t="s">
        <v>80</v>
      </c>
      <c r="AA134" t="s">
        <v>85</v>
      </c>
      <c r="AC134" t="s">
        <v>1096</v>
      </c>
      <c r="AD134" t="s">
        <v>202</v>
      </c>
      <c r="AE134" t="s">
        <v>1097</v>
      </c>
      <c r="AF134" t="s">
        <v>999</v>
      </c>
      <c r="AG134" t="s">
        <v>1098</v>
      </c>
      <c r="AH134" t="s">
        <v>91</v>
      </c>
      <c r="AI134" t="s">
        <v>216</v>
      </c>
      <c r="AJ134" t="s">
        <v>93</v>
      </c>
      <c r="AK134" t="s">
        <v>1099</v>
      </c>
      <c r="AL134" t="s">
        <v>95</v>
      </c>
      <c r="AM134" t="s">
        <v>96</v>
      </c>
      <c r="AN134" t="s">
        <v>96</v>
      </c>
      <c r="AP134" t="s">
        <v>78</v>
      </c>
      <c r="AQ134" t="s">
        <v>78</v>
      </c>
      <c r="AS134" t="s">
        <v>78</v>
      </c>
      <c r="AT134" t="s">
        <v>100</v>
      </c>
      <c r="AU134" t="s">
        <v>100</v>
      </c>
      <c r="AW134" t="s">
        <v>85</v>
      </c>
      <c r="AX134" t="s">
        <v>101</v>
      </c>
      <c r="AY134" t="s">
        <v>102</v>
      </c>
      <c r="AZ134" t="s">
        <v>145</v>
      </c>
      <c r="BA134" t="s">
        <v>102</v>
      </c>
      <c r="BB134" t="s">
        <v>78</v>
      </c>
      <c r="BC134" t="s">
        <v>78</v>
      </c>
      <c r="BD134" t="s">
        <v>756</v>
      </c>
      <c r="BE134">
        <v>0</v>
      </c>
      <c r="BF134">
        <v>28.94</v>
      </c>
      <c r="BG134">
        <v>0</v>
      </c>
      <c r="BH134">
        <v>0</v>
      </c>
      <c r="BJ134" t="s">
        <v>85</v>
      </c>
      <c r="BP134" t="s">
        <v>78</v>
      </c>
      <c r="BQ134" t="s">
        <v>78</v>
      </c>
      <c r="BR134" t="s">
        <v>78</v>
      </c>
    </row>
    <row r="135" customFormat="1" spans="1:70">
      <c r="A135" t="s">
        <v>1103</v>
      </c>
      <c r="B135" t="s">
        <v>1103</v>
      </c>
      <c r="C135" t="s">
        <v>1068</v>
      </c>
      <c r="D135" t="s">
        <v>247</v>
      </c>
      <c r="E135">
        <v>1</v>
      </c>
      <c r="F135" t="s">
        <v>1069</v>
      </c>
      <c r="G135" t="s">
        <v>1104</v>
      </c>
      <c r="H135">
        <v>180</v>
      </c>
      <c r="I135">
        <v>180</v>
      </c>
      <c r="J135">
        <v>0</v>
      </c>
      <c r="K135">
        <v>0</v>
      </c>
      <c r="L135" t="s">
        <v>78</v>
      </c>
      <c r="M135" t="s">
        <v>78</v>
      </c>
      <c r="N135" t="s">
        <v>78</v>
      </c>
      <c r="O135">
        <v>0</v>
      </c>
      <c r="P135">
        <v>0</v>
      </c>
      <c r="Q135">
        <v>0</v>
      </c>
      <c r="R135" t="s">
        <v>111</v>
      </c>
      <c r="S135">
        <v>0</v>
      </c>
      <c r="T135" t="s">
        <v>80</v>
      </c>
      <c r="U135" t="s">
        <v>80</v>
      </c>
      <c r="V135" t="s">
        <v>239</v>
      </c>
      <c r="W135" t="s">
        <v>1105</v>
      </c>
      <c r="X135" t="s">
        <v>1106</v>
      </c>
      <c r="Y135" t="s">
        <v>1107</v>
      </c>
      <c r="Z135" t="s">
        <v>80</v>
      </c>
      <c r="AA135" t="s">
        <v>85</v>
      </c>
      <c r="AC135" t="s">
        <v>1108</v>
      </c>
      <c r="AD135" t="s">
        <v>87</v>
      </c>
      <c r="AF135" t="s">
        <v>1109</v>
      </c>
      <c r="AG135" t="s">
        <v>1110</v>
      </c>
      <c r="AH135" t="s">
        <v>91</v>
      </c>
      <c r="AI135" t="s">
        <v>216</v>
      </c>
      <c r="AJ135" t="s">
        <v>93</v>
      </c>
      <c r="AK135" t="s">
        <v>1111</v>
      </c>
      <c r="AL135" t="s">
        <v>95</v>
      </c>
      <c r="AM135" t="s">
        <v>96</v>
      </c>
      <c r="AN135" t="s">
        <v>96</v>
      </c>
      <c r="AP135" t="s">
        <v>78</v>
      </c>
      <c r="AQ135" t="s">
        <v>78</v>
      </c>
      <c r="AS135" t="s">
        <v>78</v>
      </c>
      <c r="AT135" t="s">
        <v>100</v>
      </c>
      <c r="AU135" t="s">
        <v>100</v>
      </c>
      <c r="AW135" t="s">
        <v>85</v>
      </c>
      <c r="AX135" t="s">
        <v>101</v>
      </c>
      <c r="AY135" t="s">
        <v>102</v>
      </c>
      <c r="AZ135" t="s">
        <v>145</v>
      </c>
      <c r="BA135" t="s">
        <v>104</v>
      </c>
      <c r="BB135" t="s">
        <v>78</v>
      </c>
      <c r="BC135" t="s">
        <v>78</v>
      </c>
      <c r="BD135" t="s">
        <v>1112</v>
      </c>
      <c r="BE135">
        <v>0</v>
      </c>
      <c r="BF135">
        <v>0</v>
      </c>
      <c r="BG135">
        <v>0</v>
      </c>
      <c r="BH135">
        <v>0</v>
      </c>
      <c r="BJ135" t="s">
        <v>85</v>
      </c>
      <c r="BP135" t="s">
        <v>78</v>
      </c>
      <c r="BQ135" t="s">
        <v>78</v>
      </c>
      <c r="BR135" t="s">
        <v>78</v>
      </c>
    </row>
    <row r="136" customFormat="1" spans="1:70">
      <c r="A136" t="s">
        <v>1113</v>
      </c>
      <c r="B136" t="s">
        <v>1113</v>
      </c>
      <c r="C136" t="s">
        <v>1114</v>
      </c>
      <c r="D136" t="s">
        <v>1115</v>
      </c>
      <c r="E136">
        <v>1</v>
      </c>
      <c r="F136" t="s">
        <v>1116</v>
      </c>
      <c r="G136" t="s">
        <v>1117</v>
      </c>
      <c r="H136">
        <v>299</v>
      </c>
      <c r="I136">
        <v>284</v>
      </c>
      <c r="J136">
        <v>0</v>
      </c>
      <c r="K136">
        <v>15</v>
      </c>
      <c r="L136" t="s">
        <v>1118</v>
      </c>
      <c r="M136" t="s">
        <v>78</v>
      </c>
      <c r="N136" t="s">
        <v>78</v>
      </c>
      <c r="O136">
        <v>0</v>
      </c>
      <c r="P136">
        <v>0</v>
      </c>
      <c r="Q136">
        <v>0</v>
      </c>
      <c r="R136" t="s">
        <v>79</v>
      </c>
      <c r="S136">
        <v>0</v>
      </c>
      <c r="T136" t="s">
        <v>80</v>
      </c>
      <c r="U136" t="s">
        <v>80</v>
      </c>
      <c r="V136" t="s">
        <v>112</v>
      </c>
      <c r="W136" t="s">
        <v>1119</v>
      </c>
      <c r="X136" t="s">
        <v>1120</v>
      </c>
      <c r="Y136" t="s">
        <v>1121</v>
      </c>
      <c r="Z136" t="s">
        <v>80</v>
      </c>
      <c r="AA136" t="s">
        <v>85</v>
      </c>
      <c r="AC136" t="s">
        <v>1122</v>
      </c>
      <c r="AD136" t="s">
        <v>87</v>
      </c>
      <c r="AG136" t="s">
        <v>1123</v>
      </c>
      <c r="AH136" t="s">
        <v>91</v>
      </c>
      <c r="AI136" t="s">
        <v>216</v>
      </c>
      <c r="AJ136" t="s">
        <v>131</v>
      </c>
      <c r="AK136" t="s">
        <v>1124</v>
      </c>
      <c r="AL136" t="s">
        <v>95</v>
      </c>
      <c r="AM136" t="s">
        <v>96</v>
      </c>
      <c r="AN136" t="s">
        <v>96</v>
      </c>
      <c r="AP136" t="s">
        <v>78</v>
      </c>
      <c r="AQ136" t="s">
        <v>99</v>
      </c>
      <c r="AS136" t="s">
        <v>78</v>
      </c>
      <c r="AT136" t="s">
        <v>100</v>
      </c>
      <c r="AU136" t="s">
        <v>100</v>
      </c>
      <c r="AW136" t="s">
        <v>85</v>
      </c>
      <c r="AX136" t="s">
        <v>101</v>
      </c>
      <c r="AY136" t="s">
        <v>102</v>
      </c>
      <c r="AZ136" t="s">
        <v>145</v>
      </c>
      <c r="BA136" t="s">
        <v>104</v>
      </c>
      <c r="BB136" t="s">
        <v>78</v>
      </c>
      <c r="BC136" t="s">
        <v>78</v>
      </c>
      <c r="BE136">
        <v>0</v>
      </c>
      <c r="BF136">
        <v>15</v>
      </c>
      <c r="BG136">
        <v>0</v>
      </c>
      <c r="BH136">
        <v>0</v>
      </c>
      <c r="BJ136" t="s">
        <v>85</v>
      </c>
      <c r="BP136" t="s">
        <v>78</v>
      </c>
      <c r="BQ136" t="s">
        <v>78</v>
      </c>
      <c r="BR136" t="s">
        <v>78</v>
      </c>
    </row>
    <row r="137" customFormat="1" spans="1:70">
      <c r="A137" t="s">
        <v>1125</v>
      </c>
      <c r="B137" t="s">
        <v>1125</v>
      </c>
      <c r="C137" t="s">
        <v>1126</v>
      </c>
      <c r="D137" t="s">
        <v>1127</v>
      </c>
      <c r="E137">
        <v>1</v>
      </c>
      <c r="F137" t="s">
        <v>1128</v>
      </c>
      <c r="G137" t="s">
        <v>1129</v>
      </c>
      <c r="H137">
        <v>249</v>
      </c>
      <c r="I137">
        <v>231.13</v>
      </c>
      <c r="J137">
        <v>0</v>
      </c>
      <c r="K137">
        <v>17.87</v>
      </c>
      <c r="L137" t="s">
        <v>1130</v>
      </c>
      <c r="M137" t="s">
        <v>78</v>
      </c>
      <c r="N137" t="s">
        <v>78</v>
      </c>
      <c r="O137">
        <v>0</v>
      </c>
      <c r="P137">
        <v>0</v>
      </c>
      <c r="Q137">
        <v>0</v>
      </c>
      <c r="R137" t="s">
        <v>125</v>
      </c>
      <c r="S137">
        <v>0</v>
      </c>
      <c r="T137" t="s">
        <v>80</v>
      </c>
      <c r="U137" t="s">
        <v>80</v>
      </c>
      <c r="V137" t="s">
        <v>447</v>
      </c>
      <c r="W137" t="s">
        <v>448</v>
      </c>
      <c r="X137" t="s">
        <v>1131</v>
      </c>
      <c r="Y137" t="s">
        <v>1132</v>
      </c>
      <c r="Z137" t="s">
        <v>80</v>
      </c>
      <c r="AA137" t="s">
        <v>85</v>
      </c>
      <c r="AC137" t="s">
        <v>1133</v>
      </c>
      <c r="AD137" t="s">
        <v>87</v>
      </c>
      <c r="AG137" t="s">
        <v>1134</v>
      </c>
      <c r="AH137" t="s">
        <v>91</v>
      </c>
      <c r="AI137" t="s">
        <v>216</v>
      </c>
      <c r="AJ137" t="s">
        <v>131</v>
      </c>
      <c r="AK137" t="s">
        <v>1135</v>
      </c>
      <c r="AL137" t="s">
        <v>95</v>
      </c>
      <c r="AM137" t="s">
        <v>96</v>
      </c>
      <c r="AN137" t="s">
        <v>96</v>
      </c>
      <c r="AP137" t="s">
        <v>78</v>
      </c>
      <c r="AQ137" t="s">
        <v>99</v>
      </c>
      <c r="AS137" t="s">
        <v>78</v>
      </c>
      <c r="AT137" t="s">
        <v>100</v>
      </c>
      <c r="AU137" t="s">
        <v>100</v>
      </c>
      <c r="AW137" t="s">
        <v>85</v>
      </c>
      <c r="AX137" t="s">
        <v>101</v>
      </c>
      <c r="AY137" t="s">
        <v>102</v>
      </c>
      <c r="AZ137" t="s">
        <v>145</v>
      </c>
      <c r="BA137" t="s">
        <v>218</v>
      </c>
      <c r="BB137" t="s">
        <v>78</v>
      </c>
      <c r="BC137" t="s">
        <v>78</v>
      </c>
      <c r="BE137">
        <v>0</v>
      </c>
      <c r="BF137">
        <v>17.87</v>
      </c>
      <c r="BG137">
        <v>0</v>
      </c>
      <c r="BH137">
        <v>0</v>
      </c>
      <c r="BJ137" t="s">
        <v>85</v>
      </c>
      <c r="BP137" t="s">
        <v>78</v>
      </c>
      <c r="BQ137" t="s">
        <v>78</v>
      </c>
      <c r="BR137" t="s">
        <v>78</v>
      </c>
    </row>
    <row r="138" customFormat="1" spans="1:70">
      <c r="A138" t="s">
        <v>1136</v>
      </c>
      <c r="B138" t="s">
        <v>1136</v>
      </c>
      <c r="C138" t="s">
        <v>1126</v>
      </c>
      <c r="D138" t="s">
        <v>1127</v>
      </c>
      <c r="E138">
        <v>1</v>
      </c>
      <c r="F138" t="s">
        <v>1128</v>
      </c>
      <c r="G138" t="s">
        <v>1129</v>
      </c>
      <c r="H138">
        <v>249</v>
      </c>
      <c r="I138">
        <v>229.23</v>
      </c>
      <c r="J138">
        <v>0</v>
      </c>
      <c r="K138">
        <v>19.77</v>
      </c>
      <c r="L138" t="s">
        <v>1137</v>
      </c>
      <c r="M138" t="s">
        <v>78</v>
      </c>
      <c r="N138" t="s">
        <v>78</v>
      </c>
      <c r="O138">
        <v>0</v>
      </c>
      <c r="P138">
        <v>0</v>
      </c>
      <c r="Q138">
        <v>0</v>
      </c>
      <c r="R138" t="s">
        <v>125</v>
      </c>
      <c r="S138">
        <v>0</v>
      </c>
      <c r="T138" t="s">
        <v>80</v>
      </c>
      <c r="U138" t="s">
        <v>80</v>
      </c>
      <c r="V138" t="s">
        <v>447</v>
      </c>
      <c r="W138" t="s">
        <v>448</v>
      </c>
      <c r="X138" t="s">
        <v>1131</v>
      </c>
      <c r="Y138" t="s">
        <v>1132</v>
      </c>
      <c r="Z138" t="s">
        <v>80</v>
      </c>
      <c r="AA138" t="s">
        <v>85</v>
      </c>
      <c r="AC138" t="s">
        <v>1138</v>
      </c>
      <c r="AD138" t="s">
        <v>87</v>
      </c>
      <c r="AG138" t="s">
        <v>1139</v>
      </c>
      <c r="AH138" t="s">
        <v>91</v>
      </c>
      <c r="AI138" t="s">
        <v>216</v>
      </c>
      <c r="AJ138" t="s">
        <v>131</v>
      </c>
      <c r="AK138" t="s">
        <v>1140</v>
      </c>
      <c r="AL138" t="s">
        <v>95</v>
      </c>
      <c r="AM138" t="s">
        <v>96</v>
      </c>
      <c r="AN138" t="s">
        <v>96</v>
      </c>
      <c r="AP138" t="s">
        <v>78</v>
      </c>
      <c r="AQ138" t="s">
        <v>99</v>
      </c>
      <c r="AS138" t="s">
        <v>78</v>
      </c>
      <c r="AT138" t="s">
        <v>100</v>
      </c>
      <c r="AU138" t="s">
        <v>100</v>
      </c>
      <c r="AW138" t="s">
        <v>85</v>
      </c>
      <c r="AX138" t="s">
        <v>101</v>
      </c>
      <c r="AY138" t="s">
        <v>102</v>
      </c>
      <c r="AZ138" t="s">
        <v>145</v>
      </c>
      <c r="BA138" t="s">
        <v>218</v>
      </c>
      <c r="BB138" t="s">
        <v>78</v>
      </c>
      <c r="BC138" t="s">
        <v>78</v>
      </c>
      <c r="BE138">
        <v>0</v>
      </c>
      <c r="BF138">
        <v>19.77</v>
      </c>
      <c r="BG138">
        <v>0</v>
      </c>
      <c r="BH138">
        <v>0</v>
      </c>
      <c r="BJ138" t="s">
        <v>85</v>
      </c>
      <c r="BP138" t="s">
        <v>78</v>
      </c>
      <c r="BQ138" t="s">
        <v>78</v>
      </c>
      <c r="BR138" t="s">
        <v>78</v>
      </c>
    </row>
    <row r="139" customFormat="1" spans="1:70">
      <c r="A139" t="s">
        <v>1141</v>
      </c>
      <c r="B139" t="s">
        <v>1141</v>
      </c>
      <c r="C139" t="s">
        <v>1050</v>
      </c>
      <c r="D139" t="s">
        <v>1142</v>
      </c>
      <c r="E139">
        <v>1</v>
      </c>
      <c r="F139" t="s">
        <v>1052</v>
      </c>
      <c r="G139" t="s">
        <v>1143</v>
      </c>
      <c r="H139">
        <v>129</v>
      </c>
      <c r="I139">
        <v>116.1</v>
      </c>
      <c r="J139">
        <v>0</v>
      </c>
      <c r="K139">
        <v>12.9</v>
      </c>
      <c r="L139" t="s">
        <v>1144</v>
      </c>
      <c r="M139" t="s">
        <v>78</v>
      </c>
      <c r="N139" t="s">
        <v>78</v>
      </c>
      <c r="O139">
        <v>0</v>
      </c>
      <c r="P139">
        <v>0</v>
      </c>
      <c r="Q139">
        <v>0</v>
      </c>
      <c r="R139" t="s">
        <v>111</v>
      </c>
      <c r="S139">
        <v>0</v>
      </c>
      <c r="T139" t="s">
        <v>80</v>
      </c>
      <c r="U139" t="s">
        <v>80</v>
      </c>
      <c r="V139" t="s">
        <v>178</v>
      </c>
      <c r="W139" t="s">
        <v>178</v>
      </c>
      <c r="X139" t="s">
        <v>1145</v>
      </c>
      <c r="Y139" t="s">
        <v>1146</v>
      </c>
      <c r="Z139" t="s">
        <v>80</v>
      </c>
      <c r="AA139" t="s">
        <v>85</v>
      </c>
      <c r="AC139" t="s">
        <v>1147</v>
      </c>
      <c r="AD139" t="s">
        <v>202</v>
      </c>
      <c r="AE139" t="s">
        <v>1148</v>
      </c>
      <c r="AG139" t="s">
        <v>1149</v>
      </c>
      <c r="AH139" t="s">
        <v>91</v>
      </c>
      <c r="AI139" t="s">
        <v>216</v>
      </c>
      <c r="AJ139" t="s">
        <v>131</v>
      </c>
      <c r="AK139" t="s">
        <v>1150</v>
      </c>
      <c r="AL139" t="s">
        <v>95</v>
      </c>
      <c r="AM139" t="s">
        <v>96</v>
      </c>
      <c r="AN139" t="s">
        <v>96</v>
      </c>
      <c r="AP139" t="s">
        <v>78</v>
      </c>
      <c r="AQ139" t="s">
        <v>99</v>
      </c>
      <c r="AS139" t="s">
        <v>78</v>
      </c>
      <c r="AT139" t="s">
        <v>100</v>
      </c>
      <c r="AU139" t="s">
        <v>100</v>
      </c>
      <c r="AW139" t="s">
        <v>85</v>
      </c>
      <c r="AX139" t="s">
        <v>101</v>
      </c>
      <c r="AY139" t="s">
        <v>102</v>
      </c>
      <c r="AZ139" t="s">
        <v>145</v>
      </c>
      <c r="BA139" t="s">
        <v>102</v>
      </c>
      <c r="BB139" t="s">
        <v>78</v>
      </c>
      <c r="BC139" t="s">
        <v>78</v>
      </c>
      <c r="BD139" t="s">
        <v>1151</v>
      </c>
      <c r="BE139">
        <v>0</v>
      </c>
      <c r="BF139">
        <v>12.9</v>
      </c>
      <c r="BG139">
        <v>0</v>
      </c>
      <c r="BH139">
        <v>0</v>
      </c>
      <c r="BJ139" t="s">
        <v>85</v>
      </c>
      <c r="BP139" t="s">
        <v>78</v>
      </c>
      <c r="BQ139" t="s">
        <v>78</v>
      </c>
      <c r="BR139" t="s">
        <v>78</v>
      </c>
    </row>
    <row r="140" customFormat="1" spans="1:70">
      <c r="A140" t="s">
        <v>1152</v>
      </c>
      <c r="B140" t="s">
        <v>1152</v>
      </c>
      <c r="C140" t="s">
        <v>1050</v>
      </c>
      <c r="D140" t="s">
        <v>1153</v>
      </c>
      <c r="E140">
        <v>1</v>
      </c>
      <c r="F140" t="s">
        <v>1052</v>
      </c>
      <c r="G140" t="s">
        <v>1154</v>
      </c>
      <c r="H140">
        <v>129</v>
      </c>
      <c r="I140">
        <v>116.24</v>
      </c>
      <c r="J140">
        <v>0</v>
      </c>
      <c r="K140">
        <v>12.76</v>
      </c>
      <c r="L140" t="s">
        <v>1155</v>
      </c>
      <c r="M140" t="s">
        <v>78</v>
      </c>
      <c r="N140" t="s">
        <v>78</v>
      </c>
      <c r="O140">
        <v>0</v>
      </c>
      <c r="P140">
        <v>0</v>
      </c>
      <c r="Q140">
        <v>0</v>
      </c>
      <c r="R140" t="s">
        <v>79</v>
      </c>
      <c r="S140">
        <v>0</v>
      </c>
      <c r="T140" t="s">
        <v>80</v>
      </c>
      <c r="U140" t="s">
        <v>80</v>
      </c>
      <c r="V140" t="s">
        <v>178</v>
      </c>
      <c r="W140" t="s">
        <v>178</v>
      </c>
      <c r="X140" t="s">
        <v>1145</v>
      </c>
      <c r="Y140" t="s">
        <v>1146</v>
      </c>
      <c r="Z140" t="s">
        <v>80</v>
      </c>
      <c r="AA140" t="s">
        <v>85</v>
      </c>
      <c r="AC140" t="s">
        <v>1156</v>
      </c>
      <c r="AD140" t="s">
        <v>87</v>
      </c>
      <c r="AF140" t="s">
        <v>1157</v>
      </c>
      <c r="AG140" t="s">
        <v>1158</v>
      </c>
      <c r="AH140" t="s">
        <v>91</v>
      </c>
      <c r="AI140" t="s">
        <v>216</v>
      </c>
      <c r="AJ140" t="s">
        <v>93</v>
      </c>
      <c r="AK140" t="s">
        <v>1159</v>
      </c>
      <c r="AL140" t="s">
        <v>95</v>
      </c>
      <c r="AM140" t="s">
        <v>96</v>
      </c>
      <c r="AN140" t="s">
        <v>96</v>
      </c>
      <c r="AP140" t="s">
        <v>78</v>
      </c>
      <c r="AQ140" t="s">
        <v>78</v>
      </c>
      <c r="AS140" t="s">
        <v>78</v>
      </c>
      <c r="AT140" t="s">
        <v>100</v>
      </c>
      <c r="AU140" t="s">
        <v>100</v>
      </c>
      <c r="AW140" t="s">
        <v>85</v>
      </c>
      <c r="AX140" t="s">
        <v>101</v>
      </c>
      <c r="AY140" t="s">
        <v>102</v>
      </c>
      <c r="AZ140" t="s">
        <v>145</v>
      </c>
      <c r="BA140" t="s">
        <v>102</v>
      </c>
      <c r="BB140" t="s">
        <v>78</v>
      </c>
      <c r="BC140" t="s">
        <v>78</v>
      </c>
      <c r="BD140" t="s">
        <v>1160</v>
      </c>
      <c r="BE140">
        <v>0</v>
      </c>
      <c r="BF140">
        <v>12.76</v>
      </c>
      <c r="BG140">
        <v>0</v>
      </c>
      <c r="BH140">
        <v>0</v>
      </c>
      <c r="BJ140" t="s">
        <v>85</v>
      </c>
      <c r="BP140" t="s">
        <v>78</v>
      </c>
      <c r="BQ140" t="s">
        <v>78</v>
      </c>
      <c r="BR140" t="s">
        <v>78</v>
      </c>
    </row>
    <row r="141" customFormat="1" spans="1:70">
      <c r="A141" t="s">
        <v>1161</v>
      </c>
      <c r="B141" t="s">
        <v>1161</v>
      </c>
      <c r="C141" t="s">
        <v>107</v>
      </c>
      <c r="D141" t="s">
        <v>108</v>
      </c>
      <c r="E141">
        <v>1</v>
      </c>
      <c r="F141" t="s">
        <v>109</v>
      </c>
      <c r="G141" t="s">
        <v>110</v>
      </c>
      <c r="H141">
        <v>289</v>
      </c>
      <c r="I141">
        <v>289</v>
      </c>
      <c r="J141">
        <v>0</v>
      </c>
      <c r="K141">
        <v>0</v>
      </c>
      <c r="L141" t="s">
        <v>78</v>
      </c>
      <c r="M141" t="s">
        <v>78</v>
      </c>
      <c r="N141" t="s">
        <v>78</v>
      </c>
      <c r="O141">
        <v>0</v>
      </c>
      <c r="P141">
        <v>0</v>
      </c>
      <c r="Q141">
        <v>0</v>
      </c>
      <c r="R141" t="s">
        <v>111</v>
      </c>
      <c r="S141">
        <v>0</v>
      </c>
      <c r="T141" t="s">
        <v>80</v>
      </c>
      <c r="U141" t="s">
        <v>80</v>
      </c>
      <c r="V141" t="s">
        <v>271</v>
      </c>
      <c r="W141" t="s">
        <v>717</v>
      </c>
      <c r="X141" t="s">
        <v>1162</v>
      </c>
      <c r="Y141" t="s">
        <v>1163</v>
      </c>
      <c r="Z141" t="s">
        <v>80</v>
      </c>
      <c r="AA141" t="s">
        <v>85</v>
      </c>
      <c r="AC141" t="s">
        <v>1164</v>
      </c>
      <c r="AD141" t="s">
        <v>202</v>
      </c>
      <c r="AE141" t="s">
        <v>1165</v>
      </c>
      <c r="AG141" t="s">
        <v>1166</v>
      </c>
      <c r="AH141" t="s">
        <v>227</v>
      </c>
      <c r="AI141" t="s">
        <v>216</v>
      </c>
      <c r="AJ141" t="s">
        <v>131</v>
      </c>
      <c r="AK141" t="s">
        <v>1167</v>
      </c>
      <c r="AL141" t="s">
        <v>95</v>
      </c>
      <c r="AM141" t="s">
        <v>96</v>
      </c>
      <c r="AN141" t="s">
        <v>96</v>
      </c>
      <c r="AP141" t="s">
        <v>78</v>
      </c>
      <c r="AQ141" t="s">
        <v>99</v>
      </c>
      <c r="AS141" t="s">
        <v>78</v>
      </c>
      <c r="AT141" t="s">
        <v>100</v>
      </c>
      <c r="AU141" t="s">
        <v>100</v>
      </c>
      <c r="AW141" t="s">
        <v>85</v>
      </c>
      <c r="AX141" t="s">
        <v>101</v>
      </c>
      <c r="AY141" t="s">
        <v>102</v>
      </c>
      <c r="AZ141" t="s">
        <v>145</v>
      </c>
      <c r="BA141" t="s">
        <v>218</v>
      </c>
      <c r="BB141" t="s">
        <v>78</v>
      </c>
      <c r="BC141" t="s">
        <v>78</v>
      </c>
      <c r="BD141" t="s">
        <v>756</v>
      </c>
      <c r="BE141">
        <v>0</v>
      </c>
      <c r="BF141">
        <v>0</v>
      </c>
      <c r="BG141">
        <v>0</v>
      </c>
      <c r="BH141">
        <v>0</v>
      </c>
      <c r="BJ141" t="s">
        <v>85</v>
      </c>
      <c r="BP141" t="s">
        <v>78</v>
      </c>
      <c r="BQ141" t="s">
        <v>78</v>
      </c>
      <c r="BR141" t="s">
        <v>78</v>
      </c>
    </row>
    <row r="142" customFormat="1" spans="1:70">
      <c r="A142" t="s">
        <v>1168</v>
      </c>
      <c r="B142" t="s">
        <v>1168</v>
      </c>
      <c r="C142" t="s">
        <v>1169</v>
      </c>
      <c r="D142" t="s">
        <v>187</v>
      </c>
      <c r="E142">
        <v>1</v>
      </c>
      <c r="F142" t="s">
        <v>1170</v>
      </c>
      <c r="G142" t="s">
        <v>1171</v>
      </c>
      <c r="H142">
        <v>299</v>
      </c>
      <c r="I142">
        <v>299</v>
      </c>
      <c r="J142">
        <v>0</v>
      </c>
      <c r="K142">
        <v>0</v>
      </c>
      <c r="L142" t="s">
        <v>78</v>
      </c>
      <c r="M142" t="s">
        <v>78</v>
      </c>
      <c r="N142" t="s">
        <v>78</v>
      </c>
      <c r="O142">
        <v>0</v>
      </c>
      <c r="P142">
        <v>0</v>
      </c>
      <c r="Q142">
        <v>0</v>
      </c>
      <c r="R142" t="s">
        <v>79</v>
      </c>
      <c r="S142">
        <v>0</v>
      </c>
      <c r="T142" t="s">
        <v>80</v>
      </c>
      <c r="U142" t="s">
        <v>80</v>
      </c>
      <c r="V142" t="s">
        <v>271</v>
      </c>
      <c r="W142" t="s">
        <v>272</v>
      </c>
      <c r="X142" t="s">
        <v>1172</v>
      </c>
      <c r="Y142" t="s">
        <v>1173</v>
      </c>
      <c r="Z142" t="s">
        <v>80</v>
      </c>
      <c r="AA142" t="s">
        <v>85</v>
      </c>
      <c r="AC142" t="s">
        <v>1174</v>
      </c>
      <c r="AD142" t="s">
        <v>87</v>
      </c>
      <c r="AG142" t="s">
        <v>1175</v>
      </c>
      <c r="AH142" t="s">
        <v>91</v>
      </c>
      <c r="AI142" t="s">
        <v>216</v>
      </c>
      <c r="AJ142" t="s">
        <v>131</v>
      </c>
      <c r="AK142" t="s">
        <v>1176</v>
      </c>
      <c r="AL142" t="s">
        <v>95</v>
      </c>
      <c r="AM142" t="s">
        <v>96</v>
      </c>
      <c r="AN142" t="s">
        <v>96</v>
      </c>
      <c r="AP142" t="s">
        <v>78</v>
      </c>
      <c r="AQ142" t="s">
        <v>99</v>
      </c>
      <c r="AS142" t="s">
        <v>78</v>
      </c>
      <c r="AT142" t="s">
        <v>100</v>
      </c>
      <c r="AU142" t="s">
        <v>100</v>
      </c>
      <c r="AW142" t="s">
        <v>85</v>
      </c>
      <c r="AX142" t="s">
        <v>101</v>
      </c>
      <c r="AY142" t="s">
        <v>102</v>
      </c>
      <c r="AZ142" t="s">
        <v>145</v>
      </c>
      <c r="BA142" t="s">
        <v>354</v>
      </c>
      <c r="BB142" t="s">
        <v>78</v>
      </c>
      <c r="BC142" t="s">
        <v>78</v>
      </c>
      <c r="BE142">
        <v>0</v>
      </c>
      <c r="BF142">
        <v>0</v>
      </c>
      <c r="BG142">
        <v>0</v>
      </c>
      <c r="BH142">
        <v>0</v>
      </c>
      <c r="BJ142" t="s">
        <v>85</v>
      </c>
      <c r="BP142" t="s">
        <v>78</v>
      </c>
      <c r="BQ142" t="s">
        <v>78</v>
      </c>
      <c r="BR142" t="s">
        <v>78</v>
      </c>
    </row>
    <row r="143" customFormat="1" spans="1:70">
      <c r="A143" t="s">
        <v>1177</v>
      </c>
      <c r="B143" t="s">
        <v>1177</v>
      </c>
      <c r="C143" t="s">
        <v>1178</v>
      </c>
      <c r="D143" t="s">
        <v>1179</v>
      </c>
      <c r="E143">
        <v>1</v>
      </c>
      <c r="F143" t="s">
        <v>1180</v>
      </c>
      <c r="G143" t="s">
        <v>1181</v>
      </c>
      <c r="H143">
        <v>189</v>
      </c>
      <c r="I143">
        <v>189</v>
      </c>
      <c r="J143">
        <v>0</v>
      </c>
      <c r="K143">
        <v>0</v>
      </c>
      <c r="L143" t="s">
        <v>78</v>
      </c>
      <c r="M143" t="s">
        <v>78</v>
      </c>
      <c r="N143" t="s">
        <v>78</v>
      </c>
      <c r="O143">
        <v>0</v>
      </c>
      <c r="P143">
        <v>0</v>
      </c>
      <c r="Q143">
        <v>0</v>
      </c>
      <c r="R143" t="s">
        <v>111</v>
      </c>
      <c r="S143">
        <v>0</v>
      </c>
      <c r="T143" t="s">
        <v>80</v>
      </c>
      <c r="U143" t="s">
        <v>80</v>
      </c>
      <c r="V143" t="s">
        <v>161</v>
      </c>
      <c r="W143" t="s">
        <v>161</v>
      </c>
      <c r="X143" t="s">
        <v>162</v>
      </c>
      <c r="Y143" t="s">
        <v>1182</v>
      </c>
      <c r="Z143" t="s">
        <v>80</v>
      </c>
      <c r="AA143" t="s">
        <v>85</v>
      </c>
      <c r="AC143" t="s">
        <v>1183</v>
      </c>
      <c r="AD143" t="s">
        <v>87</v>
      </c>
      <c r="AF143" t="s">
        <v>1184</v>
      </c>
      <c r="AG143" t="s">
        <v>1185</v>
      </c>
      <c r="AH143" t="s">
        <v>91</v>
      </c>
      <c r="AI143" t="s">
        <v>216</v>
      </c>
      <c r="AJ143" t="s">
        <v>93</v>
      </c>
      <c r="AK143" t="s">
        <v>1186</v>
      </c>
      <c r="AL143" t="s">
        <v>95</v>
      </c>
      <c r="AM143" t="s">
        <v>96</v>
      </c>
      <c r="AN143" t="s">
        <v>96</v>
      </c>
      <c r="AP143" t="s">
        <v>78</v>
      </c>
      <c r="AQ143" t="s">
        <v>78</v>
      </c>
      <c r="AS143" t="s">
        <v>78</v>
      </c>
      <c r="AT143" t="s">
        <v>100</v>
      </c>
      <c r="AU143" t="s">
        <v>100</v>
      </c>
      <c r="AW143" t="s">
        <v>85</v>
      </c>
      <c r="AX143" t="s">
        <v>101</v>
      </c>
      <c r="AY143" t="s">
        <v>102</v>
      </c>
      <c r="AZ143" t="s">
        <v>145</v>
      </c>
      <c r="BA143" t="s">
        <v>1035</v>
      </c>
      <c r="BB143" t="s">
        <v>78</v>
      </c>
      <c r="BC143" t="s">
        <v>78</v>
      </c>
      <c r="BD143" t="s">
        <v>1187</v>
      </c>
      <c r="BE143">
        <v>0</v>
      </c>
      <c r="BF143">
        <v>0</v>
      </c>
      <c r="BG143">
        <v>0</v>
      </c>
      <c r="BH143">
        <v>0</v>
      </c>
      <c r="BJ143" t="s">
        <v>85</v>
      </c>
      <c r="BP143" t="s">
        <v>78</v>
      </c>
      <c r="BQ143" t="s">
        <v>78</v>
      </c>
      <c r="BR143" t="s">
        <v>78</v>
      </c>
    </row>
    <row r="144" customFormat="1" spans="1:70">
      <c r="A144" t="s">
        <v>1188</v>
      </c>
      <c r="B144" t="s">
        <v>1188</v>
      </c>
      <c r="C144" t="s">
        <v>1050</v>
      </c>
      <c r="D144" t="s">
        <v>1189</v>
      </c>
      <c r="E144">
        <v>1</v>
      </c>
      <c r="F144" t="s">
        <v>1052</v>
      </c>
      <c r="G144" t="s">
        <v>1190</v>
      </c>
      <c r="H144">
        <v>129</v>
      </c>
      <c r="I144">
        <v>119</v>
      </c>
      <c r="J144">
        <v>0</v>
      </c>
      <c r="K144">
        <v>30</v>
      </c>
      <c r="L144" t="s">
        <v>1010</v>
      </c>
      <c r="M144" t="s">
        <v>78</v>
      </c>
      <c r="N144" t="s">
        <v>78</v>
      </c>
      <c r="O144">
        <v>0</v>
      </c>
      <c r="P144">
        <v>20</v>
      </c>
      <c r="Q144">
        <v>0</v>
      </c>
      <c r="R144" t="s">
        <v>79</v>
      </c>
      <c r="S144">
        <v>0</v>
      </c>
      <c r="T144" t="s">
        <v>80</v>
      </c>
      <c r="U144" t="s">
        <v>80</v>
      </c>
      <c r="V144" t="s">
        <v>556</v>
      </c>
      <c r="W144" t="s">
        <v>557</v>
      </c>
      <c r="X144" t="s">
        <v>1191</v>
      </c>
      <c r="Y144" t="s">
        <v>1192</v>
      </c>
      <c r="Z144" t="s">
        <v>80</v>
      </c>
      <c r="AA144" t="s">
        <v>85</v>
      </c>
      <c r="AC144" t="s">
        <v>1193</v>
      </c>
      <c r="AD144" t="s">
        <v>87</v>
      </c>
      <c r="AF144" t="s">
        <v>1194</v>
      </c>
      <c r="AG144" t="s">
        <v>1195</v>
      </c>
      <c r="AH144" t="s">
        <v>91</v>
      </c>
      <c r="AI144" t="s">
        <v>216</v>
      </c>
      <c r="AJ144" t="s">
        <v>93</v>
      </c>
      <c r="AK144" t="s">
        <v>1196</v>
      </c>
      <c r="AL144" t="s">
        <v>95</v>
      </c>
      <c r="AM144" t="s">
        <v>96</v>
      </c>
      <c r="AN144" t="s">
        <v>96</v>
      </c>
      <c r="AP144" t="s">
        <v>78</v>
      </c>
      <c r="AQ144" t="s">
        <v>78</v>
      </c>
      <c r="AS144" t="s">
        <v>78</v>
      </c>
      <c r="AT144" t="s">
        <v>100</v>
      </c>
      <c r="AU144" t="s">
        <v>100</v>
      </c>
      <c r="AW144" t="s">
        <v>85</v>
      </c>
      <c r="AX144" t="s">
        <v>101</v>
      </c>
      <c r="AY144" t="s">
        <v>102</v>
      </c>
      <c r="AZ144" t="s">
        <v>145</v>
      </c>
      <c r="BA144" t="s">
        <v>218</v>
      </c>
      <c r="BB144" t="s">
        <v>78</v>
      </c>
      <c r="BC144" t="s">
        <v>78</v>
      </c>
      <c r="BD144" t="s">
        <v>1197</v>
      </c>
      <c r="BE144">
        <v>0</v>
      </c>
      <c r="BF144">
        <v>10</v>
      </c>
      <c r="BG144">
        <v>0</v>
      </c>
      <c r="BH144">
        <v>0</v>
      </c>
      <c r="BJ144" t="s">
        <v>85</v>
      </c>
      <c r="BP144" t="s">
        <v>78</v>
      </c>
      <c r="BQ144" t="s">
        <v>78</v>
      </c>
      <c r="BR144" t="s">
        <v>78</v>
      </c>
    </row>
    <row r="145" customFormat="1" spans="1:70">
      <c r="A145" t="s">
        <v>1198</v>
      </c>
      <c r="B145" t="s">
        <v>1198</v>
      </c>
      <c r="C145" t="s">
        <v>107</v>
      </c>
      <c r="D145" t="s">
        <v>108</v>
      </c>
      <c r="E145">
        <v>1</v>
      </c>
      <c r="F145" t="s">
        <v>109</v>
      </c>
      <c r="G145" t="s">
        <v>110</v>
      </c>
      <c r="H145">
        <v>289</v>
      </c>
      <c r="I145">
        <v>289</v>
      </c>
      <c r="J145">
        <v>0</v>
      </c>
      <c r="K145">
        <v>0</v>
      </c>
      <c r="L145" t="s">
        <v>78</v>
      </c>
      <c r="M145" t="s">
        <v>78</v>
      </c>
      <c r="N145" t="s">
        <v>78</v>
      </c>
      <c r="O145">
        <v>0</v>
      </c>
      <c r="P145">
        <v>0</v>
      </c>
      <c r="Q145">
        <v>0</v>
      </c>
      <c r="R145" t="s">
        <v>79</v>
      </c>
      <c r="S145">
        <v>0</v>
      </c>
      <c r="T145" t="s">
        <v>80</v>
      </c>
      <c r="U145" t="s">
        <v>80</v>
      </c>
      <c r="V145" t="s">
        <v>138</v>
      </c>
      <c r="W145" t="s">
        <v>1199</v>
      </c>
      <c r="X145" t="s">
        <v>1200</v>
      </c>
      <c r="Y145" t="s">
        <v>78</v>
      </c>
      <c r="Z145" t="s">
        <v>80</v>
      </c>
      <c r="AA145" t="s">
        <v>85</v>
      </c>
      <c r="AC145" t="s">
        <v>1201</v>
      </c>
      <c r="AD145" t="s">
        <v>87</v>
      </c>
      <c r="AG145" t="s">
        <v>1202</v>
      </c>
      <c r="AH145" t="s">
        <v>91</v>
      </c>
      <c r="AI145" t="s">
        <v>92</v>
      </c>
      <c r="AJ145" t="s">
        <v>131</v>
      </c>
      <c r="AK145" t="s">
        <v>1203</v>
      </c>
      <c r="AL145" t="s">
        <v>95</v>
      </c>
      <c r="AM145" t="s">
        <v>96</v>
      </c>
      <c r="AN145" t="s">
        <v>97</v>
      </c>
      <c r="AO145" t="s">
        <v>98</v>
      </c>
      <c r="AP145" t="s">
        <v>78</v>
      </c>
      <c r="AQ145" t="s">
        <v>99</v>
      </c>
      <c r="AS145" t="s">
        <v>78</v>
      </c>
      <c r="AT145" t="s">
        <v>100</v>
      </c>
      <c r="AU145" t="s">
        <v>100</v>
      </c>
      <c r="AW145" t="s">
        <v>85</v>
      </c>
      <c r="AX145" t="s">
        <v>101</v>
      </c>
      <c r="AY145" t="s">
        <v>102</v>
      </c>
      <c r="AZ145" t="s">
        <v>145</v>
      </c>
      <c r="BA145" t="s">
        <v>146</v>
      </c>
      <c r="BB145" t="s">
        <v>78</v>
      </c>
      <c r="BC145" t="s">
        <v>78</v>
      </c>
      <c r="BE145">
        <v>0</v>
      </c>
      <c r="BF145">
        <v>0</v>
      </c>
      <c r="BG145">
        <v>0</v>
      </c>
      <c r="BH145">
        <v>0</v>
      </c>
      <c r="BJ145" t="s">
        <v>85</v>
      </c>
      <c r="BP145" t="s">
        <v>78</v>
      </c>
      <c r="BQ145" t="s">
        <v>78</v>
      </c>
      <c r="BR145" t="s">
        <v>78</v>
      </c>
    </row>
    <row r="146" customFormat="1" spans="1:70">
      <c r="A146" t="s">
        <v>1204</v>
      </c>
      <c r="B146" t="s">
        <v>1204</v>
      </c>
      <c r="C146" t="s">
        <v>1126</v>
      </c>
      <c r="D146" t="s">
        <v>187</v>
      </c>
      <c r="E146">
        <v>1</v>
      </c>
      <c r="F146" t="s">
        <v>1128</v>
      </c>
      <c r="G146" t="s">
        <v>1205</v>
      </c>
      <c r="H146">
        <v>249</v>
      </c>
      <c r="I146">
        <v>224.09</v>
      </c>
      <c r="J146">
        <v>0</v>
      </c>
      <c r="K146">
        <v>24.91</v>
      </c>
      <c r="L146" t="s">
        <v>1206</v>
      </c>
      <c r="M146" t="s">
        <v>78</v>
      </c>
      <c r="N146" t="s">
        <v>78</v>
      </c>
      <c r="O146">
        <v>0</v>
      </c>
      <c r="P146">
        <v>0</v>
      </c>
      <c r="Q146">
        <v>0</v>
      </c>
      <c r="R146" t="s">
        <v>79</v>
      </c>
      <c r="S146">
        <v>0</v>
      </c>
      <c r="T146" t="s">
        <v>80</v>
      </c>
      <c r="U146" t="s">
        <v>80</v>
      </c>
      <c r="V146" t="s">
        <v>112</v>
      </c>
      <c r="W146" t="s">
        <v>1207</v>
      </c>
      <c r="X146" t="s">
        <v>1207</v>
      </c>
      <c r="Y146" t="s">
        <v>1208</v>
      </c>
      <c r="Z146" t="s">
        <v>80</v>
      </c>
      <c r="AA146" t="s">
        <v>85</v>
      </c>
      <c r="AC146" t="s">
        <v>1209</v>
      </c>
      <c r="AD146" t="s">
        <v>87</v>
      </c>
      <c r="AG146" t="s">
        <v>1210</v>
      </c>
      <c r="AH146" t="s">
        <v>91</v>
      </c>
      <c r="AI146" t="s">
        <v>216</v>
      </c>
      <c r="AJ146" t="s">
        <v>131</v>
      </c>
      <c r="AK146" t="s">
        <v>1211</v>
      </c>
      <c r="AL146" t="s">
        <v>95</v>
      </c>
      <c r="AM146" t="s">
        <v>96</v>
      </c>
      <c r="AN146" t="s">
        <v>96</v>
      </c>
      <c r="AP146" t="s">
        <v>78</v>
      </c>
      <c r="AQ146" t="s">
        <v>99</v>
      </c>
      <c r="AS146" t="s">
        <v>78</v>
      </c>
      <c r="AT146" t="s">
        <v>100</v>
      </c>
      <c r="AU146" t="s">
        <v>100</v>
      </c>
      <c r="AW146" t="s">
        <v>85</v>
      </c>
      <c r="AX146" t="s">
        <v>101</v>
      </c>
      <c r="AY146" t="s">
        <v>102</v>
      </c>
      <c r="AZ146" t="s">
        <v>145</v>
      </c>
      <c r="BA146" t="s">
        <v>218</v>
      </c>
      <c r="BB146" t="s">
        <v>78</v>
      </c>
      <c r="BC146" t="s">
        <v>78</v>
      </c>
      <c r="BE146">
        <v>0</v>
      </c>
      <c r="BF146">
        <v>24.91</v>
      </c>
      <c r="BG146">
        <v>0</v>
      </c>
      <c r="BH146">
        <v>0</v>
      </c>
      <c r="BJ146" t="s">
        <v>85</v>
      </c>
      <c r="BP146" t="s">
        <v>78</v>
      </c>
      <c r="BQ146" t="s">
        <v>78</v>
      </c>
      <c r="BR146" t="s">
        <v>78</v>
      </c>
    </row>
    <row r="147" customFormat="1" spans="1:70">
      <c r="A147" t="s">
        <v>1212</v>
      </c>
      <c r="B147" t="s">
        <v>1212</v>
      </c>
      <c r="C147" t="s">
        <v>1126</v>
      </c>
      <c r="D147" t="s">
        <v>1127</v>
      </c>
      <c r="E147">
        <v>1</v>
      </c>
      <c r="F147" t="s">
        <v>1128</v>
      </c>
      <c r="G147" t="s">
        <v>1129</v>
      </c>
      <c r="H147">
        <v>249</v>
      </c>
      <c r="I147">
        <v>234</v>
      </c>
      <c r="J147">
        <v>0</v>
      </c>
      <c r="K147">
        <v>15</v>
      </c>
      <c r="L147" t="s">
        <v>1213</v>
      </c>
      <c r="M147" t="s">
        <v>78</v>
      </c>
      <c r="N147" t="s">
        <v>78</v>
      </c>
      <c r="O147">
        <v>0</v>
      </c>
      <c r="P147">
        <v>0</v>
      </c>
      <c r="Q147">
        <v>0</v>
      </c>
      <c r="R147" t="s">
        <v>125</v>
      </c>
      <c r="S147">
        <v>0</v>
      </c>
      <c r="T147" t="s">
        <v>80</v>
      </c>
      <c r="U147" t="s">
        <v>80</v>
      </c>
      <c r="V147" t="s">
        <v>464</v>
      </c>
      <c r="W147" t="s">
        <v>542</v>
      </c>
      <c r="X147" t="s">
        <v>1214</v>
      </c>
      <c r="Y147" t="s">
        <v>1215</v>
      </c>
      <c r="Z147" t="s">
        <v>80</v>
      </c>
      <c r="AA147" t="s">
        <v>85</v>
      </c>
      <c r="AC147" t="s">
        <v>1216</v>
      </c>
      <c r="AD147" t="s">
        <v>87</v>
      </c>
      <c r="AF147" t="s">
        <v>1217</v>
      </c>
      <c r="AG147" t="s">
        <v>1218</v>
      </c>
      <c r="AH147" t="s">
        <v>91</v>
      </c>
      <c r="AI147" t="s">
        <v>216</v>
      </c>
      <c r="AJ147" t="s">
        <v>93</v>
      </c>
      <c r="AK147" t="s">
        <v>1219</v>
      </c>
      <c r="AL147" t="s">
        <v>95</v>
      </c>
      <c r="AM147" t="s">
        <v>96</v>
      </c>
      <c r="AN147" t="s">
        <v>96</v>
      </c>
      <c r="AP147" t="s">
        <v>78</v>
      </c>
      <c r="AQ147" t="s">
        <v>78</v>
      </c>
      <c r="AS147" t="s">
        <v>78</v>
      </c>
      <c r="AT147" t="s">
        <v>100</v>
      </c>
      <c r="AU147" t="s">
        <v>100</v>
      </c>
      <c r="AW147" t="s">
        <v>85</v>
      </c>
      <c r="AX147" t="s">
        <v>101</v>
      </c>
      <c r="AY147" t="s">
        <v>102</v>
      </c>
      <c r="AZ147" t="s">
        <v>145</v>
      </c>
      <c r="BA147" t="s">
        <v>218</v>
      </c>
      <c r="BB147" t="s">
        <v>78</v>
      </c>
      <c r="BC147" t="s">
        <v>78</v>
      </c>
      <c r="BD147" t="s">
        <v>1220</v>
      </c>
      <c r="BE147">
        <v>0</v>
      </c>
      <c r="BF147">
        <v>15</v>
      </c>
      <c r="BG147">
        <v>0</v>
      </c>
      <c r="BH147">
        <v>0</v>
      </c>
      <c r="BJ147" t="s">
        <v>85</v>
      </c>
      <c r="BP147" t="s">
        <v>78</v>
      </c>
      <c r="BQ147" t="s">
        <v>78</v>
      </c>
      <c r="BR147" t="s">
        <v>78</v>
      </c>
    </row>
    <row r="148" customFormat="1" spans="1:70">
      <c r="A148" t="s">
        <v>1221</v>
      </c>
      <c r="B148" t="s">
        <v>1221</v>
      </c>
      <c r="C148" t="s">
        <v>1222</v>
      </c>
      <c r="D148" t="s">
        <v>1223</v>
      </c>
      <c r="E148">
        <v>1</v>
      </c>
      <c r="F148" t="s">
        <v>1224</v>
      </c>
      <c r="G148" t="s">
        <v>1225</v>
      </c>
      <c r="H148">
        <v>199</v>
      </c>
      <c r="I148">
        <v>199</v>
      </c>
      <c r="J148">
        <v>0</v>
      </c>
      <c r="K148">
        <v>0</v>
      </c>
      <c r="L148" t="s">
        <v>78</v>
      </c>
      <c r="M148" t="s">
        <v>78</v>
      </c>
      <c r="N148" t="s">
        <v>78</v>
      </c>
      <c r="O148">
        <v>0</v>
      </c>
      <c r="P148">
        <v>0</v>
      </c>
      <c r="Q148">
        <v>0</v>
      </c>
      <c r="R148" t="s">
        <v>125</v>
      </c>
      <c r="S148">
        <v>0</v>
      </c>
      <c r="T148" t="s">
        <v>80</v>
      </c>
      <c r="U148" t="s">
        <v>80</v>
      </c>
      <c r="V148" t="s">
        <v>302</v>
      </c>
      <c r="W148" t="s">
        <v>412</v>
      </c>
      <c r="X148" t="s">
        <v>1226</v>
      </c>
      <c r="Y148" t="s">
        <v>1227</v>
      </c>
      <c r="Z148" t="s">
        <v>80</v>
      </c>
      <c r="AA148" t="s">
        <v>85</v>
      </c>
      <c r="AC148" t="s">
        <v>1228</v>
      </c>
      <c r="AD148" t="s">
        <v>1229</v>
      </c>
      <c r="AE148" t="s">
        <v>1230</v>
      </c>
      <c r="AG148" t="s">
        <v>1231</v>
      </c>
      <c r="AH148" t="s">
        <v>91</v>
      </c>
      <c r="AI148" t="s">
        <v>216</v>
      </c>
      <c r="AJ148" t="s">
        <v>131</v>
      </c>
      <c r="AK148" t="s">
        <v>1232</v>
      </c>
      <c r="AL148" t="s">
        <v>95</v>
      </c>
      <c r="AM148" t="s">
        <v>96</v>
      </c>
      <c r="AN148" t="s">
        <v>96</v>
      </c>
      <c r="AP148" t="s">
        <v>78</v>
      </c>
      <c r="AQ148" t="s">
        <v>99</v>
      </c>
      <c r="AS148" t="s">
        <v>78</v>
      </c>
      <c r="AT148" t="s">
        <v>100</v>
      </c>
      <c r="AU148" t="s">
        <v>100</v>
      </c>
      <c r="AW148" t="s">
        <v>85</v>
      </c>
      <c r="AX148" t="s">
        <v>101</v>
      </c>
      <c r="AY148" t="s">
        <v>102</v>
      </c>
      <c r="AZ148" t="s">
        <v>145</v>
      </c>
      <c r="BA148" t="s">
        <v>354</v>
      </c>
      <c r="BB148" t="s">
        <v>78</v>
      </c>
      <c r="BC148" t="s">
        <v>78</v>
      </c>
      <c r="BD148" t="s">
        <v>1233</v>
      </c>
      <c r="BE148">
        <v>0</v>
      </c>
      <c r="BF148">
        <v>0</v>
      </c>
      <c r="BG148">
        <v>0</v>
      </c>
      <c r="BH148">
        <v>0</v>
      </c>
      <c r="BJ148" t="s">
        <v>85</v>
      </c>
      <c r="BP148" t="s">
        <v>78</v>
      </c>
      <c r="BQ148" t="s">
        <v>78</v>
      </c>
      <c r="BR148" t="s">
        <v>78</v>
      </c>
    </row>
    <row r="149" customFormat="1" spans="1:70">
      <c r="A149" t="s">
        <v>1234</v>
      </c>
      <c r="B149" t="s">
        <v>1234</v>
      </c>
      <c r="C149" t="s">
        <v>107</v>
      </c>
      <c r="D149" t="s">
        <v>108</v>
      </c>
      <c r="E149">
        <v>1</v>
      </c>
      <c r="F149" t="s">
        <v>109</v>
      </c>
      <c r="G149" t="s">
        <v>110</v>
      </c>
      <c r="H149">
        <v>289</v>
      </c>
      <c r="I149">
        <v>289</v>
      </c>
      <c r="J149">
        <v>0</v>
      </c>
      <c r="K149">
        <v>0</v>
      </c>
      <c r="L149" t="s">
        <v>78</v>
      </c>
      <c r="M149" t="s">
        <v>78</v>
      </c>
      <c r="N149" t="s">
        <v>78</v>
      </c>
      <c r="O149">
        <v>0</v>
      </c>
      <c r="P149">
        <v>0</v>
      </c>
      <c r="Q149">
        <v>0</v>
      </c>
      <c r="R149" t="s">
        <v>79</v>
      </c>
      <c r="S149">
        <v>0</v>
      </c>
      <c r="T149" t="s">
        <v>80</v>
      </c>
      <c r="U149" t="s">
        <v>80</v>
      </c>
      <c r="V149" t="s">
        <v>271</v>
      </c>
      <c r="W149" t="s">
        <v>1235</v>
      </c>
      <c r="X149" t="s">
        <v>1236</v>
      </c>
      <c r="Y149" t="s">
        <v>1237</v>
      </c>
      <c r="Z149" t="s">
        <v>80</v>
      </c>
      <c r="AA149" t="s">
        <v>85</v>
      </c>
      <c r="AC149" t="s">
        <v>1238</v>
      </c>
      <c r="AD149" t="s">
        <v>87</v>
      </c>
      <c r="AG149" t="s">
        <v>1239</v>
      </c>
      <c r="AH149" t="s">
        <v>91</v>
      </c>
      <c r="AI149" t="s">
        <v>92</v>
      </c>
      <c r="AJ149" t="s">
        <v>131</v>
      </c>
      <c r="AK149" t="s">
        <v>1240</v>
      </c>
      <c r="AL149" t="s">
        <v>95</v>
      </c>
      <c r="AM149" t="s">
        <v>96</v>
      </c>
      <c r="AN149" t="s">
        <v>97</v>
      </c>
      <c r="AO149" t="s">
        <v>98</v>
      </c>
      <c r="AP149" t="s">
        <v>78</v>
      </c>
      <c r="AQ149" t="s">
        <v>99</v>
      </c>
      <c r="AS149" t="s">
        <v>78</v>
      </c>
      <c r="AT149" t="s">
        <v>100</v>
      </c>
      <c r="AU149" t="s">
        <v>100</v>
      </c>
      <c r="AW149" t="s">
        <v>85</v>
      </c>
      <c r="AX149" t="s">
        <v>101</v>
      </c>
      <c r="AY149" t="s">
        <v>102</v>
      </c>
      <c r="AZ149" t="s">
        <v>103</v>
      </c>
      <c r="BA149" t="s">
        <v>104</v>
      </c>
      <c r="BB149" t="s">
        <v>78</v>
      </c>
      <c r="BC149" t="s">
        <v>78</v>
      </c>
      <c r="BE149">
        <v>0</v>
      </c>
      <c r="BF149">
        <v>0</v>
      </c>
      <c r="BG149">
        <v>0</v>
      </c>
      <c r="BH149">
        <v>0</v>
      </c>
      <c r="BJ149" t="s">
        <v>85</v>
      </c>
      <c r="BP149" t="s">
        <v>78</v>
      </c>
      <c r="BQ149" t="s">
        <v>78</v>
      </c>
      <c r="BR149" t="s">
        <v>78</v>
      </c>
    </row>
    <row r="150" customFormat="1" spans="1:70">
      <c r="A150" t="s">
        <v>1241</v>
      </c>
      <c r="B150" t="s">
        <v>1241</v>
      </c>
      <c r="C150" t="s">
        <v>107</v>
      </c>
      <c r="D150" t="s">
        <v>123</v>
      </c>
      <c r="E150">
        <v>1</v>
      </c>
      <c r="F150" t="s">
        <v>109</v>
      </c>
      <c r="G150" t="s">
        <v>124</v>
      </c>
      <c r="H150">
        <v>289</v>
      </c>
      <c r="I150">
        <v>261.1</v>
      </c>
      <c r="J150">
        <v>0</v>
      </c>
      <c r="K150">
        <v>27.9</v>
      </c>
      <c r="L150" t="s">
        <v>1242</v>
      </c>
      <c r="M150" t="s">
        <v>78</v>
      </c>
      <c r="N150" t="s">
        <v>78</v>
      </c>
      <c r="O150">
        <v>0</v>
      </c>
      <c r="P150">
        <v>0</v>
      </c>
      <c r="Q150">
        <v>0</v>
      </c>
      <c r="R150" t="s">
        <v>79</v>
      </c>
      <c r="S150">
        <v>0</v>
      </c>
      <c r="T150" t="s">
        <v>80</v>
      </c>
      <c r="U150" t="s">
        <v>80</v>
      </c>
      <c r="V150" t="s">
        <v>161</v>
      </c>
      <c r="W150" t="s">
        <v>161</v>
      </c>
      <c r="X150" t="s">
        <v>1243</v>
      </c>
      <c r="Y150" t="s">
        <v>1244</v>
      </c>
      <c r="Z150" t="s">
        <v>80</v>
      </c>
      <c r="AA150" t="s">
        <v>85</v>
      </c>
      <c r="AC150" t="s">
        <v>1245</v>
      </c>
      <c r="AD150" t="s">
        <v>87</v>
      </c>
      <c r="AG150" t="s">
        <v>1246</v>
      </c>
      <c r="AH150" t="s">
        <v>91</v>
      </c>
      <c r="AI150" t="s">
        <v>92</v>
      </c>
      <c r="AJ150" t="s">
        <v>131</v>
      </c>
      <c r="AK150" t="s">
        <v>1247</v>
      </c>
      <c r="AL150" t="s">
        <v>95</v>
      </c>
      <c r="AM150" t="s">
        <v>96</v>
      </c>
      <c r="AN150" t="s">
        <v>97</v>
      </c>
      <c r="AO150" t="s">
        <v>98</v>
      </c>
      <c r="AP150" t="s">
        <v>78</v>
      </c>
      <c r="AQ150" t="s">
        <v>99</v>
      </c>
      <c r="AS150" t="s">
        <v>78</v>
      </c>
      <c r="AT150" t="s">
        <v>100</v>
      </c>
      <c r="AU150" t="s">
        <v>100</v>
      </c>
      <c r="AW150" t="s">
        <v>85</v>
      </c>
      <c r="AX150" t="s">
        <v>101</v>
      </c>
      <c r="AY150" t="s">
        <v>102</v>
      </c>
      <c r="AZ150" t="s">
        <v>103</v>
      </c>
      <c r="BA150" t="s">
        <v>104</v>
      </c>
      <c r="BB150" t="s">
        <v>78</v>
      </c>
      <c r="BC150" t="s">
        <v>78</v>
      </c>
      <c r="BE150">
        <v>0</v>
      </c>
      <c r="BF150">
        <v>27.9</v>
      </c>
      <c r="BG150">
        <v>0</v>
      </c>
      <c r="BH150">
        <v>0</v>
      </c>
      <c r="BJ150" t="s">
        <v>85</v>
      </c>
      <c r="BP150" t="s">
        <v>78</v>
      </c>
      <c r="BQ150" t="s">
        <v>78</v>
      </c>
      <c r="BR150" t="s">
        <v>78</v>
      </c>
    </row>
    <row r="151" customFormat="1" spans="1:70">
      <c r="A151" t="s">
        <v>1248</v>
      </c>
      <c r="B151" t="s">
        <v>1248</v>
      </c>
      <c r="C151" t="s">
        <v>107</v>
      </c>
      <c r="D151" t="s">
        <v>135</v>
      </c>
      <c r="E151">
        <v>1</v>
      </c>
      <c r="F151" t="s">
        <v>109</v>
      </c>
      <c r="G151" t="s">
        <v>136</v>
      </c>
      <c r="H151">
        <v>289</v>
      </c>
      <c r="I151">
        <v>289</v>
      </c>
      <c r="J151">
        <v>0</v>
      </c>
      <c r="K151">
        <v>0</v>
      </c>
      <c r="L151" t="s">
        <v>78</v>
      </c>
      <c r="M151" t="s">
        <v>78</v>
      </c>
      <c r="N151" t="s">
        <v>78</v>
      </c>
      <c r="O151">
        <v>0</v>
      </c>
      <c r="P151">
        <v>0</v>
      </c>
      <c r="Q151">
        <v>0</v>
      </c>
      <c r="R151" t="s">
        <v>125</v>
      </c>
      <c r="S151">
        <v>0</v>
      </c>
      <c r="T151" t="s">
        <v>80</v>
      </c>
      <c r="U151" t="s">
        <v>80</v>
      </c>
      <c r="V151" t="s">
        <v>464</v>
      </c>
      <c r="W151" t="s">
        <v>1249</v>
      </c>
      <c r="X151" t="s">
        <v>1250</v>
      </c>
      <c r="Y151" t="s">
        <v>78</v>
      </c>
      <c r="Z151" t="s">
        <v>80</v>
      </c>
      <c r="AA151" t="s">
        <v>85</v>
      </c>
      <c r="AC151" t="s">
        <v>1251</v>
      </c>
      <c r="AD151" t="s">
        <v>87</v>
      </c>
      <c r="AG151" t="s">
        <v>1252</v>
      </c>
      <c r="AH151" t="s">
        <v>91</v>
      </c>
      <c r="AI151" t="s">
        <v>92</v>
      </c>
      <c r="AJ151" t="s">
        <v>131</v>
      </c>
      <c r="AK151" t="s">
        <v>1253</v>
      </c>
      <c r="AL151" t="s">
        <v>95</v>
      </c>
      <c r="AM151" t="s">
        <v>96</v>
      </c>
      <c r="AN151" t="s">
        <v>97</v>
      </c>
      <c r="AO151" t="s">
        <v>98</v>
      </c>
      <c r="AP151" t="s">
        <v>78</v>
      </c>
      <c r="AQ151" t="s">
        <v>99</v>
      </c>
      <c r="AS151" t="s">
        <v>78</v>
      </c>
      <c r="AT151" t="s">
        <v>100</v>
      </c>
      <c r="AU151" t="s">
        <v>100</v>
      </c>
      <c r="AW151" t="s">
        <v>85</v>
      </c>
      <c r="AX151" t="s">
        <v>101</v>
      </c>
      <c r="AY151" t="s">
        <v>102</v>
      </c>
      <c r="AZ151" t="s">
        <v>103</v>
      </c>
      <c r="BA151" t="s">
        <v>120</v>
      </c>
      <c r="BB151" t="s">
        <v>78</v>
      </c>
      <c r="BC151" t="s">
        <v>78</v>
      </c>
      <c r="BE151">
        <v>0</v>
      </c>
      <c r="BF151">
        <v>0</v>
      </c>
      <c r="BG151">
        <v>0</v>
      </c>
      <c r="BH151">
        <v>0</v>
      </c>
      <c r="BJ151" t="s">
        <v>85</v>
      </c>
      <c r="BP151" t="s">
        <v>78</v>
      </c>
      <c r="BQ151" t="s">
        <v>78</v>
      </c>
      <c r="BR151" t="s">
        <v>78</v>
      </c>
    </row>
    <row r="152" customFormat="1" spans="1:70">
      <c r="A152" t="s">
        <v>1254</v>
      </c>
      <c r="B152" t="s">
        <v>1254</v>
      </c>
      <c r="C152" t="s">
        <v>107</v>
      </c>
      <c r="D152" t="s">
        <v>108</v>
      </c>
      <c r="E152">
        <v>1</v>
      </c>
      <c r="F152" t="s">
        <v>109</v>
      </c>
      <c r="G152" t="s">
        <v>110</v>
      </c>
      <c r="H152">
        <v>289</v>
      </c>
      <c r="I152">
        <v>314</v>
      </c>
      <c r="J152">
        <v>25</v>
      </c>
      <c r="K152">
        <v>0</v>
      </c>
      <c r="L152" t="s">
        <v>78</v>
      </c>
      <c r="M152" t="s">
        <v>78</v>
      </c>
      <c r="N152" t="s">
        <v>78</v>
      </c>
      <c r="O152">
        <v>0</v>
      </c>
      <c r="P152">
        <v>0</v>
      </c>
      <c r="Q152">
        <v>0</v>
      </c>
      <c r="R152" t="s">
        <v>125</v>
      </c>
      <c r="S152">
        <v>0</v>
      </c>
      <c r="T152" t="s">
        <v>80</v>
      </c>
      <c r="U152" t="s">
        <v>80</v>
      </c>
      <c r="V152" t="s">
        <v>1255</v>
      </c>
      <c r="W152" t="s">
        <v>1256</v>
      </c>
      <c r="X152" t="s">
        <v>1256</v>
      </c>
      <c r="Y152" t="s">
        <v>1257</v>
      </c>
      <c r="Z152" t="s">
        <v>80</v>
      </c>
      <c r="AA152" t="s">
        <v>85</v>
      </c>
      <c r="AC152" t="s">
        <v>1258</v>
      </c>
      <c r="AD152" t="s">
        <v>87</v>
      </c>
      <c r="AH152" t="s">
        <v>183</v>
      </c>
      <c r="AI152" t="s">
        <v>92</v>
      </c>
      <c r="AJ152" t="s">
        <v>131</v>
      </c>
      <c r="AK152" t="s">
        <v>1259</v>
      </c>
      <c r="AL152" t="s">
        <v>95</v>
      </c>
      <c r="AM152" t="s">
        <v>96</v>
      </c>
      <c r="AN152" t="s">
        <v>97</v>
      </c>
      <c r="AO152" t="s">
        <v>98</v>
      </c>
      <c r="AP152" t="s">
        <v>78</v>
      </c>
      <c r="AQ152" t="s">
        <v>78</v>
      </c>
      <c r="AS152" t="s">
        <v>78</v>
      </c>
      <c r="AT152" t="s">
        <v>100</v>
      </c>
      <c r="AU152" t="s">
        <v>100</v>
      </c>
      <c r="AW152" t="s">
        <v>85</v>
      </c>
      <c r="AX152" t="s">
        <v>103</v>
      </c>
      <c r="AY152" t="s">
        <v>159</v>
      </c>
      <c r="AZ152" t="s">
        <v>103</v>
      </c>
      <c r="BA152" t="s">
        <v>185</v>
      </c>
      <c r="BB152" t="s">
        <v>78</v>
      </c>
      <c r="BC152" t="s">
        <v>78</v>
      </c>
      <c r="BE152">
        <v>0</v>
      </c>
      <c r="BF152">
        <v>0</v>
      </c>
      <c r="BG152">
        <v>0</v>
      </c>
      <c r="BH152">
        <v>0</v>
      </c>
      <c r="BJ152" t="s">
        <v>85</v>
      </c>
      <c r="BP152" t="s">
        <v>78</v>
      </c>
      <c r="BQ152" t="s">
        <v>78</v>
      </c>
      <c r="BR152" t="s">
        <v>78</v>
      </c>
    </row>
    <row r="153" customFormat="1" spans="1:70">
      <c r="A153" t="s">
        <v>1260</v>
      </c>
      <c r="B153" t="s">
        <v>1260</v>
      </c>
      <c r="C153" t="s">
        <v>1126</v>
      </c>
      <c r="D153" t="s">
        <v>1127</v>
      </c>
      <c r="E153">
        <v>1</v>
      </c>
      <c r="F153" t="s">
        <v>1128</v>
      </c>
      <c r="G153" t="s">
        <v>1129</v>
      </c>
      <c r="H153">
        <v>249</v>
      </c>
      <c r="I153">
        <v>249</v>
      </c>
      <c r="J153">
        <v>0</v>
      </c>
      <c r="K153">
        <v>0</v>
      </c>
      <c r="L153" t="s">
        <v>78</v>
      </c>
      <c r="M153" t="s">
        <v>78</v>
      </c>
      <c r="N153" t="s">
        <v>78</v>
      </c>
      <c r="O153">
        <v>0</v>
      </c>
      <c r="P153">
        <v>0</v>
      </c>
      <c r="Q153">
        <v>0</v>
      </c>
      <c r="R153" t="s">
        <v>79</v>
      </c>
      <c r="S153">
        <v>0</v>
      </c>
      <c r="T153" t="s">
        <v>80</v>
      </c>
      <c r="U153" t="s">
        <v>80</v>
      </c>
      <c r="V153" t="s">
        <v>1261</v>
      </c>
      <c r="W153" t="s">
        <v>1262</v>
      </c>
      <c r="X153" t="s">
        <v>1263</v>
      </c>
      <c r="Y153" t="s">
        <v>1264</v>
      </c>
      <c r="Z153" t="s">
        <v>80</v>
      </c>
      <c r="AA153" t="s">
        <v>85</v>
      </c>
      <c r="AC153" t="s">
        <v>1265</v>
      </c>
      <c r="AD153" t="s">
        <v>87</v>
      </c>
      <c r="AF153" t="s">
        <v>1217</v>
      </c>
      <c r="AG153" t="s">
        <v>1266</v>
      </c>
      <c r="AH153" t="s">
        <v>91</v>
      </c>
      <c r="AI153" t="s">
        <v>92</v>
      </c>
      <c r="AJ153" t="s">
        <v>93</v>
      </c>
      <c r="AK153" t="s">
        <v>1267</v>
      </c>
      <c r="AL153" t="s">
        <v>95</v>
      </c>
      <c r="AM153" t="s">
        <v>96</v>
      </c>
      <c r="AN153" t="s">
        <v>97</v>
      </c>
      <c r="AO153" t="s">
        <v>98</v>
      </c>
      <c r="AP153" t="s">
        <v>78</v>
      </c>
      <c r="AQ153" t="s">
        <v>78</v>
      </c>
      <c r="AS153" t="s">
        <v>78</v>
      </c>
      <c r="AT153" t="s">
        <v>100</v>
      </c>
      <c r="AU153" t="s">
        <v>100</v>
      </c>
      <c r="AW153" t="s">
        <v>85</v>
      </c>
      <c r="AX153" t="s">
        <v>101</v>
      </c>
      <c r="AY153" t="s">
        <v>102</v>
      </c>
      <c r="AZ153" t="s">
        <v>103</v>
      </c>
      <c r="BA153" t="s">
        <v>104</v>
      </c>
      <c r="BB153" t="s">
        <v>78</v>
      </c>
      <c r="BC153" t="s">
        <v>78</v>
      </c>
      <c r="BD153" t="s">
        <v>1220</v>
      </c>
      <c r="BE153">
        <v>0</v>
      </c>
      <c r="BF153">
        <v>0</v>
      </c>
      <c r="BG153">
        <v>0</v>
      </c>
      <c r="BH153">
        <v>0</v>
      </c>
      <c r="BJ153" t="s">
        <v>85</v>
      </c>
      <c r="BP153" t="s">
        <v>78</v>
      </c>
      <c r="BQ153" t="s">
        <v>78</v>
      </c>
      <c r="BR153" t="s">
        <v>78</v>
      </c>
    </row>
    <row r="154" customFormat="1" spans="1:70">
      <c r="A154" t="s">
        <v>1268</v>
      </c>
      <c r="B154" t="s">
        <v>1268</v>
      </c>
      <c r="C154" t="s">
        <v>107</v>
      </c>
      <c r="D154" t="s">
        <v>135</v>
      </c>
      <c r="E154">
        <v>1</v>
      </c>
      <c r="F154" t="s">
        <v>109</v>
      </c>
      <c r="G154" t="s">
        <v>136</v>
      </c>
      <c r="H154">
        <v>289</v>
      </c>
      <c r="I154">
        <v>289</v>
      </c>
      <c r="J154">
        <v>0</v>
      </c>
      <c r="K154">
        <v>0</v>
      </c>
      <c r="L154" t="s">
        <v>78</v>
      </c>
      <c r="M154" t="s">
        <v>78</v>
      </c>
      <c r="N154" t="s">
        <v>78</v>
      </c>
      <c r="O154">
        <v>0</v>
      </c>
      <c r="P154">
        <v>0</v>
      </c>
      <c r="Q154">
        <v>0</v>
      </c>
      <c r="R154" t="s">
        <v>111</v>
      </c>
      <c r="S154">
        <v>0</v>
      </c>
      <c r="T154" t="s">
        <v>80</v>
      </c>
      <c r="U154" t="s">
        <v>80</v>
      </c>
      <c r="V154" t="s">
        <v>126</v>
      </c>
      <c r="W154" t="s">
        <v>1269</v>
      </c>
      <c r="X154" t="s">
        <v>1270</v>
      </c>
      <c r="Y154" t="s">
        <v>1271</v>
      </c>
      <c r="Z154" t="s">
        <v>80</v>
      </c>
      <c r="AA154" t="s">
        <v>85</v>
      </c>
      <c r="AC154" t="s">
        <v>1272</v>
      </c>
      <c r="AD154" t="s">
        <v>202</v>
      </c>
      <c r="AE154" t="s">
        <v>1273</v>
      </c>
      <c r="AG154" t="s">
        <v>1274</v>
      </c>
      <c r="AH154" t="s">
        <v>91</v>
      </c>
      <c r="AI154" t="s">
        <v>92</v>
      </c>
      <c r="AJ154" t="s">
        <v>131</v>
      </c>
      <c r="AK154" t="s">
        <v>1275</v>
      </c>
      <c r="AL154" t="s">
        <v>95</v>
      </c>
      <c r="AM154" t="s">
        <v>96</v>
      </c>
      <c r="AN154" t="s">
        <v>97</v>
      </c>
      <c r="AO154" t="s">
        <v>98</v>
      </c>
      <c r="AP154" t="s">
        <v>78</v>
      </c>
      <c r="AQ154" t="s">
        <v>99</v>
      </c>
      <c r="AS154" t="s">
        <v>78</v>
      </c>
      <c r="AT154" t="s">
        <v>100</v>
      </c>
      <c r="AU154" t="s">
        <v>100</v>
      </c>
      <c r="AW154" t="s">
        <v>85</v>
      </c>
      <c r="AX154" t="s">
        <v>101</v>
      </c>
      <c r="AY154" t="s">
        <v>102</v>
      </c>
      <c r="AZ154" t="s">
        <v>103</v>
      </c>
      <c r="BA154" t="s">
        <v>419</v>
      </c>
      <c r="BB154" t="s">
        <v>78</v>
      </c>
      <c r="BC154" t="s">
        <v>78</v>
      </c>
      <c r="BD154" t="s">
        <v>1233</v>
      </c>
      <c r="BE154">
        <v>0</v>
      </c>
      <c r="BF154">
        <v>0</v>
      </c>
      <c r="BG154">
        <v>0</v>
      </c>
      <c r="BH154">
        <v>0</v>
      </c>
      <c r="BJ154" t="s">
        <v>85</v>
      </c>
      <c r="BP154" t="s">
        <v>78</v>
      </c>
      <c r="BQ154" t="s">
        <v>78</v>
      </c>
      <c r="BR154" t="s">
        <v>78</v>
      </c>
    </row>
    <row r="155" customFormat="1" spans="1:70">
      <c r="A155" t="s">
        <v>1276</v>
      </c>
      <c r="B155" t="s">
        <v>1276</v>
      </c>
      <c r="C155" t="s">
        <v>107</v>
      </c>
      <c r="D155" t="s">
        <v>108</v>
      </c>
      <c r="E155">
        <v>1</v>
      </c>
      <c r="F155" t="s">
        <v>109</v>
      </c>
      <c r="G155" t="s">
        <v>110</v>
      </c>
      <c r="H155">
        <v>289</v>
      </c>
      <c r="I155">
        <v>289</v>
      </c>
      <c r="J155">
        <v>0</v>
      </c>
      <c r="K155">
        <v>0</v>
      </c>
      <c r="L155" t="s">
        <v>78</v>
      </c>
      <c r="M155" t="s">
        <v>78</v>
      </c>
      <c r="N155" t="s">
        <v>78</v>
      </c>
      <c r="O155">
        <v>0</v>
      </c>
      <c r="P155">
        <v>0</v>
      </c>
      <c r="Q155">
        <v>0</v>
      </c>
      <c r="R155" t="s">
        <v>111</v>
      </c>
      <c r="S155">
        <v>0</v>
      </c>
      <c r="T155" t="s">
        <v>80</v>
      </c>
      <c r="U155" t="s">
        <v>80</v>
      </c>
      <c r="V155" t="s">
        <v>161</v>
      </c>
      <c r="W155" t="s">
        <v>161</v>
      </c>
      <c r="X155" t="s">
        <v>1277</v>
      </c>
      <c r="Y155" t="s">
        <v>1278</v>
      </c>
      <c r="Z155" t="s">
        <v>80</v>
      </c>
      <c r="AA155" t="s">
        <v>85</v>
      </c>
      <c r="AC155" t="s">
        <v>1279</v>
      </c>
      <c r="AD155" t="s">
        <v>87</v>
      </c>
      <c r="AF155" t="s">
        <v>1280</v>
      </c>
      <c r="AG155" t="s">
        <v>1281</v>
      </c>
      <c r="AH155" t="s">
        <v>91</v>
      </c>
      <c r="AI155" t="s">
        <v>92</v>
      </c>
      <c r="AJ155" t="s">
        <v>93</v>
      </c>
      <c r="AK155" t="s">
        <v>1282</v>
      </c>
      <c r="AL155" t="s">
        <v>95</v>
      </c>
      <c r="AM155" t="s">
        <v>96</v>
      </c>
      <c r="AN155" t="s">
        <v>97</v>
      </c>
      <c r="AO155" t="s">
        <v>98</v>
      </c>
      <c r="AP155" t="s">
        <v>78</v>
      </c>
      <c r="AQ155" t="s">
        <v>78</v>
      </c>
      <c r="AS155" t="s">
        <v>78</v>
      </c>
      <c r="AT155" t="s">
        <v>100</v>
      </c>
      <c r="AU155" t="s">
        <v>100</v>
      </c>
      <c r="AW155" t="s">
        <v>85</v>
      </c>
      <c r="AX155" t="s">
        <v>101</v>
      </c>
      <c r="AY155" t="s">
        <v>102</v>
      </c>
      <c r="AZ155" t="s">
        <v>145</v>
      </c>
      <c r="BA155" t="s">
        <v>146</v>
      </c>
      <c r="BB155" t="s">
        <v>78</v>
      </c>
      <c r="BC155" t="s">
        <v>78</v>
      </c>
      <c r="BD155" t="s">
        <v>1233</v>
      </c>
      <c r="BE155">
        <v>0</v>
      </c>
      <c r="BF155">
        <v>0</v>
      </c>
      <c r="BG155">
        <v>0</v>
      </c>
      <c r="BH155">
        <v>0</v>
      </c>
      <c r="BJ155" t="s">
        <v>85</v>
      </c>
      <c r="BP155" t="s">
        <v>78</v>
      </c>
      <c r="BQ155" t="s">
        <v>78</v>
      </c>
      <c r="BR155" t="s">
        <v>78</v>
      </c>
    </row>
    <row r="156" customFormat="1" spans="1:70">
      <c r="A156" t="s">
        <v>1283</v>
      </c>
      <c r="B156" t="s">
        <v>1283</v>
      </c>
      <c r="C156" t="s">
        <v>107</v>
      </c>
      <c r="D156" t="s">
        <v>123</v>
      </c>
      <c r="E156">
        <v>1</v>
      </c>
      <c r="F156" t="s">
        <v>109</v>
      </c>
      <c r="G156" t="s">
        <v>124</v>
      </c>
      <c r="H156">
        <v>289</v>
      </c>
      <c r="I156">
        <v>289</v>
      </c>
      <c r="J156">
        <v>0</v>
      </c>
      <c r="K156">
        <v>0</v>
      </c>
      <c r="L156" t="s">
        <v>78</v>
      </c>
      <c r="M156" t="s">
        <v>78</v>
      </c>
      <c r="N156" t="s">
        <v>78</v>
      </c>
      <c r="O156">
        <v>0</v>
      </c>
      <c r="P156">
        <v>0</v>
      </c>
      <c r="Q156">
        <v>0</v>
      </c>
      <c r="R156" t="s">
        <v>111</v>
      </c>
      <c r="S156">
        <v>0</v>
      </c>
      <c r="T156" t="s">
        <v>80</v>
      </c>
      <c r="U156" t="s">
        <v>80</v>
      </c>
      <c r="V156" t="s">
        <v>167</v>
      </c>
      <c r="W156" t="s">
        <v>285</v>
      </c>
      <c r="X156" t="s">
        <v>1284</v>
      </c>
      <c r="Y156" t="s">
        <v>78</v>
      </c>
      <c r="Z156" t="s">
        <v>80</v>
      </c>
      <c r="AA156" t="s">
        <v>85</v>
      </c>
      <c r="AC156" t="s">
        <v>1285</v>
      </c>
      <c r="AD156" t="s">
        <v>87</v>
      </c>
      <c r="AF156" t="s">
        <v>1286</v>
      </c>
      <c r="AG156" t="s">
        <v>1287</v>
      </c>
      <c r="AH156" t="s">
        <v>91</v>
      </c>
      <c r="AI156" t="s">
        <v>92</v>
      </c>
      <c r="AJ156" t="s">
        <v>93</v>
      </c>
      <c r="AK156" t="s">
        <v>1288</v>
      </c>
      <c r="AL156" t="s">
        <v>95</v>
      </c>
      <c r="AM156" t="s">
        <v>96</v>
      </c>
      <c r="AN156" t="s">
        <v>97</v>
      </c>
      <c r="AO156" t="s">
        <v>98</v>
      </c>
      <c r="AP156" t="s">
        <v>78</v>
      </c>
      <c r="AQ156" t="s">
        <v>78</v>
      </c>
      <c r="AS156" t="s">
        <v>78</v>
      </c>
      <c r="AT156" t="s">
        <v>100</v>
      </c>
      <c r="AU156" t="s">
        <v>100</v>
      </c>
      <c r="AW156" t="s">
        <v>85</v>
      </c>
      <c r="AX156" t="s">
        <v>101</v>
      </c>
      <c r="AY156" t="s">
        <v>102</v>
      </c>
      <c r="AZ156" t="s">
        <v>103</v>
      </c>
      <c r="BA156" t="s">
        <v>133</v>
      </c>
      <c r="BB156" t="s">
        <v>78</v>
      </c>
      <c r="BC156" t="s">
        <v>78</v>
      </c>
      <c r="BD156" t="s">
        <v>1289</v>
      </c>
      <c r="BE156">
        <v>0</v>
      </c>
      <c r="BF156">
        <v>0</v>
      </c>
      <c r="BG156">
        <v>0</v>
      </c>
      <c r="BH156">
        <v>0</v>
      </c>
      <c r="BJ156" t="s">
        <v>85</v>
      </c>
      <c r="BP156" t="s">
        <v>78</v>
      </c>
      <c r="BQ156" t="s">
        <v>78</v>
      </c>
      <c r="BR156" t="s">
        <v>78</v>
      </c>
    </row>
    <row r="157" customFormat="1" spans="1:70">
      <c r="A157" t="s">
        <v>1290</v>
      </c>
      <c r="B157" t="s">
        <v>1290</v>
      </c>
      <c r="C157" t="s">
        <v>107</v>
      </c>
      <c r="D157" t="s">
        <v>108</v>
      </c>
      <c r="E157">
        <v>1</v>
      </c>
      <c r="F157" t="s">
        <v>109</v>
      </c>
      <c r="G157" t="s">
        <v>110</v>
      </c>
      <c r="H157">
        <v>289</v>
      </c>
      <c r="I157">
        <v>289</v>
      </c>
      <c r="J157">
        <v>0</v>
      </c>
      <c r="K157">
        <v>0</v>
      </c>
      <c r="L157" t="s">
        <v>78</v>
      </c>
      <c r="M157" t="s">
        <v>78</v>
      </c>
      <c r="N157" t="s">
        <v>78</v>
      </c>
      <c r="O157">
        <v>0</v>
      </c>
      <c r="P157">
        <v>0</v>
      </c>
      <c r="Q157">
        <v>0</v>
      </c>
      <c r="R157" t="s">
        <v>125</v>
      </c>
      <c r="S157">
        <v>0</v>
      </c>
      <c r="T157" t="s">
        <v>80</v>
      </c>
      <c r="U157" t="s">
        <v>80</v>
      </c>
      <c r="V157" t="s">
        <v>126</v>
      </c>
      <c r="W157" t="s">
        <v>377</v>
      </c>
      <c r="X157" t="s">
        <v>378</v>
      </c>
      <c r="Y157" t="s">
        <v>379</v>
      </c>
      <c r="Z157" t="s">
        <v>80</v>
      </c>
      <c r="AA157" t="s">
        <v>85</v>
      </c>
      <c r="AC157" t="s">
        <v>1291</v>
      </c>
      <c r="AD157" t="s">
        <v>87</v>
      </c>
      <c r="AH157" t="s">
        <v>298</v>
      </c>
      <c r="AI157" t="s">
        <v>92</v>
      </c>
      <c r="AJ157" t="s">
        <v>131</v>
      </c>
      <c r="AK157" t="s">
        <v>1292</v>
      </c>
      <c r="AL157" t="s">
        <v>95</v>
      </c>
      <c r="AM157" t="s">
        <v>96</v>
      </c>
      <c r="AN157" t="s">
        <v>97</v>
      </c>
      <c r="AO157" t="s">
        <v>98</v>
      </c>
      <c r="AP157" t="s">
        <v>78</v>
      </c>
      <c r="AQ157" t="s">
        <v>78</v>
      </c>
      <c r="AR157" t="s">
        <v>195</v>
      </c>
      <c r="AS157" t="s">
        <v>78</v>
      </c>
      <c r="AT157" t="s">
        <v>100</v>
      </c>
      <c r="AU157" t="s">
        <v>100</v>
      </c>
      <c r="AW157" t="s">
        <v>85</v>
      </c>
      <c r="AX157" t="s">
        <v>103</v>
      </c>
      <c r="AY157" t="s">
        <v>159</v>
      </c>
      <c r="AZ157" t="s">
        <v>103</v>
      </c>
      <c r="BA157" t="s">
        <v>104</v>
      </c>
      <c r="BB157" t="s">
        <v>78</v>
      </c>
      <c r="BC157" t="s">
        <v>78</v>
      </c>
      <c r="BE157">
        <v>0</v>
      </c>
      <c r="BF157">
        <v>0</v>
      </c>
      <c r="BG157">
        <v>0</v>
      </c>
      <c r="BH157">
        <v>0</v>
      </c>
      <c r="BJ157" t="s">
        <v>85</v>
      </c>
      <c r="BP157" t="s">
        <v>78</v>
      </c>
      <c r="BQ157" t="s">
        <v>78</v>
      </c>
      <c r="BR157" t="s">
        <v>78</v>
      </c>
    </row>
    <row r="158" customFormat="1" spans="1:70">
      <c r="A158" t="s">
        <v>1293</v>
      </c>
      <c r="B158" t="s">
        <v>1293</v>
      </c>
      <c r="C158" t="s">
        <v>107</v>
      </c>
      <c r="D158" t="s">
        <v>108</v>
      </c>
      <c r="E158">
        <v>1</v>
      </c>
      <c r="F158" t="s">
        <v>109</v>
      </c>
      <c r="G158" t="s">
        <v>110</v>
      </c>
      <c r="H158">
        <v>289</v>
      </c>
      <c r="I158">
        <v>289</v>
      </c>
      <c r="J158">
        <v>0</v>
      </c>
      <c r="K158">
        <v>0</v>
      </c>
      <c r="L158" t="s">
        <v>78</v>
      </c>
      <c r="M158" t="s">
        <v>78</v>
      </c>
      <c r="N158" t="s">
        <v>78</v>
      </c>
      <c r="O158">
        <v>0</v>
      </c>
      <c r="P158">
        <v>0</v>
      </c>
      <c r="Q158">
        <v>0</v>
      </c>
      <c r="R158" t="s">
        <v>125</v>
      </c>
      <c r="S158">
        <v>0</v>
      </c>
      <c r="T158" t="s">
        <v>80</v>
      </c>
      <c r="U158" t="s">
        <v>80</v>
      </c>
      <c r="V158" t="s">
        <v>347</v>
      </c>
      <c r="W158" t="s">
        <v>901</v>
      </c>
      <c r="X158" t="s">
        <v>902</v>
      </c>
      <c r="Y158" t="s">
        <v>78</v>
      </c>
      <c r="Z158" t="s">
        <v>80</v>
      </c>
      <c r="AA158" t="s">
        <v>85</v>
      </c>
      <c r="AC158" t="s">
        <v>1294</v>
      </c>
      <c r="AD158" t="s">
        <v>87</v>
      </c>
      <c r="AH158" t="s">
        <v>401</v>
      </c>
      <c r="AI158" t="s">
        <v>92</v>
      </c>
      <c r="AJ158" t="s">
        <v>131</v>
      </c>
      <c r="AK158" t="s">
        <v>1295</v>
      </c>
      <c r="AL158" t="s">
        <v>95</v>
      </c>
      <c r="AM158" t="s">
        <v>96</v>
      </c>
      <c r="AN158" t="s">
        <v>97</v>
      </c>
      <c r="AO158" t="s">
        <v>98</v>
      </c>
      <c r="AP158" t="s">
        <v>78</v>
      </c>
      <c r="AQ158" t="s">
        <v>78</v>
      </c>
      <c r="AR158" t="s">
        <v>353</v>
      </c>
      <c r="AS158" t="s">
        <v>78</v>
      </c>
      <c r="AT158" t="s">
        <v>100</v>
      </c>
      <c r="AU158" t="s">
        <v>100</v>
      </c>
      <c r="AW158" t="s">
        <v>85</v>
      </c>
      <c r="AX158" t="s">
        <v>103</v>
      </c>
      <c r="AY158" t="s">
        <v>159</v>
      </c>
      <c r="AZ158" t="s">
        <v>103</v>
      </c>
      <c r="BA158" t="s">
        <v>102</v>
      </c>
      <c r="BB158" t="s">
        <v>78</v>
      </c>
      <c r="BC158" t="s">
        <v>78</v>
      </c>
      <c r="BE158">
        <v>0</v>
      </c>
      <c r="BF158">
        <v>0</v>
      </c>
      <c r="BG158">
        <v>0</v>
      </c>
      <c r="BH158">
        <v>0</v>
      </c>
      <c r="BJ158" t="s">
        <v>85</v>
      </c>
      <c r="BP158" t="s">
        <v>78</v>
      </c>
      <c r="BQ158" t="s">
        <v>78</v>
      </c>
      <c r="BR158" t="s">
        <v>78</v>
      </c>
    </row>
    <row r="159" customFormat="1" spans="1:70">
      <c r="A159" t="s">
        <v>1296</v>
      </c>
      <c r="B159" t="s">
        <v>1296</v>
      </c>
      <c r="C159" t="s">
        <v>107</v>
      </c>
      <c r="D159" t="s">
        <v>108</v>
      </c>
      <c r="E159">
        <v>1</v>
      </c>
      <c r="F159" t="s">
        <v>109</v>
      </c>
      <c r="G159" t="s">
        <v>110</v>
      </c>
      <c r="H159">
        <v>289</v>
      </c>
      <c r="I159">
        <v>289</v>
      </c>
      <c r="J159">
        <v>0</v>
      </c>
      <c r="K159">
        <v>0</v>
      </c>
      <c r="L159" t="s">
        <v>78</v>
      </c>
      <c r="M159" t="s">
        <v>78</v>
      </c>
      <c r="N159" t="s">
        <v>78</v>
      </c>
      <c r="O159">
        <v>0</v>
      </c>
      <c r="P159">
        <v>0</v>
      </c>
      <c r="Q159">
        <v>0</v>
      </c>
      <c r="R159" t="s">
        <v>125</v>
      </c>
      <c r="S159">
        <v>0</v>
      </c>
      <c r="T159" t="s">
        <v>80</v>
      </c>
      <c r="U159" t="s">
        <v>80</v>
      </c>
      <c r="V159" t="s">
        <v>161</v>
      </c>
      <c r="W159" t="s">
        <v>161</v>
      </c>
      <c r="X159" t="s">
        <v>1297</v>
      </c>
      <c r="Y159" t="s">
        <v>1298</v>
      </c>
      <c r="Z159" t="s">
        <v>80</v>
      </c>
      <c r="AA159" t="s">
        <v>85</v>
      </c>
      <c r="AC159" t="s">
        <v>1299</v>
      </c>
      <c r="AD159" t="s">
        <v>87</v>
      </c>
      <c r="AH159" t="s">
        <v>91</v>
      </c>
      <c r="AI159" t="s">
        <v>92</v>
      </c>
      <c r="AJ159" t="s">
        <v>131</v>
      </c>
      <c r="AK159" t="s">
        <v>1300</v>
      </c>
      <c r="AL159" t="s">
        <v>95</v>
      </c>
      <c r="AM159" t="s">
        <v>96</v>
      </c>
      <c r="AN159" t="s">
        <v>97</v>
      </c>
      <c r="AO159" t="s">
        <v>98</v>
      </c>
      <c r="AP159" t="s">
        <v>78</v>
      </c>
      <c r="AQ159" t="s">
        <v>78</v>
      </c>
      <c r="AR159" t="s">
        <v>353</v>
      </c>
      <c r="AS159" t="s">
        <v>78</v>
      </c>
      <c r="AT159" t="s">
        <v>100</v>
      </c>
      <c r="AU159" t="s">
        <v>100</v>
      </c>
      <c r="AW159" t="s">
        <v>85</v>
      </c>
      <c r="AX159" t="s">
        <v>103</v>
      </c>
      <c r="AY159" t="s">
        <v>159</v>
      </c>
      <c r="AZ159" t="s">
        <v>103</v>
      </c>
      <c r="BA159" t="s">
        <v>419</v>
      </c>
      <c r="BB159" t="s">
        <v>78</v>
      </c>
      <c r="BC159" t="s">
        <v>78</v>
      </c>
      <c r="BE159">
        <v>0</v>
      </c>
      <c r="BF159">
        <v>0</v>
      </c>
      <c r="BG159">
        <v>0</v>
      </c>
      <c r="BH159">
        <v>0</v>
      </c>
      <c r="BJ159" t="s">
        <v>85</v>
      </c>
      <c r="BP159" t="s">
        <v>78</v>
      </c>
      <c r="BQ159" t="s">
        <v>78</v>
      </c>
      <c r="BR159" t="s">
        <v>78</v>
      </c>
    </row>
    <row r="160" customFormat="1" spans="1:70">
      <c r="A160" t="s">
        <v>1301</v>
      </c>
      <c r="B160" t="s">
        <v>1301</v>
      </c>
      <c r="C160" t="s">
        <v>107</v>
      </c>
      <c r="D160" t="s">
        <v>108</v>
      </c>
      <c r="E160">
        <v>1</v>
      </c>
      <c r="F160" t="s">
        <v>109</v>
      </c>
      <c r="G160" t="s">
        <v>110</v>
      </c>
      <c r="H160">
        <v>289</v>
      </c>
      <c r="I160">
        <v>289</v>
      </c>
      <c r="J160">
        <v>0</v>
      </c>
      <c r="K160">
        <v>0</v>
      </c>
      <c r="L160" t="s">
        <v>78</v>
      </c>
      <c r="M160" t="s">
        <v>78</v>
      </c>
      <c r="N160" t="s">
        <v>78</v>
      </c>
      <c r="O160">
        <v>0</v>
      </c>
      <c r="P160">
        <v>0</v>
      </c>
      <c r="Q160">
        <v>0</v>
      </c>
      <c r="R160" t="s">
        <v>111</v>
      </c>
      <c r="S160">
        <v>0</v>
      </c>
      <c r="T160" t="s">
        <v>80</v>
      </c>
      <c r="U160" t="s">
        <v>80</v>
      </c>
      <c r="V160" t="s">
        <v>178</v>
      </c>
      <c r="W160" t="s">
        <v>178</v>
      </c>
      <c r="X160" t="s">
        <v>1302</v>
      </c>
      <c r="Y160" t="s">
        <v>1303</v>
      </c>
      <c r="Z160" t="s">
        <v>80</v>
      </c>
      <c r="AA160" t="s">
        <v>85</v>
      </c>
      <c r="AC160" t="s">
        <v>1304</v>
      </c>
      <c r="AD160" t="s">
        <v>87</v>
      </c>
      <c r="AH160" t="s">
        <v>1305</v>
      </c>
      <c r="AI160" t="s">
        <v>92</v>
      </c>
      <c r="AJ160" t="s">
        <v>131</v>
      </c>
      <c r="AK160" t="s">
        <v>1306</v>
      </c>
      <c r="AL160" t="s">
        <v>95</v>
      </c>
      <c r="AM160" t="s">
        <v>96</v>
      </c>
      <c r="AN160" t="s">
        <v>97</v>
      </c>
      <c r="AO160" t="s">
        <v>98</v>
      </c>
      <c r="AP160" t="s">
        <v>78</v>
      </c>
      <c r="AQ160" t="s">
        <v>78</v>
      </c>
      <c r="AR160" t="s">
        <v>353</v>
      </c>
      <c r="AS160" t="s">
        <v>78</v>
      </c>
      <c r="AT160" t="s">
        <v>100</v>
      </c>
      <c r="AU160" t="s">
        <v>100</v>
      </c>
      <c r="AW160" t="s">
        <v>85</v>
      </c>
      <c r="AX160" t="s">
        <v>103</v>
      </c>
      <c r="AY160" t="s">
        <v>159</v>
      </c>
      <c r="AZ160" t="s">
        <v>103</v>
      </c>
      <c r="BA160" t="s">
        <v>102</v>
      </c>
      <c r="BB160" t="s">
        <v>78</v>
      </c>
      <c r="BC160" t="s">
        <v>78</v>
      </c>
      <c r="BE160">
        <v>0</v>
      </c>
      <c r="BF160">
        <v>0</v>
      </c>
      <c r="BG160">
        <v>0</v>
      </c>
      <c r="BH160">
        <v>0</v>
      </c>
      <c r="BJ160" t="s">
        <v>85</v>
      </c>
      <c r="BP160" t="s">
        <v>78</v>
      </c>
      <c r="BQ160" t="s">
        <v>78</v>
      </c>
      <c r="BR160" t="s">
        <v>78</v>
      </c>
    </row>
    <row r="161" customFormat="1" spans="1:70">
      <c r="A161" t="s">
        <v>1307</v>
      </c>
      <c r="B161" t="s">
        <v>1307</v>
      </c>
      <c r="C161" t="s">
        <v>107</v>
      </c>
      <c r="D161" t="s">
        <v>108</v>
      </c>
      <c r="E161">
        <v>1</v>
      </c>
      <c r="F161" t="s">
        <v>109</v>
      </c>
      <c r="G161" t="s">
        <v>110</v>
      </c>
      <c r="H161">
        <v>289</v>
      </c>
      <c r="I161">
        <v>289</v>
      </c>
      <c r="J161">
        <v>0</v>
      </c>
      <c r="K161">
        <v>0</v>
      </c>
      <c r="L161" t="s">
        <v>78</v>
      </c>
      <c r="M161" t="s">
        <v>78</v>
      </c>
      <c r="N161" t="s">
        <v>78</v>
      </c>
      <c r="O161">
        <v>0</v>
      </c>
      <c r="P161">
        <v>0</v>
      </c>
      <c r="Q161">
        <v>0</v>
      </c>
      <c r="R161" t="s">
        <v>125</v>
      </c>
      <c r="S161">
        <v>0</v>
      </c>
      <c r="T161" t="s">
        <v>80</v>
      </c>
      <c r="U161" t="s">
        <v>80</v>
      </c>
      <c r="V161" t="s">
        <v>126</v>
      </c>
      <c r="W161" t="s">
        <v>1308</v>
      </c>
      <c r="X161" t="s">
        <v>519</v>
      </c>
      <c r="Y161" t="s">
        <v>1309</v>
      </c>
      <c r="Z161" t="s">
        <v>80</v>
      </c>
      <c r="AA161" t="s">
        <v>85</v>
      </c>
      <c r="AC161" t="s">
        <v>1310</v>
      </c>
      <c r="AD161" t="s">
        <v>87</v>
      </c>
      <c r="AH161" t="s">
        <v>401</v>
      </c>
      <c r="AI161" t="s">
        <v>92</v>
      </c>
      <c r="AJ161" t="s">
        <v>131</v>
      </c>
      <c r="AK161" t="s">
        <v>1311</v>
      </c>
      <c r="AL161" t="s">
        <v>95</v>
      </c>
      <c r="AM161" t="s">
        <v>96</v>
      </c>
      <c r="AN161" t="s">
        <v>97</v>
      </c>
      <c r="AO161" t="s">
        <v>98</v>
      </c>
      <c r="AP161" t="s">
        <v>78</v>
      </c>
      <c r="AQ161" t="s">
        <v>78</v>
      </c>
      <c r="AR161" t="s">
        <v>353</v>
      </c>
      <c r="AS161" t="s">
        <v>78</v>
      </c>
      <c r="AT161" t="s">
        <v>100</v>
      </c>
      <c r="AU161" t="s">
        <v>100</v>
      </c>
      <c r="AW161" t="s">
        <v>85</v>
      </c>
      <c r="AX161" t="s">
        <v>103</v>
      </c>
      <c r="AY161" t="s">
        <v>159</v>
      </c>
      <c r="AZ161" t="s">
        <v>103</v>
      </c>
      <c r="BA161" t="s">
        <v>102</v>
      </c>
      <c r="BB161" t="s">
        <v>78</v>
      </c>
      <c r="BC161" t="s">
        <v>78</v>
      </c>
      <c r="BE161">
        <v>0</v>
      </c>
      <c r="BF161">
        <v>0</v>
      </c>
      <c r="BG161">
        <v>0</v>
      </c>
      <c r="BH161">
        <v>0</v>
      </c>
      <c r="BJ161" t="s">
        <v>85</v>
      </c>
      <c r="BP161" t="s">
        <v>78</v>
      </c>
      <c r="BQ161" t="s">
        <v>78</v>
      </c>
      <c r="BR161" t="s">
        <v>78</v>
      </c>
    </row>
    <row r="162" customFormat="1" spans="1:70">
      <c r="A162" t="s">
        <v>1312</v>
      </c>
      <c r="B162" t="s">
        <v>1312</v>
      </c>
      <c r="C162" t="s">
        <v>107</v>
      </c>
      <c r="D162" t="s">
        <v>108</v>
      </c>
      <c r="E162">
        <v>1</v>
      </c>
      <c r="F162" t="s">
        <v>109</v>
      </c>
      <c r="G162" t="s">
        <v>110</v>
      </c>
      <c r="H162">
        <v>289</v>
      </c>
      <c r="I162">
        <v>289</v>
      </c>
      <c r="J162">
        <v>0</v>
      </c>
      <c r="K162">
        <v>0</v>
      </c>
      <c r="L162" t="s">
        <v>78</v>
      </c>
      <c r="M162" t="s">
        <v>78</v>
      </c>
      <c r="N162" t="s">
        <v>78</v>
      </c>
      <c r="O162">
        <v>0</v>
      </c>
      <c r="P162">
        <v>0</v>
      </c>
      <c r="Q162">
        <v>0</v>
      </c>
      <c r="R162" t="s">
        <v>111</v>
      </c>
      <c r="S162">
        <v>0</v>
      </c>
      <c r="T162" t="s">
        <v>80</v>
      </c>
      <c r="U162" t="s">
        <v>80</v>
      </c>
      <c r="V162" t="s">
        <v>167</v>
      </c>
      <c r="W162" t="s">
        <v>1313</v>
      </c>
      <c r="X162" t="s">
        <v>1314</v>
      </c>
      <c r="Y162" t="s">
        <v>1315</v>
      </c>
      <c r="Z162" t="s">
        <v>80</v>
      </c>
      <c r="AA162" t="s">
        <v>85</v>
      </c>
      <c r="AC162" t="s">
        <v>1316</v>
      </c>
      <c r="AD162" t="s">
        <v>87</v>
      </c>
      <c r="AF162" t="s">
        <v>1317</v>
      </c>
      <c r="AG162" t="s">
        <v>1318</v>
      </c>
      <c r="AH162" t="s">
        <v>91</v>
      </c>
      <c r="AI162" t="s">
        <v>92</v>
      </c>
      <c r="AJ162" t="s">
        <v>93</v>
      </c>
      <c r="AK162" t="s">
        <v>1319</v>
      </c>
      <c r="AL162" t="s">
        <v>95</v>
      </c>
      <c r="AM162" t="s">
        <v>96</v>
      </c>
      <c r="AN162" t="s">
        <v>97</v>
      </c>
      <c r="AO162" t="s">
        <v>98</v>
      </c>
      <c r="AP162" t="s">
        <v>78</v>
      </c>
      <c r="AQ162" t="s">
        <v>78</v>
      </c>
      <c r="AS162" t="s">
        <v>78</v>
      </c>
      <c r="AT162" t="s">
        <v>100</v>
      </c>
      <c r="AU162" t="s">
        <v>100</v>
      </c>
      <c r="AW162" t="s">
        <v>85</v>
      </c>
      <c r="AX162" t="s">
        <v>101</v>
      </c>
      <c r="AY162" t="s">
        <v>102</v>
      </c>
      <c r="AZ162" t="s">
        <v>103</v>
      </c>
      <c r="BA162" t="s">
        <v>133</v>
      </c>
      <c r="BB162" t="s">
        <v>78</v>
      </c>
      <c r="BC162" t="s">
        <v>78</v>
      </c>
      <c r="BD162" t="s">
        <v>705</v>
      </c>
      <c r="BE162">
        <v>0</v>
      </c>
      <c r="BF162">
        <v>0</v>
      </c>
      <c r="BG162">
        <v>0</v>
      </c>
      <c r="BH162">
        <v>0</v>
      </c>
      <c r="BJ162" t="s">
        <v>85</v>
      </c>
      <c r="BP162" t="s">
        <v>78</v>
      </c>
      <c r="BQ162" t="s">
        <v>78</v>
      </c>
      <c r="BR162" t="s">
        <v>78</v>
      </c>
    </row>
    <row r="163" customFormat="1" spans="1:70">
      <c r="A163" t="s">
        <v>1320</v>
      </c>
      <c r="B163" t="s">
        <v>1320</v>
      </c>
      <c r="C163" t="s">
        <v>107</v>
      </c>
      <c r="D163" t="s">
        <v>135</v>
      </c>
      <c r="E163">
        <v>1</v>
      </c>
      <c r="F163" t="s">
        <v>109</v>
      </c>
      <c r="G163" t="s">
        <v>136</v>
      </c>
      <c r="H163">
        <v>289</v>
      </c>
      <c r="I163">
        <v>289</v>
      </c>
      <c r="J163">
        <v>0</v>
      </c>
      <c r="K163">
        <v>0</v>
      </c>
      <c r="L163" t="s">
        <v>78</v>
      </c>
      <c r="M163" t="s">
        <v>78</v>
      </c>
      <c r="N163" t="s">
        <v>78</v>
      </c>
      <c r="O163">
        <v>0</v>
      </c>
      <c r="P163">
        <v>0</v>
      </c>
      <c r="Q163">
        <v>0</v>
      </c>
      <c r="R163" t="s">
        <v>125</v>
      </c>
      <c r="S163">
        <v>0</v>
      </c>
      <c r="T163" t="s">
        <v>80</v>
      </c>
      <c r="U163" t="s">
        <v>80</v>
      </c>
      <c r="V163" t="s">
        <v>81</v>
      </c>
      <c r="W163" t="s">
        <v>1321</v>
      </c>
      <c r="X163" t="s">
        <v>1322</v>
      </c>
      <c r="Y163" t="s">
        <v>1323</v>
      </c>
      <c r="Z163" t="s">
        <v>80</v>
      </c>
      <c r="AA163" t="s">
        <v>85</v>
      </c>
      <c r="AC163" t="s">
        <v>1324</v>
      </c>
      <c r="AD163" t="s">
        <v>87</v>
      </c>
      <c r="AH163" t="s">
        <v>183</v>
      </c>
      <c r="AI163" t="s">
        <v>92</v>
      </c>
      <c r="AJ163" t="s">
        <v>131</v>
      </c>
      <c r="AK163" t="s">
        <v>1325</v>
      </c>
      <c r="AL163" t="s">
        <v>95</v>
      </c>
      <c r="AM163" t="s">
        <v>96</v>
      </c>
      <c r="AN163" t="s">
        <v>97</v>
      </c>
      <c r="AO163" t="s">
        <v>98</v>
      </c>
      <c r="AP163" t="s">
        <v>78</v>
      </c>
      <c r="AQ163" t="s">
        <v>78</v>
      </c>
      <c r="AR163" t="s">
        <v>353</v>
      </c>
      <c r="AS163" t="s">
        <v>78</v>
      </c>
      <c r="AT163" t="s">
        <v>100</v>
      </c>
      <c r="AU163" t="s">
        <v>100</v>
      </c>
      <c r="AW163" t="s">
        <v>85</v>
      </c>
      <c r="AX163" t="s">
        <v>103</v>
      </c>
      <c r="AY163" t="s">
        <v>159</v>
      </c>
      <c r="AZ163" t="s">
        <v>103</v>
      </c>
      <c r="BA163" t="s">
        <v>185</v>
      </c>
      <c r="BB163" t="s">
        <v>78</v>
      </c>
      <c r="BC163" t="s">
        <v>78</v>
      </c>
      <c r="BE163">
        <v>0</v>
      </c>
      <c r="BF163">
        <v>0</v>
      </c>
      <c r="BG163">
        <v>0</v>
      </c>
      <c r="BH163">
        <v>0</v>
      </c>
      <c r="BJ163" t="s">
        <v>85</v>
      </c>
      <c r="BP163" t="s">
        <v>78</v>
      </c>
      <c r="BQ163" t="s">
        <v>78</v>
      </c>
      <c r="BR163" t="s">
        <v>78</v>
      </c>
    </row>
    <row r="164" customFormat="1" spans="1:70">
      <c r="A164" t="s">
        <v>1326</v>
      </c>
      <c r="B164" t="s">
        <v>1326</v>
      </c>
      <c r="C164" t="s">
        <v>107</v>
      </c>
      <c r="D164" t="s">
        <v>135</v>
      </c>
      <c r="E164">
        <v>1</v>
      </c>
      <c r="F164" t="s">
        <v>109</v>
      </c>
      <c r="G164" t="s">
        <v>136</v>
      </c>
      <c r="H164">
        <v>289</v>
      </c>
      <c r="I164">
        <v>279</v>
      </c>
      <c r="J164">
        <v>0</v>
      </c>
      <c r="K164">
        <v>10</v>
      </c>
      <c r="L164" t="s">
        <v>1010</v>
      </c>
      <c r="M164" t="s">
        <v>78</v>
      </c>
      <c r="N164" t="s">
        <v>78</v>
      </c>
      <c r="O164">
        <v>0</v>
      </c>
      <c r="P164">
        <v>0</v>
      </c>
      <c r="Q164">
        <v>0</v>
      </c>
      <c r="R164" t="s">
        <v>79</v>
      </c>
      <c r="S164">
        <v>0</v>
      </c>
      <c r="T164" t="s">
        <v>80</v>
      </c>
      <c r="U164" t="s">
        <v>80</v>
      </c>
      <c r="V164" t="s">
        <v>112</v>
      </c>
      <c r="W164" t="s">
        <v>1207</v>
      </c>
      <c r="X164" t="s">
        <v>1207</v>
      </c>
      <c r="Y164" t="s">
        <v>1208</v>
      </c>
      <c r="Z164" t="s">
        <v>80</v>
      </c>
      <c r="AA164" t="s">
        <v>85</v>
      </c>
      <c r="AC164" t="s">
        <v>1327</v>
      </c>
      <c r="AD164" t="s">
        <v>202</v>
      </c>
      <c r="AE164" t="s">
        <v>1328</v>
      </c>
      <c r="AG164" t="s">
        <v>1329</v>
      </c>
      <c r="AH164" t="s">
        <v>91</v>
      </c>
      <c r="AI164" t="s">
        <v>92</v>
      </c>
      <c r="AJ164" t="s">
        <v>131</v>
      </c>
      <c r="AK164" t="s">
        <v>1330</v>
      </c>
      <c r="AL164" t="s">
        <v>95</v>
      </c>
      <c r="AM164" t="s">
        <v>96</v>
      </c>
      <c r="AN164" t="s">
        <v>97</v>
      </c>
      <c r="AO164" t="s">
        <v>98</v>
      </c>
      <c r="AP164" t="s">
        <v>78</v>
      </c>
      <c r="AQ164" t="s">
        <v>99</v>
      </c>
      <c r="AS164" t="s">
        <v>78</v>
      </c>
      <c r="AT164" t="s">
        <v>100</v>
      </c>
      <c r="AU164" t="s">
        <v>100</v>
      </c>
      <c r="AW164" t="s">
        <v>85</v>
      </c>
      <c r="AX164" t="s">
        <v>103</v>
      </c>
      <c r="AY164" t="s">
        <v>159</v>
      </c>
      <c r="AZ164" t="s">
        <v>103</v>
      </c>
      <c r="BA164" t="s">
        <v>104</v>
      </c>
      <c r="BB164" t="s">
        <v>78</v>
      </c>
      <c r="BC164" t="s">
        <v>78</v>
      </c>
      <c r="BD164" t="s">
        <v>1233</v>
      </c>
      <c r="BE164">
        <v>0</v>
      </c>
      <c r="BF164">
        <v>10</v>
      </c>
      <c r="BG164">
        <v>0</v>
      </c>
      <c r="BH164">
        <v>0</v>
      </c>
      <c r="BJ164" t="s">
        <v>85</v>
      </c>
      <c r="BP164" t="s">
        <v>78</v>
      </c>
      <c r="BQ164" t="s">
        <v>78</v>
      </c>
      <c r="BR164" t="s">
        <v>78</v>
      </c>
    </row>
    <row r="165" customFormat="1" spans="1:70">
      <c r="A165" t="s">
        <v>1331</v>
      </c>
      <c r="B165" t="s">
        <v>1331</v>
      </c>
      <c r="C165" t="s">
        <v>107</v>
      </c>
      <c r="D165" t="s">
        <v>108</v>
      </c>
      <c r="E165">
        <v>1</v>
      </c>
      <c r="F165" t="s">
        <v>109</v>
      </c>
      <c r="G165" t="s">
        <v>110</v>
      </c>
      <c r="H165">
        <v>289</v>
      </c>
      <c r="I165">
        <v>289</v>
      </c>
      <c r="J165">
        <v>0</v>
      </c>
      <c r="K165">
        <v>0</v>
      </c>
      <c r="L165" t="s">
        <v>78</v>
      </c>
      <c r="M165" t="s">
        <v>78</v>
      </c>
      <c r="N165" t="s">
        <v>78</v>
      </c>
      <c r="O165">
        <v>0</v>
      </c>
      <c r="P165">
        <v>0</v>
      </c>
      <c r="Q165">
        <v>0</v>
      </c>
      <c r="R165" t="s">
        <v>125</v>
      </c>
      <c r="S165">
        <v>0</v>
      </c>
      <c r="T165" t="s">
        <v>80</v>
      </c>
      <c r="U165" t="s">
        <v>80</v>
      </c>
      <c r="V165" t="s">
        <v>178</v>
      </c>
      <c r="W165" t="s">
        <v>178</v>
      </c>
      <c r="X165" t="s">
        <v>1332</v>
      </c>
      <c r="Y165" t="s">
        <v>1333</v>
      </c>
      <c r="Z165" t="s">
        <v>80</v>
      </c>
      <c r="AA165" t="s">
        <v>85</v>
      </c>
      <c r="AC165" t="s">
        <v>1334</v>
      </c>
      <c r="AD165" t="s">
        <v>87</v>
      </c>
      <c r="AH165" t="s">
        <v>401</v>
      </c>
      <c r="AI165" t="s">
        <v>92</v>
      </c>
      <c r="AJ165" t="s">
        <v>131</v>
      </c>
      <c r="AK165" t="s">
        <v>1335</v>
      </c>
      <c r="AL165" t="s">
        <v>95</v>
      </c>
      <c r="AM165" t="s">
        <v>96</v>
      </c>
      <c r="AN165" t="s">
        <v>97</v>
      </c>
      <c r="AO165" t="s">
        <v>98</v>
      </c>
      <c r="AP165" t="s">
        <v>78</v>
      </c>
      <c r="AQ165" t="s">
        <v>78</v>
      </c>
      <c r="AR165" t="s">
        <v>353</v>
      </c>
      <c r="AS165" t="s">
        <v>78</v>
      </c>
      <c r="AT165" t="s">
        <v>100</v>
      </c>
      <c r="AU165" t="s">
        <v>100</v>
      </c>
      <c r="AW165" t="s">
        <v>85</v>
      </c>
      <c r="AX165" t="s">
        <v>103</v>
      </c>
      <c r="AY165" t="s">
        <v>159</v>
      </c>
      <c r="AZ165" t="s">
        <v>103</v>
      </c>
      <c r="BA165" t="s">
        <v>102</v>
      </c>
      <c r="BB165" t="s">
        <v>78</v>
      </c>
      <c r="BC165" t="s">
        <v>78</v>
      </c>
      <c r="BE165">
        <v>0</v>
      </c>
      <c r="BF165">
        <v>0</v>
      </c>
      <c r="BG165">
        <v>0</v>
      </c>
      <c r="BH165">
        <v>0</v>
      </c>
      <c r="BJ165" t="s">
        <v>85</v>
      </c>
      <c r="BP165" t="s">
        <v>78</v>
      </c>
      <c r="BQ165" t="s">
        <v>78</v>
      </c>
      <c r="BR165" t="s">
        <v>78</v>
      </c>
    </row>
    <row r="166" customFormat="1" spans="1:70">
      <c r="A166" t="s">
        <v>1336</v>
      </c>
      <c r="B166" t="s">
        <v>1336</v>
      </c>
      <c r="C166" t="s">
        <v>107</v>
      </c>
      <c r="D166" t="s">
        <v>135</v>
      </c>
      <c r="E166">
        <v>1</v>
      </c>
      <c r="F166" t="s">
        <v>109</v>
      </c>
      <c r="G166" t="s">
        <v>136</v>
      </c>
      <c r="H166">
        <v>289</v>
      </c>
      <c r="I166">
        <v>289</v>
      </c>
      <c r="J166">
        <v>0</v>
      </c>
      <c r="K166">
        <v>0</v>
      </c>
      <c r="L166" t="s">
        <v>78</v>
      </c>
      <c r="M166" t="s">
        <v>78</v>
      </c>
      <c r="N166" t="s">
        <v>78</v>
      </c>
      <c r="O166">
        <v>0</v>
      </c>
      <c r="P166">
        <v>0</v>
      </c>
      <c r="Q166">
        <v>0</v>
      </c>
      <c r="R166" t="s">
        <v>79</v>
      </c>
      <c r="S166">
        <v>0</v>
      </c>
      <c r="T166" t="s">
        <v>80</v>
      </c>
      <c r="U166" t="s">
        <v>80</v>
      </c>
      <c r="V166" t="s">
        <v>221</v>
      </c>
      <c r="W166" t="s">
        <v>599</v>
      </c>
      <c r="X166" t="s">
        <v>1337</v>
      </c>
      <c r="Y166" t="s">
        <v>1338</v>
      </c>
      <c r="Z166" t="s">
        <v>80</v>
      </c>
      <c r="AA166" t="s">
        <v>504</v>
      </c>
      <c r="AC166" t="s">
        <v>1339</v>
      </c>
      <c r="AD166" t="s">
        <v>87</v>
      </c>
      <c r="AF166" t="s">
        <v>1340</v>
      </c>
      <c r="AG166" t="s">
        <v>1341</v>
      </c>
      <c r="AH166" t="s">
        <v>91</v>
      </c>
      <c r="AI166" t="s">
        <v>216</v>
      </c>
      <c r="AJ166" t="s">
        <v>93</v>
      </c>
      <c r="AK166" t="s">
        <v>1342</v>
      </c>
      <c r="AL166" t="s">
        <v>95</v>
      </c>
      <c r="AM166" t="s">
        <v>96</v>
      </c>
      <c r="AN166" t="s">
        <v>96</v>
      </c>
      <c r="AP166" t="s">
        <v>78</v>
      </c>
      <c r="AQ166" t="s">
        <v>78</v>
      </c>
      <c r="AS166" t="s">
        <v>78</v>
      </c>
      <c r="AT166" t="s">
        <v>100</v>
      </c>
      <c r="AU166" t="s">
        <v>100</v>
      </c>
      <c r="AW166" t="s">
        <v>85</v>
      </c>
      <c r="AX166" t="s">
        <v>101</v>
      </c>
      <c r="AY166" t="s">
        <v>102</v>
      </c>
      <c r="AZ166" t="s">
        <v>145</v>
      </c>
      <c r="BA166" t="s">
        <v>102</v>
      </c>
      <c r="BB166" t="s">
        <v>78</v>
      </c>
      <c r="BC166" t="s">
        <v>78</v>
      </c>
      <c r="BD166" t="s">
        <v>1343</v>
      </c>
      <c r="BE166">
        <v>0</v>
      </c>
      <c r="BF166">
        <v>0</v>
      </c>
      <c r="BG166">
        <v>0</v>
      </c>
      <c r="BH166">
        <v>0</v>
      </c>
      <c r="BJ166" t="s">
        <v>85</v>
      </c>
      <c r="BP166" t="s">
        <v>78</v>
      </c>
      <c r="BQ166" t="s">
        <v>78</v>
      </c>
      <c r="BR166" t="s">
        <v>78</v>
      </c>
    </row>
    <row r="167" customFormat="1" spans="1:70">
      <c r="A167" t="s">
        <v>1344</v>
      </c>
      <c r="B167" t="s">
        <v>1344</v>
      </c>
      <c r="C167" t="s">
        <v>107</v>
      </c>
      <c r="D167" t="s">
        <v>108</v>
      </c>
      <c r="E167">
        <v>1</v>
      </c>
      <c r="F167" t="s">
        <v>109</v>
      </c>
      <c r="G167" t="s">
        <v>110</v>
      </c>
      <c r="H167">
        <v>289</v>
      </c>
      <c r="I167">
        <v>279</v>
      </c>
      <c r="J167">
        <v>0</v>
      </c>
      <c r="K167">
        <v>10</v>
      </c>
      <c r="L167" t="s">
        <v>1010</v>
      </c>
      <c r="M167" t="s">
        <v>78</v>
      </c>
      <c r="N167" t="s">
        <v>78</v>
      </c>
      <c r="O167">
        <v>0</v>
      </c>
      <c r="P167">
        <v>0</v>
      </c>
      <c r="Q167">
        <v>0</v>
      </c>
      <c r="R167" t="s">
        <v>125</v>
      </c>
      <c r="S167">
        <v>0</v>
      </c>
      <c r="T167" t="s">
        <v>80</v>
      </c>
      <c r="U167" t="s">
        <v>80</v>
      </c>
      <c r="V167" t="s">
        <v>126</v>
      </c>
      <c r="W167" t="s">
        <v>390</v>
      </c>
      <c r="X167" t="s">
        <v>1345</v>
      </c>
      <c r="Y167" t="s">
        <v>1346</v>
      </c>
      <c r="Z167" t="s">
        <v>80</v>
      </c>
      <c r="AA167" t="s">
        <v>85</v>
      </c>
      <c r="AC167" t="s">
        <v>1347</v>
      </c>
      <c r="AD167" t="s">
        <v>202</v>
      </c>
      <c r="AE167" t="s">
        <v>1348</v>
      </c>
      <c r="AF167" t="s">
        <v>1340</v>
      </c>
      <c r="AG167" t="s">
        <v>1349</v>
      </c>
      <c r="AH167" t="s">
        <v>91</v>
      </c>
      <c r="AI167" t="s">
        <v>216</v>
      </c>
      <c r="AJ167" t="s">
        <v>93</v>
      </c>
      <c r="AK167" t="s">
        <v>1350</v>
      </c>
      <c r="AL167" t="s">
        <v>95</v>
      </c>
      <c r="AM167" t="s">
        <v>96</v>
      </c>
      <c r="AN167" t="s">
        <v>96</v>
      </c>
      <c r="AP167" t="s">
        <v>78</v>
      </c>
      <c r="AQ167" t="s">
        <v>99</v>
      </c>
      <c r="AS167" t="s">
        <v>78</v>
      </c>
      <c r="AT167" t="s">
        <v>100</v>
      </c>
      <c r="AU167" t="s">
        <v>100</v>
      </c>
      <c r="AW167" t="s">
        <v>85</v>
      </c>
      <c r="AX167" t="s">
        <v>101</v>
      </c>
      <c r="AY167" t="s">
        <v>102</v>
      </c>
      <c r="AZ167" t="s">
        <v>145</v>
      </c>
      <c r="BA167" t="s">
        <v>104</v>
      </c>
      <c r="BB167" t="s">
        <v>78</v>
      </c>
      <c r="BC167" t="s">
        <v>78</v>
      </c>
      <c r="BD167" t="s">
        <v>1343</v>
      </c>
      <c r="BE167">
        <v>0</v>
      </c>
      <c r="BF167">
        <v>10</v>
      </c>
      <c r="BG167">
        <v>0</v>
      </c>
      <c r="BH167">
        <v>0</v>
      </c>
      <c r="BJ167" t="s">
        <v>85</v>
      </c>
      <c r="BP167" t="s">
        <v>78</v>
      </c>
      <c r="BQ167" t="s">
        <v>78</v>
      </c>
      <c r="BR167" t="s">
        <v>78</v>
      </c>
    </row>
    <row r="168" customFormat="1" spans="1:70">
      <c r="A168" t="s">
        <v>1351</v>
      </c>
      <c r="B168" t="s">
        <v>1351</v>
      </c>
      <c r="C168" t="s">
        <v>107</v>
      </c>
      <c r="D168" t="s">
        <v>108</v>
      </c>
      <c r="E168">
        <v>1</v>
      </c>
      <c r="F168" t="s">
        <v>109</v>
      </c>
      <c r="G168" t="s">
        <v>110</v>
      </c>
      <c r="H168">
        <v>289</v>
      </c>
      <c r="I168">
        <v>279</v>
      </c>
      <c r="J168">
        <v>0</v>
      </c>
      <c r="K168">
        <v>10</v>
      </c>
      <c r="L168" t="s">
        <v>1010</v>
      </c>
      <c r="M168" t="s">
        <v>78</v>
      </c>
      <c r="N168" t="s">
        <v>78</v>
      </c>
      <c r="O168">
        <v>0</v>
      </c>
      <c r="P168">
        <v>0</v>
      </c>
      <c r="Q168">
        <v>0</v>
      </c>
      <c r="R168" t="s">
        <v>125</v>
      </c>
      <c r="S168">
        <v>0</v>
      </c>
      <c r="T168" t="s">
        <v>80</v>
      </c>
      <c r="U168" t="s">
        <v>80</v>
      </c>
      <c r="V168" t="s">
        <v>126</v>
      </c>
      <c r="W168" t="s">
        <v>518</v>
      </c>
      <c r="X168" t="s">
        <v>979</v>
      </c>
      <c r="Y168" t="s">
        <v>1352</v>
      </c>
      <c r="Z168" t="s">
        <v>80</v>
      </c>
      <c r="AA168" t="s">
        <v>85</v>
      </c>
      <c r="AC168" t="s">
        <v>1353</v>
      </c>
      <c r="AD168" t="s">
        <v>87</v>
      </c>
      <c r="AG168" t="s">
        <v>1354</v>
      </c>
      <c r="AH168" t="s">
        <v>227</v>
      </c>
      <c r="AI168" t="s">
        <v>216</v>
      </c>
      <c r="AJ168" t="s">
        <v>131</v>
      </c>
      <c r="AK168" t="s">
        <v>1355</v>
      </c>
      <c r="AL168" t="s">
        <v>95</v>
      </c>
      <c r="AM168" t="s">
        <v>96</v>
      </c>
      <c r="AN168" t="s">
        <v>96</v>
      </c>
      <c r="AP168" t="s">
        <v>78</v>
      </c>
      <c r="AQ168" t="s">
        <v>99</v>
      </c>
      <c r="AS168" t="s">
        <v>78</v>
      </c>
      <c r="AT168" t="s">
        <v>100</v>
      </c>
      <c r="AU168" t="s">
        <v>100</v>
      </c>
      <c r="AW168" t="s">
        <v>85</v>
      </c>
      <c r="AX168" t="s">
        <v>101</v>
      </c>
      <c r="AY168" t="s">
        <v>102</v>
      </c>
      <c r="AZ168" t="s">
        <v>145</v>
      </c>
      <c r="BA168" t="s">
        <v>525</v>
      </c>
      <c r="BB168" t="s">
        <v>78</v>
      </c>
      <c r="BC168" t="s">
        <v>78</v>
      </c>
      <c r="BE168">
        <v>0</v>
      </c>
      <c r="BF168">
        <v>10</v>
      </c>
      <c r="BG168">
        <v>0</v>
      </c>
      <c r="BH168">
        <v>0</v>
      </c>
      <c r="BJ168" t="s">
        <v>85</v>
      </c>
      <c r="BP168" t="s">
        <v>78</v>
      </c>
      <c r="BQ168" t="s">
        <v>78</v>
      </c>
      <c r="BR168" t="s">
        <v>78</v>
      </c>
    </row>
    <row r="169" customFormat="1" spans="1:70">
      <c r="A169" t="s">
        <v>1356</v>
      </c>
      <c r="B169" t="s">
        <v>1356</v>
      </c>
      <c r="C169" t="s">
        <v>1092</v>
      </c>
      <c r="D169" t="s">
        <v>135</v>
      </c>
      <c r="E169">
        <v>1</v>
      </c>
      <c r="F169" t="s">
        <v>1093</v>
      </c>
      <c r="G169" t="s">
        <v>1357</v>
      </c>
      <c r="H169">
        <v>289</v>
      </c>
      <c r="I169">
        <v>279</v>
      </c>
      <c r="J169">
        <v>0</v>
      </c>
      <c r="K169">
        <v>10</v>
      </c>
      <c r="L169" t="s">
        <v>1010</v>
      </c>
      <c r="M169" t="s">
        <v>78</v>
      </c>
      <c r="N169" t="s">
        <v>78</v>
      </c>
      <c r="O169">
        <v>0</v>
      </c>
      <c r="P169">
        <v>0</v>
      </c>
      <c r="Q169">
        <v>0</v>
      </c>
      <c r="R169" t="s">
        <v>79</v>
      </c>
      <c r="S169">
        <v>0</v>
      </c>
      <c r="T169" t="s">
        <v>80</v>
      </c>
      <c r="U169" t="s">
        <v>80</v>
      </c>
      <c r="V169" t="s">
        <v>302</v>
      </c>
      <c r="W169" t="s">
        <v>1358</v>
      </c>
      <c r="X169" t="s">
        <v>1359</v>
      </c>
      <c r="Y169" t="s">
        <v>1360</v>
      </c>
      <c r="Z169" t="s">
        <v>80</v>
      </c>
      <c r="AA169" t="s">
        <v>85</v>
      </c>
      <c r="AC169" t="s">
        <v>1361</v>
      </c>
      <c r="AD169" t="s">
        <v>202</v>
      </c>
      <c r="AE169" t="s">
        <v>1362</v>
      </c>
      <c r="AG169" t="s">
        <v>1363</v>
      </c>
      <c r="AH169" t="s">
        <v>91</v>
      </c>
      <c r="AI169" t="s">
        <v>216</v>
      </c>
      <c r="AJ169" t="s">
        <v>131</v>
      </c>
      <c r="AK169" t="s">
        <v>1364</v>
      </c>
      <c r="AL169" t="s">
        <v>95</v>
      </c>
      <c r="AM169" t="s">
        <v>96</v>
      </c>
      <c r="AN169" t="s">
        <v>96</v>
      </c>
      <c r="AP169" t="s">
        <v>78</v>
      </c>
      <c r="AQ169" t="s">
        <v>99</v>
      </c>
      <c r="AS169" t="s">
        <v>78</v>
      </c>
      <c r="AT169" t="s">
        <v>100</v>
      </c>
      <c r="AU169" t="s">
        <v>100</v>
      </c>
      <c r="AW169" t="s">
        <v>85</v>
      </c>
      <c r="AX169" t="s">
        <v>101</v>
      </c>
      <c r="AY169" t="s">
        <v>102</v>
      </c>
      <c r="AZ169" t="s">
        <v>145</v>
      </c>
      <c r="BA169" t="s">
        <v>102</v>
      </c>
      <c r="BB169" t="s">
        <v>78</v>
      </c>
      <c r="BC169" t="s">
        <v>78</v>
      </c>
      <c r="BD169" t="s">
        <v>1365</v>
      </c>
      <c r="BE169">
        <v>0</v>
      </c>
      <c r="BF169">
        <v>10</v>
      </c>
      <c r="BG169">
        <v>0</v>
      </c>
      <c r="BH169">
        <v>0</v>
      </c>
      <c r="BJ169" t="s">
        <v>85</v>
      </c>
      <c r="BP169" t="s">
        <v>78</v>
      </c>
      <c r="BQ169" t="s">
        <v>78</v>
      </c>
      <c r="BR169" t="s">
        <v>78</v>
      </c>
    </row>
    <row r="170" customFormat="1" spans="1:70">
      <c r="A170" t="s">
        <v>1366</v>
      </c>
      <c r="B170" t="s">
        <v>1366</v>
      </c>
      <c r="C170" t="s">
        <v>107</v>
      </c>
      <c r="D170" t="s">
        <v>108</v>
      </c>
      <c r="E170">
        <v>1</v>
      </c>
      <c r="F170" t="s">
        <v>109</v>
      </c>
      <c r="G170" t="s">
        <v>110</v>
      </c>
      <c r="H170">
        <v>289</v>
      </c>
      <c r="I170">
        <v>261.58</v>
      </c>
      <c r="J170">
        <v>0</v>
      </c>
      <c r="K170">
        <v>27.42</v>
      </c>
      <c r="L170" t="s">
        <v>1367</v>
      </c>
      <c r="M170" t="s">
        <v>78</v>
      </c>
      <c r="N170" t="s">
        <v>78</v>
      </c>
      <c r="O170">
        <v>0</v>
      </c>
      <c r="P170">
        <v>0</v>
      </c>
      <c r="Q170">
        <v>0</v>
      </c>
      <c r="R170" t="s">
        <v>79</v>
      </c>
      <c r="S170">
        <v>0</v>
      </c>
      <c r="T170" t="s">
        <v>80</v>
      </c>
      <c r="U170" t="s">
        <v>80</v>
      </c>
      <c r="V170" t="s">
        <v>221</v>
      </c>
      <c r="W170" t="s">
        <v>1368</v>
      </c>
      <c r="X170" t="s">
        <v>1369</v>
      </c>
      <c r="Y170" t="s">
        <v>1370</v>
      </c>
      <c r="Z170" t="s">
        <v>80</v>
      </c>
      <c r="AA170" t="s">
        <v>85</v>
      </c>
      <c r="AC170" t="s">
        <v>1371</v>
      </c>
      <c r="AD170" t="s">
        <v>202</v>
      </c>
      <c r="AE170" t="s">
        <v>1372</v>
      </c>
      <c r="AG170" t="s">
        <v>1373</v>
      </c>
      <c r="AH170" t="s">
        <v>91</v>
      </c>
      <c r="AI170" t="s">
        <v>216</v>
      </c>
      <c r="AJ170" t="s">
        <v>131</v>
      </c>
      <c r="AK170" t="s">
        <v>1374</v>
      </c>
      <c r="AL170" t="s">
        <v>95</v>
      </c>
      <c r="AM170" t="s">
        <v>96</v>
      </c>
      <c r="AN170" t="s">
        <v>96</v>
      </c>
      <c r="AP170" t="s">
        <v>78</v>
      </c>
      <c r="AQ170" t="s">
        <v>99</v>
      </c>
      <c r="AS170" t="s">
        <v>78</v>
      </c>
      <c r="AT170" t="s">
        <v>100</v>
      </c>
      <c r="AU170" t="s">
        <v>100</v>
      </c>
      <c r="AW170" t="s">
        <v>85</v>
      </c>
      <c r="AX170" t="s">
        <v>101</v>
      </c>
      <c r="AY170" t="s">
        <v>102</v>
      </c>
      <c r="AZ170" t="s">
        <v>145</v>
      </c>
      <c r="BA170" t="s">
        <v>683</v>
      </c>
      <c r="BB170" t="s">
        <v>78</v>
      </c>
      <c r="BC170" t="s">
        <v>78</v>
      </c>
      <c r="BD170" t="s">
        <v>1375</v>
      </c>
      <c r="BE170">
        <v>0</v>
      </c>
      <c r="BF170">
        <v>27.42</v>
      </c>
      <c r="BG170">
        <v>0</v>
      </c>
      <c r="BH170">
        <v>0</v>
      </c>
      <c r="BJ170" t="s">
        <v>85</v>
      </c>
      <c r="BP170" t="s">
        <v>78</v>
      </c>
      <c r="BQ170" t="s">
        <v>78</v>
      </c>
      <c r="BR170" t="s">
        <v>78</v>
      </c>
    </row>
    <row r="171" customFormat="1" spans="1:70">
      <c r="A171" t="s">
        <v>1376</v>
      </c>
      <c r="B171" t="s">
        <v>1376</v>
      </c>
      <c r="C171" t="s">
        <v>1050</v>
      </c>
      <c r="D171" t="s">
        <v>1377</v>
      </c>
      <c r="E171">
        <v>1</v>
      </c>
      <c r="F171" t="s">
        <v>1052</v>
      </c>
      <c r="G171" t="s">
        <v>1378</v>
      </c>
      <c r="H171">
        <v>129</v>
      </c>
      <c r="I171">
        <v>119</v>
      </c>
      <c r="J171">
        <v>0</v>
      </c>
      <c r="K171">
        <v>10</v>
      </c>
      <c r="L171" t="s">
        <v>1010</v>
      </c>
      <c r="M171" t="s">
        <v>78</v>
      </c>
      <c r="N171" t="s">
        <v>78</v>
      </c>
      <c r="O171">
        <v>0</v>
      </c>
      <c r="P171">
        <v>0</v>
      </c>
      <c r="Q171">
        <v>0</v>
      </c>
      <c r="R171" t="s">
        <v>876</v>
      </c>
      <c r="S171">
        <v>0</v>
      </c>
      <c r="T171" t="s">
        <v>80</v>
      </c>
      <c r="U171" t="s">
        <v>80</v>
      </c>
      <c r="V171" t="s">
        <v>81</v>
      </c>
      <c r="W171" t="s">
        <v>1321</v>
      </c>
      <c r="X171" t="s">
        <v>1379</v>
      </c>
      <c r="Y171" t="s">
        <v>1380</v>
      </c>
      <c r="Z171" t="s">
        <v>80</v>
      </c>
      <c r="AA171" t="s">
        <v>85</v>
      </c>
      <c r="AC171" t="s">
        <v>1381</v>
      </c>
      <c r="AD171" t="s">
        <v>87</v>
      </c>
      <c r="AH171" t="s">
        <v>91</v>
      </c>
      <c r="AI171" t="s">
        <v>216</v>
      </c>
      <c r="AJ171" t="s">
        <v>131</v>
      </c>
      <c r="AK171" t="s">
        <v>1382</v>
      </c>
      <c r="AL171" t="s">
        <v>95</v>
      </c>
      <c r="AM171" t="s">
        <v>96</v>
      </c>
      <c r="AN171" t="s">
        <v>96</v>
      </c>
      <c r="AP171" t="s">
        <v>78</v>
      </c>
      <c r="AQ171" t="s">
        <v>78</v>
      </c>
      <c r="AR171" t="s">
        <v>195</v>
      </c>
      <c r="AS171" t="s">
        <v>78</v>
      </c>
      <c r="AT171" t="s">
        <v>100</v>
      </c>
      <c r="AU171" t="s">
        <v>100</v>
      </c>
      <c r="AW171" t="s">
        <v>85</v>
      </c>
      <c r="AX171" t="s">
        <v>101</v>
      </c>
      <c r="AY171" t="s">
        <v>102</v>
      </c>
      <c r="AZ171" t="s">
        <v>145</v>
      </c>
      <c r="BA171" t="s">
        <v>218</v>
      </c>
      <c r="BB171" t="s">
        <v>78</v>
      </c>
      <c r="BC171" t="s">
        <v>78</v>
      </c>
      <c r="BE171">
        <v>0</v>
      </c>
      <c r="BF171">
        <v>10</v>
      </c>
      <c r="BG171">
        <v>0</v>
      </c>
      <c r="BH171">
        <v>0</v>
      </c>
      <c r="BJ171" t="s">
        <v>85</v>
      </c>
      <c r="BP171" t="s">
        <v>78</v>
      </c>
      <c r="BQ171" t="s">
        <v>78</v>
      </c>
      <c r="BR171" t="s">
        <v>78</v>
      </c>
    </row>
    <row r="172" customFormat="1" spans="1:70">
      <c r="A172" t="s">
        <v>1383</v>
      </c>
      <c r="B172" t="s">
        <v>1383</v>
      </c>
      <c r="C172" t="s">
        <v>107</v>
      </c>
      <c r="D172" t="s">
        <v>108</v>
      </c>
      <c r="E172">
        <v>1</v>
      </c>
      <c r="F172" t="s">
        <v>109</v>
      </c>
      <c r="G172" t="s">
        <v>110</v>
      </c>
      <c r="H172">
        <v>289</v>
      </c>
      <c r="I172">
        <v>260.47</v>
      </c>
      <c r="J172">
        <v>0</v>
      </c>
      <c r="K172">
        <v>28.53</v>
      </c>
      <c r="L172" t="s">
        <v>1384</v>
      </c>
      <c r="M172" t="s">
        <v>78</v>
      </c>
      <c r="N172" t="s">
        <v>78</v>
      </c>
      <c r="O172">
        <v>0</v>
      </c>
      <c r="P172">
        <v>0</v>
      </c>
      <c r="Q172">
        <v>0</v>
      </c>
      <c r="R172" t="s">
        <v>111</v>
      </c>
      <c r="S172">
        <v>0</v>
      </c>
      <c r="T172" t="s">
        <v>80</v>
      </c>
      <c r="U172" t="s">
        <v>80</v>
      </c>
      <c r="V172" t="s">
        <v>574</v>
      </c>
      <c r="W172" t="s">
        <v>574</v>
      </c>
      <c r="X172" t="s">
        <v>575</v>
      </c>
      <c r="Y172" t="s">
        <v>1385</v>
      </c>
      <c r="Z172" t="s">
        <v>80</v>
      </c>
      <c r="AA172" t="s">
        <v>85</v>
      </c>
      <c r="AC172" t="s">
        <v>1386</v>
      </c>
      <c r="AD172" t="s">
        <v>87</v>
      </c>
      <c r="AF172" t="s">
        <v>1387</v>
      </c>
      <c r="AG172" t="s">
        <v>1388</v>
      </c>
      <c r="AH172" t="s">
        <v>91</v>
      </c>
      <c r="AI172" t="s">
        <v>216</v>
      </c>
      <c r="AJ172" t="s">
        <v>93</v>
      </c>
      <c r="AK172" t="s">
        <v>1389</v>
      </c>
      <c r="AL172" t="s">
        <v>95</v>
      </c>
      <c r="AM172" t="s">
        <v>96</v>
      </c>
      <c r="AN172" t="s">
        <v>96</v>
      </c>
      <c r="AP172" t="s">
        <v>78</v>
      </c>
      <c r="AQ172" t="s">
        <v>78</v>
      </c>
      <c r="AS172" t="s">
        <v>78</v>
      </c>
      <c r="AT172" t="s">
        <v>100</v>
      </c>
      <c r="AU172" t="s">
        <v>100</v>
      </c>
      <c r="AW172" t="s">
        <v>85</v>
      </c>
      <c r="AX172" t="s">
        <v>101</v>
      </c>
      <c r="AY172" t="s">
        <v>102</v>
      </c>
      <c r="AZ172" t="s">
        <v>145</v>
      </c>
      <c r="BA172" t="s">
        <v>102</v>
      </c>
      <c r="BB172" t="s">
        <v>78</v>
      </c>
      <c r="BC172" t="s">
        <v>78</v>
      </c>
      <c r="BD172" t="s">
        <v>1375</v>
      </c>
      <c r="BE172">
        <v>0</v>
      </c>
      <c r="BF172">
        <v>28.53</v>
      </c>
      <c r="BG172">
        <v>0</v>
      </c>
      <c r="BH172">
        <v>0</v>
      </c>
      <c r="BJ172" t="s">
        <v>85</v>
      </c>
      <c r="BP172" t="s">
        <v>78</v>
      </c>
      <c r="BQ172" t="s">
        <v>78</v>
      </c>
      <c r="BR172" t="s">
        <v>78</v>
      </c>
    </row>
    <row r="173" customFormat="1" spans="1:70">
      <c r="A173" t="s">
        <v>1390</v>
      </c>
      <c r="B173" t="s">
        <v>1390</v>
      </c>
      <c r="C173" t="s">
        <v>1092</v>
      </c>
      <c r="D173" t="s">
        <v>1391</v>
      </c>
      <c r="E173">
        <v>1</v>
      </c>
      <c r="F173" t="s">
        <v>1093</v>
      </c>
      <c r="G173" t="s">
        <v>1392</v>
      </c>
      <c r="H173">
        <v>289</v>
      </c>
      <c r="I173">
        <v>260.09</v>
      </c>
      <c r="J173">
        <v>0</v>
      </c>
      <c r="K173">
        <v>29.12</v>
      </c>
      <c r="L173" t="s">
        <v>1393</v>
      </c>
      <c r="M173" t="s">
        <v>78</v>
      </c>
      <c r="N173" t="s">
        <v>78</v>
      </c>
      <c r="O173">
        <v>0</v>
      </c>
      <c r="P173">
        <v>0.21</v>
      </c>
      <c r="Q173">
        <v>0</v>
      </c>
      <c r="R173" t="s">
        <v>125</v>
      </c>
      <c r="S173">
        <v>0</v>
      </c>
      <c r="T173" t="s">
        <v>80</v>
      </c>
      <c r="U173" t="s">
        <v>80</v>
      </c>
      <c r="V173" t="s">
        <v>302</v>
      </c>
      <c r="W173" t="s">
        <v>1394</v>
      </c>
      <c r="X173" t="s">
        <v>1395</v>
      </c>
      <c r="Y173" t="s">
        <v>1396</v>
      </c>
      <c r="Z173" t="s">
        <v>80</v>
      </c>
      <c r="AA173" t="s">
        <v>85</v>
      </c>
      <c r="AC173" t="s">
        <v>1397</v>
      </c>
      <c r="AD173" t="s">
        <v>202</v>
      </c>
      <c r="AE173" t="s">
        <v>1398</v>
      </c>
      <c r="AG173" t="s">
        <v>1399</v>
      </c>
      <c r="AH173" t="s">
        <v>91</v>
      </c>
      <c r="AI173" t="s">
        <v>216</v>
      </c>
      <c r="AJ173" t="s">
        <v>131</v>
      </c>
      <c r="AK173" t="s">
        <v>1400</v>
      </c>
      <c r="AL173" t="s">
        <v>95</v>
      </c>
      <c r="AM173" t="s">
        <v>96</v>
      </c>
      <c r="AN173" t="s">
        <v>96</v>
      </c>
      <c r="AP173" t="s">
        <v>78</v>
      </c>
      <c r="AQ173" t="s">
        <v>99</v>
      </c>
      <c r="AS173" t="s">
        <v>78</v>
      </c>
      <c r="AT173" t="s">
        <v>100</v>
      </c>
      <c r="AU173" t="s">
        <v>100</v>
      </c>
      <c r="AW173" t="s">
        <v>85</v>
      </c>
      <c r="AX173" t="s">
        <v>101</v>
      </c>
      <c r="AY173" t="s">
        <v>102</v>
      </c>
      <c r="AZ173" t="s">
        <v>145</v>
      </c>
      <c r="BA173" t="s">
        <v>525</v>
      </c>
      <c r="BB173" t="s">
        <v>78</v>
      </c>
      <c r="BC173" t="s">
        <v>78</v>
      </c>
      <c r="BD173" t="s">
        <v>1401</v>
      </c>
      <c r="BE173">
        <v>0</v>
      </c>
      <c r="BF173">
        <v>28.91</v>
      </c>
      <c r="BG173">
        <v>0</v>
      </c>
      <c r="BH173">
        <v>0</v>
      </c>
      <c r="BJ173" t="s">
        <v>85</v>
      </c>
      <c r="BP173" t="s">
        <v>78</v>
      </c>
      <c r="BQ173" t="s">
        <v>78</v>
      </c>
      <c r="BR173" t="s">
        <v>78</v>
      </c>
    </row>
    <row r="174" customFormat="1" spans="1:70">
      <c r="A174" t="s">
        <v>1390</v>
      </c>
      <c r="B174" t="s">
        <v>1402</v>
      </c>
      <c r="C174" t="s">
        <v>1126</v>
      </c>
      <c r="D174" t="s">
        <v>187</v>
      </c>
      <c r="E174">
        <v>1</v>
      </c>
      <c r="F174" t="s">
        <v>1128</v>
      </c>
      <c r="G174" t="s">
        <v>1205</v>
      </c>
      <c r="H174">
        <v>249</v>
      </c>
      <c r="I174">
        <v>224.09</v>
      </c>
      <c r="J174">
        <v>0</v>
      </c>
      <c r="K174">
        <v>25.09</v>
      </c>
      <c r="L174" t="s">
        <v>1206</v>
      </c>
      <c r="M174" t="s">
        <v>78</v>
      </c>
      <c r="N174" t="s">
        <v>78</v>
      </c>
      <c r="O174">
        <v>0</v>
      </c>
      <c r="P174">
        <v>0.18</v>
      </c>
      <c r="Q174">
        <v>0</v>
      </c>
      <c r="R174" t="s">
        <v>125</v>
      </c>
      <c r="S174">
        <v>0</v>
      </c>
      <c r="T174" t="s">
        <v>80</v>
      </c>
      <c r="U174" t="s">
        <v>80</v>
      </c>
      <c r="V174" t="s">
        <v>302</v>
      </c>
      <c r="W174" t="s">
        <v>1394</v>
      </c>
      <c r="X174" t="s">
        <v>1395</v>
      </c>
      <c r="Y174" t="s">
        <v>1396</v>
      </c>
      <c r="Z174" t="s">
        <v>80</v>
      </c>
      <c r="AA174" t="s">
        <v>85</v>
      </c>
      <c r="AC174" t="s">
        <v>1397</v>
      </c>
      <c r="AD174" t="s">
        <v>202</v>
      </c>
      <c r="AE174" t="s">
        <v>1398</v>
      </c>
      <c r="AF174" t="s">
        <v>1403</v>
      </c>
      <c r="AG174" t="s">
        <v>1399</v>
      </c>
      <c r="AH174" t="s">
        <v>91</v>
      </c>
      <c r="AI174" t="s">
        <v>216</v>
      </c>
      <c r="AJ174" t="s">
        <v>93</v>
      </c>
      <c r="AK174" t="s">
        <v>1400</v>
      </c>
      <c r="AL174" t="s">
        <v>95</v>
      </c>
      <c r="AM174" t="s">
        <v>96</v>
      </c>
      <c r="AN174" t="s">
        <v>96</v>
      </c>
      <c r="AP174" t="s">
        <v>78</v>
      </c>
      <c r="AQ174" t="s">
        <v>99</v>
      </c>
      <c r="AS174" t="s">
        <v>78</v>
      </c>
      <c r="AT174" t="s">
        <v>100</v>
      </c>
      <c r="AU174" t="s">
        <v>100</v>
      </c>
      <c r="AW174" t="s">
        <v>85</v>
      </c>
      <c r="AX174" t="s">
        <v>101</v>
      </c>
      <c r="AY174" t="s">
        <v>102</v>
      </c>
      <c r="AZ174" t="s">
        <v>145</v>
      </c>
      <c r="BA174" t="s">
        <v>218</v>
      </c>
      <c r="BB174" t="s">
        <v>78</v>
      </c>
      <c r="BC174" t="s">
        <v>78</v>
      </c>
      <c r="BD174" t="s">
        <v>1404</v>
      </c>
      <c r="BE174">
        <v>0</v>
      </c>
      <c r="BF174">
        <v>24.91</v>
      </c>
      <c r="BG174">
        <v>0</v>
      </c>
      <c r="BH174">
        <v>0</v>
      </c>
      <c r="BJ174" t="s">
        <v>85</v>
      </c>
      <c r="BP174" t="s">
        <v>78</v>
      </c>
      <c r="BQ174" t="s">
        <v>78</v>
      </c>
      <c r="BR174" t="s">
        <v>78</v>
      </c>
    </row>
    <row r="175" customFormat="1" spans="1:70">
      <c r="A175" t="s">
        <v>1390</v>
      </c>
      <c r="B175" t="s">
        <v>1405</v>
      </c>
      <c r="C175" t="s">
        <v>1092</v>
      </c>
      <c r="D175" t="s">
        <v>135</v>
      </c>
      <c r="E175">
        <v>1</v>
      </c>
      <c r="F175" t="s">
        <v>1093</v>
      </c>
      <c r="G175" t="s">
        <v>1357</v>
      </c>
      <c r="H175">
        <v>289</v>
      </c>
      <c r="I175">
        <v>260.09</v>
      </c>
      <c r="J175">
        <v>0</v>
      </c>
      <c r="K175">
        <v>29.12</v>
      </c>
      <c r="L175" t="s">
        <v>1393</v>
      </c>
      <c r="M175" t="s">
        <v>78</v>
      </c>
      <c r="N175" t="s">
        <v>78</v>
      </c>
      <c r="O175">
        <v>0</v>
      </c>
      <c r="P175">
        <v>0.21</v>
      </c>
      <c r="Q175">
        <v>0</v>
      </c>
      <c r="R175" t="s">
        <v>125</v>
      </c>
      <c r="S175">
        <v>0</v>
      </c>
      <c r="T175" t="s">
        <v>80</v>
      </c>
      <c r="U175" t="s">
        <v>80</v>
      </c>
      <c r="V175" t="s">
        <v>302</v>
      </c>
      <c r="W175" t="s">
        <v>1394</v>
      </c>
      <c r="X175" t="s">
        <v>1395</v>
      </c>
      <c r="Y175" t="s">
        <v>1396</v>
      </c>
      <c r="Z175" t="s">
        <v>80</v>
      </c>
      <c r="AA175" t="s">
        <v>85</v>
      </c>
      <c r="AC175" t="s">
        <v>1397</v>
      </c>
      <c r="AD175" t="s">
        <v>202</v>
      </c>
      <c r="AE175" t="s">
        <v>1398</v>
      </c>
      <c r="AF175" t="s">
        <v>1406</v>
      </c>
      <c r="AG175" t="s">
        <v>1399</v>
      </c>
      <c r="AH175" t="s">
        <v>91</v>
      </c>
      <c r="AI175" t="s">
        <v>216</v>
      </c>
      <c r="AJ175" t="s">
        <v>93</v>
      </c>
      <c r="AK175" t="s">
        <v>1400</v>
      </c>
      <c r="AL175" t="s">
        <v>95</v>
      </c>
      <c r="AM175" t="s">
        <v>96</v>
      </c>
      <c r="AN175" t="s">
        <v>96</v>
      </c>
      <c r="AP175" t="s">
        <v>78</v>
      </c>
      <c r="AQ175" t="s">
        <v>78</v>
      </c>
      <c r="AS175" t="s">
        <v>78</v>
      </c>
      <c r="AT175" t="s">
        <v>100</v>
      </c>
      <c r="AU175" t="s">
        <v>100</v>
      </c>
      <c r="AW175" t="s">
        <v>85</v>
      </c>
      <c r="AX175" t="s">
        <v>101</v>
      </c>
      <c r="AY175" t="s">
        <v>102</v>
      </c>
      <c r="AZ175" t="s">
        <v>145</v>
      </c>
      <c r="BA175" t="s">
        <v>218</v>
      </c>
      <c r="BB175" t="s">
        <v>78</v>
      </c>
      <c r="BC175" t="s">
        <v>78</v>
      </c>
      <c r="BD175" t="s">
        <v>1407</v>
      </c>
      <c r="BE175">
        <v>0</v>
      </c>
      <c r="BF175">
        <v>28.91</v>
      </c>
      <c r="BG175">
        <v>0</v>
      </c>
      <c r="BH175">
        <v>0</v>
      </c>
      <c r="BJ175" t="s">
        <v>85</v>
      </c>
      <c r="BP175" t="s">
        <v>78</v>
      </c>
      <c r="BQ175" t="s">
        <v>78</v>
      </c>
      <c r="BR175" t="s">
        <v>78</v>
      </c>
    </row>
    <row r="176" customFormat="1" spans="1:70">
      <c r="A176" t="s">
        <v>1408</v>
      </c>
      <c r="B176" t="s">
        <v>1408</v>
      </c>
      <c r="C176" t="s">
        <v>1126</v>
      </c>
      <c r="D176" t="s">
        <v>187</v>
      </c>
      <c r="E176">
        <v>1</v>
      </c>
      <c r="F176" t="s">
        <v>1128</v>
      </c>
      <c r="G176" t="s">
        <v>1205</v>
      </c>
      <c r="H176">
        <v>249</v>
      </c>
      <c r="I176">
        <v>239</v>
      </c>
      <c r="J176">
        <v>0</v>
      </c>
      <c r="K176">
        <v>10.1</v>
      </c>
      <c r="L176" t="s">
        <v>1010</v>
      </c>
      <c r="M176" t="s">
        <v>78</v>
      </c>
      <c r="N176" t="s">
        <v>78</v>
      </c>
      <c r="O176">
        <v>0</v>
      </c>
      <c r="P176">
        <v>0.1</v>
      </c>
      <c r="Q176">
        <v>0</v>
      </c>
      <c r="R176" t="s">
        <v>125</v>
      </c>
      <c r="S176">
        <v>0</v>
      </c>
      <c r="T176" t="s">
        <v>80</v>
      </c>
      <c r="U176" t="s">
        <v>80</v>
      </c>
      <c r="V176" t="s">
        <v>302</v>
      </c>
      <c r="W176" t="s">
        <v>1394</v>
      </c>
      <c r="X176" t="s">
        <v>1395</v>
      </c>
      <c r="Y176" t="s">
        <v>1396</v>
      </c>
      <c r="Z176" t="s">
        <v>80</v>
      </c>
      <c r="AA176" t="s">
        <v>85</v>
      </c>
      <c r="AC176" t="s">
        <v>1409</v>
      </c>
      <c r="AD176" t="s">
        <v>87</v>
      </c>
      <c r="AG176" t="s">
        <v>1410</v>
      </c>
      <c r="AH176" t="s">
        <v>91</v>
      </c>
      <c r="AI176" t="s">
        <v>216</v>
      </c>
      <c r="AJ176" t="s">
        <v>131</v>
      </c>
      <c r="AK176" t="s">
        <v>1411</v>
      </c>
      <c r="AL176" t="s">
        <v>95</v>
      </c>
      <c r="AM176" t="s">
        <v>96</v>
      </c>
      <c r="AN176" t="s">
        <v>96</v>
      </c>
      <c r="AP176" t="s">
        <v>78</v>
      </c>
      <c r="AQ176" t="s">
        <v>99</v>
      </c>
      <c r="AS176" t="s">
        <v>78</v>
      </c>
      <c r="AT176" t="s">
        <v>100</v>
      </c>
      <c r="AU176" t="s">
        <v>100</v>
      </c>
      <c r="AW176" t="s">
        <v>85</v>
      </c>
      <c r="AX176" t="s">
        <v>101</v>
      </c>
      <c r="AY176" t="s">
        <v>102</v>
      </c>
      <c r="AZ176" t="s">
        <v>145</v>
      </c>
      <c r="BA176" t="s">
        <v>218</v>
      </c>
      <c r="BB176" t="s">
        <v>78</v>
      </c>
      <c r="BC176" t="s">
        <v>78</v>
      </c>
      <c r="BE176">
        <v>0</v>
      </c>
      <c r="BF176">
        <v>10</v>
      </c>
      <c r="BG176">
        <v>0</v>
      </c>
      <c r="BH176">
        <v>0</v>
      </c>
      <c r="BJ176" t="s">
        <v>85</v>
      </c>
      <c r="BP176" t="s">
        <v>78</v>
      </c>
      <c r="BQ176" t="s">
        <v>78</v>
      </c>
      <c r="BR176" t="s">
        <v>78</v>
      </c>
    </row>
    <row r="177" customFormat="1" spans="1:70">
      <c r="A177" t="s">
        <v>1412</v>
      </c>
      <c r="B177" t="s">
        <v>1412</v>
      </c>
      <c r="C177" t="s">
        <v>107</v>
      </c>
      <c r="D177" t="s">
        <v>108</v>
      </c>
      <c r="E177">
        <v>1</v>
      </c>
      <c r="F177" t="s">
        <v>109</v>
      </c>
      <c r="G177" t="s">
        <v>110</v>
      </c>
      <c r="H177">
        <v>289</v>
      </c>
      <c r="I177">
        <v>257</v>
      </c>
      <c r="J177">
        <v>0</v>
      </c>
      <c r="K177">
        <v>32</v>
      </c>
      <c r="L177" t="s">
        <v>1413</v>
      </c>
      <c r="M177" t="s">
        <v>78</v>
      </c>
      <c r="N177" t="s">
        <v>78</v>
      </c>
      <c r="O177">
        <v>0</v>
      </c>
      <c r="P177">
        <v>0</v>
      </c>
      <c r="Q177">
        <v>0</v>
      </c>
      <c r="R177" t="s">
        <v>125</v>
      </c>
      <c r="S177">
        <v>0</v>
      </c>
      <c r="T177" t="s">
        <v>80</v>
      </c>
      <c r="U177" t="s">
        <v>80</v>
      </c>
      <c r="V177" t="s">
        <v>325</v>
      </c>
      <c r="W177" t="s">
        <v>788</v>
      </c>
      <c r="X177" t="s">
        <v>789</v>
      </c>
      <c r="Y177" t="s">
        <v>790</v>
      </c>
      <c r="Z177" t="s">
        <v>80</v>
      </c>
      <c r="AA177" t="s">
        <v>85</v>
      </c>
      <c r="AC177" t="s">
        <v>1414</v>
      </c>
      <c r="AD177" t="s">
        <v>87</v>
      </c>
      <c r="AG177" t="s">
        <v>1415</v>
      </c>
      <c r="AH177" t="s">
        <v>91</v>
      </c>
      <c r="AI177" t="s">
        <v>92</v>
      </c>
      <c r="AJ177" t="s">
        <v>131</v>
      </c>
      <c r="AK177" t="s">
        <v>1416</v>
      </c>
      <c r="AL177" t="s">
        <v>95</v>
      </c>
      <c r="AM177" t="s">
        <v>96</v>
      </c>
      <c r="AN177" t="s">
        <v>97</v>
      </c>
      <c r="AO177" t="s">
        <v>98</v>
      </c>
      <c r="AP177" t="s">
        <v>78</v>
      </c>
      <c r="AQ177" t="s">
        <v>99</v>
      </c>
      <c r="AS177" t="s">
        <v>78</v>
      </c>
      <c r="AT177" t="s">
        <v>100</v>
      </c>
      <c r="AU177" t="s">
        <v>100</v>
      </c>
      <c r="AW177" t="s">
        <v>85</v>
      </c>
      <c r="AX177" t="s">
        <v>101</v>
      </c>
      <c r="AY177" t="s">
        <v>102</v>
      </c>
      <c r="AZ177" t="s">
        <v>103</v>
      </c>
      <c r="BA177" t="s">
        <v>104</v>
      </c>
      <c r="BB177" t="s">
        <v>78</v>
      </c>
      <c r="BC177" t="s">
        <v>78</v>
      </c>
      <c r="BE177">
        <v>0</v>
      </c>
      <c r="BF177">
        <v>32</v>
      </c>
      <c r="BG177">
        <v>0</v>
      </c>
      <c r="BH177">
        <v>0</v>
      </c>
      <c r="BJ177" t="s">
        <v>85</v>
      </c>
      <c r="BP177" t="s">
        <v>78</v>
      </c>
      <c r="BQ177" t="s">
        <v>78</v>
      </c>
      <c r="BR177" t="s">
        <v>78</v>
      </c>
    </row>
    <row r="178" customFormat="1" spans="1:70">
      <c r="A178" t="s">
        <v>1417</v>
      </c>
      <c r="B178" t="s">
        <v>1417</v>
      </c>
      <c r="C178" t="s">
        <v>107</v>
      </c>
      <c r="D178" t="s">
        <v>108</v>
      </c>
      <c r="E178">
        <v>1</v>
      </c>
      <c r="F178" t="s">
        <v>109</v>
      </c>
      <c r="G178" t="s">
        <v>110</v>
      </c>
      <c r="H178">
        <v>289</v>
      </c>
      <c r="I178">
        <v>270</v>
      </c>
      <c r="J178">
        <v>0</v>
      </c>
      <c r="K178">
        <v>19</v>
      </c>
      <c r="L178" t="s">
        <v>1418</v>
      </c>
      <c r="M178" t="s">
        <v>78</v>
      </c>
      <c r="N178" t="s">
        <v>78</v>
      </c>
      <c r="O178">
        <v>0</v>
      </c>
      <c r="P178">
        <v>0</v>
      </c>
      <c r="Q178">
        <v>0</v>
      </c>
      <c r="R178" t="s">
        <v>125</v>
      </c>
      <c r="S178">
        <v>0</v>
      </c>
      <c r="T178" t="s">
        <v>80</v>
      </c>
      <c r="U178" t="s">
        <v>80</v>
      </c>
      <c r="V178" t="s">
        <v>325</v>
      </c>
      <c r="W178" t="s">
        <v>788</v>
      </c>
      <c r="X178" t="s">
        <v>789</v>
      </c>
      <c r="Y178" t="s">
        <v>790</v>
      </c>
      <c r="Z178" t="s">
        <v>80</v>
      </c>
      <c r="AA178" t="s">
        <v>85</v>
      </c>
      <c r="AC178" t="s">
        <v>1419</v>
      </c>
      <c r="AD178" t="s">
        <v>87</v>
      </c>
      <c r="AG178" t="s">
        <v>1420</v>
      </c>
      <c r="AH178" t="s">
        <v>91</v>
      </c>
      <c r="AI178" t="s">
        <v>92</v>
      </c>
      <c r="AJ178" t="s">
        <v>131</v>
      </c>
      <c r="AK178" t="s">
        <v>1421</v>
      </c>
      <c r="AL178" t="s">
        <v>95</v>
      </c>
      <c r="AM178" t="s">
        <v>96</v>
      </c>
      <c r="AN178" t="s">
        <v>97</v>
      </c>
      <c r="AO178" t="s">
        <v>98</v>
      </c>
      <c r="AP178" t="s">
        <v>78</v>
      </c>
      <c r="AQ178" t="s">
        <v>99</v>
      </c>
      <c r="AS178" t="s">
        <v>78</v>
      </c>
      <c r="AT178" t="s">
        <v>100</v>
      </c>
      <c r="AU178" t="s">
        <v>100</v>
      </c>
      <c r="AW178" t="s">
        <v>85</v>
      </c>
      <c r="AX178" t="s">
        <v>101</v>
      </c>
      <c r="AY178" t="s">
        <v>102</v>
      </c>
      <c r="AZ178" t="s">
        <v>103</v>
      </c>
      <c r="BA178" t="s">
        <v>218</v>
      </c>
      <c r="BB178" t="s">
        <v>78</v>
      </c>
      <c r="BC178" t="s">
        <v>78</v>
      </c>
      <c r="BE178">
        <v>0</v>
      </c>
      <c r="BF178">
        <v>19</v>
      </c>
      <c r="BG178">
        <v>0</v>
      </c>
      <c r="BH178">
        <v>0</v>
      </c>
      <c r="BJ178" t="s">
        <v>85</v>
      </c>
      <c r="BP178" t="s">
        <v>78</v>
      </c>
      <c r="BQ178" t="s">
        <v>78</v>
      </c>
      <c r="BR178" t="s">
        <v>78</v>
      </c>
    </row>
    <row r="179" customFormat="1" spans="1:70">
      <c r="A179" t="s">
        <v>1422</v>
      </c>
      <c r="B179" t="s">
        <v>1422</v>
      </c>
      <c r="C179" t="s">
        <v>1050</v>
      </c>
      <c r="D179" t="s">
        <v>1051</v>
      </c>
      <c r="E179">
        <v>1</v>
      </c>
      <c r="F179" t="s">
        <v>1052</v>
      </c>
      <c r="G179" t="s">
        <v>1053</v>
      </c>
      <c r="H179">
        <v>129</v>
      </c>
      <c r="I179">
        <v>129</v>
      </c>
      <c r="J179">
        <v>0</v>
      </c>
      <c r="K179">
        <v>0</v>
      </c>
      <c r="L179" t="s">
        <v>78</v>
      </c>
      <c r="M179" t="s">
        <v>78</v>
      </c>
      <c r="N179" t="s">
        <v>78</v>
      </c>
      <c r="O179">
        <v>0</v>
      </c>
      <c r="P179">
        <v>0</v>
      </c>
      <c r="Q179">
        <v>0</v>
      </c>
      <c r="R179" t="s">
        <v>111</v>
      </c>
      <c r="S179">
        <v>0</v>
      </c>
      <c r="T179" t="s">
        <v>80</v>
      </c>
      <c r="U179" t="s">
        <v>80</v>
      </c>
      <c r="V179" t="s">
        <v>271</v>
      </c>
      <c r="W179" t="s">
        <v>421</v>
      </c>
      <c r="X179" t="s">
        <v>809</v>
      </c>
      <c r="Y179" t="s">
        <v>1423</v>
      </c>
      <c r="Z179" t="s">
        <v>80</v>
      </c>
      <c r="AA179" t="s">
        <v>85</v>
      </c>
      <c r="AC179" t="s">
        <v>1424</v>
      </c>
      <c r="AD179" t="s">
        <v>87</v>
      </c>
      <c r="AG179" t="s">
        <v>1425</v>
      </c>
      <c r="AH179" t="s">
        <v>227</v>
      </c>
      <c r="AI179" t="s">
        <v>216</v>
      </c>
      <c r="AJ179" t="s">
        <v>131</v>
      </c>
      <c r="AK179" t="s">
        <v>1426</v>
      </c>
      <c r="AL179" t="s">
        <v>95</v>
      </c>
      <c r="AM179" t="s">
        <v>96</v>
      </c>
      <c r="AN179" t="s">
        <v>96</v>
      </c>
      <c r="AP179" t="s">
        <v>78</v>
      </c>
      <c r="AQ179" t="s">
        <v>99</v>
      </c>
      <c r="AS179" t="s">
        <v>78</v>
      </c>
      <c r="AT179" t="s">
        <v>100</v>
      </c>
      <c r="AU179" t="s">
        <v>100</v>
      </c>
      <c r="AW179" t="s">
        <v>85</v>
      </c>
      <c r="AX179" t="s">
        <v>101</v>
      </c>
      <c r="AY179" t="s">
        <v>102</v>
      </c>
      <c r="AZ179" t="s">
        <v>145</v>
      </c>
      <c r="BA179" t="s">
        <v>525</v>
      </c>
      <c r="BB179" t="s">
        <v>78</v>
      </c>
      <c r="BC179" t="s">
        <v>78</v>
      </c>
      <c r="BE179">
        <v>0</v>
      </c>
      <c r="BF179">
        <v>0</v>
      </c>
      <c r="BG179">
        <v>0</v>
      </c>
      <c r="BH179">
        <v>0</v>
      </c>
      <c r="BJ179" t="s">
        <v>85</v>
      </c>
      <c r="BP179" t="s">
        <v>78</v>
      </c>
      <c r="BQ179" t="s">
        <v>78</v>
      </c>
      <c r="BR179" t="s">
        <v>78</v>
      </c>
    </row>
    <row r="180" customFormat="1" spans="1:70">
      <c r="A180" t="s">
        <v>1427</v>
      </c>
      <c r="B180" t="s">
        <v>1427</v>
      </c>
      <c r="C180" t="s">
        <v>107</v>
      </c>
      <c r="D180" t="s">
        <v>108</v>
      </c>
      <c r="E180">
        <v>1</v>
      </c>
      <c r="F180" t="s">
        <v>109</v>
      </c>
      <c r="G180" t="s">
        <v>110</v>
      </c>
      <c r="H180">
        <v>289</v>
      </c>
      <c r="I180">
        <v>286</v>
      </c>
      <c r="J180">
        <v>0</v>
      </c>
      <c r="K180">
        <v>3</v>
      </c>
      <c r="L180" t="s">
        <v>137</v>
      </c>
      <c r="M180" t="s">
        <v>78</v>
      </c>
      <c r="N180" t="s">
        <v>78</v>
      </c>
      <c r="O180">
        <v>0</v>
      </c>
      <c r="P180">
        <v>0</v>
      </c>
      <c r="Q180">
        <v>0</v>
      </c>
      <c r="R180" t="s">
        <v>125</v>
      </c>
      <c r="S180">
        <v>0</v>
      </c>
      <c r="T180" t="s">
        <v>80</v>
      </c>
      <c r="U180" t="s">
        <v>80</v>
      </c>
      <c r="V180" t="s">
        <v>574</v>
      </c>
      <c r="W180" t="s">
        <v>574</v>
      </c>
      <c r="X180" t="s">
        <v>1428</v>
      </c>
      <c r="Y180" t="s">
        <v>200</v>
      </c>
      <c r="Z180" t="s">
        <v>80</v>
      </c>
      <c r="AA180" t="s">
        <v>85</v>
      </c>
      <c r="AC180" t="s">
        <v>1429</v>
      </c>
      <c r="AD180" t="s">
        <v>87</v>
      </c>
      <c r="AH180" t="s">
        <v>91</v>
      </c>
      <c r="AI180" t="s">
        <v>92</v>
      </c>
      <c r="AJ180" t="s">
        <v>131</v>
      </c>
      <c r="AK180" t="s">
        <v>1430</v>
      </c>
      <c r="AL180" t="s">
        <v>95</v>
      </c>
      <c r="AM180" t="s">
        <v>96</v>
      </c>
      <c r="AN180" t="s">
        <v>97</v>
      </c>
      <c r="AO180" t="s">
        <v>98</v>
      </c>
      <c r="AP180" t="s">
        <v>78</v>
      </c>
      <c r="AQ180" t="s">
        <v>78</v>
      </c>
      <c r="AR180" t="s">
        <v>353</v>
      </c>
      <c r="AS180" t="s">
        <v>78</v>
      </c>
      <c r="AT180" t="s">
        <v>100</v>
      </c>
      <c r="AU180" t="s">
        <v>100</v>
      </c>
      <c r="AW180" t="s">
        <v>85</v>
      </c>
      <c r="AX180" t="s">
        <v>101</v>
      </c>
      <c r="AY180" t="s">
        <v>102</v>
      </c>
      <c r="AZ180" t="s">
        <v>103</v>
      </c>
      <c r="BA180" t="s">
        <v>120</v>
      </c>
      <c r="BB180" t="s">
        <v>78</v>
      </c>
      <c r="BC180" t="s">
        <v>78</v>
      </c>
      <c r="BE180">
        <v>0</v>
      </c>
      <c r="BF180">
        <v>3</v>
      </c>
      <c r="BG180">
        <v>0</v>
      </c>
      <c r="BH180">
        <v>0</v>
      </c>
      <c r="BJ180" t="s">
        <v>85</v>
      </c>
      <c r="BP180" t="s">
        <v>78</v>
      </c>
      <c r="BQ180" t="s">
        <v>78</v>
      </c>
      <c r="BR180" t="s">
        <v>78</v>
      </c>
    </row>
    <row r="181" customFormat="1" spans="1:70">
      <c r="A181" t="s">
        <v>1431</v>
      </c>
      <c r="B181" t="s">
        <v>1431</v>
      </c>
      <c r="C181" t="s">
        <v>107</v>
      </c>
      <c r="D181" t="s">
        <v>108</v>
      </c>
      <c r="E181">
        <v>1</v>
      </c>
      <c r="F181" t="s">
        <v>109</v>
      </c>
      <c r="G181" t="s">
        <v>110</v>
      </c>
      <c r="H181">
        <v>289</v>
      </c>
      <c r="I181">
        <v>289</v>
      </c>
      <c r="J181">
        <v>0</v>
      </c>
      <c r="K181">
        <v>0</v>
      </c>
      <c r="L181" t="s">
        <v>78</v>
      </c>
      <c r="M181" t="s">
        <v>78</v>
      </c>
      <c r="N181" t="s">
        <v>78</v>
      </c>
      <c r="O181">
        <v>0</v>
      </c>
      <c r="P181">
        <v>0</v>
      </c>
      <c r="Q181">
        <v>0</v>
      </c>
      <c r="R181" t="s">
        <v>79</v>
      </c>
      <c r="S181">
        <v>0</v>
      </c>
      <c r="T181" t="s">
        <v>80</v>
      </c>
      <c r="U181" t="s">
        <v>80</v>
      </c>
      <c r="V181" t="s">
        <v>271</v>
      </c>
      <c r="W181" t="s">
        <v>272</v>
      </c>
      <c r="X181" t="s">
        <v>1432</v>
      </c>
      <c r="Y181" t="s">
        <v>1433</v>
      </c>
      <c r="Z181" t="s">
        <v>80</v>
      </c>
      <c r="AA181" t="s">
        <v>85</v>
      </c>
      <c r="AC181" t="s">
        <v>1434</v>
      </c>
      <c r="AD181" t="s">
        <v>87</v>
      </c>
      <c r="AF181" t="s">
        <v>1387</v>
      </c>
      <c r="AG181" t="s">
        <v>1435</v>
      </c>
      <c r="AH181" t="s">
        <v>91</v>
      </c>
      <c r="AI181" t="s">
        <v>92</v>
      </c>
      <c r="AJ181" t="s">
        <v>93</v>
      </c>
      <c r="AK181" t="s">
        <v>1436</v>
      </c>
      <c r="AL181" t="s">
        <v>95</v>
      </c>
      <c r="AM181" t="s">
        <v>96</v>
      </c>
      <c r="AN181" t="s">
        <v>97</v>
      </c>
      <c r="AO181" t="s">
        <v>98</v>
      </c>
      <c r="AP181" t="s">
        <v>78</v>
      </c>
      <c r="AQ181" t="s">
        <v>78</v>
      </c>
      <c r="AS181" t="s">
        <v>78</v>
      </c>
      <c r="AT181" t="s">
        <v>100</v>
      </c>
      <c r="AU181" t="s">
        <v>100</v>
      </c>
      <c r="AW181" t="s">
        <v>85</v>
      </c>
      <c r="AX181" t="s">
        <v>101</v>
      </c>
      <c r="AY181" t="s">
        <v>102</v>
      </c>
      <c r="AZ181" t="s">
        <v>103</v>
      </c>
      <c r="BA181" t="s">
        <v>120</v>
      </c>
      <c r="BB181" t="s">
        <v>78</v>
      </c>
      <c r="BC181" t="s">
        <v>78</v>
      </c>
      <c r="BD181" t="s">
        <v>1375</v>
      </c>
      <c r="BE181">
        <v>0</v>
      </c>
      <c r="BF181">
        <v>0</v>
      </c>
      <c r="BG181">
        <v>0</v>
      </c>
      <c r="BH181">
        <v>0</v>
      </c>
      <c r="BJ181" t="s">
        <v>85</v>
      </c>
      <c r="BP181" t="s">
        <v>78</v>
      </c>
      <c r="BQ181" t="s">
        <v>78</v>
      </c>
      <c r="BR181" t="s">
        <v>78</v>
      </c>
    </row>
    <row r="182" customFormat="1" spans="1:70">
      <c r="A182" t="s">
        <v>1437</v>
      </c>
      <c r="B182" t="s">
        <v>1437</v>
      </c>
      <c r="C182" t="s">
        <v>107</v>
      </c>
      <c r="D182" t="s">
        <v>135</v>
      </c>
      <c r="E182">
        <v>1</v>
      </c>
      <c r="F182" t="s">
        <v>109</v>
      </c>
      <c r="G182" t="s">
        <v>136</v>
      </c>
      <c r="H182">
        <v>289</v>
      </c>
      <c r="I182">
        <v>289</v>
      </c>
      <c r="J182">
        <v>0</v>
      </c>
      <c r="K182">
        <v>0</v>
      </c>
      <c r="L182" t="s">
        <v>78</v>
      </c>
      <c r="M182" t="s">
        <v>78</v>
      </c>
      <c r="N182" t="s">
        <v>78</v>
      </c>
      <c r="O182">
        <v>0</v>
      </c>
      <c r="P182">
        <v>0</v>
      </c>
      <c r="Q182">
        <v>0</v>
      </c>
      <c r="R182" t="s">
        <v>111</v>
      </c>
      <c r="S182">
        <v>0</v>
      </c>
      <c r="T182" t="s">
        <v>80</v>
      </c>
      <c r="U182" t="s">
        <v>80</v>
      </c>
      <c r="V182" t="s">
        <v>138</v>
      </c>
      <c r="W182" t="s">
        <v>1438</v>
      </c>
      <c r="X182" t="s">
        <v>1439</v>
      </c>
      <c r="Y182" t="s">
        <v>1440</v>
      </c>
      <c r="Z182" t="s">
        <v>80</v>
      </c>
      <c r="AA182" t="s">
        <v>85</v>
      </c>
      <c r="AC182" t="s">
        <v>1441</v>
      </c>
      <c r="AD182" t="s">
        <v>87</v>
      </c>
      <c r="AG182" t="s">
        <v>1442</v>
      </c>
      <c r="AH182" t="s">
        <v>91</v>
      </c>
      <c r="AI182" t="s">
        <v>92</v>
      </c>
      <c r="AJ182" t="s">
        <v>131</v>
      </c>
      <c r="AK182" t="s">
        <v>1443</v>
      </c>
      <c r="AL182" t="s">
        <v>95</v>
      </c>
      <c r="AM182" t="s">
        <v>96</v>
      </c>
      <c r="AN182" t="s">
        <v>97</v>
      </c>
      <c r="AO182" t="s">
        <v>98</v>
      </c>
      <c r="AP182" t="s">
        <v>78</v>
      </c>
      <c r="AQ182" t="s">
        <v>99</v>
      </c>
      <c r="AS182" t="s">
        <v>78</v>
      </c>
      <c r="AT182" t="s">
        <v>100</v>
      </c>
      <c r="AU182" t="s">
        <v>100</v>
      </c>
      <c r="AW182" t="s">
        <v>85</v>
      </c>
      <c r="AX182" t="s">
        <v>101</v>
      </c>
      <c r="AY182" t="s">
        <v>102</v>
      </c>
      <c r="AZ182" t="s">
        <v>103</v>
      </c>
      <c r="BA182" t="s">
        <v>133</v>
      </c>
      <c r="BB182" t="s">
        <v>78</v>
      </c>
      <c r="BC182" t="s">
        <v>78</v>
      </c>
      <c r="BE182">
        <v>0</v>
      </c>
      <c r="BF182">
        <v>0</v>
      </c>
      <c r="BG182">
        <v>0</v>
      </c>
      <c r="BH182">
        <v>0</v>
      </c>
      <c r="BJ182" t="s">
        <v>85</v>
      </c>
      <c r="BP182" t="s">
        <v>78</v>
      </c>
      <c r="BQ182" t="s">
        <v>78</v>
      </c>
      <c r="BR182" t="s">
        <v>78</v>
      </c>
    </row>
    <row r="183" customFormat="1" spans="1:70">
      <c r="A183" t="s">
        <v>1444</v>
      </c>
      <c r="B183" t="s">
        <v>1444</v>
      </c>
      <c r="C183" t="s">
        <v>107</v>
      </c>
      <c r="D183" t="s">
        <v>108</v>
      </c>
      <c r="E183">
        <v>1</v>
      </c>
      <c r="F183" t="s">
        <v>109</v>
      </c>
      <c r="G183" t="s">
        <v>110</v>
      </c>
      <c r="H183">
        <v>289</v>
      </c>
      <c r="I183">
        <v>289</v>
      </c>
      <c r="J183">
        <v>0</v>
      </c>
      <c r="K183">
        <v>0</v>
      </c>
      <c r="L183" t="s">
        <v>78</v>
      </c>
      <c r="M183" t="s">
        <v>78</v>
      </c>
      <c r="N183" t="s">
        <v>78</v>
      </c>
      <c r="O183">
        <v>0</v>
      </c>
      <c r="P183">
        <v>0</v>
      </c>
      <c r="Q183">
        <v>0</v>
      </c>
      <c r="R183" t="s">
        <v>125</v>
      </c>
      <c r="S183">
        <v>0</v>
      </c>
      <c r="T183" t="s">
        <v>80</v>
      </c>
      <c r="U183" t="s">
        <v>80</v>
      </c>
      <c r="V183" t="s">
        <v>138</v>
      </c>
      <c r="W183" t="s">
        <v>1438</v>
      </c>
      <c r="X183" t="s">
        <v>1439</v>
      </c>
      <c r="Y183" t="s">
        <v>1440</v>
      </c>
      <c r="Z183" t="s">
        <v>80</v>
      </c>
      <c r="AA183" t="s">
        <v>85</v>
      </c>
      <c r="AC183" t="s">
        <v>1445</v>
      </c>
      <c r="AD183" t="s">
        <v>87</v>
      </c>
      <c r="AH183" t="s">
        <v>91</v>
      </c>
      <c r="AI183" t="s">
        <v>92</v>
      </c>
      <c r="AJ183" t="s">
        <v>131</v>
      </c>
      <c r="AK183" t="s">
        <v>1446</v>
      </c>
      <c r="AL183" t="s">
        <v>95</v>
      </c>
      <c r="AM183" t="s">
        <v>96</v>
      </c>
      <c r="AN183" t="s">
        <v>97</v>
      </c>
      <c r="AO183" t="s">
        <v>98</v>
      </c>
      <c r="AP183" t="s">
        <v>78</v>
      </c>
      <c r="AQ183" t="s">
        <v>78</v>
      </c>
      <c r="AR183" t="s">
        <v>353</v>
      </c>
      <c r="AS183" t="s">
        <v>78</v>
      </c>
      <c r="AT183" t="s">
        <v>100</v>
      </c>
      <c r="AU183" t="s">
        <v>100</v>
      </c>
      <c r="AW183" t="s">
        <v>85</v>
      </c>
      <c r="AX183" t="s">
        <v>101</v>
      </c>
      <c r="AY183" t="s">
        <v>102</v>
      </c>
      <c r="AZ183" t="s">
        <v>103</v>
      </c>
      <c r="BA183" t="s">
        <v>133</v>
      </c>
      <c r="BB183" t="s">
        <v>78</v>
      </c>
      <c r="BC183" t="s">
        <v>78</v>
      </c>
      <c r="BE183">
        <v>0</v>
      </c>
      <c r="BF183">
        <v>0</v>
      </c>
      <c r="BG183">
        <v>0</v>
      </c>
      <c r="BH183">
        <v>0</v>
      </c>
      <c r="BJ183" t="s">
        <v>85</v>
      </c>
      <c r="BP183" t="s">
        <v>78</v>
      </c>
      <c r="BQ183" t="s">
        <v>78</v>
      </c>
      <c r="BR183" t="s">
        <v>78</v>
      </c>
    </row>
    <row r="184" customFormat="1" spans="1:70">
      <c r="A184" t="s">
        <v>1447</v>
      </c>
      <c r="B184" t="s">
        <v>1447</v>
      </c>
      <c r="C184" t="s">
        <v>1050</v>
      </c>
      <c r="D184" t="s">
        <v>1189</v>
      </c>
      <c r="E184">
        <v>1</v>
      </c>
      <c r="F184" t="s">
        <v>1052</v>
      </c>
      <c r="G184" t="s">
        <v>1190</v>
      </c>
      <c r="H184">
        <v>129</v>
      </c>
      <c r="I184">
        <v>129</v>
      </c>
      <c r="J184">
        <v>0</v>
      </c>
      <c r="K184">
        <v>0</v>
      </c>
      <c r="L184" t="s">
        <v>78</v>
      </c>
      <c r="M184" t="s">
        <v>78</v>
      </c>
      <c r="N184" t="s">
        <v>78</v>
      </c>
      <c r="O184">
        <v>0</v>
      </c>
      <c r="P184">
        <v>0</v>
      </c>
      <c r="Q184">
        <v>0</v>
      </c>
      <c r="R184" t="s">
        <v>111</v>
      </c>
      <c r="S184">
        <v>0</v>
      </c>
      <c r="T184" t="s">
        <v>80</v>
      </c>
      <c r="U184" t="s">
        <v>80</v>
      </c>
      <c r="V184" t="s">
        <v>112</v>
      </c>
      <c r="W184" t="s">
        <v>906</v>
      </c>
      <c r="X184" t="s">
        <v>907</v>
      </c>
      <c r="Y184" t="s">
        <v>1448</v>
      </c>
      <c r="Z184" t="s">
        <v>80</v>
      </c>
      <c r="AA184" t="s">
        <v>85</v>
      </c>
      <c r="AC184" t="s">
        <v>1449</v>
      </c>
      <c r="AD184" t="s">
        <v>87</v>
      </c>
      <c r="AF184" t="s">
        <v>1450</v>
      </c>
      <c r="AG184" t="s">
        <v>1451</v>
      </c>
      <c r="AH184" t="s">
        <v>91</v>
      </c>
      <c r="AI184" t="s">
        <v>92</v>
      </c>
      <c r="AJ184" t="s">
        <v>93</v>
      </c>
      <c r="AK184" t="s">
        <v>1452</v>
      </c>
      <c r="AL184" t="s">
        <v>95</v>
      </c>
      <c r="AM184" t="s">
        <v>96</v>
      </c>
      <c r="AN184" t="s">
        <v>97</v>
      </c>
      <c r="AO184" t="s">
        <v>98</v>
      </c>
      <c r="AP184" t="s">
        <v>78</v>
      </c>
      <c r="AQ184" t="s">
        <v>78</v>
      </c>
      <c r="AS184" t="s">
        <v>78</v>
      </c>
      <c r="AT184" t="s">
        <v>100</v>
      </c>
      <c r="AU184" t="s">
        <v>100</v>
      </c>
      <c r="AW184" t="s">
        <v>85</v>
      </c>
      <c r="AX184" t="s">
        <v>101</v>
      </c>
      <c r="AY184" t="s">
        <v>102</v>
      </c>
      <c r="AZ184" t="s">
        <v>103</v>
      </c>
      <c r="BA184" t="s">
        <v>120</v>
      </c>
      <c r="BB184" t="s">
        <v>78</v>
      </c>
      <c r="BC184" t="s">
        <v>78</v>
      </c>
      <c r="BD184" t="s">
        <v>1453</v>
      </c>
      <c r="BE184">
        <v>0</v>
      </c>
      <c r="BF184">
        <v>0</v>
      </c>
      <c r="BG184">
        <v>0</v>
      </c>
      <c r="BH184">
        <v>0</v>
      </c>
      <c r="BJ184" t="s">
        <v>85</v>
      </c>
      <c r="BP184" t="s">
        <v>78</v>
      </c>
      <c r="BQ184" t="s">
        <v>78</v>
      </c>
      <c r="BR184" t="s">
        <v>78</v>
      </c>
    </row>
    <row r="185" customFormat="1" spans="1:70">
      <c r="A185" t="s">
        <v>1454</v>
      </c>
      <c r="B185" t="s">
        <v>1454</v>
      </c>
      <c r="C185" t="s">
        <v>1050</v>
      </c>
      <c r="D185" t="s">
        <v>1377</v>
      </c>
      <c r="E185">
        <v>1</v>
      </c>
      <c r="F185" t="s">
        <v>1052</v>
      </c>
      <c r="G185" t="s">
        <v>1378</v>
      </c>
      <c r="H185">
        <v>129</v>
      </c>
      <c r="I185">
        <v>129</v>
      </c>
      <c r="J185">
        <v>0</v>
      </c>
      <c r="K185">
        <v>0</v>
      </c>
      <c r="L185" t="s">
        <v>78</v>
      </c>
      <c r="M185" t="s">
        <v>78</v>
      </c>
      <c r="N185" t="s">
        <v>78</v>
      </c>
      <c r="O185">
        <v>0</v>
      </c>
      <c r="P185">
        <v>0</v>
      </c>
      <c r="Q185">
        <v>0</v>
      </c>
      <c r="R185" t="s">
        <v>125</v>
      </c>
      <c r="S185">
        <v>0</v>
      </c>
      <c r="T185" t="s">
        <v>80</v>
      </c>
      <c r="U185" t="s">
        <v>80</v>
      </c>
      <c r="V185" t="s">
        <v>556</v>
      </c>
      <c r="W185" t="s">
        <v>953</v>
      </c>
      <c r="X185" t="s">
        <v>954</v>
      </c>
      <c r="Y185" t="s">
        <v>1455</v>
      </c>
      <c r="Z185" t="s">
        <v>80</v>
      </c>
      <c r="AA185" t="s">
        <v>85</v>
      </c>
      <c r="AC185" t="s">
        <v>1456</v>
      </c>
      <c r="AD185" t="s">
        <v>87</v>
      </c>
      <c r="AG185" t="s">
        <v>1457</v>
      </c>
      <c r="AH185" t="s">
        <v>91</v>
      </c>
      <c r="AI185" t="s">
        <v>92</v>
      </c>
      <c r="AJ185" t="s">
        <v>131</v>
      </c>
      <c r="AK185" t="s">
        <v>1458</v>
      </c>
      <c r="AL185" t="s">
        <v>95</v>
      </c>
      <c r="AM185" t="s">
        <v>96</v>
      </c>
      <c r="AN185" t="s">
        <v>97</v>
      </c>
      <c r="AO185" t="s">
        <v>98</v>
      </c>
      <c r="AP185" t="s">
        <v>78</v>
      </c>
      <c r="AQ185" t="s">
        <v>99</v>
      </c>
      <c r="AS185" t="s">
        <v>78</v>
      </c>
      <c r="AT185" t="s">
        <v>100</v>
      </c>
      <c r="AU185" t="s">
        <v>100</v>
      </c>
      <c r="AW185" t="s">
        <v>85</v>
      </c>
      <c r="AX185" t="s">
        <v>101</v>
      </c>
      <c r="AY185" t="s">
        <v>102</v>
      </c>
      <c r="AZ185" t="s">
        <v>103</v>
      </c>
      <c r="BA185" t="s">
        <v>104</v>
      </c>
      <c r="BB185" t="s">
        <v>78</v>
      </c>
      <c r="BC185" t="s">
        <v>78</v>
      </c>
      <c r="BE185">
        <v>0</v>
      </c>
      <c r="BF185">
        <v>0</v>
      </c>
      <c r="BG185">
        <v>0</v>
      </c>
      <c r="BH185">
        <v>0</v>
      </c>
      <c r="BJ185" t="s">
        <v>85</v>
      </c>
      <c r="BP185" t="s">
        <v>78</v>
      </c>
      <c r="BQ185" t="s">
        <v>78</v>
      </c>
      <c r="BR185" t="s">
        <v>78</v>
      </c>
    </row>
    <row r="186" customFormat="1" spans="1:70">
      <c r="A186" t="s">
        <v>1459</v>
      </c>
      <c r="B186" t="s">
        <v>1459</v>
      </c>
      <c r="C186" t="s">
        <v>107</v>
      </c>
      <c r="D186" t="s">
        <v>108</v>
      </c>
      <c r="E186">
        <v>1</v>
      </c>
      <c r="F186" t="s">
        <v>109</v>
      </c>
      <c r="G186" t="s">
        <v>110</v>
      </c>
      <c r="H186">
        <v>289</v>
      </c>
      <c r="I186">
        <v>289</v>
      </c>
      <c r="J186">
        <v>0</v>
      </c>
      <c r="K186">
        <v>0</v>
      </c>
      <c r="L186" t="s">
        <v>78</v>
      </c>
      <c r="M186" t="s">
        <v>78</v>
      </c>
      <c r="N186" t="s">
        <v>78</v>
      </c>
      <c r="O186">
        <v>0</v>
      </c>
      <c r="P186">
        <v>0</v>
      </c>
      <c r="Q186">
        <v>0</v>
      </c>
      <c r="R186" t="s">
        <v>125</v>
      </c>
      <c r="S186">
        <v>0</v>
      </c>
      <c r="T186" t="s">
        <v>80</v>
      </c>
      <c r="U186" t="s">
        <v>80</v>
      </c>
      <c r="V186" t="s">
        <v>464</v>
      </c>
      <c r="W186" t="s">
        <v>1460</v>
      </c>
      <c r="X186" t="s">
        <v>1461</v>
      </c>
      <c r="Y186" t="s">
        <v>1462</v>
      </c>
      <c r="Z186" t="s">
        <v>80</v>
      </c>
      <c r="AA186" t="s">
        <v>85</v>
      </c>
      <c r="AC186" t="s">
        <v>1463</v>
      </c>
      <c r="AD186" t="s">
        <v>87</v>
      </c>
      <c r="AF186" t="s">
        <v>1387</v>
      </c>
      <c r="AG186" t="s">
        <v>1464</v>
      </c>
      <c r="AH186" t="s">
        <v>91</v>
      </c>
      <c r="AI186" t="s">
        <v>92</v>
      </c>
      <c r="AJ186" t="s">
        <v>93</v>
      </c>
      <c r="AK186" t="s">
        <v>1465</v>
      </c>
      <c r="AL186" t="s">
        <v>95</v>
      </c>
      <c r="AM186" t="s">
        <v>96</v>
      </c>
      <c r="AN186" t="s">
        <v>97</v>
      </c>
      <c r="AO186" t="s">
        <v>98</v>
      </c>
      <c r="AP186" t="s">
        <v>78</v>
      </c>
      <c r="AQ186" t="s">
        <v>78</v>
      </c>
      <c r="AS186" t="s">
        <v>78</v>
      </c>
      <c r="AT186" t="s">
        <v>100</v>
      </c>
      <c r="AU186" t="s">
        <v>100</v>
      </c>
      <c r="AW186" t="s">
        <v>85</v>
      </c>
      <c r="AX186" t="s">
        <v>101</v>
      </c>
      <c r="AY186" t="s">
        <v>102</v>
      </c>
      <c r="AZ186" t="s">
        <v>103</v>
      </c>
      <c r="BA186" t="s">
        <v>120</v>
      </c>
      <c r="BB186" t="s">
        <v>78</v>
      </c>
      <c r="BC186" t="s">
        <v>78</v>
      </c>
      <c r="BD186" t="s">
        <v>1375</v>
      </c>
      <c r="BE186">
        <v>0</v>
      </c>
      <c r="BF186">
        <v>0</v>
      </c>
      <c r="BG186">
        <v>0</v>
      </c>
      <c r="BH186">
        <v>0</v>
      </c>
      <c r="BJ186" t="s">
        <v>85</v>
      </c>
      <c r="BP186" t="s">
        <v>78</v>
      </c>
      <c r="BQ186" t="s">
        <v>78</v>
      </c>
      <c r="BR186" t="s">
        <v>78</v>
      </c>
    </row>
    <row r="187" customFormat="1" spans="1:70">
      <c r="A187" t="s">
        <v>1466</v>
      </c>
      <c r="B187" t="s">
        <v>1466</v>
      </c>
      <c r="C187" t="s">
        <v>107</v>
      </c>
      <c r="D187" t="s">
        <v>108</v>
      </c>
      <c r="E187">
        <v>1</v>
      </c>
      <c r="F187" t="s">
        <v>109</v>
      </c>
      <c r="G187" t="s">
        <v>110</v>
      </c>
      <c r="H187">
        <v>289</v>
      </c>
      <c r="I187">
        <v>289</v>
      </c>
      <c r="J187">
        <v>0</v>
      </c>
      <c r="K187">
        <v>0.59</v>
      </c>
      <c r="L187" t="s">
        <v>78</v>
      </c>
      <c r="M187" t="s">
        <v>78</v>
      </c>
      <c r="N187" t="s">
        <v>78</v>
      </c>
      <c r="O187">
        <v>0</v>
      </c>
      <c r="P187">
        <v>0.59</v>
      </c>
      <c r="Q187">
        <v>0</v>
      </c>
      <c r="R187" t="s">
        <v>125</v>
      </c>
      <c r="S187">
        <v>0</v>
      </c>
      <c r="T187" t="s">
        <v>80</v>
      </c>
      <c r="U187" t="s">
        <v>80</v>
      </c>
      <c r="V187" t="s">
        <v>347</v>
      </c>
      <c r="W187" t="s">
        <v>348</v>
      </c>
      <c r="X187" t="s">
        <v>1467</v>
      </c>
      <c r="Y187" t="s">
        <v>1468</v>
      </c>
      <c r="Z187" t="s">
        <v>80</v>
      </c>
      <c r="AA187" t="s">
        <v>85</v>
      </c>
      <c r="AC187" t="s">
        <v>1469</v>
      </c>
      <c r="AD187" t="s">
        <v>87</v>
      </c>
      <c r="AF187" t="s">
        <v>1387</v>
      </c>
      <c r="AG187" t="s">
        <v>1470</v>
      </c>
      <c r="AH187" t="s">
        <v>91</v>
      </c>
      <c r="AI187" t="s">
        <v>92</v>
      </c>
      <c r="AJ187" t="s">
        <v>93</v>
      </c>
      <c r="AK187" t="s">
        <v>1471</v>
      </c>
      <c r="AL187" t="s">
        <v>95</v>
      </c>
      <c r="AM187" t="s">
        <v>96</v>
      </c>
      <c r="AN187" t="s">
        <v>97</v>
      </c>
      <c r="AO187" t="s">
        <v>98</v>
      </c>
      <c r="AP187" t="s">
        <v>78</v>
      </c>
      <c r="AQ187" t="s">
        <v>78</v>
      </c>
      <c r="AS187" t="s">
        <v>78</v>
      </c>
      <c r="AT187" t="s">
        <v>100</v>
      </c>
      <c r="AU187" t="s">
        <v>100</v>
      </c>
      <c r="AW187" t="s">
        <v>85</v>
      </c>
      <c r="AX187" t="s">
        <v>101</v>
      </c>
      <c r="AY187" t="s">
        <v>102</v>
      </c>
      <c r="AZ187" t="s">
        <v>103</v>
      </c>
      <c r="BA187" t="s">
        <v>133</v>
      </c>
      <c r="BB187" t="s">
        <v>78</v>
      </c>
      <c r="BC187" t="s">
        <v>78</v>
      </c>
      <c r="BD187" t="s">
        <v>1375</v>
      </c>
      <c r="BE187">
        <v>0</v>
      </c>
      <c r="BF187">
        <v>0</v>
      </c>
      <c r="BG187">
        <v>0</v>
      </c>
      <c r="BH187">
        <v>0</v>
      </c>
      <c r="BJ187" t="s">
        <v>85</v>
      </c>
      <c r="BP187" t="s">
        <v>78</v>
      </c>
      <c r="BQ187" t="s">
        <v>78</v>
      </c>
      <c r="BR187" t="s">
        <v>78</v>
      </c>
    </row>
    <row r="188" customFormat="1" spans="1:70">
      <c r="A188" t="s">
        <v>1472</v>
      </c>
      <c r="B188" t="s">
        <v>1472</v>
      </c>
      <c r="C188" t="s">
        <v>107</v>
      </c>
      <c r="D188" t="s">
        <v>108</v>
      </c>
      <c r="E188">
        <v>1</v>
      </c>
      <c r="F188" t="s">
        <v>109</v>
      </c>
      <c r="G188" t="s">
        <v>110</v>
      </c>
      <c r="H188">
        <v>289</v>
      </c>
      <c r="I188">
        <v>279</v>
      </c>
      <c r="J188">
        <v>0</v>
      </c>
      <c r="K188">
        <v>10</v>
      </c>
      <c r="L188" t="s">
        <v>1473</v>
      </c>
      <c r="M188" t="s">
        <v>78</v>
      </c>
      <c r="N188" t="s">
        <v>78</v>
      </c>
      <c r="O188">
        <v>0</v>
      </c>
      <c r="P188">
        <v>0</v>
      </c>
      <c r="Q188">
        <v>0</v>
      </c>
      <c r="R188" t="s">
        <v>125</v>
      </c>
      <c r="S188">
        <v>0</v>
      </c>
      <c r="T188" t="s">
        <v>80</v>
      </c>
      <c r="U188" t="s">
        <v>80</v>
      </c>
      <c r="V188" t="s">
        <v>325</v>
      </c>
      <c r="W188" t="s">
        <v>788</v>
      </c>
      <c r="X188" t="s">
        <v>789</v>
      </c>
      <c r="Y188" t="s">
        <v>790</v>
      </c>
      <c r="Z188" t="s">
        <v>80</v>
      </c>
      <c r="AA188" t="s">
        <v>85</v>
      </c>
      <c r="AC188" t="s">
        <v>1474</v>
      </c>
      <c r="AD188" t="s">
        <v>87</v>
      </c>
      <c r="AG188" t="s">
        <v>1475</v>
      </c>
      <c r="AH188" t="s">
        <v>91</v>
      </c>
      <c r="AI188" t="s">
        <v>216</v>
      </c>
      <c r="AJ188" t="s">
        <v>131</v>
      </c>
      <c r="AK188" t="s">
        <v>1476</v>
      </c>
      <c r="AL188" t="s">
        <v>95</v>
      </c>
      <c r="AM188" t="s">
        <v>96</v>
      </c>
      <c r="AN188" t="s">
        <v>96</v>
      </c>
      <c r="AP188" t="s">
        <v>78</v>
      </c>
      <c r="AQ188" t="s">
        <v>99</v>
      </c>
      <c r="AS188" t="s">
        <v>78</v>
      </c>
      <c r="AT188" t="s">
        <v>100</v>
      </c>
      <c r="AU188" t="s">
        <v>100</v>
      </c>
      <c r="AW188" t="s">
        <v>85</v>
      </c>
      <c r="AX188" t="s">
        <v>101</v>
      </c>
      <c r="AY188" t="s">
        <v>102</v>
      </c>
      <c r="AZ188" t="s">
        <v>145</v>
      </c>
      <c r="BA188" t="s">
        <v>102</v>
      </c>
      <c r="BB188" t="s">
        <v>78</v>
      </c>
      <c r="BC188" t="s">
        <v>78</v>
      </c>
      <c r="BE188">
        <v>0</v>
      </c>
      <c r="BF188">
        <v>10</v>
      </c>
      <c r="BG188">
        <v>0</v>
      </c>
      <c r="BH188">
        <v>0</v>
      </c>
      <c r="BJ188" t="s">
        <v>85</v>
      </c>
      <c r="BP188" t="s">
        <v>78</v>
      </c>
      <c r="BQ188" t="s">
        <v>78</v>
      </c>
      <c r="BR188" t="s">
        <v>78</v>
      </c>
    </row>
    <row r="189" customFormat="1" spans="1:70">
      <c r="A189" t="s">
        <v>1477</v>
      </c>
      <c r="B189" t="s">
        <v>1477</v>
      </c>
      <c r="C189" t="s">
        <v>1126</v>
      </c>
      <c r="D189" t="s">
        <v>1127</v>
      </c>
      <c r="E189">
        <v>1</v>
      </c>
      <c r="F189" t="s">
        <v>1128</v>
      </c>
      <c r="G189" t="s">
        <v>1129</v>
      </c>
      <c r="H189">
        <v>249</v>
      </c>
      <c r="I189">
        <v>249</v>
      </c>
      <c r="J189">
        <v>0</v>
      </c>
      <c r="K189">
        <v>0</v>
      </c>
      <c r="L189" t="s">
        <v>78</v>
      </c>
      <c r="M189" t="s">
        <v>78</v>
      </c>
      <c r="N189" t="s">
        <v>78</v>
      </c>
      <c r="O189">
        <v>0</v>
      </c>
      <c r="P189">
        <v>0</v>
      </c>
      <c r="Q189">
        <v>0</v>
      </c>
      <c r="R189" t="s">
        <v>79</v>
      </c>
      <c r="S189">
        <v>0</v>
      </c>
      <c r="T189" t="s">
        <v>80</v>
      </c>
      <c r="U189" t="s">
        <v>80</v>
      </c>
      <c r="V189" t="s">
        <v>138</v>
      </c>
      <c r="W189" t="s">
        <v>139</v>
      </c>
      <c r="X189" t="s">
        <v>1478</v>
      </c>
      <c r="Y189" t="s">
        <v>1479</v>
      </c>
      <c r="Z189" t="s">
        <v>80</v>
      </c>
      <c r="AA189" t="s">
        <v>85</v>
      </c>
      <c r="AC189" t="s">
        <v>1480</v>
      </c>
      <c r="AD189" t="s">
        <v>87</v>
      </c>
      <c r="AF189" t="s">
        <v>1217</v>
      </c>
      <c r="AG189" t="s">
        <v>1481</v>
      </c>
      <c r="AH189" t="s">
        <v>91</v>
      </c>
      <c r="AI189" t="s">
        <v>92</v>
      </c>
      <c r="AJ189" t="s">
        <v>93</v>
      </c>
      <c r="AK189" t="s">
        <v>1482</v>
      </c>
      <c r="AL189" t="s">
        <v>95</v>
      </c>
      <c r="AM189" t="s">
        <v>96</v>
      </c>
      <c r="AN189" t="s">
        <v>97</v>
      </c>
      <c r="AO189" t="s">
        <v>98</v>
      </c>
      <c r="AP189" t="s">
        <v>78</v>
      </c>
      <c r="AQ189" t="s">
        <v>78</v>
      </c>
      <c r="AS189" t="s">
        <v>78</v>
      </c>
      <c r="AT189" t="s">
        <v>100</v>
      </c>
      <c r="AU189" t="s">
        <v>100</v>
      </c>
      <c r="AW189" t="s">
        <v>85</v>
      </c>
      <c r="AX189" t="s">
        <v>103</v>
      </c>
      <c r="AY189" t="s">
        <v>159</v>
      </c>
      <c r="AZ189" t="s">
        <v>103</v>
      </c>
      <c r="BA189" t="s">
        <v>419</v>
      </c>
      <c r="BB189" t="s">
        <v>78</v>
      </c>
      <c r="BC189" t="s">
        <v>78</v>
      </c>
      <c r="BD189" t="s">
        <v>1220</v>
      </c>
      <c r="BE189">
        <v>0</v>
      </c>
      <c r="BF189">
        <v>0</v>
      </c>
      <c r="BG189">
        <v>0</v>
      </c>
      <c r="BH189">
        <v>0</v>
      </c>
      <c r="BJ189" t="s">
        <v>85</v>
      </c>
      <c r="BP189" t="s">
        <v>78</v>
      </c>
      <c r="BQ189" t="s">
        <v>78</v>
      </c>
      <c r="BR189" t="s">
        <v>78</v>
      </c>
    </row>
    <row r="190" customFormat="1" spans="1:70">
      <c r="A190" t="s">
        <v>1483</v>
      </c>
      <c r="B190" t="s">
        <v>1483</v>
      </c>
      <c r="C190" t="s">
        <v>107</v>
      </c>
      <c r="D190" t="s">
        <v>123</v>
      </c>
      <c r="E190">
        <v>1</v>
      </c>
      <c r="F190" t="s">
        <v>109</v>
      </c>
      <c r="G190" t="s">
        <v>124</v>
      </c>
      <c r="H190">
        <v>289</v>
      </c>
      <c r="I190">
        <v>289</v>
      </c>
      <c r="J190">
        <v>0</v>
      </c>
      <c r="K190">
        <v>0</v>
      </c>
      <c r="L190" t="s">
        <v>78</v>
      </c>
      <c r="M190" t="s">
        <v>78</v>
      </c>
      <c r="N190" t="s">
        <v>78</v>
      </c>
      <c r="O190">
        <v>0</v>
      </c>
      <c r="P190">
        <v>0</v>
      </c>
      <c r="Q190">
        <v>0</v>
      </c>
      <c r="R190" t="s">
        <v>125</v>
      </c>
      <c r="S190">
        <v>0</v>
      </c>
      <c r="T190" t="s">
        <v>80</v>
      </c>
      <c r="U190" t="s">
        <v>80</v>
      </c>
      <c r="V190" t="s">
        <v>1261</v>
      </c>
      <c r="W190" t="s">
        <v>1262</v>
      </c>
      <c r="X190" t="s">
        <v>1484</v>
      </c>
      <c r="Y190" t="s">
        <v>1485</v>
      </c>
      <c r="Z190" t="s">
        <v>80</v>
      </c>
      <c r="AA190" t="s">
        <v>85</v>
      </c>
      <c r="AC190" t="s">
        <v>1486</v>
      </c>
      <c r="AD190" t="s">
        <v>87</v>
      </c>
      <c r="AH190" t="s">
        <v>183</v>
      </c>
      <c r="AI190" t="s">
        <v>92</v>
      </c>
      <c r="AJ190" t="s">
        <v>131</v>
      </c>
      <c r="AK190" t="s">
        <v>1487</v>
      </c>
      <c r="AL190" t="s">
        <v>95</v>
      </c>
      <c r="AM190" t="s">
        <v>96</v>
      </c>
      <c r="AN190" t="s">
        <v>97</v>
      </c>
      <c r="AO190" t="s">
        <v>98</v>
      </c>
      <c r="AP190" t="s">
        <v>78</v>
      </c>
      <c r="AQ190" t="s">
        <v>78</v>
      </c>
      <c r="AR190" t="s">
        <v>353</v>
      </c>
      <c r="AS190" t="s">
        <v>78</v>
      </c>
      <c r="AT190" t="s">
        <v>100</v>
      </c>
      <c r="AU190" t="s">
        <v>100</v>
      </c>
      <c r="AW190" t="s">
        <v>85</v>
      </c>
      <c r="AX190" t="s">
        <v>103</v>
      </c>
      <c r="AY190" t="s">
        <v>159</v>
      </c>
      <c r="AZ190" t="s">
        <v>103</v>
      </c>
      <c r="BA190" t="s">
        <v>185</v>
      </c>
      <c r="BB190" t="s">
        <v>78</v>
      </c>
      <c r="BC190" t="s">
        <v>78</v>
      </c>
      <c r="BE190">
        <v>0</v>
      </c>
      <c r="BF190">
        <v>0</v>
      </c>
      <c r="BG190">
        <v>0</v>
      </c>
      <c r="BH190">
        <v>0</v>
      </c>
      <c r="BJ190" t="s">
        <v>85</v>
      </c>
      <c r="BP190" t="s">
        <v>78</v>
      </c>
      <c r="BQ190" t="s">
        <v>78</v>
      </c>
      <c r="BR190" t="s">
        <v>78</v>
      </c>
    </row>
    <row r="191" customFormat="1" spans="1:70">
      <c r="A191" t="s">
        <v>1488</v>
      </c>
      <c r="B191" t="s">
        <v>1488</v>
      </c>
      <c r="C191" t="s">
        <v>107</v>
      </c>
      <c r="D191" t="s">
        <v>135</v>
      </c>
      <c r="E191">
        <v>1</v>
      </c>
      <c r="F191" t="s">
        <v>109</v>
      </c>
      <c r="G191" t="s">
        <v>136</v>
      </c>
      <c r="H191">
        <v>289</v>
      </c>
      <c r="I191">
        <v>289</v>
      </c>
      <c r="J191">
        <v>0</v>
      </c>
      <c r="K191">
        <v>0</v>
      </c>
      <c r="L191" t="s">
        <v>78</v>
      </c>
      <c r="M191" t="s">
        <v>78</v>
      </c>
      <c r="N191" t="s">
        <v>78</v>
      </c>
      <c r="O191">
        <v>0</v>
      </c>
      <c r="P191">
        <v>0</v>
      </c>
      <c r="Q191">
        <v>0</v>
      </c>
      <c r="R191" t="s">
        <v>125</v>
      </c>
      <c r="S191">
        <v>0</v>
      </c>
      <c r="T191" t="s">
        <v>80</v>
      </c>
      <c r="U191" t="s">
        <v>80</v>
      </c>
      <c r="V191" t="s">
        <v>161</v>
      </c>
      <c r="W191" t="s">
        <v>161</v>
      </c>
      <c r="X191" t="s">
        <v>1489</v>
      </c>
      <c r="Y191" t="s">
        <v>1490</v>
      </c>
      <c r="Z191" t="s">
        <v>80</v>
      </c>
      <c r="AA191" t="s">
        <v>85</v>
      </c>
      <c r="AC191" t="s">
        <v>1491</v>
      </c>
      <c r="AD191" t="s">
        <v>87</v>
      </c>
      <c r="AG191" t="s">
        <v>1492</v>
      </c>
      <c r="AH191" t="s">
        <v>91</v>
      </c>
      <c r="AI191" t="s">
        <v>92</v>
      </c>
      <c r="AJ191" t="s">
        <v>131</v>
      </c>
      <c r="AK191" t="s">
        <v>1493</v>
      </c>
      <c r="AL191" t="s">
        <v>95</v>
      </c>
      <c r="AM191" t="s">
        <v>96</v>
      </c>
      <c r="AN191" t="s">
        <v>97</v>
      </c>
      <c r="AO191" t="s">
        <v>98</v>
      </c>
      <c r="AP191" t="s">
        <v>78</v>
      </c>
      <c r="AQ191" t="s">
        <v>99</v>
      </c>
      <c r="AS191" t="s">
        <v>78</v>
      </c>
      <c r="AT191" t="s">
        <v>100</v>
      </c>
      <c r="AU191" t="s">
        <v>100</v>
      </c>
      <c r="AW191" t="s">
        <v>85</v>
      </c>
      <c r="AX191" t="s">
        <v>101</v>
      </c>
      <c r="AY191" t="s">
        <v>102</v>
      </c>
      <c r="AZ191" t="s">
        <v>103</v>
      </c>
      <c r="BA191" t="s">
        <v>245</v>
      </c>
      <c r="BB191" t="s">
        <v>78</v>
      </c>
      <c r="BC191" t="s">
        <v>78</v>
      </c>
      <c r="BE191">
        <v>0</v>
      </c>
      <c r="BF191">
        <v>0</v>
      </c>
      <c r="BG191">
        <v>0</v>
      </c>
      <c r="BH191">
        <v>0</v>
      </c>
      <c r="BJ191" t="s">
        <v>85</v>
      </c>
      <c r="BP191" t="s">
        <v>78</v>
      </c>
      <c r="BQ191" t="s">
        <v>78</v>
      </c>
      <c r="BR191" t="s">
        <v>78</v>
      </c>
    </row>
    <row r="192" customFormat="1" spans="1:70">
      <c r="A192" t="s">
        <v>1494</v>
      </c>
      <c r="B192" t="s">
        <v>1494</v>
      </c>
      <c r="C192" t="s">
        <v>107</v>
      </c>
      <c r="D192" t="s">
        <v>108</v>
      </c>
      <c r="E192">
        <v>1</v>
      </c>
      <c r="F192" t="s">
        <v>109</v>
      </c>
      <c r="G192" t="s">
        <v>110</v>
      </c>
      <c r="H192">
        <v>289</v>
      </c>
      <c r="I192">
        <v>289</v>
      </c>
      <c r="J192">
        <v>0</v>
      </c>
      <c r="K192">
        <v>0</v>
      </c>
      <c r="L192" t="s">
        <v>78</v>
      </c>
      <c r="M192" t="s">
        <v>78</v>
      </c>
      <c r="N192" t="s">
        <v>78</v>
      </c>
      <c r="O192">
        <v>0</v>
      </c>
      <c r="P192">
        <v>0</v>
      </c>
      <c r="Q192">
        <v>0</v>
      </c>
      <c r="R192" t="s">
        <v>125</v>
      </c>
      <c r="S192">
        <v>0</v>
      </c>
      <c r="T192" t="s">
        <v>80</v>
      </c>
      <c r="U192" t="s">
        <v>80</v>
      </c>
      <c r="V192" t="s">
        <v>556</v>
      </c>
      <c r="W192" t="s">
        <v>557</v>
      </c>
      <c r="X192" t="s">
        <v>1191</v>
      </c>
      <c r="Y192" t="s">
        <v>1192</v>
      </c>
      <c r="Z192" t="s">
        <v>80</v>
      </c>
      <c r="AA192" t="s">
        <v>85</v>
      </c>
      <c r="AC192" t="s">
        <v>1495</v>
      </c>
      <c r="AD192" t="s">
        <v>87</v>
      </c>
      <c r="AH192" t="s">
        <v>227</v>
      </c>
      <c r="AI192" t="s">
        <v>92</v>
      </c>
      <c r="AJ192" t="s">
        <v>131</v>
      </c>
      <c r="AK192" t="s">
        <v>1496</v>
      </c>
      <c r="AL192" t="s">
        <v>95</v>
      </c>
      <c r="AM192" t="s">
        <v>96</v>
      </c>
      <c r="AN192" t="s">
        <v>97</v>
      </c>
      <c r="AO192" t="s">
        <v>98</v>
      </c>
      <c r="AP192" t="s">
        <v>78</v>
      </c>
      <c r="AQ192" t="s">
        <v>78</v>
      </c>
      <c r="AR192" t="s">
        <v>353</v>
      </c>
      <c r="AS192" t="s">
        <v>78</v>
      </c>
      <c r="AT192" t="s">
        <v>100</v>
      </c>
      <c r="AU192" t="s">
        <v>100</v>
      </c>
      <c r="AW192" t="s">
        <v>85</v>
      </c>
      <c r="AX192" t="s">
        <v>103</v>
      </c>
      <c r="AY192" t="s">
        <v>159</v>
      </c>
      <c r="AZ192" t="s">
        <v>103</v>
      </c>
      <c r="BA192" t="s">
        <v>133</v>
      </c>
      <c r="BB192" t="s">
        <v>78</v>
      </c>
      <c r="BC192" t="s">
        <v>78</v>
      </c>
      <c r="BE192">
        <v>0</v>
      </c>
      <c r="BF192">
        <v>0</v>
      </c>
      <c r="BG192">
        <v>0</v>
      </c>
      <c r="BH192">
        <v>0</v>
      </c>
      <c r="BJ192" t="s">
        <v>85</v>
      </c>
      <c r="BP192" t="s">
        <v>78</v>
      </c>
      <c r="BQ192" t="s">
        <v>78</v>
      </c>
      <c r="BR192" t="s">
        <v>78</v>
      </c>
    </row>
    <row r="193" customFormat="1" spans="1:70">
      <c r="A193" t="s">
        <v>1497</v>
      </c>
      <c r="B193" t="s">
        <v>1497</v>
      </c>
      <c r="C193" t="s">
        <v>107</v>
      </c>
      <c r="D193" t="s">
        <v>123</v>
      </c>
      <c r="E193">
        <v>1</v>
      </c>
      <c r="F193" t="s">
        <v>109</v>
      </c>
      <c r="G193" t="s">
        <v>124</v>
      </c>
      <c r="H193">
        <v>289</v>
      </c>
      <c r="I193">
        <v>289</v>
      </c>
      <c r="J193">
        <v>0</v>
      </c>
      <c r="K193">
        <v>0</v>
      </c>
      <c r="L193" t="s">
        <v>78</v>
      </c>
      <c r="M193" t="s">
        <v>78</v>
      </c>
      <c r="N193" t="s">
        <v>78</v>
      </c>
      <c r="O193">
        <v>0</v>
      </c>
      <c r="P193">
        <v>0</v>
      </c>
      <c r="Q193">
        <v>0</v>
      </c>
      <c r="R193" t="s">
        <v>125</v>
      </c>
      <c r="S193">
        <v>0</v>
      </c>
      <c r="T193" t="s">
        <v>80</v>
      </c>
      <c r="U193" t="s">
        <v>80</v>
      </c>
      <c r="V193" t="s">
        <v>347</v>
      </c>
      <c r="W193" t="s">
        <v>1498</v>
      </c>
      <c r="X193" t="s">
        <v>1499</v>
      </c>
      <c r="Y193" t="s">
        <v>1500</v>
      </c>
      <c r="Z193" t="s">
        <v>80</v>
      </c>
      <c r="AA193" t="s">
        <v>85</v>
      </c>
      <c r="AC193" t="s">
        <v>1501</v>
      </c>
      <c r="AD193" t="s">
        <v>87</v>
      </c>
      <c r="AH193" t="s">
        <v>91</v>
      </c>
      <c r="AI193" t="s">
        <v>92</v>
      </c>
      <c r="AJ193" t="s">
        <v>131</v>
      </c>
      <c r="AK193" t="s">
        <v>1502</v>
      </c>
      <c r="AL193" t="s">
        <v>95</v>
      </c>
      <c r="AM193" t="s">
        <v>96</v>
      </c>
      <c r="AN193" t="s">
        <v>97</v>
      </c>
      <c r="AO193" t="s">
        <v>98</v>
      </c>
      <c r="AP193" t="s">
        <v>78</v>
      </c>
      <c r="AQ193" t="s">
        <v>78</v>
      </c>
      <c r="AR193" t="s">
        <v>353</v>
      </c>
      <c r="AS193" t="s">
        <v>78</v>
      </c>
      <c r="AT193" t="s">
        <v>100</v>
      </c>
      <c r="AU193" t="s">
        <v>100</v>
      </c>
      <c r="AW193" t="s">
        <v>85</v>
      </c>
      <c r="AX193" t="s">
        <v>103</v>
      </c>
      <c r="AY193" t="s">
        <v>159</v>
      </c>
      <c r="AZ193" t="s">
        <v>103</v>
      </c>
      <c r="BA193" t="s">
        <v>133</v>
      </c>
      <c r="BB193" t="s">
        <v>78</v>
      </c>
      <c r="BC193" t="s">
        <v>78</v>
      </c>
      <c r="BE193">
        <v>0</v>
      </c>
      <c r="BF193">
        <v>0</v>
      </c>
      <c r="BG193">
        <v>0</v>
      </c>
      <c r="BH193">
        <v>0</v>
      </c>
      <c r="BJ193" t="s">
        <v>85</v>
      </c>
      <c r="BP193" t="s">
        <v>78</v>
      </c>
      <c r="BQ193" t="s">
        <v>78</v>
      </c>
      <c r="BR193" t="s">
        <v>78</v>
      </c>
    </row>
    <row r="194" customFormat="1" spans="1:70">
      <c r="A194" t="s">
        <v>1503</v>
      </c>
      <c r="B194" t="s">
        <v>1503</v>
      </c>
      <c r="C194" t="s">
        <v>1126</v>
      </c>
      <c r="D194" t="s">
        <v>1504</v>
      </c>
      <c r="E194">
        <v>1</v>
      </c>
      <c r="F194" t="s">
        <v>1128</v>
      </c>
      <c r="G194" t="s">
        <v>1505</v>
      </c>
      <c r="H194">
        <v>249</v>
      </c>
      <c r="I194">
        <v>249</v>
      </c>
      <c r="J194">
        <v>0</v>
      </c>
      <c r="K194">
        <v>0</v>
      </c>
      <c r="L194" t="s">
        <v>78</v>
      </c>
      <c r="M194" t="s">
        <v>78</v>
      </c>
      <c r="N194" t="s">
        <v>78</v>
      </c>
      <c r="O194">
        <v>0</v>
      </c>
      <c r="P194">
        <v>0</v>
      </c>
      <c r="Q194">
        <v>0</v>
      </c>
      <c r="R194" t="s">
        <v>79</v>
      </c>
      <c r="S194">
        <v>0</v>
      </c>
      <c r="T194" t="s">
        <v>80</v>
      </c>
      <c r="U194" t="s">
        <v>80</v>
      </c>
      <c r="V194" t="s">
        <v>271</v>
      </c>
      <c r="W194" t="s">
        <v>1506</v>
      </c>
      <c r="X194" t="s">
        <v>1507</v>
      </c>
      <c r="Y194" t="s">
        <v>1508</v>
      </c>
      <c r="Z194" t="s">
        <v>80</v>
      </c>
      <c r="AA194" t="s">
        <v>85</v>
      </c>
      <c r="AC194" t="s">
        <v>1509</v>
      </c>
      <c r="AD194" t="s">
        <v>87</v>
      </c>
      <c r="AG194" t="s">
        <v>1510</v>
      </c>
      <c r="AH194" t="s">
        <v>91</v>
      </c>
      <c r="AI194" t="s">
        <v>92</v>
      </c>
      <c r="AJ194" t="s">
        <v>131</v>
      </c>
      <c r="AK194" t="s">
        <v>1511</v>
      </c>
      <c r="AL194" t="s">
        <v>95</v>
      </c>
      <c r="AM194" t="s">
        <v>96</v>
      </c>
      <c r="AN194" t="s">
        <v>97</v>
      </c>
      <c r="AO194" t="s">
        <v>98</v>
      </c>
      <c r="AP194" t="s">
        <v>78</v>
      </c>
      <c r="AQ194" t="s">
        <v>99</v>
      </c>
      <c r="AS194" t="s">
        <v>78</v>
      </c>
      <c r="AT194" t="s">
        <v>100</v>
      </c>
      <c r="AU194" t="s">
        <v>100</v>
      </c>
      <c r="AW194" t="s">
        <v>85</v>
      </c>
      <c r="AX194" t="s">
        <v>103</v>
      </c>
      <c r="AY194" t="s">
        <v>159</v>
      </c>
      <c r="AZ194" t="s">
        <v>103</v>
      </c>
      <c r="BA194" t="s">
        <v>419</v>
      </c>
      <c r="BB194" t="s">
        <v>78</v>
      </c>
      <c r="BC194" t="s">
        <v>78</v>
      </c>
      <c r="BE194">
        <v>0</v>
      </c>
      <c r="BF194">
        <v>0</v>
      </c>
      <c r="BG194">
        <v>0</v>
      </c>
      <c r="BH194">
        <v>0</v>
      </c>
      <c r="BJ194" t="s">
        <v>85</v>
      </c>
      <c r="BP194" t="s">
        <v>78</v>
      </c>
      <c r="BQ194" t="s">
        <v>78</v>
      </c>
      <c r="BR194" t="s">
        <v>78</v>
      </c>
    </row>
    <row r="195" customFormat="1" spans="1:70">
      <c r="A195" t="s">
        <v>1512</v>
      </c>
      <c r="B195" t="s">
        <v>1512</v>
      </c>
      <c r="C195" t="s">
        <v>107</v>
      </c>
      <c r="D195" t="s">
        <v>123</v>
      </c>
      <c r="E195">
        <v>1</v>
      </c>
      <c r="F195" t="s">
        <v>109</v>
      </c>
      <c r="G195" t="s">
        <v>124</v>
      </c>
      <c r="H195">
        <v>289</v>
      </c>
      <c r="I195">
        <v>289</v>
      </c>
      <c r="J195">
        <v>0</v>
      </c>
      <c r="K195">
        <v>0</v>
      </c>
      <c r="L195" t="s">
        <v>78</v>
      </c>
      <c r="M195" t="s">
        <v>78</v>
      </c>
      <c r="N195" t="s">
        <v>78</v>
      </c>
      <c r="O195">
        <v>0</v>
      </c>
      <c r="P195">
        <v>0</v>
      </c>
      <c r="Q195">
        <v>0</v>
      </c>
      <c r="R195" t="s">
        <v>79</v>
      </c>
      <c r="S195">
        <v>0</v>
      </c>
      <c r="T195" t="s">
        <v>80</v>
      </c>
      <c r="U195" t="s">
        <v>80</v>
      </c>
      <c r="V195" t="s">
        <v>112</v>
      </c>
      <c r="W195" t="s">
        <v>198</v>
      </c>
      <c r="X195" t="s">
        <v>199</v>
      </c>
      <c r="Y195" t="s">
        <v>200</v>
      </c>
      <c r="Z195" t="s">
        <v>80</v>
      </c>
      <c r="AA195" t="s">
        <v>85</v>
      </c>
      <c r="AC195" t="s">
        <v>1513</v>
      </c>
      <c r="AD195" t="s">
        <v>87</v>
      </c>
      <c r="AG195" t="s">
        <v>1514</v>
      </c>
      <c r="AH195" t="s">
        <v>91</v>
      </c>
      <c r="AI195" t="s">
        <v>92</v>
      </c>
      <c r="AJ195" t="s">
        <v>131</v>
      </c>
      <c r="AK195" t="s">
        <v>1515</v>
      </c>
      <c r="AL195" t="s">
        <v>95</v>
      </c>
      <c r="AM195" t="s">
        <v>96</v>
      </c>
      <c r="AN195" t="s">
        <v>97</v>
      </c>
      <c r="AO195" t="s">
        <v>98</v>
      </c>
      <c r="AP195" t="s">
        <v>78</v>
      </c>
      <c r="AQ195" t="s">
        <v>99</v>
      </c>
      <c r="AS195" t="s">
        <v>78</v>
      </c>
      <c r="AT195" t="s">
        <v>100</v>
      </c>
      <c r="AU195" t="s">
        <v>100</v>
      </c>
      <c r="AW195" t="s">
        <v>85</v>
      </c>
      <c r="AX195" t="s">
        <v>103</v>
      </c>
      <c r="AY195" t="s">
        <v>159</v>
      </c>
      <c r="AZ195" t="s">
        <v>103</v>
      </c>
      <c r="BA195" t="s">
        <v>102</v>
      </c>
      <c r="BB195" t="s">
        <v>78</v>
      </c>
      <c r="BC195" t="s">
        <v>78</v>
      </c>
      <c r="BE195">
        <v>0</v>
      </c>
      <c r="BF195">
        <v>0</v>
      </c>
      <c r="BG195">
        <v>0</v>
      </c>
      <c r="BH195">
        <v>0</v>
      </c>
      <c r="BJ195" t="s">
        <v>85</v>
      </c>
      <c r="BP195" t="s">
        <v>78</v>
      </c>
      <c r="BQ195" t="s">
        <v>78</v>
      </c>
      <c r="BR195" t="s">
        <v>78</v>
      </c>
    </row>
    <row r="196" customFormat="1" spans="1:70">
      <c r="A196" t="s">
        <v>1516</v>
      </c>
      <c r="B196" t="s">
        <v>1516</v>
      </c>
      <c r="C196" t="s">
        <v>107</v>
      </c>
      <c r="D196" t="s">
        <v>108</v>
      </c>
      <c r="E196">
        <v>1</v>
      </c>
      <c r="F196" t="s">
        <v>109</v>
      </c>
      <c r="G196" t="s">
        <v>110</v>
      </c>
      <c r="H196">
        <v>289</v>
      </c>
      <c r="I196">
        <v>289</v>
      </c>
      <c r="J196">
        <v>0</v>
      </c>
      <c r="K196">
        <v>0</v>
      </c>
      <c r="L196" t="s">
        <v>78</v>
      </c>
      <c r="M196" t="s">
        <v>78</v>
      </c>
      <c r="N196" t="s">
        <v>78</v>
      </c>
      <c r="O196">
        <v>0</v>
      </c>
      <c r="P196">
        <v>0</v>
      </c>
      <c r="Q196">
        <v>0</v>
      </c>
      <c r="R196" t="s">
        <v>125</v>
      </c>
      <c r="S196">
        <v>0</v>
      </c>
      <c r="T196" t="s">
        <v>80</v>
      </c>
      <c r="U196" t="s">
        <v>80</v>
      </c>
      <c r="V196" t="s">
        <v>221</v>
      </c>
      <c r="W196" t="s">
        <v>599</v>
      </c>
      <c r="X196" t="s">
        <v>1062</v>
      </c>
      <c r="Y196" t="s">
        <v>1063</v>
      </c>
      <c r="Z196" t="s">
        <v>80</v>
      </c>
      <c r="AA196" t="s">
        <v>85</v>
      </c>
      <c r="AC196" t="s">
        <v>1517</v>
      </c>
      <c r="AD196" t="s">
        <v>87</v>
      </c>
      <c r="AG196" t="s">
        <v>1518</v>
      </c>
      <c r="AH196" t="s">
        <v>91</v>
      </c>
      <c r="AI196" t="s">
        <v>92</v>
      </c>
      <c r="AJ196" t="s">
        <v>131</v>
      </c>
      <c r="AK196" t="s">
        <v>1519</v>
      </c>
      <c r="AL196" t="s">
        <v>95</v>
      </c>
      <c r="AM196" t="s">
        <v>96</v>
      </c>
      <c r="AN196" t="s">
        <v>97</v>
      </c>
      <c r="AO196" t="s">
        <v>98</v>
      </c>
      <c r="AP196" t="s">
        <v>78</v>
      </c>
      <c r="AQ196" t="s">
        <v>99</v>
      </c>
      <c r="AS196" t="s">
        <v>78</v>
      </c>
      <c r="AT196" t="s">
        <v>100</v>
      </c>
      <c r="AU196" t="s">
        <v>100</v>
      </c>
      <c r="AW196" t="s">
        <v>85</v>
      </c>
      <c r="AX196" t="s">
        <v>101</v>
      </c>
      <c r="AY196" t="s">
        <v>102</v>
      </c>
      <c r="AZ196" t="s">
        <v>145</v>
      </c>
      <c r="BA196" t="s">
        <v>146</v>
      </c>
      <c r="BB196" t="s">
        <v>78</v>
      </c>
      <c r="BC196" t="s">
        <v>78</v>
      </c>
      <c r="BE196">
        <v>0</v>
      </c>
      <c r="BF196">
        <v>0</v>
      </c>
      <c r="BG196">
        <v>0</v>
      </c>
      <c r="BH196">
        <v>0</v>
      </c>
      <c r="BJ196" t="s">
        <v>85</v>
      </c>
      <c r="BP196" t="s">
        <v>78</v>
      </c>
      <c r="BQ196" t="s">
        <v>78</v>
      </c>
      <c r="BR196" t="s">
        <v>78</v>
      </c>
    </row>
    <row r="197" customFormat="1" spans="1:70">
      <c r="A197" t="s">
        <v>1520</v>
      </c>
      <c r="B197" t="s">
        <v>1520</v>
      </c>
      <c r="C197" t="s">
        <v>1126</v>
      </c>
      <c r="D197" t="s">
        <v>1127</v>
      </c>
      <c r="E197">
        <v>1</v>
      </c>
      <c r="F197" t="s">
        <v>1128</v>
      </c>
      <c r="G197" t="s">
        <v>1129</v>
      </c>
      <c r="H197">
        <v>249</v>
      </c>
      <c r="I197">
        <v>249</v>
      </c>
      <c r="J197">
        <v>0</v>
      </c>
      <c r="K197">
        <v>0</v>
      </c>
      <c r="L197" t="s">
        <v>78</v>
      </c>
      <c r="M197" t="s">
        <v>78</v>
      </c>
      <c r="N197" t="s">
        <v>78</v>
      </c>
      <c r="O197">
        <v>0</v>
      </c>
      <c r="P197">
        <v>0</v>
      </c>
      <c r="Q197">
        <v>0</v>
      </c>
      <c r="R197" t="s">
        <v>79</v>
      </c>
      <c r="S197">
        <v>0</v>
      </c>
      <c r="T197" t="s">
        <v>80</v>
      </c>
      <c r="U197" t="s">
        <v>80</v>
      </c>
      <c r="V197" t="s">
        <v>178</v>
      </c>
      <c r="W197" t="s">
        <v>178</v>
      </c>
      <c r="X197" t="s">
        <v>1332</v>
      </c>
      <c r="Y197" t="s">
        <v>78</v>
      </c>
      <c r="Z197" t="s">
        <v>80</v>
      </c>
      <c r="AA197" t="s">
        <v>85</v>
      </c>
      <c r="AC197" t="s">
        <v>1521</v>
      </c>
      <c r="AD197" t="s">
        <v>202</v>
      </c>
      <c r="AE197" t="s">
        <v>1522</v>
      </c>
      <c r="AG197" t="s">
        <v>1523</v>
      </c>
      <c r="AH197" t="s">
        <v>91</v>
      </c>
      <c r="AI197" t="s">
        <v>92</v>
      </c>
      <c r="AJ197" t="s">
        <v>131</v>
      </c>
      <c r="AK197" t="s">
        <v>1524</v>
      </c>
      <c r="AL197" t="s">
        <v>95</v>
      </c>
      <c r="AM197" t="s">
        <v>96</v>
      </c>
      <c r="AN197" t="s">
        <v>97</v>
      </c>
      <c r="AO197" t="s">
        <v>98</v>
      </c>
      <c r="AP197" t="s">
        <v>78</v>
      </c>
      <c r="AQ197" t="s">
        <v>99</v>
      </c>
      <c r="AS197" t="s">
        <v>78</v>
      </c>
      <c r="AT197" t="s">
        <v>100</v>
      </c>
      <c r="AU197" t="s">
        <v>100</v>
      </c>
      <c r="AW197" t="s">
        <v>85</v>
      </c>
      <c r="AX197" t="s">
        <v>101</v>
      </c>
      <c r="AY197" t="s">
        <v>102</v>
      </c>
      <c r="AZ197" t="s">
        <v>103</v>
      </c>
      <c r="BA197" t="s">
        <v>419</v>
      </c>
      <c r="BB197" t="s">
        <v>78</v>
      </c>
      <c r="BC197" t="s">
        <v>78</v>
      </c>
      <c r="BD197" t="s">
        <v>1220</v>
      </c>
      <c r="BE197">
        <v>0</v>
      </c>
      <c r="BF197">
        <v>0</v>
      </c>
      <c r="BG197">
        <v>0</v>
      </c>
      <c r="BH197">
        <v>0</v>
      </c>
      <c r="BJ197" t="s">
        <v>85</v>
      </c>
      <c r="BP197" t="s">
        <v>78</v>
      </c>
      <c r="BQ197" t="s">
        <v>78</v>
      </c>
      <c r="BR197" t="s">
        <v>78</v>
      </c>
    </row>
    <row r="198" customFormat="1" spans="1:70">
      <c r="A198" t="s">
        <v>1525</v>
      </c>
      <c r="B198" t="s">
        <v>1525</v>
      </c>
      <c r="C198" t="s">
        <v>107</v>
      </c>
      <c r="D198" t="s">
        <v>123</v>
      </c>
      <c r="E198">
        <v>1</v>
      </c>
      <c r="F198" t="s">
        <v>109</v>
      </c>
      <c r="G198" t="s">
        <v>124</v>
      </c>
      <c r="H198">
        <v>289</v>
      </c>
      <c r="I198">
        <v>289</v>
      </c>
      <c r="J198">
        <v>0</v>
      </c>
      <c r="K198">
        <v>0</v>
      </c>
      <c r="L198" t="s">
        <v>78</v>
      </c>
      <c r="M198" t="s">
        <v>78</v>
      </c>
      <c r="N198" t="s">
        <v>78</v>
      </c>
      <c r="O198">
        <v>0</v>
      </c>
      <c r="P198">
        <v>0</v>
      </c>
      <c r="Q198">
        <v>0</v>
      </c>
      <c r="R198" t="s">
        <v>125</v>
      </c>
      <c r="S198">
        <v>0</v>
      </c>
      <c r="T198" t="s">
        <v>80</v>
      </c>
      <c r="U198" t="s">
        <v>80</v>
      </c>
      <c r="V198" t="s">
        <v>347</v>
      </c>
      <c r="W198" t="s">
        <v>1526</v>
      </c>
      <c r="X198" t="s">
        <v>1527</v>
      </c>
      <c r="Y198" t="s">
        <v>1528</v>
      </c>
      <c r="Z198" t="s">
        <v>80</v>
      </c>
      <c r="AA198" t="s">
        <v>85</v>
      </c>
      <c r="AC198" t="s">
        <v>1529</v>
      </c>
      <c r="AD198" t="s">
        <v>87</v>
      </c>
      <c r="AG198" t="s">
        <v>1530</v>
      </c>
      <c r="AH198" t="s">
        <v>91</v>
      </c>
      <c r="AI198" t="s">
        <v>92</v>
      </c>
      <c r="AJ198" t="s">
        <v>131</v>
      </c>
      <c r="AK198" t="s">
        <v>1531</v>
      </c>
      <c r="AL198" t="s">
        <v>95</v>
      </c>
      <c r="AM198" t="s">
        <v>96</v>
      </c>
      <c r="AN198" t="s">
        <v>97</v>
      </c>
      <c r="AO198" t="s">
        <v>98</v>
      </c>
      <c r="AP198" t="s">
        <v>78</v>
      </c>
      <c r="AQ198" t="s">
        <v>99</v>
      </c>
      <c r="AS198" t="s">
        <v>78</v>
      </c>
      <c r="AT198" t="s">
        <v>100</v>
      </c>
      <c r="AU198" t="s">
        <v>100</v>
      </c>
      <c r="AW198" t="s">
        <v>85</v>
      </c>
      <c r="AX198" t="s">
        <v>103</v>
      </c>
      <c r="AY198" t="s">
        <v>159</v>
      </c>
      <c r="AZ198" t="s">
        <v>103</v>
      </c>
      <c r="BA198" t="s">
        <v>104</v>
      </c>
      <c r="BB198" t="s">
        <v>78</v>
      </c>
      <c r="BC198" t="s">
        <v>78</v>
      </c>
      <c r="BE198">
        <v>0</v>
      </c>
      <c r="BF198">
        <v>0</v>
      </c>
      <c r="BG198">
        <v>0</v>
      </c>
      <c r="BH198">
        <v>0</v>
      </c>
      <c r="BJ198" t="s">
        <v>85</v>
      </c>
      <c r="BP198" t="s">
        <v>78</v>
      </c>
      <c r="BQ198" t="s">
        <v>78</v>
      </c>
      <c r="BR198" t="s">
        <v>78</v>
      </c>
    </row>
    <row r="199" customFormat="1" spans="1:70">
      <c r="A199" t="s">
        <v>1532</v>
      </c>
      <c r="B199" t="s">
        <v>1532</v>
      </c>
      <c r="C199" t="s">
        <v>107</v>
      </c>
      <c r="D199" t="s">
        <v>135</v>
      </c>
      <c r="E199">
        <v>1</v>
      </c>
      <c r="F199" t="s">
        <v>109</v>
      </c>
      <c r="G199" t="s">
        <v>136</v>
      </c>
      <c r="H199">
        <v>289</v>
      </c>
      <c r="I199">
        <v>289</v>
      </c>
      <c r="J199">
        <v>0</v>
      </c>
      <c r="K199">
        <v>0</v>
      </c>
      <c r="L199" t="s">
        <v>78</v>
      </c>
      <c r="M199" t="s">
        <v>78</v>
      </c>
      <c r="N199" t="s">
        <v>78</v>
      </c>
      <c r="O199">
        <v>0</v>
      </c>
      <c r="P199">
        <v>0</v>
      </c>
      <c r="Q199">
        <v>0</v>
      </c>
      <c r="R199" t="s">
        <v>79</v>
      </c>
      <c r="S199">
        <v>0</v>
      </c>
      <c r="T199" t="s">
        <v>80</v>
      </c>
      <c r="U199" t="s">
        <v>80</v>
      </c>
      <c r="V199" t="s">
        <v>347</v>
      </c>
      <c r="W199" t="s">
        <v>348</v>
      </c>
      <c r="X199" t="s">
        <v>1533</v>
      </c>
      <c r="Y199" t="s">
        <v>1534</v>
      </c>
      <c r="Z199" t="s">
        <v>80</v>
      </c>
      <c r="AA199" t="s">
        <v>85</v>
      </c>
      <c r="AC199" t="s">
        <v>1535</v>
      </c>
      <c r="AD199" t="s">
        <v>87</v>
      </c>
      <c r="AF199" t="s">
        <v>1387</v>
      </c>
      <c r="AG199" t="s">
        <v>1536</v>
      </c>
      <c r="AH199" t="s">
        <v>227</v>
      </c>
      <c r="AI199" t="s">
        <v>92</v>
      </c>
      <c r="AJ199" t="s">
        <v>93</v>
      </c>
      <c r="AK199" t="s">
        <v>1537</v>
      </c>
      <c r="AL199" t="s">
        <v>95</v>
      </c>
      <c r="AM199" t="s">
        <v>96</v>
      </c>
      <c r="AN199" t="s">
        <v>97</v>
      </c>
      <c r="AO199" t="s">
        <v>98</v>
      </c>
      <c r="AP199" t="s">
        <v>78</v>
      </c>
      <c r="AQ199" t="s">
        <v>78</v>
      </c>
      <c r="AS199" t="s">
        <v>78</v>
      </c>
      <c r="AT199" t="s">
        <v>100</v>
      </c>
      <c r="AU199" t="s">
        <v>100</v>
      </c>
      <c r="AW199" t="s">
        <v>85</v>
      </c>
      <c r="AX199" t="s">
        <v>101</v>
      </c>
      <c r="AY199" t="s">
        <v>102</v>
      </c>
      <c r="AZ199" t="s">
        <v>103</v>
      </c>
      <c r="BA199" t="s">
        <v>133</v>
      </c>
      <c r="BB199" t="s">
        <v>78</v>
      </c>
      <c r="BC199" t="s">
        <v>78</v>
      </c>
      <c r="BD199" t="s">
        <v>1375</v>
      </c>
      <c r="BE199">
        <v>0</v>
      </c>
      <c r="BF199">
        <v>0</v>
      </c>
      <c r="BG199">
        <v>0</v>
      </c>
      <c r="BH199">
        <v>0</v>
      </c>
      <c r="BJ199" t="s">
        <v>85</v>
      </c>
      <c r="BP199" t="s">
        <v>78</v>
      </c>
      <c r="BQ199" t="s">
        <v>78</v>
      </c>
      <c r="BR199" t="s">
        <v>78</v>
      </c>
    </row>
    <row r="200" customFormat="1" spans="1:70">
      <c r="A200" t="s">
        <v>1538</v>
      </c>
      <c r="B200" t="s">
        <v>1538</v>
      </c>
      <c r="C200" t="s">
        <v>107</v>
      </c>
      <c r="D200" t="s">
        <v>108</v>
      </c>
      <c r="E200">
        <v>1</v>
      </c>
      <c r="F200" t="s">
        <v>109</v>
      </c>
      <c r="G200" t="s">
        <v>110</v>
      </c>
      <c r="H200">
        <v>289</v>
      </c>
      <c r="I200">
        <v>289</v>
      </c>
      <c r="J200">
        <v>0</v>
      </c>
      <c r="K200">
        <v>0</v>
      </c>
      <c r="L200" t="s">
        <v>78</v>
      </c>
      <c r="M200" t="s">
        <v>78</v>
      </c>
      <c r="N200" t="s">
        <v>78</v>
      </c>
      <c r="O200">
        <v>0</v>
      </c>
      <c r="P200">
        <v>0</v>
      </c>
      <c r="Q200">
        <v>0</v>
      </c>
      <c r="R200" t="s">
        <v>125</v>
      </c>
      <c r="S200">
        <v>0</v>
      </c>
      <c r="T200" t="s">
        <v>80</v>
      </c>
      <c r="U200" t="s">
        <v>80</v>
      </c>
      <c r="V200" t="s">
        <v>325</v>
      </c>
      <c r="W200" t="s">
        <v>1539</v>
      </c>
      <c r="X200" t="s">
        <v>1540</v>
      </c>
      <c r="Y200" t="s">
        <v>1541</v>
      </c>
      <c r="Z200" t="s">
        <v>80</v>
      </c>
      <c r="AA200" t="s">
        <v>85</v>
      </c>
      <c r="AC200" t="s">
        <v>1542</v>
      </c>
      <c r="AD200" t="s">
        <v>87</v>
      </c>
      <c r="AH200" t="s">
        <v>254</v>
      </c>
      <c r="AI200" t="s">
        <v>92</v>
      </c>
      <c r="AJ200" t="s">
        <v>131</v>
      </c>
      <c r="AK200" t="s">
        <v>1543</v>
      </c>
      <c r="AL200" t="s">
        <v>95</v>
      </c>
      <c r="AM200" t="s">
        <v>96</v>
      </c>
      <c r="AN200" t="s">
        <v>97</v>
      </c>
      <c r="AO200" t="s">
        <v>98</v>
      </c>
      <c r="AP200" t="s">
        <v>78</v>
      </c>
      <c r="AQ200" t="s">
        <v>78</v>
      </c>
      <c r="AR200" t="s">
        <v>353</v>
      </c>
      <c r="AS200" t="s">
        <v>78</v>
      </c>
      <c r="AT200" t="s">
        <v>100</v>
      </c>
      <c r="AU200" t="s">
        <v>100</v>
      </c>
      <c r="AW200" t="s">
        <v>85</v>
      </c>
      <c r="AX200" t="s">
        <v>103</v>
      </c>
      <c r="AY200" t="s">
        <v>159</v>
      </c>
      <c r="AZ200" t="s">
        <v>103</v>
      </c>
      <c r="BA200" t="s">
        <v>102</v>
      </c>
      <c r="BB200" t="s">
        <v>78</v>
      </c>
      <c r="BC200" t="s">
        <v>78</v>
      </c>
      <c r="BE200">
        <v>0</v>
      </c>
      <c r="BF200">
        <v>0</v>
      </c>
      <c r="BG200">
        <v>0</v>
      </c>
      <c r="BH200">
        <v>0</v>
      </c>
      <c r="BJ200" t="s">
        <v>85</v>
      </c>
      <c r="BP200" t="s">
        <v>78</v>
      </c>
      <c r="BQ200" t="s">
        <v>78</v>
      </c>
      <c r="BR200" t="s">
        <v>78</v>
      </c>
    </row>
    <row r="201" customFormat="1" spans="1:70">
      <c r="A201" t="s">
        <v>1544</v>
      </c>
      <c r="B201" t="s">
        <v>1544</v>
      </c>
      <c r="C201" t="s">
        <v>107</v>
      </c>
      <c r="D201" t="s">
        <v>108</v>
      </c>
      <c r="E201">
        <v>1</v>
      </c>
      <c r="F201" t="s">
        <v>109</v>
      </c>
      <c r="G201" t="s">
        <v>110</v>
      </c>
      <c r="H201">
        <v>289</v>
      </c>
      <c r="I201">
        <v>286</v>
      </c>
      <c r="J201">
        <v>0</v>
      </c>
      <c r="K201">
        <v>3</v>
      </c>
      <c r="L201" t="s">
        <v>1545</v>
      </c>
      <c r="M201" t="s">
        <v>78</v>
      </c>
      <c r="N201" t="s">
        <v>78</v>
      </c>
      <c r="O201">
        <v>0</v>
      </c>
      <c r="P201">
        <v>0</v>
      </c>
      <c r="Q201">
        <v>0</v>
      </c>
      <c r="R201" t="s">
        <v>125</v>
      </c>
      <c r="S201">
        <v>0</v>
      </c>
      <c r="T201" t="s">
        <v>80</v>
      </c>
      <c r="U201" t="s">
        <v>80</v>
      </c>
      <c r="V201" t="s">
        <v>271</v>
      </c>
      <c r="W201" t="s">
        <v>272</v>
      </c>
      <c r="X201" t="s">
        <v>1546</v>
      </c>
      <c r="Y201" t="s">
        <v>1547</v>
      </c>
      <c r="Z201" t="s">
        <v>80</v>
      </c>
      <c r="AA201" t="s">
        <v>85</v>
      </c>
      <c r="AC201" t="s">
        <v>1548</v>
      </c>
      <c r="AD201" t="s">
        <v>87</v>
      </c>
      <c r="AF201" t="s">
        <v>1549</v>
      </c>
      <c r="AG201" t="s">
        <v>1550</v>
      </c>
      <c r="AH201" t="s">
        <v>298</v>
      </c>
      <c r="AI201" t="s">
        <v>92</v>
      </c>
      <c r="AJ201" t="s">
        <v>93</v>
      </c>
      <c r="AK201" t="s">
        <v>1551</v>
      </c>
      <c r="AL201" t="s">
        <v>95</v>
      </c>
      <c r="AM201" t="s">
        <v>96</v>
      </c>
      <c r="AN201" t="s">
        <v>97</v>
      </c>
      <c r="AO201" t="s">
        <v>98</v>
      </c>
      <c r="AP201" t="s">
        <v>78</v>
      </c>
      <c r="AQ201" t="s">
        <v>78</v>
      </c>
      <c r="AS201" t="s">
        <v>78</v>
      </c>
      <c r="AT201" t="s">
        <v>100</v>
      </c>
      <c r="AU201" t="s">
        <v>100</v>
      </c>
      <c r="AW201" t="s">
        <v>85</v>
      </c>
      <c r="AX201" t="s">
        <v>103</v>
      </c>
      <c r="AY201" t="s">
        <v>159</v>
      </c>
      <c r="AZ201" t="s">
        <v>103</v>
      </c>
      <c r="BA201" t="s">
        <v>104</v>
      </c>
      <c r="BB201" t="s">
        <v>78</v>
      </c>
      <c r="BC201" t="s">
        <v>78</v>
      </c>
      <c r="BD201" t="s">
        <v>1375</v>
      </c>
      <c r="BE201">
        <v>0</v>
      </c>
      <c r="BF201">
        <v>3</v>
      </c>
      <c r="BG201">
        <v>0</v>
      </c>
      <c r="BH201">
        <v>0</v>
      </c>
      <c r="BJ201" t="s">
        <v>85</v>
      </c>
      <c r="BP201" t="s">
        <v>78</v>
      </c>
      <c r="BQ201" t="s">
        <v>78</v>
      </c>
      <c r="BR201" t="s">
        <v>78</v>
      </c>
    </row>
    <row r="202" customFormat="1" spans="1:70">
      <c r="A202" t="s">
        <v>1552</v>
      </c>
      <c r="B202" t="s">
        <v>1552</v>
      </c>
      <c r="C202" t="s">
        <v>107</v>
      </c>
      <c r="D202" t="s">
        <v>135</v>
      </c>
      <c r="E202">
        <v>1</v>
      </c>
      <c r="F202" t="s">
        <v>109</v>
      </c>
      <c r="G202" t="s">
        <v>136</v>
      </c>
      <c r="H202">
        <v>289</v>
      </c>
      <c r="I202">
        <v>287.24</v>
      </c>
      <c r="J202">
        <v>0</v>
      </c>
      <c r="K202">
        <v>2.57</v>
      </c>
      <c r="L202" t="s">
        <v>1553</v>
      </c>
      <c r="M202" t="s">
        <v>78</v>
      </c>
      <c r="N202" t="s">
        <v>78</v>
      </c>
      <c r="O202">
        <v>0</v>
      </c>
      <c r="P202">
        <v>0.81</v>
      </c>
      <c r="Q202">
        <v>0</v>
      </c>
      <c r="R202" t="s">
        <v>125</v>
      </c>
      <c r="S202">
        <v>0</v>
      </c>
      <c r="T202" t="s">
        <v>80</v>
      </c>
      <c r="U202" t="s">
        <v>80</v>
      </c>
      <c r="V202" t="s">
        <v>138</v>
      </c>
      <c r="W202" t="s">
        <v>1554</v>
      </c>
      <c r="X202" t="s">
        <v>1555</v>
      </c>
      <c r="Y202" t="s">
        <v>1556</v>
      </c>
      <c r="Z202" t="s">
        <v>80</v>
      </c>
      <c r="AA202" t="s">
        <v>85</v>
      </c>
      <c r="AC202" t="s">
        <v>1557</v>
      </c>
      <c r="AD202" t="s">
        <v>87</v>
      </c>
      <c r="AF202" t="s">
        <v>1387</v>
      </c>
      <c r="AG202" t="s">
        <v>1558</v>
      </c>
      <c r="AH202" t="s">
        <v>298</v>
      </c>
      <c r="AI202" t="s">
        <v>92</v>
      </c>
      <c r="AJ202" t="s">
        <v>93</v>
      </c>
      <c r="AK202" t="s">
        <v>1559</v>
      </c>
      <c r="AL202" t="s">
        <v>95</v>
      </c>
      <c r="AM202" t="s">
        <v>96</v>
      </c>
      <c r="AN202" t="s">
        <v>97</v>
      </c>
      <c r="AO202" t="s">
        <v>98</v>
      </c>
      <c r="AP202" t="s">
        <v>78</v>
      </c>
      <c r="AQ202" t="s">
        <v>78</v>
      </c>
      <c r="AS202" t="s">
        <v>78</v>
      </c>
      <c r="AT202" t="s">
        <v>100</v>
      </c>
      <c r="AU202" t="s">
        <v>100</v>
      </c>
      <c r="AW202" t="s">
        <v>85</v>
      </c>
      <c r="AX202" t="s">
        <v>101</v>
      </c>
      <c r="AY202" t="s">
        <v>102</v>
      </c>
      <c r="AZ202" t="s">
        <v>103</v>
      </c>
      <c r="BA202" t="s">
        <v>419</v>
      </c>
      <c r="BB202" t="s">
        <v>78</v>
      </c>
      <c r="BC202" t="s">
        <v>78</v>
      </c>
      <c r="BD202" t="s">
        <v>1375</v>
      </c>
      <c r="BE202">
        <v>0</v>
      </c>
      <c r="BF202">
        <v>1.76</v>
      </c>
      <c r="BG202">
        <v>0</v>
      </c>
      <c r="BH202">
        <v>0</v>
      </c>
      <c r="BJ202" t="s">
        <v>85</v>
      </c>
      <c r="BP202" t="s">
        <v>78</v>
      </c>
      <c r="BQ202" t="s">
        <v>78</v>
      </c>
      <c r="BR202" t="s">
        <v>78</v>
      </c>
    </row>
    <row r="203" customFormat="1" spans="1:70">
      <c r="A203" t="s">
        <v>1560</v>
      </c>
      <c r="B203" t="s">
        <v>1560</v>
      </c>
      <c r="C203" t="s">
        <v>107</v>
      </c>
      <c r="D203" t="s">
        <v>135</v>
      </c>
      <c r="E203">
        <v>1</v>
      </c>
      <c r="F203" t="s">
        <v>109</v>
      </c>
      <c r="G203" t="s">
        <v>136</v>
      </c>
      <c r="H203">
        <v>289</v>
      </c>
      <c r="I203">
        <v>289</v>
      </c>
      <c r="J203">
        <v>0</v>
      </c>
      <c r="K203">
        <v>0</v>
      </c>
      <c r="L203" t="s">
        <v>78</v>
      </c>
      <c r="M203" t="s">
        <v>78</v>
      </c>
      <c r="N203" t="s">
        <v>78</v>
      </c>
      <c r="O203">
        <v>0</v>
      </c>
      <c r="P203">
        <v>0</v>
      </c>
      <c r="Q203">
        <v>0</v>
      </c>
      <c r="R203" t="s">
        <v>79</v>
      </c>
      <c r="S203">
        <v>0</v>
      </c>
      <c r="T203" t="s">
        <v>80</v>
      </c>
      <c r="U203" t="s">
        <v>80</v>
      </c>
      <c r="V203" t="s">
        <v>302</v>
      </c>
      <c r="W203" t="s">
        <v>303</v>
      </c>
      <c r="X203" t="s">
        <v>1561</v>
      </c>
      <c r="Y203" t="s">
        <v>1562</v>
      </c>
      <c r="Z203" t="s">
        <v>80</v>
      </c>
      <c r="AA203" t="s">
        <v>85</v>
      </c>
      <c r="AC203" t="s">
        <v>1563</v>
      </c>
      <c r="AD203" t="s">
        <v>87</v>
      </c>
      <c r="AF203" t="s">
        <v>1387</v>
      </c>
      <c r="AG203" t="s">
        <v>1564</v>
      </c>
      <c r="AH203" t="s">
        <v>91</v>
      </c>
      <c r="AI203" t="s">
        <v>92</v>
      </c>
      <c r="AJ203" t="s">
        <v>93</v>
      </c>
      <c r="AK203" t="s">
        <v>1565</v>
      </c>
      <c r="AL203" t="s">
        <v>95</v>
      </c>
      <c r="AM203" t="s">
        <v>96</v>
      </c>
      <c r="AN203" t="s">
        <v>97</v>
      </c>
      <c r="AO203" t="s">
        <v>98</v>
      </c>
      <c r="AP203" t="s">
        <v>78</v>
      </c>
      <c r="AQ203" t="s">
        <v>78</v>
      </c>
      <c r="AS203" t="s">
        <v>78</v>
      </c>
      <c r="AT203" t="s">
        <v>100</v>
      </c>
      <c r="AU203" t="s">
        <v>100</v>
      </c>
      <c r="AW203" t="s">
        <v>85</v>
      </c>
      <c r="AX203" t="s">
        <v>101</v>
      </c>
      <c r="AY203" t="s">
        <v>102</v>
      </c>
      <c r="AZ203" t="s">
        <v>103</v>
      </c>
      <c r="BA203" t="s">
        <v>133</v>
      </c>
      <c r="BB203" t="s">
        <v>78</v>
      </c>
      <c r="BC203" t="s">
        <v>78</v>
      </c>
      <c r="BD203" t="s">
        <v>1375</v>
      </c>
      <c r="BE203">
        <v>0</v>
      </c>
      <c r="BF203">
        <v>0</v>
      </c>
      <c r="BG203">
        <v>0</v>
      </c>
      <c r="BH203">
        <v>0</v>
      </c>
      <c r="BJ203" t="s">
        <v>85</v>
      </c>
      <c r="BP203" t="s">
        <v>78</v>
      </c>
      <c r="BQ203" t="s">
        <v>78</v>
      </c>
      <c r="BR203" t="s">
        <v>78</v>
      </c>
    </row>
    <row r="204" customFormat="1" spans="1:70">
      <c r="A204" t="s">
        <v>1566</v>
      </c>
      <c r="B204" t="s">
        <v>1566</v>
      </c>
      <c r="C204" t="s">
        <v>107</v>
      </c>
      <c r="D204" t="s">
        <v>135</v>
      </c>
      <c r="E204">
        <v>1</v>
      </c>
      <c r="F204" t="s">
        <v>109</v>
      </c>
      <c r="G204" t="s">
        <v>136</v>
      </c>
      <c r="H204">
        <v>289</v>
      </c>
      <c r="I204">
        <v>289</v>
      </c>
      <c r="J204">
        <v>0</v>
      </c>
      <c r="K204">
        <v>0</v>
      </c>
      <c r="L204" t="s">
        <v>78</v>
      </c>
      <c r="M204" t="s">
        <v>78</v>
      </c>
      <c r="N204" t="s">
        <v>78</v>
      </c>
      <c r="O204">
        <v>0</v>
      </c>
      <c r="P204">
        <v>0</v>
      </c>
      <c r="Q204">
        <v>0</v>
      </c>
      <c r="R204" t="s">
        <v>125</v>
      </c>
      <c r="S204">
        <v>0</v>
      </c>
      <c r="T204" t="s">
        <v>80</v>
      </c>
      <c r="U204" t="s">
        <v>80</v>
      </c>
      <c r="V204" t="s">
        <v>894</v>
      </c>
      <c r="W204" t="s">
        <v>1567</v>
      </c>
      <c r="X204" t="s">
        <v>1568</v>
      </c>
      <c r="Y204" t="s">
        <v>78</v>
      </c>
      <c r="Z204" t="s">
        <v>80</v>
      </c>
      <c r="AA204" t="s">
        <v>85</v>
      </c>
      <c r="AC204" t="s">
        <v>1569</v>
      </c>
      <c r="AD204" t="s">
        <v>87</v>
      </c>
      <c r="AG204" t="s">
        <v>1570</v>
      </c>
      <c r="AH204" t="s">
        <v>91</v>
      </c>
      <c r="AI204" t="s">
        <v>92</v>
      </c>
      <c r="AJ204" t="s">
        <v>131</v>
      </c>
      <c r="AK204" t="s">
        <v>1571</v>
      </c>
      <c r="AL204" t="s">
        <v>95</v>
      </c>
      <c r="AM204" t="s">
        <v>96</v>
      </c>
      <c r="AN204" t="s">
        <v>97</v>
      </c>
      <c r="AO204" t="s">
        <v>98</v>
      </c>
      <c r="AP204" t="s">
        <v>78</v>
      </c>
      <c r="AQ204" t="s">
        <v>99</v>
      </c>
      <c r="AS204" t="s">
        <v>78</v>
      </c>
      <c r="AT204" t="s">
        <v>100</v>
      </c>
      <c r="AU204" t="s">
        <v>100</v>
      </c>
      <c r="AW204" t="s">
        <v>85</v>
      </c>
      <c r="AX204" t="s">
        <v>101</v>
      </c>
      <c r="AY204" t="s">
        <v>102</v>
      </c>
      <c r="AZ204" t="s">
        <v>103</v>
      </c>
      <c r="BA204" t="s">
        <v>120</v>
      </c>
      <c r="BB204" t="s">
        <v>78</v>
      </c>
      <c r="BC204" t="s">
        <v>78</v>
      </c>
      <c r="BE204">
        <v>0</v>
      </c>
      <c r="BF204">
        <v>0</v>
      </c>
      <c r="BG204">
        <v>0</v>
      </c>
      <c r="BH204">
        <v>0</v>
      </c>
      <c r="BJ204" t="s">
        <v>85</v>
      </c>
      <c r="BP204" t="s">
        <v>78</v>
      </c>
      <c r="BQ204" t="s">
        <v>78</v>
      </c>
      <c r="BR204" t="s">
        <v>78</v>
      </c>
    </row>
    <row r="205" customFormat="1" spans="1:70">
      <c r="A205" t="s">
        <v>1572</v>
      </c>
      <c r="B205" t="s">
        <v>1572</v>
      </c>
      <c r="C205" t="s">
        <v>107</v>
      </c>
      <c r="D205" t="s">
        <v>135</v>
      </c>
      <c r="E205">
        <v>1</v>
      </c>
      <c r="F205" t="s">
        <v>109</v>
      </c>
      <c r="G205" t="s">
        <v>136</v>
      </c>
      <c r="H205">
        <v>289</v>
      </c>
      <c r="I205">
        <v>289</v>
      </c>
      <c r="J205">
        <v>0</v>
      </c>
      <c r="K205">
        <v>0</v>
      </c>
      <c r="L205" t="s">
        <v>78</v>
      </c>
      <c r="M205" t="s">
        <v>78</v>
      </c>
      <c r="N205" t="s">
        <v>78</v>
      </c>
      <c r="O205">
        <v>0</v>
      </c>
      <c r="P205">
        <v>0</v>
      </c>
      <c r="Q205">
        <v>0</v>
      </c>
      <c r="R205" t="s">
        <v>125</v>
      </c>
      <c r="S205">
        <v>0</v>
      </c>
      <c r="T205" t="s">
        <v>80</v>
      </c>
      <c r="U205" t="s">
        <v>80</v>
      </c>
      <c r="V205" t="s">
        <v>189</v>
      </c>
      <c r="W205" t="s">
        <v>1573</v>
      </c>
      <c r="X205" t="s">
        <v>1574</v>
      </c>
      <c r="Y205" t="s">
        <v>1575</v>
      </c>
      <c r="Z205" t="s">
        <v>80</v>
      </c>
      <c r="AA205" t="s">
        <v>85</v>
      </c>
      <c r="AC205" t="s">
        <v>1576</v>
      </c>
      <c r="AD205" t="s">
        <v>87</v>
      </c>
      <c r="AG205" t="s">
        <v>1577</v>
      </c>
      <c r="AH205" t="s">
        <v>91</v>
      </c>
      <c r="AI205" t="s">
        <v>92</v>
      </c>
      <c r="AJ205" t="s">
        <v>131</v>
      </c>
      <c r="AK205" t="s">
        <v>1578</v>
      </c>
      <c r="AL205" t="s">
        <v>95</v>
      </c>
      <c r="AM205" t="s">
        <v>96</v>
      </c>
      <c r="AN205" t="s">
        <v>97</v>
      </c>
      <c r="AO205" t="s">
        <v>98</v>
      </c>
      <c r="AP205" t="s">
        <v>78</v>
      </c>
      <c r="AQ205" t="s">
        <v>99</v>
      </c>
      <c r="AS205" t="s">
        <v>78</v>
      </c>
      <c r="AT205" t="s">
        <v>100</v>
      </c>
      <c r="AU205" t="s">
        <v>100</v>
      </c>
      <c r="AW205" t="s">
        <v>85</v>
      </c>
      <c r="AX205" t="s">
        <v>101</v>
      </c>
      <c r="AY205" t="s">
        <v>102</v>
      </c>
      <c r="AZ205" t="s">
        <v>103</v>
      </c>
      <c r="BA205" t="s">
        <v>133</v>
      </c>
      <c r="BB205" t="s">
        <v>78</v>
      </c>
      <c r="BC205" t="s">
        <v>78</v>
      </c>
      <c r="BE205">
        <v>0</v>
      </c>
      <c r="BF205">
        <v>0</v>
      </c>
      <c r="BG205">
        <v>0</v>
      </c>
      <c r="BH205">
        <v>0</v>
      </c>
      <c r="BJ205" t="s">
        <v>85</v>
      </c>
      <c r="BP205" t="s">
        <v>78</v>
      </c>
      <c r="BQ205" t="s">
        <v>78</v>
      </c>
      <c r="BR205" t="s">
        <v>78</v>
      </c>
    </row>
    <row r="206" customFormat="1" spans="1:70">
      <c r="A206" t="s">
        <v>1579</v>
      </c>
      <c r="B206" t="s">
        <v>1579</v>
      </c>
      <c r="C206" t="s">
        <v>107</v>
      </c>
      <c r="D206" t="s">
        <v>135</v>
      </c>
      <c r="E206">
        <v>1</v>
      </c>
      <c r="F206" t="s">
        <v>109</v>
      </c>
      <c r="G206" t="s">
        <v>136</v>
      </c>
      <c r="H206">
        <v>289</v>
      </c>
      <c r="I206">
        <v>289</v>
      </c>
      <c r="J206">
        <v>0</v>
      </c>
      <c r="K206">
        <v>0</v>
      </c>
      <c r="L206" t="s">
        <v>78</v>
      </c>
      <c r="M206" t="s">
        <v>78</v>
      </c>
      <c r="N206" t="s">
        <v>78</v>
      </c>
      <c r="O206">
        <v>0</v>
      </c>
      <c r="P206">
        <v>0</v>
      </c>
      <c r="Q206">
        <v>0</v>
      </c>
      <c r="R206" t="s">
        <v>111</v>
      </c>
      <c r="S206">
        <v>0</v>
      </c>
      <c r="T206" t="s">
        <v>80</v>
      </c>
      <c r="U206" t="s">
        <v>80</v>
      </c>
      <c r="V206" t="s">
        <v>161</v>
      </c>
      <c r="W206" t="s">
        <v>161</v>
      </c>
      <c r="X206" t="s">
        <v>1243</v>
      </c>
      <c r="Y206" t="s">
        <v>1580</v>
      </c>
      <c r="Z206" t="s">
        <v>80</v>
      </c>
      <c r="AA206" t="s">
        <v>85</v>
      </c>
      <c r="AC206" t="s">
        <v>1581</v>
      </c>
      <c r="AD206" t="s">
        <v>87</v>
      </c>
      <c r="AG206" t="s">
        <v>1582</v>
      </c>
      <c r="AH206" t="s">
        <v>91</v>
      </c>
      <c r="AI206" t="s">
        <v>92</v>
      </c>
      <c r="AJ206" t="s">
        <v>131</v>
      </c>
      <c r="AK206" t="s">
        <v>1583</v>
      </c>
      <c r="AL206" t="s">
        <v>95</v>
      </c>
      <c r="AM206" t="s">
        <v>96</v>
      </c>
      <c r="AN206" t="s">
        <v>97</v>
      </c>
      <c r="AO206" t="s">
        <v>98</v>
      </c>
      <c r="AP206" t="s">
        <v>78</v>
      </c>
      <c r="AQ206" t="s">
        <v>99</v>
      </c>
      <c r="AS206" t="s">
        <v>78</v>
      </c>
      <c r="AT206" t="s">
        <v>100</v>
      </c>
      <c r="AU206" t="s">
        <v>100</v>
      </c>
      <c r="AW206" t="s">
        <v>85</v>
      </c>
      <c r="AX206" t="s">
        <v>103</v>
      </c>
      <c r="AY206" t="s">
        <v>159</v>
      </c>
      <c r="AZ206" t="s">
        <v>103</v>
      </c>
      <c r="BA206" t="s">
        <v>245</v>
      </c>
      <c r="BB206" t="s">
        <v>78</v>
      </c>
      <c r="BC206" t="s">
        <v>78</v>
      </c>
      <c r="BE206">
        <v>0</v>
      </c>
      <c r="BF206">
        <v>0</v>
      </c>
      <c r="BG206">
        <v>0</v>
      </c>
      <c r="BH206">
        <v>0</v>
      </c>
      <c r="BJ206" t="s">
        <v>85</v>
      </c>
      <c r="BP206" t="s">
        <v>78</v>
      </c>
      <c r="BQ206" t="s">
        <v>78</v>
      </c>
      <c r="BR206" t="s">
        <v>78</v>
      </c>
    </row>
    <row r="207" customFormat="1" spans="1:70">
      <c r="A207" t="s">
        <v>1584</v>
      </c>
      <c r="B207" t="s">
        <v>1584</v>
      </c>
      <c r="C207" t="s">
        <v>107</v>
      </c>
      <c r="D207" t="s">
        <v>108</v>
      </c>
      <c r="E207">
        <v>1</v>
      </c>
      <c r="F207" t="s">
        <v>109</v>
      </c>
      <c r="G207" t="s">
        <v>110</v>
      </c>
      <c r="H207">
        <v>289</v>
      </c>
      <c r="I207">
        <v>289</v>
      </c>
      <c r="J207">
        <v>0</v>
      </c>
      <c r="K207">
        <v>0</v>
      </c>
      <c r="L207" t="s">
        <v>78</v>
      </c>
      <c r="M207" t="s">
        <v>78</v>
      </c>
      <c r="N207" t="s">
        <v>78</v>
      </c>
      <c r="O207">
        <v>0</v>
      </c>
      <c r="P207">
        <v>0</v>
      </c>
      <c r="Q207">
        <v>0</v>
      </c>
      <c r="R207" t="s">
        <v>125</v>
      </c>
      <c r="S207">
        <v>0</v>
      </c>
      <c r="T207" t="s">
        <v>80</v>
      </c>
      <c r="U207" t="s">
        <v>80</v>
      </c>
      <c r="V207" t="s">
        <v>464</v>
      </c>
      <c r="W207" t="s">
        <v>542</v>
      </c>
      <c r="X207" t="s">
        <v>1214</v>
      </c>
      <c r="Y207" t="s">
        <v>1585</v>
      </c>
      <c r="Z207" t="s">
        <v>80</v>
      </c>
      <c r="AA207" t="s">
        <v>85</v>
      </c>
      <c r="AC207" t="s">
        <v>1586</v>
      </c>
      <c r="AD207" t="s">
        <v>87</v>
      </c>
      <c r="AG207" t="s">
        <v>1587</v>
      </c>
      <c r="AH207" t="s">
        <v>91</v>
      </c>
      <c r="AI207" t="s">
        <v>92</v>
      </c>
      <c r="AJ207" t="s">
        <v>131</v>
      </c>
      <c r="AK207" t="s">
        <v>1588</v>
      </c>
      <c r="AL207" t="s">
        <v>95</v>
      </c>
      <c r="AM207" t="s">
        <v>96</v>
      </c>
      <c r="AN207" t="s">
        <v>97</v>
      </c>
      <c r="AO207" t="s">
        <v>98</v>
      </c>
      <c r="AP207" t="s">
        <v>78</v>
      </c>
      <c r="AQ207" t="s">
        <v>99</v>
      </c>
      <c r="AS207" t="s">
        <v>78</v>
      </c>
      <c r="AT207" t="s">
        <v>100</v>
      </c>
      <c r="AU207" t="s">
        <v>100</v>
      </c>
      <c r="AW207" t="s">
        <v>85</v>
      </c>
      <c r="AX207" t="s">
        <v>101</v>
      </c>
      <c r="AY207" t="s">
        <v>102</v>
      </c>
      <c r="AZ207" t="s">
        <v>103</v>
      </c>
      <c r="BA207" t="s">
        <v>245</v>
      </c>
      <c r="BB207" t="s">
        <v>78</v>
      </c>
      <c r="BC207" t="s">
        <v>78</v>
      </c>
      <c r="BE207">
        <v>0</v>
      </c>
      <c r="BF207">
        <v>0</v>
      </c>
      <c r="BG207">
        <v>0</v>
      </c>
      <c r="BH207">
        <v>0</v>
      </c>
      <c r="BJ207" t="s">
        <v>85</v>
      </c>
      <c r="BP207" t="s">
        <v>78</v>
      </c>
      <c r="BQ207" t="s">
        <v>78</v>
      </c>
      <c r="BR207" t="s">
        <v>78</v>
      </c>
    </row>
    <row r="208" customFormat="1" spans="1:70">
      <c r="A208" t="s">
        <v>1589</v>
      </c>
      <c r="B208" t="s">
        <v>1589</v>
      </c>
      <c r="C208" t="s">
        <v>107</v>
      </c>
      <c r="D208" t="s">
        <v>135</v>
      </c>
      <c r="E208">
        <v>1</v>
      </c>
      <c r="F208" t="s">
        <v>109</v>
      </c>
      <c r="G208" t="s">
        <v>136</v>
      </c>
      <c r="H208">
        <v>289</v>
      </c>
      <c r="I208">
        <v>289</v>
      </c>
      <c r="J208">
        <v>0</v>
      </c>
      <c r="K208">
        <v>0</v>
      </c>
      <c r="L208" t="s">
        <v>78</v>
      </c>
      <c r="M208" t="s">
        <v>78</v>
      </c>
      <c r="N208" t="s">
        <v>78</v>
      </c>
      <c r="O208">
        <v>0</v>
      </c>
      <c r="P208">
        <v>0</v>
      </c>
      <c r="Q208">
        <v>0</v>
      </c>
      <c r="R208" t="s">
        <v>79</v>
      </c>
      <c r="S208">
        <v>0</v>
      </c>
      <c r="T208" t="s">
        <v>80</v>
      </c>
      <c r="U208" t="s">
        <v>80</v>
      </c>
      <c r="V208" t="s">
        <v>1261</v>
      </c>
      <c r="W208" t="s">
        <v>1590</v>
      </c>
      <c r="X208" t="s">
        <v>1591</v>
      </c>
      <c r="Y208" t="s">
        <v>1592</v>
      </c>
      <c r="Z208" t="s">
        <v>80</v>
      </c>
      <c r="AA208" t="s">
        <v>85</v>
      </c>
      <c r="AC208" t="s">
        <v>1593</v>
      </c>
      <c r="AD208" t="s">
        <v>87</v>
      </c>
      <c r="AG208" t="s">
        <v>1594</v>
      </c>
      <c r="AH208" t="s">
        <v>91</v>
      </c>
      <c r="AI208" t="s">
        <v>92</v>
      </c>
      <c r="AJ208" t="s">
        <v>131</v>
      </c>
      <c r="AK208" t="s">
        <v>1595</v>
      </c>
      <c r="AL208" t="s">
        <v>95</v>
      </c>
      <c r="AM208" t="s">
        <v>96</v>
      </c>
      <c r="AN208" t="s">
        <v>97</v>
      </c>
      <c r="AO208" t="s">
        <v>98</v>
      </c>
      <c r="AP208" t="s">
        <v>78</v>
      </c>
      <c r="AQ208" t="s">
        <v>99</v>
      </c>
      <c r="AS208" t="s">
        <v>78</v>
      </c>
      <c r="AT208" t="s">
        <v>100</v>
      </c>
      <c r="AU208" t="s">
        <v>100</v>
      </c>
      <c r="AW208" t="s">
        <v>85</v>
      </c>
      <c r="AX208" t="s">
        <v>101</v>
      </c>
      <c r="AY208" t="s">
        <v>102</v>
      </c>
      <c r="AZ208" t="s">
        <v>103</v>
      </c>
      <c r="BA208" t="s">
        <v>133</v>
      </c>
      <c r="BB208" t="s">
        <v>78</v>
      </c>
      <c r="BC208" t="s">
        <v>78</v>
      </c>
      <c r="BE208">
        <v>0</v>
      </c>
      <c r="BF208">
        <v>0</v>
      </c>
      <c r="BG208">
        <v>0</v>
      </c>
      <c r="BH208">
        <v>0</v>
      </c>
      <c r="BJ208" t="s">
        <v>85</v>
      </c>
      <c r="BP208" t="s">
        <v>78</v>
      </c>
      <c r="BQ208" t="s">
        <v>78</v>
      </c>
      <c r="BR208" t="s">
        <v>78</v>
      </c>
    </row>
    <row r="209" customFormat="1" spans="1:70">
      <c r="A209" t="s">
        <v>1596</v>
      </c>
      <c r="B209" t="s">
        <v>1596</v>
      </c>
      <c r="C209" t="s">
        <v>107</v>
      </c>
      <c r="D209" t="s">
        <v>108</v>
      </c>
      <c r="E209">
        <v>1</v>
      </c>
      <c r="F209" t="s">
        <v>109</v>
      </c>
      <c r="G209" t="s">
        <v>110</v>
      </c>
      <c r="H209">
        <v>289</v>
      </c>
      <c r="I209">
        <v>289</v>
      </c>
      <c r="J209">
        <v>0</v>
      </c>
      <c r="K209">
        <v>0</v>
      </c>
      <c r="L209" t="s">
        <v>78</v>
      </c>
      <c r="M209" t="s">
        <v>78</v>
      </c>
      <c r="N209" t="s">
        <v>78</v>
      </c>
      <c r="O209">
        <v>0</v>
      </c>
      <c r="P209">
        <v>0</v>
      </c>
      <c r="Q209">
        <v>0</v>
      </c>
      <c r="R209" t="s">
        <v>125</v>
      </c>
      <c r="S209">
        <v>0</v>
      </c>
      <c r="T209" t="s">
        <v>80</v>
      </c>
      <c r="U209" t="s">
        <v>80</v>
      </c>
      <c r="V209" t="s">
        <v>347</v>
      </c>
      <c r="W209" t="s">
        <v>1526</v>
      </c>
      <c r="X209" t="s">
        <v>1527</v>
      </c>
      <c r="Y209" t="s">
        <v>1528</v>
      </c>
      <c r="Z209" t="s">
        <v>80</v>
      </c>
      <c r="AA209" t="s">
        <v>85</v>
      </c>
      <c r="AC209" t="s">
        <v>1597</v>
      </c>
      <c r="AD209" t="s">
        <v>87</v>
      </c>
      <c r="AG209" t="s">
        <v>1598</v>
      </c>
      <c r="AH209" t="s">
        <v>91</v>
      </c>
      <c r="AI209" t="s">
        <v>92</v>
      </c>
      <c r="AJ209" t="s">
        <v>131</v>
      </c>
      <c r="AK209" t="s">
        <v>1599</v>
      </c>
      <c r="AL209" t="s">
        <v>95</v>
      </c>
      <c r="AM209" t="s">
        <v>96</v>
      </c>
      <c r="AN209" t="s">
        <v>97</v>
      </c>
      <c r="AO209" t="s">
        <v>98</v>
      </c>
      <c r="AP209" t="s">
        <v>78</v>
      </c>
      <c r="AQ209" t="s">
        <v>99</v>
      </c>
      <c r="AS209" t="s">
        <v>78</v>
      </c>
      <c r="AT209" t="s">
        <v>100</v>
      </c>
      <c r="AU209" t="s">
        <v>100</v>
      </c>
      <c r="AW209" t="s">
        <v>85</v>
      </c>
      <c r="AX209" t="s">
        <v>103</v>
      </c>
      <c r="AY209" t="s">
        <v>159</v>
      </c>
      <c r="AZ209" t="s">
        <v>103</v>
      </c>
      <c r="BA209" t="s">
        <v>218</v>
      </c>
      <c r="BB209" t="s">
        <v>78</v>
      </c>
      <c r="BC209" t="s">
        <v>78</v>
      </c>
      <c r="BE209">
        <v>0</v>
      </c>
      <c r="BF209">
        <v>0</v>
      </c>
      <c r="BG209">
        <v>0</v>
      </c>
      <c r="BH209">
        <v>0</v>
      </c>
      <c r="BJ209" t="s">
        <v>85</v>
      </c>
      <c r="BP209" t="s">
        <v>78</v>
      </c>
      <c r="BQ209" t="s">
        <v>78</v>
      </c>
      <c r="BR209" t="s">
        <v>78</v>
      </c>
    </row>
    <row r="210" customFormat="1" spans="1:70">
      <c r="A210" t="s">
        <v>1600</v>
      </c>
      <c r="B210" t="s">
        <v>1600</v>
      </c>
      <c r="C210" t="s">
        <v>107</v>
      </c>
      <c r="D210" t="s">
        <v>108</v>
      </c>
      <c r="E210">
        <v>1</v>
      </c>
      <c r="F210" t="s">
        <v>109</v>
      </c>
      <c r="G210" t="s">
        <v>110</v>
      </c>
      <c r="H210">
        <v>289</v>
      </c>
      <c r="I210">
        <v>289</v>
      </c>
      <c r="J210">
        <v>0</v>
      </c>
      <c r="K210">
        <v>0</v>
      </c>
      <c r="L210" t="s">
        <v>78</v>
      </c>
      <c r="M210" t="s">
        <v>78</v>
      </c>
      <c r="N210" t="s">
        <v>78</v>
      </c>
      <c r="O210">
        <v>0</v>
      </c>
      <c r="P210">
        <v>0</v>
      </c>
      <c r="Q210">
        <v>0</v>
      </c>
      <c r="R210" t="s">
        <v>79</v>
      </c>
      <c r="S210">
        <v>0</v>
      </c>
      <c r="T210" t="s">
        <v>80</v>
      </c>
      <c r="U210" t="s">
        <v>80</v>
      </c>
      <c r="V210" t="s">
        <v>447</v>
      </c>
      <c r="W210" t="s">
        <v>1601</v>
      </c>
      <c r="X210" t="s">
        <v>1602</v>
      </c>
      <c r="Y210" t="s">
        <v>1603</v>
      </c>
      <c r="Z210" t="s">
        <v>80</v>
      </c>
      <c r="AA210" t="s">
        <v>85</v>
      </c>
      <c r="AC210" t="s">
        <v>1604</v>
      </c>
      <c r="AD210" t="s">
        <v>87</v>
      </c>
      <c r="AF210" t="s">
        <v>1605</v>
      </c>
      <c r="AG210" t="s">
        <v>1606</v>
      </c>
      <c r="AH210" t="s">
        <v>91</v>
      </c>
      <c r="AI210" t="s">
        <v>92</v>
      </c>
      <c r="AJ210" t="s">
        <v>93</v>
      </c>
      <c r="AK210" t="s">
        <v>1607</v>
      </c>
      <c r="AL210" t="s">
        <v>95</v>
      </c>
      <c r="AM210" t="s">
        <v>96</v>
      </c>
      <c r="AN210" t="s">
        <v>97</v>
      </c>
      <c r="AO210" t="s">
        <v>98</v>
      </c>
      <c r="AP210" t="s">
        <v>78</v>
      </c>
      <c r="AQ210" t="s">
        <v>78</v>
      </c>
      <c r="AS210" t="s">
        <v>78</v>
      </c>
      <c r="AT210" t="s">
        <v>100</v>
      </c>
      <c r="AU210" t="s">
        <v>100</v>
      </c>
      <c r="AW210" t="s">
        <v>85</v>
      </c>
      <c r="AX210" t="s">
        <v>101</v>
      </c>
      <c r="AY210" t="s">
        <v>102</v>
      </c>
      <c r="AZ210" t="s">
        <v>103</v>
      </c>
      <c r="BA210" t="s">
        <v>133</v>
      </c>
      <c r="BB210" t="s">
        <v>78</v>
      </c>
      <c r="BC210" t="s">
        <v>78</v>
      </c>
      <c r="BD210" t="s">
        <v>1608</v>
      </c>
      <c r="BE210">
        <v>0</v>
      </c>
      <c r="BF210">
        <v>0</v>
      </c>
      <c r="BG210">
        <v>0</v>
      </c>
      <c r="BH210">
        <v>0</v>
      </c>
      <c r="BJ210" t="s">
        <v>85</v>
      </c>
      <c r="BP210" t="s">
        <v>78</v>
      </c>
      <c r="BQ210" t="s">
        <v>78</v>
      </c>
      <c r="BR210" t="s">
        <v>78</v>
      </c>
    </row>
    <row r="211" customFormat="1" spans="1:70">
      <c r="A211" t="s">
        <v>1609</v>
      </c>
      <c r="B211" t="s">
        <v>1609</v>
      </c>
      <c r="C211" t="s">
        <v>107</v>
      </c>
      <c r="D211" t="s">
        <v>108</v>
      </c>
      <c r="E211">
        <v>1</v>
      </c>
      <c r="F211" t="s">
        <v>109</v>
      </c>
      <c r="G211" t="s">
        <v>110</v>
      </c>
      <c r="H211">
        <v>289</v>
      </c>
      <c r="I211">
        <v>289</v>
      </c>
      <c r="J211">
        <v>0</v>
      </c>
      <c r="K211">
        <v>0</v>
      </c>
      <c r="L211" t="s">
        <v>78</v>
      </c>
      <c r="M211" t="s">
        <v>78</v>
      </c>
      <c r="N211" t="s">
        <v>78</v>
      </c>
      <c r="O211">
        <v>0</v>
      </c>
      <c r="P211">
        <v>0</v>
      </c>
      <c r="Q211">
        <v>0</v>
      </c>
      <c r="R211" t="s">
        <v>79</v>
      </c>
      <c r="S211">
        <v>0</v>
      </c>
      <c r="T211" t="s">
        <v>80</v>
      </c>
      <c r="U211" t="s">
        <v>80</v>
      </c>
      <c r="V211" t="s">
        <v>271</v>
      </c>
      <c r="W211" t="s">
        <v>272</v>
      </c>
      <c r="X211" t="s">
        <v>1172</v>
      </c>
      <c r="Y211" t="s">
        <v>1173</v>
      </c>
      <c r="Z211" t="s">
        <v>80</v>
      </c>
      <c r="AA211" t="s">
        <v>85</v>
      </c>
      <c r="AC211" t="s">
        <v>1610</v>
      </c>
      <c r="AD211" t="s">
        <v>87</v>
      </c>
      <c r="AG211" t="s">
        <v>1611</v>
      </c>
      <c r="AH211" t="s">
        <v>91</v>
      </c>
      <c r="AI211" t="s">
        <v>216</v>
      </c>
      <c r="AJ211" t="s">
        <v>131</v>
      </c>
      <c r="AK211" t="s">
        <v>1612</v>
      </c>
      <c r="AL211" t="s">
        <v>95</v>
      </c>
      <c r="AM211" t="s">
        <v>96</v>
      </c>
      <c r="AN211" t="s">
        <v>96</v>
      </c>
      <c r="AP211" t="s">
        <v>78</v>
      </c>
      <c r="AQ211" t="s">
        <v>99</v>
      </c>
      <c r="AS211" t="s">
        <v>78</v>
      </c>
      <c r="AT211" t="s">
        <v>100</v>
      </c>
      <c r="AU211" t="s">
        <v>100</v>
      </c>
      <c r="AW211" t="s">
        <v>85</v>
      </c>
      <c r="AX211" t="s">
        <v>101</v>
      </c>
      <c r="AY211" t="s">
        <v>102</v>
      </c>
      <c r="AZ211" t="s">
        <v>145</v>
      </c>
      <c r="BA211" t="s">
        <v>525</v>
      </c>
      <c r="BB211" t="s">
        <v>78</v>
      </c>
      <c r="BC211" t="s">
        <v>78</v>
      </c>
      <c r="BE211">
        <v>0</v>
      </c>
      <c r="BF211">
        <v>0</v>
      </c>
      <c r="BG211">
        <v>0</v>
      </c>
      <c r="BH211">
        <v>0</v>
      </c>
      <c r="BJ211" t="s">
        <v>85</v>
      </c>
      <c r="BP211" t="s">
        <v>78</v>
      </c>
      <c r="BQ211" t="s">
        <v>78</v>
      </c>
      <c r="BR211" t="s">
        <v>78</v>
      </c>
    </row>
    <row r="212" customFormat="1" spans="1:70">
      <c r="A212" t="s">
        <v>1613</v>
      </c>
      <c r="B212" t="s">
        <v>1613</v>
      </c>
      <c r="C212" t="s">
        <v>107</v>
      </c>
      <c r="D212" t="s">
        <v>108</v>
      </c>
      <c r="E212">
        <v>1</v>
      </c>
      <c r="F212" t="s">
        <v>109</v>
      </c>
      <c r="G212" t="s">
        <v>110</v>
      </c>
      <c r="H212">
        <v>289</v>
      </c>
      <c r="I212">
        <v>289</v>
      </c>
      <c r="J212">
        <v>0</v>
      </c>
      <c r="K212">
        <v>0</v>
      </c>
      <c r="L212" t="s">
        <v>78</v>
      </c>
      <c r="M212" t="s">
        <v>78</v>
      </c>
      <c r="N212" t="s">
        <v>78</v>
      </c>
      <c r="O212">
        <v>0</v>
      </c>
      <c r="P212">
        <v>0</v>
      </c>
      <c r="Q212">
        <v>0</v>
      </c>
      <c r="R212" t="s">
        <v>79</v>
      </c>
      <c r="S212">
        <v>0</v>
      </c>
      <c r="T212" t="s">
        <v>80</v>
      </c>
      <c r="U212" t="s">
        <v>80</v>
      </c>
      <c r="V212" t="s">
        <v>271</v>
      </c>
      <c r="W212" t="s">
        <v>272</v>
      </c>
      <c r="X212" t="s">
        <v>1172</v>
      </c>
      <c r="Y212" t="s">
        <v>1173</v>
      </c>
      <c r="Z212" t="s">
        <v>80</v>
      </c>
      <c r="AA212" t="s">
        <v>85</v>
      </c>
      <c r="AC212" t="s">
        <v>1614</v>
      </c>
      <c r="AD212" t="s">
        <v>87</v>
      </c>
      <c r="AG212" t="s">
        <v>1615</v>
      </c>
      <c r="AH212" t="s">
        <v>91</v>
      </c>
      <c r="AI212" t="s">
        <v>216</v>
      </c>
      <c r="AJ212" t="s">
        <v>131</v>
      </c>
      <c r="AK212" t="s">
        <v>1616</v>
      </c>
      <c r="AL212" t="s">
        <v>95</v>
      </c>
      <c r="AM212" t="s">
        <v>96</v>
      </c>
      <c r="AN212" t="s">
        <v>96</v>
      </c>
      <c r="AP212" t="s">
        <v>78</v>
      </c>
      <c r="AQ212" t="s">
        <v>99</v>
      </c>
      <c r="AS212" t="s">
        <v>78</v>
      </c>
      <c r="AT212" t="s">
        <v>100</v>
      </c>
      <c r="AU212" t="s">
        <v>100</v>
      </c>
      <c r="AW212" t="s">
        <v>85</v>
      </c>
      <c r="AX212" t="s">
        <v>101</v>
      </c>
      <c r="AY212" t="s">
        <v>102</v>
      </c>
      <c r="AZ212" t="s">
        <v>145</v>
      </c>
      <c r="BA212" t="s">
        <v>218</v>
      </c>
      <c r="BB212" t="s">
        <v>78</v>
      </c>
      <c r="BC212" t="s">
        <v>78</v>
      </c>
      <c r="BE212">
        <v>0</v>
      </c>
      <c r="BF212">
        <v>0</v>
      </c>
      <c r="BG212">
        <v>0</v>
      </c>
      <c r="BH212">
        <v>0</v>
      </c>
      <c r="BJ212" t="s">
        <v>85</v>
      </c>
      <c r="BP212" t="s">
        <v>78</v>
      </c>
      <c r="BQ212" t="s">
        <v>78</v>
      </c>
      <c r="BR212" t="s">
        <v>78</v>
      </c>
    </row>
    <row r="213" customFormat="1" spans="1:70">
      <c r="A213" t="s">
        <v>1617</v>
      </c>
      <c r="B213" t="s">
        <v>1617</v>
      </c>
      <c r="C213" t="s">
        <v>1126</v>
      </c>
      <c r="D213" t="s">
        <v>1127</v>
      </c>
      <c r="E213">
        <v>1</v>
      </c>
      <c r="F213" t="s">
        <v>1128</v>
      </c>
      <c r="G213" t="s">
        <v>1129</v>
      </c>
      <c r="H213">
        <v>249</v>
      </c>
      <c r="I213">
        <v>246.82</v>
      </c>
      <c r="J213">
        <v>0</v>
      </c>
      <c r="K213">
        <v>2.18</v>
      </c>
      <c r="L213" t="s">
        <v>1618</v>
      </c>
      <c r="M213" t="s">
        <v>78</v>
      </c>
      <c r="N213" t="s">
        <v>78</v>
      </c>
      <c r="O213">
        <v>0</v>
      </c>
      <c r="P213">
        <v>0</v>
      </c>
      <c r="Q213">
        <v>0</v>
      </c>
      <c r="R213" t="s">
        <v>111</v>
      </c>
      <c r="S213">
        <v>0</v>
      </c>
      <c r="T213" t="s">
        <v>80</v>
      </c>
      <c r="U213" t="s">
        <v>80</v>
      </c>
      <c r="V213" t="s">
        <v>112</v>
      </c>
      <c r="W213" t="s">
        <v>906</v>
      </c>
      <c r="X213" t="s">
        <v>1619</v>
      </c>
      <c r="Y213" t="s">
        <v>1620</v>
      </c>
      <c r="Z213" t="s">
        <v>80</v>
      </c>
      <c r="AA213" t="s">
        <v>85</v>
      </c>
      <c r="AC213" t="s">
        <v>1621</v>
      </c>
      <c r="AD213" t="s">
        <v>202</v>
      </c>
      <c r="AE213" t="s">
        <v>1622</v>
      </c>
      <c r="AG213" t="s">
        <v>1623</v>
      </c>
      <c r="AH213" t="s">
        <v>91</v>
      </c>
      <c r="AI213" t="s">
        <v>92</v>
      </c>
      <c r="AJ213" t="s">
        <v>131</v>
      </c>
      <c r="AK213" t="s">
        <v>1624</v>
      </c>
      <c r="AL213" t="s">
        <v>95</v>
      </c>
      <c r="AM213" t="s">
        <v>96</v>
      </c>
      <c r="AN213" t="s">
        <v>97</v>
      </c>
      <c r="AO213" t="s">
        <v>98</v>
      </c>
      <c r="AP213" t="s">
        <v>78</v>
      </c>
      <c r="AQ213" t="s">
        <v>99</v>
      </c>
      <c r="AS213" t="s">
        <v>78</v>
      </c>
      <c r="AT213" t="s">
        <v>100</v>
      </c>
      <c r="AU213" t="s">
        <v>100</v>
      </c>
      <c r="AW213" t="s">
        <v>85</v>
      </c>
      <c r="AX213" t="s">
        <v>101</v>
      </c>
      <c r="AY213" t="s">
        <v>102</v>
      </c>
      <c r="AZ213" t="s">
        <v>145</v>
      </c>
      <c r="BA213" t="s">
        <v>146</v>
      </c>
      <c r="BB213" t="s">
        <v>78</v>
      </c>
      <c r="BC213" t="s">
        <v>78</v>
      </c>
      <c r="BD213" t="s">
        <v>1220</v>
      </c>
      <c r="BE213">
        <v>0</v>
      </c>
      <c r="BF213">
        <v>2.18</v>
      </c>
      <c r="BG213">
        <v>0</v>
      </c>
      <c r="BH213">
        <v>0</v>
      </c>
      <c r="BJ213" t="s">
        <v>85</v>
      </c>
      <c r="BP213" t="s">
        <v>78</v>
      </c>
      <c r="BQ213" t="s">
        <v>78</v>
      </c>
      <c r="BR213" t="s">
        <v>78</v>
      </c>
    </row>
    <row r="214" customFormat="1" spans="1:70">
      <c r="A214" t="s">
        <v>1625</v>
      </c>
      <c r="B214" t="s">
        <v>1625</v>
      </c>
      <c r="C214" t="s">
        <v>1080</v>
      </c>
      <c r="D214" t="s">
        <v>123</v>
      </c>
      <c r="E214">
        <v>1</v>
      </c>
      <c r="F214" t="s">
        <v>1081</v>
      </c>
      <c r="G214" t="s">
        <v>1626</v>
      </c>
      <c r="H214">
        <v>289</v>
      </c>
      <c r="I214">
        <v>289</v>
      </c>
      <c r="J214">
        <v>0</v>
      </c>
      <c r="K214">
        <v>0</v>
      </c>
      <c r="L214" t="s">
        <v>78</v>
      </c>
      <c r="M214" t="s">
        <v>78</v>
      </c>
      <c r="N214" t="s">
        <v>78</v>
      </c>
      <c r="O214">
        <v>0</v>
      </c>
      <c r="P214">
        <v>0</v>
      </c>
      <c r="Q214">
        <v>0</v>
      </c>
      <c r="R214" t="s">
        <v>79</v>
      </c>
      <c r="S214">
        <v>0</v>
      </c>
      <c r="T214" t="s">
        <v>80</v>
      </c>
      <c r="U214" t="s">
        <v>80</v>
      </c>
      <c r="V214" t="s">
        <v>221</v>
      </c>
      <c r="W214" t="s">
        <v>336</v>
      </c>
      <c r="X214" t="s">
        <v>1627</v>
      </c>
      <c r="Y214" t="s">
        <v>1628</v>
      </c>
      <c r="Z214" t="s">
        <v>80</v>
      </c>
      <c r="AA214" t="s">
        <v>85</v>
      </c>
      <c r="AC214" t="s">
        <v>1629</v>
      </c>
      <c r="AD214" t="s">
        <v>87</v>
      </c>
      <c r="AG214" t="s">
        <v>1630</v>
      </c>
      <c r="AH214" t="s">
        <v>91</v>
      </c>
      <c r="AI214" t="s">
        <v>92</v>
      </c>
      <c r="AJ214" t="s">
        <v>131</v>
      </c>
      <c r="AK214" t="s">
        <v>1631</v>
      </c>
      <c r="AL214" t="s">
        <v>95</v>
      </c>
      <c r="AM214" t="s">
        <v>96</v>
      </c>
      <c r="AN214" t="s">
        <v>97</v>
      </c>
      <c r="AO214" t="s">
        <v>98</v>
      </c>
      <c r="AP214" t="s">
        <v>78</v>
      </c>
      <c r="AQ214" t="s">
        <v>99</v>
      </c>
      <c r="AS214" t="s">
        <v>78</v>
      </c>
      <c r="AT214" t="s">
        <v>100</v>
      </c>
      <c r="AU214" t="s">
        <v>100</v>
      </c>
      <c r="AW214" t="s">
        <v>85</v>
      </c>
      <c r="AX214" t="s">
        <v>101</v>
      </c>
      <c r="AY214" t="s">
        <v>102</v>
      </c>
      <c r="AZ214" t="s">
        <v>145</v>
      </c>
      <c r="BA214" t="s">
        <v>146</v>
      </c>
      <c r="BB214" t="s">
        <v>78</v>
      </c>
      <c r="BC214" t="s">
        <v>78</v>
      </c>
      <c r="BE214">
        <v>0</v>
      </c>
      <c r="BF214">
        <v>0</v>
      </c>
      <c r="BG214">
        <v>0</v>
      </c>
      <c r="BH214">
        <v>0</v>
      </c>
      <c r="BJ214" t="s">
        <v>85</v>
      </c>
      <c r="BP214" t="s">
        <v>78</v>
      </c>
      <c r="BQ214" t="s">
        <v>78</v>
      </c>
      <c r="BR214" t="s">
        <v>78</v>
      </c>
    </row>
    <row r="215" customFormat="1" spans="1:70">
      <c r="A215" t="s">
        <v>1632</v>
      </c>
      <c r="B215" t="s">
        <v>1632</v>
      </c>
      <c r="C215" t="s">
        <v>107</v>
      </c>
      <c r="D215" t="s">
        <v>123</v>
      </c>
      <c r="E215">
        <v>1</v>
      </c>
      <c r="F215" t="s">
        <v>109</v>
      </c>
      <c r="G215" t="s">
        <v>124</v>
      </c>
      <c r="H215">
        <v>289</v>
      </c>
      <c r="I215">
        <v>253</v>
      </c>
      <c r="J215">
        <v>0</v>
      </c>
      <c r="K215">
        <v>36</v>
      </c>
      <c r="L215" t="s">
        <v>1633</v>
      </c>
      <c r="M215" t="s">
        <v>78</v>
      </c>
      <c r="N215" t="s">
        <v>78</v>
      </c>
      <c r="O215">
        <v>0</v>
      </c>
      <c r="P215">
        <v>0</v>
      </c>
      <c r="Q215">
        <v>0</v>
      </c>
      <c r="R215" t="s">
        <v>111</v>
      </c>
      <c r="S215">
        <v>0</v>
      </c>
      <c r="T215" t="s">
        <v>80</v>
      </c>
      <c r="U215" t="s">
        <v>80</v>
      </c>
      <c r="V215" t="s">
        <v>271</v>
      </c>
      <c r="W215" t="s">
        <v>717</v>
      </c>
      <c r="X215" t="s">
        <v>1634</v>
      </c>
      <c r="Y215" t="s">
        <v>1462</v>
      </c>
      <c r="Z215" t="s">
        <v>80</v>
      </c>
      <c r="AA215" t="s">
        <v>85</v>
      </c>
      <c r="AC215" t="s">
        <v>1635</v>
      </c>
      <c r="AD215" t="s">
        <v>87</v>
      </c>
      <c r="AG215" t="s">
        <v>1636</v>
      </c>
      <c r="AH215" t="s">
        <v>91</v>
      </c>
      <c r="AI215" t="s">
        <v>216</v>
      </c>
      <c r="AJ215" t="s">
        <v>131</v>
      </c>
      <c r="AK215" t="s">
        <v>1637</v>
      </c>
      <c r="AL215" t="s">
        <v>95</v>
      </c>
      <c r="AM215" t="s">
        <v>96</v>
      </c>
      <c r="AN215" t="s">
        <v>96</v>
      </c>
      <c r="AP215" t="s">
        <v>78</v>
      </c>
      <c r="AQ215" t="s">
        <v>99</v>
      </c>
      <c r="AS215" t="s">
        <v>78</v>
      </c>
      <c r="AT215" t="s">
        <v>100</v>
      </c>
      <c r="AU215" t="s">
        <v>100</v>
      </c>
      <c r="AW215" t="s">
        <v>85</v>
      </c>
      <c r="AX215" t="s">
        <v>101</v>
      </c>
      <c r="AY215" t="s">
        <v>102</v>
      </c>
      <c r="AZ215" t="s">
        <v>145</v>
      </c>
      <c r="BA215" t="s">
        <v>525</v>
      </c>
      <c r="BB215" t="s">
        <v>78</v>
      </c>
      <c r="BC215" t="s">
        <v>78</v>
      </c>
      <c r="BE215">
        <v>0</v>
      </c>
      <c r="BF215">
        <v>36</v>
      </c>
      <c r="BG215">
        <v>0</v>
      </c>
      <c r="BH215">
        <v>0</v>
      </c>
      <c r="BJ215" t="s">
        <v>85</v>
      </c>
      <c r="BP215" t="s">
        <v>78</v>
      </c>
      <c r="BQ215" t="s">
        <v>78</v>
      </c>
      <c r="BR215" t="s">
        <v>78</v>
      </c>
    </row>
    <row r="216" customFormat="1" spans="1:70">
      <c r="A216" t="s">
        <v>1638</v>
      </c>
      <c r="B216" t="s">
        <v>1638</v>
      </c>
      <c r="C216" t="s">
        <v>1080</v>
      </c>
      <c r="D216" t="s">
        <v>135</v>
      </c>
      <c r="E216">
        <v>1</v>
      </c>
      <c r="F216" t="s">
        <v>1081</v>
      </c>
      <c r="G216" t="s">
        <v>1639</v>
      </c>
      <c r="H216">
        <v>289</v>
      </c>
      <c r="I216">
        <v>284</v>
      </c>
      <c r="J216">
        <v>0</v>
      </c>
      <c r="K216">
        <v>5</v>
      </c>
      <c r="L216" t="s">
        <v>659</v>
      </c>
      <c r="M216" t="s">
        <v>78</v>
      </c>
      <c r="N216" t="s">
        <v>78</v>
      </c>
      <c r="O216">
        <v>0</v>
      </c>
      <c r="P216">
        <v>0</v>
      </c>
      <c r="Q216">
        <v>0</v>
      </c>
      <c r="R216" t="s">
        <v>79</v>
      </c>
      <c r="S216">
        <v>0</v>
      </c>
      <c r="T216" t="s">
        <v>80</v>
      </c>
      <c r="U216" t="s">
        <v>80</v>
      </c>
      <c r="V216" t="s">
        <v>302</v>
      </c>
      <c r="W216" t="s">
        <v>1358</v>
      </c>
      <c r="X216" t="s">
        <v>1359</v>
      </c>
      <c r="Y216" t="s">
        <v>1360</v>
      </c>
      <c r="Z216" t="s">
        <v>80</v>
      </c>
      <c r="AA216" t="s">
        <v>85</v>
      </c>
      <c r="AC216" t="s">
        <v>1640</v>
      </c>
      <c r="AD216" t="s">
        <v>87</v>
      </c>
      <c r="AG216" t="s">
        <v>1641</v>
      </c>
      <c r="AH216" t="s">
        <v>91</v>
      </c>
      <c r="AI216" t="s">
        <v>216</v>
      </c>
      <c r="AJ216" t="s">
        <v>131</v>
      </c>
      <c r="AK216" t="s">
        <v>1642</v>
      </c>
      <c r="AL216" t="s">
        <v>95</v>
      </c>
      <c r="AM216" t="s">
        <v>96</v>
      </c>
      <c r="AN216" t="s">
        <v>96</v>
      </c>
      <c r="AP216" t="s">
        <v>78</v>
      </c>
      <c r="AQ216" t="s">
        <v>99</v>
      </c>
      <c r="AS216" t="s">
        <v>78</v>
      </c>
      <c r="AT216" t="s">
        <v>100</v>
      </c>
      <c r="AU216" t="s">
        <v>100</v>
      </c>
      <c r="AW216" t="s">
        <v>85</v>
      </c>
      <c r="AX216" t="s">
        <v>101</v>
      </c>
      <c r="AY216" t="s">
        <v>102</v>
      </c>
      <c r="AZ216" t="s">
        <v>145</v>
      </c>
      <c r="BA216" t="s">
        <v>525</v>
      </c>
      <c r="BB216" t="s">
        <v>78</v>
      </c>
      <c r="BC216" t="s">
        <v>78</v>
      </c>
      <c r="BE216">
        <v>0</v>
      </c>
      <c r="BF216">
        <v>5</v>
      </c>
      <c r="BG216">
        <v>0</v>
      </c>
      <c r="BH216">
        <v>0</v>
      </c>
      <c r="BJ216" t="s">
        <v>85</v>
      </c>
      <c r="BP216" t="s">
        <v>78</v>
      </c>
      <c r="BQ216" t="s">
        <v>78</v>
      </c>
      <c r="BR216" t="s">
        <v>78</v>
      </c>
    </row>
    <row r="217" customFormat="1" spans="1:70">
      <c r="A217" t="s">
        <v>1643</v>
      </c>
      <c r="B217" t="s">
        <v>1643</v>
      </c>
      <c r="C217" t="s">
        <v>107</v>
      </c>
      <c r="D217" t="s">
        <v>135</v>
      </c>
      <c r="E217">
        <v>1</v>
      </c>
      <c r="F217" t="s">
        <v>109</v>
      </c>
      <c r="G217" t="s">
        <v>136</v>
      </c>
      <c r="H217">
        <v>289</v>
      </c>
      <c r="I217">
        <v>289</v>
      </c>
      <c r="J217">
        <v>0</v>
      </c>
      <c r="K217">
        <v>0</v>
      </c>
      <c r="L217" t="s">
        <v>78</v>
      </c>
      <c r="M217" t="s">
        <v>78</v>
      </c>
      <c r="N217" t="s">
        <v>78</v>
      </c>
      <c r="O217">
        <v>0</v>
      </c>
      <c r="P217">
        <v>0</v>
      </c>
      <c r="Q217">
        <v>0</v>
      </c>
      <c r="R217" t="s">
        <v>79</v>
      </c>
      <c r="S217">
        <v>0</v>
      </c>
      <c r="T217" t="s">
        <v>80</v>
      </c>
      <c r="U217" t="s">
        <v>80</v>
      </c>
      <c r="V217" t="s">
        <v>447</v>
      </c>
      <c r="W217" t="s">
        <v>448</v>
      </c>
      <c r="X217" t="s">
        <v>449</v>
      </c>
      <c r="Y217" t="s">
        <v>450</v>
      </c>
      <c r="Z217" t="s">
        <v>80</v>
      </c>
      <c r="AA217" t="s">
        <v>85</v>
      </c>
      <c r="AC217" t="s">
        <v>1644</v>
      </c>
      <c r="AD217" t="s">
        <v>362</v>
      </c>
      <c r="AE217" t="s">
        <v>1645</v>
      </c>
      <c r="AG217" t="s">
        <v>1646</v>
      </c>
      <c r="AH217" t="s">
        <v>91</v>
      </c>
      <c r="AI217" t="s">
        <v>216</v>
      </c>
      <c r="AJ217" t="s">
        <v>131</v>
      </c>
      <c r="AK217" t="s">
        <v>1647</v>
      </c>
      <c r="AL217" t="s">
        <v>95</v>
      </c>
      <c r="AM217" t="s">
        <v>96</v>
      </c>
      <c r="AN217" t="s">
        <v>96</v>
      </c>
      <c r="AP217" t="s">
        <v>78</v>
      </c>
      <c r="AQ217" t="s">
        <v>99</v>
      </c>
      <c r="AS217" t="s">
        <v>78</v>
      </c>
      <c r="AT217" t="s">
        <v>100</v>
      </c>
      <c r="AU217" t="s">
        <v>100</v>
      </c>
      <c r="AW217" t="s">
        <v>85</v>
      </c>
      <c r="AX217" t="s">
        <v>101</v>
      </c>
      <c r="AY217" t="s">
        <v>102</v>
      </c>
      <c r="AZ217" t="s">
        <v>145</v>
      </c>
      <c r="BA217" t="s">
        <v>525</v>
      </c>
      <c r="BB217" t="s">
        <v>78</v>
      </c>
      <c r="BC217" t="s">
        <v>78</v>
      </c>
      <c r="BE217">
        <v>0</v>
      </c>
      <c r="BF217">
        <v>0</v>
      </c>
      <c r="BG217">
        <v>0</v>
      </c>
      <c r="BH217">
        <v>0</v>
      </c>
      <c r="BJ217" t="s">
        <v>85</v>
      </c>
      <c r="BP217" t="s">
        <v>78</v>
      </c>
      <c r="BQ217" t="s">
        <v>78</v>
      </c>
      <c r="BR217" t="s">
        <v>78</v>
      </c>
    </row>
    <row r="218" customFormat="1" spans="1:70">
      <c r="A218" t="s">
        <v>1648</v>
      </c>
      <c r="B218" t="s">
        <v>1648</v>
      </c>
      <c r="C218" t="s">
        <v>1649</v>
      </c>
      <c r="D218" t="s">
        <v>175</v>
      </c>
      <c r="E218">
        <v>1</v>
      </c>
      <c r="F218" t="s">
        <v>1650</v>
      </c>
      <c r="G218" t="s">
        <v>1651</v>
      </c>
      <c r="H218">
        <v>359</v>
      </c>
      <c r="I218">
        <v>359</v>
      </c>
      <c r="J218">
        <v>0</v>
      </c>
      <c r="K218">
        <v>0</v>
      </c>
      <c r="L218" t="s">
        <v>78</v>
      </c>
      <c r="M218" t="s">
        <v>78</v>
      </c>
      <c r="N218" t="s">
        <v>78</v>
      </c>
      <c r="O218">
        <v>0</v>
      </c>
      <c r="P218">
        <v>0</v>
      </c>
      <c r="Q218">
        <v>0</v>
      </c>
      <c r="R218" t="s">
        <v>79</v>
      </c>
      <c r="S218">
        <v>0</v>
      </c>
      <c r="T218" t="s">
        <v>80</v>
      </c>
      <c r="U218" t="s">
        <v>80</v>
      </c>
      <c r="V218" t="s">
        <v>574</v>
      </c>
      <c r="W218" t="s">
        <v>574</v>
      </c>
      <c r="X218" t="s">
        <v>1428</v>
      </c>
      <c r="Y218" t="s">
        <v>1652</v>
      </c>
      <c r="Z218" t="s">
        <v>80</v>
      </c>
      <c r="AA218" t="s">
        <v>85</v>
      </c>
      <c r="AC218" t="s">
        <v>1653</v>
      </c>
      <c r="AD218" t="s">
        <v>202</v>
      </c>
      <c r="AE218" t="s">
        <v>1654</v>
      </c>
      <c r="AG218" t="s">
        <v>1655</v>
      </c>
      <c r="AH218" t="s">
        <v>91</v>
      </c>
      <c r="AI218" t="s">
        <v>216</v>
      </c>
      <c r="AJ218" t="s">
        <v>131</v>
      </c>
      <c r="AK218" t="s">
        <v>1656</v>
      </c>
      <c r="AL218" t="s">
        <v>95</v>
      </c>
      <c r="AM218" t="s">
        <v>96</v>
      </c>
      <c r="AN218" t="s">
        <v>96</v>
      </c>
      <c r="AP218" t="s">
        <v>78</v>
      </c>
      <c r="AQ218" t="s">
        <v>99</v>
      </c>
      <c r="AS218" t="s">
        <v>78</v>
      </c>
      <c r="AT218" t="s">
        <v>100</v>
      </c>
      <c r="AU218" t="s">
        <v>100</v>
      </c>
      <c r="AW218" t="s">
        <v>85</v>
      </c>
      <c r="AX218" t="s">
        <v>101</v>
      </c>
      <c r="AY218" t="s">
        <v>102</v>
      </c>
      <c r="AZ218" t="s">
        <v>145</v>
      </c>
      <c r="BA218" t="s">
        <v>354</v>
      </c>
      <c r="BB218" t="s">
        <v>78</v>
      </c>
      <c r="BC218" t="s">
        <v>78</v>
      </c>
      <c r="BD218" t="s">
        <v>1657</v>
      </c>
      <c r="BE218">
        <v>0</v>
      </c>
      <c r="BF218">
        <v>0</v>
      </c>
      <c r="BG218">
        <v>0</v>
      </c>
      <c r="BH218">
        <v>0</v>
      </c>
      <c r="BJ218" t="s">
        <v>85</v>
      </c>
      <c r="BP218" t="s">
        <v>78</v>
      </c>
      <c r="BQ218" t="s">
        <v>78</v>
      </c>
      <c r="BR218" t="s">
        <v>78</v>
      </c>
    </row>
    <row r="219" customFormat="1" spans="1:70">
      <c r="A219" t="s">
        <v>1658</v>
      </c>
      <c r="B219" t="s">
        <v>1658</v>
      </c>
      <c r="C219" t="s">
        <v>107</v>
      </c>
      <c r="D219" t="s">
        <v>123</v>
      </c>
      <c r="E219">
        <v>1</v>
      </c>
      <c r="F219" t="s">
        <v>109</v>
      </c>
      <c r="G219" t="s">
        <v>124</v>
      </c>
      <c r="H219">
        <v>289</v>
      </c>
      <c r="I219">
        <v>289</v>
      </c>
      <c r="J219">
        <v>0</v>
      </c>
      <c r="K219">
        <v>2</v>
      </c>
      <c r="L219" t="s">
        <v>78</v>
      </c>
      <c r="M219" t="s">
        <v>78</v>
      </c>
      <c r="N219" t="s">
        <v>78</v>
      </c>
      <c r="O219">
        <v>0</v>
      </c>
      <c r="P219">
        <v>2</v>
      </c>
      <c r="Q219">
        <v>0</v>
      </c>
      <c r="R219" t="s">
        <v>79</v>
      </c>
      <c r="S219">
        <v>0</v>
      </c>
      <c r="T219" t="s">
        <v>80</v>
      </c>
      <c r="U219" t="s">
        <v>80</v>
      </c>
      <c r="V219" t="s">
        <v>347</v>
      </c>
      <c r="W219" t="s">
        <v>901</v>
      </c>
      <c r="X219" t="s">
        <v>1659</v>
      </c>
      <c r="Y219" t="s">
        <v>1660</v>
      </c>
      <c r="Z219" t="s">
        <v>80</v>
      </c>
      <c r="AA219" t="s">
        <v>85</v>
      </c>
      <c r="AC219" t="s">
        <v>1661</v>
      </c>
      <c r="AD219" t="s">
        <v>87</v>
      </c>
      <c r="AG219" t="s">
        <v>1662</v>
      </c>
      <c r="AH219" t="s">
        <v>91</v>
      </c>
      <c r="AI219" t="s">
        <v>92</v>
      </c>
      <c r="AJ219" t="s">
        <v>131</v>
      </c>
      <c r="AK219" t="s">
        <v>1663</v>
      </c>
      <c r="AL219" t="s">
        <v>95</v>
      </c>
      <c r="AM219" t="s">
        <v>96</v>
      </c>
      <c r="AN219" t="s">
        <v>97</v>
      </c>
      <c r="AO219" t="s">
        <v>98</v>
      </c>
      <c r="AP219" t="s">
        <v>78</v>
      </c>
      <c r="AQ219" t="s">
        <v>99</v>
      </c>
      <c r="AS219" t="s">
        <v>78</v>
      </c>
      <c r="AT219" t="s">
        <v>100</v>
      </c>
      <c r="AU219" t="s">
        <v>100</v>
      </c>
      <c r="AW219" t="s">
        <v>85</v>
      </c>
      <c r="AX219" t="s">
        <v>101</v>
      </c>
      <c r="AY219" t="s">
        <v>102</v>
      </c>
      <c r="AZ219" t="s">
        <v>145</v>
      </c>
      <c r="BA219" t="s">
        <v>146</v>
      </c>
      <c r="BB219" t="s">
        <v>78</v>
      </c>
      <c r="BC219" t="s">
        <v>78</v>
      </c>
      <c r="BE219">
        <v>0</v>
      </c>
      <c r="BF219">
        <v>0</v>
      </c>
      <c r="BG219">
        <v>0</v>
      </c>
      <c r="BH219">
        <v>0</v>
      </c>
      <c r="BJ219" t="s">
        <v>85</v>
      </c>
      <c r="BP219" t="s">
        <v>78</v>
      </c>
      <c r="BQ219" t="s">
        <v>78</v>
      </c>
      <c r="BR219" t="s">
        <v>78</v>
      </c>
    </row>
    <row r="220" customFormat="1" spans="1:70">
      <c r="A220" t="s">
        <v>1664</v>
      </c>
      <c r="B220" t="s">
        <v>1664</v>
      </c>
      <c r="C220" t="s">
        <v>1092</v>
      </c>
      <c r="D220" t="s">
        <v>1391</v>
      </c>
      <c r="E220">
        <v>1</v>
      </c>
      <c r="F220" t="s">
        <v>1093</v>
      </c>
      <c r="G220" t="s">
        <v>1392</v>
      </c>
      <c r="H220">
        <v>289</v>
      </c>
      <c r="I220">
        <v>289</v>
      </c>
      <c r="J220">
        <v>0</v>
      </c>
      <c r="K220">
        <v>0</v>
      </c>
      <c r="L220" t="s">
        <v>78</v>
      </c>
      <c r="M220" t="s">
        <v>78</v>
      </c>
      <c r="N220" t="s">
        <v>78</v>
      </c>
      <c r="O220">
        <v>0</v>
      </c>
      <c r="P220">
        <v>0</v>
      </c>
      <c r="Q220">
        <v>0</v>
      </c>
      <c r="R220" t="s">
        <v>79</v>
      </c>
      <c r="S220">
        <v>0</v>
      </c>
      <c r="T220" t="s">
        <v>80</v>
      </c>
      <c r="U220" t="s">
        <v>80</v>
      </c>
      <c r="V220" t="s">
        <v>1665</v>
      </c>
      <c r="W220" t="s">
        <v>1666</v>
      </c>
      <c r="X220" t="s">
        <v>1667</v>
      </c>
      <c r="Y220" t="s">
        <v>1668</v>
      </c>
      <c r="Z220" t="s">
        <v>80</v>
      </c>
      <c r="AA220" t="s">
        <v>85</v>
      </c>
      <c r="AC220" t="s">
        <v>1669</v>
      </c>
      <c r="AD220" t="s">
        <v>202</v>
      </c>
      <c r="AE220" t="s">
        <v>1670</v>
      </c>
      <c r="AG220" t="s">
        <v>1671</v>
      </c>
      <c r="AH220" t="s">
        <v>91</v>
      </c>
      <c r="AI220" t="s">
        <v>92</v>
      </c>
      <c r="AJ220" t="s">
        <v>131</v>
      </c>
      <c r="AK220" t="s">
        <v>1672</v>
      </c>
      <c r="AL220" t="s">
        <v>95</v>
      </c>
      <c r="AM220" t="s">
        <v>96</v>
      </c>
      <c r="AN220" t="s">
        <v>97</v>
      </c>
      <c r="AO220" t="s">
        <v>98</v>
      </c>
      <c r="AP220" t="s">
        <v>78</v>
      </c>
      <c r="AQ220" t="s">
        <v>99</v>
      </c>
      <c r="AS220" t="s">
        <v>78</v>
      </c>
      <c r="AT220" t="s">
        <v>100</v>
      </c>
      <c r="AU220" t="s">
        <v>100</v>
      </c>
      <c r="AW220" t="s">
        <v>85</v>
      </c>
      <c r="AX220" t="s">
        <v>101</v>
      </c>
      <c r="AY220" t="s">
        <v>102</v>
      </c>
      <c r="AZ220" t="s">
        <v>145</v>
      </c>
      <c r="BA220" t="s">
        <v>146</v>
      </c>
      <c r="BB220" t="s">
        <v>78</v>
      </c>
      <c r="BC220" t="s">
        <v>78</v>
      </c>
      <c r="BD220" t="s">
        <v>1401</v>
      </c>
      <c r="BE220">
        <v>0</v>
      </c>
      <c r="BF220">
        <v>0</v>
      </c>
      <c r="BG220">
        <v>0</v>
      </c>
      <c r="BH220">
        <v>0</v>
      </c>
      <c r="BJ220" t="s">
        <v>85</v>
      </c>
      <c r="BP220" t="s">
        <v>78</v>
      </c>
      <c r="BQ220" t="s">
        <v>78</v>
      </c>
      <c r="BR220" t="s">
        <v>78</v>
      </c>
    </row>
    <row r="221" customFormat="1" spans="1:70">
      <c r="A221" t="s">
        <v>1673</v>
      </c>
      <c r="B221" t="s">
        <v>1673</v>
      </c>
      <c r="C221" t="s">
        <v>107</v>
      </c>
      <c r="D221" t="s">
        <v>123</v>
      </c>
      <c r="E221">
        <v>1</v>
      </c>
      <c r="F221" t="s">
        <v>109</v>
      </c>
      <c r="G221" t="s">
        <v>124</v>
      </c>
      <c r="H221">
        <v>289</v>
      </c>
      <c r="I221">
        <v>289</v>
      </c>
      <c r="J221">
        <v>0</v>
      </c>
      <c r="K221">
        <v>0</v>
      </c>
      <c r="L221" t="s">
        <v>78</v>
      </c>
      <c r="M221" t="s">
        <v>78</v>
      </c>
      <c r="N221" t="s">
        <v>78</v>
      </c>
      <c r="O221">
        <v>0</v>
      </c>
      <c r="P221">
        <v>0</v>
      </c>
      <c r="Q221">
        <v>0</v>
      </c>
      <c r="R221" t="s">
        <v>125</v>
      </c>
      <c r="S221">
        <v>0</v>
      </c>
      <c r="T221" t="s">
        <v>80</v>
      </c>
      <c r="U221" t="s">
        <v>80</v>
      </c>
      <c r="V221" t="s">
        <v>239</v>
      </c>
      <c r="W221" t="s">
        <v>967</v>
      </c>
      <c r="X221" t="s">
        <v>1674</v>
      </c>
      <c r="Y221" t="s">
        <v>1675</v>
      </c>
      <c r="Z221" t="s">
        <v>80</v>
      </c>
      <c r="AA221" t="s">
        <v>85</v>
      </c>
      <c r="AC221" t="s">
        <v>1676</v>
      </c>
      <c r="AD221" t="s">
        <v>87</v>
      </c>
      <c r="AG221" t="s">
        <v>1677</v>
      </c>
      <c r="AH221" t="s">
        <v>91</v>
      </c>
      <c r="AI221" t="s">
        <v>92</v>
      </c>
      <c r="AJ221" t="s">
        <v>131</v>
      </c>
      <c r="AK221" t="s">
        <v>1678</v>
      </c>
      <c r="AL221" t="s">
        <v>95</v>
      </c>
      <c r="AM221" t="s">
        <v>96</v>
      </c>
      <c r="AN221" t="s">
        <v>97</v>
      </c>
      <c r="AO221" t="s">
        <v>98</v>
      </c>
      <c r="AP221" t="s">
        <v>78</v>
      </c>
      <c r="AQ221" t="s">
        <v>99</v>
      </c>
      <c r="AS221" t="s">
        <v>78</v>
      </c>
      <c r="AT221" t="s">
        <v>100</v>
      </c>
      <c r="AU221" t="s">
        <v>100</v>
      </c>
      <c r="AW221" t="s">
        <v>85</v>
      </c>
      <c r="AX221" t="s">
        <v>101</v>
      </c>
      <c r="AY221" t="s">
        <v>102</v>
      </c>
      <c r="AZ221" t="s">
        <v>103</v>
      </c>
      <c r="BA221" t="s">
        <v>133</v>
      </c>
      <c r="BB221" t="s">
        <v>78</v>
      </c>
      <c r="BC221" t="s">
        <v>78</v>
      </c>
      <c r="BE221">
        <v>0</v>
      </c>
      <c r="BF221">
        <v>0</v>
      </c>
      <c r="BG221">
        <v>0</v>
      </c>
      <c r="BH221">
        <v>0</v>
      </c>
      <c r="BJ221" t="s">
        <v>85</v>
      </c>
      <c r="BP221" t="s">
        <v>78</v>
      </c>
      <c r="BQ221" t="s">
        <v>78</v>
      </c>
      <c r="BR221" t="s">
        <v>78</v>
      </c>
    </row>
    <row r="222" customFormat="1" spans="1:70">
      <c r="A222" t="s">
        <v>1679</v>
      </c>
      <c r="B222" t="s">
        <v>1679</v>
      </c>
      <c r="C222" t="s">
        <v>1050</v>
      </c>
      <c r="D222" t="s">
        <v>1377</v>
      </c>
      <c r="E222">
        <v>1</v>
      </c>
      <c r="F222" t="s">
        <v>1052</v>
      </c>
      <c r="G222" t="s">
        <v>1378</v>
      </c>
      <c r="H222">
        <v>129</v>
      </c>
      <c r="I222">
        <v>129</v>
      </c>
      <c r="J222">
        <v>0</v>
      </c>
      <c r="K222">
        <v>0</v>
      </c>
      <c r="L222" t="s">
        <v>78</v>
      </c>
      <c r="M222" t="s">
        <v>78</v>
      </c>
      <c r="N222" t="s">
        <v>78</v>
      </c>
      <c r="O222">
        <v>0</v>
      </c>
      <c r="P222">
        <v>0</v>
      </c>
      <c r="Q222">
        <v>0</v>
      </c>
      <c r="R222" t="s">
        <v>125</v>
      </c>
      <c r="S222">
        <v>0</v>
      </c>
      <c r="T222" t="s">
        <v>80</v>
      </c>
      <c r="U222" t="s">
        <v>80</v>
      </c>
      <c r="V222" t="s">
        <v>152</v>
      </c>
      <c r="W222" t="s">
        <v>1680</v>
      </c>
      <c r="X222" t="s">
        <v>1681</v>
      </c>
      <c r="Y222" t="s">
        <v>78</v>
      </c>
      <c r="Z222" t="s">
        <v>80</v>
      </c>
      <c r="AA222" t="s">
        <v>85</v>
      </c>
      <c r="AC222" t="s">
        <v>1682</v>
      </c>
      <c r="AD222" t="s">
        <v>202</v>
      </c>
      <c r="AE222" t="s">
        <v>1683</v>
      </c>
      <c r="AG222" t="s">
        <v>1684</v>
      </c>
      <c r="AH222" t="s">
        <v>91</v>
      </c>
      <c r="AI222" t="s">
        <v>92</v>
      </c>
      <c r="AJ222" t="s">
        <v>131</v>
      </c>
      <c r="AK222" t="s">
        <v>1685</v>
      </c>
      <c r="AL222" t="s">
        <v>95</v>
      </c>
      <c r="AM222" t="s">
        <v>96</v>
      </c>
      <c r="AN222" t="s">
        <v>97</v>
      </c>
      <c r="AO222" t="s">
        <v>98</v>
      </c>
      <c r="AP222" t="s">
        <v>78</v>
      </c>
      <c r="AQ222" t="s">
        <v>99</v>
      </c>
      <c r="AS222" t="s">
        <v>78</v>
      </c>
      <c r="AT222" t="s">
        <v>100</v>
      </c>
      <c r="AU222" t="s">
        <v>100</v>
      </c>
      <c r="AW222" t="s">
        <v>85</v>
      </c>
      <c r="AX222" t="s">
        <v>101</v>
      </c>
      <c r="AY222" t="s">
        <v>102</v>
      </c>
      <c r="AZ222" t="s">
        <v>103</v>
      </c>
      <c r="BA222" t="s">
        <v>133</v>
      </c>
      <c r="BB222" t="s">
        <v>78</v>
      </c>
      <c r="BC222" t="s">
        <v>78</v>
      </c>
      <c r="BD222" t="s">
        <v>1686</v>
      </c>
      <c r="BE222">
        <v>0</v>
      </c>
      <c r="BF222">
        <v>0</v>
      </c>
      <c r="BG222">
        <v>0</v>
      </c>
      <c r="BH222">
        <v>0</v>
      </c>
      <c r="BJ222" t="s">
        <v>85</v>
      </c>
      <c r="BP222" t="s">
        <v>78</v>
      </c>
      <c r="BQ222" t="s">
        <v>78</v>
      </c>
      <c r="BR222" t="s">
        <v>78</v>
      </c>
    </row>
    <row r="223" customFormat="1" spans="1:70">
      <c r="A223" t="s">
        <v>1687</v>
      </c>
      <c r="B223" t="s">
        <v>1687</v>
      </c>
      <c r="C223" t="s">
        <v>1050</v>
      </c>
      <c r="D223" t="s">
        <v>1051</v>
      </c>
      <c r="E223">
        <v>1</v>
      </c>
      <c r="F223" t="s">
        <v>1052</v>
      </c>
      <c r="G223" t="s">
        <v>1053</v>
      </c>
      <c r="H223">
        <v>129</v>
      </c>
      <c r="I223">
        <v>129</v>
      </c>
      <c r="J223">
        <v>0</v>
      </c>
      <c r="K223">
        <v>0</v>
      </c>
      <c r="L223" t="s">
        <v>78</v>
      </c>
      <c r="M223" t="s">
        <v>78</v>
      </c>
      <c r="N223" t="s">
        <v>78</v>
      </c>
      <c r="O223">
        <v>0</v>
      </c>
      <c r="P223">
        <v>0</v>
      </c>
      <c r="Q223">
        <v>0</v>
      </c>
      <c r="R223" t="s">
        <v>111</v>
      </c>
      <c r="S223">
        <v>0</v>
      </c>
      <c r="T223" t="s">
        <v>80</v>
      </c>
      <c r="U223" t="s">
        <v>80</v>
      </c>
      <c r="V223" t="s">
        <v>271</v>
      </c>
      <c r="W223" t="s">
        <v>421</v>
      </c>
      <c r="X223" t="s">
        <v>809</v>
      </c>
      <c r="Y223" t="s">
        <v>1423</v>
      </c>
      <c r="Z223" t="s">
        <v>80</v>
      </c>
      <c r="AA223" t="s">
        <v>504</v>
      </c>
      <c r="AC223" t="s">
        <v>1688</v>
      </c>
      <c r="AD223" t="s">
        <v>87</v>
      </c>
      <c r="AG223" t="s">
        <v>1689</v>
      </c>
      <c r="AH223" t="s">
        <v>227</v>
      </c>
      <c r="AI223" t="s">
        <v>92</v>
      </c>
      <c r="AJ223" t="s">
        <v>131</v>
      </c>
      <c r="AK223" t="s">
        <v>1690</v>
      </c>
      <c r="AL223" t="s">
        <v>95</v>
      </c>
      <c r="AM223" t="s">
        <v>96</v>
      </c>
      <c r="AN223" t="s">
        <v>97</v>
      </c>
      <c r="AO223" t="s">
        <v>98</v>
      </c>
      <c r="AP223" t="s">
        <v>78</v>
      </c>
      <c r="AQ223" t="s">
        <v>99</v>
      </c>
      <c r="AS223" t="s">
        <v>78</v>
      </c>
      <c r="AT223" t="s">
        <v>100</v>
      </c>
      <c r="AU223" t="s">
        <v>100</v>
      </c>
      <c r="AW223" t="s">
        <v>85</v>
      </c>
      <c r="AX223" t="s">
        <v>101</v>
      </c>
      <c r="AY223" t="s">
        <v>102</v>
      </c>
      <c r="AZ223" t="s">
        <v>103</v>
      </c>
      <c r="BA223" t="s">
        <v>120</v>
      </c>
      <c r="BB223" t="s">
        <v>78</v>
      </c>
      <c r="BC223" t="s">
        <v>78</v>
      </c>
      <c r="BE223">
        <v>0</v>
      </c>
      <c r="BF223">
        <v>0</v>
      </c>
      <c r="BG223">
        <v>0</v>
      </c>
      <c r="BH223">
        <v>0</v>
      </c>
      <c r="BJ223" t="s">
        <v>85</v>
      </c>
      <c r="BP223" t="s">
        <v>78</v>
      </c>
      <c r="BQ223" t="s">
        <v>78</v>
      </c>
      <c r="BR223" t="s">
        <v>78</v>
      </c>
    </row>
    <row r="224" customFormat="1" spans="1:70">
      <c r="A224" t="s">
        <v>1691</v>
      </c>
      <c r="B224" t="s">
        <v>1691</v>
      </c>
      <c r="C224" t="s">
        <v>107</v>
      </c>
      <c r="D224" t="s">
        <v>123</v>
      </c>
      <c r="E224">
        <v>1</v>
      </c>
      <c r="F224" t="s">
        <v>109</v>
      </c>
      <c r="G224" t="s">
        <v>124</v>
      </c>
      <c r="H224">
        <v>289</v>
      </c>
      <c r="I224">
        <v>261</v>
      </c>
      <c r="J224">
        <v>0</v>
      </c>
      <c r="K224">
        <v>28</v>
      </c>
      <c r="L224" t="s">
        <v>488</v>
      </c>
      <c r="M224" t="s">
        <v>78</v>
      </c>
      <c r="N224" t="s">
        <v>78</v>
      </c>
      <c r="O224">
        <v>0</v>
      </c>
      <c r="P224">
        <v>0</v>
      </c>
      <c r="Q224">
        <v>0</v>
      </c>
      <c r="R224" t="s">
        <v>111</v>
      </c>
      <c r="S224">
        <v>0</v>
      </c>
      <c r="T224" t="s">
        <v>80</v>
      </c>
      <c r="U224" t="s">
        <v>80</v>
      </c>
      <c r="V224" t="s">
        <v>271</v>
      </c>
      <c r="W224" t="s">
        <v>717</v>
      </c>
      <c r="X224" t="s">
        <v>1634</v>
      </c>
      <c r="Y224" t="s">
        <v>1462</v>
      </c>
      <c r="Z224" t="s">
        <v>80</v>
      </c>
      <c r="AA224" t="s">
        <v>85</v>
      </c>
      <c r="AC224" t="s">
        <v>1692</v>
      </c>
      <c r="AD224" t="s">
        <v>87</v>
      </c>
      <c r="AG224" t="s">
        <v>1693</v>
      </c>
      <c r="AH224" t="s">
        <v>91</v>
      </c>
      <c r="AI224" t="s">
        <v>92</v>
      </c>
      <c r="AJ224" t="s">
        <v>131</v>
      </c>
      <c r="AK224" t="s">
        <v>1694</v>
      </c>
      <c r="AL224" t="s">
        <v>95</v>
      </c>
      <c r="AM224" t="s">
        <v>96</v>
      </c>
      <c r="AN224" t="s">
        <v>97</v>
      </c>
      <c r="AO224" t="s">
        <v>98</v>
      </c>
      <c r="AP224" t="s">
        <v>78</v>
      </c>
      <c r="AQ224" t="s">
        <v>99</v>
      </c>
      <c r="AS224" t="s">
        <v>78</v>
      </c>
      <c r="AT224" t="s">
        <v>100</v>
      </c>
      <c r="AU224" t="s">
        <v>100</v>
      </c>
      <c r="AW224" t="s">
        <v>85</v>
      </c>
      <c r="AX224" t="s">
        <v>101</v>
      </c>
      <c r="AY224" t="s">
        <v>102</v>
      </c>
      <c r="AZ224" t="s">
        <v>103</v>
      </c>
      <c r="BA224" t="s">
        <v>104</v>
      </c>
      <c r="BB224" t="s">
        <v>78</v>
      </c>
      <c r="BC224" t="s">
        <v>78</v>
      </c>
      <c r="BE224">
        <v>0</v>
      </c>
      <c r="BF224">
        <v>28</v>
      </c>
      <c r="BG224">
        <v>0</v>
      </c>
      <c r="BH224">
        <v>0</v>
      </c>
      <c r="BJ224" t="s">
        <v>85</v>
      </c>
      <c r="BP224" t="s">
        <v>78</v>
      </c>
      <c r="BQ224" t="s">
        <v>78</v>
      </c>
      <c r="BR224" t="s">
        <v>78</v>
      </c>
    </row>
    <row r="225" customFormat="1" spans="1:70">
      <c r="A225" t="s">
        <v>1695</v>
      </c>
      <c r="B225" t="s">
        <v>1695</v>
      </c>
      <c r="C225" t="s">
        <v>1092</v>
      </c>
      <c r="D225" t="s">
        <v>108</v>
      </c>
      <c r="E225">
        <v>1</v>
      </c>
      <c r="F225" t="s">
        <v>1093</v>
      </c>
      <c r="G225" t="s">
        <v>1094</v>
      </c>
      <c r="H225">
        <v>289</v>
      </c>
      <c r="I225">
        <v>289</v>
      </c>
      <c r="J225">
        <v>0</v>
      </c>
      <c r="K225">
        <v>0</v>
      </c>
      <c r="L225" t="s">
        <v>78</v>
      </c>
      <c r="M225" t="s">
        <v>78</v>
      </c>
      <c r="N225" t="s">
        <v>78</v>
      </c>
      <c r="O225">
        <v>0</v>
      </c>
      <c r="P225">
        <v>0</v>
      </c>
      <c r="Q225">
        <v>0</v>
      </c>
      <c r="R225" t="s">
        <v>111</v>
      </c>
      <c r="S225">
        <v>0</v>
      </c>
      <c r="T225" t="s">
        <v>80</v>
      </c>
      <c r="U225" t="s">
        <v>80</v>
      </c>
      <c r="V225" t="s">
        <v>509</v>
      </c>
      <c r="W225" t="s">
        <v>1696</v>
      </c>
      <c r="X225" t="s">
        <v>1697</v>
      </c>
      <c r="Y225" t="s">
        <v>1698</v>
      </c>
      <c r="Z225" t="s">
        <v>80</v>
      </c>
      <c r="AA225" t="s">
        <v>85</v>
      </c>
      <c r="AC225" t="s">
        <v>1699</v>
      </c>
      <c r="AD225" t="s">
        <v>202</v>
      </c>
      <c r="AE225" t="s">
        <v>1700</v>
      </c>
      <c r="AF225" t="s">
        <v>1701</v>
      </c>
      <c r="AG225" t="s">
        <v>1702</v>
      </c>
      <c r="AH225" t="s">
        <v>91</v>
      </c>
      <c r="AI225" t="s">
        <v>92</v>
      </c>
      <c r="AJ225" t="s">
        <v>93</v>
      </c>
      <c r="AK225" t="s">
        <v>1703</v>
      </c>
      <c r="AL225" t="s">
        <v>95</v>
      </c>
      <c r="AM225" t="s">
        <v>96</v>
      </c>
      <c r="AN225" t="s">
        <v>97</v>
      </c>
      <c r="AO225" t="s">
        <v>98</v>
      </c>
      <c r="AP225" t="s">
        <v>78</v>
      </c>
      <c r="AQ225" t="s">
        <v>99</v>
      </c>
      <c r="AS225" t="s">
        <v>78</v>
      </c>
      <c r="AT225" t="s">
        <v>100</v>
      </c>
      <c r="AU225" t="s">
        <v>100</v>
      </c>
      <c r="AW225" t="s">
        <v>85</v>
      </c>
      <c r="AX225" t="s">
        <v>101</v>
      </c>
      <c r="AY225" t="s">
        <v>102</v>
      </c>
      <c r="AZ225" t="s">
        <v>103</v>
      </c>
      <c r="BA225" t="s">
        <v>133</v>
      </c>
      <c r="BB225" t="s">
        <v>78</v>
      </c>
      <c r="BC225" t="s">
        <v>78</v>
      </c>
      <c r="BD225" t="s">
        <v>1704</v>
      </c>
      <c r="BE225">
        <v>0</v>
      </c>
      <c r="BF225">
        <v>0</v>
      </c>
      <c r="BG225">
        <v>0</v>
      </c>
      <c r="BH225">
        <v>0</v>
      </c>
      <c r="BJ225" t="s">
        <v>85</v>
      </c>
      <c r="BP225" t="s">
        <v>78</v>
      </c>
      <c r="BQ225" t="s">
        <v>78</v>
      </c>
      <c r="BR225" t="s">
        <v>78</v>
      </c>
    </row>
    <row r="226" customFormat="1" spans="1:70">
      <c r="A226" t="s">
        <v>1705</v>
      </c>
      <c r="B226" t="s">
        <v>1705</v>
      </c>
      <c r="C226" t="s">
        <v>107</v>
      </c>
      <c r="D226" t="s">
        <v>135</v>
      </c>
      <c r="E226">
        <v>1</v>
      </c>
      <c r="F226" t="s">
        <v>109</v>
      </c>
      <c r="G226" t="s">
        <v>136</v>
      </c>
      <c r="H226">
        <v>289</v>
      </c>
      <c r="I226">
        <v>289</v>
      </c>
      <c r="J226">
        <v>0</v>
      </c>
      <c r="K226">
        <v>0</v>
      </c>
      <c r="L226" t="s">
        <v>78</v>
      </c>
      <c r="M226" t="s">
        <v>78</v>
      </c>
      <c r="N226" t="s">
        <v>78</v>
      </c>
      <c r="O226">
        <v>0</v>
      </c>
      <c r="P226">
        <v>0</v>
      </c>
      <c r="Q226">
        <v>0</v>
      </c>
      <c r="R226" t="s">
        <v>111</v>
      </c>
      <c r="S226">
        <v>0</v>
      </c>
      <c r="T226" t="s">
        <v>80</v>
      </c>
      <c r="U226" t="s">
        <v>80</v>
      </c>
      <c r="V226" t="s">
        <v>302</v>
      </c>
      <c r="W226" t="s">
        <v>1358</v>
      </c>
      <c r="X226" t="s">
        <v>1706</v>
      </c>
      <c r="Y226" t="s">
        <v>1707</v>
      </c>
      <c r="Z226" t="s">
        <v>80</v>
      </c>
      <c r="AA226" t="s">
        <v>85</v>
      </c>
      <c r="AC226" t="s">
        <v>1708</v>
      </c>
      <c r="AD226" t="s">
        <v>87</v>
      </c>
      <c r="AG226" t="s">
        <v>1709</v>
      </c>
      <c r="AH226" t="s">
        <v>873</v>
      </c>
      <c r="AI226" t="s">
        <v>92</v>
      </c>
      <c r="AJ226" t="s">
        <v>131</v>
      </c>
      <c r="AK226" t="s">
        <v>1710</v>
      </c>
      <c r="AL226" t="s">
        <v>95</v>
      </c>
      <c r="AM226" t="s">
        <v>96</v>
      </c>
      <c r="AN226" t="s">
        <v>97</v>
      </c>
      <c r="AO226" t="s">
        <v>98</v>
      </c>
      <c r="AP226" t="s">
        <v>78</v>
      </c>
      <c r="AQ226" t="s">
        <v>99</v>
      </c>
      <c r="AS226" t="s">
        <v>78</v>
      </c>
      <c r="AT226" t="s">
        <v>100</v>
      </c>
      <c r="AU226" t="s">
        <v>100</v>
      </c>
      <c r="AW226" t="s">
        <v>85</v>
      </c>
      <c r="AX226" t="s">
        <v>101</v>
      </c>
      <c r="AY226" t="s">
        <v>102</v>
      </c>
      <c r="AZ226" t="s">
        <v>103</v>
      </c>
      <c r="BA226" t="s">
        <v>185</v>
      </c>
      <c r="BB226" t="s">
        <v>78</v>
      </c>
      <c r="BC226" t="s">
        <v>78</v>
      </c>
      <c r="BE226">
        <v>0</v>
      </c>
      <c r="BF226">
        <v>0</v>
      </c>
      <c r="BG226">
        <v>0</v>
      </c>
      <c r="BH226">
        <v>0</v>
      </c>
      <c r="BJ226" t="s">
        <v>85</v>
      </c>
      <c r="BP226" t="s">
        <v>78</v>
      </c>
      <c r="BQ226" t="s">
        <v>78</v>
      </c>
      <c r="BR226" t="s">
        <v>78</v>
      </c>
    </row>
    <row r="227" customFormat="1" spans="1:70">
      <c r="A227" t="s">
        <v>1711</v>
      </c>
      <c r="B227" t="s">
        <v>1711</v>
      </c>
      <c r="C227" t="s">
        <v>107</v>
      </c>
      <c r="D227" t="s">
        <v>108</v>
      </c>
      <c r="E227">
        <v>1</v>
      </c>
      <c r="F227" t="s">
        <v>109</v>
      </c>
      <c r="G227" t="s">
        <v>110</v>
      </c>
      <c r="H227">
        <v>289</v>
      </c>
      <c r="I227">
        <v>289</v>
      </c>
      <c r="J227">
        <v>0</v>
      </c>
      <c r="K227">
        <v>0</v>
      </c>
      <c r="L227" t="s">
        <v>78</v>
      </c>
      <c r="M227" t="s">
        <v>78</v>
      </c>
      <c r="N227" t="s">
        <v>78</v>
      </c>
      <c r="O227">
        <v>0</v>
      </c>
      <c r="P227">
        <v>0</v>
      </c>
      <c r="Q227">
        <v>0</v>
      </c>
      <c r="R227" t="s">
        <v>79</v>
      </c>
      <c r="S227">
        <v>0</v>
      </c>
      <c r="T227" t="s">
        <v>80</v>
      </c>
      <c r="U227" t="s">
        <v>80</v>
      </c>
      <c r="V227" t="s">
        <v>189</v>
      </c>
      <c r="W227" t="s">
        <v>1712</v>
      </c>
      <c r="X227" t="s">
        <v>1713</v>
      </c>
      <c r="Y227" t="s">
        <v>1714</v>
      </c>
      <c r="Z227" t="s">
        <v>80</v>
      </c>
      <c r="AA227" t="s">
        <v>85</v>
      </c>
      <c r="AC227" t="s">
        <v>1715</v>
      </c>
      <c r="AD227" t="s">
        <v>202</v>
      </c>
      <c r="AE227" t="s">
        <v>1716</v>
      </c>
      <c r="AF227" t="s">
        <v>1717</v>
      </c>
      <c r="AG227" t="s">
        <v>1718</v>
      </c>
      <c r="AH227" t="s">
        <v>91</v>
      </c>
      <c r="AI227" t="s">
        <v>92</v>
      </c>
      <c r="AJ227" t="s">
        <v>93</v>
      </c>
      <c r="AK227" t="s">
        <v>1719</v>
      </c>
      <c r="AL227" t="s">
        <v>95</v>
      </c>
      <c r="AM227" t="s">
        <v>96</v>
      </c>
      <c r="AN227" t="s">
        <v>97</v>
      </c>
      <c r="AO227" t="s">
        <v>98</v>
      </c>
      <c r="AP227" t="s">
        <v>78</v>
      </c>
      <c r="AQ227" t="s">
        <v>99</v>
      </c>
      <c r="AS227" t="s">
        <v>78</v>
      </c>
      <c r="AT227" t="s">
        <v>100</v>
      </c>
      <c r="AU227" t="s">
        <v>100</v>
      </c>
      <c r="AW227" t="s">
        <v>85</v>
      </c>
      <c r="AX227" t="s">
        <v>103</v>
      </c>
      <c r="AY227" t="s">
        <v>159</v>
      </c>
      <c r="AZ227" t="s">
        <v>103</v>
      </c>
      <c r="BA227" t="s">
        <v>104</v>
      </c>
      <c r="BB227" t="s">
        <v>78</v>
      </c>
      <c r="BC227" t="s">
        <v>78</v>
      </c>
      <c r="BD227" t="s">
        <v>1720</v>
      </c>
      <c r="BE227">
        <v>0</v>
      </c>
      <c r="BF227">
        <v>0</v>
      </c>
      <c r="BG227">
        <v>0</v>
      </c>
      <c r="BH227">
        <v>0</v>
      </c>
      <c r="BJ227" t="s">
        <v>85</v>
      </c>
      <c r="BP227" t="s">
        <v>78</v>
      </c>
      <c r="BQ227" t="s">
        <v>78</v>
      </c>
      <c r="BR227" t="s">
        <v>78</v>
      </c>
    </row>
    <row r="228" customFormat="1" spans="1:70">
      <c r="A228" t="s">
        <v>1721</v>
      </c>
      <c r="B228" t="s">
        <v>1721</v>
      </c>
      <c r="C228" t="s">
        <v>107</v>
      </c>
      <c r="D228" t="s">
        <v>108</v>
      </c>
      <c r="E228">
        <v>1</v>
      </c>
      <c r="F228" t="s">
        <v>109</v>
      </c>
      <c r="G228" t="s">
        <v>110</v>
      </c>
      <c r="H228">
        <v>289</v>
      </c>
      <c r="I228">
        <v>289</v>
      </c>
      <c r="J228">
        <v>0</v>
      </c>
      <c r="K228">
        <v>0</v>
      </c>
      <c r="L228" t="s">
        <v>78</v>
      </c>
      <c r="M228" t="s">
        <v>78</v>
      </c>
      <c r="N228" t="s">
        <v>78</v>
      </c>
      <c r="O228">
        <v>0</v>
      </c>
      <c r="P228">
        <v>0</v>
      </c>
      <c r="Q228">
        <v>0</v>
      </c>
      <c r="R228" t="s">
        <v>79</v>
      </c>
      <c r="S228">
        <v>0</v>
      </c>
      <c r="T228" t="s">
        <v>80</v>
      </c>
      <c r="U228" t="s">
        <v>80</v>
      </c>
      <c r="V228" t="s">
        <v>221</v>
      </c>
      <c r="W228" t="s">
        <v>599</v>
      </c>
      <c r="X228" t="s">
        <v>600</v>
      </c>
      <c r="Y228" t="s">
        <v>1722</v>
      </c>
      <c r="Z228" t="s">
        <v>80</v>
      </c>
      <c r="AA228" t="s">
        <v>85</v>
      </c>
      <c r="AC228" t="s">
        <v>1723</v>
      </c>
      <c r="AD228" t="s">
        <v>87</v>
      </c>
      <c r="AF228" t="s">
        <v>1724</v>
      </c>
      <c r="AG228" t="s">
        <v>1725</v>
      </c>
      <c r="AH228" t="s">
        <v>91</v>
      </c>
      <c r="AI228" t="s">
        <v>92</v>
      </c>
      <c r="AJ228" t="s">
        <v>93</v>
      </c>
      <c r="AK228" t="s">
        <v>1726</v>
      </c>
      <c r="AL228" t="s">
        <v>95</v>
      </c>
      <c r="AM228" t="s">
        <v>96</v>
      </c>
      <c r="AN228" t="s">
        <v>97</v>
      </c>
      <c r="AO228" t="s">
        <v>98</v>
      </c>
      <c r="AP228" t="s">
        <v>78</v>
      </c>
      <c r="AQ228" t="s">
        <v>78</v>
      </c>
      <c r="AS228" t="s">
        <v>78</v>
      </c>
      <c r="AT228" t="s">
        <v>100</v>
      </c>
      <c r="AU228" t="s">
        <v>100</v>
      </c>
      <c r="AW228" t="s">
        <v>85</v>
      </c>
      <c r="AX228" t="s">
        <v>101</v>
      </c>
      <c r="AY228" t="s">
        <v>102</v>
      </c>
      <c r="AZ228" t="s">
        <v>103</v>
      </c>
      <c r="BA228" t="s">
        <v>120</v>
      </c>
      <c r="BB228" t="s">
        <v>78</v>
      </c>
      <c r="BC228" t="s">
        <v>78</v>
      </c>
      <c r="BD228" t="s">
        <v>1727</v>
      </c>
      <c r="BE228">
        <v>0</v>
      </c>
      <c r="BF228">
        <v>0</v>
      </c>
      <c r="BG228">
        <v>0</v>
      </c>
      <c r="BH228">
        <v>0</v>
      </c>
      <c r="BJ228" t="s">
        <v>85</v>
      </c>
      <c r="BP228" t="s">
        <v>78</v>
      </c>
      <c r="BQ228" t="s">
        <v>78</v>
      </c>
      <c r="BR228" t="s">
        <v>78</v>
      </c>
    </row>
    <row r="229" customFormat="1" spans="1:70">
      <c r="A229" t="s">
        <v>1728</v>
      </c>
      <c r="B229" t="s">
        <v>1728</v>
      </c>
      <c r="C229" t="s">
        <v>107</v>
      </c>
      <c r="D229" t="s">
        <v>108</v>
      </c>
      <c r="E229">
        <v>1</v>
      </c>
      <c r="F229" t="s">
        <v>109</v>
      </c>
      <c r="G229" t="s">
        <v>110</v>
      </c>
      <c r="H229">
        <v>289</v>
      </c>
      <c r="I229">
        <v>289</v>
      </c>
      <c r="J229">
        <v>0</v>
      </c>
      <c r="K229">
        <v>0</v>
      </c>
      <c r="L229" t="s">
        <v>78</v>
      </c>
      <c r="M229" t="s">
        <v>78</v>
      </c>
      <c r="N229" t="s">
        <v>78</v>
      </c>
      <c r="O229">
        <v>0</v>
      </c>
      <c r="P229">
        <v>0</v>
      </c>
      <c r="Q229">
        <v>0</v>
      </c>
      <c r="R229" t="s">
        <v>79</v>
      </c>
      <c r="S229">
        <v>0</v>
      </c>
      <c r="T229" t="s">
        <v>80</v>
      </c>
      <c r="U229" t="s">
        <v>80</v>
      </c>
      <c r="V229" t="s">
        <v>271</v>
      </c>
      <c r="W229" t="s">
        <v>272</v>
      </c>
      <c r="X229" t="s">
        <v>1172</v>
      </c>
      <c r="Y229" t="s">
        <v>1173</v>
      </c>
      <c r="Z229" t="s">
        <v>80</v>
      </c>
      <c r="AA229" t="s">
        <v>85</v>
      </c>
      <c r="AC229" t="s">
        <v>1729</v>
      </c>
      <c r="AD229" t="s">
        <v>87</v>
      </c>
      <c r="AG229" t="s">
        <v>1730</v>
      </c>
      <c r="AH229" t="s">
        <v>91</v>
      </c>
      <c r="AI229" t="s">
        <v>92</v>
      </c>
      <c r="AJ229" t="s">
        <v>131</v>
      </c>
      <c r="AK229" t="s">
        <v>1731</v>
      </c>
      <c r="AL229" t="s">
        <v>95</v>
      </c>
      <c r="AM229" t="s">
        <v>96</v>
      </c>
      <c r="AN229" t="s">
        <v>97</v>
      </c>
      <c r="AO229" t="s">
        <v>98</v>
      </c>
      <c r="AP229" t="s">
        <v>78</v>
      </c>
      <c r="AQ229" t="s">
        <v>99</v>
      </c>
      <c r="AS229" t="s">
        <v>78</v>
      </c>
      <c r="AT229" t="s">
        <v>100</v>
      </c>
      <c r="AU229" t="s">
        <v>100</v>
      </c>
      <c r="AW229" t="s">
        <v>85</v>
      </c>
      <c r="AX229" t="s">
        <v>101</v>
      </c>
      <c r="AY229" t="s">
        <v>102</v>
      </c>
      <c r="AZ229" t="s">
        <v>103</v>
      </c>
      <c r="BA229" t="s">
        <v>133</v>
      </c>
      <c r="BB229" t="s">
        <v>78</v>
      </c>
      <c r="BC229" t="s">
        <v>78</v>
      </c>
      <c r="BE229">
        <v>0</v>
      </c>
      <c r="BF229">
        <v>0</v>
      </c>
      <c r="BG229">
        <v>0</v>
      </c>
      <c r="BH229">
        <v>0</v>
      </c>
      <c r="BJ229" t="s">
        <v>85</v>
      </c>
      <c r="BP229" t="s">
        <v>78</v>
      </c>
      <c r="BQ229" t="s">
        <v>78</v>
      </c>
      <c r="BR229" t="s">
        <v>78</v>
      </c>
    </row>
    <row r="230" customFormat="1" spans="1:70">
      <c r="A230" t="s">
        <v>1732</v>
      </c>
      <c r="B230" t="s">
        <v>1732</v>
      </c>
      <c r="C230" t="s">
        <v>107</v>
      </c>
      <c r="D230" t="s">
        <v>108</v>
      </c>
      <c r="E230">
        <v>1</v>
      </c>
      <c r="F230" t="s">
        <v>109</v>
      </c>
      <c r="G230" t="s">
        <v>110</v>
      </c>
      <c r="H230">
        <v>289</v>
      </c>
      <c r="I230">
        <v>289</v>
      </c>
      <c r="J230">
        <v>0</v>
      </c>
      <c r="K230">
        <v>0</v>
      </c>
      <c r="L230" t="s">
        <v>78</v>
      </c>
      <c r="M230" t="s">
        <v>78</v>
      </c>
      <c r="N230" t="s">
        <v>78</v>
      </c>
      <c r="O230">
        <v>0</v>
      </c>
      <c r="P230">
        <v>0</v>
      </c>
      <c r="Q230">
        <v>0</v>
      </c>
      <c r="R230" t="s">
        <v>79</v>
      </c>
      <c r="S230">
        <v>0</v>
      </c>
      <c r="T230" t="s">
        <v>80</v>
      </c>
      <c r="U230" t="s">
        <v>80</v>
      </c>
      <c r="V230" t="s">
        <v>1261</v>
      </c>
      <c r="W230" t="s">
        <v>1590</v>
      </c>
      <c r="X230" t="s">
        <v>1733</v>
      </c>
      <c r="Y230" t="s">
        <v>1734</v>
      </c>
      <c r="Z230" t="s">
        <v>80</v>
      </c>
      <c r="AA230" t="s">
        <v>85</v>
      </c>
      <c r="AC230" t="s">
        <v>1735</v>
      </c>
      <c r="AD230" t="s">
        <v>87</v>
      </c>
      <c r="AF230" t="s">
        <v>1736</v>
      </c>
      <c r="AG230" t="s">
        <v>1737</v>
      </c>
      <c r="AH230" t="s">
        <v>91</v>
      </c>
      <c r="AI230" t="s">
        <v>92</v>
      </c>
      <c r="AJ230" t="s">
        <v>93</v>
      </c>
      <c r="AK230" t="s">
        <v>1738</v>
      </c>
      <c r="AL230" t="s">
        <v>95</v>
      </c>
      <c r="AM230" t="s">
        <v>96</v>
      </c>
      <c r="AN230" t="s">
        <v>97</v>
      </c>
      <c r="AO230" t="s">
        <v>98</v>
      </c>
      <c r="AP230" t="s">
        <v>78</v>
      </c>
      <c r="AQ230" t="s">
        <v>78</v>
      </c>
      <c r="AS230" t="s">
        <v>78</v>
      </c>
      <c r="AT230" t="s">
        <v>100</v>
      </c>
      <c r="AU230" t="s">
        <v>100</v>
      </c>
      <c r="AW230" t="s">
        <v>85</v>
      </c>
      <c r="AX230" t="s">
        <v>103</v>
      </c>
      <c r="AY230" t="s">
        <v>159</v>
      </c>
      <c r="AZ230" t="s">
        <v>103</v>
      </c>
      <c r="BA230" t="s">
        <v>419</v>
      </c>
      <c r="BB230" t="s">
        <v>78</v>
      </c>
      <c r="BC230" t="s">
        <v>78</v>
      </c>
      <c r="BD230" t="s">
        <v>1739</v>
      </c>
      <c r="BE230">
        <v>0</v>
      </c>
      <c r="BF230">
        <v>0</v>
      </c>
      <c r="BG230">
        <v>0</v>
      </c>
      <c r="BH230">
        <v>0</v>
      </c>
      <c r="BJ230" t="s">
        <v>85</v>
      </c>
      <c r="BP230" t="s">
        <v>78</v>
      </c>
      <c r="BQ230" t="s">
        <v>78</v>
      </c>
      <c r="BR230" t="s">
        <v>78</v>
      </c>
    </row>
    <row r="231" customFormat="1" spans="1:70">
      <c r="A231" t="s">
        <v>1740</v>
      </c>
      <c r="B231" t="s">
        <v>1740</v>
      </c>
      <c r="C231" t="s">
        <v>107</v>
      </c>
      <c r="D231" t="s">
        <v>108</v>
      </c>
      <c r="E231">
        <v>1</v>
      </c>
      <c r="F231" t="s">
        <v>109</v>
      </c>
      <c r="G231" t="s">
        <v>110</v>
      </c>
      <c r="H231">
        <v>289</v>
      </c>
      <c r="I231">
        <v>289</v>
      </c>
      <c r="J231">
        <v>0</v>
      </c>
      <c r="K231">
        <v>0</v>
      </c>
      <c r="L231" t="s">
        <v>78</v>
      </c>
      <c r="M231" t="s">
        <v>78</v>
      </c>
      <c r="N231" t="s">
        <v>78</v>
      </c>
      <c r="O231">
        <v>0</v>
      </c>
      <c r="P231">
        <v>0</v>
      </c>
      <c r="Q231">
        <v>0</v>
      </c>
      <c r="R231" t="s">
        <v>79</v>
      </c>
      <c r="S231">
        <v>0</v>
      </c>
      <c r="T231" t="s">
        <v>80</v>
      </c>
      <c r="U231" t="s">
        <v>80</v>
      </c>
      <c r="V231" t="s">
        <v>167</v>
      </c>
      <c r="W231" t="s">
        <v>168</v>
      </c>
      <c r="X231" t="s">
        <v>973</v>
      </c>
      <c r="Y231" t="s">
        <v>1741</v>
      </c>
      <c r="Z231" t="s">
        <v>80</v>
      </c>
      <c r="AA231" t="s">
        <v>85</v>
      </c>
      <c r="AC231" t="s">
        <v>1742</v>
      </c>
      <c r="AD231" t="s">
        <v>87</v>
      </c>
      <c r="AF231" t="s">
        <v>1743</v>
      </c>
      <c r="AG231" t="s">
        <v>1744</v>
      </c>
      <c r="AH231" t="s">
        <v>91</v>
      </c>
      <c r="AI231" t="s">
        <v>92</v>
      </c>
      <c r="AJ231" t="s">
        <v>93</v>
      </c>
      <c r="AK231" t="s">
        <v>1745</v>
      </c>
      <c r="AL231" t="s">
        <v>95</v>
      </c>
      <c r="AM231" t="s">
        <v>96</v>
      </c>
      <c r="AN231" t="s">
        <v>97</v>
      </c>
      <c r="AO231" t="s">
        <v>98</v>
      </c>
      <c r="AP231" t="s">
        <v>78</v>
      </c>
      <c r="AQ231" t="s">
        <v>78</v>
      </c>
      <c r="AS231" t="s">
        <v>78</v>
      </c>
      <c r="AT231" t="s">
        <v>100</v>
      </c>
      <c r="AU231" t="s">
        <v>100</v>
      </c>
      <c r="AW231" t="s">
        <v>85</v>
      </c>
      <c r="AX231" t="s">
        <v>103</v>
      </c>
      <c r="AY231" t="s">
        <v>159</v>
      </c>
      <c r="AZ231" t="s">
        <v>103</v>
      </c>
      <c r="BA231" t="s">
        <v>218</v>
      </c>
      <c r="BB231" t="s">
        <v>78</v>
      </c>
      <c r="BC231" t="s">
        <v>78</v>
      </c>
      <c r="BD231" t="s">
        <v>1746</v>
      </c>
      <c r="BE231">
        <v>0</v>
      </c>
      <c r="BF231">
        <v>0</v>
      </c>
      <c r="BG231">
        <v>0</v>
      </c>
      <c r="BH231">
        <v>0</v>
      </c>
      <c r="BJ231" t="s">
        <v>85</v>
      </c>
      <c r="BP231" t="s">
        <v>78</v>
      </c>
      <c r="BQ231" t="s">
        <v>78</v>
      </c>
      <c r="BR231" t="s">
        <v>78</v>
      </c>
    </row>
    <row r="232" customFormat="1" spans="1:70">
      <c r="A232" t="s">
        <v>1747</v>
      </c>
      <c r="B232" t="s">
        <v>1747</v>
      </c>
      <c r="C232" t="s">
        <v>107</v>
      </c>
      <c r="D232" t="s">
        <v>123</v>
      </c>
      <c r="E232">
        <v>1</v>
      </c>
      <c r="F232" t="s">
        <v>109</v>
      </c>
      <c r="G232" t="s">
        <v>124</v>
      </c>
      <c r="H232">
        <v>289</v>
      </c>
      <c r="I232">
        <v>289</v>
      </c>
      <c r="J232">
        <v>0</v>
      </c>
      <c r="K232">
        <v>1.46</v>
      </c>
      <c r="L232" t="s">
        <v>78</v>
      </c>
      <c r="M232" t="s">
        <v>78</v>
      </c>
      <c r="N232" t="s">
        <v>78</v>
      </c>
      <c r="O232">
        <v>0</v>
      </c>
      <c r="P232">
        <v>1.46</v>
      </c>
      <c r="Q232">
        <v>0</v>
      </c>
      <c r="R232" t="s">
        <v>125</v>
      </c>
      <c r="S232">
        <v>0</v>
      </c>
      <c r="T232" t="s">
        <v>80</v>
      </c>
      <c r="U232" t="s">
        <v>80</v>
      </c>
      <c r="V232" t="s">
        <v>126</v>
      </c>
      <c r="W232" t="s">
        <v>1748</v>
      </c>
      <c r="X232" t="s">
        <v>1749</v>
      </c>
      <c r="Y232" t="s">
        <v>1750</v>
      </c>
      <c r="Z232" t="s">
        <v>80</v>
      </c>
      <c r="AA232" t="s">
        <v>85</v>
      </c>
      <c r="AC232" t="s">
        <v>1751</v>
      </c>
      <c r="AD232" t="s">
        <v>87</v>
      </c>
      <c r="AF232" t="s">
        <v>1752</v>
      </c>
      <c r="AG232" t="s">
        <v>1753</v>
      </c>
      <c r="AH232" t="s">
        <v>91</v>
      </c>
      <c r="AI232" t="s">
        <v>92</v>
      </c>
      <c r="AJ232" t="s">
        <v>93</v>
      </c>
      <c r="AK232" t="s">
        <v>1754</v>
      </c>
      <c r="AL232" t="s">
        <v>95</v>
      </c>
      <c r="AM232" t="s">
        <v>96</v>
      </c>
      <c r="AN232" t="s">
        <v>97</v>
      </c>
      <c r="AO232" t="s">
        <v>98</v>
      </c>
      <c r="AP232" t="s">
        <v>78</v>
      </c>
      <c r="AQ232" t="s">
        <v>78</v>
      </c>
      <c r="AS232" t="s">
        <v>78</v>
      </c>
      <c r="AT232" t="s">
        <v>100</v>
      </c>
      <c r="AU232" t="s">
        <v>100</v>
      </c>
      <c r="AW232" t="s">
        <v>85</v>
      </c>
      <c r="AX232" t="s">
        <v>101</v>
      </c>
      <c r="AY232" t="s">
        <v>102</v>
      </c>
      <c r="AZ232" t="s">
        <v>103</v>
      </c>
      <c r="BA232" t="s">
        <v>133</v>
      </c>
      <c r="BB232" t="s">
        <v>78</v>
      </c>
      <c r="BC232" t="s">
        <v>78</v>
      </c>
      <c r="BD232" t="s">
        <v>1755</v>
      </c>
      <c r="BE232">
        <v>0</v>
      </c>
      <c r="BF232">
        <v>0</v>
      </c>
      <c r="BG232">
        <v>0</v>
      </c>
      <c r="BH232">
        <v>0</v>
      </c>
      <c r="BJ232" t="s">
        <v>85</v>
      </c>
      <c r="BP232" t="s">
        <v>78</v>
      </c>
      <c r="BQ232" t="s">
        <v>78</v>
      </c>
      <c r="BR232" t="s">
        <v>78</v>
      </c>
    </row>
    <row r="233" customFormat="1" spans="1:70">
      <c r="A233" t="s">
        <v>1756</v>
      </c>
      <c r="B233" t="s">
        <v>1756</v>
      </c>
      <c r="C233" t="s">
        <v>107</v>
      </c>
      <c r="D233" t="s">
        <v>108</v>
      </c>
      <c r="E233">
        <v>1</v>
      </c>
      <c r="F233" t="s">
        <v>109</v>
      </c>
      <c r="G233" t="s">
        <v>110</v>
      </c>
      <c r="H233">
        <v>289</v>
      </c>
      <c r="I233">
        <v>289</v>
      </c>
      <c r="J233">
        <v>0</v>
      </c>
      <c r="K233">
        <v>0</v>
      </c>
      <c r="L233" t="s">
        <v>78</v>
      </c>
      <c r="M233" t="s">
        <v>78</v>
      </c>
      <c r="N233" t="s">
        <v>78</v>
      </c>
      <c r="O233">
        <v>0</v>
      </c>
      <c r="P233">
        <v>0</v>
      </c>
      <c r="Q233">
        <v>0</v>
      </c>
      <c r="R233" t="s">
        <v>125</v>
      </c>
      <c r="S233">
        <v>0</v>
      </c>
      <c r="T233" t="s">
        <v>80</v>
      </c>
      <c r="U233" t="s">
        <v>80</v>
      </c>
      <c r="V233" t="s">
        <v>126</v>
      </c>
      <c r="W233" t="s">
        <v>1757</v>
      </c>
      <c r="X233" t="s">
        <v>1758</v>
      </c>
      <c r="Y233" t="s">
        <v>1759</v>
      </c>
      <c r="Z233" t="s">
        <v>80</v>
      </c>
      <c r="AA233" t="s">
        <v>85</v>
      </c>
      <c r="AC233" t="s">
        <v>1760</v>
      </c>
      <c r="AD233" t="s">
        <v>87</v>
      </c>
      <c r="AF233" t="s">
        <v>1761</v>
      </c>
      <c r="AG233" t="s">
        <v>1762</v>
      </c>
      <c r="AH233" t="s">
        <v>91</v>
      </c>
      <c r="AI233" t="s">
        <v>92</v>
      </c>
      <c r="AJ233" t="s">
        <v>93</v>
      </c>
      <c r="AK233" t="s">
        <v>1763</v>
      </c>
      <c r="AL233" t="s">
        <v>95</v>
      </c>
      <c r="AM233" t="s">
        <v>96</v>
      </c>
      <c r="AN233" t="s">
        <v>97</v>
      </c>
      <c r="AO233" t="s">
        <v>98</v>
      </c>
      <c r="AP233" t="s">
        <v>78</v>
      </c>
      <c r="AQ233" t="s">
        <v>78</v>
      </c>
      <c r="AS233" t="s">
        <v>78</v>
      </c>
      <c r="AT233" t="s">
        <v>100</v>
      </c>
      <c r="AU233" t="s">
        <v>100</v>
      </c>
      <c r="AW233" t="s">
        <v>85</v>
      </c>
      <c r="AX233" t="s">
        <v>101</v>
      </c>
      <c r="AY233" t="s">
        <v>102</v>
      </c>
      <c r="AZ233" t="s">
        <v>103</v>
      </c>
      <c r="BA233" t="s">
        <v>133</v>
      </c>
      <c r="BB233" t="s">
        <v>78</v>
      </c>
      <c r="BC233" t="s">
        <v>78</v>
      </c>
      <c r="BD233" t="s">
        <v>1764</v>
      </c>
      <c r="BE233">
        <v>0</v>
      </c>
      <c r="BF233">
        <v>0</v>
      </c>
      <c r="BG233">
        <v>0</v>
      </c>
      <c r="BH233">
        <v>0</v>
      </c>
      <c r="BJ233" t="s">
        <v>85</v>
      </c>
      <c r="BP233" t="s">
        <v>78</v>
      </c>
      <c r="BQ233" t="s">
        <v>78</v>
      </c>
      <c r="BR233" t="s">
        <v>78</v>
      </c>
    </row>
    <row r="234" customFormat="1" spans="1:70">
      <c r="A234" t="s">
        <v>1765</v>
      </c>
      <c r="B234" t="s">
        <v>1765</v>
      </c>
      <c r="C234" t="s">
        <v>107</v>
      </c>
      <c r="D234" t="s">
        <v>135</v>
      </c>
      <c r="E234">
        <v>1</v>
      </c>
      <c r="F234" t="s">
        <v>109</v>
      </c>
      <c r="G234" t="s">
        <v>136</v>
      </c>
      <c r="H234">
        <v>289</v>
      </c>
      <c r="I234">
        <v>289</v>
      </c>
      <c r="J234">
        <v>0</v>
      </c>
      <c r="K234">
        <v>0</v>
      </c>
      <c r="L234" t="s">
        <v>78</v>
      </c>
      <c r="M234" t="s">
        <v>78</v>
      </c>
      <c r="N234" t="s">
        <v>78</v>
      </c>
      <c r="O234">
        <v>0</v>
      </c>
      <c r="P234">
        <v>0</v>
      </c>
      <c r="Q234">
        <v>0</v>
      </c>
      <c r="R234" t="s">
        <v>111</v>
      </c>
      <c r="S234">
        <v>0</v>
      </c>
      <c r="T234" t="s">
        <v>80</v>
      </c>
      <c r="U234" t="s">
        <v>80</v>
      </c>
      <c r="V234" t="s">
        <v>112</v>
      </c>
      <c r="W234" t="s">
        <v>906</v>
      </c>
      <c r="X234" t="s">
        <v>907</v>
      </c>
      <c r="Y234" t="s">
        <v>1448</v>
      </c>
      <c r="Z234" t="s">
        <v>80</v>
      </c>
      <c r="AA234" t="s">
        <v>85</v>
      </c>
      <c r="AC234" t="s">
        <v>1766</v>
      </c>
      <c r="AD234" t="s">
        <v>87</v>
      </c>
      <c r="AH234" t="s">
        <v>91</v>
      </c>
      <c r="AI234" t="s">
        <v>92</v>
      </c>
      <c r="AJ234" t="s">
        <v>131</v>
      </c>
      <c r="AK234" t="s">
        <v>1767</v>
      </c>
      <c r="AL234" t="s">
        <v>95</v>
      </c>
      <c r="AM234" t="s">
        <v>96</v>
      </c>
      <c r="AN234" t="s">
        <v>97</v>
      </c>
      <c r="AO234" t="s">
        <v>98</v>
      </c>
      <c r="AP234" t="s">
        <v>78</v>
      </c>
      <c r="AQ234" t="s">
        <v>78</v>
      </c>
      <c r="AR234" t="s">
        <v>353</v>
      </c>
      <c r="AS234" t="s">
        <v>78</v>
      </c>
      <c r="AT234" t="s">
        <v>100</v>
      </c>
      <c r="AU234" t="s">
        <v>100</v>
      </c>
      <c r="AW234" t="s">
        <v>85</v>
      </c>
      <c r="AX234" t="s">
        <v>101</v>
      </c>
      <c r="AY234" t="s">
        <v>102</v>
      </c>
      <c r="AZ234" t="s">
        <v>103</v>
      </c>
      <c r="BA234" t="s">
        <v>120</v>
      </c>
      <c r="BB234" t="s">
        <v>78</v>
      </c>
      <c r="BC234" t="s">
        <v>78</v>
      </c>
      <c r="BE234">
        <v>0</v>
      </c>
      <c r="BF234">
        <v>0</v>
      </c>
      <c r="BG234">
        <v>0</v>
      </c>
      <c r="BH234">
        <v>0</v>
      </c>
      <c r="BJ234" t="s">
        <v>85</v>
      </c>
      <c r="BP234" t="s">
        <v>78</v>
      </c>
      <c r="BQ234" t="s">
        <v>78</v>
      </c>
      <c r="BR234" t="s">
        <v>78</v>
      </c>
    </row>
    <row r="235" customFormat="1" spans="1:70">
      <c r="A235" t="s">
        <v>1768</v>
      </c>
      <c r="B235" t="s">
        <v>1768</v>
      </c>
      <c r="C235" t="s">
        <v>107</v>
      </c>
      <c r="D235" t="s">
        <v>108</v>
      </c>
      <c r="E235">
        <v>1</v>
      </c>
      <c r="F235" t="s">
        <v>109</v>
      </c>
      <c r="G235" t="s">
        <v>110</v>
      </c>
      <c r="H235">
        <v>289</v>
      </c>
      <c r="I235">
        <v>289</v>
      </c>
      <c r="J235">
        <v>0</v>
      </c>
      <c r="K235">
        <v>0</v>
      </c>
      <c r="L235" t="s">
        <v>78</v>
      </c>
      <c r="M235" t="s">
        <v>78</v>
      </c>
      <c r="N235" t="s">
        <v>78</v>
      </c>
      <c r="O235">
        <v>0</v>
      </c>
      <c r="P235">
        <v>0</v>
      </c>
      <c r="Q235">
        <v>0</v>
      </c>
      <c r="R235" t="s">
        <v>125</v>
      </c>
      <c r="S235">
        <v>0</v>
      </c>
      <c r="T235" t="s">
        <v>80</v>
      </c>
      <c r="U235" t="s">
        <v>80</v>
      </c>
      <c r="V235" t="s">
        <v>302</v>
      </c>
      <c r="W235" t="s">
        <v>412</v>
      </c>
      <c r="X235" t="s">
        <v>1769</v>
      </c>
      <c r="Y235" t="s">
        <v>1770</v>
      </c>
      <c r="Z235" t="s">
        <v>80</v>
      </c>
      <c r="AA235" t="s">
        <v>85</v>
      </c>
      <c r="AC235" t="s">
        <v>1771</v>
      </c>
      <c r="AD235" t="s">
        <v>87</v>
      </c>
      <c r="AF235" t="s">
        <v>1772</v>
      </c>
      <c r="AG235" t="s">
        <v>1773</v>
      </c>
      <c r="AH235" t="s">
        <v>91</v>
      </c>
      <c r="AI235" t="s">
        <v>92</v>
      </c>
      <c r="AJ235" t="s">
        <v>93</v>
      </c>
      <c r="AK235" t="s">
        <v>1774</v>
      </c>
      <c r="AL235" t="s">
        <v>95</v>
      </c>
      <c r="AM235" t="s">
        <v>96</v>
      </c>
      <c r="AN235" t="s">
        <v>97</v>
      </c>
      <c r="AO235" t="s">
        <v>98</v>
      </c>
      <c r="AP235" t="s">
        <v>78</v>
      </c>
      <c r="AQ235" t="s">
        <v>78</v>
      </c>
      <c r="AS235" t="s">
        <v>78</v>
      </c>
      <c r="AT235" t="s">
        <v>100</v>
      </c>
      <c r="AU235" t="s">
        <v>100</v>
      </c>
      <c r="AW235" t="s">
        <v>85</v>
      </c>
      <c r="AX235" t="s">
        <v>101</v>
      </c>
      <c r="AY235" t="s">
        <v>102</v>
      </c>
      <c r="AZ235" t="s">
        <v>103</v>
      </c>
      <c r="BA235" t="s">
        <v>120</v>
      </c>
      <c r="BB235" t="s">
        <v>78</v>
      </c>
      <c r="BC235" t="s">
        <v>78</v>
      </c>
      <c r="BD235" t="s">
        <v>1775</v>
      </c>
      <c r="BE235">
        <v>0</v>
      </c>
      <c r="BF235">
        <v>0</v>
      </c>
      <c r="BG235">
        <v>0</v>
      </c>
      <c r="BH235">
        <v>0</v>
      </c>
      <c r="BJ235" t="s">
        <v>85</v>
      </c>
      <c r="BP235" t="s">
        <v>78</v>
      </c>
      <c r="BQ235" t="s">
        <v>78</v>
      </c>
      <c r="BR235" t="s">
        <v>78</v>
      </c>
    </row>
    <row r="236" customFormat="1" spans="1:70">
      <c r="A236" t="s">
        <v>1776</v>
      </c>
      <c r="B236" t="s">
        <v>1776</v>
      </c>
      <c r="C236" t="s">
        <v>107</v>
      </c>
      <c r="D236" t="s">
        <v>135</v>
      </c>
      <c r="E236">
        <v>1</v>
      </c>
      <c r="F236" t="s">
        <v>109</v>
      </c>
      <c r="G236" t="s">
        <v>136</v>
      </c>
      <c r="H236">
        <v>289</v>
      </c>
      <c r="I236">
        <v>289</v>
      </c>
      <c r="J236">
        <v>0</v>
      </c>
      <c r="K236">
        <v>0</v>
      </c>
      <c r="L236" t="s">
        <v>78</v>
      </c>
      <c r="M236" t="s">
        <v>78</v>
      </c>
      <c r="N236" t="s">
        <v>78</v>
      </c>
      <c r="O236">
        <v>0</v>
      </c>
      <c r="P236">
        <v>0</v>
      </c>
      <c r="Q236">
        <v>0</v>
      </c>
      <c r="R236" t="s">
        <v>79</v>
      </c>
      <c r="S236">
        <v>0</v>
      </c>
      <c r="T236" t="s">
        <v>80</v>
      </c>
      <c r="U236" t="s">
        <v>80</v>
      </c>
      <c r="V236" t="s">
        <v>574</v>
      </c>
      <c r="W236" t="s">
        <v>574</v>
      </c>
      <c r="X236" t="s">
        <v>1428</v>
      </c>
      <c r="Y236" t="s">
        <v>1652</v>
      </c>
      <c r="Z236" t="s">
        <v>80</v>
      </c>
      <c r="AA236" t="s">
        <v>85</v>
      </c>
      <c r="AC236" t="s">
        <v>1777</v>
      </c>
      <c r="AD236" t="s">
        <v>87</v>
      </c>
      <c r="AG236" t="s">
        <v>1778</v>
      </c>
      <c r="AH236" t="s">
        <v>91</v>
      </c>
      <c r="AI236" t="s">
        <v>92</v>
      </c>
      <c r="AJ236" t="s">
        <v>131</v>
      </c>
      <c r="AK236" t="s">
        <v>1779</v>
      </c>
      <c r="AL236" t="s">
        <v>95</v>
      </c>
      <c r="AM236" t="s">
        <v>96</v>
      </c>
      <c r="AN236" t="s">
        <v>97</v>
      </c>
      <c r="AO236" t="s">
        <v>98</v>
      </c>
      <c r="AP236" t="s">
        <v>78</v>
      </c>
      <c r="AQ236" t="s">
        <v>99</v>
      </c>
      <c r="AS236" t="s">
        <v>78</v>
      </c>
      <c r="AT236" t="s">
        <v>100</v>
      </c>
      <c r="AU236" t="s">
        <v>100</v>
      </c>
      <c r="AW236" t="s">
        <v>85</v>
      </c>
      <c r="AX236" t="s">
        <v>103</v>
      </c>
      <c r="AY236" t="s">
        <v>159</v>
      </c>
      <c r="AZ236" t="s">
        <v>103</v>
      </c>
      <c r="BA236" t="s">
        <v>104</v>
      </c>
      <c r="BB236" t="s">
        <v>78</v>
      </c>
      <c r="BC236" t="s">
        <v>78</v>
      </c>
      <c r="BE236">
        <v>0</v>
      </c>
      <c r="BF236">
        <v>0</v>
      </c>
      <c r="BG236">
        <v>0</v>
      </c>
      <c r="BH236">
        <v>0</v>
      </c>
      <c r="BJ236" t="s">
        <v>85</v>
      </c>
      <c r="BP236" t="s">
        <v>78</v>
      </c>
      <c r="BQ236" t="s">
        <v>78</v>
      </c>
      <c r="BR236" t="s">
        <v>78</v>
      </c>
    </row>
    <row r="237" customFormat="1" spans="1:70">
      <c r="A237" t="s">
        <v>1780</v>
      </c>
      <c r="B237" t="s">
        <v>1780</v>
      </c>
      <c r="C237" t="s">
        <v>107</v>
      </c>
      <c r="D237" t="s">
        <v>108</v>
      </c>
      <c r="E237">
        <v>1</v>
      </c>
      <c r="F237" t="s">
        <v>109</v>
      </c>
      <c r="G237" t="s">
        <v>110</v>
      </c>
      <c r="H237">
        <v>289</v>
      </c>
      <c r="I237">
        <v>289</v>
      </c>
      <c r="J237">
        <v>0</v>
      </c>
      <c r="K237">
        <v>0</v>
      </c>
      <c r="L237" t="s">
        <v>78</v>
      </c>
      <c r="M237" t="s">
        <v>78</v>
      </c>
      <c r="N237" t="s">
        <v>78</v>
      </c>
      <c r="O237">
        <v>0</v>
      </c>
      <c r="P237">
        <v>0</v>
      </c>
      <c r="Q237">
        <v>0</v>
      </c>
      <c r="R237" t="s">
        <v>111</v>
      </c>
      <c r="S237">
        <v>0</v>
      </c>
      <c r="T237" t="s">
        <v>80</v>
      </c>
      <c r="U237" t="s">
        <v>80</v>
      </c>
      <c r="V237" t="s">
        <v>583</v>
      </c>
      <c r="W237" t="s">
        <v>685</v>
      </c>
      <c r="X237" t="s">
        <v>686</v>
      </c>
      <c r="Y237" t="s">
        <v>687</v>
      </c>
      <c r="Z237" t="s">
        <v>80</v>
      </c>
      <c r="AA237" t="s">
        <v>85</v>
      </c>
      <c r="AC237" t="s">
        <v>1781</v>
      </c>
      <c r="AD237" t="s">
        <v>87</v>
      </c>
      <c r="AF237" t="s">
        <v>1782</v>
      </c>
      <c r="AG237" t="s">
        <v>1783</v>
      </c>
      <c r="AH237" t="s">
        <v>91</v>
      </c>
      <c r="AI237" t="s">
        <v>92</v>
      </c>
      <c r="AJ237" t="s">
        <v>93</v>
      </c>
      <c r="AK237" t="s">
        <v>1784</v>
      </c>
      <c r="AL237" t="s">
        <v>95</v>
      </c>
      <c r="AM237" t="s">
        <v>96</v>
      </c>
      <c r="AN237" t="s">
        <v>97</v>
      </c>
      <c r="AO237" t="s">
        <v>98</v>
      </c>
      <c r="AP237" t="s">
        <v>78</v>
      </c>
      <c r="AQ237" t="s">
        <v>78</v>
      </c>
      <c r="AS237" t="s">
        <v>78</v>
      </c>
      <c r="AT237" t="s">
        <v>100</v>
      </c>
      <c r="AU237" t="s">
        <v>100</v>
      </c>
      <c r="AW237" t="s">
        <v>85</v>
      </c>
      <c r="AX237" t="s">
        <v>101</v>
      </c>
      <c r="AY237" t="s">
        <v>102</v>
      </c>
      <c r="AZ237" t="s">
        <v>103</v>
      </c>
      <c r="BA237" t="s">
        <v>133</v>
      </c>
      <c r="BB237" t="s">
        <v>78</v>
      </c>
      <c r="BC237" t="s">
        <v>78</v>
      </c>
      <c r="BD237" t="s">
        <v>1755</v>
      </c>
      <c r="BE237">
        <v>0</v>
      </c>
      <c r="BF237">
        <v>0</v>
      </c>
      <c r="BG237">
        <v>0</v>
      </c>
      <c r="BH237">
        <v>0</v>
      </c>
      <c r="BJ237" t="s">
        <v>85</v>
      </c>
      <c r="BP237" t="s">
        <v>78</v>
      </c>
      <c r="BQ237" t="s">
        <v>78</v>
      </c>
      <c r="BR237" t="s">
        <v>78</v>
      </c>
    </row>
    <row r="238" customFormat="1" spans="1:70">
      <c r="A238" t="s">
        <v>1785</v>
      </c>
      <c r="B238" t="s">
        <v>1785</v>
      </c>
      <c r="C238" t="s">
        <v>107</v>
      </c>
      <c r="D238" t="s">
        <v>135</v>
      </c>
      <c r="E238">
        <v>1</v>
      </c>
      <c r="F238" t="s">
        <v>109</v>
      </c>
      <c r="G238" t="s">
        <v>136</v>
      </c>
      <c r="H238">
        <v>289</v>
      </c>
      <c r="I238">
        <v>289</v>
      </c>
      <c r="J238">
        <v>0</v>
      </c>
      <c r="K238">
        <v>0</v>
      </c>
      <c r="L238" t="s">
        <v>78</v>
      </c>
      <c r="M238" t="s">
        <v>78</v>
      </c>
      <c r="N238" t="s">
        <v>78</v>
      </c>
      <c r="O238">
        <v>0</v>
      </c>
      <c r="P238">
        <v>0</v>
      </c>
      <c r="Q238">
        <v>0</v>
      </c>
      <c r="R238" t="s">
        <v>111</v>
      </c>
      <c r="S238">
        <v>0</v>
      </c>
      <c r="T238" t="s">
        <v>80</v>
      </c>
      <c r="U238" t="s">
        <v>80</v>
      </c>
      <c r="V238" t="s">
        <v>167</v>
      </c>
      <c r="W238" t="s">
        <v>168</v>
      </c>
      <c r="X238" t="s">
        <v>1786</v>
      </c>
      <c r="Y238" t="s">
        <v>78</v>
      </c>
      <c r="Z238" t="s">
        <v>80</v>
      </c>
      <c r="AA238" t="s">
        <v>85</v>
      </c>
      <c r="AC238" t="s">
        <v>1787</v>
      </c>
      <c r="AD238" t="s">
        <v>202</v>
      </c>
      <c r="AE238" t="s">
        <v>1788</v>
      </c>
      <c r="AF238" t="s">
        <v>1752</v>
      </c>
      <c r="AG238" t="s">
        <v>1789</v>
      </c>
      <c r="AH238" t="s">
        <v>91</v>
      </c>
      <c r="AI238" t="s">
        <v>92</v>
      </c>
      <c r="AJ238" t="s">
        <v>93</v>
      </c>
      <c r="AK238" t="s">
        <v>1790</v>
      </c>
      <c r="AL238" t="s">
        <v>95</v>
      </c>
      <c r="AM238" t="s">
        <v>96</v>
      </c>
      <c r="AN238" t="s">
        <v>97</v>
      </c>
      <c r="AO238" t="s">
        <v>98</v>
      </c>
      <c r="AP238" t="s">
        <v>78</v>
      </c>
      <c r="AQ238" t="s">
        <v>99</v>
      </c>
      <c r="AS238" t="s">
        <v>78</v>
      </c>
      <c r="AT238" t="s">
        <v>100</v>
      </c>
      <c r="AU238" t="s">
        <v>100</v>
      </c>
      <c r="AW238" t="s">
        <v>85</v>
      </c>
      <c r="AX238" t="s">
        <v>101</v>
      </c>
      <c r="AY238" t="s">
        <v>102</v>
      </c>
      <c r="AZ238" t="s">
        <v>103</v>
      </c>
      <c r="BA238" t="s">
        <v>133</v>
      </c>
      <c r="BB238" t="s">
        <v>78</v>
      </c>
      <c r="BC238" t="s">
        <v>78</v>
      </c>
      <c r="BD238" t="s">
        <v>1755</v>
      </c>
      <c r="BE238">
        <v>0</v>
      </c>
      <c r="BF238">
        <v>0</v>
      </c>
      <c r="BG238">
        <v>0</v>
      </c>
      <c r="BH238">
        <v>0</v>
      </c>
      <c r="BJ238" t="s">
        <v>85</v>
      </c>
      <c r="BP238" t="s">
        <v>78</v>
      </c>
      <c r="BQ238" t="s">
        <v>78</v>
      </c>
      <c r="BR238" t="s">
        <v>78</v>
      </c>
    </row>
    <row r="239" customFormat="1" spans="1:70">
      <c r="A239" t="s">
        <v>1791</v>
      </c>
      <c r="B239" t="s">
        <v>1791</v>
      </c>
      <c r="C239" t="s">
        <v>107</v>
      </c>
      <c r="D239" t="s">
        <v>108</v>
      </c>
      <c r="E239">
        <v>1</v>
      </c>
      <c r="F239" t="s">
        <v>109</v>
      </c>
      <c r="G239" t="s">
        <v>110</v>
      </c>
      <c r="H239">
        <v>289</v>
      </c>
      <c r="I239">
        <v>289</v>
      </c>
      <c r="J239">
        <v>0</v>
      </c>
      <c r="K239">
        <v>0</v>
      </c>
      <c r="L239" t="s">
        <v>78</v>
      </c>
      <c r="M239" t="s">
        <v>78</v>
      </c>
      <c r="N239" t="s">
        <v>78</v>
      </c>
      <c r="O239">
        <v>0</v>
      </c>
      <c r="P239">
        <v>0</v>
      </c>
      <c r="Q239">
        <v>0</v>
      </c>
      <c r="R239" t="s">
        <v>79</v>
      </c>
      <c r="S239">
        <v>0</v>
      </c>
      <c r="T239" t="s">
        <v>80</v>
      </c>
      <c r="U239" t="s">
        <v>80</v>
      </c>
      <c r="V239" t="s">
        <v>583</v>
      </c>
      <c r="W239" t="s">
        <v>584</v>
      </c>
      <c r="X239" t="s">
        <v>1792</v>
      </c>
      <c r="Y239" t="s">
        <v>1793</v>
      </c>
      <c r="Z239" t="s">
        <v>80</v>
      </c>
      <c r="AA239" t="s">
        <v>85</v>
      </c>
      <c r="AC239" t="s">
        <v>1794</v>
      </c>
      <c r="AD239" t="s">
        <v>87</v>
      </c>
      <c r="AG239" t="s">
        <v>1795</v>
      </c>
      <c r="AH239" t="s">
        <v>91</v>
      </c>
      <c r="AI239" t="s">
        <v>92</v>
      </c>
      <c r="AJ239" t="s">
        <v>131</v>
      </c>
      <c r="AK239" t="s">
        <v>1796</v>
      </c>
      <c r="AL239" t="s">
        <v>95</v>
      </c>
      <c r="AM239" t="s">
        <v>96</v>
      </c>
      <c r="AN239" t="s">
        <v>97</v>
      </c>
      <c r="AO239" t="s">
        <v>98</v>
      </c>
      <c r="AP239" t="s">
        <v>78</v>
      </c>
      <c r="AQ239" t="s">
        <v>99</v>
      </c>
      <c r="AS239" t="s">
        <v>78</v>
      </c>
      <c r="AT239" t="s">
        <v>100</v>
      </c>
      <c r="AU239" t="s">
        <v>100</v>
      </c>
      <c r="AW239" t="s">
        <v>85</v>
      </c>
      <c r="AX239" t="s">
        <v>101</v>
      </c>
      <c r="AY239" t="s">
        <v>102</v>
      </c>
      <c r="AZ239" t="s">
        <v>103</v>
      </c>
      <c r="BA239" t="s">
        <v>133</v>
      </c>
      <c r="BB239" t="s">
        <v>78</v>
      </c>
      <c r="BC239" t="s">
        <v>78</v>
      </c>
      <c r="BE239">
        <v>0</v>
      </c>
      <c r="BF239">
        <v>0</v>
      </c>
      <c r="BG239">
        <v>0</v>
      </c>
      <c r="BH239">
        <v>0</v>
      </c>
      <c r="BJ239" t="s">
        <v>85</v>
      </c>
      <c r="BP239" t="s">
        <v>78</v>
      </c>
      <c r="BQ239" t="s">
        <v>78</v>
      </c>
      <c r="BR239" t="s">
        <v>78</v>
      </c>
    </row>
    <row r="240" customFormat="1" spans="1:70">
      <c r="A240" t="s">
        <v>1797</v>
      </c>
      <c r="B240" t="s">
        <v>1797</v>
      </c>
      <c r="C240" t="s">
        <v>107</v>
      </c>
      <c r="D240" t="s">
        <v>135</v>
      </c>
      <c r="E240">
        <v>1</v>
      </c>
      <c r="F240" t="s">
        <v>109</v>
      </c>
      <c r="G240" t="s">
        <v>136</v>
      </c>
      <c r="H240">
        <v>289</v>
      </c>
      <c r="I240">
        <v>280</v>
      </c>
      <c r="J240">
        <v>0</v>
      </c>
      <c r="K240">
        <v>9</v>
      </c>
      <c r="L240" t="s">
        <v>1798</v>
      </c>
      <c r="M240" t="s">
        <v>78</v>
      </c>
      <c r="N240" t="s">
        <v>78</v>
      </c>
      <c r="O240">
        <v>0</v>
      </c>
      <c r="P240">
        <v>0</v>
      </c>
      <c r="Q240">
        <v>0</v>
      </c>
      <c r="R240" t="s">
        <v>111</v>
      </c>
      <c r="S240">
        <v>0</v>
      </c>
      <c r="T240" t="s">
        <v>80</v>
      </c>
      <c r="U240" t="s">
        <v>80</v>
      </c>
      <c r="V240" t="s">
        <v>271</v>
      </c>
      <c r="W240" t="s">
        <v>1506</v>
      </c>
      <c r="X240" t="s">
        <v>1799</v>
      </c>
      <c r="Y240" t="s">
        <v>1800</v>
      </c>
      <c r="Z240" t="s">
        <v>80</v>
      </c>
      <c r="AA240" t="s">
        <v>85</v>
      </c>
      <c r="AB240" t="s">
        <v>1801</v>
      </c>
      <c r="AC240" t="s">
        <v>1802</v>
      </c>
      <c r="AD240" t="s">
        <v>87</v>
      </c>
      <c r="AF240" t="s">
        <v>1803</v>
      </c>
      <c r="AG240" t="s">
        <v>1804</v>
      </c>
      <c r="AH240" t="s">
        <v>254</v>
      </c>
      <c r="AI240" t="s">
        <v>92</v>
      </c>
      <c r="AJ240" t="s">
        <v>93</v>
      </c>
      <c r="AK240" t="s">
        <v>1805</v>
      </c>
      <c r="AL240" t="s">
        <v>95</v>
      </c>
      <c r="AM240" t="s">
        <v>96</v>
      </c>
      <c r="AN240" t="s">
        <v>97</v>
      </c>
      <c r="AO240" t="s">
        <v>98</v>
      </c>
      <c r="AP240" t="s">
        <v>78</v>
      </c>
      <c r="AQ240" t="s">
        <v>78</v>
      </c>
      <c r="AS240" t="s">
        <v>78</v>
      </c>
      <c r="AT240" t="s">
        <v>100</v>
      </c>
      <c r="AU240" t="s">
        <v>100</v>
      </c>
      <c r="AW240" t="s">
        <v>85</v>
      </c>
      <c r="AX240" t="s">
        <v>103</v>
      </c>
      <c r="AY240" t="s">
        <v>159</v>
      </c>
      <c r="AZ240" t="s">
        <v>103</v>
      </c>
      <c r="BA240" t="s">
        <v>102</v>
      </c>
      <c r="BB240" t="s">
        <v>78</v>
      </c>
      <c r="BC240" t="s">
        <v>78</v>
      </c>
      <c r="BD240" t="s">
        <v>1755</v>
      </c>
      <c r="BE240">
        <v>0</v>
      </c>
      <c r="BF240">
        <v>9</v>
      </c>
      <c r="BG240">
        <v>0</v>
      </c>
      <c r="BH240">
        <v>0</v>
      </c>
      <c r="BJ240" t="s">
        <v>85</v>
      </c>
      <c r="BP240" t="s">
        <v>78</v>
      </c>
      <c r="BQ240" t="s">
        <v>78</v>
      </c>
      <c r="BR240" t="s">
        <v>78</v>
      </c>
    </row>
    <row r="241" customFormat="1" spans="1:70">
      <c r="A241" t="s">
        <v>1806</v>
      </c>
      <c r="B241" t="s">
        <v>1806</v>
      </c>
      <c r="C241" t="s">
        <v>107</v>
      </c>
      <c r="D241" t="s">
        <v>123</v>
      </c>
      <c r="E241">
        <v>1</v>
      </c>
      <c r="F241" t="s">
        <v>109</v>
      </c>
      <c r="G241" t="s">
        <v>124</v>
      </c>
      <c r="H241">
        <v>289</v>
      </c>
      <c r="I241">
        <v>289</v>
      </c>
      <c r="J241">
        <v>0</v>
      </c>
      <c r="K241">
        <v>0</v>
      </c>
      <c r="L241" t="s">
        <v>78</v>
      </c>
      <c r="M241" t="s">
        <v>78</v>
      </c>
      <c r="N241" t="s">
        <v>78</v>
      </c>
      <c r="O241">
        <v>0</v>
      </c>
      <c r="P241">
        <v>0</v>
      </c>
      <c r="Q241">
        <v>0</v>
      </c>
      <c r="R241" t="s">
        <v>125</v>
      </c>
      <c r="S241">
        <v>0</v>
      </c>
      <c r="T241" t="s">
        <v>80</v>
      </c>
      <c r="U241" t="s">
        <v>80</v>
      </c>
      <c r="V241" t="s">
        <v>221</v>
      </c>
      <c r="W241" t="s">
        <v>599</v>
      </c>
      <c r="X241" t="s">
        <v>1337</v>
      </c>
      <c r="Y241" t="s">
        <v>78</v>
      </c>
      <c r="Z241" t="s">
        <v>80</v>
      </c>
      <c r="AA241" t="s">
        <v>85</v>
      </c>
      <c r="AC241" t="s">
        <v>1807</v>
      </c>
      <c r="AD241" t="s">
        <v>87</v>
      </c>
      <c r="AF241" t="s">
        <v>1808</v>
      </c>
      <c r="AG241" t="s">
        <v>1809</v>
      </c>
      <c r="AH241" t="s">
        <v>91</v>
      </c>
      <c r="AI241" t="s">
        <v>92</v>
      </c>
      <c r="AJ241" t="s">
        <v>93</v>
      </c>
      <c r="AK241" t="s">
        <v>1810</v>
      </c>
      <c r="AL241" t="s">
        <v>95</v>
      </c>
      <c r="AM241" t="s">
        <v>96</v>
      </c>
      <c r="AN241" t="s">
        <v>97</v>
      </c>
      <c r="AO241" t="s">
        <v>98</v>
      </c>
      <c r="AP241" t="s">
        <v>78</v>
      </c>
      <c r="AQ241" t="s">
        <v>78</v>
      </c>
      <c r="AS241" t="s">
        <v>78</v>
      </c>
      <c r="AT241" t="s">
        <v>100</v>
      </c>
      <c r="AU241" t="s">
        <v>100</v>
      </c>
      <c r="AW241" t="s">
        <v>85</v>
      </c>
      <c r="AX241" t="s">
        <v>101</v>
      </c>
      <c r="AY241" t="s">
        <v>102</v>
      </c>
      <c r="AZ241" t="s">
        <v>103</v>
      </c>
      <c r="BA241" t="s">
        <v>419</v>
      </c>
      <c r="BB241" t="s">
        <v>78</v>
      </c>
      <c r="BC241" t="s">
        <v>78</v>
      </c>
      <c r="BD241" t="s">
        <v>1811</v>
      </c>
      <c r="BE241">
        <v>0</v>
      </c>
      <c r="BF241">
        <v>0</v>
      </c>
      <c r="BG241">
        <v>0</v>
      </c>
      <c r="BH241">
        <v>0</v>
      </c>
      <c r="BJ241" t="s">
        <v>85</v>
      </c>
      <c r="BP241" t="s">
        <v>78</v>
      </c>
      <c r="BQ241" t="s">
        <v>78</v>
      </c>
      <c r="BR241" t="s">
        <v>78</v>
      </c>
    </row>
    <row r="242" customFormat="1" spans="1:70">
      <c r="A242" t="s">
        <v>1812</v>
      </c>
      <c r="B242" t="s">
        <v>1812</v>
      </c>
      <c r="C242" t="s">
        <v>107</v>
      </c>
      <c r="D242" t="s">
        <v>108</v>
      </c>
      <c r="E242">
        <v>1</v>
      </c>
      <c r="F242" t="s">
        <v>109</v>
      </c>
      <c r="G242" t="s">
        <v>110</v>
      </c>
      <c r="H242">
        <v>289</v>
      </c>
      <c r="I242">
        <v>289</v>
      </c>
      <c r="J242">
        <v>0</v>
      </c>
      <c r="K242">
        <v>0</v>
      </c>
      <c r="L242" t="s">
        <v>78</v>
      </c>
      <c r="M242" t="s">
        <v>78</v>
      </c>
      <c r="N242" t="s">
        <v>78</v>
      </c>
      <c r="O242">
        <v>0</v>
      </c>
      <c r="P242">
        <v>0</v>
      </c>
      <c r="Q242">
        <v>0</v>
      </c>
      <c r="R242" t="s">
        <v>125</v>
      </c>
      <c r="S242">
        <v>0</v>
      </c>
      <c r="T242" t="s">
        <v>80</v>
      </c>
      <c r="U242" t="s">
        <v>80</v>
      </c>
      <c r="V242" t="s">
        <v>126</v>
      </c>
      <c r="W242" t="s">
        <v>377</v>
      </c>
      <c r="X242" t="s">
        <v>378</v>
      </c>
      <c r="Y242" t="s">
        <v>1813</v>
      </c>
      <c r="Z242" t="s">
        <v>80</v>
      </c>
      <c r="AA242" t="s">
        <v>85</v>
      </c>
      <c r="AC242" t="s">
        <v>1814</v>
      </c>
      <c r="AD242" t="s">
        <v>202</v>
      </c>
      <c r="AE242" t="s">
        <v>1815</v>
      </c>
      <c r="AG242" t="s">
        <v>1816</v>
      </c>
      <c r="AH242" t="s">
        <v>91</v>
      </c>
      <c r="AI242" t="s">
        <v>92</v>
      </c>
      <c r="AJ242" t="s">
        <v>131</v>
      </c>
      <c r="AK242" t="s">
        <v>1817</v>
      </c>
      <c r="AL242" t="s">
        <v>95</v>
      </c>
      <c r="AM242" t="s">
        <v>96</v>
      </c>
      <c r="AN242" t="s">
        <v>97</v>
      </c>
      <c r="AO242" t="s">
        <v>98</v>
      </c>
      <c r="AP242" t="s">
        <v>78</v>
      </c>
      <c r="AQ242" t="s">
        <v>99</v>
      </c>
      <c r="AS242" t="s">
        <v>78</v>
      </c>
      <c r="AT242" t="s">
        <v>100</v>
      </c>
      <c r="AU242" t="s">
        <v>100</v>
      </c>
      <c r="AW242" t="s">
        <v>85</v>
      </c>
      <c r="AX242" t="s">
        <v>101</v>
      </c>
      <c r="AY242" t="s">
        <v>102</v>
      </c>
      <c r="AZ242" t="s">
        <v>103</v>
      </c>
      <c r="BA242" t="s">
        <v>133</v>
      </c>
      <c r="BB242" t="s">
        <v>78</v>
      </c>
      <c r="BC242" t="s">
        <v>78</v>
      </c>
      <c r="BD242" t="s">
        <v>1755</v>
      </c>
      <c r="BE242">
        <v>0</v>
      </c>
      <c r="BF242">
        <v>0</v>
      </c>
      <c r="BG242">
        <v>0</v>
      </c>
      <c r="BH242">
        <v>0</v>
      </c>
      <c r="BJ242" t="s">
        <v>85</v>
      </c>
      <c r="BP242" t="s">
        <v>78</v>
      </c>
      <c r="BQ242" t="s">
        <v>78</v>
      </c>
      <c r="BR242" t="s">
        <v>78</v>
      </c>
    </row>
    <row r="243" customFormat="1" spans="1:70">
      <c r="A243" t="s">
        <v>1818</v>
      </c>
      <c r="B243" t="s">
        <v>1818</v>
      </c>
      <c r="C243" t="s">
        <v>107</v>
      </c>
      <c r="D243" t="s">
        <v>123</v>
      </c>
      <c r="E243">
        <v>1</v>
      </c>
      <c r="F243" t="s">
        <v>109</v>
      </c>
      <c r="G243" t="s">
        <v>124</v>
      </c>
      <c r="H243">
        <v>289</v>
      </c>
      <c r="I243">
        <v>289</v>
      </c>
      <c r="J243">
        <v>0</v>
      </c>
      <c r="K243">
        <v>0</v>
      </c>
      <c r="L243" t="s">
        <v>78</v>
      </c>
      <c r="M243" t="s">
        <v>78</v>
      </c>
      <c r="N243" t="s">
        <v>78</v>
      </c>
      <c r="O243">
        <v>0</v>
      </c>
      <c r="P243">
        <v>0</v>
      </c>
      <c r="Q243">
        <v>0</v>
      </c>
      <c r="R243" t="s">
        <v>125</v>
      </c>
      <c r="S243">
        <v>0</v>
      </c>
      <c r="T243" t="s">
        <v>80</v>
      </c>
      <c r="U243" t="s">
        <v>80</v>
      </c>
      <c r="V243" t="s">
        <v>221</v>
      </c>
      <c r="W243" t="s">
        <v>336</v>
      </c>
      <c r="X243" t="s">
        <v>1819</v>
      </c>
      <c r="Y243" t="s">
        <v>1820</v>
      </c>
      <c r="Z243" t="s">
        <v>80</v>
      </c>
      <c r="AA243" t="s">
        <v>85</v>
      </c>
      <c r="AC243" t="s">
        <v>1821</v>
      </c>
      <c r="AD243" t="s">
        <v>87</v>
      </c>
      <c r="AF243" t="s">
        <v>1822</v>
      </c>
      <c r="AG243" t="s">
        <v>1823</v>
      </c>
      <c r="AH243" t="s">
        <v>91</v>
      </c>
      <c r="AI243" t="s">
        <v>92</v>
      </c>
      <c r="AJ243" t="s">
        <v>93</v>
      </c>
      <c r="AK243" t="s">
        <v>1824</v>
      </c>
      <c r="AL243" t="s">
        <v>95</v>
      </c>
      <c r="AM243" t="s">
        <v>96</v>
      </c>
      <c r="AN243" t="s">
        <v>97</v>
      </c>
      <c r="AO243" t="s">
        <v>98</v>
      </c>
      <c r="AP243" t="s">
        <v>78</v>
      </c>
      <c r="AQ243" t="s">
        <v>78</v>
      </c>
      <c r="AS243" t="s">
        <v>78</v>
      </c>
      <c r="AT243" t="s">
        <v>100</v>
      </c>
      <c r="AU243" t="s">
        <v>100</v>
      </c>
      <c r="AW243" t="s">
        <v>85</v>
      </c>
      <c r="AX243" t="s">
        <v>101</v>
      </c>
      <c r="AY243" t="s">
        <v>102</v>
      </c>
      <c r="AZ243" t="s">
        <v>103</v>
      </c>
      <c r="BA243" t="s">
        <v>133</v>
      </c>
      <c r="BB243" t="s">
        <v>78</v>
      </c>
      <c r="BC243" t="s">
        <v>78</v>
      </c>
      <c r="BD243" t="s">
        <v>1825</v>
      </c>
      <c r="BE243">
        <v>0</v>
      </c>
      <c r="BF243">
        <v>0</v>
      </c>
      <c r="BG243">
        <v>0</v>
      </c>
      <c r="BH243">
        <v>0</v>
      </c>
      <c r="BJ243" t="s">
        <v>85</v>
      </c>
      <c r="BP243" t="s">
        <v>78</v>
      </c>
      <c r="BQ243" t="s">
        <v>78</v>
      </c>
      <c r="BR243" t="s">
        <v>78</v>
      </c>
    </row>
    <row r="244" customFormat="1" spans="1:70">
      <c r="A244" t="s">
        <v>1826</v>
      </c>
      <c r="B244" t="s">
        <v>1826</v>
      </c>
      <c r="C244" t="s">
        <v>107</v>
      </c>
      <c r="D244" t="s">
        <v>135</v>
      </c>
      <c r="E244">
        <v>1</v>
      </c>
      <c r="F244" t="s">
        <v>109</v>
      </c>
      <c r="G244" t="s">
        <v>136</v>
      </c>
      <c r="H244">
        <v>289</v>
      </c>
      <c r="I244">
        <v>289</v>
      </c>
      <c r="J244">
        <v>0</v>
      </c>
      <c r="K244">
        <v>0</v>
      </c>
      <c r="L244" t="s">
        <v>78</v>
      </c>
      <c r="M244" t="s">
        <v>78</v>
      </c>
      <c r="N244" t="s">
        <v>78</v>
      </c>
      <c r="O244">
        <v>0</v>
      </c>
      <c r="P244">
        <v>0</v>
      </c>
      <c r="Q244">
        <v>0</v>
      </c>
      <c r="R244" t="s">
        <v>79</v>
      </c>
      <c r="S244">
        <v>0</v>
      </c>
      <c r="T244" t="s">
        <v>80</v>
      </c>
      <c r="U244" t="s">
        <v>80</v>
      </c>
      <c r="V244" t="s">
        <v>221</v>
      </c>
      <c r="W244" t="s">
        <v>599</v>
      </c>
      <c r="X244" t="s">
        <v>1827</v>
      </c>
      <c r="Y244" t="s">
        <v>1828</v>
      </c>
      <c r="Z244" t="s">
        <v>80</v>
      </c>
      <c r="AA244" t="s">
        <v>85</v>
      </c>
      <c r="AC244" t="s">
        <v>1829</v>
      </c>
      <c r="AD244" t="s">
        <v>202</v>
      </c>
      <c r="AE244" t="s">
        <v>1830</v>
      </c>
      <c r="AG244" t="s">
        <v>1831</v>
      </c>
      <c r="AH244" t="s">
        <v>91</v>
      </c>
      <c r="AI244" t="s">
        <v>92</v>
      </c>
      <c r="AJ244" t="s">
        <v>131</v>
      </c>
      <c r="AK244" t="s">
        <v>1832</v>
      </c>
      <c r="AL244" t="s">
        <v>95</v>
      </c>
      <c r="AM244" t="s">
        <v>96</v>
      </c>
      <c r="AN244" t="s">
        <v>97</v>
      </c>
      <c r="AO244" t="s">
        <v>98</v>
      </c>
      <c r="AP244" t="s">
        <v>78</v>
      </c>
      <c r="AQ244" t="s">
        <v>99</v>
      </c>
      <c r="AS244" t="s">
        <v>78</v>
      </c>
      <c r="AT244" t="s">
        <v>100</v>
      </c>
      <c r="AU244" t="s">
        <v>100</v>
      </c>
      <c r="AW244" t="s">
        <v>85</v>
      </c>
      <c r="AX244" t="s">
        <v>101</v>
      </c>
      <c r="AY244" t="s">
        <v>102</v>
      </c>
      <c r="AZ244" t="s">
        <v>103</v>
      </c>
      <c r="BA244" t="s">
        <v>245</v>
      </c>
      <c r="BB244" t="s">
        <v>78</v>
      </c>
      <c r="BC244" t="s">
        <v>78</v>
      </c>
      <c r="BD244" t="s">
        <v>1755</v>
      </c>
      <c r="BE244">
        <v>0</v>
      </c>
      <c r="BF244">
        <v>0</v>
      </c>
      <c r="BG244">
        <v>0</v>
      </c>
      <c r="BH244">
        <v>0</v>
      </c>
      <c r="BJ244" t="s">
        <v>85</v>
      </c>
      <c r="BP244" t="s">
        <v>78</v>
      </c>
      <c r="BQ244" t="s">
        <v>78</v>
      </c>
      <c r="BR244" t="s">
        <v>78</v>
      </c>
    </row>
    <row r="245" customFormat="1" spans="1:70">
      <c r="A245" t="s">
        <v>1833</v>
      </c>
      <c r="B245" t="s">
        <v>1833</v>
      </c>
      <c r="C245" t="s">
        <v>107</v>
      </c>
      <c r="D245" t="s">
        <v>135</v>
      </c>
      <c r="E245">
        <v>1</v>
      </c>
      <c r="F245" t="s">
        <v>109</v>
      </c>
      <c r="G245" t="s">
        <v>136</v>
      </c>
      <c r="H245">
        <v>289</v>
      </c>
      <c r="I245">
        <v>289</v>
      </c>
      <c r="J245">
        <v>0</v>
      </c>
      <c r="K245">
        <v>0</v>
      </c>
      <c r="L245" t="s">
        <v>78</v>
      </c>
      <c r="M245" t="s">
        <v>78</v>
      </c>
      <c r="N245" t="s">
        <v>78</v>
      </c>
      <c r="O245">
        <v>0</v>
      </c>
      <c r="P245">
        <v>0</v>
      </c>
      <c r="Q245">
        <v>0</v>
      </c>
      <c r="R245" t="s">
        <v>79</v>
      </c>
      <c r="S245">
        <v>0</v>
      </c>
      <c r="T245" t="s">
        <v>80</v>
      </c>
      <c r="U245" t="s">
        <v>80</v>
      </c>
      <c r="V245" t="s">
        <v>302</v>
      </c>
      <c r="W245" t="s">
        <v>1834</v>
      </c>
      <c r="X245" t="s">
        <v>1835</v>
      </c>
      <c r="Y245" t="s">
        <v>512</v>
      </c>
      <c r="Z245" t="s">
        <v>80</v>
      </c>
      <c r="AA245" t="s">
        <v>85</v>
      </c>
      <c r="AC245" t="s">
        <v>1836</v>
      </c>
      <c r="AD245" t="s">
        <v>87</v>
      </c>
      <c r="AG245" t="s">
        <v>1837</v>
      </c>
      <c r="AH245" t="s">
        <v>91</v>
      </c>
      <c r="AI245" t="s">
        <v>92</v>
      </c>
      <c r="AJ245" t="s">
        <v>131</v>
      </c>
      <c r="AK245" t="s">
        <v>1838</v>
      </c>
      <c r="AL245" t="s">
        <v>95</v>
      </c>
      <c r="AM245" t="s">
        <v>96</v>
      </c>
      <c r="AN245" t="s">
        <v>97</v>
      </c>
      <c r="AO245" t="s">
        <v>98</v>
      </c>
      <c r="AP245" t="s">
        <v>78</v>
      </c>
      <c r="AQ245" t="s">
        <v>99</v>
      </c>
      <c r="AS245" t="s">
        <v>78</v>
      </c>
      <c r="AT245" t="s">
        <v>100</v>
      </c>
      <c r="AU245" t="s">
        <v>100</v>
      </c>
      <c r="AW245" t="s">
        <v>85</v>
      </c>
      <c r="AX245" t="s">
        <v>103</v>
      </c>
      <c r="AY245" t="s">
        <v>159</v>
      </c>
      <c r="AZ245" t="s">
        <v>103</v>
      </c>
      <c r="BA245" t="s">
        <v>104</v>
      </c>
      <c r="BB245" t="s">
        <v>78</v>
      </c>
      <c r="BC245" t="s">
        <v>78</v>
      </c>
      <c r="BE245">
        <v>0</v>
      </c>
      <c r="BF245">
        <v>0</v>
      </c>
      <c r="BG245">
        <v>0</v>
      </c>
      <c r="BH245">
        <v>0</v>
      </c>
      <c r="BJ245" t="s">
        <v>85</v>
      </c>
      <c r="BP245" t="s">
        <v>78</v>
      </c>
      <c r="BQ245" t="s">
        <v>78</v>
      </c>
      <c r="BR245" t="s">
        <v>78</v>
      </c>
    </row>
    <row r="246" customFormat="1" spans="1:70">
      <c r="A246" t="s">
        <v>1839</v>
      </c>
      <c r="B246" t="s">
        <v>1839</v>
      </c>
      <c r="C246" t="s">
        <v>107</v>
      </c>
      <c r="D246" t="s">
        <v>123</v>
      </c>
      <c r="E246">
        <v>1</v>
      </c>
      <c r="F246" t="s">
        <v>109</v>
      </c>
      <c r="G246" t="s">
        <v>124</v>
      </c>
      <c r="H246">
        <v>289</v>
      </c>
      <c r="I246">
        <v>253</v>
      </c>
      <c r="J246">
        <v>0</v>
      </c>
      <c r="K246">
        <v>36</v>
      </c>
      <c r="L246" t="s">
        <v>1633</v>
      </c>
      <c r="M246" t="s">
        <v>78</v>
      </c>
      <c r="N246" t="s">
        <v>78</v>
      </c>
      <c r="O246">
        <v>0</v>
      </c>
      <c r="P246">
        <v>0</v>
      </c>
      <c r="Q246">
        <v>0</v>
      </c>
      <c r="R246" t="s">
        <v>111</v>
      </c>
      <c r="S246">
        <v>0</v>
      </c>
      <c r="T246" t="s">
        <v>80</v>
      </c>
      <c r="U246" t="s">
        <v>80</v>
      </c>
      <c r="V246" t="s">
        <v>271</v>
      </c>
      <c r="W246" t="s">
        <v>717</v>
      </c>
      <c r="X246" t="s">
        <v>1634</v>
      </c>
      <c r="Y246" t="s">
        <v>1462</v>
      </c>
      <c r="Z246" t="s">
        <v>80</v>
      </c>
      <c r="AA246" t="s">
        <v>85</v>
      </c>
      <c r="AC246" t="s">
        <v>1840</v>
      </c>
      <c r="AD246" t="s">
        <v>87</v>
      </c>
      <c r="AG246" t="s">
        <v>1841</v>
      </c>
      <c r="AH246" t="s">
        <v>91</v>
      </c>
      <c r="AI246" t="s">
        <v>92</v>
      </c>
      <c r="AJ246" t="s">
        <v>131</v>
      </c>
      <c r="AK246" t="s">
        <v>1842</v>
      </c>
      <c r="AL246" t="s">
        <v>95</v>
      </c>
      <c r="AM246" t="s">
        <v>96</v>
      </c>
      <c r="AN246" t="s">
        <v>97</v>
      </c>
      <c r="AO246" t="s">
        <v>98</v>
      </c>
      <c r="AP246" t="s">
        <v>78</v>
      </c>
      <c r="AQ246" t="s">
        <v>99</v>
      </c>
      <c r="AS246" t="s">
        <v>78</v>
      </c>
      <c r="AT246" t="s">
        <v>100</v>
      </c>
      <c r="AU246" t="s">
        <v>100</v>
      </c>
      <c r="AW246" t="s">
        <v>85</v>
      </c>
      <c r="AX246" t="s">
        <v>101</v>
      </c>
      <c r="AY246" t="s">
        <v>102</v>
      </c>
      <c r="AZ246" t="s">
        <v>103</v>
      </c>
      <c r="BA246" t="s">
        <v>104</v>
      </c>
      <c r="BB246" t="s">
        <v>78</v>
      </c>
      <c r="BC246" t="s">
        <v>78</v>
      </c>
      <c r="BE246">
        <v>0</v>
      </c>
      <c r="BF246">
        <v>36</v>
      </c>
      <c r="BG246">
        <v>0</v>
      </c>
      <c r="BH246">
        <v>0</v>
      </c>
      <c r="BJ246" t="s">
        <v>85</v>
      </c>
      <c r="BP246" t="s">
        <v>78</v>
      </c>
      <c r="BQ246" t="s">
        <v>78</v>
      </c>
      <c r="BR246" t="s">
        <v>78</v>
      </c>
    </row>
    <row r="247" customFormat="1" spans="1:70">
      <c r="A247" t="s">
        <v>1843</v>
      </c>
      <c r="B247" t="s">
        <v>1843</v>
      </c>
      <c r="C247" t="s">
        <v>1092</v>
      </c>
      <c r="D247" t="s">
        <v>1391</v>
      </c>
      <c r="E247">
        <v>1</v>
      </c>
      <c r="F247" t="s">
        <v>1093</v>
      </c>
      <c r="G247" t="s">
        <v>1392</v>
      </c>
      <c r="H247">
        <v>289</v>
      </c>
      <c r="I247">
        <v>279</v>
      </c>
      <c r="J247">
        <v>0</v>
      </c>
      <c r="K247">
        <v>10</v>
      </c>
      <c r="L247" t="s">
        <v>1844</v>
      </c>
      <c r="M247" t="s">
        <v>78</v>
      </c>
      <c r="N247" t="s">
        <v>78</v>
      </c>
      <c r="O247">
        <v>0</v>
      </c>
      <c r="P247">
        <v>0</v>
      </c>
      <c r="Q247">
        <v>0</v>
      </c>
      <c r="R247" t="s">
        <v>125</v>
      </c>
      <c r="S247">
        <v>0</v>
      </c>
      <c r="T247" t="s">
        <v>80</v>
      </c>
      <c r="U247" t="s">
        <v>80</v>
      </c>
      <c r="V247" t="s">
        <v>302</v>
      </c>
      <c r="W247" t="s">
        <v>1845</v>
      </c>
      <c r="X247" t="s">
        <v>1846</v>
      </c>
      <c r="Y247" t="s">
        <v>1847</v>
      </c>
      <c r="Z247" t="s">
        <v>80</v>
      </c>
      <c r="AA247" t="s">
        <v>85</v>
      </c>
      <c r="AC247" t="s">
        <v>1848</v>
      </c>
      <c r="AD247" t="s">
        <v>87</v>
      </c>
      <c r="AF247" t="s">
        <v>1849</v>
      </c>
      <c r="AG247" t="s">
        <v>1850</v>
      </c>
      <c r="AH247" t="s">
        <v>91</v>
      </c>
      <c r="AI247" t="s">
        <v>92</v>
      </c>
      <c r="AJ247" t="s">
        <v>93</v>
      </c>
      <c r="AK247" t="s">
        <v>1851</v>
      </c>
      <c r="AL247" t="s">
        <v>95</v>
      </c>
      <c r="AM247" t="s">
        <v>96</v>
      </c>
      <c r="AN247" t="s">
        <v>97</v>
      </c>
      <c r="AO247" t="s">
        <v>98</v>
      </c>
      <c r="AP247" t="s">
        <v>78</v>
      </c>
      <c r="AQ247" t="s">
        <v>78</v>
      </c>
      <c r="AS247" t="s">
        <v>78</v>
      </c>
      <c r="AT247" t="s">
        <v>100</v>
      </c>
      <c r="AU247" t="s">
        <v>100</v>
      </c>
      <c r="AW247" t="s">
        <v>85</v>
      </c>
      <c r="AX247" t="s">
        <v>101</v>
      </c>
      <c r="AY247" t="s">
        <v>102</v>
      </c>
      <c r="AZ247" t="s">
        <v>103</v>
      </c>
      <c r="BA247" t="s">
        <v>133</v>
      </c>
      <c r="BB247" t="s">
        <v>78</v>
      </c>
      <c r="BC247" t="s">
        <v>78</v>
      </c>
      <c r="BD247" t="s">
        <v>1401</v>
      </c>
      <c r="BE247">
        <v>0</v>
      </c>
      <c r="BF247">
        <v>10</v>
      </c>
      <c r="BG247">
        <v>0</v>
      </c>
      <c r="BH247">
        <v>0</v>
      </c>
      <c r="BJ247" t="s">
        <v>85</v>
      </c>
      <c r="BP247" t="s">
        <v>78</v>
      </c>
      <c r="BQ247" t="s">
        <v>78</v>
      </c>
      <c r="BR247" t="s">
        <v>78</v>
      </c>
    </row>
    <row r="248" customFormat="1" spans="1:70">
      <c r="A248" t="s">
        <v>1852</v>
      </c>
      <c r="B248" t="s">
        <v>1852</v>
      </c>
      <c r="C248" t="s">
        <v>107</v>
      </c>
      <c r="D248" t="s">
        <v>123</v>
      </c>
      <c r="E248">
        <v>1</v>
      </c>
      <c r="F248" t="s">
        <v>109</v>
      </c>
      <c r="G248" t="s">
        <v>124</v>
      </c>
      <c r="H248">
        <v>289</v>
      </c>
      <c r="I248">
        <v>253</v>
      </c>
      <c r="J248">
        <v>0</v>
      </c>
      <c r="K248">
        <v>36</v>
      </c>
      <c r="L248" t="s">
        <v>1633</v>
      </c>
      <c r="M248" t="s">
        <v>78</v>
      </c>
      <c r="N248" t="s">
        <v>78</v>
      </c>
      <c r="O248">
        <v>0</v>
      </c>
      <c r="P248">
        <v>0</v>
      </c>
      <c r="Q248">
        <v>0</v>
      </c>
      <c r="R248" t="s">
        <v>111</v>
      </c>
      <c r="S248">
        <v>0</v>
      </c>
      <c r="T248" t="s">
        <v>80</v>
      </c>
      <c r="U248" t="s">
        <v>80</v>
      </c>
      <c r="V248" t="s">
        <v>271</v>
      </c>
      <c r="W248" t="s">
        <v>717</v>
      </c>
      <c r="X248" t="s">
        <v>1634</v>
      </c>
      <c r="Y248" t="s">
        <v>1462</v>
      </c>
      <c r="Z248" t="s">
        <v>80</v>
      </c>
      <c r="AA248" t="s">
        <v>85</v>
      </c>
      <c r="AC248" t="s">
        <v>1853</v>
      </c>
      <c r="AD248" t="s">
        <v>87</v>
      </c>
      <c r="AG248" t="s">
        <v>1854</v>
      </c>
      <c r="AH248" t="s">
        <v>91</v>
      </c>
      <c r="AI248" t="s">
        <v>92</v>
      </c>
      <c r="AJ248" t="s">
        <v>131</v>
      </c>
      <c r="AK248" t="s">
        <v>1855</v>
      </c>
      <c r="AL248" t="s">
        <v>95</v>
      </c>
      <c r="AM248" t="s">
        <v>96</v>
      </c>
      <c r="AN248" t="s">
        <v>97</v>
      </c>
      <c r="AO248" t="s">
        <v>98</v>
      </c>
      <c r="AP248" t="s">
        <v>78</v>
      </c>
      <c r="AQ248" t="s">
        <v>99</v>
      </c>
      <c r="AS248" t="s">
        <v>78</v>
      </c>
      <c r="AT248" t="s">
        <v>100</v>
      </c>
      <c r="AU248" t="s">
        <v>100</v>
      </c>
      <c r="AW248" t="s">
        <v>85</v>
      </c>
      <c r="AX248" t="s">
        <v>101</v>
      </c>
      <c r="AY248" t="s">
        <v>102</v>
      </c>
      <c r="AZ248" t="s">
        <v>103</v>
      </c>
      <c r="BA248" t="s">
        <v>683</v>
      </c>
      <c r="BB248" t="s">
        <v>78</v>
      </c>
      <c r="BC248" t="s">
        <v>78</v>
      </c>
      <c r="BE248">
        <v>0</v>
      </c>
      <c r="BF248">
        <v>36</v>
      </c>
      <c r="BG248">
        <v>0</v>
      </c>
      <c r="BH248">
        <v>0</v>
      </c>
      <c r="BJ248" t="s">
        <v>85</v>
      </c>
      <c r="BP248" t="s">
        <v>78</v>
      </c>
      <c r="BQ248" t="s">
        <v>78</v>
      </c>
      <c r="BR248" t="s">
        <v>78</v>
      </c>
    </row>
    <row r="249" customFormat="1" spans="1:70">
      <c r="A249" t="s">
        <v>1856</v>
      </c>
      <c r="B249" t="s">
        <v>1856</v>
      </c>
      <c r="C249" t="s">
        <v>107</v>
      </c>
      <c r="D249" t="s">
        <v>135</v>
      </c>
      <c r="E249">
        <v>1</v>
      </c>
      <c r="F249" t="s">
        <v>109</v>
      </c>
      <c r="G249" t="s">
        <v>136</v>
      </c>
      <c r="H249">
        <v>289</v>
      </c>
      <c r="I249">
        <v>289</v>
      </c>
      <c r="J249">
        <v>0</v>
      </c>
      <c r="K249">
        <v>0</v>
      </c>
      <c r="L249" t="s">
        <v>78</v>
      </c>
      <c r="M249" t="s">
        <v>78</v>
      </c>
      <c r="N249" t="s">
        <v>78</v>
      </c>
      <c r="O249">
        <v>0</v>
      </c>
      <c r="P249">
        <v>0</v>
      </c>
      <c r="Q249">
        <v>0</v>
      </c>
      <c r="R249" t="s">
        <v>79</v>
      </c>
      <c r="S249">
        <v>0</v>
      </c>
      <c r="T249" t="s">
        <v>80</v>
      </c>
      <c r="U249" t="s">
        <v>80</v>
      </c>
      <c r="V249" t="s">
        <v>112</v>
      </c>
      <c r="W249" t="s">
        <v>1207</v>
      </c>
      <c r="X249" t="s">
        <v>1207</v>
      </c>
      <c r="Y249" t="s">
        <v>1208</v>
      </c>
      <c r="Z249" t="s">
        <v>80</v>
      </c>
      <c r="AA249" t="s">
        <v>85</v>
      </c>
      <c r="AC249" t="s">
        <v>1857</v>
      </c>
      <c r="AD249" t="s">
        <v>87</v>
      </c>
      <c r="AG249" t="s">
        <v>1858</v>
      </c>
      <c r="AH249" t="s">
        <v>91</v>
      </c>
      <c r="AI249" t="s">
        <v>92</v>
      </c>
      <c r="AJ249" t="s">
        <v>131</v>
      </c>
      <c r="AK249" t="s">
        <v>1859</v>
      </c>
      <c r="AL249" t="s">
        <v>95</v>
      </c>
      <c r="AM249" t="s">
        <v>96</v>
      </c>
      <c r="AN249" t="s">
        <v>97</v>
      </c>
      <c r="AO249" t="s">
        <v>98</v>
      </c>
      <c r="AP249" t="s">
        <v>78</v>
      </c>
      <c r="AQ249" t="s">
        <v>99</v>
      </c>
      <c r="AS249" t="s">
        <v>78</v>
      </c>
      <c r="AT249" t="s">
        <v>100</v>
      </c>
      <c r="AU249" t="s">
        <v>100</v>
      </c>
      <c r="AW249" t="s">
        <v>85</v>
      </c>
      <c r="AX249" t="s">
        <v>101</v>
      </c>
      <c r="AY249" t="s">
        <v>102</v>
      </c>
      <c r="AZ249" t="s">
        <v>103</v>
      </c>
      <c r="BA249" t="s">
        <v>133</v>
      </c>
      <c r="BB249" t="s">
        <v>78</v>
      </c>
      <c r="BC249" t="s">
        <v>78</v>
      </c>
      <c r="BE249">
        <v>0</v>
      </c>
      <c r="BF249">
        <v>0</v>
      </c>
      <c r="BG249">
        <v>0</v>
      </c>
      <c r="BH249">
        <v>0</v>
      </c>
      <c r="BJ249" t="s">
        <v>85</v>
      </c>
      <c r="BP249" t="s">
        <v>78</v>
      </c>
      <c r="BQ249" t="s">
        <v>78</v>
      </c>
      <c r="BR249" t="s">
        <v>78</v>
      </c>
    </row>
    <row r="250" customFormat="1" spans="1:70">
      <c r="A250" t="s">
        <v>1860</v>
      </c>
      <c r="B250" t="s">
        <v>1860</v>
      </c>
      <c r="C250" t="s">
        <v>107</v>
      </c>
      <c r="D250" t="s">
        <v>108</v>
      </c>
      <c r="E250">
        <v>1</v>
      </c>
      <c r="F250" t="s">
        <v>109</v>
      </c>
      <c r="G250" t="s">
        <v>110</v>
      </c>
      <c r="H250">
        <v>289</v>
      </c>
      <c r="I250">
        <v>289</v>
      </c>
      <c r="J250">
        <v>0</v>
      </c>
      <c r="K250">
        <v>0</v>
      </c>
      <c r="L250" t="s">
        <v>78</v>
      </c>
      <c r="M250" t="s">
        <v>78</v>
      </c>
      <c r="N250" t="s">
        <v>78</v>
      </c>
      <c r="O250">
        <v>0</v>
      </c>
      <c r="P250">
        <v>0</v>
      </c>
      <c r="Q250">
        <v>0</v>
      </c>
      <c r="R250" t="s">
        <v>79</v>
      </c>
      <c r="S250">
        <v>0</v>
      </c>
      <c r="T250" t="s">
        <v>80</v>
      </c>
      <c r="U250" t="s">
        <v>80</v>
      </c>
      <c r="V250" t="s">
        <v>574</v>
      </c>
      <c r="W250" t="s">
        <v>574</v>
      </c>
      <c r="X250" t="s">
        <v>809</v>
      </c>
      <c r="Y250" t="s">
        <v>1861</v>
      </c>
      <c r="Z250" t="s">
        <v>80</v>
      </c>
      <c r="AA250" t="s">
        <v>85</v>
      </c>
      <c r="AC250" t="s">
        <v>1862</v>
      </c>
      <c r="AD250" t="s">
        <v>87</v>
      </c>
      <c r="AG250" t="s">
        <v>1863</v>
      </c>
      <c r="AH250" t="s">
        <v>91</v>
      </c>
      <c r="AI250" t="s">
        <v>92</v>
      </c>
      <c r="AJ250" t="s">
        <v>131</v>
      </c>
      <c r="AK250" t="s">
        <v>1864</v>
      </c>
      <c r="AL250" t="s">
        <v>95</v>
      </c>
      <c r="AM250" t="s">
        <v>96</v>
      </c>
      <c r="AN250" t="s">
        <v>97</v>
      </c>
      <c r="AO250" t="s">
        <v>98</v>
      </c>
      <c r="AP250" t="s">
        <v>78</v>
      </c>
      <c r="AQ250" t="s">
        <v>99</v>
      </c>
      <c r="AS250" t="s">
        <v>78</v>
      </c>
      <c r="AT250" t="s">
        <v>100</v>
      </c>
      <c r="AU250" t="s">
        <v>100</v>
      </c>
      <c r="AW250" t="s">
        <v>85</v>
      </c>
      <c r="AX250" t="s">
        <v>101</v>
      </c>
      <c r="AY250" t="s">
        <v>102</v>
      </c>
      <c r="AZ250" t="s">
        <v>103</v>
      </c>
      <c r="BA250" t="s">
        <v>133</v>
      </c>
      <c r="BB250" t="s">
        <v>78</v>
      </c>
      <c r="BC250" t="s">
        <v>78</v>
      </c>
      <c r="BE250">
        <v>0</v>
      </c>
      <c r="BF250">
        <v>0</v>
      </c>
      <c r="BG250">
        <v>0</v>
      </c>
      <c r="BH250">
        <v>0</v>
      </c>
      <c r="BJ250" t="s">
        <v>85</v>
      </c>
      <c r="BP250" t="s">
        <v>78</v>
      </c>
      <c r="BQ250" t="s">
        <v>78</v>
      </c>
      <c r="BR250" t="s">
        <v>78</v>
      </c>
    </row>
    <row r="251" customFormat="1" spans="1:70">
      <c r="A251" t="s">
        <v>1865</v>
      </c>
      <c r="B251" t="s">
        <v>1865</v>
      </c>
      <c r="C251" t="s">
        <v>107</v>
      </c>
      <c r="D251" t="s">
        <v>108</v>
      </c>
      <c r="E251">
        <v>1</v>
      </c>
      <c r="F251" t="s">
        <v>109</v>
      </c>
      <c r="G251" t="s">
        <v>110</v>
      </c>
      <c r="H251">
        <v>289</v>
      </c>
      <c r="I251">
        <v>289</v>
      </c>
      <c r="J251">
        <v>0</v>
      </c>
      <c r="K251">
        <v>0</v>
      </c>
      <c r="L251" t="s">
        <v>78</v>
      </c>
      <c r="M251" t="s">
        <v>78</v>
      </c>
      <c r="N251" t="s">
        <v>78</v>
      </c>
      <c r="O251">
        <v>0</v>
      </c>
      <c r="P251">
        <v>0</v>
      </c>
      <c r="Q251">
        <v>0</v>
      </c>
      <c r="R251" t="s">
        <v>111</v>
      </c>
      <c r="S251">
        <v>0</v>
      </c>
      <c r="T251" t="s">
        <v>80</v>
      </c>
      <c r="U251" t="s">
        <v>80</v>
      </c>
      <c r="V251" t="s">
        <v>509</v>
      </c>
      <c r="W251" t="s">
        <v>623</v>
      </c>
      <c r="X251" t="s">
        <v>1866</v>
      </c>
      <c r="Y251" t="s">
        <v>1867</v>
      </c>
      <c r="Z251" t="s">
        <v>80</v>
      </c>
      <c r="AA251" t="s">
        <v>85</v>
      </c>
      <c r="AC251" t="s">
        <v>1868</v>
      </c>
      <c r="AD251" t="s">
        <v>87</v>
      </c>
      <c r="AG251" t="s">
        <v>1869</v>
      </c>
      <c r="AH251" t="s">
        <v>91</v>
      </c>
      <c r="AI251" t="s">
        <v>92</v>
      </c>
      <c r="AJ251" t="s">
        <v>131</v>
      </c>
      <c r="AK251" t="s">
        <v>1870</v>
      </c>
      <c r="AL251" t="s">
        <v>95</v>
      </c>
      <c r="AM251" t="s">
        <v>96</v>
      </c>
      <c r="AN251" t="s">
        <v>97</v>
      </c>
      <c r="AO251" t="s">
        <v>98</v>
      </c>
      <c r="AP251" t="s">
        <v>78</v>
      </c>
      <c r="AQ251" t="s">
        <v>99</v>
      </c>
      <c r="AS251" t="s">
        <v>78</v>
      </c>
      <c r="AT251" t="s">
        <v>100</v>
      </c>
      <c r="AU251" t="s">
        <v>100</v>
      </c>
      <c r="AW251" t="s">
        <v>85</v>
      </c>
      <c r="AX251" t="s">
        <v>101</v>
      </c>
      <c r="AY251" t="s">
        <v>102</v>
      </c>
      <c r="AZ251" t="s">
        <v>103</v>
      </c>
      <c r="BA251" t="s">
        <v>133</v>
      </c>
      <c r="BB251" t="s">
        <v>78</v>
      </c>
      <c r="BC251" t="s">
        <v>78</v>
      </c>
      <c r="BE251">
        <v>0</v>
      </c>
      <c r="BF251">
        <v>0</v>
      </c>
      <c r="BG251">
        <v>0</v>
      </c>
      <c r="BH251">
        <v>0</v>
      </c>
      <c r="BJ251" t="s">
        <v>85</v>
      </c>
      <c r="BP251" t="s">
        <v>78</v>
      </c>
      <c r="BQ251" t="s">
        <v>78</v>
      </c>
      <c r="BR251" t="s">
        <v>78</v>
      </c>
    </row>
    <row r="252" customFormat="1" spans="1:70">
      <c r="A252" t="s">
        <v>1871</v>
      </c>
      <c r="B252" t="s">
        <v>1871</v>
      </c>
      <c r="C252" t="s">
        <v>107</v>
      </c>
      <c r="D252" t="s">
        <v>123</v>
      </c>
      <c r="E252">
        <v>1</v>
      </c>
      <c r="F252" t="s">
        <v>109</v>
      </c>
      <c r="G252" t="s">
        <v>124</v>
      </c>
      <c r="H252">
        <v>289</v>
      </c>
      <c r="I252">
        <v>289</v>
      </c>
      <c r="J252">
        <v>0</v>
      </c>
      <c r="K252">
        <v>0</v>
      </c>
      <c r="L252" t="s">
        <v>78</v>
      </c>
      <c r="M252" t="s">
        <v>78</v>
      </c>
      <c r="N252" t="s">
        <v>78</v>
      </c>
      <c r="O252">
        <v>0</v>
      </c>
      <c r="P252">
        <v>0</v>
      </c>
      <c r="Q252">
        <v>0</v>
      </c>
      <c r="R252" t="s">
        <v>125</v>
      </c>
      <c r="S252">
        <v>0</v>
      </c>
      <c r="T252" t="s">
        <v>80</v>
      </c>
      <c r="U252" t="s">
        <v>80</v>
      </c>
      <c r="V252" t="s">
        <v>271</v>
      </c>
      <c r="W252" t="s">
        <v>717</v>
      </c>
      <c r="X252" t="s">
        <v>1872</v>
      </c>
      <c r="Y252" t="s">
        <v>1873</v>
      </c>
      <c r="Z252" t="s">
        <v>80</v>
      </c>
      <c r="AA252" t="s">
        <v>85</v>
      </c>
      <c r="AC252" t="s">
        <v>1874</v>
      </c>
      <c r="AD252" t="s">
        <v>202</v>
      </c>
      <c r="AE252" t="s">
        <v>1875</v>
      </c>
      <c r="AG252" t="s">
        <v>1876</v>
      </c>
      <c r="AH252" t="s">
        <v>91</v>
      </c>
      <c r="AI252" t="s">
        <v>92</v>
      </c>
      <c r="AJ252" t="s">
        <v>131</v>
      </c>
      <c r="AK252" t="s">
        <v>1877</v>
      </c>
      <c r="AL252" t="s">
        <v>95</v>
      </c>
      <c r="AM252" t="s">
        <v>96</v>
      </c>
      <c r="AN252" t="s">
        <v>97</v>
      </c>
      <c r="AO252" t="s">
        <v>98</v>
      </c>
      <c r="AP252" t="s">
        <v>78</v>
      </c>
      <c r="AQ252" t="s">
        <v>99</v>
      </c>
      <c r="AS252" t="s">
        <v>78</v>
      </c>
      <c r="AT252" t="s">
        <v>100</v>
      </c>
      <c r="AU252" t="s">
        <v>100</v>
      </c>
      <c r="AW252" t="s">
        <v>85</v>
      </c>
      <c r="AX252" t="s">
        <v>101</v>
      </c>
      <c r="AY252" t="s">
        <v>102</v>
      </c>
      <c r="AZ252" t="s">
        <v>103</v>
      </c>
      <c r="BA252" t="s">
        <v>104</v>
      </c>
      <c r="BB252" t="s">
        <v>78</v>
      </c>
      <c r="BC252" t="s">
        <v>78</v>
      </c>
      <c r="BD252" t="s">
        <v>1878</v>
      </c>
      <c r="BE252">
        <v>0</v>
      </c>
      <c r="BF252">
        <v>0</v>
      </c>
      <c r="BG252">
        <v>0</v>
      </c>
      <c r="BH252">
        <v>0</v>
      </c>
      <c r="BJ252" t="s">
        <v>85</v>
      </c>
      <c r="BP252" t="s">
        <v>78</v>
      </c>
      <c r="BQ252" t="s">
        <v>78</v>
      </c>
      <c r="BR252" t="s">
        <v>78</v>
      </c>
    </row>
    <row r="253" customFormat="1" spans="1:70">
      <c r="A253" t="s">
        <v>1879</v>
      </c>
      <c r="B253" t="s">
        <v>1879</v>
      </c>
      <c r="C253" t="s">
        <v>107</v>
      </c>
      <c r="D253" t="s">
        <v>135</v>
      </c>
      <c r="E253">
        <v>1</v>
      </c>
      <c r="F253" t="s">
        <v>109</v>
      </c>
      <c r="G253" t="s">
        <v>136</v>
      </c>
      <c r="H253">
        <v>289</v>
      </c>
      <c r="I253">
        <v>289</v>
      </c>
      <c r="J253">
        <v>0</v>
      </c>
      <c r="K253">
        <v>0</v>
      </c>
      <c r="L253" t="s">
        <v>78</v>
      </c>
      <c r="M253" t="s">
        <v>78</v>
      </c>
      <c r="N253" t="s">
        <v>78</v>
      </c>
      <c r="O253">
        <v>0</v>
      </c>
      <c r="P253">
        <v>0</v>
      </c>
      <c r="Q253">
        <v>0</v>
      </c>
      <c r="R253" t="s">
        <v>125</v>
      </c>
      <c r="S253">
        <v>0</v>
      </c>
      <c r="T253" t="s">
        <v>80</v>
      </c>
      <c r="U253" t="s">
        <v>80</v>
      </c>
      <c r="V253" t="s">
        <v>126</v>
      </c>
      <c r="W253" t="s">
        <v>377</v>
      </c>
      <c r="X253" t="s">
        <v>378</v>
      </c>
      <c r="Y253" t="s">
        <v>1027</v>
      </c>
      <c r="Z253" t="s">
        <v>80</v>
      </c>
      <c r="AA253" t="s">
        <v>85</v>
      </c>
      <c r="AC253" t="s">
        <v>1880</v>
      </c>
      <c r="AD253" t="s">
        <v>87</v>
      </c>
      <c r="AG253" t="s">
        <v>1881</v>
      </c>
      <c r="AH253" t="s">
        <v>91</v>
      </c>
      <c r="AI253" t="s">
        <v>216</v>
      </c>
      <c r="AJ253" t="s">
        <v>131</v>
      </c>
      <c r="AK253" t="s">
        <v>1882</v>
      </c>
      <c r="AL253" t="s">
        <v>95</v>
      </c>
      <c r="AM253" t="s">
        <v>96</v>
      </c>
      <c r="AN253" t="s">
        <v>96</v>
      </c>
      <c r="AP253" t="s">
        <v>78</v>
      </c>
      <c r="AQ253" t="s">
        <v>99</v>
      </c>
      <c r="AS253" t="s">
        <v>78</v>
      </c>
      <c r="AT253" t="s">
        <v>100</v>
      </c>
      <c r="AU253" t="s">
        <v>100</v>
      </c>
      <c r="AW253" t="s">
        <v>85</v>
      </c>
      <c r="AX253" t="s">
        <v>101</v>
      </c>
      <c r="AY253" t="s">
        <v>102</v>
      </c>
      <c r="AZ253" t="s">
        <v>145</v>
      </c>
      <c r="BA253" t="s">
        <v>525</v>
      </c>
      <c r="BB253" t="s">
        <v>78</v>
      </c>
      <c r="BC253" t="s">
        <v>78</v>
      </c>
      <c r="BE253">
        <v>0</v>
      </c>
      <c r="BF253">
        <v>0</v>
      </c>
      <c r="BG253">
        <v>0</v>
      </c>
      <c r="BH253">
        <v>0</v>
      </c>
      <c r="BJ253" t="s">
        <v>85</v>
      </c>
      <c r="BP253" t="s">
        <v>78</v>
      </c>
      <c r="BQ253" t="s">
        <v>78</v>
      </c>
      <c r="BR253" t="s">
        <v>78</v>
      </c>
    </row>
    <row r="254" customFormat="1" spans="1:70">
      <c r="A254" t="s">
        <v>1883</v>
      </c>
      <c r="B254" t="s">
        <v>1883</v>
      </c>
      <c r="C254" t="s">
        <v>1126</v>
      </c>
      <c r="D254" t="s">
        <v>1127</v>
      </c>
      <c r="E254">
        <v>1</v>
      </c>
      <c r="F254" t="s">
        <v>1128</v>
      </c>
      <c r="G254" t="s">
        <v>1129</v>
      </c>
      <c r="H254">
        <v>249</v>
      </c>
      <c r="I254">
        <v>249</v>
      </c>
      <c r="J254">
        <v>0</v>
      </c>
      <c r="K254">
        <v>0</v>
      </c>
      <c r="L254" t="s">
        <v>78</v>
      </c>
      <c r="M254" t="s">
        <v>78</v>
      </c>
      <c r="N254" t="s">
        <v>78</v>
      </c>
      <c r="O254">
        <v>0</v>
      </c>
      <c r="P254">
        <v>0</v>
      </c>
      <c r="Q254">
        <v>0</v>
      </c>
      <c r="R254" t="s">
        <v>111</v>
      </c>
      <c r="S254">
        <v>0</v>
      </c>
      <c r="T254" t="s">
        <v>80</v>
      </c>
      <c r="U254" t="s">
        <v>80</v>
      </c>
      <c r="V254" t="s">
        <v>271</v>
      </c>
      <c r="W254" t="s">
        <v>939</v>
      </c>
      <c r="X254" t="s">
        <v>940</v>
      </c>
      <c r="Y254" t="s">
        <v>1884</v>
      </c>
      <c r="Z254" t="s">
        <v>80</v>
      </c>
      <c r="AA254" t="s">
        <v>85</v>
      </c>
      <c r="AC254" t="s">
        <v>1885</v>
      </c>
      <c r="AD254" t="s">
        <v>87</v>
      </c>
      <c r="AH254" t="s">
        <v>227</v>
      </c>
      <c r="AI254" t="s">
        <v>92</v>
      </c>
      <c r="AJ254" t="s">
        <v>131</v>
      </c>
      <c r="AK254" t="s">
        <v>1886</v>
      </c>
      <c r="AL254" t="s">
        <v>95</v>
      </c>
      <c r="AM254" t="s">
        <v>96</v>
      </c>
      <c r="AN254" t="s">
        <v>97</v>
      </c>
      <c r="AO254" t="s">
        <v>98</v>
      </c>
      <c r="AP254" t="s">
        <v>78</v>
      </c>
      <c r="AQ254" t="s">
        <v>78</v>
      </c>
      <c r="AR254" t="s">
        <v>353</v>
      </c>
      <c r="AS254" t="s">
        <v>78</v>
      </c>
      <c r="AT254" t="s">
        <v>100</v>
      </c>
      <c r="AU254" t="s">
        <v>100</v>
      </c>
      <c r="AW254" t="s">
        <v>85</v>
      </c>
      <c r="AX254" t="s">
        <v>101</v>
      </c>
      <c r="AY254" t="s">
        <v>102</v>
      </c>
      <c r="AZ254" t="s">
        <v>103</v>
      </c>
      <c r="BA254" t="s">
        <v>133</v>
      </c>
      <c r="BB254" t="s">
        <v>78</v>
      </c>
      <c r="BC254" t="s">
        <v>78</v>
      </c>
      <c r="BE254">
        <v>0</v>
      </c>
      <c r="BF254">
        <v>0</v>
      </c>
      <c r="BG254">
        <v>0</v>
      </c>
      <c r="BH254">
        <v>0</v>
      </c>
      <c r="BJ254" t="s">
        <v>85</v>
      </c>
      <c r="BP254" t="s">
        <v>78</v>
      </c>
      <c r="BQ254" t="s">
        <v>78</v>
      </c>
      <c r="BR254" t="s">
        <v>78</v>
      </c>
    </row>
    <row r="255" customFormat="1" spans="1:70">
      <c r="A255" t="s">
        <v>1887</v>
      </c>
      <c r="B255" t="s">
        <v>1887</v>
      </c>
      <c r="C255" t="s">
        <v>1126</v>
      </c>
      <c r="D255" t="s">
        <v>187</v>
      </c>
      <c r="E255">
        <v>1</v>
      </c>
      <c r="F255" t="s">
        <v>1128</v>
      </c>
      <c r="G255" t="s">
        <v>1205</v>
      </c>
      <c r="H255">
        <v>249</v>
      </c>
      <c r="I255">
        <v>249</v>
      </c>
      <c r="J255">
        <v>0</v>
      </c>
      <c r="K255">
        <v>0</v>
      </c>
      <c r="L255" t="s">
        <v>78</v>
      </c>
      <c r="M255" t="s">
        <v>78</v>
      </c>
      <c r="N255" t="s">
        <v>78</v>
      </c>
      <c r="O255">
        <v>0</v>
      </c>
      <c r="P255">
        <v>0</v>
      </c>
      <c r="Q255">
        <v>0</v>
      </c>
      <c r="R255" t="s">
        <v>111</v>
      </c>
      <c r="S255">
        <v>0</v>
      </c>
      <c r="T255" t="s">
        <v>80</v>
      </c>
      <c r="U255" t="s">
        <v>80</v>
      </c>
      <c r="V255" t="s">
        <v>509</v>
      </c>
      <c r="W255" t="s">
        <v>1696</v>
      </c>
      <c r="X255" t="s">
        <v>1888</v>
      </c>
      <c r="Y255" t="s">
        <v>1889</v>
      </c>
      <c r="Z255" t="s">
        <v>80</v>
      </c>
      <c r="AA255" t="s">
        <v>85</v>
      </c>
      <c r="AC255" t="s">
        <v>1890</v>
      </c>
      <c r="AD255" t="s">
        <v>87</v>
      </c>
      <c r="AG255" t="s">
        <v>1891</v>
      </c>
      <c r="AH255" t="s">
        <v>91</v>
      </c>
      <c r="AI255" t="s">
        <v>92</v>
      </c>
      <c r="AJ255" t="s">
        <v>131</v>
      </c>
      <c r="AK255" t="s">
        <v>1892</v>
      </c>
      <c r="AL255" t="s">
        <v>95</v>
      </c>
      <c r="AM255" t="s">
        <v>96</v>
      </c>
      <c r="AN255" t="s">
        <v>97</v>
      </c>
      <c r="AO255" t="s">
        <v>98</v>
      </c>
      <c r="AP255" t="s">
        <v>78</v>
      </c>
      <c r="AQ255" t="s">
        <v>99</v>
      </c>
      <c r="AS255" t="s">
        <v>78</v>
      </c>
      <c r="AT255" t="s">
        <v>100</v>
      </c>
      <c r="AU255" t="s">
        <v>100</v>
      </c>
      <c r="AW255" t="s">
        <v>85</v>
      </c>
      <c r="AX255" t="s">
        <v>101</v>
      </c>
      <c r="AY255" t="s">
        <v>102</v>
      </c>
      <c r="AZ255" t="s">
        <v>103</v>
      </c>
      <c r="BA255" t="s">
        <v>104</v>
      </c>
      <c r="BB255" t="s">
        <v>78</v>
      </c>
      <c r="BC255" t="s">
        <v>78</v>
      </c>
      <c r="BE255">
        <v>0</v>
      </c>
      <c r="BF255">
        <v>0</v>
      </c>
      <c r="BG255">
        <v>0</v>
      </c>
      <c r="BH255">
        <v>0</v>
      </c>
      <c r="BJ255" t="s">
        <v>85</v>
      </c>
      <c r="BP255" t="s">
        <v>78</v>
      </c>
      <c r="BQ255" t="s">
        <v>78</v>
      </c>
      <c r="BR255" t="s">
        <v>78</v>
      </c>
    </row>
    <row r="256" customFormat="1" spans="1:70">
      <c r="A256" t="s">
        <v>1893</v>
      </c>
      <c r="B256" t="s">
        <v>1893</v>
      </c>
      <c r="C256" t="s">
        <v>1126</v>
      </c>
      <c r="D256" t="s">
        <v>1127</v>
      </c>
      <c r="E256">
        <v>1</v>
      </c>
      <c r="F256" t="s">
        <v>1128</v>
      </c>
      <c r="G256" t="s">
        <v>1129</v>
      </c>
      <c r="H256">
        <v>249</v>
      </c>
      <c r="I256">
        <v>249</v>
      </c>
      <c r="J256">
        <v>0</v>
      </c>
      <c r="K256">
        <v>0</v>
      </c>
      <c r="L256" t="s">
        <v>78</v>
      </c>
      <c r="M256" t="s">
        <v>78</v>
      </c>
      <c r="N256" t="s">
        <v>78</v>
      </c>
      <c r="O256">
        <v>0</v>
      </c>
      <c r="P256">
        <v>0</v>
      </c>
      <c r="Q256">
        <v>0</v>
      </c>
      <c r="R256" t="s">
        <v>125</v>
      </c>
      <c r="S256">
        <v>0</v>
      </c>
      <c r="T256" t="s">
        <v>80</v>
      </c>
      <c r="U256" t="s">
        <v>80</v>
      </c>
      <c r="V256" t="s">
        <v>126</v>
      </c>
      <c r="W256" t="s">
        <v>518</v>
      </c>
      <c r="X256" t="s">
        <v>979</v>
      </c>
      <c r="Y256" t="s">
        <v>1352</v>
      </c>
      <c r="Z256" t="s">
        <v>80</v>
      </c>
      <c r="AA256" t="s">
        <v>85</v>
      </c>
      <c r="AC256" t="s">
        <v>1894</v>
      </c>
      <c r="AD256" t="s">
        <v>87</v>
      </c>
      <c r="AG256" t="s">
        <v>1890</v>
      </c>
      <c r="AH256" t="s">
        <v>227</v>
      </c>
      <c r="AI256" t="s">
        <v>92</v>
      </c>
      <c r="AJ256" t="s">
        <v>131</v>
      </c>
      <c r="AK256" t="s">
        <v>1895</v>
      </c>
      <c r="AL256" t="s">
        <v>95</v>
      </c>
      <c r="AM256" t="s">
        <v>96</v>
      </c>
      <c r="AN256" t="s">
        <v>97</v>
      </c>
      <c r="AO256" t="s">
        <v>98</v>
      </c>
      <c r="AP256" t="s">
        <v>78</v>
      </c>
      <c r="AQ256" t="s">
        <v>99</v>
      </c>
      <c r="AS256" t="s">
        <v>78</v>
      </c>
      <c r="AT256" t="s">
        <v>100</v>
      </c>
      <c r="AU256" t="s">
        <v>100</v>
      </c>
      <c r="AW256" t="s">
        <v>85</v>
      </c>
      <c r="AX256" t="s">
        <v>101</v>
      </c>
      <c r="AY256" t="s">
        <v>102</v>
      </c>
      <c r="AZ256" t="s">
        <v>103</v>
      </c>
      <c r="BA256" t="s">
        <v>104</v>
      </c>
      <c r="BB256" t="s">
        <v>78</v>
      </c>
      <c r="BC256" t="s">
        <v>78</v>
      </c>
      <c r="BE256">
        <v>0</v>
      </c>
      <c r="BF256">
        <v>0</v>
      </c>
      <c r="BG256">
        <v>0</v>
      </c>
      <c r="BH256">
        <v>0</v>
      </c>
      <c r="BJ256" t="s">
        <v>85</v>
      </c>
      <c r="BP256" t="s">
        <v>78</v>
      </c>
      <c r="BQ256" t="s">
        <v>78</v>
      </c>
      <c r="BR256" t="s">
        <v>78</v>
      </c>
    </row>
    <row r="257" customFormat="1" spans="1:70">
      <c r="A257" t="s">
        <v>1896</v>
      </c>
      <c r="B257" t="s">
        <v>1896</v>
      </c>
      <c r="C257" t="s">
        <v>1126</v>
      </c>
      <c r="D257" t="s">
        <v>187</v>
      </c>
      <c r="E257">
        <v>1</v>
      </c>
      <c r="F257" t="s">
        <v>1128</v>
      </c>
      <c r="G257" t="s">
        <v>1205</v>
      </c>
      <c r="H257">
        <v>249</v>
      </c>
      <c r="I257">
        <v>249</v>
      </c>
      <c r="J257">
        <v>0</v>
      </c>
      <c r="K257">
        <v>0</v>
      </c>
      <c r="L257" t="s">
        <v>78</v>
      </c>
      <c r="M257" t="s">
        <v>78</v>
      </c>
      <c r="N257" t="s">
        <v>78</v>
      </c>
      <c r="O257">
        <v>0</v>
      </c>
      <c r="P257">
        <v>0</v>
      </c>
      <c r="Q257">
        <v>0</v>
      </c>
      <c r="R257" t="s">
        <v>111</v>
      </c>
      <c r="S257">
        <v>0</v>
      </c>
      <c r="T257" t="s">
        <v>80</v>
      </c>
      <c r="U257" t="s">
        <v>80</v>
      </c>
      <c r="V257" t="s">
        <v>302</v>
      </c>
      <c r="W257" t="s">
        <v>303</v>
      </c>
      <c r="X257" t="s">
        <v>310</v>
      </c>
      <c r="Y257" t="s">
        <v>311</v>
      </c>
      <c r="Z257" t="s">
        <v>80</v>
      </c>
      <c r="AA257" t="s">
        <v>85</v>
      </c>
      <c r="AC257" t="s">
        <v>1897</v>
      </c>
      <c r="AD257" t="s">
        <v>87</v>
      </c>
      <c r="AG257" t="s">
        <v>1890</v>
      </c>
      <c r="AH257" t="s">
        <v>91</v>
      </c>
      <c r="AI257" t="s">
        <v>92</v>
      </c>
      <c r="AJ257" t="s">
        <v>131</v>
      </c>
      <c r="AK257" t="s">
        <v>1895</v>
      </c>
      <c r="AL257" t="s">
        <v>95</v>
      </c>
      <c r="AM257" t="s">
        <v>96</v>
      </c>
      <c r="AN257" t="s">
        <v>97</v>
      </c>
      <c r="AO257" t="s">
        <v>98</v>
      </c>
      <c r="AP257" t="s">
        <v>78</v>
      </c>
      <c r="AQ257" t="s">
        <v>99</v>
      </c>
      <c r="AS257" t="s">
        <v>78</v>
      </c>
      <c r="AT257" t="s">
        <v>100</v>
      </c>
      <c r="AU257" t="s">
        <v>100</v>
      </c>
      <c r="AW257" t="s">
        <v>85</v>
      </c>
      <c r="AX257" t="s">
        <v>101</v>
      </c>
      <c r="AY257" t="s">
        <v>102</v>
      </c>
      <c r="AZ257" t="s">
        <v>103</v>
      </c>
      <c r="BA257" t="s">
        <v>245</v>
      </c>
      <c r="BB257" t="s">
        <v>78</v>
      </c>
      <c r="BC257" t="s">
        <v>78</v>
      </c>
      <c r="BE257">
        <v>0</v>
      </c>
      <c r="BF257">
        <v>0</v>
      </c>
      <c r="BG257">
        <v>0</v>
      </c>
      <c r="BH257">
        <v>0</v>
      </c>
      <c r="BJ257" t="s">
        <v>85</v>
      </c>
      <c r="BP257" t="s">
        <v>78</v>
      </c>
      <c r="BQ257" t="s">
        <v>78</v>
      </c>
      <c r="BR257" t="s">
        <v>78</v>
      </c>
    </row>
    <row r="258" customFormat="1" spans="1:70">
      <c r="A258" t="s">
        <v>1898</v>
      </c>
      <c r="B258" t="s">
        <v>1898</v>
      </c>
      <c r="C258" t="s">
        <v>1126</v>
      </c>
      <c r="D258" t="s">
        <v>1504</v>
      </c>
      <c r="E258">
        <v>1</v>
      </c>
      <c r="F258" t="s">
        <v>1128</v>
      </c>
      <c r="G258" t="s">
        <v>1505</v>
      </c>
      <c r="H258">
        <v>249</v>
      </c>
      <c r="I258">
        <v>249</v>
      </c>
      <c r="J258">
        <v>0</v>
      </c>
      <c r="K258">
        <v>0</v>
      </c>
      <c r="L258" t="s">
        <v>78</v>
      </c>
      <c r="M258" t="s">
        <v>78</v>
      </c>
      <c r="N258" t="s">
        <v>78</v>
      </c>
      <c r="O258">
        <v>0</v>
      </c>
      <c r="P258">
        <v>0</v>
      </c>
      <c r="Q258">
        <v>0</v>
      </c>
      <c r="R258" t="s">
        <v>125</v>
      </c>
      <c r="S258">
        <v>0</v>
      </c>
      <c r="T258" t="s">
        <v>80</v>
      </c>
      <c r="U258" t="s">
        <v>80</v>
      </c>
      <c r="V258" t="s">
        <v>161</v>
      </c>
      <c r="W258" t="s">
        <v>161</v>
      </c>
      <c r="X258" t="s">
        <v>1899</v>
      </c>
      <c r="Y258" t="s">
        <v>1900</v>
      </c>
      <c r="Z258" t="s">
        <v>80</v>
      </c>
      <c r="AA258" t="s">
        <v>85</v>
      </c>
      <c r="AC258" t="s">
        <v>1901</v>
      </c>
      <c r="AD258" t="s">
        <v>202</v>
      </c>
      <c r="AE258" t="s">
        <v>1902</v>
      </c>
      <c r="AG258" t="s">
        <v>1903</v>
      </c>
      <c r="AH258" t="s">
        <v>91</v>
      </c>
      <c r="AI258" t="s">
        <v>92</v>
      </c>
      <c r="AJ258" t="s">
        <v>131</v>
      </c>
      <c r="AK258" t="s">
        <v>1904</v>
      </c>
      <c r="AL258" t="s">
        <v>95</v>
      </c>
      <c r="AM258" t="s">
        <v>96</v>
      </c>
      <c r="AN258" t="s">
        <v>97</v>
      </c>
      <c r="AO258" t="s">
        <v>98</v>
      </c>
      <c r="AP258" t="s">
        <v>78</v>
      </c>
      <c r="AQ258" t="s">
        <v>99</v>
      </c>
      <c r="AS258" t="s">
        <v>78</v>
      </c>
      <c r="AT258" t="s">
        <v>100</v>
      </c>
      <c r="AU258" t="s">
        <v>100</v>
      </c>
      <c r="AW258" t="s">
        <v>85</v>
      </c>
      <c r="AX258" t="s">
        <v>101</v>
      </c>
      <c r="AY258" t="s">
        <v>102</v>
      </c>
      <c r="AZ258" t="s">
        <v>103</v>
      </c>
      <c r="BA258" t="s">
        <v>133</v>
      </c>
      <c r="BB258" t="s">
        <v>78</v>
      </c>
      <c r="BC258" t="s">
        <v>78</v>
      </c>
      <c r="BD258" t="s">
        <v>1905</v>
      </c>
      <c r="BE258">
        <v>0</v>
      </c>
      <c r="BF258">
        <v>0</v>
      </c>
      <c r="BG258">
        <v>0</v>
      </c>
      <c r="BH258">
        <v>0</v>
      </c>
      <c r="BJ258" t="s">
        <v>85</v>
      </c>
      <c r="BP258" t="s">
        <v>78</v>
      </c>
      <c r="BQ258" t="s">
        <v>78</v>
      </c>
      <c r="BR258" t="s">
        <v>78</v>
      </c>
    </row>
    <row r="259" customFormat="1" spans="1:70">
      <c r="A259" t="s">
        <v>1906</v>
      </c>
      <c r="B259" t="s">
        <v>1906</v>
      </c>
      <c r="C259" t="s">
        <v>1126</v>
      </c>
      <c r="D259" t="s">
        <v>187</v>
      </c>
      <c r="E259">
        <v>1</v>
      </c>
      <c r="F259" t="s">
        <v>1128</v>
      </c>
      <c r="G259" t="s">
        <v>1205</v>
      </c>
      <c r="H259">
        <v>249</v>
      </c>
      <c r="I259">
        <v>249</v>
      </c>
      <c r="J259">
        <v>0</v>
      </c>
      <c r="K259">
        <v>0</v>
      </c>
      <c r="L259" t="s">
        <v>78</v>
      </c>
      <c r="M259" t="s">
        <v>78</v>
      </c>
      <c r="N259" t="s">
        <v>78</v>
      </c>
      <c r="O259">
        <v>0</v>
      </c>
      <c r="P259">
        <v>0</v>
      </c>
      <c r="Q259">
        <v>0</v>
      </c>
      <c r="R259" t="s">
        <v>111</v>
      </c>
      <c r="S259">
        <v>0</v>
      </c>
      <c r="T259" t="s">
        <v>80</v>
      </c>
      <c r="U259" t="s">
        <v>80</v>
      </c>
      <c r="V259" t="s">
        <v>161</v>
      </c>
      <c r="W259" t="s">
        <v>161</v>
      </c>
      <c r="X259" t="s">
        <v>1243</v>
      </c>
      <c r="Y259" t="s">
        <v>1580</v>
      </c>
      <c r="Z259" t="s">
        <v>80</v>
      </c>
      <c r="AA259" t="s">
        <v>85</v>
      </c>
      <c r="AC259" t="s">
        <v>1907</v>
      </c>
      <c r="AD259" t="s">
        <v>87</v>
      </c>
      <c r="AG259" t="s">
        <v>1908</v>
      </c>
      <c r="AH259" t="s">
        <v>91</v>
      </c>
      <c r="AI259" t="s">
        <v>92</v>
      </c>
      <c r="AJ259" t="s">
        <v>131</v>
      </c>
      <c r="AK259" t="s">
        <v>1909</v>
      </c>
      <c r="AL259" t="s">
        <v>95</v>
      </c>
      <c r="AM259" t="s">
        <v>96</v>
      </c>
      <c r="AN259" t="s">
        <v>97</v>
      </c>
      <c r="AO259" t="s">
        <v>98</v>
      </c>
      <c r="AP259" t="s">
        <v>78</v>
      </c>
      <c r="AQ259" t="s">
        <v>99</v>
      </c>
      <c r="AS259" t="s">
        <v>78</v>
      </c>
      <c r="AT259" t="s">
        <v>100</v>
      </c>
      <c r="AU259" t="s">
        <v>100</v>
      </c>
      <c r="AW259" t="s">
        <v>85</v>
      </c>
      <c r="AX259" t="s">
        <v>101</v>
      </c>
      <c r="AY259" t="s">
        <v>102</v>
      </c>
      <c r="AZ259" t="s">
        <v>103</v>
      </c>
      <c r="BA259" t="s">
        <v>133</v>
      </c>
      <c r="BB259" t="s">
        <v>78</v>
      </c>
      <c r="BC259" t="s">
        <v>78</v>
      </c>
      <c r="BE259">
        <v>0</v>
      </c>
      <c r="BF259">
        <v>0</v>
      </c>
      <c r="BG259">
        <v>0</v>
      </c>
      <c r="BH259">
        <v>0</v>
      </c>
      <c r="BJ259" t="s">
        <v>85</v>
      </c>
      <c r="BP259" t="s">
        <v>78</v>
      </c>
      <c r="BQ259" t="s">
        <v>78</v>
      </c>
      <c r="BR259" t="s">
        <v>78</v>
      </c>
    </row>
    <row r="260" customFormat="1" spans="1:70">
      <c r="A260" t="s">
        <v>1910</v>
      </c>
      <c r="B260" t="s">
        <v>1910</v>
      </c>
      <c r="C260" t="s">
        <v>1126</v>
      </c>
      <c r="D260" t="s">
        <v>1127</v>
      </c>
      <c r="E260">
        <v>1</v>
      </c>
      <c r="F260" t="s">
        <v>1128</v>
      </c>
      <c r="G260" t="s">
        <v>1129</v>
      </c>
      <c r="H260">
        <v>249</v>
      </c>
      <c r="I260">
        <v>249</v>
      </c>
      <c r="J260">
        <v>0</v>
      </c>
      <c r="K260">
        <v>0</v>
      </c>
      <c r="L260" t="s">
        <v>78</v>
      </c>
      <c r="M260" t="s">
        <v>78</v>
      </c>
      <c r="N260" t="s">
        <v>78</v>
      </c>
      <c r="O260">
        <v>0</v>
      </c>
      <c r="P260">
        <v>0</v>
      </c>
      <c r="Q260">
        <v>0</v>
      </c>
      <c r="R260" t="s">
        <v>79</v>
      </c>
      <c r="S260">
        <v>0</v>
      </c>
      <c r="T260" t="s">
        <v>80</v>
      </c>
      <c r="U260" t="s">
        <v>80</v>
      </c>
      <c r="V260" t="s">
        <v>676</v>
      </c>
      <c r="W260" t="s">
        <v>1911</v>
      </c>
      <c r="X260" t="s">
        <v>1912</v>
      </c>
      <c r="Y260" t="s">
        <v>1913</v>
      </c>
      <c r="Z260" t="s">
        <v>80</v>
      </c>
      <c r="AA260" t="s">
        <v>85</v>
      </c>
      <c r="AC260" t="s">
        <v>1914</v>
      </c>
      <c r="AD260" t="s">
        <v>87</v>
      </c>
      <c r="AF260" t="s">
        <v>1915</v>
      </c>
      <c r="AG260" t="s">
        <v>1916</v>
      </c>
      <c r="AH260" t="s">
        <v>91</v>
      </c>
      <c r="AI260" t="s">
        <v>92</v>
      </c>
      <c r="AJ260" t="s">
        <v>93</v>
      </c>
      <c r="AK260" t="s">
        <v>1917</v>
      </c>
      <c r="AL260" t="s">
        <v>95</v>
      </c>
      <c r="AM260" t="s">
        <v>96</v>
      </c>
      <c r="AN260" t="s">
        <v>97</v>
      </c>
      <c r="AO260" t="s">
        <v>98</v>
      </c>
      <c r="AP260" t="s">
        <v>78</v>
      </c>
      <c r="AQ260" t="s">
        <v>78</v>
      </c>
      <c r="AS260" t="s">
        <v>78</v>
      </c>
      <c r="AT260" t="s">
        <v>100</v>
      </c>
      <c r="AU260" t="s">
        <v>100</v>
      </c>
      <c r="AW260" t="s">
        <v>85</v>
      </c>
      <c r="AX260" t="s">
        <v>103</v>
      </c>
      <c r="AY260" t="s">
        <v>159</v>
      </c>
      <c r="AZ260" t="s">
        <v>103</v>
      </c>
      <c r="BA260" t="s">
        <v>218</v>
      </c>
      <c r="BB260" t="s">
        <v>78</v>
      </c>
      <c r="BC260" t="s">
        <v>78</v>
      </c>
      <c r="BD260" t="s">
        <v>1918</v>
      </c>
      <c r="BE260">
        <v>0</v>
      </c>
      <c r="BF260">
        <v>0</v>
      </c>
      <c r="BG260">
        <v>0</v>
      </c>
      <c r="BH260">
        <v>0</v>
      </c>
      <c r="BJ260" t="s">
        <v>85</v>
      </c>
      <c r="BP260" t="s">
        <v>78</v>
      </c>
      <c r="BQ260" t="s">
        <v>78</v>
      </c>
      <c r="BR260" t="s">
        <v>78</v>
      </c>
    </row>
    <row r="261" customFormat="1" spans="1:70">
      <c r="A261" t="s">
        <v>1919</v>
      </c>
      <c r="B261" t="s">
        <v>1919</v>
      </c>
      <c r="C261" t="s">
        <v>1126</v>
      </c>
      <c r="D261" t="s">
        <v>1127</v>
      </c>
      <c r="E261">
        <v>1</v>
      </c>
      <c r="F261" t="s">
        <v>1128</v>
      </c>
      <c r="G261" t="s">
        <v>1129</v>
      </c>
      <c r="H261">
        <v>249</v>
      </c>
      <c r="I261">
        <v>249</v>
      </c>
      <c r="J261">
        <v>0</v>
      </c>
      <c r="K261">
        <v>0</v>
      </c>
      <c r="L261" t="s">
        <v>78</v>
      </c>
      <c r="M261" t="s">
        <v>78</v>
      </c>
      <c r="N261" t="s">
        <v>78</v>
      </c>
      <c r="O261">
        <v>0</v>
      </c>
      <c r="P261">
        <v>0</v>
      </c>
      <c r="Q261">
        <v>0</v>
      </c>
      <c r="R261" t="s">
        <v>125</v>
      </c>
      <c r="S261">
        <v>0</v>
      </c>
      <c r="T261" t="s">
        <v>80</v>
      </c>
      <c r="U261" t="s">
        <v>80</v>
      </c>
      <c r="V261" t="s">
        <v>152</v>
      </c>
      <c r="W261" t="s">
        <v>1920</v>
      </c>
      <c r="X261" t="s">
        <v>1921</v>
      </c>
      <c r="Y261" t="s">
        <v>1922</v>
      </c>
      <c r="Z261" t="s">
        <v>80</v>
      </c>
      <c r="AA261" t="s">
        <v>85</v>
      </c>
      <c r="AC261" t="s">
        <v>1923</v>
      </c>
      <c r="AD261" t="s">
        <v>87</v>
      </c>
      <c r="AG261" t="s">
        <v>1924</v>
      </c>
      <c r="AH261" t="s">
        <v>91</v>
      </c>
      <c r="AI261" t="s">
        <v>92</v>
      </c>
      <c r="AJ261" t="s">
        <v>131</v>
      </c>
      <c r="AK261" t="s">
        <v>1925</v>
      </c>
      <c r="AL261" t="s">
        <v>95</v>
      </c>
      <c r="AM261" t="s">
        <v>96</v>
      </c>
      <c r="AN261" t="s">
        <v>97</v>
      </c>
      <c r="AO261" t="s">
        <v>98</v>
      </c>
      <c r="AP261" t="s">
        <v>78</v>
      </c>
      <c r="AQ261" t="s">
        <v>99</v>
      </c>
      <c r="AS261" t="s">
        <v>78</v>
      </c>
      <c r="AT261" t="s">
        <v>100</v>
      </c>
      <c r="AU261" t="s">
        <v>100</v>
      </c>
      <c r="AW261" t="s">
        <v>85</v>
      </c>
      <c r="AX261" t="s">
        <v>101</v>
      </c>
      <c r="AY261" t="s">
        <v>102</v>
      </c>
      <c r="AZ261" t="s">
        <v>103</v>
      </c>
      <c r="BA261" t="s">
        <v>120</v>
      </c>
      <c r="BB261" t="s">
        <v>78</v>
      </c>
      <c r="BC261" t="s">
        <v>78</v>
      </c>
      <c r="BE261">
        <v>0</v>
      </c>
      <c r="BF261">
        <v>0</v>
      </c>
      <c r="BG261">
        <v>0</v>
      </c>
      <c r="BH261">
        <v>0</v>
      </c>
      <c r="BJ261" t="s">
        <v>85</v>
      </c>
      <c r="BP261" t="s">
        <v>78</v>
      </c>
      <c r="BQ261" t="s">
        <v>78</v>
      </c>
      <c r="BR261" t="s">
        <v>78</v>
      </c>
    </row>
    <row r="262" customFormat="1" spans="1:70">
      <c r="A262" t="s">
        <v>1926</v>
      </c>
      <c r="B262" t="s">
        <v>1926</v>
      </c>
      <c r="C262" t="s">
        <v>1126</v>
      </c>
      <c r="D262" t="s">
        <v>1504</v>
      </c>
      <c r="E262">
        <v>1</v>
      </c>
      <c r="F262" t="s">
        <v>1128</v>
      </c>
      <c r="G262" t="s">
        <v>1505</v>
      </c>
      <c r="H262">
        <v>249</v>
      </c>
      <c r="I262">
        <v>249</v>
      </c>
      <c r="J262">
        <v>0</v>
      </c>
      <c r="K262">
        <v>0</v>
      </c>
      <c r="L262" t="s">
        <v>78</v>
      </c>
      <c r="M262" t="s">
        <v>78</v>
      </c>
      <c r="N262" t="s">
        <v>78</v>
      </c>
      <c r="O262">
        <v>0</v>
      </c>
      <c r="P262">
        <v>0</v>
      </c>
      <c r="Q262">
        <v>0</v>
      </c>
      <c r="R262" t="s">
        <v>125</v>
      </c>
      <c r="S262">
        <v>0</v>
      </c>
      <c r="T262" t="s">
        <v>80</v>
      </c>
      <c r="U262" t="s">
        <v>80</v>
      </c>
      <c r="V262" t="s">
        <v>887</v>
      </c>
      <c r="W262" t="s">
        <v>1927</v>
      </c>
      <c r="X262" t="s">
        <v>1928</v>
      </c>
      <c r="Y262" t="s">
        <v>1929</v>
      </c>
      <c r="Z262" t="s">
        <v>80</v>
      </c>
      <c r="AA262" t="s">
        <v>85</v>
      </c>
      <c r="AC262" t="s">
        <v>1930</v>
      </c>
      <c r="AD262" t="s">
        <v>87</v>
      </c>
      <c r="AF262" t="s">
        <v>1931</v>
      </c>
      <c r="AG262" t="s">
        <v>1932</v>
      </c>
      <c r="AH262" t="s">
        <v>91</v>
      </c>
      <c r="AI262" t="s">
        <v>92</v>
      </c>
      <c r="AJ262" t="s">
        <v>93</v>
      </c>
      <c r="AK262" t="s">
        <v>1933</v>
      </c>
      <c r="AL262" t="s">
        <v>95</v>
      </c>
      <c r="AM262" t="s">
        <v>96</v>
      </c>
      <c r="AN262" t="s">
        <v>97</v>
      </c>
      <c r="AO262" t="s">
        <v>98</v>
      </c>
      <c r="AP262" t="s">
        <v>78</v>
      </c>
      <c r="AQ262" t="s">
        <v>78</v>
      </c>
      <c r="AS262" t="s">
        <v>78</v>
      </c>
      <c r="AT262" t="s">
        <v>100</v>
      </c>
      <c r="AU262" t="s">
        <v>100</v>
      </c>
      <c r="AW262" t="s">
        <v>85</v>
      </c>
      <c r="AX262" t="s">
        <v>101</v>
      </c>
      <c r="AY262" t="s">
        <v>102</v>
      </c>
      <c r="AZ262" t="s">
        <v>103</v>
      </c>
      <c r="BA262" t="s">
        <v>120</v>
      </c>
      <c r="BB262" t="s">
        <v>78</v>
      </c>
      <c r="BC262" t="s">
        <v>78</v>
      </c>
      <c r="BD262" t="s">
        <v>1905</v>
      </c>
      <c r="BE262">
        <v>0</v>
      </c>
      <c r="BF262">
        <v>0</v>
      </c>
      <c r="BG262">
        <v>0</v>
      </c>
      <c r="BH262">
        <v>0</v>
      </c>
      <c r="BJ262" t="s">
        <v>85</v>
      </c>
      <c r="BP262" t="s">
        <v>78</v>
      </c>
      <c r="BQ262" t="s">
        <v>78</v>
      </c>
      <c r="BR262" t="s">
        <v>78</v>
      </c>
    </row>
    <row r="263" customFormat="1" spans="1:70">
      <c r="A263" t="s">
        <v>1934</v>
      </c>
      <c r="B263" t="s">
        <v>1934</v>
      </c>
      <c r="C263" t="s">
        <v>1126</v>
      </c>
      <c r="D263" t="s">
        <v>1127</v>
      </c>
      <c r="E263">
        <v>1</v>
      </c>
      <c r="F263" t="s">
        <v>1128</v>
      </c>
      <c r="G263" t="s">
        <v>1129</v>
      </c>
      <c r="H263">
        <v>249</v>
      </c>
      <c r="I263">
        <v>249</v>
      </c>
      <c r="J263">
        <v>0</v>
      </c>
      <c r="K263">
        <v>0</v>
      </c>
      <c r="L263" t="s">
        <v>78</v>
      </c>
      <c r="M263" t="s">
        <v>78</v>
      </c>
      <c r="N263" t="s">
        <v>78</v>
      </c>
      <c r="O263">
        <v>0</v>
      </c>
      <c r="P263">
        <v>0</v>
      </c>
      <c r="Q263">
        <v>0</v>
      </c>
      <c r="R263" t="s">
        <v>79</v>
      </c>
      <c r="S263">
        <v>0</v>
      </c>
      <c r="T263" t="s">
        <v>80</v>
      </c>
      <c r="U263" t="s">
        <v>80</v>
      </c>
      <c r="V263" t="s">
        <v>302</v>
      </c>
      <c r="W263" t="s">
        <v>1834</v>
      </c>
      <c r="X263" t="s">
        <v>1935</v>
      </c>
      <c r="Y263" t="s">
        <v>1936</v>
      </c>
      <c r="Z263" t="s">
        <v>80</v>
      </c>
      <c r="AA263" t="s">
        <v>85</v>
      </c>
      <c r="AC263" t="s">
        <v>1937</v>
      </c>
      <c r="AD263" t="s">
        <v>87</v>
      </c>
      <c r="AF263" t="s">
        <v>1938</v>
      </c>
      <c r="AG263" t="s">
        <v>1939</v>
      </c>
      <c r="AH263" t="s">
        <v>227</v>
      </c>
      <c r="AI263" t="s">
        <v>92</v>
      </c>
      <c r="AJ263" t="s">
        <v>93</v>
      </c>
      <c r="AK263" t="s">
        <v>1940</v>
      </c>
      <c r="AL263" t="s">
        <v>95</v>
      </c>
      <c r="AM263" t="s">
        <v>96</v>
      </c>
      <c r="AN263" t="s">
        <v>97</v>
      </c>
      <c r="AO263" t="s">
        <v>98</v>
      </c>
      <c r="AP263" t="s">
        <v>78</v>
      </c>
      <c r="AQ263" t="s">
        <v>78</v>
      </c>
      <c r="AS263" t="s">
        <v>78</v>
      </c>
      <c r="AT263" t="s">
        <v>100</v>
      </c>
      <c r="AU263" t="s">
        <v>100</v>
      </c>
      <c r="AW263" t="s">
        <v>85</v>
      </c>
      <c r="AX263" t="s">
        <v>101</v>
      </c>
      <c r="AY263" t="s">
        <v>102</v>
      </c>
      <c r="AZ263" t="s">
        <v>103</v>
      </c>
      <c r="BA263" t="s">
        <v>245</v>
      </c>
      <c r="BB263" t="s">
        <v>78</v>
      </c>
      <c r="BC263" t="s">
        <v>78</v>
      </c>
      <c r="BD263" t="s">
        <v>1941</v>
      </c>
      <c r="BE263">
        <v>0</v>
      </c>
      <c r="BF263">
        <v>0</v>
      </c>
      <c r="BG263">
        <v>0</v>
      </c>
      <c r="BH263">
        <v>0</v>
      </c>
      <c r="BJ263" t="s">
        <v>85</v>
      </c>
      <c r="BP263" t="s">
        <v>78</v>
      </c>
      <c r="BQ263" t="s">
        <v>78</v>
      </c>
      <c r="BR263" t="s">
        <v>78</v>
      </c>
    </row>
    <row r="264" customFormat="1" spans="1:70">
      <c r="A264" t="s">
        <v>1942</v>
      </c>
      <c r="B264" t="s">
        <v>1942</v>
      </c>
      <c r="C264" t="s">
        <v>1126</v>
      </c>
      <c r="D264" t="s">
        <v>187</v>
      </c>
      <c r="E264">
        <v>1</v>
      </c>
      <c r="F264" t="s">
        <v>1128</v>
      </c>
      <c r="G264" t="s">
        <v>1205</v>
      </c>
      <c r="H264">
        <v>249</v>
      </c>
      <c r="I264">
        <v>249</v>
      </c>
      <c r="J264">
        <v>0</v>
      </c>
      <c r="K264">
        <v>0</v>
      </c>
      <c r="L264" t="s">
        <v>78</v>
      </c>
      <c r="M264" t="s">
        <v>78</v>
      </c>
      <c r="N264" t="s">
        <v>78</v>
      </c>
      <c r="O264">
        <v>0</v>
      </c>
      <c r="P264">
        <v>0</v>
      </c>
      <c r="Q264">
        <v>0</v>
      </c>
      <c r="R264" t="s">
        <v>79</v>
      </c>
      <c r="S264">
        <v>0</v>
      </c>
      <c r="T264" t="s">
        <v>80</v>
      </c>
      <c r="U264" t="s">
        <v>80</v>
      </c>
      <c r="V264" t="s">
        <v>509</v>
      </c>
      <c r="W264" t="s">
        <v>623</v>
      </c>
      <c r="X264" t="s">
        <v>1943</v>
      </c>
      <c r="Y264" t="s">
        <v>1944</v>
      </c>
      <c r="Z264" t="s">
        <v>80</v>
      </c>
      <c r="AA264" t="s">
        <v>85</v>
      </c>
      <c r="AC264" t="s">
        <v>1945</v>
      </c>
      <c r="AD264" t="s">
        <v>87</v>
      </c>
      <c r="AG264" t="s">
        <v>1946</v>
      </c>
      <c r="AH264" t="s">
        <v>91</v>
      </c>
      <c r="AI264" t="s">
        <v>92</v>
      </c>
      <c r="AJ264" t="s">
        <v>131</v>
      </c>
      <c r="AK264" t="s">
        <v>1947</v>
      </c>
      <c r="AL264" t="s">
        <v>95</v>
      </c>
      <c r="AM264" t="s">
        <v>96</v>
      </c>
      <c r="AN264" t="s">
        <v>97</v>
      </c>
      <c r="AO264" t="s">
        <v>98</v>
      </c>
      <c r="AP264" t="s">
        <v>78</v>
      </c>
      <c r="AQ264" t="s">
        <v>99</v>
      </c>
      <c r="AS264" t="s">
        <v>78</v>
      </c>
      <c r="AT264" t="s">
        <v>100</v>
      </c>
      <c r="AU264" t="s">
        <v>100</v>
      </c>
      <c r="AW264" t="s">
        <v>85</v>
      </c>
      <c r="AX264" t="s">
        <v>101</v>
      </c>
      <c r="AY264" t="s">
        <v>102</v>
      </c>
      <c r="AZ264" t="s">
        <v>103</v>
      </c>
      <c r="BA264" t="s">
        <v>104</v>
      </c>
      <c r="BB264" t="s">
        <v>78</v>
      </c>
      <c r="BC264" t="s">
        <v>78</v>
      </c>
      <c r="BE264">
        <v>0</v>
      </c>
      <c r="BF264">
        <v>0</v>
      </c>
      <c r="BG264">
        <v>0</v>
      </c>
      <c r="BH264">
        <v>0</v>
      </c>
      <c r="BJ264" t="s">
        <v>85</v>
      </c>
      <c r="BP264" t="s">
        <v>78</v>
      </c>
      <c r="BQ264" t="s">
        <v>78</v>
      </c>
      <c r="BR264" t="s">
        <v>78</v>
      </c>
    </row>
    <row r="265" customFormat="1" spans="1:70">
      <c r="A265" t="s">
        <v>1948</v>
      </c>
      <c r="B265" t="s">
        <v>1948</v>
      </c>
      <c r="C265" t="s">
        <v>107</v>
      </c>
      <c r="D265" t="s">
        <v>135</v>
      </c>
      <c r="E265">
        <v>2</v>
      </c>
      <c r="F265" t="s">
        <v>109</v>
      </c>
      <c r="G265" t="s">
        <v>136</v>
      </c>
      <c r="H265">
        <v>289</v>
      </c>
      <c r="I265">
        <v>578</v>
      </c>
      <c r="J265">
        <v>0</v>
      </c>
      <c r="K265">
        <v>0</v>
      </c>
      <c r="L265" t="s">
        <v>78</v>
      </c>
      <c r="M265" t="s">
        <v>78</v>
      </c>
      <c r="N265" t="s">
        <v>78</v>
      </c>
      <c r="O265">
        <v>0</v>
      </c>
      <c r="P265">
        <v>0</v>
      </c>
      <c r="Q265">
        <v>0</v>
      </c>
      <c r="R265" t="s">
        <v>125</v>
      </c>
      <c r="S265">
        <v>0</v>
      </c>
      <c r="T265" t="s">
        <v>80</v>
      </c>
      <c r="U265" t="s">
        <v>80</v>
      </c>
      <c r="V265" t="s">
        <v>126</v>
      </c>
      <c r="W265" t="s">
        <v>377</v>
      </c>
      <c r="X265" t="s">
        <v>378</v>
      </c>
      <c r="Y265" t="s">
        <v>1027</v>
      </c>
      <c r="Z265" t="s">
        <v>80</v>
      </c>
      <c r="AA265" t="s">
        <v>85</v>
      </c>
      <c r="AC265" t="s">
        <v>1949</v>
      </c>
      <c r="AD265" t="s">
        <v>87</v>
      </c>
      <c r="AG265" t="s">
        <v>1950</v>
      </c>
      <c r="AH265" t="s">
        <v>91</v>
      </c>
      <c r="AI265" t="s">
        <v>92</v>
      </c>
      <c r="AJ265" t="s">
        <v>131</v>
      </c>
      <c r="AK265" t="s">
        <v>1951</v>
      </c>
      <c r="AL265" t="s">
        <v>95</v>
      </c>
      <c r="AM265" t="s">
        <v>96</v>
      </c>
      <c r="AN265" t="s">
        <v>97</v>
      </c>
      <c r="AO265" t="s">
        <v>98</v>
      </c>
      <c r="AP265" t="s">
        <v>78</v>
      </c>
      <c r="AQ265" t="s">
        <v>99</v>
      </c>
      <c r="AS265" t="s">
        <v>78</v>
      </c>
      <c r="AT265" t="s">
        <v>100</v>
      </c>
      <c r="AU265" t="s">
        <v>100</v>
      </c>
      <c r="AW265" t="s">
        <v>85</v>
      </c>
      <c r="AX265" t="s">
        <v>101</v>
      </c>
      <c r="AY265" t="s">
        <v>102</v>
      </c>
      <c r="AZ265" t="s">
        <v>103</v>
      </c>
      <c r="BA265" t="s">
        <v>133</v>
      </c>
      <c r="BB265" t="s">
        <v>78</v>
      </c>
      <c r="BC265" t="s">
        <v>78</v>
      </c>
      <c r="BE265">
        <v>0</v>
      </c>
      <c r="BF265">
        <v>0</v>
      </c>
      <c r="BG265">
        <v>0</v>
      </c>
      <c r="BH265">
        <v>0</v>
      </c>
      <c r="BJ265" t="s">
        <v>85</v>
      </c>
      <c r="BP265" t="s">
        <v>78</v>
      </c>
      <c r="BQ265" t="s">
        <v>78</v>
      </c>
      <c r="BR265" t="s">
        <v>78</v>
      </c>
    </row>
    <row r="266" customFormat="1" spans="1:70">
      <c r="A266" t="s">
        <v>1952</v>
      </c>
      <c r="B266" t="s">
        <v>1952</v>
      </c>
      <c r="C266" t="s">
        <v>107</v>
      </c>
      <c r="D266" t="s">
        <v>123</v>
      </c>
      <c r="E266">
        <v>1</v>
      </c>
      <c r="F266" t="s">
        <v>109</v>
      </c>
      <c r="G266" t="s">
        <v>124</v>
      </c>
      <c r="H266">
        <v>289</v>
      </c>
      <c r="I266">
        <v>289</v>
      </c>
      <c r="J266">
        <v>0</v>
      </c>
      <c r="K266">
        <v>0</v>
      </c>
      <c r="L266" t="s">
        <v>78</v>
      </c>
      <c r="M266" t="s">
        <v>78</v>
      </c>
      <c r="N266" t="s">
        <v>78</v>
      </c>
      <c r="O266">
        <v>0</v>
      </c>
      <c r="P266">
        <v>0</v>
      </c>
      <c r="Q266">
        <v>0</v>
      </c>
      <c r="R266" t="s">
        <v>79</v>
      </c>
      <c r="S266">
        <v>0</v>
      </c>
      <c r="T266" t="s">
        <v>80</v>
      </c>
      <c r="U266" t="s">
        <v>80</v>
      </c>
      <c r="V266" t="s">
        <v>112</v>
      </c>
      <c r="W266" t="s">
        <v>198</v>
      </c>
      <c r="X266" t="s">
        <v>199</v>
      </c>
      <c r="Y266" t="s">
        <v>200</v>
      </c>
      <c r="Z266" t="s">
        <v>80</v>
      </c>
      <c r="AA266" t="s">
        <v>85</v>
      </c>
      <c r="AC266" t="s">
        <v>1953</v>
      </c>
      <c r="AD266" t="s">
        <v>87</v>
      </c>
      <c r="AG266" t="s">
        <v>1954</v>
      </c>
      <c r="AH266" t="s">
        <v>91</v>
      </c>
      <c r="AI266" t="s">
        <v>92</v>
      </c>
      <c r="AJ266" t="s">
        <v>131</v>
      </c>
      <c r="AK266" t="s">
        <v>1955</v>
      </c>
      <c r="AL266" t="s">
        <v>95</v>
      </c>
      <c r="AM266" t="s">
        <v>96</v>
      </c>
      <c r="AN266" t="s">
        <v>97</v>
      </c>
      <c r="AO266" t="s">
        <v>98</v>
      </c>
      <c r="AP266" t="s">
        <v>78</v>
      </c>
      <c r="AQ266" t="s">
        <v>99</v>
      </c>
      <c r="AS266" t="s">
        <v>78</v>
      </c>
      <c r="AT266" t="s">
        <v>100</v>
      </c>
      <c r="AU266" t="s">
        <v>100</v>
      </c>
      <c r="AW266" t="s">
        <v>85</v>
      </c>
      <c r="AX266" t="s">
        <v>103</v>
      </c>
      <c r="AY266" t="s">
        <v>159</v>
      </c>
      <c r="AZ266" t="s">
        <v>103</v>
      </c>
      <c r="BA266" t="s">
        <v>133</v>
      </c>
      <c r="BB266" t="s">
        <v>78</v>
      </c>
      <c r="BC266" t="s">
        <v>78</v>
      </c>
      <c r="BE266">
        <v>0</v>
      </c>
      <c r="BF266">
        <v>0</v>
      </c>
      <c r="BG266">
        <v>0</v>
      </c>
      <c r="BH266">
        <v>0</v>
      </c>
      <c r="BJ266" t="s">
        <v>85</v>
      </c>
      <c r="BP266" t="s">
        <v>78</v>
      </c>
      <c r="BQ266" t="s">
        <v>78</v>
      </c>
      <c r="BR266" t="s">
        <v>78</v>
      </c>
    </row>
    <row r="267" customFormat="1" spans="1:70">
      <c r="A267" t="s">
        <v>1956</v>
      </c>
      <c r="B267" t="s">
        <v>1956</v>
      </c>
      <c r="C267" t="s">
        <v>107</v>
      </c>
      <c r="D267" t="s">
        <v>135</v>
      </c>
      <c r="E267">
        <v>1</v>
      </c>
      <c r="F267" t="s">
        <v>109</v>
      </c>
      <c r="G267" t="s">
        <v>136</v>
      </c>
      <c r="H267">
        <v>289</v>
      </c>
      <c r="I267">
        <v>289</v>
      </c>
      <c r="J267">
        <v>0</v>
      </c>
      <c r="K267">
        <v>0</v>
      </c>
      <c r="L267" t="s">
        <v>78</v>
      </c>
      <c r="M267" t="s">
        <v>78</v>
      </c>
      <c r="N267" t="s">
        <v>78</v>
      </c>
      <c r="O267">
        <v>0</v>
      </c>
      <c r="P267">
        <v>0</v>
      </c>
      <c r="Q267">
        <v>0</v>
      </c>
      <c r="R267" t="s">
        <v>125</v>
      </c>
      <c r="S267">
        <v>0</v>
      </c>
      <c r="T267" t="s">
        <v>80</v>
      </c>
      <c r="U267" t="s">
        <v>80</v>
      </c>
      <c r="V267" t="s">
        <v>126</v>
      </c>
      <c r="W267" t="s">
        <v>377</v>
      </c>
      <c r="X267" t="s">
        <v>378</v>
      </c>
      <c r="Y267" t="s">
        <v>1027</v>
      </c>
      <c r="Z267" t="s">
        <v>80</v>
      </c>
      <c r="AA267" t="s">
        <v>85</v>
      </c>
      <c r="AC267" t="s">
        <v>1957</v>
      </c>
      <c r="AD267" t="s">
        <v>87</v>
      </c>
      <c r="AH267" t="s">
        <v>91</v>
      </c>
      <c r="AI267" t="s">
        <v>92</v>
      </c>
      <c r="AJ267" t="s">
        <v>131</v>
      </c>
      <c r="AK267" t="s">
        <v>1958</v>
      </c>
      <c r="AL267" t="s">
        <v>95</v>
      </c>
      <c r="AM267" t="s">
        <v>96</v>
      </c>
      <c r="AN267" t="s">
        <v>97</v>
      </c>
      <c r="AO267" t="s">
        <v>98</v>
      </c>
      <c r="AP267" t="s">
        <v>78</v>
      </c>
      <c r="AQ267" t="s">
        <v>78</v>
      </c>
      <c r="AR267" t="s">
        <v>1959</v>
      </c>
      <c r="AS267" t="s">
        <v>78</v>
      </c>
      <c r="AT267" t="s">
        <v>100</v>
      </c>
      <c r="AU267" t="s">
        <v>100</v>
      </c>
      <c r="AW267" t="s">
        <v>85</v>
      </c>
      <c r="AX267" t="s">
        <v>101</v>
      </c>
      <c r="AY267" t="s">
        <v>102</v>
      </c>
      <c r="AZ267" t="s">
        <v>103</v>
      </c>
      <c r="BA267" t="s">
        <v>133</v>
      </c>
      <c r="BB267" t="s">
        <v>78</v>
      </c>
      <c r="BC267" t="s">
        <v>78</v>
      </c>
      <c r="BE267">
        <v>0</v>
      </c>
      <c r="BF267">
        <v>0</v>
      </c>
      <c r="BG267">
        <v>0</v>
      </c>
      <c r="BH267">
        <v>0</v>
      </c>
      <c r="BJ267" t="s">
        <v>85</v>
      </c>
      <c r="BP267" t="s">
        <v>78</v>
      </c>
      <c r="BQ267" t="s">
        <v>78</v>
      </c>
      <c r="BR267" t="s">
        <v>78</v>
      </c>
    </row>
    <row r="268" customFormat="1" spans="1:70">
      <c r="A268" t="s">
        <v>1960</v>
      </c>
      <c r="B268" t="s">
        <v>1960</v>
      </c>
      <c r="C268" t="s">
        <v>107</v>
      </c>
      <c r="D268" t="s">
        <v>108</v>
      </c>
      <c r="E268">
        <v>1</v>
      </c>
      <c r="F268" t="s">
        <v>109</v>
      </c>
      <c r="G268" t="s">
        <v>110</v>
      </c>
      <c r="H268">
        <v>289</v>
      </c>
      <c r="I268">
        <v>289</v>
      </c>
      <c r="J268">
        <v>0</v>
      </c>
      <c r="K268">
        <v>0</v>
      </c>
      <c r="L268" t="s">
        <v>78</v>
      </c>
      <c r="M268" t="s">
        <v>78</v>
      </c>
      <c r="N268" t="s">
        <v>78</v>
      </c>
      <c r="O268">
        <v>0</v>
      </c>
      <c r="P268">
        <v>0</v>
      </c>
      <c r="Q268">
        <v>0</v>
      </c>
      <c r="R268" t="s">
        <v>111</v>
      </c>
      <c r="S268">
        <v>0</v>
      </c>
      <c r="T268" t="s">
        <v>80</v>
      </c>
      <c r="U268" t="s">
        <v>80</v>
      </c>
      <c r="V268" t="s">
        <v>112</v>
      </c>
      <c r="W268" t="s">
        <v>1207</v>
      </c>
      <c r="X268" t="s">
        <v>1207</v>
      </c>
      <c r="Y268" t="s">
        <v>1961</v>
      </c>
      <c r="Z268" t="s">
        <v>80</v>
      </c>
      <c r="AA268" t="s">
        <v>85</v>
      </c>
      <c r="AC268" t="s">
        <v>1962</v>
      </c>
      <c r="AD268" t="s">
        <v>87</v>
      </c>
      <c r="AH268" t="s">
        <v>227</v>
      </c>
      <c r="AI268" t="s">
        <v>92</v>
      </c>
      <c r="AJ268" t="s">
        <v>131</v>
      </c>
      <c r="AK268" t="s">
        <v>1963</v>
      </c>
      <c r="AL268" t="s">
        <v>95</v>
      </c>
      <c r="AM268" t="s">
        <v>96</v>
      </c>
      <c r="AN268" t="s">
        <v>97</v>
      </c>
      <c r="AO268" t="s">
        <v>98</v>
      </c>
      <c r="AP268" t="s">
        <v>78</v>
      </c>
      <c r="AQ268" t="s">
        <v>78</v>
      </c>
      <c r="AR268" t="s">
        <v>353</v>
      </c>
      <c r="AS268" t="s">
        <v>78</v>
      </c>
      <c r="AT268" t="s">
        <v>100</v>
      </c>
      <c r="AU268" t="s">
        <v>100</v>
      </c>
      <c r="AW268" t="s">
        <v>85</v>
      </c>
      <c r="AX268" t="s">
        <v>103</v>
      </c>
      <c r="AY268" t="s">
        <v>159</v>
      </c>
      <c r="AZ268" t="s">
        <v>103</v>
      </c>
      <c r="BA268" t="s">
        <v>133</v>
      </c>
      <c r="BB268" t="s">
        <v>78</v>
      </c>
      <c r="BC268" t="s">
        <v>78</v>
      </c>
      <c r="BE268">
        <v>0</v>
      </c>
      <c r="BF268">
        <v>0</v>
      </c>
      <c r="BG268">
        <v>0</v>
      </c>
      <c r="BH268">
        <v>0</v>
      </c>
      <c r="BJ268" t="s">
        <v>85</v>
      </c>
      <c r="BP268" t="s">
        <v>78</v>
      </c>
      <c r="BQ268" t="s">
        <v>78</v>
      </c>
      <c r="BR268" t="s">
        <v>78</v>
      </c>
    </row>
    <row r="269" customFormat="1" spans="1:70">
      <c r="A269" t="s">
        <v>1964</v>
      </c>
      <c r="B269" t="s">
        <v>1964</v>
      </c>
      <c r="C269" t="s">
        <v>107</v>
      </c>
      <c r="D269" t="s">
        <v>108</v>
      </c>
      <c r="E269">
        <v>1</v>
      </c>
      <c r="F269" t="s">
        <v>109</v>
      </c>
      <c r="G269" t="s">
        <v>110</v>
      </c>
      <c r="H269">
        <v>289</v>
      </c>
      <c r="I269">
        <v>289</v>
      </c>
      <c r="J269">
        <v>0</v>
      </c>
      <c r="K269">
        <v>0</v>
      </c>
      <c r="L269" t="s">
        <v>78</v>
      </c>
      <c r="M269" t="s">
        <v>78</v>
      </c>
      <c r="N269" t="s">
        <v>78</v>
      </c>
      <c r="O269">
        <v>0</v>
      </c>
      <c r="P269">
        <v>0</v>
      </c>
      <c r="Q269">
        <v>0</v>
      </c>
      <c r="R269" t="s">
        <v>111</v>
      </c>
      <c r="S269">
        <v>0</v>
      </c>
      <c r="T269" t="s">
        <v>80</v>
      </c>
      <c r="U269" t="s">
        <v>80</v>
      </c>
      <c r="V269" t="s">
        <v>302</v>
      </c>
      <c r="W269" t="s">
        <v>1845</v>
      </c>
      <c r="X269" t="s">
        <v>1965</v>
      </c>
      <c r="Y269" t="s">
        <v>1966</v>
      </c>
      <c r="Z269" t="s">
        <v>80</v>
      </c>
      <c r="AA269" t="s">
        <v>85</v>
      </c>
      <c r="AC269" t="s">
        <v>1967</v>
      </c>
      <c r="AD269" t="s">
        <v>87</v>
      </c>
      <c r="AF269" t="s">
        <v>1968</v>
      </c>
      <c r="AG269" t="s">
        <v>1969</v>
      </c>
      <c r="AH269" t="s">
        <v>91</v>
      </c>
      <c r="AI269" t="s">
        <v>92</v>
      </c>
      <c r="AJ269" t="s">
        <v>93</v>
      </c>
      <c r="AK269" t="s">
        <v>1970</v>
      </c>
      <c r="AL269" t="s">
        <v>95</v>
      </c>
      <c r="AM269" t="s">
        <v>96</v>
      </c>
      <c r="AN269" t="s">
        <v>97</v>
      </c>
      <c r="AO269" t="s">
        <v>98</v>
      </c>
      <c r="AP269" t="s">
        <v>78</v>
      </c>
      <c r="AQ269" t="s">
        <v>78</v>
      </c>
      <c r="AS269" t="s">
        <v>78</v>
      </c>
      <c r="AT269" t="s">
        <v>100</v>
      </c>
      <c r="AU269" t="s">
        <v>100</v>
      </c>
      <c r="AW269" t="s">
        <v>85</v>
      </c>
      <c r="AX269" t="s">
        <v>101</v>
      </c>
      <c r="AY269" t="s">
        <v>102</v>
      </c>
      <c r="AZ269" t="s">
        <v>103</v>
      </c>
      <c r="BA269" t="s">
        <v>133</v>
      </c>
      <c r="BB269" t="s">
        <v>78</v>
      </c>
      <c r="BC269" t="s">
        <v>78</v>
      </c>
      <c r="BD269" t="s">
        <v>1971</v>
      </c>
      <c r="BE269">
        <v>0</v>
      </c>
      <c r="BF269">
        <v>0</v>
      </c>
      <c r="BG269">
        <v>0</v>
      </c>
      <c r="BH269">
        <v>0</v>
      </c>
      <c r="BJ269" t="s">
        <v>85</v>
      </c>
      <c r="BP269" t="s">
        <v>78</v>
      </c>
      <c r="BQ269" t="s">
        <v>78</v>
      </c>
      <c r="BR269" t="s">
        <v>78</v>
      </c>
    </row>
    <row r="270" customFormat="1" spans="1:70">
      <c r="A270" t="s">
        <v>1972</v>
      </c>
      <c r="B270" t="s">
        <v>1972</v>
      </c>
      <c r="C270" t="s">
        <v>107</v>
      </c>
      <c r="D270" t="s">
        <v>108</v>
      </c>
      <c r="E270">
        <v>1</v>
      </c>
      <c r="F270" t="s">
        <v>109</v>
      </c>
      <c r="G270" t="s">
        <v>110</v>
      </c>
      <c r="H270">
        <v>289</v>
      </c>
      <c r="I270">
        <v>286</v>
      </c>
      <c r="J270">
        <v>0</v>
      </c>
      <c r="K270">
        <v>3</v>
      </c>
      <c r="L270" t="s">
        <v>1973</v>
      </c>
      <c r="M270" t="s">
        <v>78</v>
      </c>
      <c r="N270" t="s">
        <v>78</v>
      </c>
      <c r="O270">
        <v>0</v>
      </c>
      <c r="P270">
        <v>0</v>
      </c>
      <c r="Q270">
        <v>0</v>
      </c>
      <c r="R270" t="s">
        <v>111</v>
      </c>
      <c r="S270">
        <v>0</v>
      </c>
      <c r="T270" t="s">
        <v>80</v>
      </c>
      <c r="U270" t="s">
        <v>80</v>
      </c>
      <c r="V270" t="s">
        <v>302</v>
      </c>
      <c r="W270" t="s">
        <v>1845</v>
      </c>
      <c r="X270" t="s">
        <v>1965</v>
      </c>
      <c r="Y270" t="s">
        <v>1966</v>
      </c>
      <c r="Z270" t="s">
        <v>80</v>
      </c>
      <c r="AA270" t="s">
        <v>85</v>
      </c>
      <c r="AC270" t="s">
        <v>1974</v>
      </c>
      <c r="AD270" t="s">
        <v>87</v>
      </c>
      <c r="AH270" t="s">
        <v>91</v>
      </c>
      <c r="AI270" t="s">
        <v>92</v>
      </c>
      <c r="AJ270" t="s">
        <v>131</v>
      </c>
      <c r="AK270" t="s">
        <v>1975</v>
      </c>
      <c r="AL270" t="s">
        <v>95</v>
      </c>
      <c r="AM270" t="s">
        <v>96</v>
      </c>
      <c r="AN270" t="s">
        <v>97</v>
      </c>
      <c r="AO270" t="s">
        <v>98</v>
      </c>
      <c r="AP270" t="s">
        <v>78</v>
      </c>
      <c r="AQ270" t="s">
        <v>78</v>
      </c>
      <c r="AR270" t="s">
        <v>195</v>
      </c>
      <c r="AS270" t="s">
        <v>78</v>
      </c>
      <c r="AT270" t="s">
        <v>100</v>
      </c>
      <c r="AU270" t="s">
        <v>100</v>
      </c>
      <c r="AW270" t="s">
        <v>85</v>
      </c>
      <c r="AX270" t="s">
        <v>101</v>
      </c>
      <c r="AY270" t="s">
        <v>102</v>
      </c>
      <c r="AZ270" t="s">
        <v>103</v>
      </c>
      <c r="BA270" t="s">
        <v>133</v>
      </c>
      <c r="BB270" t="s">
        <v>78</v>
      </c>
      <c r="BC270" t="s">
        <v>78</v>
      </c>
      <c r="BE270">
        <v>0</v>
      </c>
      <c r="BF270">
        <v>3</v>
      </c>
      <c r="BG270">
        <v>0</v>
      </c>
      <c r="BH270">
        <v>0</v>
      </c>
      <c r="BJ270" t="s">
        <v>85</v>
      </c>
      <c r="BP270" t="s">
        <v>78</v>
      </c>
      <c r="BQ270" t="s">
        <v>78</v>
      </c>
      <c r="BR270" t="s">
        <v>78</v>
      </c>
    </row>
    <row r="271" customFormat="1" spans="1:70">
      <c r="A271" t="s">
        <v>1976</v>
      </c>
      <c r="B271" t="s">
        <v>1976</v>
      </c>
      <c r="C271" t="s">
        <v>1092</v>
      </c>
      <c r="D271" t="s">
        <v>108</v>
      </c>
      <c r="E271">
        <v>1</v>
      </c>
      <c r="F271" t="s">
        <v>1093</v>
      </c>
      <c r="G271" t="s">
        <v>1094</v>
      </c>
      <c r="H271">
        <v>289</v>
      </c>
      <c r="I271">
        <v>289</v>
      </c>
      <c r="J271">
        <v>0</v>
      </c>
      <c r="K271">
        <v>0</v>
      </c>
      <c r="L271" t="s">
        <v>78</v>
      </c>
      <c r="M271" t="s">
        <v>78</v>
      </c>
      <c r="N271" t="s">
        <v>78</v>
      </c>
      <c r="O271">
        <v>0</v>
      </c>
      <c r="P271">
        <v>0</v>
      </c>
      <c r="Q271">
        <v>0</v>
      </c>
      <c r="R271" t="s">
        <v>125</v>
      </c>
      <c r="S271">
        <v>0</v>
      </c>
      <c r="T271" t="s">
        <v>80</v>
      </c>
      <c r="U271" t="s">
        <v>80</v>
      </c>
      <c r="V271" t="s">
        <v>221</v>
      </c>
      <c r="W271" t="s">
        <v>1977</v>
      </c>
      <c r="X271" t="s">
        <v>1978</v>
      </c>
      <c r="Y271" t="s">
        <v>1979</v>
      </c>
      <c r="Z271" t="s">
        <v>80</v>
      </c>
      <c r="AA271" t="s">
        <v>85</v>
      </c>
      <c r="AC271" t="s">
        <v>1980</v>
      </c>
      <c r="AD271" t="s">
        <v>87</v>
      </c>
      <c r="AF271" t="s">
        <v>1981</v>
      </c>
      <c r="AG271" t="s">
        <v>1982</v>
      </c>
      <c r="AH271" t="s">
        <v>91</v>
      </c>
      <c r="AI271" t="s">
        <v>92</v>
      </c>
      <c r="AJ271" t="s">
        <v>93</v>
      </c>
      <c r="AK271" t="s">
        <v>1983</v>
      </c>
      <c r="AL271" t="s">
        <v>95</v>
      </c>
      <c r="AM271" t="s">
        <v>96</v>
      </c>
      <c r="AN271" t="s">
        <v>97</v>
      </c>
      <c r="AO271" t="s">
        <v>98</v>
      </c>
      <c r="AP271" t="s">
        <v>78</v>
      </c>
      <c r="AQ271" t="s">
        <v>78</v>
      </c>
      <c r="AS271" t="s">
        <v>78</v>
      </c>
      <c r="AT271" t="s">
        <v>100</v>
      </c>
      <c r="AU271" t="s">
        <v>100</v>
      </c>
      <c r="AW271" t="s">
        <v>85</v>
      </c>
      <c r="AX271" t="s">
        <v>103</v>
      </c>
      <c r="AY271" t="s">
        <v>159</v>
      </c>
      <c r="AZ271" t="s">
        <v>103</v>
      </c>
      <c r="BA271" t="s">
        <v>218</v>
      </c>
      <c r="BB271" t="s">
        <v>78</v>
      </c>
      <c r="BC271" t="s">
        <v>78</v>
      </c>
      <c r="BD271" t="s">
        <v>1984</v>
      </c>
      <c r="BE271">
        <v>0</v>
      </c>
      <c r="BF271">
        <v>0</v>
      </c>
      <c r="BG271">
        <v>0</v>
      </c>
      <c r="BH271">
        <v>0</v>
      </c>
      <c r="BJ271" t="s">
        <v>85</v>
      </c>
      <c r="BP271" t="s">
        <v>78</v>
      </c>
      <c r="BQ271" t="s">
        <v>78</v>
      </c>
      <c r="BR271" t="s">
        <v>78</v>
      </c>
    </row>
    <row r="272" customFormat="1" spans="1:70">
      <c r="A272" t="s">
        <v>1985</v>
      </c>
      <c r="B272" t="s">
        <v>1985</v>
      </c>
      <c r="C272" t="s">
        <v>1092</v>
      </c>
      <c r="D272" t="s">
        <v>123</v>
      </c>
      <c r="E272">
        <v>1</v>
      </c>
      <c r="F272" t="s">
        <v>1093</v>
      </c>
      <c r="G272" t="s">
        <v>1986</v>
      </c>
      <c r="H272">
        <v>289</v>
      </c>
      <c r="I272">
        <v>253.89</v>
      </c>
      <c r="J272">
        <v>0</v>
      </c>
      <c r="K272">
        <v>35.11</v>
      </c>
      <c r="L272" t="s">
        <v>1987</v>
      </c>
      <c r="M272" t="s">
        <v>78</v>
      </c>
      <c r="N272" t="s">
        <v>78</v>
      </c>
      <c r="O272">
        <v>0</v>
      </c>
      <c r="P272">
        <v>0</v>
      </c>
      <c r="Q272">
        <v>0</v>
      </c>
      <c r="R272" t="s">
        <v>79</v>
      </c>
      <c r="S272">
        <v>0</v>
      </c>
      <c r="T272" t="s">
        <v>80</v>
      </c>
      <c r="U272" t="s">
        <v>80</v>
      </c>
      <c r="V272" t="s">
        <v>161</v>
      </c>
      <c r="W272" t="s">
        <v>161</v>
      </c>
      <c r="X272" t="s">
        <v>1243</v>
      </c>
      <c r="Y272" t="s">
        <v>1244</v>
      </c>
      <c r="Z272" t="s">
        <v>80</v>
      </c>
      <c r="AA272" t="s">
        <v>85</v>
      </c>
      <c r="AC272" t="s">
        <v>1988</v>
      </c>
      <c r="AD272" t="s">
        <v>87</v>
      </c>
      <c r="AG272" t="s">
        <v>1989</v>
      </c>
      <c r="AH272" t="s">
        <v>91</v>
      </c>
      <c r="AI272" t="s">
        <v>92</v>
      </c>
      <c r="AJ272" t="s">
        <v>131</v>
      </c>
      <c r="AK272" t="s">
        <v>1990</v>
      </c>
      <c r="AL272" t="s">
        <v>95</v>
      </c>
      <c r="AM272" t="s">
        <v>96</v>
      </c>
      <c r="AN272" t="s">
        <v>97</v>
      </c>
      <c r="AO272" t="s">
        <v>98</v>
      </c>
      <c r="AP272" t="s">
        <v>78</v>
      </c>
      <c r="AQ272" t="s">
        <v>99</v>
      </c>
      <c r="AS272" t="s">
        <v>78</v>
      </c>
      <c r="AT272" t="s">
        <v>100</v>
      </c>
      <c r="AU272" t="s">
        <v>100</v>
      </c>
      <c r="AW272" t="s">
        <v>85</v>
      </c>
      <c r="AX272" t="s">
        <v>103</v>
      </c>
      <c r="AY272" t="s">
        <v>159</v>
      </c>
      <c r="AZ272" t="s">
        <v>103</v>
      </c>
      <c r="BA272" t="s">
        <v>104</v>
      </c>
      <c r="BB272" t="s">
        <v>78</v>
      </c>
      <c r="BC272" t="s">
        <v>78</v>
      </c>
      <c r="BE272">
        <v>0</v>
      </c>
      <c r="BF272">
        <v>35.11</v>
      </c>
      <c r="BG272">
        <v>0</v>
      </c>
      <c r="BH272">
        <v>0</v>
      </c>
      <c r="BJ272" t="s">
        <v>85</v>
      </c>
      <c r="BP272" t="s">
        <v>78</v>
      </c>
      <c r="BQ272" t="s">
        <v>78</v>
      </c>
      <c r="BR272" t="s">
        <v>78</v>
      </c>
    </row>
    <row r="273" customFormat="1" spans="1:70">
      <c r="A273" t="s">
        <v>1991</v>
      </c>
      <c r="B273" t="s">
        <v>1991</v>
      </c>
      <c r="C273" t="s">
        <v>1092</v>
      </c>
      <c r="D273" t="s">
        <v>123</v>
      </c>
      <c r="E273">
        <v>1</v>
      </c>
      <c r="F273" t="s">
        <v>1093</v>
      </c>
      <c r="G273" t="s">
        <v>1986</v>
      </c>
      <c r="H273">
        <v>289</v>
      </c>
      <c r="I273">
        <v>289</v>
      </c>
      <c r="J273">
        <v>0</v>
      </c>
      <c r="K273">
        <v>0</v>
      </c>
      <c r="L273" t="s">
        <v>78</v>
      </c>
      <c r="M273" t="s">
        <v>78</v>
      </c>
      <c r="N273" t="s">
        <v>78</v>
      </c>
      <c r="O273">
        <v>0</v>
      </c>
      <c r="P273">
        <v>0</v>
      </c>
      <c r="Q273">
        <v>0</v>
      </c>
      <c r="R273" t="s">
        <v>125</v>
      </c>
      <c r="S273">
        <v>0</v>
      </c>
      <c r="T273" t="s">
        <v>80</v>
      </c>
      <c r="U273" t="s">
        <v>80</v>
      </c>
      <c r="V273" t="s">
        <v>152</v>
      </c>
      <c r="W273" t="s">
        <v>1920</v>
      </c>
      <c r="X273" t="s">
        <v>1921</v>
      </c>
      <c r="Y273" t="s">
        <v>1922</v>
      </c>
      <c r="Z273" t="s">
        <v>80</v>
      </c>
      <c r="AA273" t="s">
        <v>85</v>
      </c>
      <c r="AC273" t="s">
        <v>1992</v>
      </c>
      <c r="AD273" t="s">
        <v>87</v>
      </c>
      <c r="AG273" t="s">
        <v>1993</v>
      </c>
      <c r="AH273" t="s">
        <v>91</v>
      </c>
      <c r="AI273" t="s">
        <v>92</v>
      </c>
      <c r="AJ273" t="s">
        <v>131</v>
      </c>
      <c r="AK273" t="s">
        <v>1994</v>
      </c>
      <c r="AL273" t="s">
        <v>95</v>
      </c>
      <c r="AM273" t="s">
        <v>96</v>
      </c>
      <c r="AN273" t="s">
        <v>97</v>
      </c>
      <c r="AO273" t="s">
        <v>98</v>
      </c>
      <c r="AP273" t="s">
        <v>78</v>
      </c>
      <c r="AQ273" t="s">
        <v>99</v>
      </c>
      <c r="AS273" t="s">
        <v>78</v>
      </c>
      <c r="AT273" t="s">
        <v>100</v>
      </c>
      <c r="AU273" t="s">
        <v>100</v>
      </c>
      <c r="AW273" t="s">
        <v>85</v>
      </c>
      <c r="AX273" t="s">
        <v>101</v>
      </c>
      <c r="AY273" t="s">
        <v>102</v>
      </c>
      <c r="AZ273" t="s">
        <v>103</v>
      </c>
      <c r="BA273" t="s">
        <v>120</v>
      </c>
      <c r="BB273" t="s">
        <v>78</v>
      </c>
      <c r="BC273" t="s">
        <v>78</v>
      </c>
      <c r="BE273">
        <v>0</v>
      </c>
      <c r="BF273">
        <v>0</v>
      </c>
      <c r="BG273">
        <v>0</v>
      </c>
      <c r="BH273">
        <v>0</v>
      </c>
      <c r="BJ273" t="s">
        <v>85</v>
      </c>
      <c r="BP273" t="s">
        <v>78</v>
      </c>
      <c r="BQ273" t="s">
        <v>78</v>
      </c>
      <c r="BR273" t="s">
        <v>78</v>
      </c>
    </row>
    <row r="274" customFormat="1" spans="1:70">
      <c r="A274" t="s">
        <v>1995</v>
      </c>
      <c r="B274" t="s">
        <v>1995</v>
      </c>
      <c r="C274" t="s">
        <v>1092</v>
      </c>
      <c r="D274" t="s">
        <v>108</v>
      </c>
      <c r="E274">
        <v>1</v>
      </c>
      <c r="F274" t="s">
        <v>1093</v>
      </c>
      <c r="G274" t="s">
        <v>1094</v>
      </c>
      <c r="H274">
        <v>289</v>
      </c>
      <c r="I274">
        <v>289</v>
      </c>
      <c r="J274">
        <v>0</v>
      </c>
      <c r="K274">
        <v>0</v>
      </c>
      <c r="L274" t="s">
        <v>78</v>
      </c>
      <c r="M274" t="s">
        <v>78</v>
      </c>
      <c r="N274" t="s">
        <v>78</v>
      </c>
      <c r="O274">
        <v>0</v>
      </c>
      <c r="P274">
        <v>0</v>
      </c>
      <c r="Q274">
        <v>0</v>
      </c>
      <c r="R274" t="s">
        <v>125</v>
      </c>
      <c r="S274">
        <v>0</v>
      </c>
      <c r="T274" t="s">
        <v>80</v>
      </c>
      <c r="U274" t="s">
        <v>80</v>
      </c>
      <c r="V274" t="s">
        <v>1261</v>
      </c>
      <c r="W274" t="s">
        <v>1996</v>
      </c>
      <c r="X274" t="s">
        <v>1997</v>
      </c>
      <c r="Y274" t="s">
        <v>1998</v>
      </c>
      <c r="Z274" t="s">
        <v>80</v>
      </c>
      <c r="AA274" t="s">
        <v>85</v>
      </c>
      <c r="AC274" t="s">
        <v>1999</v>
      </c>
      <c r="AD274" t="s">
        <v>87</v>
      </c>
      <c r="AG274" t="s">
        <v>2000</v>
      </c>
      <c r="AH274" t="s">
        <v>91</v>
      </c>
      <c r="AI274" t="s">
        <v>92</v>
      </c>
      <c r="AJ274" t="s">
        <v>131</v>
      </c>
      <c r="AK274" t="s">
        <v>2001</v>
      </c>
      <c r="AL274" t="s">
        <v>95</v>
      </c>
      <c r="AM274" t="s">
        <v>96</v>
      </c>
      <c r="AN274" t="s">
        <v>97</v>
      </c>
      <c r="AO274" t="s">
        <v>98</v>
      </c>
      <c r="AP274" t="s">
        <v>78</v>
      </c>
      <c r="AQ274" t="s">
        <v>99</v>
      </c>
      <c r="AS274" t="s">
        <v>78</v>
      </c>
      <c r="AT274" t="s">
        <v>100</v>
      </c>
      <c r="AU274" t="s">
        <v>100</v>
      </c>
      <c r="AW274" t="s">
        <v>85</v>
      </c>
      <c r="AX274" t="s">
        <v>103</v>
      </c>
      <c r="AY274" t="s">
        <v>159</v>
      </c>
      <c r="AZ274" t="s">
        <v>103</v>
      </c>
      <c r="BA274" t="s">
        <v>104</v>
      </c>
      <c r="BB274" t="s">
        <v>78</v>
      </c>
      <c r="BC274" t="s">
        <v>78</v>
      </c>
      <c r="BE274">
        <v>0</v>
      </c>
      <c r="BF274">
        <v>0</v>
      </c>
      <c r="BG274">
        <v>0</v>
      </c>
      <c r="BH274">
        <v>0</v>
      </c>
      <c r="BJ274" t="s">
        <v>85</v>
      </c>
      <c r="BP274" t="s">
        <v>78</v>
      </c>
      <c r="BQ274" t="s">
        <v>78</v>
      </c>
      <c r="BR274" t="s">
        <v>78</v>
      </c>
    </row>
    <row r="275" customFormat="1" spans="1:70">
      <c r="A275" t="s">
        <v>2002</v>
      </c>
      <c r="B275" t="s">
        <v>2002</v>
      </c>
      <c r="C275" t="s">
        <v>1092</v>
      </c>
      <c r="D275" t="s">
        <v>1391</v>
      </c>
      <c r="E275">
        <v>1</v>
      </c>
      <c r="F275" t="s">
        <v>1093</v>
      </c>
      <c r="G275" t="s">
        <v>1392</v>
      </c>
      <c r="H275">
        <v>289</v>
      </c>
      <c r="I275">
        <v>289</v>
      </c>
      <c r="J275">
        <v>0</v>
      </c>
      <c r="K275">
        <v>0</v>
      </c>
      <c r="L275" t="s">
        <v>78</v>
      </c>
      <c r="M275" t="s">
        <v>78</v>
      </c>
      <c r="N275" t="s">
        <v>78</v>
      </c>
      <c r="O275">
        <v>0</v>
      </c>
      <c r="P275">
        <v>0</v>
      </c>
      <c r="Q275">
        <v>0</v>
      </c>
      <c r="R275" t="s">
        <v>79</v>
      </c>
      <c r="S275">
        <v>0</v>
      </c>
      <c r="T275" t="s">
        <v>80</v>
      </c>
      <c r="U275" t="s">
        <v>80</v>
      </c>
      <c r="V275" t="s">
        <v>509</v>
      </c>
      <c r="W275" t="s">
        <v>623</v>
      </c>
      <c r="X275" t="s">
        <v>1943</v>
      </c>
      <c r="Y275" t="s">
        <v>1944</v>
      </c>
      <c r="Z275" t="s">
        <v>80</v>
      </c>
      <c r="AA275" t="s">
        <v>85</v>
      </c>
      <c r="AC275" t="s">
        <v>1999</v>
      </c>
      <c r="AD275" t="s">
        <v>87</v>
      </c>
      <c r="AG275" t="s">
        <v>2003</v>
      </c>
      <c r="AH275" t="s">
        <v>91</v>
      </c>
      <c r="AI275" t="s">
        <v>92</v>
      </c>
      <c r="AJ275" t="s">
        <v>131</v>
      </c>
      <c r="AK275" t="s">
        <v>2004</v>
      </c>
      <c r="AL275" t="s">
        <v>95</v>
      </c>
      <c r="AM275" t="s">
        <v>96</v>
      </c>
      <c r="AN275" t="s">
        <v>97</v>
      </c>
      <c r="AO275" t="s">
        <v>98</v>
      </c>
      <c r="AP275" t="s">
        <v>78</v>
      </c>
      <c r="AQ275" t="s">
        <v>99</v>
      </c>
      <c r="AS275" t="s">
        <v>78</v>
      </c>
      <c r="AT275" t="s">
        <v>100</v>
      </c>
      <c r="AU275" t="s">
        <v>100</v>
      </c>
      <c r="AW275" t="s">
        <v>85</v>
      </c>
      <c r="AX275" t="s">
        <v>101</v>
      </c>
      <c r="AY275" t="s">
        <v>102</v>
      </c>
      <c r="AZ275" t="s">
        <v>103</v>
      </c>
      <c r="BA275" t="s">
        <v>104</v>
      </c>
      <c r="BB275" t="s">
        <v>78</v>
      </c>
      <c r="BC275" t="s">
        <v>78</v>
      </c>
      <c r="BE275">
        <v>0</v>
      </c>
      <c r="BF275">
        <v>0</v>
      </c>
      <c r="BG275">
        <v>0</v>
      </c>
      <c r="BH275">
        <v>0</v>
      </c>
      <c r="BJ275" t="s">
        <v>85</v>
      </c>
      <c r="BP275" t="s">
        <v>78</v>
      </c>
      <c r="BQ275" t="s">
        <v>78</v>
      </c>
      <c r="BR275" t="s">
        <v>78</v>
      </c>
    </row>
    <row r="276" customFormat="1" spans="1:70">
      <c r="A276" t="s">
        <v>2005</v>
      </c>
      <c r="B276" t="s">
        <v>2005</v>
      </c>
      <c r="C276" t="s">
        <v>107</v>
      </c>
      <c r="D276" t="s">
        <v>108</v>
      </c>
      <c r="E276">
        <v>1</v>
      </c>
      <c r="F276" t="s">
        <v>109</v>
      </c>
      <c r="G276" t="s">
        <v>110</v>
      </c>
      <c r="H276">
        <v>289</v>
      </c>
      <c r="I276">
        <v>289</v>
      </c>
      <c r="J276">
        <v>0</v>
      </c>
      <c r="K276">
        <v>0</v>
      </c>
      <c r="L276" t="s">
        <v>78</v>
      </c>
      <c r="M276" t="s">
        <v>78</v>
      </c>
      <c r="N276" t="s">
        <v>78</v>
      </c>
      <c r="O276">
        <v>0</v>
      </c>
      <c r="P276">
        <v>0</v>
      </c>
      <c r="Q276">
        <v>0</v>
      </c>
      <c r="R276" t="s">
        <v>79</v>
      </c>
      <c r="S276">
        <v>0</v>
      </c>
      <c r="T276" t="s">
        <v>80</v>
      </c>
      <c r="U276" t="s">
        <v>80</v>
      </c>
      <c r="V276" t="s">
        <v>302</v>
      </c>
      <c r="W276" t="s">
        <v>1394</v>
      </c>
      <c r="X276" t="s">
        <v>2006</v>
      </c>
      <c r="Y276" t="s">
        <v>2007</v>
      </c>
      <c r="Z276" t="s">
        <v>80</v>
      </c>
      <c r="AA276" t="s">
        <v>85</v>
      </c>
      <c r="AC276" t="s">
        <v>2008</v>
      </c>
      <c r="AD276" t="s">
        <v>202</v>
      </c>
      <c r="AE276" t="s">
        <v>2009</v>
      </c>
      <c r="AG276" t="s">
        <v>2010</v>
      </c>
      <c r="AH276" t="s">
        <v>91</v>
      </c>
      <c r="AI276" t="s">
        <v>92</v>
      </c>
      <c r="AJ276" t="s">
        <v>131</v>
      </c>
      <c r="AK276" t="s">
        <v>2011</v>
      </c>
      <c r="AL276" t="s">
        <v>95</v>
      </c>
      <c r="AM276" t="s">
        <v>96</v>
      </c>
      <c r="AN276" t="s">
        <v>97</v>
      </c>
      <c r="AO276" t="s">
        <v>98</v>
      </c>
      <c r="AP276" t="s">
        <v>78</v>
      </c>
      <c r="AQ276" t="s">
        <v>99</v>
      </c>
      <c r="AS276" t="s">
        <v>78</v>
      </c>
      <c r="AT276" t="s">
        <v>100</v>
      </c>
      <c r="AU276" t="s">
        <v>100</v>
      </c>
      <c r="AW276" t="s">
        <v>85</v>
      </c>
      <c r="AX276" t="s">
        <v>101</v>
      </c>
      <c r="AY276" t="s">
        <v>102</v>
      </c>
      <c r="AZ276" t="s">
        <v>103</v>
      </c>
      <c r="BA276" t="s">
        <v>133</v>
      </c>
      <c r="BB276" t="s">
        <v>78</v>
      </c>
      <c r="BC276" t="s">
        <v>78</v>
      </c>
      <c r="BD276" t="s">
        <v>2012</v>
      </c>
      <c r="BE276">
        <v>0</v>
      </c>
      <c r="BF276">
        <v>0</v>
      </c>
      <c r="BG276">
        <v>0</v>
      </c>
      <c r="BH276">
        <v>0</v>
      </c>
      <c r="BJ276" t="s">
        <v>85</v>
      </c>
      <c r="BP276" t="s">
        <v>78</v>
      </c>
      <c r="BQ276" t="s">
        <v>78</v>
      </c>
      <c r="BR276" t="s">
        <v>78</v>
      </c>
    </row>
    <row r="277" customFormat="1" spans="1:70">
      <c r="A277" t="s">
        <v>2013</v>
      </c>
      <c r="B277" t="s">
        <v>2013</v>
      </c>
      <c r="C277" t="s">
        <v>1092</v>
      </c>
      <c r="D277" t="s">
        <v>123</v>
      </c>
      <c r="E277">
        <v>1</v>
      </c>
      <c r="F277" t="s">
        <v>1093</v>
      </c>
      <c r="G277" t="s">
        <v>1986</v>
      </c>
      <c r="H277">
        <v>289</v>
      </c>
      <c r="I277">
        <v>284</v>
      </c>
      <c r="J277">
        <v>0</v>
      </c>
      <c r="K277">
        <v>5</v>
      </c>
      <c r="L277" t="s">
        <v>659</v>
      </c>
      <c r="M277" t="s">
        <v>78</v>
      </c>
      <c r="N277" t="s">
        <v>78</v>
      </c>
      <c r="O277">
        <v>0</v>
      </c>
      <c r="P277">
        <v>0</v>
      </c>
      <c r="Q277">
        <v>0</v>
      </c>
      <c r="R277" t="s">
        <v>79</v>
      </c>
      <c r="S277">
        <v>0</v>
      </c>
      <c r="T277" t="s">
        <v>80</v>
      </c>
      <c r="U277" t="s">
        <v>80</v>
      </c>
      <c r="V277" t="s">
        <v>221</v>
      </c>
      <c r="W277" t="s">
        <v>599</v>
      </c>
      <c r="X277" t="s">
        <v>1827</v>
      </c>
      <c r="Y277" t="s">
        <v>2014</v>
      </c>
      <c r="Z277" t="s">
        <v>80</v>
      </c>
      <c r="AA277" t="s">
        <v>85</v>
      </c>
      <c r="AC277" t="s">
        <v>2015</v>
      </c>
      <c r="AD277" t="s">
        <v>87</v>
      </c>
      <c r="AF277" t="s">
        <v>2016</v>
      </c>
      <c r="AG277" t="s">
        <v>2017</v>
      </c>
      <c r="AH277" t="s">
        <v>91</v>
      </c>
      <c r="AI277" t="s">
        <v>92</v>
      </c>
      <c r="AJ277" t="s">
        <v>93</v>
      </c>
      <c r="AK277" t="s">
        <v>2018</v>
      </c>
      <c r="AL277" t="s">
        <v>95</v>
      </c>
      <c r="AM277" t="s">
        <v>96</v>
      </c>
      <c r="AN277" t="s">
        <v>97</v>
      </c>
      <c r="AO277" t="s">
        <v>98</v>
      </c>
      <c r="AP277" t="s">
        <v>78</v>
      </c>
      <c r="AQ277" t="s">
        <v>78</v>
      </c>
      <c r="AS277" t="s">
        <v>78</v>
      </c>
      <c r="AT277" t="s">
        <v>100</v>
      </c>
      <c r="AU277" t="s">
        <v>100</v>
      </c>
      <c r="AW277" t="s">
        <v>85</v>
      </c>
      <c r="AX277" t="s">
        <v>103</v>
      </c>
      <c r="AY277" t="s">
        <v>159</v>
      </c>
      <c r="AZ277" t="s">
        <v>103</v>
      </c>
      <c r="BA277" t="s">
        <v>104</v>
      </c>
      <c r="BB277" t="s">
        <v>78</v>
      </c>
      <c r="BC277" t="s">
        <v>78</v>
      </c>
      <c r="BD277" t="s">
        <v>2019</v>
      </c>
      <c r="BE277">
        <v>0</v>
      </c>
      <c r="BF277">
        <v>5</v>
      </c>
      <c r="BG277">
        <v>0</v>
      </c>
      <c r="BH277">
        <v>0</v>
      </c>
      <c r="BJ277" t="s">
        <v>85</v>
      </c>
      <c r="BP277" t="s">
        <v>78</v>
      </c>
      <c r="BQ277" t="s">
        <v>78</v>
      </c>
      <c r="BR277" t="s">
        <v>78</v>
      </c>
    </row>
    <row r="278" customFormat="1" spans="1:70">
      <c r="A278" t="s">
        <v>2020</v>
      </c>
      <c r="B278" t="s">
        <v>2020</v>
      </c>
      <c r="C278" t="s">
        <v>1092</v>
      </c>
      <c r="D278" t="s">
        <v>2021</v>
      </c>
      <c r="E278">
        <v>1</v>
      </c>
      <c r="F278" t="s">
        <v>1093</v>
      </c>
      <c r="G278" t="s">
        <v>2022</v>
      </c>
      <c r="H278">
        <v>289</v>
      </c>
      <c r="I278">
        <v>289</v>
      </c>
      <c r="J278">
        <v>0</v>
      </c>
      <c r="K278">
        <v>0</v>
      </c>
      <c r="L278" t="s">
        <v>78</v>
      </c>
      <c r="M278" t="s">
        <v>78</v>
      </c>
      <c r="N278" t="s">
        <v>78</v>
      </c>
      <c r="O278">
        <v>0</v>
      </c>
      <c r="P278">
        <v>0</v>
      </c>
      <c r="Q278">
        <v>0</v>
      </c>
      <c r="R278" t="s">
        <v>125</v>
      </c>
      <c r="S278">
        <v>0</v>
      </c>
      <c r="T278" t="s">
        <v>80</v>
      </c>
      <c r="U278" t="s">
        <v>80</v>
      </c>
      <c r="V278" t="s">
        <v>126</v>
      </c>
      <c r="W278" t="s">
        <v>377</v>
      </c>
      <c r="X278" t="s">
        <v>2023</v>
      </c>
      <c r="Y278" t="s">
        <v>2024</v>
      </c>
      <c r="Z278" t="s">
        <v>80</v>
      </c>
      <c r="AA278" t="s">
        <v>85</v>
      </c>
      <c r="AC278" t="s">
        <v>2025</v>
      </c>
      <c r="AD278" t="s">
        <v>87</v>
      </c>
      <c r="AF278" t="s">
        <v>2026</v>
      </c>
      <c r="AG278" t="s">
        <v>2027</v>
      </c>
      <c r="AH278" t="s">
        <v>91</v>
      </c>
      <c r="AI278" t="s">
        <v>92</v>
      </c>
      <c r="AJ278" t="s">
        <v>93</v>
      </c>
      <c r="AK278" t="s">
        <v>2028</v>
      </c>
      <c r="AL278" t="s">
        <v>95</v>
      </c>
      <c r="AM278" t="s">
        <v>96</v>
      </c>
      <c r="AN278" t="s">
        <v>97</v>
      </c>
      <c r="AO278" t="s">
        <v>98</v>
      </c>
      <c r="AP278" t="s">
        <v>78</v>
      </c>
      <c r="AQ278" t="s">
        <v>78</v>
      </c>
      <c r="AS278" t="s">
        <v>78</v>
      </c>
      <c r="AT278" t="s">
        <v>100</v>
      </c>
      <c r="AU278" t="s">
        <v>100</v>
      </c>
      <c r="AW278" t="s">
        <v>85</v>
      </c>
      <c r="AX278" t="s">
        <v>101</v>
      </c>
      <c r="AY278" t="s">
        <v>102</v>
      </c>
      <c r="AZ278" t="s">
        <v>103</v>
      </c>
      <c r="BA278" t="s">
        <v>120</v>
      </c>
      <c r="BB278" t="s">
        <v>78</v>
      </c>
      <c r="BC278" t="s">
        <v>78</v>
      </c>
      <c r="BD278" t="s">
        <v>2029</v>
      </c>
      <c r="BE278">
        <v>0</v>
      </c>
      <c r="BF278">
        <v>0</v>
      </c>
      <c r="BG278">
        <v>0</v>
      </c>
      <c r="BH278">
        <v>0</v>
      </c>
      <c r="BJ278" t="s">
        <v>85</v>
      </c>
      <c r="BP278" t="s">
        <v>78</v>
      </c>
      <c r="BQ278" t="s">
        <v>78</v>
      </c>
      <c r="BR278" t="s">
        <v>78</v>
      </c>
    </row>
    <row r="279" customFormat="1" spans="1:70">
      <c r="A279" t="s">
        <v>2030</v>
      </c>
      <c r="B279" t="s">
        <v>2030</v>
      </c>
      <c r="C279" t="s">
        <v>1092</v>
      </c>
      <c r="D279" t="s">
        <v>108</v>
      </c>
      <c r="E279">
        <v>1</v>
      </c>
      <c r="F279" t="s">
        <v>1093</v>
      </c>
      <c r="G279" t="s">
        <v>1094</v>
      </c>
      <c r="H279">
        <v>289</v>
      </c>
      <c r="I279">
        <v>289</v>
      </c>
      <c r="J279">
        <v>0</v>
      </c>
      <c r="K279">
        <v>0</v>
      </c>
      <c r="L279" t="s">
        <v>78</v>
      </c>
      <c r="M279" t="s">
        <v>78</v>
      </c>
      <c r="N279" t="s">
        <v>78</v>
      </c>
      <c r="O279">
        <v>0</v>
      </c>
      <c r="P279">
        <v>0</v>
      </c>
      <c r="Q279">
        <v>0</v>
      </c>
      <c r="R279" t="s">
        <v>79</v>
      </c>
      <c r="S279">
        <v>0</v>
      </c>
      <c r="T279" t="s">
        <v>80</v>
      </c>
      <c r="U279" t="s">
        <v>80</v>
      </c>
      <c r="V279" t="s">
        <v>325</v>
      </c>
      <c r="W279" t="s">
        <v>788</v>
      </c>
      <c r="X279" t="s">
        <v>2031</v>
      </c>
      <c r="Y279" t="s">
        <v>2032</v>
      </c>
      <c r="Z279" t="s">
        <v>80</v>
      </c>
      <c r="AA279" t="s">
        <v>85</v>
      </c>
      <c r="AC279" t="s">
        <v>2033</v>
      </c>
      <c r="AD279" t="s">
        <v>87</v>
      </c>
      <c r="AG279" t="s">
        <v>2034</v>
      </c>
      <c r="AH279" t="s">
        <v>91</v>
      </c>
      <c r="AI279" t="s">
        <v>92</v>
      </c>
      <c r="AJ279" t="s">
        <v>131</v>
      </c>
      <c r="AK279" t="s">
        <v>2035</v>
      </c>
      <c r="AL279" t="s">
        <v>95</v>
      </c>
      <c r="AM279" t="s">
        <v>96</v>
      </c>
      <c r="AN279" t="s">
        <v>97</v>
      </c>
      <c r="AO279" t="s">
        <v>98</v>
      </c>
      <c r="AP279" t="s">
        <v>78</v>
      </c>
      <c r="AQ279" t="s">
        <v>99</v>
      </c>
      <c r="AS279" t="s">
        <v>78</v>
      </c>
      <c r="AT279" t="s">
        <v>100</v>
      </c>
      <c r="AU279" t="s">
        <v>100</v>
      </c>
      <c r="AW279" t="s">
        <v>85</v>
      </c>
      <c r="AX279" t="s">
        <v>101</v>
      </c>
      <c r="AY279" t="s">
        <v>102</v>
      </c>
      <c r="AZ279" t="s">
        <v>103</v>
      </c>
      <c r="BA279" t="s">
        <v>104</v>
      </c>
      <c r="BB279" t="s">
        <v>78</v>
      </c>
      <c r="BC279" t="s">
        <v>78</v>
      </c>
      <c r="BE279">
        <v>0</v>
      </c>
      <c r="BF279">
        <v>0</v>
      </c>
      <c r="BG279">
        <v>0</v>
      </c>
      <c r="BH279">
        <v>0</v>
      </c>
      <c r="BJ279" t="s">
        <v>85</v>
      </c>
      <c r="BP279" t="s">
        <v>78</v>
      </c>
      <c r="BQ279" t="s">
        <v>78</v>
      </c>
      <c r="BR279" t="s">
        <v>78</v>
      </c>
    </row>
    <row r="280" customFormat="1" spans="1:70">
      <c r="A280" t="s">
        <v>2036</v>
      </c>
      <c r="B280" t="s">
        <v>2036</v>
      </c>
      <c r="C280" t="s">
        <v>1092</v>
      </c>
      <c r="D280" t="s">
        <v>108</v>
      </c>
      <c r="E280">
        <v>1</v>
      </c>
      <c r="F280" t="s">
        <v>1093</v>
      </c>
      <c r="G280" t="s">
        <v>1094</v>
      </c>
      <c r="H280">
        <v>289</v>
      </c>
      <c r="I280">
        <v>289</v>
      </c>
      <c r="J280">
        <v>0</v>
      </c>
      <c r="K280">
        <v>0</v>
      </c>
      <c r="L280" t="s">
        <v>78</v>
      </c>
      <c r="M280" t="s">
        <v>78</v>
      </c>
      <c r="N280" t="s">
        <v>78</v>
      </c>
      <c r="O280">
        <v>0</v>
      </c>
      <c r="P280">
        <v>0</v>
      </c>
      <c r="Q280">
        <v>0</v>
      </c>
      <c r="R280" t="s">
        <v>125</v>
      </c>
      <c r="S280">
        <v>0</v>
      </c>
      <c r="T280" t="s">
        <v>80</v>
      </c>
      <c r="U280" t="s">
        <v>80</v>
      </c>
      <c r="V280" t="s">
        <v>189</v>
      </c>
      <c r="W280" t="s">
        <v>2037</v>
      </c>
      <c r="X280" t="s">
        <v>2038</v>
      </c>
      <c r="Y280" t="s">
        <v>2039</v>
      </c>
      <c r="Z280" t="s">
        <v>80</v>
      </c>
      <c r="AA280" t="s">
        <v>85</v>
      </c>
      <c r="AC280" t="s">
        <v>2040</v>
      </c>
      <c r="AD280" t="s">
        <v>87</v>
      </c>
      <c r="AF280" t="s">
        <v>2041</v>
      </c>
      <c r="AG280" t="s">
        <v>2042</v>
      </c>
      <c r="AH280" t="s">
        <v>91</v>
      </c>
      <c r="AI280" t="s">
        <v>92</v>
      </c>
      <c r="AJ280" t="s">
        <v>93</v>
      </c>
      <c r="AK280" t="s">
        <v>2043</v>
      </c>
      <c r="AL280" t="s">
        <v>95</v>
      </c>
      <c r="AM280" t="s">
        <v>96</v>
      </c>
      <c r="AN280" t="s">
        <v>97</v>
      </c>
      <c r="AO280" t="s">
        <v>98</v>
      </c>
      <c r="AP280" t="s">
        <v>78</v>
      </c>
      <c r="AQ280" t="s">
        <v>78</v>
      </c>
      <c r="AS280" t="s">
        <v>78</v>
      </c>
      <c r="AT280" t="s">
        <v>100</v>
      </c>
      <c r="AU280" t="s">
        <v>100</v>
      </c>
      <c r="AW280" t="s">
        <v>85</v>
      </c>
      <c r="AX280" t="s">
        <v>101</v>
      </c>
      <c r="AY280" t="s">
        <v>102</v>
      </c>
      <c r="AZ280" t="s">
        <v>103</v>
      </c>
      <c r="BA280" t="s">
        <v>133</v>
      </c>
      <c r="BB280" t="s">
        <v>78</v>
      </c>
      <c r="BC280" t="s">
        <v>78</v>
      </c>
      <c r="BD280" t="s">
        <v>2044</v>
      </c>
      <c r="BE280">
        <v>0</v>
      </c>
      <c r="BF280">
        <v>0</v>
      </c>
      <c r="BG280">
        <v>0</v>
      </c>
      <c r="BH280">
        <v>0</v>
      </c>
      <c r="BJ280" t="s">
        <v>85</v>
      </c>
      <c r="BP280" t="s">
        <v>78</v>
      </c>
      <c r="BQ280" t="s">
        <v>78</v>
      </c>
      <c r="BR280" t="s">
        <v>78</v>
      </c>
    </row>
    <row r="281" customFormat="1" spans="1:70">
      <c r="A281" t="s">
        <v>2045</v>
      </c>
      <c r="B281" t="s">
        <v>2045</v>
      </c>
      <c r="C281" t="s">
        <v>1092</v>
      </c>
      <c r="D281" t="s">
        <v>123</v>
      </c>
      <c r="E281">
        <v>1</v>
      </c>
      <c r="F281" t="s">
        <v>1093</v>
      </c>
      <c r="G281" t="s">
        <v>1986</v>
      </c>
      <c r="H281">
        <v>289</v>
      </c>
      <c r="I281">
        <v>289</v>
      </c>
      <c r="J281">
        <v>0</v>
      </c>
      <c r="K281">
        <v>0</v>
      </c>
      <c r="L281" t="s">
        <v>78</v>
      </c>
      <c r="M281" t="s">
        <v>78</v>
      </c>
      <c r="N281" t="s">
        <v>78</v>
      </c>
      <c r="O281">
        <v>0</v>
      </c>
      <c r="P281">
        <v>0</v>
      </c>
      <c r="Q281">
        <v>0</v>
      </c>
      <c r="R281" t="s">
        <v>125</v>
      </c>
      <c r="S281">
        <v>0</v>
      </c>
      <c r="T281" t="s">
        <v>80</v>
      </c>
      <c r="U281" t="s">
        <v>80</v>
      </c>
      <c r="V281" t="s">
        <v>126</v>
      </c>
      <c r="W281" t="s">
        <v>377</v>
      </c>
      <c r="X281" t="s">
        <v>2023</v>
      </c>
      <c r="Y281" t="s">
        <v>2024</v>
      </c>
      <c r="Z281" t="s">
        <v>80</v>
      </c>
      <c r="AA281" t="s">
        <v>85</v>
      </c>
      <c r="AC281" t="s">
        <v>2046</v>
      </c>
      <c r="AD281" t="s">
        <v>87</v>
      </c>
      <c r="AF281" t="s">
        <v>2047</v>
      </c>
      <c r="AG281" t="s">
        <v>2048</v>
      </c>
      <c r="AH281" t="s">
        <v>91</v>
      </c>
      <c r="AI281" t="s">
        <v>92</v>
      </c>
      <c r="AJ281" t="s">
        <v>93</v>
      </c>
      <c r="AK281" t="s">
        <v>2049</v>
      </c>
      <c r="AL281" t="s">
        <v>95</v>
      </c>
      <c r="AM281" t="s">
        <v>96</v>
      </c>
      <c r="AN281" t="s">
        <v>97</v>
      </c>
      <c r="AO281" t="s">
        <v>98</v>
      </c>
      <c r="AP281" t="s">
        <v>78</v>
      </c>
      <c r="AQ281" t="s">
        <v>78</v>
      </c>
      <c r="AS281" t="s">
        <v>78</v>
      </c>
      <c r="AT281" t="s">
        <v>100</v>
      </c>
      <c r="AU281" t="s">
        <v>100</v>
      </c>
      <c r="AW281" t="s">
        <v>85</v>
      </c>
      <c r="AX281" t="s">
        <v>101</v>
      </c>
      <c r="AY281" t="s">
        <v>102</v>
      </c>
      <c r="AZ281" t="s">
        <v>103</v>
      </c>
      <c r="BA281" t="s">
        <v>120</v>
      </c>
      <c r="BB281" t="s">
        <v>78</v>
      </c>
      <c r="BC281" t="s">
        <v>78</v>
      </c>
      <c r="BD281" t="s">
        <v>2050</v>
      </c>
      <c r="BE281">
        <v>0</v>
      </c>
      <c r="BF281">
        <v>0</v>
      </c>
      <c r="BG281">
        <v>0</v>
      </c>
      <c r="BH281">
        <v>0</v>
      </c>
      <c r="BJ281" t="s">
        <v>85</v>
      </c>
      <c r="BP281" t="s">
        <v>78</v>
      </c>
      <c r="BQ281" t="s">
        <v>78</v>
      </c>
      <c r="BR281" t="s">
        <v>78</v>
      </c>
    </row>
    <row r="282" customFormat="1" spans="1:70">
      <c r="A282" t="s">
        <v>2051</v>
      </c>
      <c r="B282" t="s">
        <v>2051</v>
      </c>
      <c r="C282" t="s">
        <v>107</v>
      </c>
      <c r="D282" t="s">
        <v>108</v>
      </c>
      <c r="E282">
        <v>1</v>
      </c>
      <c r="F282" t="s">
        <v>109</v>
      </c>
      <c r="G282" t="s">
        <v>110</v>
      </c>
      <c r="H282">
        <v>289</v>
      </c>
      <c r="I282">
        <v>289</v>
      </c>
      <c r="J282">
        <v>0</v>
      </c>
      <c r="K282">
        <v>0</v>
      </c>
      <c r="L282" t="s">
        <v>78</v>
      </c>
      <c r="M282" t="s">
        <v>78</v>
      </c>
      <c r="N282" t="s">
        <v>78</v>
      </c>
      <c r="O282">
        <v>0</v>
      </c>
      <c r="P282">
        <v>0</v>
      </c>
      <c r="Q282">
        <v>0</v>
      </c>
      <c r="R282" t="s">
        <v>79</v>
      </c>
      <c r="S282">
        <v>0</v>
      </c>
      <c r="T282" t="s">
        <v>80</v>
      </c>
      <c r="U282" t="s">
        <v>80</v>
      </c>
      <c r="V282" t="s">
        <v>271</v>
      </c>
      <c r="W282" t="s">
        <v>272</v>
      </c>
      <c r="X282" t="s">
        <v>1172</v>
      </c>
      <c r="Y282" t="s">
        <v>1173</v>
      </c>
      <c r="Z282" t="s">
        <v>80</v>
      </c>
      <c r="AA282" t="s">
        <v>85</v>
      </c>
      <c r="AC282" t="s">
        <v>2052</v>
      </c>
      <c r="AD282" t="s">
        <v>87</v>
      </c>
      <c r="AG282" t="s">
        <v>2053</v>
      </c>
      <c r="AH282" t="s">
        <v>91</v>
      </c>
      <c r="AI282" t="s">
        <v>92</v>
      </c>
      <c r="AJ282" t="s">
        <v>131</v>
      </c>
      <c r="AK282" t="s">
        <v>2054</v>
      </c>
      <c r="AL282" t="s">
        <v>95</v>
      </c>
      <c r="AM282" t="s">
        <v>96</v>
      </c>
      <c r="AN282" t="s">
        <v>97</v>
      </c>
      <c r="AO282" t="s">
        <v>98</v>
      </c>
      <c r="AP282" t="s">
        <v>78</v>
      </c>
      <c r="AQ282" t="s">
        <v>99</v>
      </c>
      <c r="AS282" t="s">
        <v>78</v>
      </c>
      <c r="AT282" t="s">
        <v>100</v>
      </c>
      <c r="AU282" t="s">
        <v>100</v>
      </c>
      <c r="AW282" t="s">
        <v>85</v>
      </c>
      <c r="AX282" t="s">
        <v>101</v>
      </c>
      <c r="AY282" t="s">
        <v>102</v>
      </c>
      <c r="AZ282" t="s">
        <v>103</v>
      </c>
      <c r="BA282" t="s">
        <v>133</v>
      </c>
      <c r="BB282" t="s">
        <v>78</v>
      </c>
      <c r="BC282" t="s">
        <v>78</v>
      </c>
      <c r="BE282">
        <v>0</v>
      </c>
      <c r="BF282">
        <v>0</v>
      </c>
      <c r="BG282">
        <v>0</v>
      </c>
      <c r="BH282">
        <v>0</v>
      </c>
      <c r="BJ282" t="s">
        <v>85</v>
      </c>
      <c r="BP282" t="s">
        <v>78</v>
      </c>
      <c r="BQ282" t="s">
        <v>78</v>
      </c>
      <c r="BR282" t="s">
        <v>78</v>
      </c>
    </row>
    <row r="283" customFormat="1" spans="1:70">
      <c r="A283" t="s">
        <v>2055</v>
      </c>
      <c r="B283" t="s">
        <v>2055</v>
      </c>
      <c r="C283" t="s">
        <v>107</v>
      </c>
      <c r="D283" t="s">
        <v>123</v>
      </c>
      <c r="E283">
        <v>1</v>
      </c>
      <c r="F283" t="s">
        <v>109</v>
      </c>
      <c r="G283" t="s">
        <v>124</v>
      </c>
      <c r="H283">
        <v>289</v>
      </c>
      <c r="I283">
        <v>276</v>
      </c>
      <c r="J283">
        <v>0</v>
      </c>
      <c r="K283">
        <v>13</v>
      </c>
      <c r="L283" t="s">
        <v>2056</v>
      </c>
      <c r="M283" t="s">
        <v>78</v>
      </c>
      <c r="N283" t="s">
        <v>78</v>
      </c>
      <c r="O283">
        <v>0</v>
      </c>
      <c r="P283">
        <v>0</v>
      </c>
      <c r="Q283">
        <v>0</v>
      </c>
      <c r="R283" t="s">
        <v>111</v>
      </c>
      <c r="S283">
        <v>0</v>
      </c>
      <c r="T283" t="s">
        <v>80</v>
      </c>
      <c r="U283" t="s">
        <v>80</v>
      </c>
      <c r="V283" t="s">
        <v>239</v>
      </c>
      <c r="W283" t="s">
        <v>913</v>
      </c>
      <c r="X283" t="s">
        <v>2057</v>
      </c>
      <c r="Y283" t="s">
        <v>2058</v>
      </c>
      <c r="Z283" t="s">
        <v>80</v>
      </c>
      <c r="AA283" t="s">
        <v>85</v>
      </c>
      <c r="AC283" t="s">
        <v>2059</v>
      </c>
      <c r="AD283" t="s">
        <v>202</v>
      </c>
      <c r="AE283" t="s">
        <v>2060</v>
      </c>
      <c r="AG283" t="s">
        <v>2061</v>
      </c>
      <c r="AH283" t="s">
        <v>91</v>
      </c>
      <c r="AI283" t="s">
        <v>92</v>
      </c>
      <c r="AJ283" t="s">
        <v>131</v>
      </c>
      <c r="AK283" t="s">
        <v>2062</v>
      </c>
      <c r="AL283" t="s">
        <v>95</v>
      </c>
      <c r="AM283" t="s">
        <v>96</v>
      </c>
      <c r="AN283" t="s">
        <v>97</v>
      </c>
      <c r="AO283" t="s">
        <v>98</v>
      </c>
      <c r="AP283" t="s">
        <v>78</v>
      </c>
      <c r="AQ283" t="s">
        <v>99</v>
      </c>
      <c r="AS283" t="s">
        <v>78</v>
      </c>
      <c r="AT283" t="s">
        <v>100</v>
      </c>
      <c r="AU283" t="s">
        <v>100</v>
      </c>
      <c r="AW283" t="s">
        <v>85</v>
      </c>
      <c r="AX283" t="s">
        <v>103</v>
      </c>
      <c r="AY283" t="s">
        <v>159</v>
      </c>
      <c r="AZ283" t="s">
        <v>103</v>
      </c>
      <c r="BA283" t="s">
        <v>104</v>
      </c>
      <c r="BB283" t="s">
        <v>78</v>
      </c>
      <c r="BC283" t="s">
        <v>78</v>
      </c>
      <c r="BD283" t="s">
        <v>1878</v>
      </c>
      <c r="BE283">
        <v>0</v>
      </c>
      <c r="BF283">
        <v>13</v>
      </c>
      <c r="BG283">
        <v>0</v>
      </c>
      <c r="BH283">
        <v>0</v>
      </c>
      <c r="BJ283" t="s">
        <v>85</v>
      </c>
      <c r="BP283" t="s">
        <v>78</v>
      </c>
      <c r="BQ283" t="s">
        <v>78</v>
      </c>
      <c r="BR283" t="s">
        <v>78</v>
      </c>
    </row>
    <row r="284" customFormat="1" spans="1:70">
      <c r="A284" t="s">
        <v>2063</v>
      </c>
      <c r="B284" t="s">
        <v>2063</v>
      </c>
      <c r="C284" t="s">
        <v>107</v>
      </c>
      <c r="D284" t="s">
        <v>123</v>
      </c>
      <c r="E284">
        <v>1</v>
      </c>
      <c r="F284" t="s">
        <v>109</v>
      </c>
      <c r="G284" t="s">
        <v>124</v>
      </c>
      <c r="H284">
        <v>289</v>
      </c>
      <c r="I284">
        <v>289</v>
      </c>
      <c r="J284">
        <v>0</v>
      </c>
      <c r="K284">
        <v>0</v>
      </c>
      <c r="L284" t="s">
        <v>78</v>
      </c>
      <c r="M284" t="s">
        <v>78</v>
      </c>
      <c r="N284" t="s">
        <v>78</v>
      </c>
      <c r="O284">
        <v>0</v>
      </c>
      <c r="P284">
        <v>0</v>
      </c>
      <c r="Q284">
        <v>0</v>
      </c>
      <c r="R284" t="s">
        <v>111</v>
      </c>
      <c r="S284">
        <v>0</v>
      </c>
      <c r="T284" t="s">
        <v>80</v>
      </c>
      <c r="U284" t="s">
        <v>80</v>
      </c>
      <c r="V284" t="s">
        <v>239</v>
      </c>
      <c r="W284" t="s">
        <v>913</v>
      </c>
      <c r="X284" t="s">
        <v>2057</v>
      </c>
      <c r="Y284" t="s">
        <v>2058</v>
      </c>
      <c r="Z284" t="s">
        <v>80</v>
      </c>
      <c r="AA284" t="s">
        <v>85</v>
      </c>
      <c r="AC284" t="s">
        <v>2064</v>
      </c>
      <c r="AD284" t="s">
        <v>87</v>
      </c>
      <c r="AG284" t="s">
        <v>2065</v>
      </c>
      <c r="AH284" t="s">
        <v>91</v>
      </c>
      <c r="AI284" t="s">
        <v>92</v>
      </c>
      <c r="AJ284" t="s">
        <v>131</v>
      </c>
      <c r="AK284" t="s">
        <v>2066</v>
      </c>
      <c r="AL284" t="s">
        <v>95</v>
      </c>
      <c r="AM284" t="s">
        <v>96</v>
      </c>
      <c r="AN284" t="s">
        <v>97</v>
      </c>
      <c r="AO284" t="s">
        <v>98</v>
      </c>
      <c r="AP284" t="s">
        <v>78</v>
      </c>
      <c r="AQ284" t="s">
        <v>99</v>
      </c>
      <c r="AS284" t="s">
        <v>78</v>
      </c>
      <c r="AT284" t="s">
        <v>100</v>
      </c>
      <c r="AU284" t="s">
        <v>100</v>
      </c>
      <c r="AW284" t="s">
        <v>85</v>
      </c>
      <c r="AX284" t="s">
        <v>103</v>
      </c>
      <c r="AY284" t="s">
        <v>159</v>
      </c>
      <c r="AZ284" t="s">
        <v>103</v>
      </c>
      <c r="BA284" t="s">
        <v>104</v>
      </c>
      <c r="BB284" t="s">
        <v>78</v>
      </c>
      <c r="BC284" t="s">
        <v>78</v>
      </c>
      <c r="BE284">
        <v>0</v>
      </c>
      <c r="BF284">
        <v>0</v>
      </c>
      <c r="BG284">
        <v>0</v>
      </c>
      <c r="BH284">
        <v>0</v>
      </c>
      <c r="BJ284" t="s">
        <v>85</v>
      </c>
      <c r="BP284" t="s">
        <v>78</v>
      </c>
      <c r="BQ284" t="s">
        <v>78</v>
      </c>
      <c r="BR284" t="s">
        <v>78</v>
      </c>
    </row>
    <row r="285" customFormat="1" spans="1:70">
      <c r="A285" t="s">
        <v>2067</v>
      </c>
      <c r="B285" t="s">
        <v>2067</v>
      </c>
      <c r="C285" t="s">
        <v>107</v>
      </c>
      <c r="D285" t="s">
        <v>135</v>
      </c>
      <c r="E285">
        <v>1</v>
      </c>
      <c r="F285" t="s">
        <v>109</v>
      </c>
      <c r="G285" t="s">
        <v>136</v>
      </c>
      <c r="H285">
        <v>289</v>
      </c>
      <c r="I285">
        <v>271</v>
      </c>
      <c r="J285">
        <v>0</v>
      </c>
      <c r="K285">
        <v>18</v>
      </c>
      <c r="L285" t="s">
        <v>2068</v>
      </c>
      <c r="M285" t="s">
        <v>78</v>
      </c>
      <c r="N285" t="s">
        <v>78</v>
      </c>
      <c r="O285">
        <v>0</v>
      </c>
      <c r="P285">
        <v>0</v>
      </c>
      <c r="Q285">
        <v>0</v>
      </c>
      <c r="R285" t="s">
        <v>125</v>
      </c>
      <c r="S285">
        <v>0</v>
      </c>
      <c r="T285" t="s">
        <v>80</v>
      </c>
      <c r="U285" t="s">
        <v>80</v>
      </c>
      <c r="V285" t="s">
        <v>447</v>
      </c>
      <c r="W285" t="s">
        <v>2069</v>
      </c>
      <c r="X285" t="s">
        <v>2070</v>
      </c>
      <c r="Y285" t="s">
        <v>78</v>
      </c>
      <c r="Z285" t="s">
        <v>80</v>
      </c>
      <c r="AA285" t="s">
        <v>85</v>
      </c>
      <c r="AC285" t="s">
        <v>2071</v>
      </c>
      <c r="AD285" t="s">
        <v>87</v>
      </c>
      <c r="AG285" t="s">
        <v>2072</v>
      </c>
      <c r="AH285" t="s">
        <v>91</v>
      </c>
      <c r="AI285" t="s">
        <v>92</v>
      </c>
      <c r="AJ285" t="s">
        <v>131</v>
      </c>
      <c r="AK285" t="s">
        <v>2073</v>
      </c>
      <c r="AL285" t="s">
        <v>95</v>
      </c>
      <c r="AM285" t="s">
        <v>96</v>
      </c>
      <c r="AN285" t="s">
        <v>97</v>
      </c>
      <c r="AO285" t="s">
        <v>98</v>
      </c>
      <c r="AP285" t="s">
        <v>78</v>
      </c>
      <c r="AQ285" t="s">
        <v>99</v>
      </c>
      <c r="AS285" t="s">
        <v>78</v>
      </c>
      <c r="AT285" t="s">
        <v>100</v>
      </c>
      <c r="AU285" t="s">
        <v>100</v>
      </c>
      <c r="AW285" t="s">
        <v>85</v>
      </c>
      <c r="AX285" t="s">
        <v>103</v>
      </c>
      <c r="AY285" t="s">
        <v>159</v>
      </c>
      <c r="AZ285" t="s">
        <v>103</v>
      </c>
      <c r="BA285" t="s">
        <v>104</v>
      </c>
      <c r="BB285" t="s">
        <v>78</v>
      </c>
      <c r="BC285" t="s">
        <v>78</v>
      </c>
      <c r="BE285">
        <v>0</v>
      </c>
      <c r="BF285">
        <v>18</v>
      </c>
      <c r="BG285">
        <v>0</v>
      </c>
      <c r="BH285">
        <v>0</v>
      </c>
      <c r="BJ285" t="s">
        <v>85</v>
      </c>
      <c r="BP285" t="s">
        <v>78</v>
      </c>
      <c r="BQ285" t="s">
        <v>78</v>
      </c>
      <c r="BR285" t="s">
        <v>78</v>
      </c>
    </row>
    <row r="286" customFormat="1" spans="1:70">
      <c r="A286" t="s">
        <v>2074</v>
      </c>
      <c r="B286" t="s">
        <v>2074</v>
      </c>
      <c r="C286" t="s">
        <v>107</v>
      </c>
      <c r="D286" t="s">
        <v>108</v>
      </c>
      <c r="E286">
        <v>1</v>
      </c>
      <c r="F286" t="s">
        <v>109</v>
      </c>
      <c r="G286" t="s">
        <v>110</v>
      </c>
      <c r="H286">
        <v>289</v>
      </c>
      <c r="I286">
        <v>289</v>
      </c>
      <c r="J286">
        <v>0</v>
      </c>
      <c r="K286">
        <v>0</v>
      </c>
      <c r="L286" t="s">
        <v>78</v>
      </c>
      <c r="M286" t="s">
        <v>78</v>
      </c>
      <c r="N286" t="s">
        <v>78</v>
      </c>
      <c r="O286">
        <v>0</v>
      </c>
      <c r="P286">
        <v>0</v>
      </c>
      <c r="Q286">
        <v>0</v>
      </c>
      <c r="R286" t="s">
        <v>79</v>
      </c>
      <c r="S286">
        <v>0</v>
      </c>
      <c r="T286" t="s">
        <v>80</v>
      </c>
      <c r="U286" t="s">
        <v>80</v>
      </c>
      <c r="V286" t="s">
        <v>161</v>
      </c>
      <c r="W286" t="s">
        <v>161</v>
      </c>
      <c r="X286" t="s">
        <v>2075</v>
      </c>
      <c r="Y286" t="s">
        <v>78</v>
      </c>
      <c r="Z286" t="s">
        <v>80</v>
      </c>
      <c r="AA286" t="s">
        <v>85</v>
      </c>
      <c r="AC286" t="s">
        <v>2076</v>
      </c>
      <c r="AD286" t="s">
        <v>87</v>
      </c>
      <c r="AG286" t="s">
        <v>2077</v>
      </c>
      <c r="AH286" t="s">
        <v>91</v>
      </c>
      <c r="AI286" t="s">
        <v>92</v>
      </c>
      <c r="AJ286" t="s">
        <v>131</v>
      </c>
      <c r="AK286" t="s">
        <v>2078</v>
      </c>
      <c r="AL286" t="s">
        <v>95</v>
      </c>
      <c r="AM286" t="s">
        <v>96</v>
      </c>
      <c r="AN286" t="s">
        <v>97</v>
      </c>
      <c r="AO286" t="s">
        <v>98</v>
      </c>
      <c r="AP286" t="s">
        <v>78</v>
      </c>
      <c r="AQ286" t="s">
        <v>99</v>
      </c>
      <c r="AS286" t="s">
        <v>78</v>
      </c>
      <c r="AT286" t="s">
        <v>100</v>
      </c>
      <c r="AU286" t="s">
        <v>100</v>
      </c>
      <c r="AW286" t="s">
        <v>85</v>
      </c>
      <c r="AX286" t="s">
        <v>101</v>
      </c>
      <c r="AY286" t="s">
        <v>102</v>
      </c>
      <c r="AZ286" t="s">
        <v>103</v>
      </c>
      <c r="BA286" t="s">
        <v>104</v>
      </c>
      <c r="BB286" t="s">
        <v>78</v>
      </c>
      <c r="BC286" t="s">
        <v>78</v>
      </c>
      <c r="BE286">
        <v>0</v>
      </c>
      <c r="BF286">
        <v>0</v>
      </c>
      <c r="BG286">
        <v>0</v>
      </c>
      <c r="BH286">
        <v>0</v>
      </c>
      <c r="BJ286" t="s">
        <v>85</v>
      </c>
      <c r="BP286" t="s">
        <v>78</v>
      </c>
      <c r="BQ286" t="s">
        <v>78</v>
      </c>
      <c r="BR286" t="s">
        <v>78</v>
      </c>
    </row>
    <row r="287" customFormat="1" spans="1:70">
      <c r="A287" t="s">
        <v>2079</v>
      </c>
      <c r="B287" t="s">
        <v>2079</v>
      </c>
      <c r="C287" t="s">
        <v>107</v>
      </c>
      <c r="D287" t="s">
        <v>108</v>
      </c>
      <c r="E287">
        <v>1</v>
      </c>
      <c r="F287" t="s">
        <v>109</v>
      </c>
      <c r="G287" t="s">
        <v>110</v>
      </c>
      <c r="H287">
        <v>289</v>
      </c>
      <c r="I287">
        <v>269</v>
      </c>
      <c r="J287">
        <v>0</v>
      </c>
      <c r="K287">
        <v>20</v>
      </c>
      <c r="L287" t="s">
        <v>495</v>
      </c>
      <c r="M287" t="s">
        <v>78</v>
      </c>
      <c r="N287" t="s">
        <v>78</v>
      </c>
      <c r="O287">
        <v>0</v>
      </c>
      <c r="P287">
        <v>0</v>
      </c>
      <c r="Q287">
        <v>0</v>
      </c>
      <c r="R287" t="s">
        <v>79</v>
      </c>
      <c r="S287">
        <v>0</v>
      </c>
      <c r="T287" t="s">
        <v>80</v>
      </c>
      <c r="U287" t="s">
        <v>80</v>
      </c>
      <c r="V287" t="s">
        <v>112</v>
      </c>
      <c r="W287" t="s">
        <v>198</v>
      </c>
      <c r="X287" t="s">
        <v>199</v>
      </c>
      <c r="Y287" t="s">
        <v>200</v>
      </c>
      <c r="Z287" t="s">
        <v>80</v>
      </c>
      <c r="AA287" t="s">
        <v>85</v>
      </c>
      <c r="AC287" t="s">
        <v>2080</v>
      </c>
      <c r="AD287" t="s">
        <v>202</v>
      </c>
      <c r="AE287" t="s">
        <v>2081</v>
      </c>
      <c r="AF287" t="s">
        <v>2082</v>
      </c>
      <c r="AG287" t="s">
        <v>2083</v>
      </c>
      <c r="AH287" t="s">
        <v>91</v>
      </c>
      <c r="AI287" t="s">
        <v>92</v>
      </c>
      <c r="AJ287" t="s">
        <v>93</v>
      </c>
      <c r="AK287" t="s">
        <v>2084</v>
      </c>
      <c r="AL287" t="s">
        <v>95</v>
      </c>
      <c r="AM287" t="s">
        <v>96</v>
      </c>
      <c r="AN287" t="s">
        <v>97</v>
      </c>
      <c r="AO287" t="s">
        <v>98</v>
      </c>
      <c r="AP287" t="s">
        <v>78</v>
      </c>
      <c r="AQ287" t="s">
        <v>99</v>
      </c>
      <c r="AS287" t="s">
        <v>78</v>
      </c>
      <c r="AT287" t="s">
        <v>100</v>
      </c>
      <c r="AU287" t="s">
        <v>100</v>
      </c>
      <c r="AW287" t="s">
        <v>85</v>
      </c>
      <c r="AX287" t="s">
        <v>101</v>
      </c>
      <c r="AY287" t="s">
        <v>102</v>
      </c>
      <c r="AZ287" t="s">
        <v>103</v>
      </c>
      <c r="BA287" t="s">
        <v>683</v>
      </c>
      <c r="BB287" t="s">
        <v>78</v>
      </c>
      <c r="BC287" t="s">
        <v>78</v>
      </c>
      <c r="BD287" t="s">
        <v>1878</v>
      </c>
      <c r="BE287">
        <v>0</v>
      </c>
      <c r="BF287">
        <v>20</v>
      </c>
      <c r="BG287">
        <v>0</v>
      </c>
      <c r="BH287">
        <v>0</v>
      </c>
      <c r="BJ287" t="s">
        <v>85</v>
      </c>
      <c r="BP287" t="s">
        <v>78</v>
      </c>
      <c r="BQ287" t="s">
        <v>78</v>
      </c>
      <c r="BR287" t="s">
        <v>78</v>
      </c>
    </row>
    <row r="288" customFormat="1" spans="1:70">
      <c r="A288" t="s">
        <v>2085</v>
      </c>
      <c r="B288" t="s">
        <v>2085</v>
      </c>
      <c r="C288" t="s">
        <v>107</v>
      </c>
      <c r="D288" t="s">
        <v>135</v>
      </c>
      <c r="E288">
        <v>1</v>
      </c>
      <c r="F288" t="s">
        <v>109</v>
      </c>
      <c r="G288" t="s">
        <v>136</v>
      </c>
      <c r="H288">
        <v>289</v>
      </c>
      <c r="I288">
        <v>289</v>
      </c>
      <c r="J288">
        <v>0</v>
      </c>
      <c r="K288">
        <v>0</v>
      </c>
      <c r="L288" t="s">
        <v>78</v>
      </c>
      <c r="M288" t="s">
        <v>78</v>
      </c>
      <c r="N288" t="s">
        <v>78</v>
      </c>
      <c r="O288">
        <v>0</v>
      </c>
      <c r="P288">
        <v>0</v>
      </c>
      <c r="Q288">
        <v>0</v>
      </c>
      <c r="R288" t="s">
        <v>125</v>
      </c>
      <c r="S288">
        <v>0</v>
      </c>
      <c r="T288" t="s">
        <v>80</v>
      </c>
      <c r="U288" t="s">
        <v>80</v>
      </c>
      <c r="V288" t="s">
        <v>138</v>
      </c>
      <c r="W288" t="s">
        <v>2086</v>
      </c>
      <c r="X288" t="s">
        <v>2087</v>
      </c>
      <c r="Y288" t="s">
        <v>2088</v>
      </c>
      <c r="Z288" t="s">
        <v>80</v>
      </c>
      <c r="AA288" t="s">
        <v>85</v>
      </c>
      <c r="AC288" t="s">
        <v>2089</v>
      </c>
      <c r="AD288" t="s">
        <v>87</v>
      </c>
      <c r="AF288" t="s">
        <v>1752</v>
      </c>
      <c r="AG288" t="s">
        <v>2090</v>
      </c>
      <c r="AH288" t="s">
        <v>91</v>
      </c>
      <c r="AI288" t="s">
        <v>92</v>
      </c>
      <c r="AJ288" t="s">
        <v>93</v>
      </c>
      <c r="AK288" t="s">
        <v>2091</v>
      </c>
      <c r="AL288" t="s">
        <v>95</v>
      </c>
      <c r="AM288" t="s">
        <v>96</v>
      </c>
      <c r="AN288" t="s">
        <v>97</v>
      </c>
      <c r="AO288" t="s">
        <v>98</v>
      </c>
      <c r="AP288" t="s">
        <v>78</v>
      </c>
      <c r="AQ288" t="s">
        <v>78</v>
      </c>
      <c r="AS288" t="s">
        <v>78</v>
      </c>
      <c r="AT288" t="s">
        <v>100</v>
      </c>
      <c r="AU288" t="s">
        <v>100</v>
      </c>
      <c r="AW288" t="s">
        <v>85</v>
      </c>
      <c r="AX288" t="s">
        <v>101</v>
      </c>
      <c r="AY288" t="s">
        <v>102</v>
      </c>
      <c r="AZ288" t="s">
        <v>103</v>
      </c>
      <c r="BA288" t="s">
        <v>133</v>
      </c>
      <c r="BB288" t="s">
        <v>78</v>
      </c>
      <c r="BC288" t="s">
        <v>78</v>
      </c>
      <c r="BD288" t="s">
        <v>1755</v>
      </c>
      <c r="BE288">
        <v>0</v>
      </c>
      <c r="BF288">
        <v>0</v>
      </c>
      <c r="BG288">
        <v>0</v>
      </c>
      <c r="BH288">
        <v>0</v>
      </c>
      <c r="BJ288" t="s">
        <v>85</v>
      </c>
      <c r="BP288" t="s">
        <v>78</v>
      </c>
      <c r="BQ288" t="s">
        <v>78</v>
      </c>
      <c r="BR288" t="s">
        <v>78</v>
      </c>
    </row>
    <row r="289" customFormat="1" spans="1:70">
      <c r="A289" t="s">
        <v>2092</v>
      </c>
      <c r="B289" t="s">
        <v>2092</v>
      </c>
      <c r="C289" t="s">
        <v>107</v>
      </c>
      <c r="D289" t="s">
        <v>123</v>
      </c>
      <c r="E289">
        <v>1</v>
      </c>
      <c r="F289" t="s">
        <v>109</v>
      </c>
      <c r="G289" t="s">
        <v>124</v>
      </c>
      <c r="H289">
        <v>289</v>
      </c>
      <c r="I289">
        <v>289</v>
      </c>
      <c r="J289">
        <v>0</v>
      </c>
      <c r="K289">
        <v>0</v>
      </c>
      <c r="L289" t="s">
        <v>78</v>
      </c>
      <c r="M289" t="s">
        <v>78</v>
      </c>
      <c r="N289" t="s">
        <v>78</v>
      </c>
      <c r="O289">
        <v>0</v>
      </c>
      <c r="P289">
        <v>0</v>
      </c>
      <c r="Q289">
        <v>0</v>
      </c>
      <c r="R289" t="s">
        <v>125</v>
      </c>
      <c r="S289">
        <v>0</v>
      </c>
      <c r="T289" t="s">
        <v>80</v>
      </c>
      <c r="U289" t="s">
        <v>80</v>
      </c>
      <c r="V289" t="s">
        <v>221</v>
      </c>
      <c r="W289" t="s">
        <v>2093</v>
      </c>
      <c r="X289" t="s">
        <v>2094</v>
      </c>
      <c r="Y289" t="s">
        <v>2095</v>
      </c>
      <c r="Z289" t="s">
        <v>80</v>
      </c>
      <c r="AA289" t="s">
        <v>85</v>
      </c>
      <c r="AC289" t="s">
        <v>2096</v>
      </c>
      <c r="AD289" t="s">
        <v>202</v>
      </c>
      <c r="AE289" t="s">
        <v>2097</v>
      </c>
      <c r="AG289" t="s">
        <v>2098</v>
      </c>
      <c r="AH289" t="s">
        <v>227</v>
      </c>
      <c r="AI289" t="s">
        <v>92</v>
      </c>
      <c r="AJ289" t="s">
        <v>131</v>
      </c>
      <c r="AK289" t="s">
        <v>2099</v>
      </c>
      <c r="AL289" t="s">
        <v>95</v>
      </c>
      <c r="AM289" t="s">
        <v>96</v>
      </c>
      <c r="AN289" t="s">
        <v>97</v>
      </c>
      <c r="AO289" t="s">
        <v>98</v>
      </c>
      <c r="AP289" t="s">
        <v>78</v>
      </c>
      <c r="AQ289" t="s">
        <v>99</v>
      </c>
      <c r="AS289" t="s">
        <v>78</v>
      </c>
      <c r="AT289" t="s">
        <v>100</v>
      </c>
      <c r="AU289" t="s">
        <v>100</v>
      </c>
      <c r="AW289" t="s">
        <v>85</v>
      </c>
      <c r="AX289" t="s">
        <v>101</v>
      </c>
      <c r="AY289" t="s">
        <v>102</v>
      </c>
      <c r="AZ289" t="s">
        <v>103</v>
      </c>
      <c r="BA289" t="s">
        <v>133</v>
      </c>
      <c r="BB289" t="s">
        <v>78</v>
      </c>
      <c r="BC289" t="s">
        <v>78</v>
      </c>
      <c r="BD289" t="s">
        <v>1878</v>
      </c>
      <c r="BE289">
        <v>0</v>
      </c>
      <c r="BF289">
        <v>0</v>
      </c>
      <c r="BG289">
        <v>0</v>
      </c>
      <c r="BH289">
        <v>0</v>
      </c>
      <c r="BJ289" t="s">
        <v>85</v>
      </c>
      <c r="BP289" t="s">
        <v>78</v>
      </c>
      <c r="BQ289" t="s">
        <v>78</v>
      </c>
      <c r="BR289" t="s">
        <v>78</v>
      </c>
    </row>
    <row r="290" customFormat="1" spans="1:70">
      <c r="A290" t="s">
        <v>2100</v>
      </c>
      <c r="B290" t="s">
        <v>2100</v>
      </c>
      <c r="C290" t="s">
        <v>107</v>
      </c>
      <c r="D290" t="s">
        <v>108</v>
      </c>
      <c r="E290">
        <v>1</v>
      </c>
      <c r="F290" t="s">
        <v>109</v>
      </c>
      <c r="G290" t="s">
        <v>110</v>
      </c>
      <c r="H290">
        <v>289</v>
      </c>
      <c r="I290">
        <v>289</v>
      </c>
      <c r="J290">
        <v>0</v>
      </c>
      <c r="K290">
        <v>0</v>
      </c>
      <c r="L290" t="s">
        <v>78</v>
      </c>
      <c r="M290" t="s">
        <v>78</v>
      </c>
      <c r="N290" t="s">
        <v>78</v>
      </c>
      <c r="O290">
        <v>0</v>
      </c>
      <c r="P290">
        <v>0</v>
      </c>
      <c r="Q290">
        <v>0</v>
      </c>
      <c r="R290" t="s">
        <v>111</v>
      </c>
      <c r="S290">
        <v>0</v>
      </c>
      <c r="T290" t="s">
        <v>80</v>
      </c>
      <c r="U290" t="s">
        <v>80</v>
      </c>
      <c r="V290" t="s">
        <v>152</v>
      </c>
      <c r="W290" t="s">
        <v>2101</v>
      </c>
      <c r="X290" t="s">
        <v>2102</v>
      </c>
      <c r="Y290" t="s">
        <v>2103</v>
      </c>
      <c r="Z290" t="s">
        <v>80</v>
      </c>
      <c r="AA290" t="s">
        <v>85</v>
      </c>
      <c r="AC290" t="s">
        <v>2104</v>
      </c>
      <c r="AD290" t="s">
        <v>87</v>
      </c>
      <c r="AG290" t="s">
        <v>2105</v>
      </c>
      <c r="AH290" t="s">
        <v>91</v>
      </c>
      <c r="AI290" t="s">
        <v>92</v>
      </c>
      <c r="AJ290" t="s">
        <v>131</v>
      </c>
      <c r="AK290" t="s">
        <v>2106</v>
      </c>
      <c r="AL290" t="s">
        <v>95</v>
      </c>
      <c r="AM290" t="s">
        <v>96</v>
      </c>
      <c r="AN290" t="s">
        <v>97</v>
      </c>
      <c r="AO290" t="s">
        <v>98</v>
      </c>
      <c r="AP290" t="s">
        <v>78</v>
      </c>
      <c r="AQ290" t="s">
        <v>99</v>
      </c>
      <c r="AS290" t="s">
        <v>78</v>
      </c>
      <c r="AT290" t="s">
        <v>100</v>
      </c>
      <c r="AU290" t="s">
        <v>100</v>
      </c>
      <c r="AW290" t="s">
        <v>85</v>
      </c>
      <c r="AX290" t="s">
        <v>103</v>
      </c>
      <c r="AY290" t="s">
        <v>159</v>
      </c>
      <c r="AZ290" t="s">
        <v>103</v>
      </c>
      <c r="BA290" t="s">
        <v>104</v>
      </c>
      <c r="BB290" t="s">
        <v>78</v>
      </c>
      <c r="BC290" t="s">
        <v>78</v>
      </c>
      <c r="BE290">
        <v>0</v>
      </c>
      <c r="BF290">
        <v>0</v>
      </c>
      <c r="BG290">
        <v>0</v>
      </c>
      <c r="BH290">
        <v>0</v>
      </c>
      <c r="BJ290" t="s">
        <v>85</v>
      </c>
      <c r="BP290" t="s">
        <v>78</v>
      </c>
      <c r="BQ290" t="s">
        <v>78</v>
      </c>
      <c r="BR290" t="s">
        <v>78</v>
      </c>
    </row>
    <row r="291" customFormat="1" spans="1:70">
      <c r="A291" t="s">
        <v>2107</v>
      </c>
      <c r="B291" t="s">
        <v>2107</v>
      </c>
      <c r="C291" t="s">
        <v>107</v>
      </c>
      <c r="D291" t="s">
        <v>135</v>
      </c>
      <c r="E291">
        <v>1</v>
      </c>
      <c r="F291" t="s">
        <v>109</v>
      </c>
      <c r="G291" t="s">
        <v>136</v>
      </c>
      <c r="H291">
        <v>289</v>
      </c>
      <c r="I291">
        <v>289</v>
      </c>
      <c r="J291">
        <v>0</v>
      </c>
      <c r="K291">
        <v>0</v>
      </c>
      <c r="L291" t="s">
        <v>78</v>
      </c>
      <c r="M291" t="s">
        <v>78</v>
      </c>
      <c r="N291" t="s">
        <v>78</v>
      </c>
      <c r="O291">
        <v>0</v>
      </c>
      <c r="P291">
        <v>0</v>
      </c>
      <c r="Q291">
        <v>0</v>
      </c>
      <c r="R291" t="s">
        <v>125</v>
      </c>
      <c r="S291">
        <v>0</v>
      </c>
      <c r="T291" t="s">
        <v>80</v>
      </c>
      <c r="U291" t="s">
        <v>80</v>
      </c>
      <c r="V291" t="s">
        <v>325</v>
      </c>
      <c r="W291" t="s">
        <v>788</v>
      </c>
      <c r="X291" t="s">
        <v>2108</v>
      </c>
      <c r="Y291" t="s">
        <v>84</v>
      </c>
      <c r="Z291" t="s">
        <v>80</v>
      </c>
      <c r="AA291" t="s">
        <v>85</v>
      </c>
      <c r="AC291" t="s">
        <v>2109</v>
      </c>
      <c r="AD291" t="s">
        <v>87</v>
      </c>
      <c r="AG291" t="s">
        <v>2110</v>
      </c>
      <c r="AH291" t="s">
        <v>91</v>
      </c>
      <c r="AI291" t="s">
        <v>92</v>
      </c>
      <c r="AJ291" t="s">
        <v>131</v>
      </c>
      <c r="AK291" t="s">
        <v>2111</v>
      </c>
      <c r="AL291" t="s">
        <v>95</v>
      </c>
      <c r="AM291" t="s">
        <v>96</v>
      </c>
      <c r="AN291" t="s">
        <v>97</v>
      </c>
      <c r="AO291" t="s">
        <v>98</v>
      </c>
      <c r="AP291" t="s">
        <v>78</v>
      </c>
      <c r="AQ291" t="s">
        <v>99</v>
      </c>
      <c r="AS291" t="s">
        <v>78</v>
      </c>
      <c r="AT291" t="s">
        <v>100</v>
      </c>
      <c r="AU291" t="s">
        <v>100</v>
      </c>
      <c r="AW291" t="s">
        <v>85</v>
      </c>
      <c r="AX291" t="s">
        <v>101</v>
      </c>
      <c r="AY291" t="s">
        <v>102</v>
      </c>
      <c r="AZ291" t="s">
        <v>103</v>
      </c>
      <c r="BA291" t="s">
        <v>133</v>
      </c>
      <c r="BB291" t="s">
        <v>78</v>
      </c>
      <c r="BC291" t="s">
        <v>78</v>
      </c>
      <c r="BE291">
        <v>0</v>
      </c>
      <c r="BF291">
        <v>0</v>
      </c>
      <c r="BG291">
        <v>0</v>
      </c>
      <c r="BH291">
        <v>0</v>
      </c>
      <c r="BJ291" t="s">
        <v>85</v>
      </c>
      <c r="BP291" t="s">
        <v>78</v>
      </c>
      <c r="BQ291" t="s">
        <v>78</v>
      </c>
      <c r="BR291" t="s">
        <v>78</v>
      </c>
    </row>
    <row r="292" customFormat="1" spans="1:70">
      <c r="A292" t="s">
        <v>2112</v>
      </c>
      <c r="B292" t="s">
        <v>2112</v>
      </c>
      <c r="C292" t="s">
        <v>107</v>
      </c>
      <c r="D292" t="s">
        <v>135</v>
      </c>
      <c r="E292">
        <v>1</v>
      </c>
      <c r="F292" t="s">
        <v>109</v>
      </c>
      <c r="G292" t="s">
        <v>136</v>
      </c>
      <c r="H292">
        <v>289</v>
      </c>
      <c r="I292">
        <v>289</v>
      </c>
      <c r="J292">
        <v>0</v>
      </c>
      <c r="K292">
        <v>0</v>
      </c>
      <c r="L292" t="s">
        <v>78</v>
      </c>
      <c r="M292" t="s">
        <v>78</v>
      </c>
      <c r="N292" t="s">
        <v>78</v>
      </c>
      <c r="O292">
        <v>0</v>
      </c>
      <c r="P292">
        <v>0</v>
      </c>
      <c r="Q292">
        <v>0</v>
      </c>
      <c r="R292" t="s">
        <v>125</v>
      </c>
      <c r="S292">
        <v>0</v>
      </c>
      <c r="T292" t="s">
        <v>80</v>
      </c>
      <c r="U292" t="s">
        <v>80</v>
      </c>
      <c r="V292" t="s">
        <v>112</v>
      </c>
      <c r="W292" t="s">
        <v>2113</v>
      </c>
      <c r="X292" t="s">
        <v>2114</v>
      </c>
      <c r="Y292" t="s">
        <v>2115</v>
      </c>
      <c r="Z292" t="s">
        <v>80</v>
      </c>
      <c r="AA292" t="s">
        <v>85</v>
      </c>
      <c r="AC292" t="s">
        <v>2109</v>
      </c>
      <c r="AD292" t="s">
        <v>87</v>
      </c>
      <c r="AG292" t="s">
        <v>2104</v>
      </c>
      <c r="AH292" t="s">
        <v>91</v>
      </c>
      <c r="AI292" t="s">
        <v>92</v>
      </c>
      <c r="AJ292" t="s">
        <v>131</v>
      </c>
      <c r="AK292" t="s">
        <v>2111</v>
      </c>
      <c r="AL292" t="s">
        <v>95</v>
      </c>
      <c r="AM292" t="s">
        <v>96</v>
      </c>
      <c r="AN292" t="s">
        <v>97</v>
      </c>
      <c r="AO292" t="s">
        <v>98</v>
      </c>
      <c r="AP292" t="s">
        <v>78</v>
      </c>
      <c r="AQ292" t="s">
        <v>99</v>
      </c>
      <c r="AS292" t="s">
        <v>78</v>
      </c>
      <c r="AT292" t="s">
        <v>100</v>
      </c>
      <c r="AU292" t="s">
        <v>100</v>
      </c>
      <c r="AW292" t="s">
        <v>85</v>
      </c>
      <c r="AX292" t="s">
        <v>101</v>
      </c>
      <c r="AY292" t="s">
        <v>102</v>
      </c>
      <c r="AZ292" t="s">
        <v>103</v>
      </c>
      <c r="BA292" t="s">
        <v>104</v>
      </c>
      <c r="BB292" t="s">
        <v>78</v>
      </c>
      <c r="BC292" t="s">
        <v>78</v>
      </c>
      <c r="BE292">
        <v>0</v>
      </c>
      <c r="BF292">
        <v>0</v>
      </c>
      <c r="BG292">
        <v>0</v>
      </c>
      <c r="BH292">
        <v>0</v>
      </c>
      <c r="BJ292" t="s">
        <v>85</v>
      </c>
      <c r="BP292" t="s">
        <v>78</v>
      </c>
      <c r="BQ292" t="s">
        <v>78</v>
      </c>
      <c r="BR292" t="s">
        <v>78</v>
      </c>
    </row>
    <row r="293" customFormat="1" spans="1:70">
      <c r="A293" t="s">
        <v>2116</v>
      </c>
      <c r="B293" t="s">
        <v>2116</v>
      </c>
      <c r="C293" t="s">
        <v>107</v>
      </c>
      <c r="D293" t="s">
        <v>108</v>
      </c>
      <c r="E293">
        <v>1</v>
      </c>
      <c r="F293" t="s">
        <v>109</v>
      </c>
      <c r="G293" t="s">
        <v>110</v>
      </c>
      <c r="H293">
        <v>289</v>
      </c>
      <c r="I293">
        <v>289</v>
      </c>
      <c r="J293">
        <v>0</v>
      </c>
      <c r="K293">
        <v>0</v>
      </c>
      <c r="L293" t="s">
        <v>78</v>
      </c>
      <c r="M293" t="s">
        <v>78</v>
      </c>
      <c r="N293" t="s">
        <v>78</v>
      </c>
      <c r="O293">
        <v>0</v>
      </c>
      <c r="P293">
        <v>0</v>
      </c>
      <c r="Q293">
        <v>0</v>
      </c>
      <c r="R293" t="s">
        <v>79</v>
      </c>
      <c r="S293">
        <v>0</v>
      </c>
      <c r="T293" t="s">
        <v>80</v>
      </c>
      <c r="U293" t="s">
        <v>80</v>
      </c>
      <c r="V293" t="s">
        <v>239</v>
      </c>
      <c r="W293" t="s">
        <v>240</v>
      </c>
      <c r="X293" t="s">
        <v>2117</v>
      </c>
      <c r="Y293" t="s">
        <v>2118</v>
      </c>
      <c r="Z293" t="s">
        <v>80</v>
      </c>
      <c r="AA293" t="s">
        <v>85</v>
      </c>
      <c r="AC293" t="s">
        <v>2109</v>
      </c>
      <c r="AD293" t="s">
        <v>87</v>
      </c>
      <c r="AG293" t="s">
        <v>2104</v>
      </c>
      <c r="AH293" t="s">
        <v>91</v>
      </c>
      <c r="AI293" t="s">
        <v>92</v>
      </c>
      <c r="AJ293" t="s">
        <v>131</v>
      </c>
      <c r="AK293" t="s">
        <v>2119</v>
      </c>
      <c r="AL293" t="s">
        <v>95</v>
      </c>
      <c r="AM293" t="s">
        <v>96</v>
      </c>
      <c r="AN293" t="s">
        <v>97</v>
      </c>
      <c r="AO293" t="s">
        <v>98</v>
      </c>
      <c r="AP293" t="s">
        <v>78</v>
      </c>
      <c r="AQ293" t="s">
        <v>99</v>
      </c>
      <c r="AS293" t="s">
        <v>78</v>
      </c>
      <c r="AT293" t="s">
        <v>100</v>
      </c>
      <c r="AU293" t="s">
        <v>100</v>
      </c>
      <c r="AW293" t="s">
        <v>85</v>
      </c>
      <c r="AX293" t="s">
        <v>101</v>
      </c>
      <c r="AY293" t="s">
        <v>102</v>
      </c>
      <c r="AZ293" t="s">
        <v>103</v>
      </c>
      <c r="BA293" t="s">
        <v>133</v>
      </c>
      <c r="BB293" t="s">
        <v>78</v>
      </c>
      <c r="BC293" t="s">
        <v>78</v>
      </c>
      <c r="BE293">
        <v>0</v>
      </c>
      <c r="BF293">
        <v>0</v>
      </c>
      <c r="BG293">
        <v>0</v>
      </c>
      <c r="BH293">
        <v>0</v>
      </c>
      <c r="BJ293" t="s">
        <v>85</v>
      </c>
      <c r="BP293" t="s">
        <v>78</v>
      </c>
      <c r="BQ293" t="s">
        <v>78</v>
      </c>
      <c r="BR293" t="s">
        <v>78</v>
      </c>
    </row>
    <row r="294" customFormat="1" spans="1:70">
      <c r="A294" t="s">
        <v>2120</v>
      </c>
      <c r="B294" t="s">
        <v>2120</v>
      </c>
      <c r="C294" t="s">
        <v>107</v>
      </c>
      <c r="D294" t="s">
        <v>108</v>
      </c>
      <c r="E294">
        <v>1</v>
      </c>
      <c r="F294" t="s">
        <v>109</v>
      </c>
      <c r="G294" t="s">
        <v>110</v>
      </c>
      <c r="H294">
        <v>289</v>
      </c>
      <c r="I294">
        <v>289</v>
      </c>
      <c r="J294">
        <v>0</v>
      </c>
      <c r="K294">
        <v>0</v>
      </c>
      <c r="L294" t="s">
        <v>78</v>
      </c>
      <c r="M294" t="s">
        <v>78</v>
      </c>
      <c r="N294" t="s">
        <v>78</v>
      </c>
      <c r="O294">
        <v>0</v>
      </c>
      <c r="P294">
        <v>0</v>
      </c>
      <c r="Q294">
        <v>0</v>
      </c>
      <c r="R294" t="s">
        <v>125</v>
      </c>
      <c r="S294">
        <v>0</v>
      </c>
      <c r="T294" t="s">
        <v>80</v>
      </c>
      <c r="U294" t="s">
        <v>80</v>
      </c>
      <c r="V294" t="s">
        <v>302</v>
      </c>
      <c r="W294" t="s">
        <v>1358</v>
      </c>
      <c r="X294" t="s">
        <v>1706</v>
      </c>
      <c r="Y294" t="s">
        <v>2121</v>
      </c>
      <c r="Z294" t="s">
        <v>80</v>
      </c>
      <c r="AA294" t="s">
        <v>85</v>
      </c>
      <c r="AC294" t="s">
        <v>2122</v>
      </c>
      <c r="AD294" t="s">
        <v>87</v>
      </c>
      <c r="AF294" t="s">
        <v>2082</v>
      </c>
      <c r="AG294" t="s">
        <v>2123</v>
      </c>
      <c r="AH294" t="s">
        <v>91</v>
      </c>
      <c r="AI294" t="s">
        <v>92</v>
      </c>
      <c r="AJ294" t="s">
        <v>93</v>
      </c>
      <c r="AK294" t="s">
        <v>2124</v>
      </c>
      <c r="AL294" t="s">
        <v>95</v>
      </c>
      <c r="AM294" t="s">
        <v>96</v>
      </c>
      <c r="AN294" t="s">
        <v>97</v>
      </c>
      <c r="AO294" t="s">
        <v>98</v>
      </c>
      <c r="AP294" t="s">
        <v>78</v>
      </c>
      <c r="AQ294" t="s">
        <v>78</v>
      </c>
      <c r="AS294" t="s">
        <v>78</v>
      </c>
      <c r="AT294" t="s">
        <v>100</v>
      </c>
      <c r="AU294" t="s">
        <v>100</v>
      </c>
      <c r="AW294" t="s">
        <v>85</v>
      </c>
      <c r="AX294" t="s">
        <v>101</v>
      </c>
      <c r="AY294" t="s">
        <v>102</v>
      </c>
      <c r="AZ294" t="s">
        <v>103</v>
      </c>
      <c r="BA294" t="s">
        <v>245</v>
      </c>
      <c r="BB294" t="s">
        <v>78</v>
      </c>
      <c r="BC294" t="s">
        <v>78</v>
      </c>
      <c r="BD294" t="s">
        <v>1878</v>
      </c>
      <c r="BE294">
        <v>0</v>
      </c>
      <c r="BF294">
        <v>0</v>
      </c>
      <c r="BG294">
        <v>0</v>
      </c>
      <c r="BH294">
        <v>0</v>
      </c>
      <c r="BJ294" t="s">
        <v>85</v>
      </c>
      <c r="BP294" t="s">
        <v>78</v>
      </c>
      <c r="BQ294" t="s">
        <v>78</v>
      </c>
      <c r="BR294" t="s">
        <v>78</v>
      </c>
    </row>
    <row r="295" customFormat="1" spans="1:70">
      <c r="A295" t="s">
        <v>2125</v>
      </c>
      <c r="B295" t="s">
        <v>2125</v>
      </c>
      <c r="C295" t="s">
        <v>107</v>
      </c>
      <c r="D295" t="s">
        <v>123</v>
      </c>
      <c r="E295">
        <v>1</v>
      </c>
      <c r="F295" t="s">
        <v>109</v>
      </c>
      <c r="G295" t="s">
        <v>124</v>
      </c>
      <c r="H295">
        <v>289</v>
      </c>
      <c r="I295">
        <v>289</v>
      </c>
      <c r="J295">
        <v>0</v>
      </c>
      <c r="K295">
        <v>0</v>
      </c>
      <c r="L295" t="s">
        <v>78</v>
      </c>
      <c r="M295" t="s">
        <v>78</v>
      </c>
      <c r="N295" t="s">
        <v>78</v>
      </c>
      <c r="O295">
        <v>0</v>
      </c>
      <c r="P295">
        <v>0</v>
      </c>
      <c r="Q295">
        <v>0</v>
      </c>
      <c r="R295" t="s">
        <v>125</v>
      </c>
      <c r="S295">
        <v>0</v>
      </c>
      <c r="T295" t="s">
        <v>80</v>
      </c>
      <c r="U295" t="s">
        <v>80</v>
      </c>
      <c r="V295" t="s">
        <v>152</v>
      </c>
      <c r="W295" t="s">
        <v>1920</v>
      </c>
      <c r="X295" t="s">
        <v>1921</v>
      </c>
      <c r="Y295" t="s">
        <v>1922</v>
      </c>
      <c r="Z295" t="s">
        <v>80</v>
      </c>
      <c r="AA295" t="s">
        <v>85</v>
      </c>
      <c r="AC295" t="s">
        <v>2126</v>
      </c>
      <c r="AD295" t="s">
        <v>202</v>
      </c>
      <c r="AE295" t="s">
        <v>2127</v>
      </c>
      <c r="AG295" t="s">
        <v>2128</v>
      </c>
      <c r="AH295" t="s">
        <v>91</v>
      </c>
      <c r="AI295" t="s">
        <v>92</v>
      </c>
      <c r="AJ295" t="s">
        <v>131</v>
      </c>
      <c r="AK295" t="s">
        <v>2129</v>
      </c>
      <c r="AL295" t="s">
        <v>95</v>
      </c>
      <c r="AM295" t="s">
        <v>96</v>
      </c>
      <c r="AN295" t="s">
        <v>97</v>
      </c>
      <c r="AO295" t="s">
        <v>98</v>
      </c>
      <c r="AP295" t="s">
        <v>78</v>
      </c>
      <c r="AQ295" t="s">
        <v>99</v>
      </c>
      <c r="AS295" t="s">
        <v>78</v>
      </c>
      <c r="AT295" t="s">
        <v>100</v>
      </c>
      <c r="AU295" t="s">
        <v>100</v>
      </c>
      <c r="AW295" t="s">
        <v>85</v>
      </c>
      <c r="AX295" t="s">
        <v>103</v>
      </c>
      <c r="AY295" t="s">
        <v>159</v>
      </c>
      <c r="AZ295" t="s">
        <v>103</v>
      </c>
      <c r="BA295" t="s">
        <v>419</v>
      </c>
      <c r="BB295" t="s">
        <v>78</v>
      </c>
      <c r="BC295" t="s">
        <v>78</v>
      </c>
      <c r="BD295" t="s">
        <v>1878</v>
      </c>
      <c r="BE295">
        <v>0</v>
      </c>
      <c r="BF295">
        <v>0</v>
      </c>
      <c r="BG295">
        <v>0</v>
      </c>
      <c r="BH295">
        <v>0</v>
      </c>
      <c r="BJ295" t="s">
        <v>85</v>
      </c>
      <c r="BP295" t="s">
        <v>78</v>
      </c>
      <c r="BQ295" t="s">
        <v>78</v>
      </c>
      <c r="BR295" t="s">
        <v>78</v>
      </c>
    </row>
    <row r="296" customFormat="1" spans="1:70">
      <c r="A296" t="s">
        <v>2130</v>
      </c>
      <c r="B296" t="s">
        <v>2130</v>
      </c>
      <c r="C296" t="s">
        <v>107</v>
      </c>
      <c r="D296" t="s">
        <v>108</v>
      </c>
      <c r="E296">
        <v>1</v>
      </c>
      <c r="F296" t="s">
        <v>109</v>
      </c>
      <c r="G296" t="s">
        <v>110</v>
      </c>
      <c r="H296">
        <v>289</v>
      </c>
      <c r="I296">
        <v>289</v>
      </c>
      <c r="J296">
        <v>0</v>
      </c>
      <c r="K296">
        <v>0</v>
      </c>
      <c r="L296" t="s">
        <v>78</v>
      </c>
      <c r="M296" t="s">
        <v>78</v>
      </c>
      <c r="N296" t="s">
        <v>78</v>
      </c>
      <c r="O296">
        <v>0</v>
      </c>
      <c r="P296">
        <v>0</v>
      </c>
      <c r="Q296">
        <v>0</v>
      </c>
      <c r="R296" t="s">
        <v>111</v>
      </c>
      <c r="S296">
        <v>0</v>
      </c>
      <c r="T296" t="s">
        <v>80</v>
      </c>
      <c r="U296" t="s">
        <v>80</v>
      </c>
      <c r="V296" t="s">
        <v>161</v>
      </c>
      <c r="W296" t="s">
        <v>161</v>
      </c>
      <c r="X296" t="s">
        <v>2131</v>
      </c>
      <c r="Y296" t="s">
        <v>2132</v>
      </c>
      <c r="Z296" t="s">
        <v>80</v>
      </c>
      <c r="AA296" t="s">
        <v>85</v>
      </c>
      <c r="AC296" t="s">
        <v>2133</v>
      </c>
      <c r="AD296" t="s">
        <v>87</v>
      </c>
      <c r="AG296" t="s">
        <v>2134</v>
      </c>
      <c r="AH296" t="s">
        <v>91</v>
      </c>
      <c r="AI296" t="s">
        <v>92</v>
      </c>
      <c r="AJ296" t="s">
        <v>131</v>
      </c>
      <c r="AK296" t="s">
        <v>2135</v>
      </c>
      <c r="AL296" t="s">
        <v>95</v>
      </c>
      <c r="AM296" t="s">
        <v>96</v>
      </c>
      <c r="AN296" t="s">
        <v>97</v>
      </c>
      <c r="AO296" t="s">
        <v>98</v>
      </c>
      <c r="AP296" t="s">
        <v>78</v>
      </c>
      <c r="AQ296" t="s">
        <v>99</v>
      </c>
      <c r="AS296" t="s">
        <v>78</v>
      </c>
      <c r="AT296" t="s">
        <v>100</v>
      </c>
      <c r="AU296" t="s">
        <v>100</v>
      </c>
      <c r="AW296" t="s">
        <v>85</v>
      </c>
      <c r="AX296" t="s">
        <v>103</v>
      </c>
      <c r="AY296" t="s">
        <v>159</v>
      </c>
      <c r="AZ296" t="s">
        <v>103</v>
      </c>
      <c r="BA296" t="s">
        <v>120</v>
      </c>
      <c r="BB296" t="s">
        <v>78</v>
      </c>
      <c r="BC296" t="s">
        <v>78</v>
      </c>
      <c r="BE296">
        <v>0</v>
      </c>
      <c r="BF296">
        <v>0</v>
      </c>
      <c r="BG296">
        <v>0</v>
      </c>
      <c r="BH296">
        <v>0</v>
      </c>
      <c r="BJ296" t="s">
        <v>85</v>
      </c>
      <c r="BP296" t="s">
        <v>78</v>
      </c>
      <c r="BQ296" t="s">
        <v>78</v>
      </c>
      <c r="BR296" t="s">
        <v>78</v>
      </c>
    </row>
    <row r="297" customFormat="1" spans="1:70">
      <c r="A297" t="s">
        <v>2136</v>
      </c>
      <c r="B297" t="s">
        <v>2136</v>
      </c>
      <c r="C297" t="s">
        <v>107</v>
      </c>
      <c r="D297" t="s">
        <v>108</v>
      </c>
      <c r="E297">
        <v>1</v>
      </c>
      <c r="F297" t="s">
        <v>109</v>
      </c>
      <c r="G297" t="s">
        <v>110</v>
      </c>
      <c r="H297">
        <v>289</v>
      </c>
      <c r="I297">
        <v>289</v>
      </c>
      <c r="J297">
        <v>0</v>
      </c>
      <c r="K297">
        <v>0</v>
      </c>
      <c r="L297" t="s">
        <v>78</v>
      </c>
      <c r="M297" t="s">
        <v>78</v>
      </c>
      <c r="N297" t="s">
        <v>78</v>
      </c>
      <c r="O297">
        <v>0</v>
      </c>
      <c r="P297">
        <v>0</v>
      </c>
      <c r="Q297">
        <v>0</v>
      </c>
      <c r="R297" t="s">
        <v>125</v>
      </c>
      <c r="S297">
        <v>0</v>
      </c>
      <c r="T297" t="s">
        <v>80</v>
      </c>
      <c r="U297" t="s">
        <v>80</v>
      </c>
      <c r="V297" t="s">
        <v>126</v>
      </c>
      <c r="W297" t="s">
        <v>518</v>
      </c>
      <c r="X297" t="s">
        <v>979</v>
      </c>
      <c r="Y297" t="s">
        <v>1352</v>
      </c>
      <c r="Z297" t="s">
        <v>80</v>
      </c>
      <c r="AA297" t="s">
        <v>85</v>
      </c>
      <c r="AC297" t="s">
        <v>2137</v>
      </c>
      <c r="AD297" t="s">
        <v>87</v>
      </c>
      <c r="AG297" t="s">
        <v>2138</v>
      </c>
      <c r="AH297" t="s">
        <v>227</v>
      </c>
      <c r="AI297" t="s">
        <v>92</v>
      </c>
      <c r="AJ297" t="s">
        <v>131</v>
      </c>
      <c r="AK297" t="s">
        <v>2139</v>
      </c>
      <c r="AL297" t="s">
        <v>95</v>
      </c>
      <c r="AM297" t="s">
        <v>96</v>
      </c>
      <c r="AN297" t="s">
        <v>97</v>
      </c>
      <c r="AO297" t="s">
        <v>98</v>
      </c>
      <c r="AP297" t="s">
        <v>78</v>
      </c>
      <c r="AQ297" t="s">
        <v>99</v>
      </c>
      <c r="AS297" t="s">
        <v>78</v>
      </c>
      <c r="AT297" t="s">
        <v>100</v>
      </c>
      <c r="AU297" t="s">
        <v>100</v>
      </c>
      <c r="AW297" t="s">
        <v>85</v>
      </c>
      <c r="AX297" t="s">
        <v>101</v>
      </c>
      <c r="AY297" t="s">
        <v>102</v>
      </c>
      <c r="AZ297" t="s">
        <v>103</v>
      </c>
      <c r="BA297" t="s">
        <v>133</v>
      </c>
      <c r="BB297" t="s">
        <v>78</v>
      </c>
      <c r="BC297" t="s">
        <v>78</v>
      </c>
      <c r="BE297">
        <v>0</v>
      </c>
      <c r="BF297">
        <v>0</v>
      </c>
      <c r="BG297">
        <v>0</v>
      </c>
      <c r="BH297">
        <v>0</v>
      </c>
      <c r="BJ297" t="s">
        <v>85</v>
      </c>
      <c r="BP297" t="s">
        <v>78</v>
      </c>
      <c r="BQ297" t="s">
        <v>78</v>
      </c>
      <c r="BR297" t="s">
        <v>78</v>
      </c>
    </row>
    <row r="298" customFormat="1" spans="1:70">
      <c r="A298" t="s">
        <v>2140</v>
      </c>
      <c r="B298" t="s">
        <v>2140</v>
      </c>
      <c r="C298" t="s">
        <v>107</v>
      </c>
      <c r="D298" t="s">
        <v>135</v>
      </c>
      <c r="E298">
        <v>1</v>
      </c>
      <c r="F298" t="s">
        <v>109</v>
      </c>
      <c r="G298" t="s">
        <v>136</v>
      </c>
      <c r="H298">
        <v>289</v>
      </c>
      <c r="I298">
        <v>289</v>
      </c>
      <c r="J298">
        <v>0</v>
      </c>
      <c r="K298">
        <v>0</v>
      </c>
      <c r="L298" t="s">
        <v>78</v>
      </c>
      <c r="M298" t="s">
        <v>78</v>
      </c>
      <c r="N298" t="s">
        <v>78</v>
      </c>
      <c r="O298">
        <v>0</v>
      </c>
      <c r="P298">
        <v>0</v>
      </c>
      <c r="Q298">
        <v>0</v>
      </c>
      <c r="R298" t="s">
        <v>79</v>
      </c>
      <c r="S298">
        <v>0</v>
      </c>
      <c r="T298" t="s">
        <v>80</v>
      </c>
      <c r="U298" t="s">
        <v>80</v>
      </c>
      <c r="V298" t="s">
        <v>221</v>
      </c>
      <c r="W298" t="s">
        <v>599</v>
      </c>
      <c r="X298" t="s">
        <v>2141</v>
      </c>
      <c r="Y298" t="s">
        <v>2142</v>
      </c>
      <c r="Z298" t="s">
        <v>80</v>
      </c>
      <c r="AA298" t="s">
        <v>85</v>
      </c>
      <c r="AC298" t="s">
        <v>2143</v>
      </c>
      <c r="AD298" t="s">
        <v>87</v>
      </c>
      <c r="AG298" t="s">
        <v>2144</v>
      </c>
      <c r="AH298" t="s">
        <v>91</v>
      </c>
      <c r="AI298" t="s">
        <v>92</v>
      </c>
      <c r="AJ298" t="s">
        <v>131</v>
      </c>
      <c r="AK298" t="s">
        <v>2145</v>
      </c>
      <c r="AL298" t="s">
        <v>95</v>
      </c>
      <c r="AM298" t="s">
        <v>96</v>
      </c>
      <c r="AN298" t="s">
        <v>97</v>
      </c>
      <c r="AO298" t="s">
        <v>98</v>
      </c>
      <c r="AP298" t="s">
        <v>78</v>
      </c>
      <c r="AQ298" t="s">
        <v>99</v>
      </c>
      <c r="AS298" t="s">
        <v>78</v>
      </c>
      <c r="AT298" t="s">
        <v>100</v>
      </c>
      <c r="AU298" t="s">
        <v>100</v>
      </c>
      <c r="AW298" t="s">
        <v>85</v>
      </c>
      <c r="AX298" t="s">
        <v>101</v>
      </c>
      <c r="AY298" t="s">
        <v>102</v>
      </c>
      <c r="AZ298" t="s">
        <v>103</v>
      </c>
      <c r="BA298" t="s">
        <v>133</v>
      </c>
      <c r="BB298" t="s">
        <v>78</v>
      </c>
      <c r="BC298" t="s">
        <v>78</v>
      </c>
      <c r="BE298">
        <v>0</v>
      </c>
      <c r="BF298">
        <v>0</v>
      </c>
      <c r="BG298">
        <v>0</v>
      </c>
      <c r="BH298">
        <v>0</v>
      </c>
      <c r="BJ298" t="s">
        <v>85</v>
      </c>
      <c r="BP298" t="s">
        <v>78</v>
      </c>
      <c r="BQ298" t="s">
        <v>78</v>
      </c>
      <c r="BR298" t="s">
        <v>78</v>
      </c>
    </row>
    <row r="299" customFormat="1" spans="1:70">
      <c r="A299" t="s">
        <v>2146</v>
      </c>
      <c r="B299" t="s">
        <v>2146</v>
      </c>
      <c r="C299" t="s">
        <v>107</v>
      </c>
      <c r="D299" t="s">
        <v>108</v>
      </c>
      <c r="E299">
        <v>1</v>
      </c>
      <c r="F299" t="s">
        <v>109</v>
      </c>
      <c r="G299" t="s">
        <v>110</v>
      </c>
      <c r="H299">
        <v>289</v>
      </c>
      <c r="I299">
        <v>267</v>
      </c>
      <c r="J299">
        <v>0</v>
      </c>
      <c r="K299">
        <v>22</v>
      </c>
      <c r="L299" t="s">
        <v>2147</v>
      </c>
      <c r="M299" t="s">
        <v>78</v>
      </c>
      <c r="N299" t="s">
        <v>78</v>
      </c>
      <c r="O299">
        <v>0</v>
      </c>
      <c r="P299">
        <v>0</v>
      </c>
      <c r="Q299">
        <v>0</v>
      </c>
      <c r="R299" t="s">
        <v>125</v>
      </c>
      <c r="S299">
        <v>0</v>
      </c>
      <c r="T299" t="s">
        <v>80</v>
      </c>
      <c r="U299" t="s">
        <v>80</v>
      </c>
      <c r="V299" t="s">
        <v>464</v>
      </c>
      <c r="W299" t="s">
        <v>542</v>
      </c>
      <c r="X299" t="s">
        <v>2148</v>
      </c>
      <c r="Y299" t="s">
        <v>2149</v>
      </c>
      <c r="Z299" t="s">
        <v>80</v>
      </c>
      <c r="AA299" t="s">
        <v>85</v>
      </c>
      <c r="AC299" t="s">
        <v>2150</v>
      </c>
      <c r="AD299" t="s">
        <v>87</v>
      </c>
      <c r="AF299" t="s">
        <v>2151</v>
      </c>
      <c r="AG299" t="s">
        <v>2152</v>
      </c>
      <c r="AH299" t="s">
        <v>91</v>
      </c>
      <c r="AI299" t="s">
        <v>216</v>
      </c>
      <c r="AJ299" t="s">
        <v>93</v>
      </c>
      <c r="AK299" t="s">
        <v>2153</v>
      </c>
      <c r="AL299" t="s">
        <v>95</v>
      </c>
      <c r="AM299" t="s">
        <v>96</v>
      </c>
      <c r="AN299" t="s">
        <v>96</v>
      </c>
      <c r="AP299" t="s">
        <v>78</v>
      </c>
      <c r="AQ299" t="s">
        <v>78</v>
      </c>
      <c r="AS299" t="s">
        <v>78</v>
      </c>
      <c r="AT299" t="s">
        <v>100</v>
      </c>
      <c r="AU299" t="s">
        <v>100</v>
      </c>
      <c r="AW299" t="s">
        <v>85</v>
      </c>
      <c r="AX299" t="s">
        <v>101</v>
      </c>
      <c r="AY299" t="s">
        <v>102</v>
      </c>
      <c r="AZ299" t="s">
        <v>145</v>
      </c>
      <c r="BA299" t="s">
        <v>354</v>
      </c>
      <c r="BB299" t="s">
        <v>78</v>
      </c>
      <c r="BC299" t="s">
        <v>78</v>
      </c>
      <c r="BD299" t="s">
        <v>1878</v>
      </c>
      <c r="BE299">
        <v>0</v>
      </c>
      <c r="BF299">
        <v>22</v>
      </c>
      <c r="BG299">
        <v>0</v>
      </c>
      <c r="BH299">
        <v>0</v>
      </c>
      <c r="BJ299" t="s">
        <v>85</v>
      </c>
      <c r="BP299" t="s">
        <v>78</v>
      </c>
      <c r="BQ299" t="s">
        <v>78</v>
      </c>
      <c r="BR299" t="s">
        <v>78</v>
      </c>
    </row>
    <row r="300" customFormat="1" spans="1:70">
      <c r="A300" t="s">
        <v>2154</v>
      </c>
      <c r="B300" t="s">
        <v>2154</v>
      </c>
      <c r="C300" t="s">
        <v>2155</v>
      </c>
      <c r="D300" t="s">
        <v>2156</v>
      </c>
      <c r="E300">
        <v>1</v>
      </c>
      <c r="F300" t="s">
        <v>2157</v>
      </c>
      <c r="G300" t="s">
        <v>2158</v>
      </c>
      <c r="H300">
        <v>239</v>
      </c>
      <c r="I300">
        <v>239</v>
      </c>
      <c r="J300">
        <v>0</v>
      </c>
      <c r="K300">
        <v>0</v>
      </c>
      <c r="L300" t="s">
        <v>78</v>
      </c>
      <c r="M300" t="s">
        <v>78</v>
      </c>
      <c r="N300" t="s">
        <v>78</v>
      </c>
      <c r="O300">
        <v>0</v>
      </c>
      <c r="P300">
        <v>0</v>
      </c>
      <c r="Q300">
        <v>0</v>
      </c>
      <c r="R300" t="s">
        <v>125</v>
      </c>
      <c r="S300">
        <v>0</v>
      </c>
      <c r="T300" t="s">
        <v>80</v>
      </c>
      <c r="U300" t="s">
        <v>80</v>
      </c>
      <c r="V300" t="s">
        <v>574</v>
      </c>
      <c r="W300" t="s">
        <v>574</v>
      </c>
      <c r="X300" t="s">
        <v>926</v>
      </c>
      <c r="Y300" t="s">
        <v>927</v>
      </c>
      <c r="Z300" t="s">
        <v>80</v>
      </c>
      <c r="AA300" t="s">
        <v>85</v>
      </c>
      <c r="AC300" t="s">
        <v>2159</v>
      </c>
      <c r="AD300" t="s">
        <v>87</v>
      </c>
      <c r="AF300" t="s">
        <v>2160</v>
      </c>
      <c r="AG300" t="s">
        <v>2161</v>
      </c>
      <c r="AH300" t="s">
        <v>91</v>
      </c>
      <c r="AI300" t="s">
        <v>216</v>
      </c>
      <c r="AJ300" t="s">
        <v>93</v>
      </c>
      <c r="AK300" t="s">
        <v>2162</v>
      </c>
      <c r="AL300" t="s">
        <v>95</v>
      </c>
      <c r="AM300" t="s">
        <v>96</v>
      </c>
      <c r="AN300" t="s">
        <v>96</v>
      </c>
      <c r="AP300" t="s">
        <v>78</v>
      </c>
      <c r="AQ300" t="s">
        <v>78</v>
      </c>
      <c r="AS300" t="s">
        <v>78</v>
      </c>
      <c r="AT300" t="s">
        <v>100</v>
      </c>
      <c r="AU300" t="s">
        <v>100</v>
      </c>
      <c r="AW300" t="s">
        <v>85</v>
      </c>
      <c r="AX300" t="s">
        <v>101</v>
      </c>
      <c r="AY300" t="s">
        <v>102</v>
      </c>
      <c r="AZ300" t="s">
        <v>145</v>
      </c>
      <c r="BA300" t="s">
        <v>354</v>
      </c>
      <c r="BB300" t="s">
        <v>78</v>
      </c>
      <c r="BC300" t="s">
        <v>78</v>
      </c>
      <c r="BD300" t="s">
        <v>2163</v>
      </c>
      <c r="BE300">
        <v>0</v>
      </c>
      <c r="BF300">
        <v>0</v>
      </c>
      <c r="BG300">
        <v>0</v>
      </c>
      <c r="BH300">
        <v>0</v>
      </c>
      <c r="BJ300" t="s">
        <v>85</v>
      </c>
      <c r="BP300" t="s">
        <v>78</v>
      </c>
      <c r="BQ300" t="s">
        <v>78</v>
      </c>
      <c r="BR300" t="s">
        <v>78</v>
      </c>
    </row>
    <row r="301" customFormat="1" spans="1:70">
      <c r="A301" t="s">
        <v>2154</v>
      </c>
      <c r="B301" t="s">
        <v>2164</v>
      </c>
      <c r="C301" t="s">
        <v>1050</v>
      </c>
      <c r="D301" t="s">
        <v>1051</v>
      </c>
      <c r="E301">
        <v>1</v>
      </c>
      <c r="F301" t="s">
        <v>1052</v>
      </c>
      <c r="G301" t="s">
        <v>1053</v>
      </c>
      <c r="H301">
        <v>129</v>
      </c>
      <c r="I301">
        <v>129</v>
      </c>
      <c r="J301">
        <v>0</v>
      </c>
      <c r="K301">
        <v>0</v>
      </c>
      <c r="L301" t="s">
        <v>78</v>
      </c>
      <c r="M301" t="s">
        <v>78</v>
      </c>
      <c r="N301" t="s">
        <v>78</v>
      </c>
      <c r="O301">
        <v>0</v>
      </c>
      <c r="P301">
        <v>0</v>
      </c>
      <c r="Q301">
        <v>0</v>
      </c>
      <c r="R301" t="s">
        <v>125</v>
      </c>
      <c r="S301">
        <v>0</v>
      </c>
      <c r="T301" t="s">
        <v>80</v>
      </c>
      <c r="U301" t="s">
        <v>80</v>
      </c>
      <c r="V301" t="s">
        <v>574</v>
      </c>
      <c r="W301" t="s">
        <v>574</v>
      </c>
      <c r="X301" t="s">
        <v>926</v>
      </c>
      <c r="Y301" t="s">
        <v>927</v>
      </c>
      <c r="Z301" t="s">
        <v>80</v>
      </c>
      <c r="AA301" t="s">
        <v>85</v>
      </c>
      <c r="AC301" t="s">
        <v>2159</v>
      </c>
      <c r="AD301" t="s">
        <v>87</v>
      </c>
      <c r="AF301" t="s">
        <v>2160</v>
      </c>
      <c r="AG301" t="s">
        <v>2161</v>
      </c>
      <c r="AH301" t="s">
        <v>91</v>
      </c>
      <c r="AI301" t="s">
        <v>92</v>
      </c>
      <c r="AJ301" t="s">
        <v>93</v>
      </c>
      <c r="AK301" t="s">
        <v>2162</v>
      </c>
      <c r="AL301" t="s">
        <v>95</v>
      </c>
      <c r="AM301" t="s">
        <v>96</v>
      </c>
      <c r="AN301" t="s">
        <v>97</v>
      </c>
      <c r="AO301" t="s">
        <v>98</v>
      </c>
      <c r="AP301" t="s">
        <v>78</v>
      </c>
      <c r="AQ301" t="s">
        <v>78</v>
      </c>
      <c r="AS301" t="s">
        <v>78</v>
      </c>
      <c r="AT301" t="s">
        <v>100</v>
      </c>
      <c r="AU301" t="s">
        <v>100</v>
      </c>
      <c r="AW301" t="s">
        <v>85</v>
      </c>
      <c r="AX301" t="s">
        <v>101</v>
      </c>
      <c r="AY301" t="s">
        <v>102</v>
      </c>
      <c r="AZ301" t="s">
        <v>103</v>
      </c>
      <c r="BA301" t="s">
        <v>120</v>
      </c>
      <c r="BB301" t="s">
        <v>78</v>
      </c>
      <c r="BC301" t="s">
        <v>78</v>
      </c>
      <c r="BD301" t="s">
        <v>2165</v>
      </c>
      <c r="BE301">
        <v>0</v>
      </c>
      <c r="BF301">
        <v>0</v>
      </c>
      <c r="BG301">
        <v>0</v>
      </c>
      <c r="BH301">
        <v>0</v>
      </c>
      <c r="BJ301" t="s">
        <v>85</v>
      </c>
      <c r="BP301" t="s">
        <v>78</v>
      </c>
      <c r="BQ301" t="s">
        <v>78</v>
      </c>
      <c r="BR301" t="s">
        <v>78</v>
      </c>
    </row>
    <row r="302" customFormat="1" spans="1:70">
      <c r="A302" t="s">
        <v>2166</v>
      </c>
      <c r="B302" t="s">
        <v>2166</v>
      </c>
      <c r="C302" t="s">
        <v>1080</v>
      </c>
      <c r="D302" t="s">
        <v>108</v>
      </c>
      <c r="E302">
        <v>1</v>
      </c>
      <c r="F302" t="s">
        <v>1081</v>
      </c>
      <c r="G302" t="s">
        <v>1082</v>
      </c>
      <c r="H302">
        <v>289</v>
      </c>
      <c r="I302">
        <v>289</v>
      </c>
      <c r="J302">
        <v>0</v>
      </c>
      <c r="K302">
        <v>0</v>
      </c>
      <c r="L302" t="s">
        <v>78</v>
      </c>
      <c r="M302" t="s">
        <v>78</v>
      </c>
      <c r="N302" t="s">
        <v>78</v>
      </c>
      <c r="O302">
        <v>0</v>
      </c>
      <c r="P302">
        <v>0</v>
      </c>
      <c r="Q302">
        <v>0</v>
      </c>
      <c r="R302" t="s">
        <v>79</v>
      </c>
      <c r="S302">
        <v>0</v>
      </c>
      <c r="T302" t="s">
        <v>80</v>
      </c>
      <c r="U302" t="s">
        <v>80</v>
      </c>
      <c r="V302" t="s">
        <v>464</v>
      </c>
      <c r="W302" t="s">
        <v>1460</v>
      </c>
      <c r="X302" t="s">
        <v>2167</v>
      </c>
      <c r="Y302" t="s">
        <v>2168</v>
      </c>
      <c r="Z302" t="s">
        <v>80</v>
      </c>
      <c r="AA302" t="s">
        <v>85</v>
      </c>
      <c r="AC302" t="s">
        <v>2169</v>
      </c>
      <c r="AD302" t="s">
        <v>87</v>
      </c>
      <c r="AF302" t="s">
        <v>2170</v>
      </c>
      <c r="AG302" t="s">
        <v>2171</v>
      </c>
      <c r="AH302" t="s">
        <v>227</v>
      </c>
      <c r="AI302" t="s">
        <v>216</v>
      </c>
      <c r="AJ302" t="s">
        <v>93</v>
      </c>
      <c r="AK302" t="s">
        <v>2172</v>
      </c>
      <c r="AL302" t="s">
        <v>95</v>
      </c>
      <c r="AM302" t="s">
        <v>96</v>
      </c>
      <c r="AN302" t="s">
        <v>96</v>
      </c>
      <c r="AP302" t="s">
        <v>78</v>
      </c>
      <c r="AQ302" t="s">
        <v>78</v>
      </c>
      <c r="AS302" t="s">
        <v>78</v>
      </c>
      <c r="AT302" t="s">
        <v>100</v>
      </c>
      <c r="AU302" t="s">
        <v>100</v>
      </c>
      <c r="AW302" t="s">
        <v>85</v>
      </c>
      <c r="AX302" t="s">
        <v>101</v>
      </c>
      <c r="AY302" t="s">
        <v>102</v>
      </c>
      <c r="AZ302" t="s">
        <v>145</v>
      </c>
      <c r="BA302" t="s">
        <v>525</v>
      </c>
      <c r="BB302" t="s">
        <v>78</v>
      </c>
      <c r="BC302" t="s">
        <v>78</v>
      </c>
      <c r="BD302" t="s">
        <v>2173</v>
      </c>
      <c r="BE302">
        <v>0</v>
      </c>
      <c r="BF302">
        <v>0</v>
      </c>
      <c r="BG302">
        <v>0</v>
      </c>
      <c r="BH302">
        <v>0</v>
      </c>
      <c r="BJ302" t="s">
        <v>85</v>
      </c>
      <c r="BP302" t="s">
        <v>78</v>
      </c>
      <c r="BQ302" t="s">
        <v>78</v>
      </c>
      <c r="BR302" t="s">
        <v>78</v>
      </c>
    </row>
    <row r="303" customFormat="1" spans="1:70">
      <c r="A303" t="s">
        <v>2174</v>
      </c>
      <c r="B303" t="s">
        <v>2174</v>
      </c>
      <c r="C303" t="s">
        <v>1068</v>
      </c>
      <c r="D303" t="s">
        <v>75</v>
      </c>
      <c r="E303">
        <v>1</v>
      </c>
      <c r="F303" t="s">
        <v>1069</v>
      </c>
      <c r="G303" t="s">
        <v>1070</v>
      </c>
      <c r="H303">
        <v>180</v>
      </c>
      <c r="I303">
        <v>175</v>
      </c>
      <c r="J303">
        <v>0</v>
      </c>
      <c r="K303">
        <v>5</v>
      </c>
      <c r="L303" t="s">
        <v>2175</v>
      </c>
      <c r="M303" t="s">
        <v>78</v>
      </c>
      <c r="N303" t="s">
        <v>78</v>
      </c>
      <c r="O303">
        <v>0</v>
      </c>
      <c r="P303">
        <v>0</v>
      </c>
      <c r="Q303">
        <v>0</v>
      </c>
      <c r="R303" t="s">
        <v>111</v>
      </c>
      <c r="S303">
        <v>0</v>
      </c>
      <c r="T303" t="s">
        <v>80</v>
      </c>
      <c r="U303" t="s">
        <v>80</v>
      </c>
      <c r="V303" t="s">
        <v>302</v>
      </c>
      <c r="W303" t="s">
        <v>1834</v>
      </c>
      <c r="X303" t="s">
        <v>2176</v>
      </c>
      <c r="Y303" t="s">
        <v>2177</v>
      </c>
      <c r="Z303" t="s">
        <v>80</v>
      </c>
      <c r="AA303" t="s">
        <v>85</v>
      </c>
      <c r="AC303" t="s">
        <v>2178</v>
      </c>
      <c r="AD303" t="s">
        <v>87</v>
      </c>
      <c r="AF303" t="s">
        <v>2179</v>
      </c>
      <c r="AG303" t="s">
        <v>2180</v>
      </c>
      <c r="AH303" t="s">
        <v>91</v>
      </c>
      <c r="AI303" t="s">
        <v>92</v>
      </c>
      <c r="AJ303" t="s">
        <v>93</v>
      </c>
      <c r="AK303" t="s">
        <v>2181</v>
      </c>
      <c r="AL303" t="s">
        <v>95</v>
      </c>
      <c r="AM303" t="s">
        <v>96</v>
      </c>
      <c r="AN303" t="s">
        <v>97</v>
      </c>
      <c r="AO303" t="s">
        <v>98</v>
      </c>
      <c r="AP303" t="s">
        <v>78</v>
      </c>
      <c r="AQ303" t="s">
        <v>78</v>
      </c>
      <c r="AS303" t="s">
        <v>78</v>
      </c>
      <c r="AT303" t="s">
        <v>100</v>
      </c>
      <c r="AU303" t="s">
        <v>100</v>
      </c>
      <c r="AW303" t="s">
        <v>85</v>
      </c>
      <c r="AX303" t="s">
        <v>101</v>
      </c>
      <c r="AY303" t="s">
        <v>102</v>
      </c>
      <c r="AZ303" t="s">
        <v>145</v>
      </c>
      <c r="BA303" t="s">
        <v>146</v>
      </c>
      <c r="BB303" t="s">
        <v>78</v>
      </c>
      <c r="BC303" t="s">
        <v>78</v>
      </c>
      <c r="BD303" t="s">
        <v>1078</v>
      </c>
      <c r="BE303">
        <v>0</v>
      </c>
      <c r="BF303">
        <v>5</v>
      </c>
      <c r="BG303">
        <v>0</v>
      </c>
      <c r="BH303">
        <v>0</v>
      </c>
      <c r="BJ303" t="s">
        <v>85</v>
      </c>
      <c r="BP303" t="s">
        <v>78</v>
      </c>
      <c r="BQ303" t="s">
        <v>78</v>
      </c>
      <c r="BR303" t="s">
        <v>78</v>
      </c>
    </row>
    <row r="304" customFormat="1" spans="1:70">
      <c r="A304" t="s">
        <v>2182</v>
      </c>
      <c r="B304" t="s">
        <v>2182</v>
      </c>
      <c r="C304" t="s">
        <v>1178</v>
      </c>
      <c r="D304" t="s">
        <v>123</v>
      </c>
      <c r="E304">
        <v>1</v>
      </c>
      <c r="F304" t="s">
        <v>1180</v>
      </c>
      <c r="G304" t="s">
        <v>2183</v>
      </c>
      <c r="H304">
        <v>189</v>
      </c>
      <c r="I304">
        <v>189</v>
      </c>
      <c r="J304">
        <v>0</v>
      </c>
      <c r="K304">
        <v>0</v>
      </c>
      <c r="L304" t="s">
        <v>78</v>
      </c>
      <c r="M304" t="s">
        <v>78</v>
      </c>
      <c r="N304" t="s">
        <v>78</v>
      </c>
      <c r="O304">
        <v>0</v>
      </c>
      <c r="P304">
        <v>0</v>
      </c>
      <c r="Q304">
        <v>0</v>
      </c>
      <c r="R304" t="s">
        <v>125</v>
      </c>
      <c r="S304">
        <v>0</v>
      </c>
      <c r="T304" t="s">
        <v>80</v>
      </c>
      <c r="U304" t="s">
        <v>80</v>
      </c>
      <c r="V304" t="s">
        <v>302</v>
      </c>
      <c r="W304" t="s">
        <v>412</v>
      </c>
      <c r="X304" t="s">
        <v>2184</v>
      </c>
      <c r="Y304" t="s">
        <v>2185</v>
      </c>
      <c r="Z304" t="s">
        <v>80</v>
      </c>
      <c r="AA304" t="s">
        <v>85</v>
      </c>
      <c r="AC304" t="s">
        <v>2186</v>
      </c>
      <c r="AD304" t="s">
        <v>202</v>
      </c>
      <c r="AE304" t="s">
        <v>2187</v>
      </c>
      <c r="AG304" t="s">
        <v>2188</v>
      </c>
      <c r="AH304" t="s">
        <v>91</v>
      </c>
      <c r="AI304" t="s">
        <v>216</v>
      </c>
      <c r="AJ304" t="s">
        <v>131</v>
      </c>
      <c r="AK304" t="s">
        <v>2189</v>
      </c>
      <c r="AL304" t="s">
        <v>95</v>
      </c>
      <c r="AM304" t="s">
        <v>96</v>
      </c>
      <c r="AN304" t="s">
        <v>96</v>
      </c>
      <c r="AP304" t="s">
        <v>78</v>
      </c>
      <c r="AQ304" t="s">
        <v>99</v>
      </c>
      <c r="AS304" t="s">
        <v>78</v>
      </c>
      <c r="AT304" t="s">
        <v>100</v>
      </c>
      <c r="AU304" t="s">
        <v>100</v>
      </c>
      <c r="AW304" t="s">
        <v>85</v>
      </c>
      <c r="AX304" t="s">
        <v>101</v>
      </c>
      <c r="AY304" t="s">
        <v>102</v>
      </c>
      <c r="AZ304" t="s">
        <v>145</v>
      </c>
      <c r="BA304" t="s">
        <v>218</v>
      </c>
      <c r="BB304" t="s">
        <v>78</v>
      </c>
      <c r="BC304" t="s">
        <v>78</v>
      </c>
      <c r="BD304" t="s">
        <v>2190</v>
      </c>
      <c r="BE304">
        <v>0</v>
      </c>
      <c r="BF304">
        <v>0</v>
      </c>
      <c r="BG304">
        <v>0</v>
      </c>
      <c r="BH304">
        <v>0</v>
      </c>
      <c r="BJ304" t="s">
        <v>85</v>
      </c>
      <c r="BP304" t="s">
        <v>78</v>
      </c>
      <c r="BQ304" t="s">
        <v>78</v>
      </c>
      <c r="BR304" t="s">
        <v>78</v>
      </c>
    </row>
    <row r="305" customFormat="1" spans="1:70">
      <c r="A305" t="s">
        <v>2191</v>
      </c>
      <c r="B305" t="s">
        <v>2191</v>
      </c>
      <c r="C305" t="s">
        <v>2192</v>
      </c>
      <c r="D305" t="s">
        <v>1038</v>
      </c>
      <c r="E305">
        <v>1</v>
      </c>
      <c r="F305" t="s">
        <v>2193</v>
      </c>
      <c r="G305" t="s">
        <v>2194</v>
      </c>
      <c r="H305">
        <v>319</v>
      </c>
      <c r="I305">
        <v>297</v>
      </c>
      <c r="J305">
        <v>0</v>
      </c>
      <c r="K305">
        <v>22</v>
      </c>
      <c r="L305" t="s">
        <v>2147</v>
      </c>
      <c r="M305" t="s">
        <v>78</v>
      </c>
      <c r="N305" t="s">
        <v>78</v>
      </c>
      <c r="O305">
        <v>0</v>
      </c>
      <c r="P305">
        <v>0</v>
      </c>
      <c r="Q305">
        <v>0</v>
      </c>
      <c r="R305" t="s">
        <v>125</v>
      </c>
      <c r="S305">
        <v>0</v>
      </c>
      <c r="T305" t="s">
        <v>80</v>
      </c>
      <c r="U305" t="s">
        <v>80</v>
      </c>
      <c r="V305" t="s">
        <v>464</v>
      </c>
      <c r="W305" t="s">
        <v>542</v>
      </c>
      <c r="X305" t="s">
        <v>2148</v>
      </c>
      <c r="Y305" t="s">
        <v>2149</v>
      </c>
      <c r="Z305" t="s">
        <v>80</v>
      </c>
      <c r="AA305" t="s">
        <v>85</v>
      </c>
      <c r="AC305" t="s">
        <v>2195</v>
      </c>
      <c r="AD305" t="s">
        <v>202</v>
      </c>
      <c r="AE305" t="s">
        <v>2196</v>
      </c>
      <c r="AG305" t="s">
        <v>2197</v>
      </c>
      <c r="AH305" t="s">
        <v>91</v>
      </c>
      <c r="AI305" t="s">
        <v>216</v>
      </c>
      <c r="AJ305" t="s">
        <v>131</v>
      </c>
      <c r="AK305" t="s">
        <v>2198</v>
      </c>
      <c r="AL305" t="s">
        <v>95</v>
      </c>
      <c r="AM305" t="s">
        <v>96</v>
      </c>
      <c r="AN305" t="s">
        <v>96</v>
      </c>
      <c r="AP305" t="s">
        <v>78</v>
      </c>
      <c r="AQ305" t="s">
        <v>99</v>
      </c>
      <c r="AS305" t="s">
        <v>78</v>
      </c>
      <c r="AT305" t="s">
        <v>100</v>
      </c>
      <c r="AU305" t="s">
        <v>100</v>
      </c>
      <c r="AW305" t="s">
        <v>85</v>
      </c>
      <c r="AX305" t="s">
        <v>101</v>
      </c>
      <c r="AY305" t="s">
        <v>102</v>
      </c>
      <c r="AZ305" t="s">
        <v>145</v>
      </c>
      <c r="BA305" t="s">
        <v>525</v>
      </c>
      <c r="BB305" t="s">
        <v>78</v>
      </c>
      <c r="BC305" t="s">
        <v>78</v>
      </c>
      <c r="BD305" t="s">
        <v>2199</v>
      </c>
      <c r="BE305">
        <v>0</v>
      </c>
      <c r="BF305">
        <v>22</v>
      </c>
      <c r="BG305">
        <v>0</v>
      </c>
      <c r="BH305">
        <v>0</v>
      </c>
      <c r="BJ305" t="s">
        <v>85</v>
      </c>
      <c r="BP305" t="s">
        <v>78</v>
      </c>
      <c r="BQ305" t="s">
        <v>78</v>
      </c>
      <c r="BR305" t="s">
        <v>78</v>
      </c>
    </row>
    <row r="306" customFormat="1" spans="1:70">
      <c r="A306" t="s">
        <v>2200</v>
      </c>
      <c r="B306" t="s">
        <v>2200</v>
      </c>
      <c r="C306" t="s">
        <v>107</v>
      </c>
      <c r="D306" t="s">
        <v>108</v>
      </c>
      <c r="E306">
        <v>1</v>
      </c>
      <c r="F306" t="s">
        <v>109</v>
      </c>
      <c r="G306" t="s">
        <v>110</v>
      </c>
      <c r="H306">
        <v>289</v>
      </c>
      <c r="I306">
        <v>289</v>
      </c>
      <c r="J306">
        <v>0</v>
      </c>
      <c r="K306">
        <v>0</v>
      </c>
      <c r="L306" t="s">
        <v>78</v>
      </c>
      <c r="M306" t="s">
        <v>78</v>
      </c>
      <c r="N306" t="s">
        <v>78</v>
      </c>
      <c r="O306">
        <v>0</v>
      </c>
      <c r="P306">
        <v>0</v>
      </c>
      <c r="Q306">
        <v>0</v>
      </c>
      <c r="R306" t="s">
        <v>125</v>
      </c>
      <c r="S306">
        <v>0</v>
      </c>
      <c r="T306" t="s">
        <v>80</v>
      </c>
      <c r="U306" t="s">
        <v>80</v>
      </c>
      <c r="V306" t="s">
        <v>138</v>
      </c>
      <c r="W306" t="s">
        <v>2201</v>
      </c>
      <c r="X306" t="s">
        <v>2202</v>
      </c>
      <c r="Y306" t="s">
        <v>2203</v>
      </c>
      <c r="Z306" t="s">
        <v>80</v>
      </c>
      <c r="AA306" t="s">
        <v>85</v>
      </c>
      <c r="AC306" t="s">
        <v>2204</v>
      </c>
      <c r="AD306" t="s">
        <v>362</v>
      </c>
      <c r="AE306" t="s">
        <v>2205</v>
      </c>
      <c r="AF306" t="s">
        <v>2082</v>
      </c>
      <c r="AG306" t="s">
        <v>2206</v>
      </c>
      <c r="AH306" t="s">
        <v>91</v>
      </c>
      <c r="AI306" t="s">
        <v>92</v>
      </c>
      <c r="AJ306" t="s">
        <v>93</v>
      </c>
      <c r="AK306" t="s">
        <v>2207</v>
      </c>
      <c r="AL306" t="s">
        <v>95</v>
      </c>
      <c r="AM306" t="s">
        <v>96</v>
      </c>
      <c r="AN306" t="s">
        <v>97</v>
      </c>
      <c r="AO306" t="s">
        <v>98</v>
      </c>
      <c r="AP306" t="s">
        <v>78</v>
      </c>
      <c r="AQ306" t="s">
        <v>78</v>
      </c>
      <c r="AS306" t="s">
        <v>78</v>
      </c>
      <c r="AT306" t="s">
        <v>100</v>
      </c>
      <c r="AU306" t="s">
        <v>100</v>
      </c>
      <c r="AW306" t="s">
        <v>85</v>
      </c>
      <c r="AX306" t="s">
        <v>101</v>
      </c>
      <c r="AY306" t="s">
        <v>102</v>
      </c>
      <c r="AZ306" t="s">
        <v>145</v>
      </c>
      <c r="BA306" t="s">
        <v>146</v>
      </c>
      <c r="BB306" t="s">
        <v>78</v>
      </c>
      <c r="BC306" t="s">
        <v>78</v>
      </c>
      <c r="BD306" t="s">
        <v>1878</v>
      </c>
      <c r="BE306">
        <v>0</v>
      </c>
      <c r="BF306">
        <v>0</v>
      </c>
      <c r="BG306">
        <v>0</v>
      </c>
      <c r="BH306">
        <v>0</v>
      </c>
      <c r="BJ306" t="s">
        <v>85</v>
      </c>
      <c r="BP306" t="s">
        <v>78</v>
      </c>
      <c r="BQ306" t="s">
        <v>78</v>
      </c>
      <c r="BR306" t="s">
        <v>78</v>
      </c>
    </row>
    <row r="307" customFormat="1" spans="1:70">
      <c r="A307" t="s">
        <v>2208</v>
      </c>
      <c r="B307" t="s">
        <v>2208</v>
      </c>
      <c r="C307" t="s">
        <v>1050</v>
      </c>
      <c r="D307" t="s">
        <v>1153</v>
      </c>
      <c r="E307">
        <v>1</v>
      </c>
      <c r="F307" t="s">
        <v>1052</v>
      </c>
      <c r="G307" t="s">
        <v>1154</v>
      </c>
      <c r="H307">
        <v>129</v>
      </c>
      <c r="I307">
        <v>129</v>
      </c>
      <c r="J307">
        <v>0</v>
      </c>
      <c r="K307">
        <v>0</v>
      </c>
      <c r="L307" t="s">
        <v>78</v>
      </c>
      <c r="M307" t="s">
        <v>78</v>
      </c>
      <c r="N307" t="s">
        <v>78</v>
      </c>
      <c r="O307">
        <v>0</v>
      </c>
      <c r="P307">
        <v>0</v>
      </c>
      <c r="Q307">
        <v>0</v>
      </c>
      <c r="R307" t="s">
        <v>79</v>
      </c>
      <c r="S307">
        <v>0</v>
      </c>
      <c r="T307" t="s">
        <v>80</v>
      </c>
      <c r="U307" t="s">
        <v>80</v>
      </c>
      <c r="V307" t="s">
        <v>112</v>
      </c>
      <c r="W307" t="s">
        <v>906</v>
      </c>
      <c r="X307" t="s">
        <v>2209</v>
      </c>
      <c r="Y307" t="s">
        <v>2210</v>
      </c>
      <c r="Z307" t="s">
        <v>80</v>
      </c>
      <c r="AA307" t="s">
        <v>85</v>
      </c>
      <c r="AC307" t="s">
        <v>2211</v>
      </c>
      <c r="AD307" t="s">
        <v>87</v>
      </c>
      <c r="AG307" t="s">
        <v>2212</v>
      </c>
      <c r="AH307" t="s">
        <v>91</v>
      </c>
      <c r="AI307" t="s">
        <v>216</v>
      </c>
      <c r="AJ307" t="s">
        <v>131</v>
      </c>
      <c r="AK307" t="s">
        <v>2213</v>
      </c>
      <c r="AL307" t="s">
        <v>95</v>
      </c>
      <c r="AM307" t="s">
        <v>96</v>
      </c>
      <c r="AN307" t="s">
        <v>96</v>
      </c>
      <c r="AP307" t="s">
        <v>78</v>
      </c>
      <c r="AQ307" t="s">
        <v>99</v>
      </c>
      <c r="AS307" t="s">
        <v>78</v>
      </c>
      <c r="AT307" t="s">
        <v>100</v>
      </c>
      <c r="AU307" t="s">
        <v>100</v>
      </c>
      <c r="AW307" t="s">
        <v>85</v>
      </c>
      <c r="AX307" t="s">
        <v>101</v>
      </c>
      <c r="AY307" t="s">
        <v>102</v>
      </c>
      <c r="AZ307" t="s">
        <v>145</v>
      </c>
      <c r="BA307" t="s">
        <v>218</v>
      </c>
      <c r="BB307" t="s">
        <v>78</v>
      </c>
      <c r="BC307" t="s">
        <v>78</v>
      </c>
      <c r="BE307">
        <v>0</v>
      </c>
      <c r="BF307">
        <v>0</v>
      </c>
      <c r="BG307">
        <v>0</v>
      </c>
      <c r="BH307">
        <v>0</v>
      </c>
      <c r="BJ307" t="s">
        <v>85</v>
      </c>
      <c r="BP307" t="s">
        <v>78</v>
      </c>
      <c r="BQ307" t="s">
        <v>78</v>
      </c>
      <c r="BR307" t="s">
        <v>78</v>
      </c>
    </row>
    <row r="308" customFormat="1" spans="1:70">
      <c r="A308" t="s">
        <v>2214</v>
      </c>
      <c r="B308" t="s">
        <v>2214</v>
      </c>
      <c r="C308" t="s">
        <v>107</v>
      </c>
      <c r="D308" t="s">
        <v>108</v>
      </c>
      <c r="E308">
        <v>1</v>
      </c>
      <c r="F308" t="s">
        <v>109</v>
      </c>
      <c r="G308" t="s">
        <v>110</v>
      </c>
      <c r="H308">
        <v>289</v>
      </c>
      <c r="I308">
        <v>289</v>
      </c>
      <c r="J308">
        <v>0</v>
      </c>
      <c r="K308">
        <v>0</v>
      </c>
      <c r="L308" t="s">
        <v>78</v>
      </c>
      <c r="M308" t="s">
        <v>78</v>
      </c>
      <c r="N308" t="s">
        <v>78</v>
      </c>
      <c r="O308">
        <v>0</v>
      </c>
      <c r="P308">
        <v>0</v>
      </c>
      <c r="Q308">
        <v>0</v>
      </c>
      <c r="R308" t="s">
        <v>125</v>
      </c>
      <c r="S308">
        <v>0</v>
      </c>
      <c r="T308" t="s">
        <v>80</v>
      </c>
      <c r="U308" t="s">
        <v>80</v>
      </c>
      <c r="V308" t="s">
        <v>509</v>
      </c>
      <c r="W308" t="s">
        <v>510</v>
      </c>
      <c r="X308" t="s">
        <v>511</v>
      </c>
      <c r="Y308" t="s">
        <v>512</v>
      </c>
      <c r="Z308" t="s">
        <v>80</v>
      </c>
      <c r="AA308" t="s">
        <v>85</v>
      </c>
      <c r="AC308" t="s">
        <v>2215</v>
      </c>
      <c r="AD308" t="s">
        <v>87</v>
      </c>
      <c r="AG308" t="s">
        <v>2216</v>
      </c>
      <c r="AH308" t="s">
        <v>91</v>
      </c>
      <c r="AI308" t="s">
        <v>92</v>
      </c>
      <c r="AJ308" t="s">
        <v>131</v>
      </c>
      <c r="AK308" t="s">
        <v>2217</v>
      </c>
      <c r="AL308" t="s">
        <v>95</v>
      </c>
      <c r="AM308" t="s">
        <v>96</v>
      </c>
      <c r="AN308" t="s">
        <v>97</v>
      </c>
      <c r="AO308" t="s">
        <v>98</v>
      </c>
      <c r="AP308" t="s">
        <v>78</v>
      </c>
      <c r="AQ308" t="s">
        <v>99</v>
      </c>
      <c r="AS308" t="s">
        <v>78</v>
      </c>
      <c r="AT308" t="s">
        <v>100</v>
      </c>
      <c r="AU308" t="s">
        <v>100</v>
      </c>
      <c r="AW308" t="s">
        <v>85</v>
      </c>
      <c r="AX308" t="s">
        <v>101</v>
      </c>
      <c r="AY308" t="s">
        <v>102</v>
      </c>
      <c r="AZ308" t="s">
        <v>145</v>
      </c>
      <c r="BA308" t="s">
        <v>146</v>
      </c>
      <c r="BB308" t="s">
        <v>78</v>
      </c>
      <c r="BC308" t="s">
        <v>78</v>
      </c>
      <c r="BE308">
        <v>0</v>
      </c>
      <c r="BF308">
        <v>0</v>
      </c>
      <c r="BG308">
        <v>0</v>
      </c>
      <c r="BH308">
        <v>0</v>
      </c>
      <c r="BJ308" t="s">
        <v>85</v>
      </c>
      <c r="BP308" t="s">
        <v>78</v>
      </c>
      <c r="BQ308" t="s">
        <v>78</v>
      </c>
      <c r="BR308" t="s">
        <v>78</v>
      </c>
    </row>
    <row r="309" customFormat="1" spans="1:70">
      <c r="A309" t="s">
        <v>2218</v>
      </c>
      <c r="B309" t="s">
        <v>2218</v>
      </c>
      <c r="C309" t="s">
        <v>1068</v>
      </c>
      <c r="D309" t="s">
        <v>230</v>
      </c>
      <c r="E309">
        <v>1</v>
      </c>
      <c r="F309" t="s">
        <v>1069</v>
      </c>
      <c r="G309" t="s">
        <v>2219</v>
      </c>
      <c r="H309">
        <v>180</v>
      </c>
      <c r="I309">
        <v>172</v>
      </c>
      <c r="J309">
        <v>0</v>
      </c>
      <c r="K309">
        <v>8</v>
      </c>
      <c r="L309" t="s">
        <v>2220</v>
      </c>
      <c r="M309" t="s">
        <v>78</v>
      </c>
      <c r="N309" t="s">
        <v>78</v>
      </c>
      <c r="O309">
        <v>0</v>
      </c>
      <c r="P309">
        <v>0</v>
      </c>
      <c r="Q309">
        <v>0</v>
      </c>
      <c r="R309" t="s">
        <v>79</v>
      </c>
      <c r="S309">
        <v>0</v>
      </c>
      <c r="T309" t="s">
        <v>80</v>
      </c>
      <c r="U309" t="s">
        <v>80</v>
      </c>
      <c r="V309" t="s">
        <v>302</v>
      </c>
      <c r="W309" t="s">
        <v>1358</v>
      </c>
      <c r="X309" t="s">
        <v>1359</v>
      </c>
      <c r="Y309" t="s">
        <v>1360</v>
      </c>
      <c r="Z309" t="s">
        <v>80</v>
      </c>
      <c r="AA309" t="s">
        <v>85</v>
      </c>
      <c r="AC309" t="s">
        <v>2221</v>
      </c>
      <c r="AD309" t="s">
        <v>87</v>
      </c>
      <c r="AG309" t="s">
        <v>2222</v>
      </c>
      <c r="AH309" t="s">
        <v>91</v>
      </c>
      <c r="AI309" t="s">
        <v>216</v>
      </c>
      <c r="AJ309" t="s">
        <v>131</v>
      </c>
      <c r="AK309" t="s">
        <v>2223</v>
      </c>
      <c r="AL309" t="s">
        <v>95</v>
      </c>
      <c r="AM309" t="s">
        <v>96</v>
      </c>
      <c r="AN309" t="s">
        <v>96</v>
      </c>
      <c r="AP309" t="s">
        <v>78</v>
      </c>
      <c r="AQ309" t="s">
        <v>99</v>
      </c>
      <c r="AS309" t="s">
        <v>78</v>
      </c>
      <c r="AT309" t="s">
        <v>100</v>
      </c>
      <c r="AU309" t="s">
        <v>100</v>
      </c>
      <c r="AW309" t="s">
        <v>85</v>
      </c>
      <c r="AX309" t="s">
        <v>101</v>
      </c>
      <c r="AY309" t="s">
        <v>102</v>
      </c>
      <c r="AZ309" t="s">
        <v>145</v>
      </c>
      <c r="BA309" t="s">
        <v>525</v>
      </c>
      <c r="BB309" t="s">
        <v>78</v>
      </c>
      <c r="BC309" t="s">
        <v>78</v>
      </c>
      <c r="BE309">
        <v>0</v>
      </c>
      <c r="BF309">
        <v>8</v>
      </c>
      <c r="BG309">
        <v>0</v>
      </c>
      <c r="BH309">
        <v>0</v>
      </c>
      <c r="BJ309" t="s">
        <v>85</v>
      </c>
      <c r="BP309" t="s">
        <v>78</v>
      </c>
      <c r="BQ309" t="s">
        <v>78</v>
      </c>
      <c r="BR309" t="s">
        <v>78</v>
      </c>
    </row>
    <row r="310" customFormat="1" spans="1:70">
      <c r="A310" t="s">
        <v>2224</v>
      </c>
      <c r="B310" t="s">
        <v>2224</v>
      </c>
      <c r="C310" t="s">
        <v>2225</v>
      </c>
      <c r="D310" t="s">
        <v>108</v>
      </c>
      <c r="E310">
        <v>1</v>
      </c>
      <c r="F310" t="s">
        <v>2226</v>
      </c>
      <c r="G310" t="s">
        <v>2227</v>
      </c>
      <c r="H310">
        <v>499</v>
      </c>
      <c r="I310">
        <v>499</v>
      </c>
      <c r="J310">
        <v>0</v>
      </c>
      <c r="K310">
        <v>0</v>
      </c>
      <c r="L310" t="s">
        <v>78</v>
      </c>
      <c r="M310" t="s">
        <v>78</v>
      </c>
      <c r="N310" t="s">
        <v>78</v>
      </c>
      <c r="O310">
        <v>0</v>
      </c>
      <c r="P310">
        <v>0</v>
      </c>
      <c r="Q310">
        <v>0</v>
      </c>
      <c r="R310" t="s">
        <v>111</v>
      </c>
      <c r="S310">
        <v>0</v>
      </c>
      <c r="T310" t="s">
        <v>80</v>
      </c>
      <c r="U310" t="s">
        <v>80</v>
      </c>
      <c r="V310" t="s">
        <v>138</v>
      </c>
      <c r="W310" t="s">
        <v>2228</v>
      </c>
      <c r="X310" t="s">
        <v>2229</v>
      </c>
      <c r="Y310" t="s">
        <v>2088</v>
      </c>
      <c r="Z310" t="s">
        <v>80</v>
      </c>
      <c r="AA310" t="s">
        <v>85</v>
      </c>
      <c r="AC310" t="s">
        <v>2230</v>
      </c>
      <c r="AD310" t="s">
        <v>87</v>
      </c>
      <c r="AF310" t="s">
        <v>2231</v>
      </c>
      <c r="AG310" t="s">
        <v>2232</v>
      </c>
      <c r="AH310" t="s">
        <v>91</v>
      </c>
      <c r="AI310" t="s">
        <v>216</v>
      </c>
      <c r="AJ310" t="s">
        <v>93</v>
      </c>
      <c r="AK310" t="s">
        <v>2233</v>
      </c>
      <c r="AL310" t="s">
        <v>95</v>
      </c>
      <c r="AM310" t="s">
        <v>96</v>
      </c>
      <c r="AN310" t="s">
        <v>96</v>
      </c>
      <c r="AP310" t="s">
        <v>78</v>
      </c>
      <c r="AQ310" t="s">
        <v>78</v>
      </c>
      <c r="AS310" t="s">
        <v>78</v>
      </c>
      <c r="AT310" t="s">
        <v>100</v>
      </c>
      <c r="AU310" t="s">
        <v>100</v>
      </c>
      <c r="AW310" t="s">
        <v>85</v>
      </c>
      <c r="AX310" t="s">
        <v>101</v>
      </c>
      <c r="AY310" t="s">
        <v>102</v>
      </c>
      <c r="AZ310" t="s">
        <v>145</v>
      </c>
      <c r="BA310" t="s">
        <v>218</v>
      </c>
      <c r="BB310" t="s">
        <v>78</v>
      </c>
      <c r="BC310" t="s">
        <v>78</v>
      </c>
      <c r="BD310" t="s">
        <v>2234</v>
      </c>
      <c r="BE310">
        <v>0</v>
      </c>
      <c r="BF310">
        <v>0</v>
      </c>
      <c r="BG310">
        <v>0</v>
      </c>
      <c r="BH310">
        <v>0</v>
      </c>
      <c r="BJ310" t="s">
        <v>85</v>
      </c>
      <c r="BP310" t="s">
        <v>78</v>
      </c>
      <c r="BQ310" t="s">
        <v>78</v>
      </c>
      <c r="BR310" t="s">
        <v>78</v>
      </c>
    </row>
    <row r="311" customFormat="1" spans="1:70">
      <c r="A311" t="s">
        <v>2235</v>
      </c>
      <c r="B311" t="s">
        <v>2235</v>
      </c>
      <c r="C311" t="s">
        <v>2225</v>
      </c>
      <c r="D311" t="s">
        <v>135</v>
      </c>
      <c r="E311">
        <v>1</v>
      </c>
      <c r="F311" t="s">
        <v>2226</v>
      </c>
      <c r="G311" t="s">
        <v>2236</v>
      </c>
      <c r="H311">
        <v>499</v>
      </c>
      <c r="I311">
        <v>481</v>
      </c>
      <c r="J311">
        <v>0</v>
      </c>
      <c r="K311">
        <v>18</v>
      </c>
      <c r="L311" t="s">
        <v>2068</v>
      </c>
      <c r="M311" t="s">
        <v>78</v>
      </c>
      <c r="N311" t="s">
        <v>78</v>
      </c>
      <c r="O311">
        <v>0</v>
      </c>
      <c r="P311">
        <v>0</v>
      </c>
      <c r="Q311">
        <v>0</v>
      </c>
      <c r="R311" t="s">
        <v>125</v>
      </c>
      <c r="S311">
        <v>0</v>
      </c>
      <c r="T311" t="s">
        <v>80</v>
      </c>
      <c r="U311" t="s">
        <v>80</v>
      </c>
      <c r="V311" t="s">
        <v>271</v>
      </c>
      <c r="W311" t="s">
        <v>272</v>
      </c>
      <c r="X311" t="s">
        <v>1546</v>
      </c>
      <c r="Y311" t="s">
        <v>2237</v>
      </c>
      <c r="Z311" t="s">
        <v>80</v>
      </c>
      <c r="AA311" t="s">
        <v>85</v>
      </c>
      <c r="AC311" t="s">
        <v>2238</v>
      </c>
      <c r="AD311" t="s">
        <v>87</v>
      </c>
      <c r="AG311" t="s">
        <v>2239</v>
      </c>
      <c r="AH311" t="s">
        <v>91</v>
      </c>
      <c r="AI311" t="s">
        <v>92</v>
      </c>
      <c r="AJ311" t="s">
        <v>131</v>
      </c>
      <c r="AK311" t="s">
        <v>2240</v>
      </c>
      <c r="AL311" t="s">
        <v>95</v>
      </c>
      <c r="AM311" t="s">
        <v>96</v>
      </c>
      <c r="AN311" t="s">
        <v>97</v>
      </c>
      <c r="AO311" t="s">
        <v>98</v>
      </c>
      <c r="AP311" t="s">
        <v>78</v>
      </c>
      <c r="AQ311" t="s">
        <v>99</v>
      </c>
      <c r="AS311" t="s">
        <v>78</v>
      </c>
      <c r="AT311" t="s">
        <v>100</v>
      </c>
      <c r="AU311" t="s">
        <v>100</v>
      </c>
      <c r="AW311" t="s">
        <v>85</v>
      </c>
      <c r="AX311" t="s">
        <v>101</v>
      </c>
      <c r="AY311" t="s">
        <v>102</v>
      </c>
      <c r="AZ311" t="s">
        <v>145</v>
      </c>
      <c r="BA311" t="s">
        <v>683</v>
      </c>
      <c r="BB311" t="s">
        <v>78</v>
      </c>
      <c r="BC311" t="s">
        <v>78</v>
      </c>
      <c r="BE311">
        <v>0</v>
      </c>
      <c r="BF311">
        <v>18</v>
      </c>
      <c r="BG311">
        <v>0</v>
      </c>
      <c r="BH311">
        <v>0</v>
      </c>
      <c r="BJ311" t="s">
        <v>85</v>
      </c>
      <c r="BP311" t="s">
        <v>78</v>
      </c>
      <c r="BQ311" t="s">
        <v>78</v>
      </c>
      <c r="BR311" t="s">
        <v>78</v>
      </c>
    </row>
    <row r="312" customFormat="1" spans="1:70">
      <c r="A312" t="s">
        <v>2241</v>
      </c>
      <c r="B312" t="s">
        <v>2241</v>
      </c>
      <c r="C312" t="s">
        <v>2242</v>
      </c>
      <c r="D312" t="s">
        <v>108</v>
      </c>
      <c r="E312">
        <v>1</v>
      </c>
      <c r="F312" t="s">
        <v>2243</v>
      </c>
      <c r="G312" t="s">
        <v>2244</v>
      </c>
      <c r="H312">
        <v>299</v>
      </c>
      <c r="I312">
        <v>299</v>
      </c>
      <c r="J312">
        <v>0</v>
      </c>
      <c r="K312">
        <v>0</v>
      </c>
      <c r="L312" t="s">
        <v>78</v>
      </c>
      <c r="M312" t="s">
        <v>78</v>
      </c>
      <c r="N312" t="s">
        <v>78</v>
      </c>
      <c r="O312">
        <v>0</v>
      </c>
      <c r="P312">
        <v>0</v>
      </c>
      <c r="Q312">
        <v>0</v>
      </c>
      <c r="R312" t="s">
        <v>125</v>
      </c>
      <c r="S312">
        <v>0</v>
      </c>
      <c r="T312" t="s">
        <v>80</v>
      </c>
      <c r="U312" t="s">
        <v>80</v>
      </c>
      <c r="V312" t="s">
        <v>574</v>
      </c>
      <c r="W312" t="s">
        <v>574</v>
      </c>
      <c r="X312" t="s">
        <v>926</v>
      </c>
      <c r="Y312" t="s">
        <v>927</v>
      </c>
      <c r="Z312" t="s">
        <v>80</v>
      </c>
      <c r="AA312" t="s">
        <v>85</v>
      </c>
      <c r="AC312" t="s">
        <v>2245</v>
      </c>
      <c r="AD312" t="s">
        <v>87</v>
      </c>
      <c r="AF312" t="s">
        <v>2246</v>
      </c>
      <c r="AG312" t="s">
        <v>2247</v>
      </c>
      <c r="AH312" t="s">
        <v>91</v>
      </c>
      <c r="AI312" t="s">
        <v>216</v>
      </c>
      <c r="AJ312" t="s">
        <v>93</v>
      </c>
      <c r="AK312" t="s">
        <v>2248</v>
      </c>
      <c r="AL312" t="s">
        <v>95</v>
      </c>
      <c r="AM312" t="s">
        <v>96</v>
      </c>
      <c r="AN312" t="s">
        <v>96</v>
      </c>
      <c r="AP312" t="s">
        <v>78</v>
      </c>
      <c r="AQ312" t="s">
        <v>78</v>
      </c>
      <c r="AS312" t="s">
        <v>78</v>
      </c>
      <c r="AT312" t="s">
        <v>100</v>
      </c>
      <c r="AU312" t="s">
        <v>100</v>
      </c>
      <c r="AW312" t="s">
        <v>85</v>
      </c>
      <c r="AX312" t="s">
        <v>101</v>
      </c>
      <c r="AY312" t="s">
        <v>102</v>
      </c>
      <c r="AZ312" t="s">
        <v>145</v>
      </c>
      <c r="BA312" t="s">
        <v>1077</v>
      </c>
      <c r="BB312" t="s">
        <v>78</v>
      </c>
      <c r="BC312" t="s">
        <v>78</v>
      </c>
      <c r="BD312" t="s">
        <v>2249</v>
      </c>
      <c r="BE312">
        <v>0</v>
      </c>
      <c r="BF312">
        <v>0</v>
      </c>
      <c r="BG312">
        <v>0</v>
      </c>
      <c r="BH312">
        <v>0</v>
      </c>
      <c r="BJ312" t="s">
        <v>85</v>
      </c>
      <c r="BP312" t="s">
        <v>78</v>
      </c>
      <c r="BQ312" t="s">
        <v>78</v>
      </c>
      <c r="BR312" t="s">
        <v>78</v>
      </c>
    </row>
    <row r="313" customFormat="1" spans="1:70">
      <c r="A313" t="s">
        <v>2250</v>
      </c>
      <c r="B313" t="s">
        <v>2250</v>
      </c>
      <c r="C313" t="s">
        <v>1068</v>
      </c>
      <c r="D313" t="s">
        <v>247</v>
      </c>
      <c r="E313">
        <v>1</v>
      </c>
      <c r="F313" t="s">
        <v>1069</v>
      </c>
      <c r="G313" t="s">
        <v>1104</v>
      </c>
      <c r="H313">
        <v>180</v>
      </c>
      <c r="I313">
        <v>180</v>
      </c>
      <c r="J313">
        <v>0</v>
      </c>
      <c r="K313">
        <v>0</v>
      </c>
      <c r="L313" t="s">
        <v>78</v>
      </c>
      <c r="M313" t="s">
        <v>78</v>
      </c>
      <c r="N313" t="s">
        <v>78</v>
      </c>
      <c r="O313">
        <v>0</v>
      </c>
      <c r="P313">
        <v>0</v>
      </c>
      <c r="Q313">
        <v>0</v>
      </c>
      <c r="R313" t="s">
        <v>125</v>
      </c>
      <c r="S313">
        <v>0</v>
      </c>
      <c r="T313" t="s">
        <v>80</v>
      </c>
      <c r="U313" t="s">
        <v>80</v>
      </c>
      <c r="V313" t="s">
        <v>221</v>
      </c>
      <c r="W313" t="s">
        <v>599</v>
      </c>
      <c r="X313" t="s">
        <v>1062</v>
      </c>
      <c r="Y313" t="s">
        <v>1063</v>
      </c>
      <c r="Z313" t="s">
        <v>80</v>
      </c>
      <c r="AA313" t="s">
        <v>85</v>
      </c>
      <c r="AC313" t="s">
        <v>2251</v>
      </c>
      <c r="AD313" t="s">
        <v>87</v>
      </c>
      <c r="AG313" t="s">
        <v>2252</v>
      </c>
      <c r="AH313" t="s">
        <v>91</v>
      </c>
      <c r="AI313" t="s">
        <v>92</v>
      </c>
      <c r="AJ313" t="s">
        <v>131</v>
      </c>
      <c r="AK313" t="s">
        <v>2253</v>
      </c>
      <c r="AL313" t="s">
        <v>95</v>
      </c>
      <c r="AM313" t="s">
        <v>96</v>
      </c>
      <c r="AN313" t="s">
        <v>97</v>
      </c>
      <c r="AO313" t="s">
        <v>98</v>
      </c>
      <c r="AP313" t="s">
        <v>78</v>
      </c>
      <c r="AQ313" t="s">
        <v>99</v>
      </c>
      <c r="AS313" t="s">
        <v>78</v>
      </c>
      <c r="AT313" t="s">
        <v>100</v>
      </c>
      <c r="AU313" t="s">
        <v>100</v>
      </c>
      <c r="AW313" t="s">
        <v>85</v>
      </c>
      <c r="AX313" t="s">
        <v>103</v>
      </c>
      <c r="AY313" t="s">
        <v>159</v>
      </c>
      <c r="AZ313" t="s">
        <v>103</v>
      </c>
      <c r="BA313" t="s">
        <v>104</v>
      </c>
      <c r="BB313" t="s">
        <v>78</v>
      </c>
      <c r="BC313" t="s">
        <v>78</v>
      </c>
      <c r="BE313">
        <v>0</v>
      </c>
      <c r="BF313">
        <v>0</v>
      </c>
      <c r="BG313">
        <v>0</v>
      </c>
      <c r="BH313">
        <v>0</v>
      </c>
      <c r="BJ313" t="s">
        <v>85</v>
      </c>
      <c r="BP313" t="s">
        <v>78</v>
      </c>
      <c r="BQ313" t="s">
        <v>78</v>
      </c>
      <c r="BR313" t="s">
        <v>78</v>
      </c>
    </row>
    <row r="314" customFormat="1" spans="1:70">
      <c r="A314" t="s">
        <v>2254</v>
      </c>
      <c r="B314" t="s">
        <v>2254</v>
      </c>
      <c r="C314" t="s">
        <v>1050</v>
      </c>
      <c r="D314" t="s">
        <v>2255</v>
      </c>
      <c r="E314">
        <v>1</v>
      </c>
      <c r="F314" t="s">
        <v>1052</v>
      </c>
      <c r="G314" t="s">
        <v>2256</v>
      </c>
      <c r="H314">
        <v>129</v>
      </c>
      <c r="I314">
        <v>129</v>
      </c>
      <c r="J314">
        <v>0</v>
      </c>
      <c r="K314">
        <v>0</v>
      </c>
      <c r="L314" t="s">
        <v>78</v>
      </c>
      <c r="M314" t="s">
        <v>78</v>
      </c>
      <c r="N314" t="s">
        <v>78</v>
      </c>
      <c r="O314">
        <v>0</v>
      </c>
      <c r="P314">
        <v>0</v>
      </c>
      <c r="Q314">
        <v>0</v>
      </c>
      <c r="R314" t="s">
        <v>79</v>
      </c>
      <c r="S314">
        <v>0</v>
      </c>
      <c r="T314" t="s">
        <v>80</v>
      </c>
      <c r="U314" t="s">
        <v>80</v>
      </c>
      <c r="V314" t="s">
        <v>271</v>
      </c>
      <c r="W314" t="s">
        <v>2257</v>
      </c>
      <c r="X314" t="s">
        <v>2258</v>
      </c>
      <c r="Y314" t="s">
        <v>2259</v>
      </c>
      <c r="Z314" t="s">
        <v>80</v>
      </c>
      <c r="AA314" t="s">
        <v>85</v>
      </c>
      <c r="AC314" t="s">
        <v>2260</v>
      </c>
      <c r="AD314" t="s">
        <v>87</v>
      </c>
      <c r="AG314" t="s">
        <v>2261</v>
      </c>
      <c r="AH314" t="s">
        <v>91</v>
      </c>
      <c r="AI314" t="s">
        <v>92</v>
      </c>
      <c r="AJ314" t="s">
        <v>131</v>
      </c>
      <c r="AK314" t="s">
        <v>2262</v>
      </c>
      <c r="AL314" t="s">
        <v>95</v>
      </c>
      <c r="AM314" t="s">
        <v>96</v>
      </c>
      <c r="AN314" t="s">
        <v>97</v>
      </c>
      <c r="AO314" t="s">
        <v>98</v>
      </c>
      <c r="AP314" t="s">
        <v>78</v>
      </c>
      <c r="AQ314" t="s">
        <v>99</v>
      </c>
      <c r="AS314" t="s">
        <v>78</v>
      </c>
      <c r="AT314" t="s">
        <v>100</v>
      </c>
      <c r="AU314" t="s">
        <v>100</v>
      </c>
      <c r="AW314" t="s">
        <v>85</v>
      </c>
      <c r="AX314" t="s">
        <v>101</v>
      </c>
      <c r="AY314" t="s">
        <v>102</v>
      </c>
      <c r="AZ314" t="s">
        <v>103</v>
      </c>
      <c r="BA314" t="s">
        <v>120</v>
      </c>
      <c r="BB314" t="s">
        <v>78</v>
      </c>
      <c r="BC314" t="s">
        <v>78</v>
      </c>
      <c r="BE314">
        <v>0</v>
      </c>
      <c r="BF314">
        <v>0</v>
      </c>
      <c r="BG314">
        <v>0</v>
      </c>
      <c r="BH314">
        <v>0</v>
      </c>
      <c r="BJ314" t="s">
        <v>85</v>
      </c>
      <c r="BP314" t="s">
        <v>78</v>
      </c>
      <c r="BQ314" t="s">
        <v>78</v>
      </c>
      <c r="BR314" t="s">
        <v>78</v>
      </c>
    </row>
    <row r="315" customFormat="1" spans="1:70">
      <c r="A315" t="s">
        <v>2263</v>
      </c>
      <c r="B315" t="s">
        <v>2263</v>
      </c>
      <c r="C315" t="s">
        <v>1080</v>
      </c>
      <c r="D315" t="s">
        <v>108</v>
      </c>
      <c r="E315">
        <v>1</v>
      </c>
      <c r="F315" t="s">
        <v>1081</v>
      </c>
      <c r="G315" t="s">
        <v>1082</v>
      </c>
      <c r="H315">
        <v>289</v>
      </c>
      <c r="I315">
        <v>289</v>
      </c>
      <c r="J315">
        <v>0</v>
      </c>
      <c r="K315">
        <v>0</v>
      </c>
      <c r="L315" t="s">
        <v>78</v>
      </c>
      <c r="M315" t="s">
        <v>78</v>
      </c>
      <c r="N315" t="s">
        <v>78</v>
      </c>
      <c r="O315">
        <v>0</v>
      </c>
      <c r="P315">
        <v>0</v>
      </c>
      <c r="Q315">
        <v>0</v>
      </c>
      <c r="R315" t="s">
        <v>125</v>
      </c>
      <c r="S315">
        <v>0</v>
      </c>
      <c r="T315" t="s">
        <v>80</v>
      </c>
      <c r="U315" t="s">
        <v>80</v>
      </c>
      <c r="V315" t="s">
        <v>221</v>
      </c>
      <c r="W315" t="s">
        <v>599</v>
      </c>
      <c r="X315" t="s">
        <v>1062</v>
      </c>
      <c r="Y315" t="s">
        <v>1063</v>
      </c>
      <c r="Z315" t="s">
        <v>80</v>
      </c>
      <c r="AA315" t="s">
        <v>85</v>
      </c>
      <c r="AC315" t="s">
        <v>2264</v>
      </c>
      <c r="AD315" t="s">
        <v>87</v>
      </c>
      <c r="AG315" t="s">
        <v>2265</v>
      </c>
      <c r="AH315" t="s">
        <v>91</v>
      </c>
      <c r="AI315" t="s">
        <v>92</v>
      </c>
      <c r="AJ315" t="s">
        <v>131</v>
      </c>
      <c r="AK315" t="s">
        <v>2266</v>
      </c>
      <c r="AL315" t="s">
        <v>95</v>
      </c>
      <c r="AM315" t="s">
        <v>96</v>
      </c>
      <c r="AN315" t="s">
        <v>97</v>
      </c>
      <c r="AO315" t="s">
        <v>98</v>
      </c>
      <c r="AP315" t="s">
        <v>78</v>
      </c>
      <c r="AQ315" t="s">
        <v>99</v>
      </c>
      <c r="AS315" t="s">
        <v>78</v>
      </c>
      <c r="AT315" t="s">
        <v>100</v>
      </c>
      <c r="AU315" t="s">
        <v>100</v>
      </c>
      <c r="AW315" t="s">
        <v>85</v>
      </c>
      <c r="AX315" t="s">
        <v>103</v>
      </c>
      <c r="AY315" t="s">
        <v>159</v>
      </c>
      <c r="AZ315" t="s">
        <v>103</v>
      </c>
      <c r="BA315" t="s">
        <v>104</v>
      </c>
      <c r="BB315" t="s">
        <v>78</v>
      </c>
      <c r="BC315" t="s">
        <v>78</v>
      </c>
      <c r="BE315">
        <v>0</v>
      </c>
      <c r="BF315">
        <v>0</v>
      </c>
      <c r="BG315">
        <v>0</v>
      </c>
      <c r="BH315">
        <v>0</v>
      </c>
      <c r="BJ315" t="s">
        <v>85</v>
      </c>
      <c r="BP315" t="s">
        <v>78</v>
      </c>
      <c r="BQ315" t="s">
        <v>78</v>
      </c>
      <c r="BR315" t="s">
        <v>78</v>
      </c>
    </row>
    <row r="316" customFormat="1" spans="1:70">
      <c r="A316" t="s">
        <v>2267</v>
      </c>
      <c r="B316" t="s">
        <v>2267</v>
      </c>
      <c r="C316" t="s">
        <v>1050</v>
      </c>
      <c r="D316" t="s">
        <v>2255</v>
      </c>
      <c r="E316">
        <v>1</v>
      </c>
      <c r="F316" t="s">
        <v>1052</v>
      </c>
      <c r="G316" t="s">
        <v>2256</v>
      </c>
      <c r="H316">
        <v>129</v>
      </c>
      <c r="I316">
        <v>129</v>
      </c>
      <c r="J316">
        <v>0</v>
      </c>
      <c r="K316">
        <v>0</v>
      </c>
      <c r="L316" t="s">
        <v>78</v>
      </c>
      <c r="M316" t="s">
        <v>78</v>
      </c>
      <c r="N316" t="s">
        <v>78</v>
      </c>
      <c r="O316">
        <v>0</v>
      </c>
      <c r="P316">
        <v>0</v>
      </c>
      <c r="Q316">
        <v>0</v>
      </c>
      <c r="R316" t="s">
        <v>79</v>
      </c>
      <c r="S316">
        <v>0</v>
      </c>
      <c r="T316" t="s">
        <v>80</v>
      </c>
      <c r="U316" t="s">
        <v>80</v>
      </c>
      <c r="V316" t="s">
        <v>152</v>
      </c>
      <c r="W316" t="s">
        <v>2268</v>
      </c>
      <c r="X316" t="s">
        <v>2269</v>
      </c>
      <c r="Y316" t="s">
        <v>2270</v>
      </c>
      <c r="Z316" t="s">
        <v>80</v>
      </c>
      <c r="AA316" t="s">
        <v>85</v>
      </c>
      <c r="AC316" t="s">
        <v>2271</v>
      </c>
      <c r="AD316" t="s">
        <v>87</v>
      </c>
      <c r="AH316" t="s">
        <v>91</v>
      </c>
      <c r="AI316" t="s">
        <v>92</v>
      </c>
      <c r="AJ316" t="s">
        <v>131</v>
      </c>
      <c r="AK316" t="s">
        <v>2272</v>
      </c>
      <c r="AL316" t="s">
        <v>95</v>
      </c>
      <c r="AM316" t="s">
        <v>96</v>
      </c>
      <c r="AN316" t="s">
        <v>97</v>
      </c>
      <c r="AO316" t="s">
        <v>98</v>
      </c>
      <c r="AP316" t="s">
        <v>78</v>
      </c>
      <c r="AQ316" t="s">
        <v>78</v>
      </c>
      <c r="AR316" t="s">
        <v>353</v>
      </c>
      <c r="AS316" t="s">
        <v>78</v>
      </c>
      <c r="AT316" t="s">
        <v>100</v>
      </c>
      <c r="AU316" t="s">
        <v>100</v>
      </c>
      <c r="AW316" t="s">
        <v>85</v>
      </c>
      <c r="AX316" t="s">
        <v>101</v>
      </c>
      <c r="AY316" t="s">
        <v>102</v>
      </c>
      <c r="AZ316" t="s">
        <v>103</v>
      </c>
      <c r="BA316" t="s">
        <v>102</v>
      </c>
      <c r="BB316" t="s">
        <v>78</v>
      </c>
      <c r="BC316" t="s">
        <v>78</v>
      </c>
      <c r="BE316">
        <v>0</v>
      </c>
      <c r="BF316">
        <v>0</v>
      </c>
      <c r="BG316">
        <v>0</v>
      </c>
      <c r="BH316">
        <v>0</v>
      </c>
      <c r="BJ316" t="s">
        <v>85</v>
      </c>
      <c r="BP316" t="s">
        <v>78</v>
      </c>
      <c r="BQ316" t="s">
        <v>78</v>
      </c>
      <c r="BR316" t="s">
        <v>78</v>
      </c>
    </row>
    <row r="317" customFormat="1" spans="1:70">
      <c r="A317" t="s">
        <v>2273</v>
      </c>
      <c r="B317" t="s">
        <v>2273</v>
      </c>
      <c r="C317" t="s">
        <v>1050</v>
      </c>
      <c r="D317" t="s">
        <v>2255</v>
      </c>
      <c r="E317">
        <v>1</v>
      </c>
      <c r="F317" t="s">
        <v>1052</v>
      </c>
      <c r="G317" t="s">
        <v>2256</v>
      </c>
      <c r="H317">
        <v>129</v>
      </c>
      <c r="I317">
        <v>129</v>
      </c>
      <c r="J317">
        <v>0</v>
      </c>
      <c r="K317">
        <v>0</v>
      </c>
      <c r="L317" t="s">
        <v>78</v>
      </c>
      <c r="M317" t="s">
        <v>78</v>
      </c>
      <c r="N317" t="s">
        <v>78</v>
      </c>
      <c r="O317">
        <v>0</v>
      </c>
      <c r="P317">
        <v>0</v>
      </c>
      <c r="Q317">
        <v>0</v>
      </c>
      <c r="R317" t="s">
        <v>111</v>
      </c>
      <c r="S317">
        <v>0</v>
      </c>
      <c r="T317" t="s">
        <v>80</v>
      </c>
      <c r="U317" t="s">
        <v>80</v>
      </c>
      <c r="V317" t="s">
        <v>152</v>
      </c>
      <c r="W317" t="s">
        <v>2268</v>
      </c>
      <c r="X317" t="s">
        <v>2269</v>
      </c>
      <c r="Y317" t="s">
        <v>2270</v>
      </c>
      <c r="Z317" t="s">
        <v>80</v>
      </c>
      <c r="AA317" t="s">
        <v>85</v>
      </c>
      <c r="AC317" t="s">
        <v>2274</v>
      </c>
      <c r="AD317" t="s">
        <v>87</v>
      </c>
      <c r="AH317" t="s">
        <v>91</v>
      </c>
      <c r="AI317" t="s">
        <v>92</v>
      </c>
      <c r="AJ317" t="s">
        <v>131</v>
      </c>
      <c r="AK317" t="s">
        <v>2275</v>
      </c>
      <c r="AL317" t="s">
        <v>95</v>
      </c>
      <c r="AM317" t="s">
        <v>96</v>
      </c>
      <c r="AN317" t="s">
        <v>97</v>
      </c>
      <c r="AO317" t="s">
        <v>98</v>
      </c>
      <c r="AP317" t="s">
        <v>78</v>
      </c>
      <c r="AQ317" t="s">
        <v>78</v>
      </c>
      <c r="AR317" t="s">
        <v>353</v>
      </c>
      <c r="AS317" t="s">
        <v>78</v>
      </c>
      <c r="AT317" t="s">
        <v>100</v>
      </c>
      <c r="AU317" t="s">
        <v>100</v>
      </c>
      <c r="AW317" t="s">
        <v>85</v>
      </c>
      <c r="AX317" t="s">
        <v>101</v>
      </c>
      <c r="AY317" t="s">
        <v>102</v>
      </c>
      <c r="AZ317" t="s">
        <v>103</v>
      </c>
      <c r="BA317" t="s">
        <v>102</v>
      </c>
      <c r="BB317" t="s">
        <v>78</v>
      </c>
      <c r="BC317" t="s">
        <v>78</v>
      </c>
      <c r="BE317">
        <v>0</v>
      </c>
      <c r="BF317">
        <v>0</v>
      </c>
      <c r="BG317">
        <v>0</v>
      </c>
      <c r="BH317">
        <v>0</v>
      </c>
      <c r="BJ317" t="s">
        <v>85</v>
      </c>
      <c r="BP317" t="s">
        <v>78</v>
      </c>
      <c r="BQ317" t="s">
        <v>78</v>
      </c>
      <c r="BR317" t="s">
        <v>78</v>
      </c>
    </row>
    <row r="318" customFormat="1" spans="1:70">
      <c r="A318" t="s">
        <v>2276</v>
      </c>
      <c r="B318" t="s">
        <v>2276</v>
      </c>
      <c r="C318" t="s">
        <v>1050</v>
      </c>
      <c r="D318" t="s">
        <v>1153</v>
      </c>
      <c r="E318">
        <v>1</v>
      </c>
      <c r="F318" t="s">
        <v>1052</v>
      </c>
      <c r="G318" t="s">
        <v>1154</v>
      </c>
      <c r="H318">
        <v>129</v>
      </c>
      <c r="I318">
        <v>129</v>
      </c>
      <c r="J318">
        <v>0</v>
      </c>
      <c r="K318">
        <v>0</v>
      </c>
      <c r="L318" t="s">
        <v>78</v>
      </c>
      <c r="M318" t="s">
        <v>78</v>
      </c>
      <c r="N318" t="s">
        <v>78</v>
      </c>
      <c r="O318">
        <v>0</v>
      </c>
      <c r="P318">
        <v>0</v>
      </c>
      <c r="Q318">
        <v>0</v>
      </c>
      <c r="R318" t="s">
        <v>125</v>
      </c>
      <c r="S318">
        <v>0</v>
      </c>
      <c r="T318" t="s">
        <v>80</v>
      </c>
      <c r="U318" t="s">
        <v>80</v>
      </c>
      <c r="V318" t="s">
        <v>447</v>
      </c>
      <c r="W318" t="s">
        <v>448</v>
      </c>
      <c r="X318" t="s">
        <v>2277</v>
      </c>
      <c r="Y318" t="s">
        <v>2278</v>
      </c>
      <c r="Z318" t="s">
        <v>80</v>
      </c>
      <c r="AA318" t="s">
        <v>85</v>
      </c>
      <c r="AC318" t="s">
        <v>2279</v>
      </c>
      <c r="AD318" t="s">
        <v>87</v>
      </c>
      <c r="AG318" t="s">
        <v>2280</v>
      </c>
      <c r="AH318" t="s">
        <v>91</v>
      </c>
      <c r="AI318" t="s">
        <v>92</v>
      </c>
      <c r="AJ318" t="s">
        <v>131</v>
      </c>
      <c r="AK318" t="s">
        <v>2281</v>
      </c>
      <c r="AL318" t="s">
        <v>95</v>
      </c>
      <c r="AM318" t="s">
        <v>96</v>
      </c>
      <c r="AN318" t="s">
        <v>97</v>
      </c>
      <c r="AO318" t="s">
        <v>98</v>
      </c>
      <c r="AP318" t="s">
        <v>78</v>
      </c>
      <c r="AQ318" t="s">
        <v>99</v>
      </c>
      <c r="AS318" t="s">
        <v>78</v>
      </c>
      <c r="AT318" t="s">
        <v>100</v>
      </c>
      <c r="AU318" t="s">
        <v>100</v>
      </c>
      <c r="AW318" t="s">
        <v>85</v>
      </c>
      <c r="AX318" t="s">
        <v>103</v>
      </c>
      <c r="AY318" t="s">
        <v>159</v>
      </c>
      <c r="AZ318" t="s">
        <v>103</v>
      </c>
      <c r="BA318" t="s">
        <v>133</v>
      </c>
      <c r="BB318" t="s">
        <v>78</v>
      </c>
      <c r="BC318" t="s">
        <v>78</v>
      </c>
      <c r="BE318">
        <v>0</v>
      </c>
      <c r="BF318">
        <v>0</v>
      </c>
      <c r="BG318">
        <v>0</v>
      </c>
      <c r="BH318">
        <v>0</v>
      </c>
      <c r="BJ318" t="s">
        <v>85</v>
      </c>
      <c r="BP318" t="s">
        <v>78</v>
      </c>
      <c r="BQ318" t="s">
        <v>78</v>
      </c>
      <c r="BR318" t="s">
        <v>78</v>
      </c>
    </row>
    <row r="319" customFormat="1" spans="1:70">
      <c r="A319" t="s">
        <v>2282</v>
      </c>
      <c r="B319" t="s">
        <v>2282</v>
      </c>
      <c r="C319" t="s">
        <v>1050</v>
      </c>
      <c r="D319" t="s">
        <v>2255</v>
      </c>
      <c r="E319">
        <v>1</v>
      </c>
      <c r="F319" t="s">
        <v>1052</v>
      </c>
      <c r="G319" t="s">
        <v>2256</v>
      </c>
      <c r="H319">
        <v>129</v>
      </c>
      <c r="I319">
        <v>129</v>
      </c>
      <c r="J319">
        <v>0</v>
      </c>
      <c r="K319">
        <v>0</v>
      </c>
      <c r="L319" t="s">
        <v>78</v>
      </c>
      <c r="M319" t="s">
        <v>78</v>
      </c>
      <c r="N319" t="s">
        <v>78</v>
      </c>
      <c r="O319">
        <v>0</v>
      </c>
      <c r="P319">
        <v>0</v>
      </c>
      <c r="Q319">
        <v>0</v>
      </c>
      <c r="R319" t="s">
        <v>125</v>
      </c>
      <c r="S319">
        <v>0</v>
      </c>
      <c r="T319" t="s">
        <v>80</v>
      </c>
      <c r="U319" t="s">
        <v>80</v>
      </c>
      <c r="V319" t="s">
        <v>152</v>
      </c>
      <c r="W319" t="s">
        <v>2268</v>
      </c>
      <c r="X319" t="s">
        <v>2269</v>
      </c>
      <c r="Y319" t="s">
        <v>2270</v>
      </c>
      <c r="Z319" t="s">
        <v>80</v>
      </c>
      <c r="AA319" t="s">
        <v>85</v>
      </c>
      <c r="AC319" t="s">
        <v>2279</v>
      </c>
      <c r="AD319" t="s">
        <v>87</v>
      </c>
      <c r="AH319" t="s">
        <v>91</v>
      </c>
      <c r="AI319" t="s">
        <v>92</v>
      </c>
      <c r="AJ319" t="s">
        <v>131</v>
      </c>
      <c r="AK319" t="s">
        <v>2283</v>
      </c>
      <c r="AL319" t="s">
        <v>95</v>
      </c>
      <c r="AM319" t="s">
        <v>96</v>
      </c>
      <c r="AN319" t="s">
        <v>97</v>
      </c>
      <c r="AO319" t="s">
        <v>98</v>
      </c>
      <c r="AP319" t="s">
        <v>78</v>
      </c>
      <c r="AQ319" t="s">
        <v>78</v>
      </c>
      <c r="AR319" t="s">
        <v>353</v>
      </c>
      <c r="AS319" t="s">
        <v>78</v>
      </c>
      <c r="AT319" t="s">
        <v>100</v>
      </c>
      <c r="AU319" t="s">
        <v>100</v>
      </c>
      <c r="AW319" t="s">
        <v>85</v>
      </c>
      <c r="AX319" t="s">
        <v>101</v>
      </c>
      <c r="AY319" t="s">
        <v>102</v>
      </c>
      <c r="AZ319" t="s">
        <v>103</v>
      </c>
      <c r="BA319" t="s">
        <v>419</v>
      </c>
      <c r="BB319" t="s">
        <v>78</v>
      </c>
      <c r="BC319" t="s">
        <v>78</v>
      </c>
      <c r="BE319">
        <v>0</v>
      </c>
      <c r="BF319">
        <v>0</v>
      </c>
      <c r="BG319">
        <v>0</v>
      </c>
      <c r="BH319">
        <v>0</v>
      </c>
      <c r="BJ319" t="s">
        <v>85</v>
      </c>
      <c r="BP319" t="s">
        <v>78</v>
      </c>
      <c r="BQ319" t="s">
        <v>78</v>
      </c>
      <c r="BR319" t="s">
        <v>78</v>
      </c>
    </row>
    <row r="320" customFormat="1" spans="1:70">
      <c r="A320" t="s">
        <v>2284</v>
      </c>
      <c r="B320" t="s">
        <v>2284</v>
      </c>
      <c r="C320" t="s">
        <v>1050</v>
      </c>
      <c r="D320" t="s">
        <v>1051</v>
      </c>
      <c r="E320">
        <v>1</v>
      </c>
      <c r="F320" t="s">
        <v>1052</v>
      </c>
      <c r="G320" t="s">
        <v>1053</v>
      </c>
      <c r="H320">
        <v>129</v>
      </c>
      <c r="I320">
        <v>129</v>
      </c>
      <c r="J320">
        <v>0</v>
      </c>
      <c r="K320">
        <v>0</v>
      </c>
      <c r="L320" t="s">
        <v>78</v>
      </c>
      <c r="M320" t="s">
        <v>78</v>
      </c>
      <c r="N320" t="s">
        <v>78</v>
      </c>
      <c r="O320">
        <v>0</v>
      </c>
      <c r="P320">
        <v>0</v>
      </c>
      <c r="Q320">
        <v>0</v>
      </c>
      <c r="R320" t="s">
        <v>79</v>
      </c>
      <c r="S320">
        <v>0</v>
      </c>
      <c r="T320" t="s">
        <v>80</v>
      </c>
      <c r="U320" t="s">
        <v>80</v>
      </c>
      <c r="V320" t="s">
        <v>221</v>
      </c>
      <c r="W320" t="s">
        <v>2285</v>
      </c>
      <c r="X320" t="s">
        <v>2286</v>
      </c>
      <c r="Y320" t="s">
        <v>2287</v>
      </c>
      <c r="Z320" t="s">
        <v>80</v>
      </c>
      <c r="AA320" t="s">
        <v>85</v>
      </c>
      <c r="AC320" t="s">
        <v>2288</v>
      </c>
      <c r="AD320" t="s">
        <v>202</v>
      </c>
      <c r="AE320" t="s">
        <v>2289</v>
      </c>
      <c r="AF320" t="s">
        <v>2290</v>
      </c>
      <c r="AG320" t="s">
        <v>2291</v>
      </c>
      <c r="AH320" t="s">
        <v>91</v>
      </c>
      <c r="AI320" t="s">
        <v>92</v>
      </c>
      <c r="AJ320" t="s">
        <v>93</v>
      </c>
      <c r="AK320" t="s">
        <v>2292</v>
      </c>
      <c r="AL320" t="s">
        <v>95</v>
      </c>
      <c r="AM320" t="s">
        <v>96</v>
      </c>
      <c r="AN320" t="s">
        <v>97</v>
      </c>
      <c r="AO320" t="s">
        <v>98</v>
      </c>
      <c r="AP320" t="s">
        <v>78</v>
      </c>
      <c r="AQ320" t="s">
        <v>99</v>
      </c>
      <c r="AS320" t="s">
        <v>78</v>
      </c>
      <c r="AT320" t="s">
        <v>100</v>
      </c>
      <c r="AU320" t="s">
        <v>100</v>
      </c>
      <c r="AW320" t="s">
        <v>85</v>
      </c>
      <c r="AX320" t="s">
        <v>101</v>
      </c>
      <c r="AY320" t="s">
        <v>102</v>
      </c>
      <c r="AZ320" t="s">
        <v>103</v>
      </c>
      <c r="BA320" t="s">
        <v>133</v>
      </c>
      <c r="BB320" t="s">
        <v>78</v>
      </c>
      <c r="BC320" t="s">
        <v>78</v>
      </c>
      <c r="BD320" t="s">
        <v>2293</v>
      </c>
      <c r="BE320">
        <v>0</v>
      </c>
      <c r="BF320">
        <v>0</v>
      </c>
      <c r="BG320">
        <v>0</v>
      </c>
      <c r="BH320">
        <v>0</v>
      </c>
      <c r="BJ320" t="s">
        <v>85</v>
      </c>
      <c r="BP320" t="s">
        <v>78</v>
      </c>
      <c r="BQ320" t="s">
        <v>78</v>
      </c>
      <c r="BR320" t="s">
        <v>78</v>
      </c>
    </row>
    <row r="321" customFormat="1" spans="1:70">
      <c r="A321" t="s">
        <v>2294</v>
      </c>
      <c r="B321" t="s">
        <v>2294</v>
      </c>
      <c r="C321" t="s">
        <v>1068</v>
      </c>
      <c r="D321" t="s">
        <v>75</v>
      </c>
      <c r="E321">
        <v>1</v>
      </c>
      <c r="F321" t="s">
        <v>1069</v>
      </c>
      <c r="G321" t="s">
        <v>1070</v>
      </c>
      <c r="H321">
        <v>180</v>
      </c>
      <c r="I321">
        <v>180</v>
      </c>
      <c r="J321">
        <v>0</v>
      </c>
      <c r="K321">
        <v>0</v>
      </c>
      <c r="L321" t="s">
        <v>78</v>
      </c>
      <c r="M321" t="s">
        <v>78</v>
      </c>
      <c r="N321" t="s">
        <v>78</v>
      </c>
      <c r="O321">
        <v>0</v>
      </c>
      <c r="P321">
        <v>0</v>
      </c>
      <c r="Q321">
        <v>0</v>
      </c>
      <c r="R321" t="s">
        <v>111</v>
      </c>
      <c r="S321">
        <v>0</v>
      </c>
      <c r="T321" t="s">
        <v>80</v>
      </c>
      <c r="U321" t="s">
        <v>80</v>
      </c>
      <c r="V321" t="s">
        <v>112</v>
      </c>
      <c r="W321" t="s">
        <v>2295</v>
      </c>
      <c r="X321" t="s">
        <v>2296</v>
      </c>
      <c r="Y321" t="s">
        <v>2297</v>
      </c>
      <c r="Z321" t="s">
        <v>80</v>
      </c>
      <c r="AA321" t="s">
        <v>85</v>
      </c>
      <c r="AC321" t="s">
        <v>2298</v>
      </c>
      <c r="AD321" t="s">
        <v>87</v>
      </c>
      <c r="AF321" t="s">
        <v>2299</v>
      </c>
      <c r="AG321" t="s">
        <v>2300</v>
      </c>
      <c r="AH321" t="s">
        <v>91</v>
      </c>
      <c r="AI321" t="s">
        <v>216</v>
      </c>
      <c r="AJ321" t="s">
        <v>93</v>
      </c>
      <c r="AK321" t="s">
        <v>2301</v>
      </c>
      <c r="AL321" t="s">
        <v>95</v>
      </c>
      <c r="AM321" t="s">
        <v>96</v>
      </c>
      <c r="AN321" t="s">
        <v>96</v>
      </c>
      <c r="AP321" t="s">
        <v>78</v>
      </c>
      <c r="AQ321" t="s">
        <v>78</v>
      </c>
      <c r="AS321" t="s">
        <v>78</v>
      </c>
      <c r="AT321" t="s">
        <v>100</v>
      </c>
      <c r="AU321" t="s">
        <v>100</v>
      </c>
      <c r="AW321" t="s">
        <v>85</v>
      </c>
      <c r="AX321" t="s">
        <v>101</v>
      </c>
      <c r="AY321" t="s">
        <v>102</v>
      </c>
      <c r="AZ321" t="s">
        <v>145</v>
      </c>
      <c r="BA321" t="s">
        <v>525</v>
      </c>
      <c r="BB321" t="s">
        <v>78</v>
      </c>
      <c r="BC321" t="s">
        <v>78</v>
      </c>
      <c r="BD321" t="s">
        <v>1078</v>
      </c>
      <c r="BE321">
        <v>0</v>
      </c>
      <c r="BF321">
        <v>0</v>
      </c>
      <c r="BG321">
        <v>0</v>
      </c>
      <c r="BH321">
        <v>0</v>
      </c>
      <c r="BJ321" t="s">
        <v>85</v>
      </c>
      <c r="BP321" t="s">
        <v>78</v>
      </c>
      <c r="BQ321" t="s">
        <v>78</v>
      </c>
      <c r="BR321" t="s">
        <v>78</v>
      </c>
    </row>
    <row r="322" customFormat="1" spans="1:70">
      <c r="A322" t="s">
        <v>2302</v>
      </c>
      <c r="B322" t="s">
        <v>2302</v>
      </c>
      <c r="C322" t="s">
        <v>1068</v>
      </c>
      <c r="D322" t="s">
        <v>247</v>
      </c>
      <c r="E322">
        <v>1</v>
      </c>
      <c r="F322" t="s">
        <v>1069</v>
      </c>
      <c r="G322" t="s">
        <v>1104</v>
      </c>
      <c r="H322">
        <v>180</v>
      </c>
      <c r="I322">
        <v>180</v>
      </c>
      <c r="J322">
        <v>0</v>
      </c>
      <c r="K322">
        <v>0</v>
      </c>
      <c r="L322" t="s">
        <v>78</v>
      </c>
      <c r="M322" t="s">
        <v>78</v>
      </c>
      <c r="N322" t="s">
        <v>78</v>
      </c>
      <c r="O322">
        <v>0</v>
      </c>
      <c r="P322">
        <v>0</v>
      </c>
      <c r="Q322">
        <v>0</v>
      </c>
      <c r="R322" t="s">
        <v>111</v>
      </c>
      <c r="S322">
        <v>0</v>
      </c>
      <c r="T322" t="s">
        <v>80</v>
      </c>
      <c r="U322" t="s">
        <v>80</v>
      </c>
      <c r="V322" t="s">
        <v>112</v>
      </c>
      <c r="W322" t="s">
        <v>2295</v>
      </c>
      <c r="X322" t="s">
        <v>2296</v>
      </c>
      <c r="Y322" t="s">
        <v>2297</v>
      </c>
      <c r="Z322" t="s">
        <v>80</v>
      </c>
      <c r="AA322" t="s">
        <v>85</v>
      </c>
      <c r="AC322" t="s">
        <v>2303</v>
      </c>
      <c r="AD322" t="s">
        <v>87</v>
      </c>
      <c r="AG322" t="s">
        <v>2304</v>
      </c>
      <c r="AH322" t="s">
        <v>91</v>
      </c>
      <c r="AI322" t="s">
        <v>92</v>
      </c>
      <c r="AJ322" t="s">
        <v>131</v>
      </c>
      <c r="AK322" t="s">
        <v>2305</v>
      </c>
      <c r="AL322" t="s">
        <v>95</v>
      </c>
      <c r="AM322" t="s">
        <v>96</v>
      </c>
      <c r="AN322" t="s">
        <v>97</v>
      </c>
      <c r="AO322" t="s">
        <v>98</v>
      </c>
      <c r="AP322" t="s">
        <v>78</v>
      </c>
      <c r="AQ322" t="s">
        <v>99</v>
      </c>
      <c r="AS322" t="s">
        <v>78</v>
      </c>
      <c r="AT322" t="s">
        <v>100</v>
      </c>
      <c r="AU322" t="s">
        <v>100</v>
      </c>
      <c r="AW322" t="s">
        <v>85</v>
      </c>
      <c r="AX322" t="s">
        <v>103</v>
      </c>
      <c r="AY322" t="s">
        <v>159</v>
      </c>
      <c r="AZ322" t="s">
        <v>103</v>
      </c>
      <c r="BA322" t="s">
        <v>104</v>
      </c>
      <c r="BB322" t="s">
        <v>78</v>
      </c>
      <c r="BC322" t="s">
        <v>78</v>
      </c>
      <c r="BE322">
        <v>0</v>
      </c>
      <c r="BF322">
        <v>0</v>
      </c>
      <c r="BG322">
        <v>0</v>
      </c>
      <c r="BH322">
        <v>0</v>
      </c>
      <c r="BJ322" t="s">
        <v>85</v>
      </c>
      <c r="BP322" t="s">
        <v>78</v>
      </c>
      <c r="BQ322" t="s">
        <v>78</v>
      </c>
      <c r="BR322" t="s">
        <v>78</v>
      </c>
    </row>
    <row r="323" customFormat="1" spans="1:70">
      <c r="A323" t="s">
        <v>2306</v>
      </c>
      <c r="B323" t="s">
        <v>2306</v>
      </c>
      <c r="C323" t="s">
        <v>1068</v>
      </c>
      <c r="D323" t="s">
        <v>75</v>
      </c>
      <c r="E323">
        <v>1</v>
      </c>
      <c r="F323" t="s">
        <v>1069</v>
      </c>
      <c r="G323" t="s">
        <v>1070</v>
      </c>
      <c r="H323">
        <v>180</v>
      </c>
      <c r="I323">
        <v>180</v>
      </c>
      <c r="J323">
        <v>0</v>
      </c>
      <c r="K323">
        <v>0</v>
      </c>
      <c r="L323" t="s">
        <v>78</v>
      </c>
      <c r="M323" t="s">
        <v>78</v>
      </c>
      <c r="N323" t="s">
        <v>78</v>
      </c>
      <c r="O323">
        <v>0</v>
      </c>
      <c r="P323">
        <v>0</v>
      </c>
      <c r="Q323">
        <v>0</v>
      </c>
      <c r="R323" t="s">
        <v>125</v>
      </c>
      <c r="S323">
        <v>0</v>
      </c>
      <c r="T323" t="s">
        <v>80</v>
      </c>
      <c r="U323" t="s">
        <v>80</v>
      </c>
      <c r="V323" t="s">
        <v>1261</v>
      </c>
      <c r="W323" t="s">
        <v>2307</v>
      </c>
      <c r="X323" t="s">
        <v>2308</v>
      </c>
      <c r="Y323" t="s">
        <v>2309</v>
      </c>
      <c r="Z323" t="s">
        <v>80</v>
      </c>
      <c r="AA323" t="s">
        <v>85</v>
      </c>
      <c r="AC323" t="s">
        <v>2310</v>
      </c>
      <c r="AD323" t="s">
        <v>87</v>
      </c>
      <c r="AG323" t="s">
        <v>2311</v>
      </c>
      <c r="AH323" t="s">
        <v>91</v>
      </c>
      <c r="AI323" t="s">
        <v>92</v>
      </c>
      <c r="AJ323" t="s">
        <v>131</v>
      </c>
      <c r="AK323" t="s">
        <v>2312</v>
      </c>
      <c r="AL323" t="s">
        <v>95</v>
      </c>
      <c r="AM323" t="s">
        <v>96</v>
      </c>
      <c r="AN323" t="s">
        <v>97</v>
      </c>
      <c r="AO323" t="s">
        <v>98</v>
      </c>
      <c r="AP323" t="s">
        <v>78</v>
      </c>
      <c r="AQ323" t="s">
        <v>99</v>
      </c>
      <c r="AS323" t="s">
        <v>78</v>
      </c>
      <c r="AT323" t="s">
        <v>100</v>
      </c>
      <c r="AU323" t="s">
        <v>100</v>
      </c>
      <c r="AW323" t="s">
        <v>85</v>
      </c>
      <c r="AX323" t="s">
        <v>101</v>
      </c>
      <c r="AY323" t="s">
        <v>102</v>
      </c>
      <c r="AZ323" t="s">
        <v>103</v>
      </c>
      <c r="BA323" t="s">
        <v>104</v>
      </c>
      <c r="BB323" t="s">
        <v>78</v>
      </c>
      <c r="BC323" t="s">
        <v>78</v>
      </c>
      <c r="BE323">
        <v>0</v>
      </c>
      <c r="BF323">
        <v>0</v>
      </c>
      <c r="BG323">
        <v>0</v>
      </c>
      <c r="BH323">
        <v>0</v>
      </c>
      <c r="BJ323" t="s">
        <v>85</v>
      </c>
      <c r="BP323" t="s">
        <v>78</v>
      </c>
      <c r="BQ323" t="s">
        <v>78</v>
      </c>
      <c r="BR323" t="s">
        <v>78</v>
      </c>
    </row>
    <row r="324" customFormat="1" spans="1:70">
      <c r="A324" t="s">
        <v>2313</v>
      </c>
      <c r="B324" t="s">
        <v>2313</v>
      </c>
      <c r="C324" t="s">
        <v>107</v>
      </c>
      <c r="D324" t="s">
        <v>123</v>
      </c>
      <c r="E324">
        <v>1</v>
      </c>
      <c r="F324" t="s">
        <v>109</v>
      </c>
      <c r="G324" t="s">
        <v>124</v>
      </c>
      <c r="H324">
        <v>289</v>
      </c>
      <c r="I324">
        <v>289</v>
      </c>
      <c r="J324">
        <v>0</v>
      </c>
      <c r="K324">
        <v>0</v>
      </c>
      <c r="L324" t="s">
        <v>78</v>
      </c>
      <c r="M324" t="s">
        <v>78</v>
      </c>
      <c r="N324" t="s">
        <v>78</v>
      </c>
      <c r="O324">
        <v>0</v>
      </c>
      <c r="P324">
        <v>0</v>
      </c>
      <c r="Q324">
        <v>0</v>
      </c>
      <c r="R324" t="s">
        <v>79</v>
      </c>
      <c r="S324">
        <v>0</v>
      </c>
      <c r="T324" t="s">
        <v>80</v>
      </c>
      <c r="U324" t="s">
        <v>80</v>
      </c>
      <c r="V324" t="s">
        <v>583</v>
      </c>
      <c r="W324" t="s">
        <v>2314</v>
      </c>
      <c r="X324" t="s">
        <v>2315</v>
      </c>
      <c r="Y324" t="s">
        <v>2316</v>
      </c>
      <c r="Z324" t="s">
        <v>80</v>
      </c>
      <c r="AA324" t="s">
        <v>85</v>
      </c>
      <c r="AC324" t="s">
        <v>2317</v>
      </c>
      <c r="AD324" t="s">
        <v>87</v>
      </c>
      <c r="AF324" t="s">
        <v>2082</v>
      </c>
      <c r="AG324" t="s">
        <v>2318</v>
      </c>
      <c r="AH324" t="s">
        <v>91</v>
      </c>
      <c r="AI324" t="s">
        <v>92</v>
      </c>
      <c r="AJ324" t="s">
        <v>93</v>
      </c>
      <c r="AK324" t="s">
        <v>2319</v>
      </c>
      <c r="AL324" t="s">
        <v>95</v>
      </c>
      <c r="AM324" t="s">
        <v>96</v>
      </c>
      <c r="AN324" t="s">
        <v>97</v>
      </c>
      <c r="AO324" t="s">
        <v>98</v>
      </c>
      <c r="AP324" t="s">
        <v>78</v>
      </c>
      <c r="AQ324" t="s">
        <v>78</v>
      </c>
      <c r="AS324" t="s">
        <v>78</v>
      </c>
      <c r="AT324" t="s">
        <v>100</v>
      </c>
      <c r="AU324" t="s">
        <v>100</v>
      </c>
      <c r="AW324" t="s">
        <v>85</v>
      </c>
      <c r="AX324" t="s">
        <v>101</v>
      </c>
      <c r="AY324" t="s">
        <v>102</v>
      </c>
      <c r="AZ324" t="s">
        <v>103</v>
      </c>
      <c r="BA324" t="s">
        <v>133</v>
      </c>
      <c r="BB324" t="s">
        <v>78</v>
      </c>
      <c r="BC324" t="s">
        <v>78</v>
      </c>
      <c r="BD324" t="s">
        <v>1878</v>
      </c>
      <c r="BE324">
        <v>0</v>
      </c>
      <c r="BF324">
        <v>0</v>
      </c>
      <c r="BG324">
        <v>0</v>
      </c>
      <c r="BH324">
        <v>0</v>
      </c>
      <c r="BJ324" t="s">
        <v>85</v>
      </c>
      <c r="BP324" t="s">
        <v>78</v>
      </c>
      <c r="BQ324" t="s">
        <v>78</v>
      </c>
      <c r="BR324" t="s">
        <v>78</v>
      </c>
    </row>
    <row r="325" customFormat="1" spans="1:70">
      <c r="A325" t="s">
        <v>2320</v>
      </c>
      <c r="B325" t="s">
        <v>2320</v>
      </c>
      <c r="C325" t="s">
        <v>2225</v>
      </c>
      <c r="D325" t="s">
        <v>135</v>
      </c>
      <c r="E325">
        <v>1</v>
      </c>
      <c r="F325" t="s">
        <v>2226</v>
      </c>
      <c r="G325" t="s">
        <v>2236</v>
      </c>
      <c r="H325">
        <v>499</v>
      </c>
      <c r="I325">
        <v>499</v>
      </c>
      <c r="J325">
        <v>0</v>
      </c>
      <c r="K325">
        <v>0</v>
      </c>
      <c r="L325" t="s">
        <v>78</v>
      </c>
      <c r="M325" t="s">
        <v>78</v>
      </c>
      <c r="N325" t="s">
        <v>78</v>
      </c>
      <c r="O325">
        <v>0</v>
      </c>
      <c r="P325">
        <v>0</v>
      </c>
      <c r="Q325">
        <v>0</v>
      </c>
      <c r="R325" t="s">
        <v>79</v>
      </c>
      <c r="S325">
        <v>0</v>
      </c>
      <c r="T325" t="s">
        <v>80</v>
      </c>
      <c r="U325" t="s">
        <v>80</v>
      </c>
      <c r="V325" t="s">
        <v>302</v>
      </c>
      <c r="W325" t="s">
        <v>303</v>
      </c>
      <c r="X325" t="s">
        <v>304</v>
      </c>
      <c r="Y325" t="s">
        <v>2321</v>
      </c>
      <c r="Z325" t="s">
        <v>80</v>
      </c>
      <c r="AA325" t="s">
        <v>85</v>
      </c>
      <c r="AC325" t="s">
        <v>2322</v>
      </c>
      <c r="AD325" t="s">
        <v>87</v>
      </c>
      <c r="AG325" t="s">
        <v>2323</v>
      </c>
      <c r="AH325" t="s">
        <v>91</v>
      </c>
      <c r="AI325" t="s">
        <v>92</v>
      </c>
      <c r="AJ325" t="s">
        <v>131</v>
      </c>
      <c r="AK325" t="s">
        <v>2324</v>
      </c>
      <c r="AL325" t="s">
        <v>95</v>
      </c>
      <c r="AM325" t="s">
        <v>96</v>
      </c>
      <c r="AN325" t="s">
        <v>97</v>
      </c>
      <c r="AO325" t="s">
        <v>98</v>
      </c>
      <c r="AP325" t="s">
        <v>78</v>
      </c>
      <c r="AQ325" t="s">
        <v>99</v>
      </c>
      <c r="AS325" t="s">
        <v>78</v>
      </c>
      <c r="AT325" t="s">
        <v>100</v>
      </c>
      <c r="AU325" t="s">
        <v>100</v>
      </c>
      <c r="AW325" t="s">
        <v>85</v>
      </c>
      <c r="AX325" t="s">
        <v>101</v>
      </c>
      <c r="AY325" t="s">
        <v>102</v>
      </c>
      <c r="AZ325" t="s">
        <v>103</v>
      </c>
      <c r="BA325" t="s">
        <v>133</v>
      </c>
      <c r="BB325" t="s">
        <v>78</v>
      </c>
      <c r="BC325" t="s">
        <v>78</v>
      </c>
      <c r="BE325">
        <v>0</v>
      </c>
      <c r="BF325">
        <v>0</v>
      </c>
      <c r="BG325">
        <v>0</v>
      </c>
      <c r="BH325">
        <v>0</v>
      </c>
      <c r="BJ325" t="s">
        <v>85</v>
      </c>
      <c r="BP325" t="s">
        <v>78</v>
      </c>
      <c r="BQ325" t="s">
        <v>78</v>
      </c>
      <c r="BR325" t="s">
        <v>78</v>
      </c>
    </row>
    <row r="326" customFormat="1" spans="1:70">
      <c r="A326" t="s">
        <v>2325</v>
      </c>
      <c r="B326" t="s">
        <v>2325</v>
      </c>
      <c r="C326" t="s">
        <v>2225</v>
      </c>
      <c r="D326" t="s">
        <v>108</v>
      </c>
      <c r="E326">
        <v>1</v>
      </c>
      <c r="F326" t="s">
        <v>2226</v>
      </c>
      <c r="G326" t="s">
        <v>2227</v>
      </c>
      <c r="H326">
        <v>499</v>
      </c>
      <c r="I326">
        <v>499</v>
      </c>
      <c r="J326">
        <v>0</v>
      </c>
      <c r="K326">
        <v>0</v>
      </c>
      <c r="L326" t="s">
        <v>78</v>
      </c>
      <c r="M326" t="s">
        <v>78</v>
      </c>
      <c r="N326" t="s">
        <v>78</v>
      </c>
      <c r="O326">
        <v>0</v>
      </c>
      <c r="P326">
        <v>0</v>
      </c>
      <c r="Q326">
        <v>0</v>
      </c>
      <c r="R326" t="s">
        <v>125</v>
      </c>
      <c r="S326">
        <v>0</v>
      </c>
      <c r="T326" t="s">
        <v>80</v>
      </c>
      <c r="U326" t="s">
        <v>80</v>
      </c>
      <c r="V326" t="s">
        <v>112</v>
      </c>
      <c r="W326" t="s">
        <v>906</v>
      </c>
      <c r="X326" t="s">
        <v>2326</v>
      </c>
      <c r="Y326" t="s">
        <v>2327</v>
      </c>
      <c r="Z326" t="s">
        <v>80</v>
      </c>
      <c r="AA326" t="s">
        <v>85</v>
      </c>
      <c r="AC326" t="s">
        <v>2328</v>
      </c>
      <c r="AD326" t="s">
        <v>202</v>
      </c>
      <c r="AE326" t="s">
        <v>2329</v>
      </c>
      <c r="AG326" t="s">
        <v>2330</v>
      </c>
      <c r="AH326" t="s">
        <v>91</v>
      </c>
      <c r="AI326" t="s">
        <v>92</v>
      </c>
      <c r="AJ326" t="s">
        <v>131</v>
      </c>
      <c r="AK326" t="s">
        <v>2331</v>
      </c>
      <c r="AL326" t="s">
        <v>95</v>
      </c>
      <c r="AM326" t="s">
        <v>96</v>
      </c>
      <c r="AN326" t="s">
        <v>97</v>
      </c>
      <c r="AO326" t="s">
        <v>98</v>
      </c>
      <c r="AP326" t="s">
        <v>78</v>
      </c>
      <c r="AQ326" t="s">
        <v>99</v>
      </c>
      <c r="AS326" t="s">
        <v>78</v>
      </c>
      <c r="AT326" t="s">
        <v>100</v>
      </c>
      <c r="AU326" t="s">
        <v>100</v>
      </c>
      <c r="AW326" t="s">
        <v>85</v>
      </c>
      <c r="AX326" t="s">
        <v>103</v>
      </c>
      <c r="AY326" t="s">
        <v>159</v>
      </c>
      <c r="AZ326" t="s">
        <v>103</v>
      </c>
      <c r="BA326" t="s">
        <v>104</v>
      </c>
      <c r="BB326" t="s">
        <v>78</v>
      </c>
      <c r="BC326" t="s">
        <v>78</v>
      </c>
      <c r="BD326" t="s">
        <v>2332</v>
      </c>
      <c r="BE326">
        <v>0</v>
      </c>
      <c r="BF326">
        <v>0</v>
      </c>
      <c r="BG326">
        <v>0</v>
      </c>
      <c r="BH326">
        <v>0</v>
      </c>
      <c r="BJ326" t="s">
        <v>85</v>
      </c>
      <c r="BP326" t="s">
        <v>78</v>
      </c>
      <c r="BQ326" t="s">
        <v>78</v>
      </c>
      <c r="BR326" t="s">
        <v>78</v>
      </c>
    </row>
    <row r="327" customFormat="1" spans="1:70">
      <c r="A327" t="s">
        <v>2333</v>
      </c>
      <c r="B327" t="s">
        <v>2333</v>
      </c>
      <c r="C327" t="s">
        <v>2225</v>
      </c>
      <c r="D327" t="s">
        <v>123</v>
      </c>
      <c r="E327">
        <v>1</v>
      </c>
      <c r="F327" t="s">
        <v>2226</v>
      </c>
      <c r="G327" t="s">
        <v>2334</v>
      </c>
      <c r="H327">
        <v>499</v>
      </c>
      <c r="I327">
        <v>499</v>
      </c>
      <c r="J327">
        <v>0</v>
      </c>
      <c r="K327">
        <v>2</v>
      </c>
      <c r="L327" t="s">
        <v>78</v>
      </c>
      <c r="M327" t="s">
        <v>78</v>
      </c>
      <c r="N327" t="s">
        <v>78</v>
      </c>
      <c r="O327">
        <v>0</v>
      </c>
      <c r="P327">
        <v>2</v>
      </c>
      <c r="Q327">
        <v>0</v>
      </c>
      <c r="R327" t="s">
        <v>79</v>
      </c>
      <c r="S327">
        <v>0</v>
      </c>
      <c r="T327" t="s">
        <v>80</v>
      </c>
      <c r="U327" t="s">
        <v>80</v>
      </c>
      <c r="V327" t="s">
        <v>583</v>
      </c>
      <c r="W327" t="s">
        <v>2314</v>
      </c>
      <c r="X327" t="s">
        <v>2315</v>
      </c>
      <c r="Y327" t="s">
        <v>2316</v>
      </c>
      <c r="Z327" t="s">
        <v>80</v>
      </c>
      <c r="AA327" t="s">
        <v>85</v>
      </c>
      <c r="AC327" t="s">
        <v>2335</v>
      </c>
      <c r="AD327" t="s">
        <v>87</v>
      </c>
      <c r="AF327" t="s">
        <v>2336</v>
      </c>
      <c r="AG327" t="s">
        <v>2337</v>
      </c>
      <c r="AH327" t="s">
        <v>91</v>
      </c>
      <c r="AI327" t="s">
        <v>92</v>
      </c>
      <c r="AJ327" t="s">
        <v>93</v>
      </c>
      <c r="AK327" t="s">
        <v>2338</v>
      </c>
      <c r="AL327" t="s">
        <v>95</v>
      </c>
      <c r="AM327" t="s">
        <v>96</v>
      </c>
      <c r="AN327" t="s">
        <v>97</v>
      </c>
      <c r="AO327" t="s">
        <v>98</v>
      </c>
      <c r="AP327" t="s">
        <v>78</v>
      </c>
      <c r="AQ327" t="s">
        <v>78</v>
      </c>
      <c r="AS327" t="s">
        <v>78</v>
      </c>
      <c r="AT327" t="s">
        <v>100</v>
      </c>
      <c r="AU327" t="s">
        <v>100</v>
      </c>
      <c r="AW327" t="s">
        <v>85</v>
      </c>
      <c r="AX327" t="s">
        <v>101</v>
      </c>
      <c r="AY327" t="s">
        <v>102</v>
      </c>
      <c r="AZ327" t="s">
        <v>103</v>
      </c>
      <c r="BA327" t="s">
        <v>133</v>
      </c>
      <c r="BB327" t="s">
        <v>78</v>
      </c>
      <c r="BC327" t="s">
        <v>78</v>
      </c>
      <c r="BD327" t="s">
        <v>2339</v>
      </c>
      <c r="BE327">
        <v>0</v>
      </c>
      <c r="BF327">
        <v>0</v>
      </c>
      <c r="BG327">
        <v>0</v>
      </c>
      <c r="BH327">
        <v>0</v>
      </c>
      <c r="BJ327" t="s">
        <v>85</v>
      </c>
      <c r="BP327" t="s">
        <v>78</v>
      </c>
      <c r="BQ327" t="s">
        <v>78</v>
      </c>
      <c r="BR327" t="s">
        <v>78</v>
      </c>
    </row>
    <row r="328" customFormat="1" spans="1:70">
      <c r="A328" t="s">
        <v>2340</v>
      </c>
      <c r="B328" t="s">
        <v>2340</v>
      </c>
      <c r="C328" t="s">
        <v>2225</v>
      </c>
      <c r="D328" t="s">
        <v>108</v>
      </c>
      <c r="E328">
        <v>1</v>
      </c>
      <c r="F328" t="s">
        <v>2226</v>
      </c>
      <c r="G328" t="s">
        <v>2227</v>
      </c>
      <c r="H328">
        <v>499</v>
      </c>
      <c r="I328">
        <v>499</v>
      </c>
      <c r="J328">
        <v>0</v>
      </c>
      <c r="K328">
        <v>0</v>
      </c>
      <c r="L328" t="s">
        <v>78</v>
      </c>
      <c r="M328" t="s">
        <v>78</v>
      </c>
      <c r="N328" t="s">
        <v>78</v>
      </c>
      <c r="O328">
        <v>0</v>
      </c>
      <c r="P328">
        <v>0</v>
      </c>
      <c r="Q328">
        <v>0</v>
      </c>
      <c r="R328" t="s">
        <v>125</v>
      </c>
      <c r="S328">
        <v>0</v>
      </c>
      <c r="T328" t="s">
        <v>80</v>
      </c>
      <c r="U328" t="s">
        <v>80</v>
      </c>
      <c r="V328" t="s">
        <v>1665</v>
      </c>
      <c r="W328" t="s">
        <v>1666</v>
      </c>
      <c r="X328" t="s">
        <v>2341</v>
      </c>
      <c r="Y328" t="s">
        <v>78</v>
      </c>
      <c r="Z328" t="s">
        <v>80</v>
      </c>
      <c r="AA328" t="s">
        <v>85</v>
      </c>
      <c r="AC328" t="s">
        <v>2342</v>
      </c>
      <c r="AD328" t="s">
        <v>87</v>
      </c>
      <c r="AG328" t="s">
        <v>2343</v>
      </c>
      <c r="AH328" t="s">
        <v>91</v>
      </c>
      <c r="AI328" t="s">
        <v>92</v>
      </c>
      <c r="AJ328" t="s">
        <v>131</v>
      </c>
      <c r="AK328" t="s">
        <v>2344</v>
      </c>
      <c r="AL328" t="s">
        <v>95</v>
      </c>
      <c r="AM328" t="s">
        <v>96</v>
      </c>
      <c r="AN328" t="s">
        <v>97</v>
      </c>
      <c r="AO328" t="s">
        <v>98</v>
      </c>
      <c r="AP328" t="s">
        <v>78</v>
      </c>
      <c r="AQ328" t="s">
        <v>99</v>
      </c>
      <c r="AS328" t="s">
        <v>78</v>
      </c>
      <c r="AT328" t="s">
        <v>100</v>
      </c>
      <c r="AU328" t="s">
        <v>100</v>
      </c>
      <c r="AW328" t="s">
        <v>85</v>
      </c>
      <c r="AX328" t="s">
        <v>101</v>
      </c>
      <c r="AY328" t="s">
        <v>102</v>
      </c>
      <c r="AZ328" t="s">
        <v>103</v>
      </c>
      <c r="BA328" t="s">
        <v>133</v>
      </c>
      <c r="BB328" t="s">
        <v>78</v>
      </c>
      <c r="BC328" t="s">
        <v>78</v>
      </c>
      <c r="BE328">
        <v>0</v>
      </c>
      <c r="BF328">
        <v>0</v>
      </c>
      <c r="BG328">
        <v>0</v>
      </c>
      <c r="BH328">
        <v>0</v>
      </c>
      <c r="BJ328" t="s">
        <v>85</v>
      </c>
      <c r="BP328" t="s">
        <v>78</v>
      </c>
      <c r="BQ328" t="s">
        <v>78</v>
      </c>
      <c r="BR328" t="s">
        <v>78</v>
      </c>
    </row>
    <row r="329" customFormat="1" spans="1:70">
      <c r="A329" t="s">
        <v>2345</v>
      </c>
      <c r="B329" t="s">
        <v>2345</v>
      </c>
      <c r="C329" t="s">
        <v>2225</v>
      </c>
      <c r="D329" t="s">
        <v>108</v>
      </c>
      <c r="E329">
        <v>1</v>
      </c>
      <c r="F329" t="s">
        <v>2226</v>
      </c>
      <c r="G329" t="s">
        <v>2227</v>
      </c>
      <c r="H329">
        <v>499</v>
      </c>
      <c r="I329">
        <v>499</v>
      </c>
      <c r="J329">
        <v>0</v>
      </c>
      <c r="K329">
        <v>0</v>
      </c>
      <c r="L329" t="s">
        <v>78</v>
      </c>
      <c r="M329" t="s">
        <v>78</v>
      </c>
      <c r="N329" t="s">
        <v>78</v>
      </c>
      <c r="O329">
        <v>0</v>
      </c>
      <c r="P329">
        <v>0</v>
      </c>
      <c r="Q329">
        <v>0</v>
      </c>
      <c r="R329" t="s">
        <v>125</v>
      </c>
      <c r="S329">
        <v>0</v>
      </c>
      <c r="T329" t="s">
        <v>80</v>
      </c>
      <c r="U329" t="s">
        <v>80</v>
      </c>
      <c r="V329" t="s">
        <v>302</v>
      </c>
      <c r="W329" t="s">
        <v>1394</v>
      </c>
      <c r="X329" t="s">
        <v>2346</v>
      </c>
      <c r="Y329" t="s">
        <v>2347</v>
      </c>
      <c r="Z329" t="s">
        <v>80</v>
      </c>
      <c r="AA329" t="s">
        <v>85</v>
      </c>
      <c r="AC329" t="s">
        <v>2348</v>
      </c>
      <c r="AD329" t="s">
        <v>87</v>
      </c>
      <c r="AF329" t="s">
        <v>2349</v>
      </c>
      <c r="AG329" t="s">
        <v>2350</v>
      </c>
      <c r="AH329" t="s">
        <v>91</v>
      </c>
      <c r="AI329" t="s">
        <v>92</v>
      </c>
      <c r="AJ329" t="s">
        <v>93</v>
      </c>
      <c r="AK329" t="s">
        <v>2351</v>
      </c>
      <c r="AL329" t="s">
        <v>95</v>
      </c>
      <c r="AM329" t="s">
        <v>96</v>
      </c>
      <c r="AN329" t="s">
        <v>97</v>
      </c>
      <c r="AO329" t="s">
        <v>98</v>
      </c>
      <c r="AP329" t="s">
        <v>78</v>
      </c>
      <c r="AQ329" t="s">
        <v>78</v>
      </c>
      <c r="AS329" t="s">
        <v>78</v>
      </c>
      <c r="AT329" t="s">
        <v>100</v>
      </c>
      <c r="AU329" t="s">
        <v>100</v>
      </c>
      <c r="AW329" t="s">
        <v>85</v>
      </c>
      <c r="AX329" t="s">
        <v>101</v>
      </c>
      <c r="AY329" t="s">
        <v>102</v>
      </c>
      <c r="AZ329" t="s">
        <v>103</v>
      </c>
      <c r="BA329" t="s">
        <v>133</v>
      </c>
      <c r="BB329" t="s">
        <v>78</v>
      </c>
      <c r="BC329" t="s">
        <v>78</v>
      </c>
      <c r="BD329" t="s">
        <v>2352</v>
      </c>
      <c r="BE329">
        <v>0</v>
      </c>
      <c r="BF329">
        <v>0</v>
      </c>
      <c r="BG329">
        <v>0</v>
      </c>
      <c r="BH329">
        <v>0</v>
      </c>
      <c r="BJ329" t="s">
        <v>85</v>
      </c>
      <c r="BP329" t="s">
        <v>78</v>
      </c>
      <c r="BQ329" t="s">
        <v>78</v>
      </c>
      <c r="BR329" t="s">
        <v>78</v>
      </c>
    </row>
    <row r="330" customFormat="1" spans="1:70">
      <c r="A330" t="s">
        <v>2353</v>
      </c>
      <c r="B330" t="s">
        <v>2353</v>
      </c>
      <c r="C330" t="s">
        <v>2225</v>
      </c>
      <c r="D330" t="s">
        <v>108</v>
      </c>
      <c r="E330">
        <v>1</v>
      </c>
      <c r="F330" t="s">
        <v>2226</v>
      </c>
      <c r="G330" t="s">
        <v>2227</v>
      </c>
      <c r="H330">
        <v>499</v>
      </c>
      <c r="I330">
        <v>499</v>
      </c>
      <c r="J330">
        <v>0</v>
      </c>
      <c r="K330">
        <v>0</v>
      </c>
      <c r="L330" t="s">
        <v>78</v>
      </c>
      <c r="M330" t="s">
        <v>78</v>
      </c>
      <c r="N330" t="s">
        <v>78</v>
      </c>
      <c r="O330">
        <v>0</v>
      </c>
      <c r="P330">
        <v>0</v>
      </c>
      <c r="Q330">
        <v>0</v>
      </c>
      <c r="R330" t="s">
        <v>125</v>
      </c>
      <c r="S330">
        <v>0</v>
      </c>
      <c r="T330" t="s">
        <v>80</v>
      </c>
      <c r="U330" t="s">
        <v>80</v>
      </c>
      <c r="V330" t="s">
        <v>221</v>
      </c>
      <c r="W330" t="s">
        <v>599</v>
      </c>
      <c r="X330" t="s">
        <v>2354</v>
      </c>
      <c r="Y330" t="s">
        <v>2355</v>
      </c>
      <c r="Z330" t="s">
        <v>80</v>
      </c>
      <c r="AA330" t="s">
        <v>85</v>
      </c>
      <c r="AC330" t="s">
        <v>2356</v>
      </c>
      <c r="AD330" t="s">
        <v>87</v>
      </c>
      <c r="AF330" t="s">
        <v>2357</v>
      </c>
      <c r="AG330" t="s">
        <v>2358</v>
      </c>
      <c r="AH330" t="s">
        <v>91</v>
      </c>
      <c r="AI330" t="s">
        <v>92</v>
      </c>
      <c r="AJ330" t="s">
        <v>93</v>
      </c>
      <c r="AK330" t="s">
        <v>2359</v>
      </c>
      <c r="AL330" t="s">
        <v>95</v>
      </c>
      <c r="AM330" t="s">
        <v>96</v>
      </c>
      <c r="AN330" t="s">
        <v>97</v>
      </c>
      <c r="AO330" t="s">
        <v>98</v>
      </c>
      <c r="AP330" t="s">
        <v>78</v>
      </c>
      <c r="AQ330" t="s">
        <v>78</v>
      </c>
      <c r="AS330" t="s">
        <v>78</v>
      </c>
      <c r="AT330" t="s">
        <v>100</v>
      </c>
      <c r="AU330" t="s">
        <v>100</v>
      </c>
      <c r="AW330" t="s">
        <v>85</v>
      </c>
      <c r="AX330" t="s">
        <v>101</v>
      </c>
      <c r="AY330" t="s">
        <v>102</v>
      </c>
      <c r="AZ330" t="s">
        <v>103</v>
      </c>
      <c r="BA330" t="s">
        <v>104</v>
      </c>
      <c r="BB330" t="s">
        <v>78</v>
      </c>
      <c r="BC330" t="s">
        <v>78</v>
      </c>
      <c r="BD330" t="s">
        <v>2352</v>
      </c>
      <c r="BE330">
        <v>0</v>
      </c>
      <c r="BF330">
        <v>0</v>
      </c>
      <c r="BG330">
        <v>0</v>
      </c>
      <c r="BH330">
        <v>0</v>
      </c>
      <c r="BJ330" t="s">
        <v>85</v>
      </c>
      <c r="BP330" t="s">
        <v>78</v>
      </c>
      <c r="BQ330" t="s">
        <v>78</v>
      </c>
      <c r="BR330" t="s">
        <v>78</v>
      </c>
    </row>
    <row r="331" customFormat="1" spans="1:70">
      <c r="A331" t="s">
        <v>2360</v>
      </c>
      <c r="B331" t="s">
        <v>2360</v>
      </c>
      <c r="C331" t="s">
        <v>2225</v>
      </c>
      <c r="D331" t="s">
        <v>135</v>
      </c>
      <c r="E331">
        <v>1</v>
      </c>
      <c r="F331" t="s">
        <v>2226</v>
      </c>
      <c r="G331" t="s">
        <v>2236</v>
      </c>
      <c r="H331">
        <v>499</v>
      </c>
      <c r="I331">
        <v>480</v>
      </c>
      <c r="J331">
        <v>0</v>
      </c>
      <c r="K331">
        <v>19</v>
      </c>
      <c r="L331" t="s">
        <v>2361</v>
      </c>
      <c r="M331" t="s">
        <v>78</v>
      </c>
      <c r="N331" t="s">
        <v>78</v>
      </c>
      <c r="O331">
        <v>0</v>
      </c>
      <c r="P331">
        <v>0</v>
      </c>
      <c r="Q331">
        <v>0</v>
      </c>
      <c r="R331" t="s">
        <v>111</v>
      </c>
      <c r="S331">
        <v>0</v>
      </c>
      <c r="T331" t="s">
        <v>80</v>
      </c>
      <c r="U331" t="s">
        <v>80</v>
      </c>
      <c r="V331" t="s">
        <v>161</v>
      </c>
      <c r="W331" t="s">
        <v>161</v>
      </c>
      <c r="X331" t="s">
        <v>162</v>
      </c>
      <c r="Y331" t="s">
        <v>700</v>
      </c>
      <c r="Z331" t="s">
        <v>80</v>
      </c>
      <c r="AA331" t="s">
        <v>85</v>
      </c>
      <c r="AC331" t="s">
        <v>2362</v>
      </c>
      <c r="AD331" t="s">
        <v>87</v>
      </c>
      <c r="AF331" t="s">
        <v>2363</v>
      </c>
      <c r="AG331" t="s">
        <v>2364</v>
      </c>
      <c r="AH331" t="s">
        <v>91</v>
      </c>
      <c r="AI331" t="s">
        <v>92</v>
      </c>
      <c r="AJ331" t="s">
        <v>93</v>
      </c>
      <c r="AK331" t="s">
        <v>2365</v>
      </c>
      <c r="AL331" t="s">
        <v>95</v>
      </c>
      <c r="AM331" t="s">
        <v>96</v>
      </c>
      <c r="AN331" t="s">
        <v>97</v>
      </c>
      <c r="AO331" t="s">
        <v>98</v>
      </c>
      <c r="AP331" t="s">
        <v>78</v>
      </c>
      <c r="AQ331" t="s">
        <v>78</v>
      </c>
      <c r="AS331" t="s">
        <v>78</v>
      </c>
      <c r="AT331" t="s">
        <v>100</v>
      </c>
      <c r="AU331" t="s">
        <v>100</v>
      </c>
      <c r="AW331" t="s">
        <v>85</v>
      </c>
      <c r="AX331" t="s">
        <v>103</v>
      </c>
      <c r="AY331" t="s">
        <v>159</v>
      </c>
      <c r="AZ331" t="s">
        <v>103</v>
      </c>
      <c r="BA331" t="s">
        <v>104</v>
      </c>
      <c r="BB331" t="s">
        <v>78</v>
      </c>
      <c r="BC331" t="s">
        <v>78</v>
      </c>
      <c r="BD331" t="s">
        <v>2366</v>
      </c>
      <c r="BE331">
        <v>0</v>
      </c>
      <c r="BF331">
        <v>19</v>
      </c>
      <c r="BG331">
        <v>0</v>
      </c>
      <c r="BH331">
        <v>0</v>
      </c>
      <c r="BJ331" t="s">
        <v>85</v>
      </c>
      <c r="BP331" t="s">
        <v>78</v>
      </c>
      <c r="BQ331" t="s">
        <v>78</v>
      </c>
      <c r="BR331" t="s">
        <v>78</v>
      </c>
    </row>
    <row r="332" customFormat="1" spans="1:70">
      <c r="A332" t="s">
        <v>2367</v>
      </c>
      <c r="B332" t="s">
        <v>2367</v>
      </c>
      <c r="C332" t="s">
        <v>1050</v>
      </c>
      <c r="D332" t="s">
        <v>1051</v>
      </c>
      <c r="E332">
        <v>1</v>
      </c>
      <c r="F332" t="s">
        <v>1052</v>
      </c>
      <c r="G332" t="s">
        <v>1053</v>
      </c>
      <c r="H332">
        <v>129</v>
      </c>
      <c r="I332">
        <v>105</v>
      </c>
      <c r="J332">
        <v>0</v>
      </c>
      <c r="K332">
        <v>24</v>
      </c>
      <c r="L332" t="s">
        <v>2368</v>
      </c>
      <c r="M332" t="s">
        <v>78</v>
      </c>
      <c r="N332" t="s">
        <v>78</v>
      </c>
      <c r="O332">
        <v>0</v>
      </c>
      <c r="P332">
        <v>0</v>
      </c>
      <c r="Q332">
        <v>0</v>
      </c>
      <c r="R332" t="s">
        <v>125</v>
      </c>
      <c r="S332">
        <v>0</v>
      </c>
      <c r="T332" t="s">
        <v>80</v>
      </c>
      <c r="U332" t="s">
        <v>80</v>
      </c>
      <c r="V332" t="s">
        <v>167</v>
      </c>
      <c r="W332" t="s">
        <v>168</v>
      </c>
      <c r="X332" t="s">
        <v>398</v>
      </c>
      <c r="Y332" t="s">
        <v>2369</v>
      </c>
      <c r="Z332" t="s">
        <v>80</v>
      </c>
      <c r="AA332" t="s">
        <v>85</v>
      </c>
      <c r="AC332" t="s">
        <v>2370</v>
      </c>
      <c r="AD332" t="s">
        <v>87</v>
      </c>
      <c r="AG332" t="s">
        <v>2371</v>
      </c>
      <c r="AH332" t="s">
        <v>873</v>
      </c>
      <c r="AI332" t="s">
        <v>92</v>
      </c>
      <c r="AJ332" t="s">
        <v>131</v>
      </c>
      <c r="AK332" t="s">
        <v>2372</v>
      </c>
      <c r="AL332" t="s">
        <v>95</v>
      </c>
      <c r="AM332" t="s">
        <v>96</v>
      </c>
      <c r="AN332" t="s">
        <v>97</v>
      </c>
      <c r="AO332" t="s">
        <v>98</v>
      </c>
      <c r="AP332" t="s">
        <v>78</v>
      </c>
      <c r="AQ332" t="s">
        <v>99</v>
      </c>
      <c r="AS332" t="s">
        <v>78</v>
      </c>
      <c r="AT332" t="s">
        <v>100</v>
      </c>
      <c r="AU332" t="s">
        <v>100</v>
      </c>
      <c r="AW332" t="s">
        <v>85</v>
      </c>
      <c r="AX332" t="s">
        <v>103</v>
      </c>
      <c r="AY332" t="s">
        <v>159</v>
      </c>
      <c r="AZ332" t="s">
        <v>103</v>
      </c>
      <c r="BA332" t="s">
        <v>185</v>
      </c>
      <c r="BB332" t="s">
        <v>78</v>
      </c>
      <c r="BC332" t="s">
        <v>78</v>
      </c>
      <c r="BE332">
        <v>0</v>
      </c>
      <c r="BF332">
        <v>24</v>
      </c>
      <c r="BG332">
        <v>0</v>
      </c>
      <c r="BH332">
        <v>0</v>
      </c>
      <c r="BJ332" t="s">
        <v>85</v>
      </c>
      <c r="BP332" t="s">
        <v>78</v>
      </c>
      <c r="BQ332" t="s">
        <v>78</v>
      </c>
      <c r="BR332" t="s">
        <v>78</v>
      </c>
    </row>
    <row r="333" customFormat="1" spans="1:70">
      <c r="A333" t="s">
        <v>2373</v>
      </c>
      <c r="B333" t="s">
        <v>2373</v>
      </c>
      <c r="C333" t="s">
        <v>1068</v>
      </c>
      <c r="D333" t="s">
        <v>75</v>
      </c>
      <c r="E333">
        <v>1</v>
      </c>
      <c r="F333" t="s">
        <v>1069</v>
      </c>
      <c r="G333" t="s">
        <v>1070</v>
      </c>
      <c r="H333">
        <v>180</v>
      </c>
      <c r="I333">
        <v>180</v>
      </c>
      <c r="J333">
        <v>0</v>
      </c>
      <c r="K333">
        <v>0</v>
      </c>
      <c r="L333" t="s">
        <v>78</v>
      </c>
      <c r="M333" t="s">
        <v>78</v>
      </c>
      <c r="N333" t="s">
        <v>78</v>
      </c>
      <c r="O333">
        <v>0</v>
      </c>
      <c r="P333">
        <v>0</v>
      </c>
      <c r="Q333">
        <v>0</v>
      </c>
      <c r="R333" t="s">
        <v>79</v>
      </c>
      <c r="S333">
        <v>0</v>
      </c>
      <c r="T333" t="s">
        <v>80</v>
      </c>
      <c r="U333" t="s">
        <v>80</v>
      </c>
      <c r="V333" t="s">
        <v>347</v>
      </c>
      <c r="W333" t="s">
        <v>727</v>
      </c>
      <c r="X333" t="s">
        <v>728</v>
      </c>
      <c r="Y333" t="s">
        <v>729</v>
      </c>
      <c r="Z333" t="s">
        <v>80</v>
      </c>
      <c r="AA333" t="s">
        <v>85</v>
      </c>
      <c r="AC333" t="s">
        <v>2374</v>
      </c>
      <c r="AD333" t="s">
        <v>87</v>
      </c>
      <c r="AG333" t="s">
        <v>2375</v>
      </c>
      <c r="AH333" t="s">
        <v>227</v>
      </c>
      <c r="AI333" t="s">
        <v>92</v>
      </c>
      <c r="AJ333" t="s">
        <v>131</v>
      </c>
      <c r="AK333" t="s">
        <v>2376</v>
      </c>
      <c r="AL333" t="s">
        <v>95</v>
      </c>
      <c r="AM333" t="s">
        <v>96</v>
      </c>
      <c r="AN333" t="s">
        <v>97</v>
      </c>
      <c r="AO333" t="s">
        <v>98</v>
      </c>
      <c r="AP333" t="s">
        <v>78</v>
      </c>
      <c r="AQ333" t="s">
        <v>99</v>
      </c>
      <c r="AS333" t="s">
        <v>78</v>
      </c>
      <c r="AT333" t="s">
        <v>100</v>
      </c>
      <c r="AU333" t="s">
        <v>100</v>
      </c>
      <c r="AW333" t="s">
        <v>85</v>
      </c>
      <c r="AX333" t="s">
        <v>101</v>
      </c>
      <c r="AY333" t="s">
        <v>102</v>
      </c>
      <c r="AZ333" t="s">
        <v>103</v>
      </c>
      <c r="BA333" t="s">
        <v>120</v>
      </c>
      <c r="BB333" t="s">
        <v>78</v>
      </c>
      <c r="BC333" t="s">
        <v>78</v>
      </c>
      <c r="BE333">
        <v>0</v>
      </c>
      <c r="BF333">
        <v>0</v>
      </c>
      <c r="BG333">
        <v>0</v>
      </c>
      <c r="BH333">
        <v>0</v>
      </c>
      <c r="BJ333" t="s">
        <v>85</v>
      </c>
      <c r="BP333" t="s">
        <v>78</v>
      </c>
      <c r="BQ333" t="s">
        <v>78</v>
      </c>
      <c r="BR333" t="s">
        <v>78</v>
      </c>
    </row>
    <row r="334" customFormat="1" spans="1:70">
      <c r="A334" t="s">
        <v>2377</v>
      </c>
      <c r="B334" t="s">
        <v>2377</v>
      </c>
      <c r="C334" t="s">
        <v>1080</v>
      </c>
      <c r="D334" t="s">
        <v>135</v>
      </c>
      <c r="E334">
        <v>1</v>
      </c>
      <c r="F334" t="s">
        <v>1081</v>
      </c>
      <c r="G334" t="s">
        <v>1639</v>
      </c>
      <c r="H334">
        <v>289</v>
      </c>
      <c r="I334">
        <v>270.52</v>
      </c>
      <c r="J334">
        <v>0</v>
      </c>
      <c r="K334">
        <v>18.48</v>
      </c>
      <c r="L334" t="s">
        <v>2378</v>
      </c>
      <c r="M334" t="s">
        <v>78</v>
      </c>
      <c r="N334" t="s">
        <v>78</v>
      </c>
      <c r="O334">
        <v>0</v>
      </c>
      <c r="P334">
        <v>0</v>
      </c>
      <c r="Q334">
        <v>0</v>
      </c>
      <c r="R334" t="s">
        <v>79</v>
      </c>
      <c r="S334">
        <v>0</v>
      </c>
      <c r="T334" t="s">
        <v>80</v>
      </c>
      <c r="U334" t="s">
        <v>80</v>
      </c>
      <c r="V334" t="s">
        <v>178</v>
      </c>
      <c r="W334" t="s">
        <v>178</v>
      </c>
      <c r="X334" t="s">
        <v>2379</v>
      </c>
      <c r="Y334" t="s">
        <v>2380</v>
      </c>
      <c r="Z334" t="s">
        <v>80</v>
      </c>
      <c r="AA334" t="s">
        <v>85</v>
      </c>
      <c r="AC334" t="s">
        <v>2381</v>
      </c>
      <c r="AD334" t="s">
        <v>87</v>
      </c>
      <c r="AG334" t="s">
        <v>2382</v>
      </c>
      <c r="AH334" t="s">
        <v>91</v>
      </c>
      <c r="AI334" t="s">
        <v>92</v>
      </c>
      <c r="AJ334" t="s">
        <v>131</v>
      </c>
      <c r="AK334" t="s">
        <v>2383</v>
      </c>
      <c r="AL334" t="s">
        <v>95</v>
      </c>
      <c r="AM334" t="s">
        <v>96</v>
      </c>
      <c r="AN334" t="s">
        <v>97</v>
      </c>
      <c r="AO334" t="s">
        <v>98</v>
      </c>
      <c r="AP334" t="s">
        <v>78</v>
      </c>
      <c r="AQ334" t="s">
        <v>99</v>
      </c>
      <c r="AS334" t="s">
        <v>78</v>
      </c>
      <c r="AT334" t="s">
        <v>100</v>
      </c>
      <c r="AU334" t="s">
        <v>100</v>
      </c>
      <c r="AW334" t="s">
        <v>85</v>
      </c>
      <c r="AX334" t="s">
        <v>103</v>
      </c>
      <c r="AY334" t="s">
        <v>159</v>
      </c>
      <c r="AZ334" t="s">
        <v>103</v>
      </c>
      <c r="BA334" t="s">
        <v>104</v>
      </c>
      <c r="BB334" t="s">
        <v>78</v>
      </c>
      <c r="BC334" t="s">
        <v>78</v>
      </c>
      <c r="BE334">
        <v>0</v>
      </c>
      <c r="BF334">
        <v>18.48</v>
      </c>
      <c r="BG334">
        <v>0</v>
      </c>
      <c r="BH334">
        <v>0</v>
      </c>
      <c r="BJ334" t="s">
        <v>85</v>
      </c>
      <c r="BP334" t="s">
        <v>78</v>
      </c>
      <c r="BQ334" t="s">
        <v>78</v>
      </c>
      <c r="BR334" t="s">
        <v>78</v>
      </c>
    </row>
    <row r="335" customFormat="1" spans="1:70">
      <c r="A335" t="s">
        <v>2377</v>
      </c>
      <c r="B335" t="s">
        <v>2384</v>
      </c>
      <c r="C335" t="s">
        <v>1068</v>
      </c>
      <c r="D335" t="s">
        <v>230</v>
      </c>
      <c r="E335">
        <v>1</v>
      </c>
      <c r="F335" t="s">
        <v>1069</v>
      </c>
      <c r="G335" t="s">
        <v>2219</v>
      </c>
      <c r="H335">
        <v>180</v>
      </c>
      <c r="I335">
        <v>168.48</v>
      </c>
      <c r="J335">
        <v>0</v>
      </c>
      <c r="K335">
        <v>11.52</v>
      </c>
      <c r="L335" t="s">
        <v>2385</v>
      </c>
      <c r="M335" t="s">
        <v>78</v>
      </c>
      <c r="N335" t="s">
        <v>78</v>
      </c>
      <c r="O335">
        <v>0</v>
      </c>
      <c r="P335">
        <v>0</v>
      </c>
      <c r="Q335">
        <v>0</v>
      </c>
      <c r="R335" t="s">
        <v>79</v>
      </c>
      <c r="S335">
        <v>0</v>
      </c>
      <c r="T335" t="s">
        <v>80</v>
      </c>
      <c r="U335" t="s">
        <v>80</v>
      </c>
      <c r="V335" t="s">
        <v>178</v>
      </c>
      <c r="W335" t="s">
        <v>178</v>
      </c>
      <c r="X335" t="s">
        <v>2379</v>
      </c>
      <c r="Y335" t="s">
        <v>2380</v>
      </c>
      <c r="Z335" t="s">
        <v>80</v>
      </c>
      <c r="AA335" t="s">
        <v>85</v>
      </c>
      <c r="AC335" t="s">
        <v>2381</v>
      </c>
      <c r="AD335" t="s">
        <v>87</v>
      </c>
      <c r="AG335" t="s">
        <v>2382</v>
      </c>
      <c r="AH335" t="s">
        <v>91</v>
      </c>
      <c r="AI335" t="s">
        <v>92</v>
      </c>
      <c r="AJ335" t="s">
        <v>131</v>
      </c>
      <c r="AK335" t="s">
        <v>2383</v>
      </c>
      <c r="AL335" t="s">
        <v>95</v>
      </c>
      <c r="AM335" t="s">
        <v>96</v>
      </c>
      <c r="AN335" t="s">
        <v>97</v>
      </c>
      <c r="AO335" t="s">
        <v>98</v>
      </c>
      <c r="AP335" t="s">
        <v>78</v>
      </c>
      <c r="AQ335" t="s">
        <v>99</v>
      </c>
      <c r="AS335" t="s">
        <v>78</v>
      </c>
      <c r="AT335" t="s">
        <v>100</v>
      </c>
      <c r="AU335" t="s">
        <v>100</v>
      </c>
      <c r="AW335" t="s">
        <v>85</v>
      </c>
      <c r="AX335" t="s">
        <v>103</v>
      </c>
      <c r="AY335" t="s">
        <v>159</v>
      </c>
      <c r="AZ335" t="s">
        <v>103</v>
      </c>
      <c r="BA335" t="s">
        <v>104</v>
      </c>
      <c r="BB335" t="s">
        <v>78</v>
      </c>
      <c r="BC335" t="s">
        <v>78</v>
      </c>
      <c r="BE335">
        <v>0</v>
      </c>
      <c r="BF335">
        <v>11.52</v>
      </c>
      <c r="BG335">
        <v>0</v>
      </c>
      <c r="BH335">
        <v>0</v>
      </c>
      <c r="BJ335" t="s">
        <v>85</v>
      </c>
      <c r="BP335" t="s">
        <v>78</v>
      </c>
      <c r="BQ335" t="s">
        <v>78</v>
      </c>
      <c r="BR335" t="s">
        <v>78</v>
      </c>
    </row>
    <row r="336" customFormat="1" spans="1:70">
      <c r="A336" t="s">
        <v>2386</v>
      </c>
      <c r="B336" t="s">
        <v>2386</v>
      </c>
      <c r="C336" t="s">
        <v>1080</v>
      </c>
      <c r="D336" t="s">
        <v>135</v>
      </c>
      <c r="E336">
        <v>1</v>
      </c>
      <c r="F336" t="s">
        <v>1081</v>
      </c>
      <c r="G336" t="s">
        <v>1639</v>
      </c>
      <c r="H336">
        <v>289</v>
      </c>
      <c r="I336">
        <v>289</v>
      </c>
      <c r="J336">
        <v>0</v>
      </c>
      <c r="K336">
        <v>0</v>
      </c>
      <c r="L336" t="s">
        <v>78</v>
      </c>
      <c r="M336" t="s">
        <v>78</v>
      </c>
      <c r="N336" t="s">
        <v>78</v>
      </c>
      <c r="O336">
        <v>0</v>
      </c>
      <c r="P336">
        <v>0</v>
      </c>
      <c r="Q336">
        <v>0</v>
      </c>
      <c r="R336" t="s">
        <v>79</v>
      </c>
      <c r="S336">
        <v>0</v>
      </c>
      <c r="T336" t="s">
        <v>80</v>
      </c>
      <c r="U336" t="s">
        <v>80</v>
      </c>
      <c r="V336" t="s">
        <v>347</v>
      </c>
      <c r="W336" t="s">
        <v>727</v>
      </c>
      <c r="X336" t="s">
        <v>728</v>
      </c>
      <c r="Y336" t="s">
        <v>729</v>
      </c>
      <c r="Z336" t="s">
        <v>80</v>
      </c>
      <c r="AA336" t="s">
        <v>85</v>
      </c>
      <c r="AC336" t="s">
        <v>2387</v>
      </c>
      <c r="AD336" t="s">
        <v>87</v>
      </c>
      <c r="AG336" t="s">
        <v>2388</v>
      </c>
      <c r="AH336" t="s">
        <v>227</v>
      </c>
      <c r="AI336" t="s">
        <v>92</v>
      </c>
      <c r="AJ336" t="s">
        <v>131</v>
      </c>
      <c r="AK336" t="s">
        <v>2389</v>
      </c>
      <c r="AL336" t="s">
        <v>95</v>
      </c>
      <c r="AM336" t="s">
        <v>96</v>
      </c>
      <c r="AN336" t="s">
        <v>97</v>
      </c>
      <c r="AO336" t="s">
        <v>98</v>
      </c>
      <c r="AP336" t="s">
        <v>78</v>
      </c>
      <c r="AQ336" t="s">
        <v>99</v>
      </c>
      <c r="AS336" t="s">
        <v>78</v>
      </c>
      <c r="AT336" t="s">
        <v>100</v>
      </c>
      <c r="AU336" t="s">
        <v>100</v>
      </c>
      <c r="AW336" t="s">
        <v>85</v>
      </c>
      <c r="AX336" t="s">
        <v>101</v>
      </c>
      <c r="AY336" t="s">
        <v>102</v>
      </c>
      <c r="AZ336" t="s">
        <v>103</v>
      </c>
      <c r="BA336" t="s">
        <v>120</v>
      </c>
      <c r="BB336" t="s">
        <v>78</v>
      </c>
      <c r="BC336" t="s">
        <v>78</v>
      </c>
      <c r="BE336">
        <v>0</v>
      </c>
      <c r="BF336">
        <v>0</v>
      </c>
      <c r="BG336">
        <v>0</v>
      </c>
      <c r="BH336">
        <v>0</v>
      </c>
      <c r="BJ336" t="s">
        <v>85</v>
      </c>
      <c r="BP336" t="s">
        <v>78</v>
      </c>
      <c r="BQ336" t="s">
        <v>78</v>
      </c>
      <c r="BR336" t="s">
        <v>78</v>
      </c>
    </row>
    <row r="337" customFormat="1" spans="1:70">
      <c r="A337" t="s">
        <v>2390</v>
      </c>
      <c r="B337" t="s">
        <v>2390</v>
      </c>
      <c r="C337" t="s">
        <v>1068</v>
      </c>
      <c r="D337" t="s">
        <v>75</v>
      </c>
      <c r="E337">
        <v>1</v>
      </c>
      <c r="F337" t="s">
        <v>1069</v>
      </c>
      <c r="G337" t="s">
        <v>1070</v>
      </c>
      <c r="H337">
        <v>180</v>
      </c>
      <c r="I337">
        <v>180</v>
      </c>
      <c r="J337">
        <v>0</v>
      </c>
      <c r="K337">
        <v>0</v>
      </c>
      <c r="L337" t="s">
        <v>78</v>
      </c>
      <c r="M337" t="s">
        <v>78</v>
      </c>
      <c r="N337" t="s">
        <v>78</v>
      </c>
      <c r="O337">
        <v>0</v>
      </c>
      <c r="P337">
        <v>0</v>
      </c>
      <c r="Q337">
        <v>0</v>
      </c>
      <c r="R337" t="s">
        <v>125</v>
      </c>
      <c r="S337">
        <v>0</v>
      </c>
      <c r="T337" t="s">
        <v>80</v>
      </c>
      <c r="U337" t="s">
        <v>80</v>
      </c>
      <c r="V337" t="s">
        <v>239</v>
      </c>
      <c r="W337" t="s">
        <v>913</v>
      </c>
      <c r="X337" t="s">
        <v>2391</v>
      </c>
      <c r="Y337" t="s">
        <v>2392</v>
      </c>
      <c r="Z337" t="s">
        <v>80</v>
      </c>
      <c r="AA337" t="s">
        <v>85</v>
      </c>
      <c r="AC337" t="s">
        <v>2393</v>
      </c>
      <c r="AD337" t="s">
        <v>87</v>
      </c>
      <c r="AG337" t="s">
        <v>2394</v>
      </c>
      <c r="AH337" t="s">
        <v>227</v>
      </c>
      <c r="AI337" t="s">
        <v>92</v>
      </c>
      <c r="AJ337" t="s">
        <v>131</v>
      </c>
      <c r="AK337" t="s">
        <v>2395</v>
      </c>
      <c r="AL337" t="s">
        <v>95</v>
      </c>
      <c r="AM337" t="s">
        <v>96</v>
      </c>
      <c r="AN337" t="s">
        <v>97</v>
      </c>
      <c r="AO337" t="s">
        <v>98</v>
      </c>
      <c r="AP337" t="s">
        <v>78</v>
      </c>
      <c r="AQ337" t="s">
        <v>99</v>
      </c>
      <c r="AS337" t="s">
        <v>78</v>
      </c>
      <c r="AT337" t="s">
        <v>100</v>
      </c>
      <c r="AU337" t="s">
        <v>100</v>
      </c>
      <c r="AW337" t="s">
        <v>85</v>
      </c>
      <c r="AX337" t="s">
        <v>103</v>
      </c>
      <c r="AY337" t="s">
        <v>159</v>
      </c>
      <c r="AZ337" t="s">
        <v>103</v>
      </c>
      <c r="BA337" t="s">
        <v>133</v>
      </c>
      <c r="BB337" t="s">
        <v>78</v>
      </c>
      <c r="BC337" t="s">
        <v>78</v>
      </c>
      <c r="BE337">
        <v>0</v>
      </c>
      <c r="BF337">
        <v>0</v>
      </c>
      <c r="BG337">
        <v>0</v>
      </c>
      <c r="BH337">
        <v>0</v>
      </c>
      <c r="BJ337" t="s">
        <v>85</v>
      </c>
      <c r="BP337" t="s">
        <v>78</v>
      </c>
      <c r="BQ337" t="s">
        <v>78</v>
      </c>
      <c r="BR337" t="s">
        <v>78</v>
      </c>
    </row>
    <row r="338" customFormat="1" spans="1:70">
      <c r="A338" t="s">
        <v>2396</v>
      </c>
      <c r="B338" t="s">
        <v>2396</v>
      </c>
      <c r="C338" t="s">
        <v>1080</v>
      </c>
      <c r="D338" t="s">
        <v>108</v>
      </c>
      <c r="E338">
        <v>1</v>
      </c>
      <c r="F338" t="s">
        <v>1081</v>
      </c>
      <c r="G338" t="s">
        <v>1082</v>
      </c>
      <c r="H338">
        <v>289</v>
      </c>
      <c r="I338">
        <v>289</v>
      </c>
      <c r="J338">
        <v>0</v>
      </c>
      <c r="K338">
        <v>0</v>
      </c>
      <c r="L338" t="s">
        <v>78</v>
      </c>
      <c r="M338" t="s">
        <v>78</v>
      </c>
      <c r="N338" t="s">
        <v>78</v>
      </c>
      <c r="O338">
        <v>0</v>
      </c>
      <c r="P338">
        <v>0</v>
      </c>
      <c r="Q338">
        <v>0</v>
      </c>
      <c r="R338" t="s">
        <v>79</v>
      </c>
      <c r="S338">
        <v>0</v>
      </c>
      <c r="T338" t="s">
        <v>80</v>
      </c>
      <c r="U338" t="s">
        <v>80</v>
      </c>
      <c r="V338" t="s">
        <v>347</v>
      </c>
      <c r="W338" t="s">
        <v>727</v>
      </c>
      <c r="X338" t="s">
        <v>728</v>
      </c>
      <c r="Y338" t="s">
        <v>729</v>
      </c>
      <c r="Z338" t="s">
        <v>80</v>
      </c>
      <c r="AA338" t="s">
        <v>85</v>
      </c>
      <c r="AC338" t="s">
        <v>2397</v>
      </c>
      <c r="AD338" t="s">
        <v>87</v>
      </c>
      <c r="AF338" t="s">
        <v>2398</v>
      </c>
      <c r="AG338" t="s">
        <v>2399</v>
      </c>
      <c r="AH338" t="s">
        <v>227</v>
      </c>
      <c r="AI338" t="s">
        <v>92</v>
      </c>
      <c r="AJ338" t="s">
        <v>93</v>
      </c>
      <c r="AK338" t="s">
        <v>2400</v>
      </c>
      <c r="AL338" t="s">
        <v>95</v>
      </c>
      <c r="AM338" t="s">
        <v>96</v>
      </c>
      <c r="AN338" t="s">
        <v>97</v>
      </c>
      <c r="AO338" t="s">
        <v>98</v>
      </c>
      <c r="AP338" t="s">
        <v>78</v>
      </c>
      <c r="AQ338" t="s">
        <v>78</v>
      </c>
      <c r="AS338" t="s">
        <v>78</v>
      </c>
      <c r="AT338" t="s">
        <v>100</v>
      </c>
      <c r="AU338" t="s">
        <v>100</v>
      </c>
      <c r="AW338" t="s">
        <v>85</v>
      </c>
      <c r="AX338" t="s">
        <v>101</v>
      </c>
      <c r="AY338" t="s">
        <v>102</v>
      </c>
      <c r="AZ338" t="s">
        <v>103</v>
      </c>
      <c r="BA338" t="s">
        <v>120</v>
      </c>
      <c r="BB338" t="s">
        <v>78</v>
      </c>
      <c r="BC338" t="s">
        <v>78</v>
      </c>
      <c r="BD338" t="s">
        <v>2173</v>
      </c>
      <c r="BE338">
        <v>0</v>
      </c>
      <c r="BF338">
        <v>0</v>
      </c>
      <c r="BG338">
        <v>0</v>
      </c>
      <c r="BH338">
        <v>0</v>
      </c>
      <c r="BJ338" t="s">
        <v>85</v>
      </c>
      <c r="BP338" t="s">
        <v>78</v>
      </c>
      <c r="BQ338" t="s">
        <v>78</v>
      </c>
      <c r="BR338" t="s">
        <v>78</v>
      </c>
    </row>
    <row r="339" customFormat="1" spans="1:70">
      <c r="A339" t="s">
        <v>2401</v>
      </c>
      <c r="B339" t="s">
        <v>2401</v>
      </c>
      <c r="C339" t="s">
        <v>1080</v>
      </c>
      <c r="D339" t="s">
        <v>123</v>
      </c>
      <c r="E339">
        <v>1</v>
      </c>
      <c r="F339" t="s">
        <v>1081</v>
      </c>
      <c r="G339" t="s">
        <v>1626</v>
      </c>
      <c r="H339">
        <v>289</v>
      </c>
      <c r="I339">
        <v>289</v>
      </c>
      <c r="J339">
        <v>0</v>
      </c>
      <c r="K339">
        <v>0</v>
      </c>
      <c r="L339" t="s">
        <v>78</v>
      </c>
      <c r="M339" t="s">
        <v>78</v>
      </c>
      <c r="N339" t="s">
        <v>78</v>
      </c>
      <c r="O339">
        <v>0</v>
      </c>
      <c r="P339">
        <v>0</v>
      </c>
      <c r="Q339">
        <v>0</v>
      </c>
      <c r="R339" t="s">
        <v>125</v>
      </c>
      <c r="S339">
        <v>0</v>
      </c>
      <c r="T339" t="s">
        <v>80</v>
      </c>
      <c r="U339" t="s">
        <v>80</v>
      </c>
      <c r="V339" t="s">
        <v>239</v>
      </c>
      <c r="W339" t="s">
        <v>913</v>
      </c>
      <c r="X339" t="s">
        <v>2391</v>
      </c>
      <c r="Y339" t="s">
        <v>2392</v>
      </c>
      <c r="Z339" t="s">
        <v>80</v>
      </c>
      <c r="AA339" t="s">
        <v>85</v>
      </c>
      <c r="AC339" t="s">
        <v>2402</v>
      </c>
      <c r="AD339" t="s">
        <v>87</v>
      </c>
      <c r="AG339" t="s">
        <v>2403</v>
      </c>
      <c r="AH339" t="s">
        <v>227</v>
      </c>
      <c r="AI339" t="s">
        <v>92</v>
      </c>
      <c r="AJ339" t="s">
        <v>131</v>
      </c>
      <c r="AK339" t="s">
        <v>2404</v>
      </c>
      <c r="AL339" t="s">
        <v>95</v>
      </c>
      <c r="AM339" t="s">
        <v>96</v>
      </c>
      <c r="AN339" t="s">
        <v>97</v>
      </c>
      <c r="AO339" t="s">
        <v>98</v>
      </c>
      <c r="AP339" t="s">
        <v>78</v>
      </c>
      <c r="AQ339" t="s">
        <v>99</v>
      </c>
      <c r="AS339" t="s">
        <v>78</v>
      </c>
      <c r="AT339" t="s">
        <v>100</v>
      </c>
      <c r="AU339" t="s">
        <v>100</v>
      </c>
      <c r="AW339" t="s">
        <v>85</v>
      </c>
      <c r="AX339" t="s">
        <v>103</v>
      </c>
      <c r="AY339" t="s">
        <v>159</v>
      </c>
      <c r="AZ339" t="s">
        <v>103</v>
      </c>
      <c r="BA339" t="s">
        <v>133</v>
      </c>
      <c r="BB339" t="s">
        <v>78</v>
      </c>
      <c r="BC339" t="s">
        <v>78</v>
      </c>
      <c r="BE339">
        <v>0</v>
      </c>
      <c r="BF339">
        <v>0</v>
      </c>
      <c r="BG339">
        <v>0</v>
      </c>
      <c r="BH339">
        <v>0</v>
      </c>
      <c r="BJ339" t="s">
        <v>85</v>
      </c>
      <c r="BP339" t="s">
        <v>78</v>
      </c>
      <c r="BQ339" t="s">
        <v>78</v>
      </c>
      <c r="BR339" t="s">
        <v>78</v>
      </c>
    </row>
    <row r="340" customFormat="1" spans="1:70">
      <c r="A340" t="s">
        <v>2405</v>
      </c>
      <c r="B340" t="s">
        <v>2405</v>
      </c>
      <c r="C340" t="s">
        <v>1080</v>
      </c>
      <c r="D340" t="s">
        <v>135</v>
      </c>
      <c r="E340">
        <v>1</v>
      </c>
      <c r="F340" t="s">
        <v>1081</v>
      </c>
      <c r="G340" t="s">
        <v>1639</v>
      </c>
      <c r="H340">
        <v>289</v>
      </c>
      <c r="I340">
        <v>289</v>
      </c>
      <c r="J340">
        <v>0</v>
      </c>
      <c r="K340">
        <v>0</v>
      </c>
      <c r="L340" t="s">
        <v>78</v>
      </c>
      <c r="M340" t="s">
        <v>78</v>
      </c>
      <c r="N340" t="s">
        <v>78</v>
      </c>
      <c r="O340">
        <v>0</v>
      </c>
      <c r="P340">
        <v>0</v>
      </c>
      <c r="Q340">
        <v>0</v>
      </c>
      <c r="R340" t="s">
        <v>125</v>
      </c>
      <c r="S340">
        <v>0</v>
      </c>
      <c r="T340" t="s">
        <v>80</v>
      </c>
      <c r="U340" t="s">
        <v>80</v>
      </c>
      <c r="V340" t="s">
        <v>221</v>
      </c>
      <c r="W340" t="s">
        <v>2406</v>
      </c>
      <c r="X340" t="s">
        <v>2407</v>
      </c>
      <c r="Y340" t="s">
        <v>817</v>
      </c>
      <c r="Z340" t="s">
        <v>80</v>
      </c>
      <c r="AA340" t="s">
        <v>85</v>
      </c>
      <c r="AC340" t="s">
        <v>2408</v>
      </c>
      <c r="AD340" t="s">
        <v>87</v>
      </c>
      <c r="AH340" t="s">
        <v>227</v>
      </c>
      <c r="AI340" t="s">
        <v>92</v>
      </c>
      <c r="AJ340" t="s">
        <v>131</v>
      </c>
      <c r="AK340" t="s">
        <v>2409</v>
      </c>
      <c r="AL340" t="s">
        <v>95</v>
      </c>
      <c r="AM340" t="s">
        <v>96</v>
      </c>
      <c r="AN340" t="s">
        <v>97</v>
      </c>
      <c r="AO340" t="s">
        <v>98</v>
      </c>
      <c r="AP340" t="s">
        <v>78</v>
      </c>
      <c r="AQ340" t="s">
        <v>78</v>
      </c>
      <c r="AR340" t="s">
        <v>195</v>
      </c>
      <c r="AS340" t="s">
        <v>78</v>
      </c>
      <c r="AT340" t="s">
        <v>100</v>
      </c>
      <c r="AU340" t="s">
        <v>100</v>
      </c>
      <c r="AW340" t="s">
        <v>85</v>
      </c>
      <c r="AX340" t="s">
        <v>101</v>
      </c>
      <c r="AY340" t="s">
        <v>102</v>
      </c>
      <c r="AZ340" t="s">
        <v>103</v>
      </c>
      <c r="BA340" t="s">
        <v>104</v>
      </c>
      <c r="BB340" t="s">
        <v>78</v>
      </c>
      <c r="BC340" t="s">
        <v>78</v>
      </c>
      <c r="BE340">
        <v>0</v>
      </c>
      <c r="BF340">
        <v>0</v>
      </c>
      <c r="BG340">
        <v>0</v>
      </c>
      <c r="BH340">
        <v>0</v>
      </c>
      <c r="BJ340" t="s">
        <v>85</v>
      </c>
      <c r="BP340" t="s">
        <v>78</v>
      </c>
      <c r="BQ340" t="s">
        <v>78</v>
      </c>
      <c r="BR340" t="s">
        <v>78</v>
      </c>
    </row>
    <row r="341" customFormat="1" spans="1:70">
      <c r="A341" t="s">
        <v>2410</v>
      </c>
      <c r="B341" t="s">
        <v>2410</v>
      </c>
      <c r="C341" t="s">
        <v>1080</v>
      </c>
      <c r="D341" t="s">
        <v>108</v>
      </c>
      <c r="E341">
        <v>1</v>
      </c>
      <c r="F341" t="s">
        <v>1081</v>
      </c>
      <c r="G341" t="s">
        <v>1082</v>
      </c>
      <c r="H341">
        <v>289</v>
      </c>
      <c r="I341">
        <v>289</v>
      </c>
      <c r="J341">
        <v>0</v>
      </c>
      <c r="K341">
        <v>0</v>
      </c>
      <c r="L341" t="s">
        <v>78</v>
      </c>
      <c r="M341" t="s">
        <v>78</v>
      </c>
      <c r="N341" t="s">
        <v>78</v>
      </c>
      <c r="O341">
        <v>0</v>
      </c>
      <c r="P341">
        <v>0</v>
      </c>
      <c r="Q341">
        <v>0</v>
      </c>
      <c r="R341" t="s">
        <v>111</v>
      </c>
      <c r="S341">
        <v>0</v>
      </c>
      <c r="T341" t="s">
        <v>80</v>
      </c>
      <c r="U341" t="s">
        <v>80</v>
      </c>
      <c r="V341" t="s">
        <v>161</v>
      </c>
      <c r="W341" t="s">
        <v>161</v>
      </c>
      <c r="X341" t="s">
        <v>1243</v>
      </c>
      <c r="Y341" t="s">
        <v>1580</v>
      </c>
      <c r="Z341" t="s">
        <v>80</v>
      </c>
      <c r="AA341" t="s">
        <v>85</v>
      </c>
      <c r="AC341" t="s">
        <v>2411</v>
      </c>
      <c r="AD341" t="s">
        <v>87</v>
      </c>
      <c r="AG341" t="s">
        <v>2412</v>
      </c>
      <c r="AH341" t="s">
        <v>91</v>
      </c>
      <c r="AI341" t="s">
        <v>92</v>
      </c>
      <c r="AJ341" t="s">
        <v>131</v>
      </c>
      <c r="AK341" t="s">
        <v>2409</v>
      </c>
      <c r="AL341" t="s">
        <v>95</v>
      </c>
      <c r="AM341" t="s">
        <v>96</v>
      </c>
      <c r="AN341" t="s">
        <v>97</v>
      </c>
      <c r="AO341" t="s">
        <v>98</v>
      </c>
      <c r="AP341" t="s">
        <v>78</v>
      </c>
      <c r="AQ341" t="s">
        <v>99</v>
      </c>
      <c r="AS341" t="s">
        <v>78</v>
      </c>
      <c r="AT341" t="s">
        <v>100</v>
      </c>
      <c r="AU341" t="s">
        <v>100</v>
      </c>
      <c r="AW341" t="s">
        <v>85</v>
      </c>
      <c r="AX341" t="s">
        <v>101</v>
      </c>
      <c r="AY341" t="s">
        <v>102</v>
      </c>
      <c r="AZ341" t="s">
        <v>103</v>
      </c>
      <c r="BA341" t="s">
        <v>245</v>
      </c>
      <c r="BB341" t="s">
        <v>78</v>
      </c>
      <c r="BC341" t="s">
        <v>78</v>
      </c>
      <c r="BE341">
        <v>0</v>
      </c>
      <c r="BF341">
        <v>0</v>
      </c>
      <c r="BG341">
        <v>0</v>
      </c>
      <c r="BH341">
        <v>0</v>
      </c>
      <c r="BJ341" t="s">
        <v>85</v>
      </c>
      <c r="BP341" t="s">
        <v>78</v>
      </c>
      <c r="BQ341" t="s">
        <v>78</v>
      </c>
      <c r="BR341" t="s">
        <v>78</v>
      </c>
    </row>
    <row r="342" customFormat="1" spans="1:70">
      <c r="A342" t="s">
        <v>2413</v>
      </c>
      <c r="B342" t="s">
        <v>2413</v>
      </c>
      <c r="C342" t="s">
        <v>1068</v>
      </c>
      <c r="D342" t="s">
        <v>247</v>
      </c>
      <c r="E342">
        <v>1</v>
      </c>
      <c r="F342" t="s">
        <v>1069</v>
      </c>
      <c r="G342" t="s">
        <v>1104</v>
      </c>
      <c r="H342">
        <v>180</v>
      </c>
      <c r="I342">
        <v>180</v>
      </c>
      <c r="J342">
        <v>0</v>
      </c>
      <c r="K342">
        <v>0</v>
      </c>
      <c r="L342" t="s">
        <v>78</v>
      </c>
      <c r="M342" t="s">
        <v>78</v>
      </c>
      <c r="N342" t="s">
        <v>78</v>
      </c>
      <c r="O342">
        <v>0</v>
      </c>
      <c r="P342">
        <v>0</v>
      </c>
      <c r="Q342">
        <v>0</v>
      </c>
      <c r="R342" t="s">
        <v>125</v>
      </c>
      <c r="S342">
        <v>0</v>
      </c>
      <c r="T342" t="s">
        <v>80</v>
      </c>
      <c r="U342" t="s">
        <v>80</v>
      </c>
      <c r="V342" t="s">
        <v>152</v>
      </c>
      <c r="W342" t="s">
        <v>2268</v>
      </c>
      <c r="X342" t="s">
        <v>2414</v>
      </c>
      <c r="Y342" t="s">
        <v>503</v>
      </c>
      <c r="Z342" t="s">
        <v>80</v>
      </c>
      <c r="AA342" t="s">
        <v>85</v>
      </c>
      <c r="AC342" t="s">
        <v>2415</v>
      </c>
      <c r="AD342" t="s">
        <v>87</v>
      </c>
      <c r="AG342" t="s">
        <v>2416</v>
      </c>
      <c r="AH342" t="s">
        <v>91</v>
      </c>
      <c r="AI342" t="s">
        <v>92</v>
      </c>
      <c r="AJ342" t="s">
        <v>131</v>
      </c>
      <c r="AK342" t="s">
        <v>2417</v>
      </c>
      <c r="AL342" t="s">
        <v>95</v>
      </c>
      <c r="AM342" t="s">
        <v>96</v>
      </c>
      <c r="AN342" t="s">
        <v>97</v>
      </c>
      <c r="AO342" t="s">
        <v>98</v>
      </c>
      <c r="AP342" t="s">
        <v>78</v>
      </c>
      <c r="AQ342" t="s">
        <v>99</v>
      </c>
      <c r="AS342" t="s">
        <v>78</v>
      </c>
      <c r="AT342" t="s">
        <v>100</v>
      </c>
      <c r="AU342" t="s">
        <v>100</v>
      </c>
      <c r="AW342" t="s">
        <v>85</v>
      </c>
      <c r="AX342" t="s">
        <v>101</v>
      </c>
      <c r="AY342" t="s">
        <v>102</v>
      </c>
      <c r="AZ342" t="s">
        <v>103</v>
      </c>
      <c r="BA342" t="s">
        <v>133</v>
      </c>
      <c r="BB342" t="s">
        <v>78</v>
      </c>
      <c r="BC342" t="s">
        <v>78</v>
      </c>
      <c r="BE342">
        <v>0</v>
      </c>
      <c r="BF342">
        <v>0</v>
      </c>
      <c r="BG342">
        <v>0</v>
      </c>
      <c r="BH342">
        <v>0</v>
      </c>
      <c r="BJ342" t="s">
        <v>85</v>
      </c>
      <c r="BP342" t="s">
        <v>78</v>
      </c>
      <c r="BQ342" t="s">
        <v>78</v>
      </c>
      <c r="BR342" t="s">
        <v>78</v>
      </c>
    </row>
    <row r="343" customFormat="1" spans="1:70">
      <c r="A343" t="s">
        <v>2418</v>
      </c>
      <c r="B343" t="s">
        <v>2418</v>
      </c>
      <c r="C343" t="s">
        <v>1080</v>
      </c>
      <c r="D343" t="s">
        <v>108</v>
      </c>
      <c r="E343">
        <v>1</v>
      </c>
      <c r="F343" t="s">
        <v>1081</v>
      </c>
      <c r="G343" t="s">
        <v>1082</v>
      </c>
      <c r="H343">
        <v>289</v>
      </c>
      <c r="I343">
        <v>289</v>
      </c>
      <c r="J343">
        <v>0</v>
      </c>
      <c r="K343">
        <v>0</v>
      </c>
      <c r="L343" t="s">
        <v>78</v>
      </c>
      <c r="M343" t="s">
        <v>78</v>
      </c>
      <c r="N343" t="s">
        <v>78</v>
      </c>
      <c r="O343">
        <v>0</v>
      </c>
      <c r="P343">
        <v>0</v>
      </c>
      <c r="Q343">
        <v>0</v>
      </c>
      <c r="R343" t="s">
        <v>125</v>
      </c>
      <c r="S343">
        <v>0</v>
      </c>
      <c r="T343" t="s">
        <v>80</v>
      </c>
      <c r="U343" t="s">
        <v>80</v>
      </c>
      <c r="V343" t="s">
        <v>126</v>
      </c>
      <c r="W343" t="s">
        <v>945</v>
      </c>
      <c r="X343" t="s">
        <v>2419</v>
      </c>
      <c r="Y343" t="s">
        <v>2420</v>
      </c>
      <c r="Z343" t="s">
        <v>80</v>
      </c>
      <c r="AA343" t="s">
        <v>85</v>
      </c>
      <c r="AC343" t="s">
        <v>2421</v>
      </c>
      <c r="AD343" t="s">
        <v>87</v>
      </c>
      <c r="AG343" t="s">
        <v>2422</v>
      </c>
      <c r="AH343" t="s">
        <v>91</v>
      </c>
      <c r="AI343" t="s">
        <v>92</v>
      </c>
      <c r="AJ343" t="s">
        <v>131</v>
      </c>
      <c r="AK343" t="s">
        <v>2423</v>
      </c>
      <c r="AL343" t="s">
        <v>95</v>
      </c>
      <c r="AM343" t="s">
        <v>96</v>
      </c>
      <c r="AN343" t="s">
        <v>97</v>
      </c>
      <c r="AO343" t="s">
        <v>98</v>
      </c>
      <c r="AP343" t="s">
        <v>78</v>
      </c>
      <c r="AQ343" t="s">
        <v>99</v>
      </c>
      <c r="AS343" t="s">
        <v>78</v>
      </c>
      <c r="AT343" t="s">
        <v>100</v>
      </c>
      <c r="AU343" t="s">
        <v>100</v>
      </c>
      <c r="AW343" t="s">
        <v>85</v>
      </c>
      <c r="AX343" t="s">
        <v>101</v>
      </c>
      <c r="AY343" t="s">
        <v>102</v>
      </c>
      <c r="AZ343" t="s">
        <v>103</v>
      </c>
      <c r="BA343" t="s">
        <v>133</v>
      </c>
      <c r="BB343" t="s">
        <v>78</v>
      </c>
      <c r="BC343" t="s">
        <v>78</v>
      </c>
      <c r="BE343">
        <v>0</v>
      </c>
      <c r="BF343">
        <v>0</v>
      </c>
      <c r="BG343">
        <v>0</v>
      </c>
      <c r="BH343">
        <v>0</v>
      </c>
      <c r="BJ343" t="s">
        <v>85</v>
      </c>
      <c r="BP343" t="s">
        <v>78</v>
      </c>
      <c r="BQ343" t="s">
        <v>78</v>
      </c>
      <c r="BR343" t="s">
        <v>78</v>
      </c>
    </row>
    <row r="344" customFormat="1" spans="1:70">
      <c r="A344" t="s">
        <v>2424</v>
      </c>
      <c r="B344" t="s">
        <v>2424</v>
      </c>
      <c r="C344" t="s">
        <v>1080</v>
      </c>
      <c r="D344" t="s">
        <v>135</v>
      </c>
      <c r="E344">
        <v>1</v>
      </c>
      <c r="F344" t="s">
        <v>1081</v>
      </c>
      <c r="G344" t="s">
        <v>1639</v>
      </c>
      <c r="H344">
        <v>289</v>
      </c>
      <c r="I344">
        <v>289</v>
      </c>
      <c r="J344">
        <v>0</v>
      </c>
      <c r="K344">
        <v>0</v>
      </c>
      <c r="L344" t="s">
        <v>78</v>
      </c>
      <c r="M344" t="s">
        <v>78</v>
      </c>
      <c r="N344" t="s">
        <v>78</v>
      </c>
      <c r="O344">
        <v>0</v>
      </c>
      <c r="P344">
        <v>0</v>
      </c>
      <c r="Q344">
        <v>0</v>
      </c>
      <c r="R344" t="s">
        <v>111</v>
      </c>
      <c r="S344">
        <v>0</v>
      </c>
      <c r="T344" t="s">
        <v>80</v>
      </c>
      <c r="U344" t="s">
        <v>80</v>
      </c>
      <c r="V344" t="s">
        <v>221</v>
      </c>
      <c r="W344" t="s">
        <v>2406</v>
      </c>
      <c r="X344" t="s">
        <v>2407</v>
      </c>
      <c r="Y344" t="s">
        <v>817</v>
      </c>
      <c r="Z344" t="s">
        <v>80</v>
      </c>
      <c r="AA344" t="s">
        <v>85</v>
      </c>
      <c r="AC344" t="s">
        <v>2425</v>
      </c>
      <c r="AD344" t="s">
        <v>87</v>
      </c>
      <c r="AH344" t="s">
        <v>227</v>
      </c>
      <c r="AI344" t="s">
        <v>92</v>
      </c>
      <c r="AJ344" t="s">
        <v>131</v>
      </c>
      <c r="AK344" t="s">
        <v>2426</v>
      </c>
      <c r="AL344" t="s">
        <v>95</v>
      </c>
      <c r="AM344" t="s">
        <v>96</v>
      </c>
      <c r="AN344" t="s">
        <v>97</v>
      </c>
      <c r="AO344" t="s">
        <v>98</v>
      </c>
      <c r="AP344" t="s">
        <v>78</v>
      </c>
      <c r="AQ344" t="s">
        <v>78</v>
      </c>
      <c r="AR344" t="s">
        <v>195</v>
      </c>
      <c r="AS344" t="s">
        <v>78</v>
      </c>
      <c r="AT344" t="s">
        <v>100</v>
      </c>
      <c r="AU344" t="s">
        <v>100</v>
      </c>
      <c r="AW344" t="s">
        <v>85</v>
      </c>
      <c r="AX344" t="s">
        <v>101</v>
      </c>
      <c r="AY344" t="s">
        <v>102</v>
      </c>
      <c r="AZ344" t="s">
        <v>103</v>
      </c>
      <c r="BA344" t="s">
        <v>104</v>
      </c>
      <c r="BB344" t="s">
        <v>78</v>
      </c>
      <c r="BC344" t="s">
        <v>78</v>
      </c>
      <c r="BE344">
        <v>0</v>
      </c>
      <c r="BF344">
        <v>0</v>
      </c>
      <c r="BG344">
        <v>0</v>
      </c>
      <c r="BH344">
        <v>0</v>
      </c>
      <c r="BJ344" t="s">
        <v>85</v>
      </c>
      <c r="BP344" t="s">
        <v>78</v>
      </c>
      <c r="BQ344" t="s">
        <v>78</v>
      </c>
      <c r="BR344" t="s">
        <v>78</v>
      </c>
    </row>
    <row r="345" customFormat="1" spans="1:70">
      <c r="A345" t="s">
        <v>2427</v>
      </c>
      <c r="B345" t="s">
        <v>2427</v>
      </c>
      <c r="C345" t="s">
        <v>1080</v>
      </c>
      <c r="D345" t="s">
        <v>108</v>
      </c>
      <c r="E345">
        <v>1</v>
      </c>
      <c r="F345" t="s">
        <v>1081</v>
      </c>
      <c r="G345" t="s">
        <v>1082</v>
      </c>
      <c r="H345">
        <v>289</v>
      </c>
      <c r="I345">
        <v>289</v>
      </c>
      <c r="J345">
        <v>0</v>
      </c>
      <c r="K345">
        <v>0</v>
      </c>
      <c r="L345" t="s">
        <v>78</v>
      </c>
      <c r="M345" t="s">
        <v>78</v>
      </c>
      <c r="N345" t="s">
        <v>78</v>
      </c>
      <c r="O345">
        <v>0</v>
      </c>
      <c r="P345">
        <v>0</v>
      </c>
      <c r="Q345">
        <v>0</v>
      </c>
      <c r="R345" t="s">
        <v>125</v>
      </c>
      <c r="S345">
        <v>0</v>
      </c>
      <c r="T345" t="s">
        <v>80</v>
      </c>
      <c r="U345" t="s">
        <v>80</v>
      </c>
      <c r="V345" t="s">
        <v>152</v>
      </c>
      <c r="W345" t="s">
        <v>2268</v>
      </c>
      <c r="X345" t="s">
        <v>2414</v>
      </c>
      <c r="Y345" t="s">
        <v>503</v>
      </c>
      <c r="Z345" t="s">
        <v>80</v>
      </c>
      <c r="AA345" t="s">
        <v>85</v>
      </c>
      <c r="AC345" t="s">
        <v>2428</v>
      </c>
      <c r="AD345" t="s">
        <v>87</v>
      </c>
      <c r="AF345" t="s">
        <v>2429</v>
      </c>
      <c r="AG345" t="s">
        <v>2430</v>
      </c>
      <c r="AH345" t="s">
        <v>91</v>
      </c>
      <c r="AI345" t="s">
        <v>92</v>
      </c>
      <c r="AJ345" t="s">
        <v>93</v>
      </c>
      <c r="AK345" t="s">
        <v>2431</v>
      </c>
      <c r="AL345" t="s">
        <v>95</v>
      </c>
      <c r="AM345" t="s">
        <v>96</v>
      </c>
      <c r="AN345" t="s">
        <v>97</v>
      </c>
      <c r="AO345" t="s">
        <v>98</v>
      </c>
      <c r="AP345" t="s">
        <v>78</v>
      </c>
      <c r="AQ345" t="s">
        <v>78</v>
      </c>
      <c r="AS345" t="s">
        <v>78</v>
      </c>
      <c r="AT345" t="s">
        <v>100</v>
      </c>
      <c r="AU345" t="s">
        <v>100</v>
      </c>
      <c r="AW345" t="s">
        <v>85</v>
      </c>
      <c r="AX345" t="s">
        <v>101</v>
      </c>
      <c r="AY345" t="s">
        <v>102</v>
      </c>
      <c r="AZ345" t="s">
        <v>103</v>
      </c>
      <c r="BA345" t="s">
        <v>133</v>
      </c>
      <c r="BB345" t="s">
        <v>78</v>
      </c>
      <c r="BC345" t="s">
        <v>78</v>
      </c>
      <c r="BD345" t="s">
        <v>2432</v>
      </c>
      <c r="BE345">
        <v>0</v>
      </c>
      <c r="BF345">
        <v>0</v>
      </c>
      <c r="BG345">
        <v>0</v>
      </c>
      <c r="BH345">
        <v>0</v>
      </c>
      <c r="BJ345" t="s">
        <v>85</v>
      </c>
      <c r="BP345" t="s">
        <v>78</v>
      </c>
      <c r="BQ345" t="s">
        <v>78</v>
      </c>
      <c r="BR345" t="s">
        <v>78</v>
      </c>
    </row>
    <row r="346" customFormat="1" spans="1:70">
      <c r="A346" t="s">
        <v>2433</v>
      </c>
      <c r="B346" t="s">
        <v>2433</v>
      </c>
      <c r="C346" t="s">
        <v>1080</v>
      </c>
      <c r="D346" t="s">
        <v>135</v>
      </c>
      <c r="E346">
        <v>1</v>
      </c>
      <c r="F346" t="s">
        <v>1081</v>
      </c>
      <c r="G346" t="s">
        <v>1639</v>
      </c>
      <c r="H346">
        <v>289</v>
      </c>
      <c r="I346">
        <v>289</v>
      </c>
      <c r="J346">
        <v>0</v>
      </c>
      <c r="K346">
        <v>0</v>
      </c>
      <c r="L346" t="s">
        <v>78</v>
      </c>
      <c r="M346" t="s">
        <v>78</v>
      </c>
      <c r="N346" t="s">
        <v>78</v>
      </c>
      <c r="O346">
        <v>0</v>
      </c>
      <c r="P346">
        <v>0</v>
      </c>
      <c r="Q346">
        <v>0</v>
      </c>
      <c r="R346" t="s">
        <v>125</v>
      </c>
      <c r="S346">
        <v>0</v>
      </c>
      <c r="T346" t="s">
        <v>80</v>
      </c>
      <c r="U346" t="s">
        <v>80</v>
      </c>
      <c r="V346" t="s">
        <v>161</v>
      </c>
      <c r="W346" t="s">
        <v>161</v>
      </c>
      <c r="X346" t="s">
        <v>162</v>
      </c>
      <c r="Y346" t="s">
        <v>2434</v>
      </c>
      <c r="Z346" t="s">
        <v>80</v>
      </c>
      <c r="AA346" t="s">
        <v>85</v>
      </c>
      <c r="AC346" t="s">
        <v>2435</v>
      </c>
      <c r="AD346" t="s">
        <v>87</v>
      </c>
      <c r="AG346" t="s">
        <v>2436</v>
      </c>
      <c r="AH346" t="s">
        <v>91</v>
      </c>
      <c r="AI346" t="s">
        <v>92</v>
      </c>
      <c r="AJ346" t="s">
        <v>131</v>
      </c>
      <c r="AK346" t="s">
        <v>2437</v>
      </c>
      <c r="AL346" t="s">
        <v>95</v>
      </c>
      <c r="AM346" t="s">
        <v>96</v>
      </c>
      <c r="AN346" t="s">
        <v>97</v>
      </c>
      <c r="AO346" t="s">
        <v>98</v>
      </c>
      <c r="AP346" t="s">
        <v>78</v>
      </c>
      <c r="AQ346" t="s">
        <v>99</v>
      </c>
      <c r="AS346" t="s">
        <v>78</v>
      </c>
      <c r="AT346" t="s">
        <v>100</v>
      </c>
      <c r="AU346" t="s">
        <v>100</v>
      </c>
      <c r="AW346" t="s">
        <v>85</v>
      </c>
      <c r="AX346" t="s">
        <v>101</v>
      </c>
      <c r="AY346" t="s">
        <v>102</v>
      </c>
      <c r="AZ346" t="s">
        <v>103</v>
      </c>
      <c r="BA346" t="s">
        <v>133</v>
      </c>
      <c r="BB346" t="s">
        <v>78</v>
      </c>
      <c r="BC346" t="s">
        <v>78</v>
      </c>
      <c r="BE346">
        <v>0</v>
      </c>
      <c r="BF346">
        <v>0</v>
      </c>
      <c r="BG346">
        <v>0</v>
      </c>
      <c r="BH346">
        <v>0</v>
      </c>
      <c r="BJ346" t="s">
        <v>85</v>
      </c>
      <c r="BP346" t="s">
        <v>78</v>
      </c>
      <c r="BQ346" t="s">
        <v>78</v>
      </c>
      <c r="BR346" t="s">
        <v>78</v>
      </c>
    </row>
    <row r="347" customFormat="1" spans="1:70">
      <c r="A347" t="s">
        <v>2438</v>
      </c>
      <c r="B347" t="s">
        <v>2438</v>
      </c>
      <c r="C347" t="s">
        <v>1068</v>
      </c>
      <c r="D347" t="s">
        <v>75</v>
      </c>
      <c r="E347">
        <v>1</v>
      </c>
      <c r="F347" t="s">
        <v>1069</v>
      </c>
      <c r="G347" t="s">
        <v>1070</v>
      </c>
      <c r="H347">
        <v>180</v>
      </c>
      <c r="I347">
        <v>180</v>
      </c>
      <c r="J347">
        <v>0</v>
      </c>
      <c r="K347">
        <v>0</v>
      </c>
      <c r="L347" t="s">
        <v>78</v>
      </c>
      <c r="M347" t="s">
        <v>78</v>
      </c>
      <c r="N347" t="s">
        <v>78</v>
      </c>
      <c r="O347">
        <v>0</v>
      </c>
      <c r="P347">
        <v>0</v>
      </c>
      <c r="Q347">
        <v>0</v>
      </c>
      <c r="R347" t="s">
        <v>79</v>
      </c>
      <c r="S347">
        <v>0</v>
      </c>
      <c r="T347" t="s">
        <v>80</v>
      </c>
      <c r="U347" t="s">
        <v>80</v>
      </c>
      <c r="V347" t="s">
        <v>239</v>
      </c>
      <c r="W347" t="s">
        <v>2439</v>
      </c>
      <c r="X347" t="s">
        <v>2440</v>
      </c>
      <c r="Y347" t="s">
        <v>2441</v>
      </c>
      <c r="Z347" t="s">
        <v>80</v>
      </c>
      <c r="AA347" t="s">
        <v>85</v>
      </c>
      <c r="AC347" t="s">
        <v>2442</v>
      </c>
      <c r="AD347" t="s">
        <v>202</v>
      </c>
      <c r="AE347" t="s">
        <v>2443</v>
      </c>
      <c r="AG347" t="s">
        <v>2444</v>
      </c>
      <c r="AH347" t="s">
        <v>91</v>
      </c>
      <c r="AI347" t="s">
        <v>92</v>
      </c>
      <c r="AJ347" t="s">
        <v>131</v>
      </c>
      <c r="AK347" t="s">
        <v>2445</v>
      </c>
      <c r="AL347" t="s">
        <v>95</v>
      </c>
      <c r="AM347" t="s">
        <v>96</v>
      </c>
      <c r="AN347" t="s">
        <v>97</v>
      </c>
      <c r="AO347" t="s">
        <v>98</v>
      </c>
      <c r="AP347" t="s">
        <v>78</v>
      </c>
      <c r="AQ347" t="s">
        <v>99</v>
      </c>
      <c r="AS347" t="s">
        <v>78</v>
      </c>
      <c r="AT347" t="s">
        <v>100</v>
      </c>
      <c r="AU347" t="s">
        <v>100</v>
      </c>
      <c r="AW347" t="s">
        <v>85</v>
      </c>
      <c r="AX347" t="s">
        <v>101</v>
      </c>
      <c r="AY347" t="s">
        <v>102</v>
      </c>
      <c r="AZ347" t="s">
        <v>103</v>
      </c>
      <c r="BA347" t="s">
        <v>102</v>
      </c>
      <c r="BB347" t="s">
        <v>78</v>
      </c>
      <c r="BC347" t="s">
        <v>78</v>
      </c>
      <c r="BD347" t="s">
        <v>2446</v>
      </c>
      <c r="BE347">
        <v>0</v>
      </c>
      <c r="BF347">
        <v>0</v>
      </c>
      <c r="BG347">
        <v>0</v>
      </c>
      <c r="BH347">
        <v>0</v>
      </c>
      <c r="BJ347" t="s">
        <v>85</v>
      </c>
      <c r="BP347" t="s">
        <v>78</v>
      </c>
      <c r="BQ347" t="s">
        <v>78</v>
      </c>
      <c r="BR347" t="s">
        <v>78</v>
      </c>
    </row>
    <row r="348" customFormat="1" spans="1:70">
      <c r="A348" t="s">
        <v>2447</v>
      </c>
      <c r="B348" t="s">
        <v>2447</v>
      </c>
      <c r="C348" t="s">
        <v>1080</v>
      </c>
      <c r="D348" t="s">
        <v>123</v>
      </c>
      <c r="E348">
        <v>1</v>
      </c>
      <c r="F348" t="s">
        <v>1081</v>
      </c>
      <c r="G348" t="s">
        <v>1626</v>
      </c>
      <c r="H348">
        <v>289</v>
      </c>
      <c r="I348">
        <v>289</v>
      </c>
      <c r="J348">
        <v>0</v>
      </c>
      <c r="K348">
        <v>0</v>
      </c>
      <c r="L348" t="s">
        <v>78</v>
      </c>
      <c r="M348" t="s">
        <v>78</v>
      </c>
      <c r="N348" t="s">
        <v>78</v>
      </c>
      <c r="O348">
        <v>0</v>
      </c>
      <c r="P348">
        <v>0</v>
      </c>
      <c r="Q348">
        <v>0</v>
      </c>
      <c r="R348" t="s">
        <v>79</v>
      </c>
      <c r="S348">
        <v>0</v>
      </c>
      <c r="T348" t="s">
        <v>80</v>
      </c>
      <c r="U348" t="s">
        <v>80</v>
      </c>
      <c r="V348" t="s">
        <v>239</v>
      </c>
      <c r="W348" t="s">
        <v>2439</v>
      </c>
      <c r="X348" t="s">
        <v>2440</v>
      </c>
      <c r="Y348" t="s">
        <v>2441</v>
      </c>
      <c r="Z348" t="s">
        <v>80</v>
      </c>
      <c r="AA348" t="s">
        <v>85</v>
      </c>
      <c r="AC348" t="s">
        <v>2448</v>
      </c>
      <c r="AD348" t="s">
        <v>87</v>
      </c>
      <c r="AF348" t="s">
        <v>2449</v>
      </c>
      <c r="AG348" t="s">
        <v>2450</v>
      </c>
      <c r="AH348" t="s">
        <v>91</v>
      </c>
      <c r="AI348" t="s">
        <v>92</v>
      </c>
      <c r="AJ348" t="s">
        <v>93</v>
      </c>
      <c r="AK348" t="s">
        <v>2451</v>
      </c>
      <c r="AL348" t="s">
        <v>95</v>
      </c>
      <c r="AM348" t="s">
        <v>96</v>
      </c>
      <c r="AN348" t="s">
        <v>97</v>
      </c>
      <c r="AO348" t="s">
        <v>98</v>
      </c>
      <c r="AP348" t="s">
        <v>78</v>
      </c>
      <c r="AQ348" t="s">
        <v>78</v>
      </c>
      <c r="AS348" t="s">
        <v>78</v>
      </c>
      <c r="AT348" t="s">
        <v>100</v>
      </c>
      <c r="AU348" t="s">
        <v>100</v>
      </c>
      <c r="AW348" t="s">
        <v>85</v>
      </c>
      <c r="AX348" t="s">
        <v>101</v>
      </c>
      <c r="AY348" t="s">
        <v>102</v>
      </c>
      <c r="AZ348" t="s">
        <v>103</v>
      </c>
      <c r="BA348" t="s">
        <v>102</v>
      </c>
      <c r="BB348" t="s">
        <v>78</v>
      </c>
      <c r="BC348" t="s">
        <v>78</v>
      </c>
      <c r="BD348" t="s">
        <v>2452</v>
      </c>
      <c r="BE348">
        <v>0</v>
      </c>
      <c r="BF348">
        <v>0</v>
      </c>
      <c r="BG348">
        <v>0</v>
      </c>
      <c r="BH348">
        <v>0</v>
      </c>
      <c r="BJ348" t="s">
        <v>85</v>
      </c>
      <c r="BP348" t="s">
        <v>78</v>
      </c>
      <c r="BQ348" t="s">
        <v>78</v>
      </c>
      <c r="BR348" t="s">
        <v>78</v>
      </c>
    </row>
    <row r="349" customFormat="1" spans="1:70">
      <c r="A349" t="s">
        <v>2453</v>
      </c>
      <c r="B349" t="s">
        <v>2453</v>
      </c>
      <c r="C349" t="s">
        <v>1068</v>
      </c>
      <c r="D349" t="s">
        <v>247</v>
      </c>
      <c r="E349">
        <v>1</v>
      </c>
      <c r="F349" t="s">
        <v>1069</v>
      </c>
      <c r="G349" t="s">
        <v>1104</v>
      </c>
      <c r="H349">
        <v>180</v>
      </c>
      <c r="I349">
        <v>180</v>
      </c>
      <c r="J349">
        <v>0</v>
      </c>
      <c r="K349">
        <v>0</v>
      </c>
      <c r="L349" t="s">
        <v>78</v>
      </c>
      <c r="M349" t="s">
        <v>78</v>
      </c>
      <c r="N349" t="s">
        <v>78</v>
      </c>
      <c r="O349">
        <v>0</v>
      </c>
      <c r="P349">
        <v>0</v>
      </c>
      <c r="Q349">
        <v>0</v>
      </c>
      <c r="R349" t="s">
        <v>79</v>
      </c>
      <c r="S349">
        <v>0</v>
      </c>
      <c r="T349" t="s">
        <v>80</v>
      </c>
      <c r="U349" t="s">
        <v>80</v>
      </c>
      <c r="V349" t="s">
        <v>112</v>
      </c>
      <c r="W349" t="s">
        <v>1207</v>
      </c>
      <c r="X349" t="s">
        <v>1207</v>
      </c>
      <c r="Y349" t="s">
        <v>1208</v>
      </c>
      <c r="Z349" t="s">
        <v>80</v>
      </c>
      <c r="AA349" t="s">
        <v>85</v>
      </c>
      <c r="AC349" t="s">
        <v>2454</v>
      </c>
      <c r="AD349" t="s">
        <v>202</v>
      </c>
      <c r="AE349" t="s">
        <v>2455</v>
      </c>
      <c r="AG349" t="s">
        <v>2456</v>
      </c>
      <c r="AH349" t="s">
        <v>298</v>
      </c>
      <c r="AI349" t="s">
        <v>92</v>
      </c>
      <c r="AJ349" t="s">
        <v>131</v>
      </c>
      <c r="AK349" t="s">
        <v>2457</v>
      </c>
      <c r="AL349" t="s">
        <v>95</v>
      </c>
      <c r="AM349" t="s">
        <v>96</v>
      </c>
      <c r="AN349" t="s">
        <v>97</v>
      </c>
      <c r="AO349" t="s">
        <v>98</v>
      </c>
      <c r="AP349" t="s">
        <v>78</v>
      </c>
      <c r="AQ349" t="s">
        <v>99</v>
      </c>
      <c r="AS349" t="s">
        <v>78</v>
      </c>
      <c r="AT349" t="s">
        <v>100</v>
      </c>
      <c r="AU349" t="s">
        <v>100</v>
      </c>
      <c r="AW349" t="s">
        <v>85</v>
      </c>
      <c r="AX349" t="s">
        <v>101</v>
      </c>
      <c r="AY349" t="s">
        <v>102</v>
      </c>
      <c r="AZ349" t="s">
        <v>103</v>
      </c>
      <c r="BA349" t="s">
        <v>104</v>
      </c>
      <c r="BB349" t="s">
        <v>78</v>
      </c>
      <c r="BC349" t="s">
        <v>78</v>
      </c>
      <c r="BD349" t="s">
        <v>2458</v>
      </c>
      <c r="BE349">
        <v>0</v>
      </c>
      <c r="BF349">
        <v>0</v>
      </c>
      <c r="BG349">
        <v>0</v>
      </c>
      <c r="BH349">
        <v>0</v>
      </c>
      <c r="BJ349" t="s">
        <v>85</v>
      </c>
      <c r="BP349" t="s">
        <v>78</v>
      </c>
      <c r="BQ349" t="s">
        <v>78</v>
      </c>
      <c r="BR349" t="s">
        <v>78</v>
      </c>
    </row>
    <row r="350" customFormat="1" spans="1:70">
      <c r="A350" t="s">
        <v>2459</v>
      </c>
      <c r="B350" t="s">
        <v>2459</v>
      </c>
      <c r="C350" t="s">
        <v>1080</v>
      </c>
      <c r="D350" t="s">
        <v>108</v>
      </c>
      <c r="E350">
        <v>1</v>
      </c>
      <c r="F350" t="s">
        <v>1081</v>
      </c>
      <c r="G350" t="s">
        <v>1082</v>
      </c>
      <c r="H350">
        <v>289</v>
      </c>
      <c r="I350">
        <v>289</v>
      </c>
      <c r="J350">
        <v>0</v>
      </c>
      <c r="K350">
        <v>0</v>
      </c>
      <c r="L350" t="s">
        <v>78</v>
      </c>
      <c r="M350" t="s">
        <v>78</v>
      </c>
      <c r="N350" t="s">
        <v>78</v>
      </c>
      <c r="O350">
        <v>0</v>
      </c>
      <c r="P350">
        <v>0</v>
      </c>
      <c r="Q350">
        <v>0</v>
      </c>
      <c r="R350" t="s">
        <v>111</v>
      </c>
      <c r="S350">
        <v>0</v>
      </c>
      <c r="T350" t="s">
        <v>80</v>
      </c>
      <c r="U350" t="s">
        <v>80</v>
      </c>
      <c r="V350" t="s">
        <v>152</v>
      </c>
      <c r="W350" t="s">
        <v>2460</v>
      </c>
      <c r="X350" t="s">
        <v>2461</v>
      </c>
      <c r="Y350" t="s">
        <v>2462</v>
      </c>
      <c r="Z350" t="s">
        <v>80</v>
      </c>
      <c r="AA350" t="s">
        <v>85</v>
      </c>
      <c r="AC350" t="s">
        <v>2463</v>
      </c>
      <c r="AD350" t="s">
        <v>87</v>
      </c>
      <c r="AH350" t="s">
        <v>401</v>
      </c>
      <c r="AI350" t="s">
        <v>92</v>
      </c>
      <c r="AJ350" t="s">
        <v>131</v>
      </c>
      <c r="AK350" t="s">
        <v>2464</v>
      </c>
      <c r="AL350" t="s">
        <v>95</v>
      </c>
      <c r="AM350" t="s">
        <v>96</v>
      </c>
      <c r="AN350" t="s">
        <v>97</v>
      </c>
      <c r="AO350" t="s">
        <v>98</v>
      </c>
      <c r="AP350" t="s">
        <v>78</v>
      </c>
      <c r="AQ350" t="s">
        <v>78</v>
      </c>
      <c r="AR350" t="s">
        <v>353</v>
      </c>
      <c r="AS350" t="s">
        <v>78</v>
      </c>
      <c r="AT350" t="s">
        <v>100</v>
      </c>
      <c r="AU350" t="s">
        <v>100</v>
      </c>
      <c r="AW350" t="s">
        <v>85</v>
      </c>
      <c r="AX350" t="s">
        <v>103</v>
      </c>
      <c r="AY350" t="s">
        <v>159</v>
      </c>
      <c r="AZ350" t="s">
        <v>103</v>
      </c>
      <c r="BA350" t="s">
        <v>102</v>
      </c>
      <c r="BB350" t="s">
        <v>78</v>
      </c>
      <c r="BC350" t="s">
        <v>78</v>
      </c>
      <c r="BE350">
        <v>0</v>
      </c>
      <c r="BF350">
        <v>0</v>
      </c>
      <c r="BG350">
        <v>0</v>
      </c>
      <c r="BH350">
        <v>0</v>
      </c>
      <c r="BJ350" t="s">
        <v>85</v>
      </c>
      <c r="BP350" t="s">
        <v>78</v>
      </c>
      <c r="BQ350" t="s">
        <v>78</v>
      </c>
      <c r="BR350" t="s">
        <v>78</v>
      </c>
    </row>
    <row r="351" customFormat="1" spans="1:70">
      <c r="A351" t="s">
        <v>2465</v>
      </c>
      <c r="B351" t="s">
        <v>2465</v>
      </c>
      <c r="C351" t="s">
        <v>1050</v>
      </c>
      <c r="D351" t="s">
        <v>1377</v>
      </c>
      <c r="E351">
        <v>1</v>
      </c>
      <c r="F351" t="s">
        <v>1052</v>
      </c>
      <c r="G351" t="s">
        <v>1378</v>
      </c>
      <c r="H351">
        <v>129</v>
      </c>
      <c r="I351">
        <v>114</v>
      </c>
      <c r="J351">
        <v>0</v>
      </c>
      <c r="K351">
        <v>17</v>
      </c>
      <c r="L351" t="s">
        <v>2466</v>
      </c>
      <c r="M351" t="s">
        <v>78</v>
      </c>
      <c r="N351" t="s">
        <v>78</v>
      </c>
      <c r="O351">
        <v>0</v>
      </c>
      <c r="P351">
        <v>2</v>
      </c>
      <c r="Q351">
        <v>0</v>
      </c>
      <c r="R351" t="s">
        <v>79</v>
      </c>
      <c r="S351">
        <v>0</v>
      </c>
      <c r="T351" t="s">
        <v>80</v>
      </c>
      <c r="U351" t="s">
        <v>80</v>
      </c>
      <c r="V351" t="s">
        <v>161</v>
      </c>
      <c r="W351" t="s">
        <v>161</v>
      </c>
      <c r="X351" t="s">
        <v>1899</v>
      </c>
      <c r="Y351" t="s">
        <v>2467</v>
      </c>
      <c r="Z351" t="s">
        <v>80</v>
      </c>
      <c r="AA351" t="s">
        <v>85</v>
      </c>
      <c r="AC351" t="s">
        <v>2468</v>
      </c>
      <c r="AD351" t="s">
        <v>87</v>
      </c>
      <c r="AF351" t="s">
        <v>2469</v>
      </c>
      <c r="AG351" t="s">
        <v>2470</v>
      </c>
      <c r="AH351" t="s">
        <v>91</v>
      </c>
      <c r="AI351" t="s">
        <v>92</v>
      </c>
      <c r="AJ351" t="s">
        <v>93</v>
      </c>
      <c r="AK351" t="s">
        <v>2471</v>
      </c>
      <c r="AL351" t="s">
        <v>95</v>
      </c>
      <c r="AM351" t="s">
        <v>96</v>
      </c>
      <c r="AN351" t="s">
        <v>97</v>
      </c>
      <c r="AO351" t="s">
        <v>98</v>
      </c>
      <c r="AP351" t="s">
        <v>78</v>
      </c>
      <c r="AQ351" t="s">
        <v>78</v>
      </c>
      <c r="AS351" t="s">
        <v>78</v>
      </c>
      <c r="AT351" t="s">
        <v>100</v>
      </c>
      <c r="AU351" t="s">
        <v>100</v>
      </c>
      <c r="AW351" t="s">
        <v>85</v>
      </c>
      <c r="AX351" t="s">
        <v>103</v>
      </c>
      <c r="AY351" t="s">
        <v>159</v>
      </c>
      <c r="AZ351" t="s">
        <v>103</v>
      </c>
      <c r="BA351" t="s">
        <v>104</v>
      </c>
      <c r="BB351" t="s">
        <v>78</v>
      </c>
      <c r="BC351" t="s">
        <v>78</v>
      </c>
      <c r="BD351" t="s">
        <v>2472</v>
      </c>
      <c r="BE351">
        <v>0</v>
      </c>
      <c r="BF351">
        <v>15</v>
      </c>
      <c r="BG351">
        <v>0</v>
      </c>
      <c r="BH351">
        <v>0</v>
      </c>
      <c r="BJ351" t="s">
        <v>85</v>
      </c>
      <c r="BP351" t="s">
        <v>78</v>
      </c>
      <c r="BQ351" t="s">
        <v>78</v>
      </c>
      <c r="BR351" t="s">
        <v>78</v>
      </c>
    </row>
    <row r="352" customFormat="1" spans="1:70">
      <c r="A352" t="s">
        <v>2473</v>
      </c>
      <c r="B352" t="s">
        <v>2473</v>
      </c>
      <c r="C352" t="s">
        <v>1080</v>
      </c>
      <c r="D352" t="s">
        <v>108</v>
      </c>
      <c r="E352">
        <v>1</v>
      </c>
      <c r="F352" t="s">
        <v>1081</v>
      </c>
      <c r="G352" t="s">
        <v>1082</v>
      </c>
      <c r="H352">
        <v>289</v>
      </c>
      <c r="I352">
        <v>289</v>
      </c>
      <c r="J352">
        <v>0</v>
      </c>
      <c r="K352">
        <v>0</v>
      </c>
      <c r="L352" t="s">
        <v>78</v>
      </c>
      <c r="M352" t="s">
        <v>78</v>
      </c>
      <c r="N352" t="s">
        <v>78</v>
      </c>
      <c r="O352">
        <v>0</v>
      </c>
      <c r="P352">
        <v>0</v>
      </c>
      <c r="Q352">
        <v>0</v>
      </c>
      <c r="R352" t="s">
        <v>111</v>
      </c>
      <c r="S352">
        <v>0</v>
      </c>
      <c r="T352" t="s">
        <v>80</v>
      </c>
      <c r="U352" t="s">
        <v>80</v>
      </c>
      <c r="V352" t="s">
        <v>152</v>
      </c>
      <c r="W352" t="s">
        <v>2460</v>
      </c>
      <c r="X352" t="s">
        <v>2461</v>
      </c>
      <c r="Y352" t="s">
        <v>2462</v>
      </c>
      <c r="Z352" t="s">
        <v>80</v>
      </c>
      <c r="AA352" t="s">
        <v>85</v>
      </c>
      <c r="AC352" t="s">
        <v>2474</v>
      </c>
      <c r="AD352" t="s">
        <v>87</v>
      </c>
      <c r="AH352" t="s">
        <v>401</v>
      </c>
      <c r="AI352" t="s">
        <v>92</v>
      </c>
      <c r="AJ352" t="s">
        <v>131</v>
      </c>
      <c r="AK352" t="s">
        <v>2475</v>
      </c>
      <c r="AL352" t="s">
        <v>95</v>
      </c>
      <c r="AM352" t="s">
        <v>96</v>
      </c>
      <c r="AN352" t="s">
        <v>97</v>
      </c>
      <c r="AO352" t="s">
        <v>98</v>
      </c>
      <c r="AP352" t="s">
        <v>78</v>
      </c>
      <c r="AQ352" t="s">
        <v>78</v>
      </c>
      <c r="AR352" t="s">
        <v>353</v>
      </c>
      <c r="AS352" t="s">
        <v>78</v>
      </c>
      <c r="AT352" t="s">
        <v>100</v>
      </c>
      <c r="AU352" t="s">
        <v>100</v>
      </c>
      <c r="AW352" t="s">
        <v>85</v>
      </c>
      <c r="AX352" t="s">
        <v>103</v>
      </c>
      <c r="AY352" t="s">
        <v>159</v>
      </c>
      <c r="AZ352" t="s">
        <v>103</v>
      </c>
      <c r="BA352" t="s">
        <v>102</v>
      </c>
      <c r="BB352" t="s">
        <v>78</v>
      </c>
      <c r="BC352" t="s">
        <v>78</v>
      </c>
      <c r="BE352">
        <v>0</v>
      </c>
      <c r="BF352">
        <v>0</v>
      </c>
      <c r="BG352">
        <v>0</v>
      </c>
      <c r="BH352">
        <v>0</v>
      </c>
      <c r="BJ352" t="s">
        <v>85</v>
      </c>
      <c r="BP352" t="s">
        <v>78</v>
      </c>
      <c r="BQ352" t="s">
        <v>78</v>
      </c>
      <c r="BR352" t="s">
        <v>78</v>
      </c>
    </row>
    <row r="353" customFormat="1" spans="1:70">
      <c r="A353" t="s">
        <v>2476</v>
      </c>
      <c r="B353" t="s">
        <v>2476</v>
      </c>
      <c r="C353" t="s">
        <v>1068</v>
      </c>
      <c r="D353" t="s">
        <v>247</v>
      </c>
      <c r="E353">
        <v>1</v>
      </c>
      <c r="F353" t="s">
        <v>1069</v>
      </c>
      <c r="G353" t="s">
        <v>1104</v>
      </c>
      <c r="H353">
        <v>180</v>
      </c>
      <c r="I353">
        <v>175</v>
      </c>
      <c r="J353">
        <v>0</v>
      </c>
      <c r="K353">
        <v>5</v>
      </c>
      <c r="L353" t="s">
        <v>2477</v>
      </c>
      <c r="M353" t="s">
        <v>78</v>
      </c>
      <c r="N353" t="s">
        <v>78</v>
      </c>
      <c r="O353">
        <v>0</v>
      </c>
      <c r="P353">
        <v>0</v>
      </c>
      <c r="Q353">
        <v>0</v>
      </c>
      <c r="R353" t="s">
        <v>79</v>
      </c>
      <c r="S353">
        <v>0</v>
      </c>
      <c r="T353" t="s">
        <v>80</v>
      </c>
      <c r="U353" t="s">
        <v>80</v>
      </c>
      <c r="V353" t="s">
        <v>112</v>
      </c>
      <c r="W353" t="s">
        <v>1207</v>
      </c>
      <c r="X353" t="s">
        <v>1207</v>
      </c>
      <c r="Y353" t="s">
        <v>1208</v>
      </c>
      <c r="Z353" t="s">
        <v>80</v>
      </c>
      <c r="AA353" t="s">
        <v>85</v>
      </c>
      <c r="AC353" t="s">
        <v>2478</v>
      </c>
      <c r="AD353" t="s">
        <v>87</v>
      </c>
      <c r="AG353" t="s">
        <v>2479</v>
      </c>
      <c r="AH353" t="s">
        <v>298</v>
      </c>
      <c r="AI353" t="s">
        <v>92</v>
      </c>
      <c r="AJ353" t="s">
        <v>131</v>
      </c>
      <c r="AK353" t="s">
        <v>2480</v>
      </c>
      <c r="AL353" t="s">
        <v>95</v>
      </c>
      <c r="AM353" t="s">
        <v>96</v>
      </c>
      <c r="AN353" t="s">
        <v>97</v>
      </c>
      <c r="AO353" t="s">
        <v>98</v>
      </c>
      <c r="AP353" t="s">
        <v>78</v>
      </c>
      <c r="AQ353" t="s">
        <v>99</v>
      </c>
      <c r="AS353" t="s">
        <v>78</v>
      </c>
      <c r="AT353" t="s">
        <v>100</v>
      </c>
      <c r="AU353" t="s">
        <v>100</v>
      </c>
      <c r="AW353" t="s">
        <v>85</v>
      </c>
      <c r="AX353" t="s">
        <v>101</v>
      </c>
      <c r="AY353" t="s">
        <v>102</v>
      </c>
      <c r="AZ353" t="s">
        <v>103</v>
      </c>
      <c r="BA353" t="s">
        <v>104</v>
      </c>
      <c r="BB353" t="s">
        <v>78</v>
      </c>
      <c r="BC353" t="s">
        <v>78</v>
      </c>
      <c r="BE353">
        <v>0</v>
      </c>
      <c r="BF353">
        <v>5</v>
      </c>
      <c r="BG353">
        <v>0</v>
      </c>
      <c r="BH353">
        <v>0</v>
      </c>
      <c r="BJ353" t="s">
        <v>85</v>
      </c>
      <c r="BP353" t="s">
        <v>78</v>
      </c>
      <c r="BQ353" t="s">
        <v>78</v>
      </c>
      <c r="BR353" t="s">
        <v>78</v>
      </c>
    </row>
    <row r="354" customFormat="1" spans="1:70">
      <c r="A354" t="s">
        <v>2481</v>
      </c>
      <c r="B354" t="s">
        <v>2481</v>
      </c>
      <c r="C354" t="s">
        <v>1068</v>
      </c>
      <c r="D354" t="s">
        <v>230</v>
      </c>
      <c r="E354">
        <v>1</v>
      </c>
      <c r="F354" t="s">
        <v>1069</v>
      </c>
      <c r="G354" t="s">
        <v>2219</v>
      </c>
      <c r="H354">
        <v>180</v>
      </c>
      <c r="I354">
        <v>180</v>
      </c>
      <c r="J354">
        <v>0</v>
      </c>
      <c r="K354">
        <v>0</v>
      </c>
      <c r="L354" t="s">
        <v>78</v>
      </c>
      <c r="M354" t="s">
        <v>78</v>
      </c>
      <c r="N354" t="s">
        <v>78</v>
      </c>
      <c r="O354">
        <v>0</v>
      </c>
      <c r="P354">
        <v>0</v>
      </c>
      <c r="Q354">
        <v>0</v>
      </c>
      <c r="R354" t="s">
        <v>79</v>
      </c>
      <c r="S354">
        <v>0</v>
      </c>
      <c r="T354" t="s">
        <v>80</v>
      </c>
      <c r="U354" t="s">
        <v>80</v>
      </c>
      <c r="V354" t="s">
        <v>1261</v>
      </c>
      <c r="W354" t="s">
        <v>2482</v>
      </c>
      <c r="X354" t="s">
        <v>2483</v>
      </c>
      <c r="Y354" t="s">
        <v>2484</v>
      </c>
      <c r="Z354" t="s">
        <v>80</v>
      </c>
      <c r="AA354" t="s">
        <v>85</v>
      </c>
      <c r="AC354" t="s">
        <v>2485</v>
      </c>
      <c r="AD354" t="s">
        <v>87</v>
      </c>
      <c r="AF354" t="s">
        <v>2486</v>
      </c>
      <c r="AG354" t="s">
        <v>2487</v>
      </c>
      <c r="AH354" t="s">
        <v>91</v>
      </c>
      <c r="AI354" t="s">
        <v>92</v>
      </c>
      <c r="AJ354" t="s">
        <v>93</v>
      </c>
      <c r="AK354" t="s">
        <v>2488</v>
      </c>
      <c r="AL354" t="s">
        <v>95</v>
      </c>
      <c r="AM354" t="s">
        <v>96</v>
      </c>
      <c r="AN354" t="s">
        <v>97</v>
      </c>
      <c r="AO354" t="s">
        <v>98</v>
      </c>
      <c r="AP354" t="s">
        <v>78</v>
      </c>
      <c r="AQ354" t="s">
        <v>78</v>
      </c>
      <c r="AS354" t="s">
        <v>78</v>
      </c>
      <c r="AT354" t="s">
        <v>100</v>
      </c>
      <c r="AU354" t="s">
        <v>100</v>
      </c>
      <c r="AW354" t="s">
        <v>85</v>
      </c>
      <c r="AX354" t="s">
        <v>103</v>
      </c>
      <c r="AY354" t="s">
        <v>159</v>
      </c>
      <c r="AZ354" t="s">
        <v>103</v>
      </c>
      <c r="BA354" t="s">
        <v>104</v>
      </c>
      <c r="BB354" t="s">
        <v>78</v>
      </c>
      <c r="BC354" t="s">
        <v>78</v>
      </c>
      <c r="BD354" t="s">
        <v>2489</v>
      </c>
      <c r="BE354">
        <v>0</v>
      </c>
      <c r="BF354">
        <v>0</v>
      </c>
      <c r="BG354">
        <v>0</v>
      </c>
      <c r="BH354">
        <v>0</v>
      </c>
      <c r="BJ354" t="s">
        <v>85</v>
      </c>
      <c r="BP354" t="s">
        <v>78</v>
      </c>
      <c r="BQ354" t="s">
        <v>78</v>
      </c>
      <c r="BR354" t="s">
        <v>78</v>
      </c>
    </row>
    <row r="355" customFormat="1" spans="1:70">
      <c r="A355" t="s">
        <v>2490</v>
      </c>
      <c r="B355" t="s">
        <v>2490</v>
      </c>
      <c r="C355" t="s">
        <v>1068</v>
      </c>
      <c r="D355" t="s">
        <v>247</v>
      </c>
      <c r="E355">
        <v>1</v>
      </c>
      <c r="F355" t="s">
        <v>1069</v>
      </c>
      <c r="G355" t="s">
        <v>1104</v>
      </c>
      <c r="H355">
        <v>180</v>
      </c>
      <c r="I355">
        <v>180</v>
      </c>
      <c r="J355">
        <v>0</v>
      </c>
      <c r="K355">
        <v>0</v>
      </c>
      <c r="L355" t="s">
        <v>78</v>
      </c>
      <c r="M355" t="s">
        <v>78</v>
      </c>
      <c r="N355" t="s">
        <v>78</v>
      </c>
      <c r="O355">
        <v>0</v>
      </c>
      <c r="P355">
        <v>0</v>
      </c>
      <c r="Q355">
        <v>0</v>
      </c>
      <c r="R355" t="s">
        <v>79</v>
      </c>
      <c r="S355">
        <v>0</v>
      </c>
      <c r="T355" t="s">
        <v>80</v>
      </c>
      <c r="U355" t="s">
        <v>80</v>
      </c>
      <c r="V355" t="s">
        <v>509</v>
      </c>
      <c r="W355" t="s">
        <v>2491</v>
      </c>
      <c r="X355" t="s">
        <v>2492</v>
      </c>
      <c r="Y355" t="s">
        <v>2493</v>
      </c>
      <c r="Z355" t="s">
        <v>80</v>
      </c>
      <c r="AA355" t="s">
        <v>85</v>
      </c>
      <c r="AC355" t="s">
        <v>2494</v>
      </c>
      <c r="AD355" t="s">
        <v>87</v>
      </c>
      <c r="AF355" t="s">
        <v>2495</v>
      </c>
      <c r="AG355" t="s">
        <v>2496</v>
      </c>
      <c r="AH355" t="s">
        <v>91</v>
      </c>
      <c r="AI355" t="s">
        <v>92</v>
      </c>
      <c r="AJ355" t="s">
        <v>93</v>
      </c>
      <c r="AK355" t="s">
        <v>2497</v>
      </c>
      <c r="AL355" t="s">
        <v>95</v>
      </c>
      <c r="AM355" t="s">
        <v>96</v>
      </c>
      <c r="AN355" t="s">
        <v>97</v>
      </c>
      <c r="AO355" t="s">
        <v>98</v>
      </c>
      <c r="AP355" t="s">
        <v>78</v>
      </c>
      <c r="AQ355" t="s">
        <v>78</v>
      </c>
      <c r="AS355" t="s">
        <v>78</v>
      </c>
      <c r="AT355" t="s">
        <v>100</v>
      </c>
      <c r="AU355" t="s">
        <v>100</v>
      </c>
      <c r="AW355" t="s">
        <v>85</v>
      </c>
      <c r="AX355" t="s">
        <v>103</v>
      </c>
      <c r="AY355" t="s">
        <v>159</v>
      </c>
      <c r="AZ355" t="s">
        <v>103</v>
      </c>
      <c r="BA355" t="s">
        <v>120</v>
      </c>
      <c r="BB355" t="s">
        <v>78</v>
      </c>
      <c r="BC355" t="s">
        <v>78</v>
      </c>
      <c r="BD355" t="s">
        <v>2498</v>
      </c>
      <c r="BE355">
        <v>0</v>
      </c>
      <c r="BF355">
        <v>0</v>
      </c>
      <c r="BG355">
        <v>0</v>
      </c>
      <c r="BH355">
        <v>0</v>
      </c>
      <c r="BJ355" t="s">
        <v>85</v>
      </c>
      <c r="BP355" t="s">
        <v>78</v>
      </c>
      <c r="BQ355" t="s">
        <v>78</v>
      </c>
      <c r="BR355" t="s">
        <v>78</v>
      </c>
    </row>
    <row r="356" customFormat="1" spans="1:70">
      <c r="A356" t="s">
        <v>2499</v>
      </c>
      <c r="B356" t="s">
        <v>2499</v>
      </c>
      <c r="C356" t="s">
        <v>1080</v>
      </c>
      <c r="D356" t="s">
        <v>108</v>
      </c>
      <c r="E356">
        <v>1</v>
      </c>
      <c r="F356" t="s">
        <v>1081</v>
      </c>
      <c r="G356" t="s">
        <v>1082</v>
      </c>
      <c r="H356">
        <v>289</v>
      </c>
      <c r="I356">
        <v>289</v>
      </c>
      <c r="J356">
        <v>0</v>
      </c>
      <c r="K356">
        <v>0</v>
      </c>
      <c r="L356" t="s">
        <v>78</v>
      </c>
      <c r="M356" t="s">
        <v>78</v>
      </c>
      <c r="N356" t="s">
        <v>78</v>
      </c>
      <c r="O356">
        <v>0</v>
      </c>
      <c r="P356">
        <v>0</v>
      </c>
      <c r="Q356">
        <v>0</v>
      </c>
      <c r="R356" t="s">
        <v>79</v>
      </c>
      <c r="S356">
        <v>0</v>
      </c>
      <c r="T356" t="s">
        <v>80</v>
      </c>
      <c r="U356" t="s">
        <v>80</v>
      </c>
      <c r="V356" t="s">
        <v>509</v>
      </c>
      <c r="W356" t="s">
        <v>2491</v>
      </c>
      <c r="X356" t="s">
        <v>2492</v>
      </c>
      <c r="Y356" t="s">
        <v>2493</v>
      </c>
      <c r="Z356" t="s">
        <v>80</v>
      </c>
      <c r="AA356" t="s">
        <v>85</v>
      </c>
      <c r="AC356" t="s">
        <v>2500</v>
      </c>
      <c r="AD356" t="s">
        <v>87</v>
      </c>
      <c r="AF356" t="s">
        <v>2501</v>
      </c>
      <c r="AG356" t="s">
        <v>2502</v>
      </c>
      <c r="AH356" t="s">
        <v>91</v>
      </c>
      <c r="AI356" t="s">
        <v>92</v>
      </c>
      <c r="AJ356" t="s">
        <v>93</v>
      </c>
      <c r="AK356" t="s">
        <v>2503</v>
      </c>
      <c r="AL356" t="s">
        <v>95</v>
      </c>
      <c r="AM356" t="s">
        <v>96</v>
      </c>
      <c r="AN356" t="s">
        <v>97</v>
      </c>
      <c r="AO356" t="s">
        <v>98</v>
      </c>
      <c r="AP356" t="s">
        <v>78</v>
      </c>
      <c r="AQ356" t="s">
        <v>78</v>
      </c>
      <c r="AS356" t="s">
        <v>78</v>
      </c>
      <c r="AT356" t="s">
        <v>100</v>
      </c>
      <c r="AU356" t="s">
        <v>100</v>
      </c>
      <c r="AW356" t="s">
        <v>85</v>
      </c>
      <c r="AX356" t="s">
        <v>103</v>
      </c>
      <c r="AY356" t="s">
        <v>159</v>
      </c>
      <c r="AZ356" t="s">
        <v>103</v>
      </c>
      <c r="BA356" t="s">
        <v>120</v>
      </c>
      <c r="BB356" t="s">
        <v>78</v>
      </c>
      <c r="BC356" t="s">
        <v>78</v>
      </c>
      <c r="BD356" t="s">
        <v>2504</v>
      </c>
      <c r="BE356">
        <v>0</v>
      </c>
      <c r="BF356">
        <v>0</v>
      </c>
      <c r="BG356">
        <v>0</v>
      </c>
      <c r="BH356">
        <v>0</v>
      </c>
      <c r="BJ356" t="s">
        <v>85</v>
      </c>
      <c r="BP356" t="s">
        <v>78</v>
      </c>
      <c r="BQ356" t="s">
        <v>78</v>
      </c>
      <c r="BR356" t="s">
        <v>78</v>
      </c>
    </row>
    <row r="357" customFormat="1" spans="1:70">
      <c r="A357" t="s">
        <v>2505</v>
      </c>
      <c r="B357" t="s">
        <v>2505</v>
      </c>
      <c r="C357" t="s">
        <v>1080</v>
      </c>
      <c r="D357" t="s">
        <v>108</v>
      </c>
      <c r="E357">
        <v>1</v>
      </c>
      <c r="F357" t="s">
        <v>1081</v>
      </c>
      <c r="G357" t="s">
        <v>1082</v>
      </c>
      <c r="H357">
        <v>289</v>
      </c>
      <c r="I357">
        <v>289</v>
      </c>
      <c r="J357">
        <v>0</v>
      </c>
      <c r="K357">
        <v>0</v>
      </c>
      <c r="L357" t="s">
        <v>78</v>
      </c>
      <c r="M357" t="s">
        <v>78</v>
      </c>
      <c r="N357" t="s">
        <v>78</v>
      </c>
      <c r="O357">
        <v>0</v>
      </c>
      <c r="P357">
        <v>0</v>
      </c>
      <c r="Q357">
        <v>0</v>
      </c>
      <c r="R357" t="s">
        <v>125</v>
      </c>
      <c r="S357">
        <v>0</v>
      </c>
      <c r="T357" t="s">
        <v>80</v>
      </c>
      <c r="U357" t="s">
        <v>80</v>
      </c>
      <c r="V357" t="s">
        <v>464</v>
      </c>
      <c r="W357" t="s">
        <v>637</v>
      </c>
      <c r="X357" t="s">
        <v>2506</v>
      </c>
      <c r="Y357" t="s">
        <v>78</v>
      </c>
      <c r="Z357" t="s">
        <v>80</v>
      </c>
      <c r="AA357" t="s">
        <v>85</v>
      </c>
      <c r="AC357" t="s">
        <v>2507</v>
      </c>
      <c r="AD357" t="s">
        <v>87</v>
      </c>
      <c r="AG357" t="s">
        <v>2508</v>
      </c>
      <c r="AH357" t="s">
        <v>91</v>
      </c>
      <c r="AI357" t="s">
        <v>92</v>
      </c>
      <c r="AJ357" t="s">
        <v>131</v>
      </c>
      <c r="AK357" t="s">
        <v>2509</v>
      </c>
      <c r="AL357" t="s">
        <v>95</v>
      </c>
      <c r="AM357" t="s">
        <v>96</v>
      </c>
      <c r="AN357" t="s">
        <v>97</v>
      </c>
      <c r="AO357" t="s">
        <v>98</v>
      </c>
      <c r="AP357" t="s">
        <v>78</v>
      </c>
      <c r="AQ357" t="s">
        <v>99</v>
      </c>
      <c r="AS357" t="s">
        <v>78</v>
      </c>
      <c r="AT357" t="s">
        <v>100</v>
      </c>
      <c r="AU357" t="s">
        <v>100</v>
      </c>
      <c r="AW357" t="s">
        <v>85</v>
      </c>
      <c r="AX357" t="s">
        <v>101</v>
      </c>
      <c r="AY357" t="s">
        <v>102</v>
      </c>
      <c r="AZ357" t="s">
        <v>103</v>
      </c>
      <c r="BA357" t="s">
        <v>104</v>
      </c>
      <c r="BB357" t="s">
        <v>78</v>
      </c>
      <c r="BC357" t="s">
        <v>78</v>
      </c>
      <c r="BE357">
        <v>0</v>
      </c>
      <c r="BF357">
        <v>0</v>
      </c>
      <c r="BG357">
        <v>0</v>
      </c>
      <c r="BH357">
        <v>0</v>
      </c>
      <c r="BJ357" t="s">
        <v>85</v>
      </c>
      <c r="BP357" t="s">
        <v>78</v>
      </c>
      <c r="BQ357" t="s">
        <v>78</v>
      </c>
      <c r="BR357" t="s">
        <v>78</v>
      </c>
    </row>
    <row r="358" customFormat="1" spans="1:70">
      <c r="A358" t="s">
        <v>2510</v>
      </c>
      <c r="B358" t="s">
        <v>2510</v>
      </c>
      <c r="C358" t="s">
        <v>1068</v>
      </c>
      <c r="D358" t="s">
        <v>247</v>
      </c>
      <c r="E358">
        <v>1</v>
      </c>
      <c r="F358" t="s">
        <v>1069</v>
      </c>
      <c r="G358" t="s">
        <v>1104</v>
      </c>
      <c r="H358">
        <v>180</v>
      </c>
      <c r="I358">
        <v>180</v>
      </c>
      <c r="J358">
        <v>0</v>
      </c>
      <c r="K358">
        <v>0</v>
      </c>
      <c r="L358" t="s">
        <v>78</v>
      </c>
      <c r="M358" t="s">
        <v>78</v>
      </c>
      <c r="N358" t="s">
        <v>78</v>
      </c>
      <c r="O358">
        <v>0</v>
      </c>
      <c r="P358">
        <v>0</v>
      </c>
      <c r="Q358">
        <v>0</v>
      </c>
      <c r="R358" t="s">
        <v>79</v>
      </c>
      <c r="S358">
        <v>0</v>
      </c>
      <c r="T358" t="s">
        <v>80</v>
      </c>
      <c r="U358" t="s">
        <v>80</v>
      </c>
      <c r="V358" t="s">
        <v>1261</v>
      </c>
      <c r="W358" t="s">
        <v>2482</v>
      </c>
      <c r="X358" t="s">
        <v>2483</v>
      </c>
      <c r="Y358" t="s">
        <v>2484</v>
      </c>
      <c r="Z358" t="s">
        <v>80</v>
      </c>
      <c r="AA358" t="s">
        <v>85</v>
      </c>
      <c r="AC358" t="s">
        <v>2511</v>
      </c>
      <c r="AD358" t="s">
        <v>87</v>
      </c>
      <c r="AG358" t="s">
        <v>2512</v>
      </c>
      <c r="AH358" t="s">
        <v>91</v>
      </c>
      <c r="AI358" t="s">
        <v>92</v>
      </c>
      <c r="AJ358" t="s">
        <v>131</v>
      </c>
      <c r="AK358" t="s">
        <v>2513</v>
      </c>
      <c r="AL358" t="s">
        <v>95</v>
      </c>
      <c r="AM358" t="s">
        <v>96</v>
      </c>
      <c r="AN358" t="s">
        <v>97</v>
      </c>
      <c r="AO358" t="s">
        <v>98</v>
      </c>
      <c r="AP358" t="s">
        <v>78</v>
      </c>
      <c r="AQ358" t="s">
        <v>99</v>
      </c>
      <c r="AS358" t="s">
        <v>78</v>
      </c>
      <c r="AT358" t="s">
        <v>100</v>
      </c>
      <c r="AU358" t="s">
        <v>100</v>
      </c>
      <c r="AW358" t="s">
        <v>85</v>
      </c>
      <c r="AX358" t="s">
        <v>103</v>
      </c>
      <c r="AY358" t="s">
        <v>159</v>
      </c>
      <c r="AZ358" t="s">
        <v>103</v>
      </c>
      <c r="BA358" t="s">
        <v>104</v>
      </c>
      <c r="BB358" t="s">
        <v>78</v>
      </c>
      <c r="BC358" t="s">
        <v>78</v>
      </c>
      <c r="BE358">
        <v>0</v>
      </c>
      <c r="BF358">
        <v>0</v>
      </c>
      <c r="BG358">
        <v>0</v>
      </c>
      <c r="BH358">
        <v>0</v>
      </c>
      <c r="BJ358" t="s">
        <v>85</v>
      </c>
      <c r="BP358" t="s">
        <v>78</v>
      </c>
      <c r="BQ358" t="s">
        <v>78</v>
      </c>
      <c r="BR358" t="s">
        <v>78</v>
      </c>
    </row>
    <row r="359" customFormat="1" spans="1:70">
      <c r="A359" t="s">
        <v>2514</v>
      </c>
      <c r="B359" t="s">
        <v>2514</v>
      </c>
      <c r="C359" t="s">
        <v>1080</v>
      </c>
      <c r="D359" t="s">
        <v>108</v>
      </c>
      <c r="E359">
        <v>1</v>
      </c>
      <c r="F359" t="s">
        <v>1081</v>
      </c>
      <c r="G359" t="s">
        <v>1082</v>
      </c>
      <c r="H359">
        <v>289</v>
      </c>
      <c r="I359">
        <v>289</v>
      </c>
      <c r="J359">
        <v>0</v>
      </c>
      <c r="K359">
        <v>0</v>
      </c>
      <c r="L359" t="s">
        <v>78</v>
      </c>
      <c r="M359" t="s">
        <v>78</v>
      </c>
      <c r="N359" t="s">
        <v>78</v>
      </c>
      <c r="O359">
        <v>0</v>
      </c>
      <c r="P359">
        <v>0</v>
      </c>
      <c r="Q359">
        <v>0</v>
      </c>
      <c r="R359" t="s">
        <v>125</v>
      </c>
      <c r="S359">
        <v>0</v>
      </c>
      <c r="T359" t="s">
        <v>80</v>
      </c>
      <c r="U359" t="s">
        <v>80</v>
      </c>
      <c r="V359" t="s">
        <v>126</v>
      </c>
      <c r="W359" t="s">
        <v>518</v>
      </c>
      <c r="X359" t="s">
        <v>979</v>
      </c>
      <c r="Y359" t="s">
        <v>980</v>
      </c>
      <c r="Z359" t="s">
        <v>80</v>
      </c>
      <c r="AA359" t="s">
        <v>85</v>
      </c>
      <c r="AC359" t="s">
        <v>2515</v>
      </c>
      <c r="AD359" t="s">
        <v>202</v>
      </c>
      <c r="AE359" t="s">
        <v>2516</v>
      </c>
      <c r="AG359" t="s">
        <v>2517</v>
      </c>
      <c r="AH359" t="s">
        <v>91</v>
      </c>
      <c r="AI359" t="s">
        <v>92</v>
      </c>
      <c r="AJ359" t="s">
        <v>131</v>
      </c>
      <c r="AK359" t="s">
        <v>2518</v>
      </c>
      <c r="AL359" t="s">
        <v>95</v>
      </c>
      <c r="AM359" t="s">
        <v>96</v>
      </c>
      <c r="AN359" t="s">
        <v>97</v>
      </c>
      <c r="AO359" t="s">
        <v>98</v>
      </c>
      <c r="AP359" t="s">
        <v>78</v>
      </c>
      <c r="AQ359" t="s">
        <v>99</v>
      </c>
      <c r="AS359" t="s">
        <v>78</v>
      </c>
      <c r="AT359" t="s">
        <v>100</v>
      </c>
      <c r="AU359" t="s">
        <v>100</v>
      </c>
      <c r="AW359" t="s">
        <v>85</v>
      </c>
      <c r="AX359" t="s">
        <v>101</v>
      </c>
      <c r="AY359" t="s">
        <v>102</v>
      </c>
      <c r="AZ359" t="s">
        <v>103</v>
      </c>
      <c r="BA359" t="s">
        <v>133</v>
      </c>
      <c r="BB359" t="s">
        <v>78</v>
      </c>
      <c r="BC359" t="s">
        <v>78</v>
      </c>
      <c r="BD359" t="s">
        <v>2519</v>
      </c>
      <c r="BE359">
        <v>0</v>
      </c>
      <c r="BF359">
        <v>0</v>
      </c>
      <c r="BG359">
        <v>0</v>
      </c>
      <c r="BH359">
        <v>0</v>
      </c>
      <c r="BJ359" t="s">
        <v>85</v>
      </c>
      <c r="BP359" t="s">
        <v>78</v>
      </c>
      <c r="BQ359" t="s">
        <v>78</v>
      </c>
      <c r="BR359" t="s">
        <v>78</v>
      </c>
    </row>
    <row r="360" customFormat="1" spans="1:70">
      <c r="A360" t="s">
        <v>2520</v>
      </c>
      <c r="B360" t="s">
        <v>2520</v>
      </c>
      <c r="C360" t="s">
        <v>1080</v>
      </c>
      <c r="D360" t="s">
        <v>135</v>
      </c>
      <c r="E360">
        <v>1</v>
      </c>
      <c r="F360" t="s">
        <v>1081</v>
      </c>
      <c r="G360" t="s">
        <v>1639</v>
      </c>
      <c r="H360">
        <v>289</v>
      </c>
      <c r="I360">
        <v>289</v>
      </c>
      <c r="J360">
        <v>0</v>
      </c>
      <c r="K360">
        <v>0</v>
      </c>
      <c r="L360" t="s">
        <v>78</v>
      </c>
      <c r="M360" t="s">
        <v>78</v>
      </c>
      <c r="N360" t="s">
        <v>78</v>
      </c>
      <c r="O360">
        <v>0</v>
      </c>
      <c r="P360">
        <v>0</v>
      </c>
      <c r="Q360">
        <v>0</v>
      </c>
      <c r="R360" t="s">
        <v>79</v>
      </c>
      <c r="S360">
        <v>0</v>
      </c>
      <c r="T360" t="s">
        <v>80</v>
      </c>
      <c r="U360" t="s">
        <v>80</v>
      </c>
      <c r="V360" t="s">
        <v>302</v>
      </c>
      <c r="W360" t="s">
        <v>1358</v>
      </c>
      <c r="X360" t="s">
        <v>1359</v>
      </c>
      <c r="Y360" t="s">
        <v>1360</v>
      </c>
      <c r="Z360" t="s">
        <v>80</v>
      </c>
      <c r="AA360" t="s">
        <v>85</v>
      </c>
      <c r="AC360" t="s">
        <v>2521</v>
      </c>
      <c r="AD360" t="s">
        <v>87</v>
      </c>
      <c r="AF360" t="s">
        <v>2522</v>
      </c>
      <c r="AG360" t="s">
        <v>2515</v>
      </c>
      <c r="AH360" t="s">
        <v>254</v>
      </c>
      <c r="AI360" t="s">
        <v>92</v>
      </c>
      <c r="AJ360" t="s">
        <v>93</v>
      </c>
      <c r="AK360" t="s">
        <v>2523</v>
      </c>
      <c r="AL360" t="s">
        <v>95</v>
      </c>
      <c r="AM360" t="s">
        <v>96</v>
      </c>
      <c r="AN360" t="s">
        <v>97</v>
      </c>
      <c r="AO360" t="s">
        <v>98</v>
      </c>
      <c r="AP360" t="s">
        <v>78</v>
      </c>
      <c r="AQ360" t="s">
        <v>78</v>
      </c>
      <c r="AS360" t="s">
        <v>78</v>
      </c>
      <c r="AT360" t="s">
        <v>100</v>
      </c>
      <c r="AU360" t="s">
        <v>100</v>
      </c>
      <c r="AW360" t="s">
        <v>85</v>
      </c>
      <c r="AX360" t="s">
        <v>103</v>
      </c>
      <c r="AY360" t="s">
        <v>159</v>
      </c>
      <c r="AZ360" t="s">
        <v>103</v>
      </c>
      <c r="BA360" t="s">
        <v>102</v>
      </c>
      <c r="BB360" t="s">
        <v>78</v>
      </c>
      <c r="BC360" t="s">
        <v>78</v>
      </c>
      <c r="BD360" t="s">
        <v>2524</v>
      </c>
      <c r="BE360">
        <v>0</v>
      </c>
      <c r="BF360">
        <v>0</v>
      </c>
      <c r="BG360">
        <v>0</v>
      </c>
      <c r="BH360">
        <v>0</v>
      </c>
      <c r="BJ360" t="s">
        <v>85</v>
      </c>
      <c r="BP360" t="s">
        <v>78</v>
      </c>
      <c r="BQ360" t="s">
        <v>78</v>
      </c>
      <c r="BR360" t="s">
        <v>78</v>
      </c>
    </row>
    <row r="361" customFormat="1" spans="1:70">
      <c r="A361" t="s">
        <v>2525</v>
      </c>
      <c r="B361" t="s">
        <v>2525</v>
      </c>
      <c r="C361" t="s">
        <v>1068</v>
      </c>
      <c r="D361" t="s">
        <v>247</v>
      </c>
      <c r="E361">
        <v>1</v>
      </c>
      <c r="F361" t="s">
        <v>1069</v>
      </c>
      <c r="G361" t="s">
        <v>1104</v>
      </c>
      <c r="H361">
        <v>180</v>
      </c>
      <c r="I361">
        <v>180</v>
      </c>
      <c r="J361">
        <v>0</v>
      </c>
      <c r="K361">
        <v>0</v>
      </c>
      <c r="L361" t="s">
        <v>78</v>
      </c>
      <c r="M361" t="s">
        <v>78</v>
      </c>
      <c r="N361" t="s">
        <v>78</v>
      </c>
      <c r="O361">
        <v>0</v>
      </c>
      <c r="P361">
        <v>0</v>
      </c>
      <c r="Q361">
        <v>0</v>
      </c>
      <c r="R361" t="s">
        <v>125</v>
      </c>
      <c r="S361">
        <v>0</v>
      </c>
      <c r="T361" t="s">
        <v>80</v>
      </c>
      <c r="U361" t="s">
        <v>80</v>
      </c>
      <c r="V361" t="s">
        <v>887</v>
      </c>
      <c r="W361" t="s">
        <v>2526</v>
      </c>
      <c r="X361" t="s">
        <v>2527</v>
      </c>
      <c r="Y361" t="s">
        <v>2528</v>
      </c>
      <c r="Z361" t="s">
        <v>80</v>
      </c>
      <c r="AA361" t="s">
        <v>85</v>
      </c>
      <c r="AC361" t="s">
        <v>2529</v>
      </c>
      <c r="AD361" t="s">
        <v>87</v>
      </c>
      <c r="AF361" t="s">
        <v>2495</v>
      </c>
      <c r="AG361" t="s">
        <v>2530</v>
      </c>
      <c r="AH361" t="s">
        <v>91</v>
      </c>
      <c r="AI361" t="s">
        <v>92</v>
      </c>
      <c r="AJ361" t="s">
        <v>93</v>
      </c>
      <c r="AK361" t="s">
        <v>2531</v>
      </c>
      <c r="AL361" t="s">
        <v>95</v>
      </c>
      <c r="AM361" t="s">
        <v>96</v>
      </c>
      <c r="AN361" t="s">
        <v>97</v>
      </c>
      <c r="AO361" t="s">
        <v>98</v>
      </c>
      <c r="AP361" t="s">
        <v>78</v>
      </c>
      <c r="AQ361" t="s">
        <v>78</v>
      </c>
      <c r="AS361" t="s">
        <v>78</v>
      </c>
      <c r="AT361" t="s">
        <v>100</v>
      </c>
      <c r="AU361" t="s">
        <v>100</v>
      </c>
      <c r="AW361" t="s">
        <v>85</v>
      </c>
      <c r="AX361" t="s">
        <v>101</v>
      </c>
      <c r="AY361" t="s">
        <v>102</v>
      </c>
      <c r="AZ361" t="s">
        <v>103</v>
      </c>
      <c r="BA361" t="s">
        <v>120</v>
      </c>
      <c r="BB361" t="s">
        <v>78</v>
      </c>
      <c r="BC361" t="s">
        <v>78</v>
      </c>
      <c r="BD361" t="s">
        <v>2498</v>
      </c>
      <c r="BE361">
        <v>0</v>
      </c>
      <c r="BF361">
        <v>0</v>
      </c>
      <c r="BG361">
        <v>0</v>
      </c>
      <c r="BH361">
        <v>0</v>
      </c>
      <c r="BJ361" t="s">
        <v>85</v>
      </c>
      <c r="BP361" t="s">
        <v>78</v>
      </c>
      <c r="BQ361" t="s">
        <v>78</v>
      </c>
      <c r="BR361" t="s">
        <v>78</v>
      </c>
    </row>
    <row r="362" customFormat="1" spans="1:70">
      <c r="A362" t="s">
        <v>2532</v>
      </c>
      <c r="B362" t="s">
        <v>2532</v>
      </c>
      <c r="C362" t="s">
        <v>1068</v>
      </c>
      <c r="D362" t="s">
        <v>230</v>
      </c>
      <c r="E362">
        <v>1</v>
      </c>
      <c r="F362" t="s">
        <v>1069</v>
      </c>
      <c r="G362" t="s">
        <v>2219</v>
      </c>
      <c r="H362">
        <v>180</v>
      </c>
      <c r="I362">
        <v>180</v>
      </c>
      <c r="J362">
        <v>0</v>
      </c>
      <c r="K362">
        <v>0</v>
      </c>
      <c r="L362" t="s">
        <v>78</v>
      </c>
      <c r="M362" t="s">
        <v>78</v>
      </c>
      <c r="N362" t="s">
        <v>78</v>
      </c>
      <c r="O362">
        <v>0</v>
      </c>
      <c r="P362">
        <v>0</v>
      </c>
      <c r="Q362">
        <v>0</v>
      </c>
      <c r="R362" t="s">
        <v>79</v>
      </c>
      <c r="S362">
        <v>0</v>
      </c>
      <c r="T362" t="s">
        <v>80</v>
      </c>
      <c r="U362" t="s">
        <v>80</v>
      </c>
      <c r="V362" t="s">
        <v>509</v>
      </c>
      <c r="W362" t="s">
        <v>623</v>
      </c>
      <c r="X362" t="s">
        <v>1943</v>
      </c>
      <c r="Y362" t="s">
        <v>1944</v>
      </c>
      <c r="Z362" t="s">
        <v>80</v>
      </c>
      <c r="AA362" t="s">
        <v>85</v>
      </c>
      <c r="AC362" t="s">
        <v>2533</v>
      </c>
      <c r="AD362" t="s">
        <v>87</v>
      </c>
      <c r="AG362" t="s">
        <v>2534</v>
      </c>
      <c r="AH362" t="s">
        <v>91</v>
      </c>
      <c r="AI362" t="s">
        <v>92</v>
      </c>
      <c r="AJ362" t="s">
        <v>131</v>
      </c>
      <c r="AK362" t="s">
        <v>2535</v>
      </c>
      <c r="AL362" t="s">
        <v>95</v>
      </c>
      <c r="AM362" t="s">
        <v>96</v>
      </c>
      <c r="AN362" t="s">
        <v>97</v>
      </c>
      <c r="AO362" t="s">
        <v>98</v>
      </c>
      <c r="AP362" t="s">
        <v>78</v>
      </c>
      <c r="AQ362" t="s">
        <v>99</v>
      </c>
      <c r="AS362" t="s">
        <v>78</v>
      </c>
      <c r="AT362" t="s">
        <v>100</v>
      </c>
      <c r="AU362" t="s">
        <v>100</v>
      </c>
      <c r="AW362" t="s">
        <v>85</v>
      </c>
      <c r="AX362" t="s">
        <v>103</v>
      </c>
      <c r="AY362" t="s">
        <v>159</v>
      </c>
      <c r="AZ362" t="s">
        <v>103</v>
      </c>
      <c r="BA362" t="s">
        <v>218</v>
      </c>
      <c r="BB362" t="s">
        <v>78</v>
      </c>
      <c r="BC362" t="s">
        <v>78</v>
      </c>
      <c r="BE362">
        <v>0</v>
      </c>
      <c r="BF362">
        <v>0</v>
      </c>
      <c r="BG362">
        <v>0</v>
      </c>
      <c r="BH362">
        <v>0</v>
      </c>
      <c r="BJ362" t="s">
        <v>85</v>
      </c>
      <c r="BP362" t="s">
        <v>78</v>
      </c>
      <c r="BQ362" t="s">
        <v>78</v>
      </c>
      <c r="BR362" t="s">
        <v>78</v>
      </c>
    </row>
    <row r="363" customFormat="1" spans="1:70">
      <c r="A363" t="s">
        <v>2536</v>
      </c>
      <c r="B363" t="s">
        <v>2536</v>
      </c>
      <c r="C363" t="s">
        <v>1068</v>
      </c>
      <c r="D363" t="s">
        <v>230</v>
      </c>
      <c r="E363">
        <v>1</v>
      </c>
      <c r="F363" t="s">
        <v>1069</v>
      </c>
      <c r="G363" t="s">
        <v>2219</v>
      </c>
      <c r="H363">
        <v>180</v>
      </c>
      <c r="I363">
        <v>180</v>
      </c>
      <c r="J363">
        <v>0</v>
      </c>
      <c r="K363">
        <v>0</v>
      </c>
      <c r="L363" t="s">
        <v>78</v>
      </c>
      <c r="M363" t="s">
        <v>78</v>
      </c>
      <c r="N363" t="s">
        <v>78</v>
      </c>
      <c r="O363">
        <v>0</v>
      </c>
      <c r="P363">
        <v>0</v>
      </c>
      <c r="Q363">
        <v>0</v>
      </c>
      <c r="R363" t="s">
        <v>125</v>
      </c>
      <c r="S363">
        <v>0</v>
      </c>
      <c r="T363" t="s">
        <v>80</v>
      </c>
      <c r="U363" t="s">
        <v>80</v>
      </c>
      <c r="V363" t="s">
        <v>239</v>
      </c>
      <c r="W363" t="s">
        <v>263</v>
      </c>
      <c r="X363" t="s">
        <v>2537</v>
      </c>
      <c r="Y363" t="s">
        <v>2538</v>
      </c>
      <c r="Z363" t="s">
        <v>80</v>
      </c>
      <c r="AA363" t="s">
        <v>85</v>
      </c>
      <c r="AC363" t="s">
        <v>2539</v>
      </c>
      <c r="AD363" t="s">
        <v>87</v>
      </c>
      <c r="AG363" t="s">
        <v>2540</v>
      </c>
      <c r="AH363" t="s">
        <v>91</v>
      </c>
      <c r="AI363" t="s">
        <v>92</v>
      </c>
      <c r="AJ363" t="s">
        <v>131</v>
      </c>
      <c r="AK363" t="s">
        <v>2541</v>
      </c>
      <c r="AL363" t="s">
        <v>95</v>
      </c>
      <c r="AM363" t="s">
        <v>96</v>
      </c>
      <c r="AN363" t="s">
        <v>97</v>
      </c>
      <c r="AO363" t="s">
        <v>98</v>
      </c>
      <c r="AP363" t="s">
        <v>78</v>
      </c>
      <c r="AQ363" t="s">
        <v>99</v>
      </c>
      <c r="AS363" t="s">
        <v>78</v>
      </c>
      <c r="AT363" t="s">
        <v>100</v>
      </c>
      <c r="AU363" t="s">
        <v>100</v>
      </c>
      <c r="AW363" t="s">
        <v>85</v>
      </c>
      <c r="AX363" t="s">
        <v>101</v>
      </c>
      <c r="AY363" t="s">
        <v>102</v>
      </c>
      <c r="AZ363" t="s">
        <v>103</v>
      </c>
      <c r="BA363" t="s">
        <v>133</v>
      </c>
      <c r="BB363" t="s">
        <v>78</v>
      </c>
      <c r="BC363" t="s">
        <v>78</v>
      </c>
      <c r="BE363">
        <v>0</v>
      </c>
      <c r="BF363">
        <v>0</v>
      </c>
      <c r="BG363">
        <v>0</v>
      </c>
      <c r="BH363">
        <v>0</v>
      </c>
      <c r="BJ363" t="s">
        <v>85</v>
      </c>
      <c r="BP363" t="s">
        <v>78</v>
      </c>
      <c r="BQ363" t="s">
        <v>78</v>
      </c>
      <c r="BR363" t="s">
        <v>78</v>
      </c>
    </row>
    <row r="364" customFormat="1" spans="1:70">
      <c r="A364" t="s">
        <v>2542</v>
      </c>
      <c r="B364" t="s">
        <v>2542</v>
      </c>
      <c r="C364" t="s">
        <v>1068</v>
      </c>
      <c r="D364" t="s">
        <v>247</v>
      </c>
      <c r="E364">
        <v>1</v>
      </c>
      <c r="F364" t="s">
        <v>1069</v>
      </c>
      <c r="G364" t="s">
        <v>1104</v>
      </c>
      <c r="H364">
        <v>180</v>
      </c>
      <c r="I364">
        <v>180</v>
      </c>
      <c r="J364">
        <v>0</v>
      </c>
      <c r="K364">
        <v>0</v>
      </c>
      <c r="L364" t="s">
        <v>78</v>
      </c>
      <c r="M364" t="s">
        <v>78</v>
      </c>
      <c r="N364" t="s">
        <v>78</v>
      </c>
      <c r="O364">
        <v>0</v>
      </c>
      <c r="P364">
        <v>0</v>
      </c>
      <c r="Q364">
        <v>0</v>
      </c>
      <c r="R364" t="s">
        <v>79</v>
      </c>
      <c r="S364">
        <v>0</v>
      </c>
      <c r="T364" t="s">
        <v>80</v>
      </c>
      <c r="U364" t="s">
        <v>80</v>
      </c>
      <c r="V364" t="s">
        <v>464</v>
      </c>
      <c r="W364" t="s">
        <v>1249</v>
      </c>
      <c r="X364" t="s">
        <v>2543</v>
      </c>
      <c r="Y364" t="s">
        <v>2544</v>
      </c>
      <c r="Z364" t="s">
        <v>80</v>
      </c>
      <c r="AA364" t="s">
        <v>85</v>
      </c>
      <c r="AC364" t="s">
        <v>2539</v>
      </c>
      <c r="AD364" t="s">
        <v>87</v>
      </c>
      <c r="AG364" t="s">
        <v>2545</v>
      </c>
      <c r="AH364" t="s">
        <v>91</v>
      </c>
      <c r="AI364" t="s">
        <v>92</v>
      </c>
      <c r="AJ364" t="s">
        <v>131</v>
      </c>
      <c r="AK364" t="s">
        <v>2546</v>
      </c>
      <c r="AL364" t="s">
        <v>95</v>
      </c>
      <c r="AM364" t="s">
        <v>96</v>
      </c>
      <c r="AN364" t="s">
        <v>97</v>
      </c>
      <c r="AO364" t="s">
        <v>98</v>
      </c>
      <c r="AP364" t="s">
        <v>78</v>
      </c>
      <c r="AQ364" t="s">
        <v>99</v>
      </c>
      <c r="AS364" t="s">
        <v>78</v>
      </c>
      <c r="AT364" t="s">
        <v>100</v>
      </c>
      <c r="AU364" t="s">
        <v>100</v>
      </c>
      <c r="AW364" t="s">
        <v>85</v>
      </c>
      <c r="AX364" t="s">
        <v>101</v>
      </c>
      <c r="AY364" t="s">
        <v>102</v>
      </c>
      <c r="AZ364" t="s">
        <v>103</v>
      </c>
      <c r="BA364" t="s">
        <v>133</v>
      </c>
      <c r="BB364" t="s">
        <v>78</v>
      </c>
      <c r="BC364" t="s">
        <v>78</v>
      </c>
      <c r="BE364">
        <v>0</v>
      </c>
      <c r="BF364">
        <v>0</v>
      </c>
      <c r="BG364">
        <v>0</v>
      </c>
      <c r="BH364">
        <v>0</v>
      </c>
      <c r="BJ364" t="s">
        <v>85</v>
      </c>
      <c r="BP364" t="s">
        <v>78</v>
      </c>
      <c r="BQ364" t="s">
        <v>78</v>
      </c>
      <c r="BR364" t="s">
        <v>78</v>
      </c>
    </row>
    <row r="365" customFormat="1" spans="1:70">
      <c r="A365" t="s">
        <v>2547</v>
      </c>
      <c r="B365" t="s">
        <v>2547</v>
      </c>
      <c r="C365" t="s">
        <v>1068</v>
      </c>
      <c r="D365" t="s">
        <v>247</v>
      </c>
      <c r="E365">
        <v>1</v>
      </c>
      <c r="F365" t="s">
        <v>1069</v>
      </c>
      <c r="G365" t="s">
        <v>1104</v>
      </c>
      <c r="H365">
        <v>180</v>
      </c>
      <c r="I365">
        <v>180</v>
      </c>
      <c r="J365">
        <v>0</v>
      </c>
      <c r="K365">
        <v>0</v>
      </c>
      <c r="L365" t="s">
        <v>78</v>
      </c>
      <c r="M365" t="s">
        <v>78</v>
      </c>
      <c r="N365" t="s">
        <v>78</v>
      </c>
      <c r="O365">
        <v>0</v>
      </c>
      <c r="P365">
        <v>0</v>
      </c>
      <c r="Q365">
        <v>0</v>
      </c>
      <c r="R365" t="s">
        <v>125</v>
      </c>
      <c r="S365">
        <v>0</v>
      </c>
      <c r="T365" t="s">
        <v>80</v>
      </c>
      <c r="U365" t="s">
        <v>80</v>
      </c>
      <c r="V365" t="s">
        <v>126</v>
      </c>
      <c r="W365" t="s">
        <v>518</v>
      </c>
      <c r="X365" t="s">
        <v>979</v>
      </c>
      <c r="Y365" t="s">
        <v>980</v>
      </c>
      <c r="Z365" t="s">
        <v>80</v>
      </c>
      <c r="AA365" t="s">
        <v>85</v>
      </c>
      <c r="AC365" t="s">
        <v>2548</v>
      </c>
      <c r="AD365" t="s">
        <v>202</v>
      </c>
      <c r="AE365" t="s">
        <v>2549</v>
      </c>
      <c r="AG365" t="s">
        <v>2550</v>
      </c>
      <c r="AH365" t="s">
        <v>91</v>
      </c>
      <c r="AI365" t="s">
        <v>92</v>
      </c>
      <c r="AJ365" t="s">
        <v>131</v>
      </c>
      <c r="AK365" t="s">
        <v>2551</v>
      </c>
      <c r="AL365" t="s">
        <v>95</v>
      </c>
      <c r="AM365" t="s">
        <v>96</v>
      </c>
      <c r="AN365" t="s">
        <v>97</v>
      </c>
      <c r="AO365" t="s">
        <v>98</v>
      </c>
      <c r="AP365" t="s">
        <v>78</v>
      </c>
      <c r="AQ365" t="s">
        <v>99</v>
      </c>
      <c r="AS365" t="s">
        <v>78</v>
      </c>
      <c r="AT365" t="s">
        <v>100</v>
      </c>
      <c r="AU365" t="s">
        <v>100</v>
      </c>
      <c r="AW365" t="s">
        <v>85</v>
      </c>
      <c r="AX365" t="s">
        <v>101</v>
      </c>
      <c r="AY365" t="s">
        <v>102</v>
      </c>
      <c r="AZ365" t="s">
        <v>103</v>
      </c>
      <c r="BA365" t="s">
        <v>133</v>
      </c>
      <c r="BB365" t="s">
        <v>78</v>
      </c>
      <c r="BC365" t="s">
        <v>78</v>
      </c>
      <c r="BD365" t="s">
        <v>2458</v>
      </c>
      <c r="BE365">
        <v>0</v>
      </c>
      <c r="BF365">
        <v>0</v>
      </c>
      <c r="BG365">
        <v>0</v>
      </c>
      <c r="BH365">
        <v>0</v>
      </c>
      <c r="BJ365" t="s">
        <v>85</v>
      </c>
      <c r="BP365" t="s">
        <v>78</v>
      </c>
      <c r="BQ365" t="s">
        <v>78</v>
      </c>
      <c r="BR365" t="s">
        <v>78</v>
      </c>
    </row>
    <row r="366" customFormat="1" spans="1:70">
      <c r="A366" t="s">
        <v>2552</v>
      </c>
      <c r="B366" t="s">
        <v>2552</v>
      </c>
      <c r="C366" t="s">
        <v>1068</v>
      </c>
      <c r="D366" t="s">
        <v>75</v>
      </c>
      <c r="E366">
        <v>1</v>
      </c>
      <c r="F366" t="s">
        <v>1069</v>
      </c>
      <c r="G366" t="s">
        <v>1070</v>
      </c>
      <c r="H366">
        <v>180</v>
      </c>
      <c r="I366">
        <v>180</v>
      </c>
      <c r="J366">
        <v>0</v>
      </c>
      <c r="K366">
        <v>0</v>
      </c>
      <c r="L366" t="s">
        <v>78</v>
      </c>
      <c r="M366" t="s">
        <v>78</v>
      </c>
      <c r="N366" t="s">
        <v>78</v>
      </c>
      <c r="O366">
        <v>0</v>
      </c>
      <c r="P366">
        <v>0</v>
      </c>
      <c r="Q366">
        <v>0</v>
      </c>
      <c r="R366" t="s">
        <v>125</v>
      </c>
      <c r="S366">
        <v>0</v>
      </c>
      <c r="T366" t="s">
        <v>80</v>
      </c>
      <c r="U366" t="s">
        <v>80</v>
      </c>
      <c r="V366" t="s">
        <v>583</v>
      </c>
      <c r="W366" t="s">
        <v>584</v>
      </c>
      <c r="X366" t="s">
        <v>2553</v>
      </c>
      <c r="Y366" t="s">
        <v>2554</v>
      </c>
      <c r="Z366" t="s">
        <v>80</v>
      </c>
      <c r="AA366" t="s">
        <v>85</v>
      </c>
      <c r="AC366" t="s">
        <v>2555</v>
      </c>
      <c r="AD366" t="s">
        <v>87</v>
      </c>
      <c r="AF366" t="s">
        <v>2556</v>
      </c>
      <c r="AG366" t="s">
        <v>2557</v>
      </c>
      <c r="AH366" t="s">
        <v>91</v>
      </c>
      <c r="AI366" t="s">
        <v>92</v>
      </c>
      <c r="AJ366" t="s">
        <v>93</v>
      </c>
      <c r="AK366" t="s">
        <v>2551</v>
      </c>
      <c r="AL366" t="s">
        <v>95</v>
      </c>
      <c r="AM366" t="s">
        <v>96</v>
      </c>
      <c r="AN366" t="s">
        <v>97</v>
      </c>
      <c r="AO366" t="s">
        <v>98</v>
      </c>
      <c r="AP366" t="s">
        <v>78</v>
      </c>
      <c r="AQ366" t="s">
        <v>78</v>
      </c>
      <c r="AS366" t="s">
        <v>78</v>
      </c>
      <c r="AT366" t="s">
        <v>100</v>
      </c>
      <c r="AU366" t="s">
        <v>100</v>
      </c>
      <c r="AW366" t="s">
        <v>85</v>
      </c>
      <c r="AX366" t="s">
        <v>103</v>
      </c>
      <c r="AY366" t="s">
        <v>159</v>
      </c>
      <c r="AZ366" t="s">
        <v>103</v>
      </c>
      <c r="BA366" t="s">
        <v>133</v>
      </c>
      <c r="BB366" t="s">
        <v>78</v>
      </c>
      <c r="BC366" t="s">
        <v>78</v>
      </c>
      <c r="BD366" t="s">
        <v>2558</v>
      </c>
      <c r="BE366">
        <v>0</v>
      </c>
      <c r="BF366">
        <v>0</v>
      </c>
      <c r="BG366">
        <v>0</v>
      </c>
      <c r="BH366">
        <v>0</v>
      </c>
      <c r="BJ366" t="s">
        <v>85</v>
      </c>
      <c r="BP366" t="s">
        <v>78</v>
      </c>
      <c r="BQ366" t="s">
        <v>78</v>
      </c>
      <c r="BR366" t="s">
        <v>78</v>
      </c>
    </row>
    <row r="367" customFormat="1" spans="1:70">
      <c r="A367" t="s">
        <v>2559</v>
      </c>
      <c r="B367" t="s">
        <v>2559</v>
      </c>
      <c r="C367" t="s">
        <v>1068</v>
      </c>
      <c r="D367" t="s">
        <v>75</v>
      </c>
      <c r="E367">
        <v>1</v>
      </c>
      <c r="F367" t="s">
        <v>1069</v>
      </c>
      <c r="G367" t="s">
        <v>1070</v>
      </c>
      <c r="H367">
        <v>180</v>
      </c>
      <c r="I367">
        <v>180</v>
      </c>
      <c r="J367">
        <v>0</v>
      </c>
      <c r="K367">
        <v>0.25</v>
      </c>
      <c r="L367" t="s">
        <v>78</v>
      </c>
      <c r="M367" t="s">
        <v>78</v>
      </c>
      <c r="N367" t="s">
        <v>78</v>
      </c>
      <c r="O367">
        <v>0</v>
      </c>
      <c r="P367">
        <v>0.25</v>
      </c>
      <c r="Q367">
        <v>0</v>
      </c>
      <c r="R367" t="s">
        <v>125</v>
      </c>
      <c r="S367">
        <v>0</v>
      </c>
      <c r="T367" t="s">
        <v>80</v>
      </c>
      <c r="U367" t="s">
        <v>80</v>
      </c>
      <c r="V367" t="s">
        <v>178</v>
      </c>
      <c r="W367" t="s">
        <v>178</v>
      </c>
      <c r="X367" t="s">
        <v>2560</v>
      </c>
      <c r="Y367" t="s">
        <v>2561</v>
      </c>
      <c r="Z367" t="s">
        <v>80</v>
      </c>
      <c r="AA367" t="s">
        <v>85</v>
      </c>
      <c r="AC367" t="s">
        <v>2562</v>
      </c>
      <c r="AD367" t="s">
        <v>87</v>
      </c>
      <c r="AG367" t="s">
        <v>2563</v>
      </c>
      <c r="AH367" t="s">
        <v>91</v>
      </c>
      <c r="AI367" t="s">
        <v>92</v>
      </c>
      <c r="AJ367" t="s">
        <v>131</v>
      </c>
      <c r="AK367" t="s">
        <v>2564</v>
      </c>
      <c r="AL367" t="s">
        <v>95</v>
      </c>
      <c r="AM367" t="s">
        <v>96</v>
      </c>
      <c r="AN367" t="s">
        <v>97</v>
      </c>
      <c r="AO367" t="s">
        <v>98</v>
      </c>
      <c r="AP367" t="s">
        <v>78</v>
      </c>
      <c r="AQ367" t="s">
        <v>99</v>
      </c>
      <c r="AS367" t="s">
        <v>78</v>
      </c>
      <c r="AT367" t="s">
        <v>100</v>
      </c>
      <c r="AU367" t="s">
        <v>100</v>
      </c>
      <c r="AW367" t="s">
        <v>85</v>
      </c>
      <c r="AX367" t="s">
        <v>101</v>
      </c>
      <c r="AY367" t="s">
        <v>102</v>
      </c>
      <c r="AZ367" t="s">
        <v>103</v>
      </c>
      <c r="BA367" t="s">
        <v>120</v>
      </c>
      <c r="BB367" t="s">
        <v>78</v>
      </c>
      <c r="BC367" t="s">
        <v>78</v>
      </c>
      <c r="BE367">
        <v>0</v>
      </c>
      <c r="BF367">
        <v>0</v>
      </c>
      <c r="BG367">
        <v>0</v>
      </c>
      <c r="BH367">
        <v>0</v>
      </c>
      <c r="BJ367" t="s">
        <v>85</v>
      </c>
      <c r="BP367" t="s">
        <v>78</v>
      </c>
      <c r="BQ367" t="s">
        <v>78</v>
      </c>
      <c r="BR367" t="s">
        <v>78</v>
      </c>
    </row>
    <row r="368" customFormat="1" spans="1:70">
      <c r="A368" t="s">
        <v>2565</v>
      </c>
      <c r="B368" t="s">
        <v>2565</v>
      </c>
      <c r="C368" t="s">
        <v>1068</v>
      </c>
      <c r="D368" t="s">
        <v>230</v>
      </c>
      <c r="E368">
        <v>1</v>
      </c>
      <c r="F368" t="s">
        <v>1069</v>
      </c>
      <c r="G368" t="s">
        <v>2219</v>
      </c>
      <c r="H368">
        <v>180</v>
      </c>
      <c r="I368">
        <v>176</v>
      </c>
      <c r="J368">
        <v>0</v>
      </c>
      <c r="K368">
        <v>4</v>
      </c>
      <c r="L368" t="s">
        <v>2566</v>
      </c>
      <c r="M368" t="s">
        <v>78</v>
      </c>
      <c r="N368" t="s">
        <v>78</v>
      </c>
      <c r="O368">
        <v>0</v>
      </c>
      <c r="P368">
        <v>0</v>
      </c>
      <c r="Q368">
        <v>0</v>
      </c>
      <c r="R368" t="s">
        <v>125</v>
      </c>
      <c r="S368">
        <v>0</v>
      </c>
      <c r="T368" t="s">
        <v>80</v>
      </c>
      <c r="U368" t="s">
        <v>80</v>
      </c>
      <c r="V368" t="s">
        <v>509</v>
      </c>
      <c r="W368" t="s">
        <v>623</v>
      </c>
      <c r="X368" t="s">
        <v>1943</v>
      </c>
      <c r="Y368" t="s">
        <v>1944</v>
      </c>
      <c r="Z368" t="s">
        <v>80</v>
      </c>
      <c r="AA368" t="s">
        <v>85</v>
      </c>
      <c r="AC368" t="s">
        <v>2567</v>
      </c>
      <c r="AD368" t="s">
        <v>87</v>
      </c>
      <c r="AG368" t="s">
        <v>2548</v>
      </c>
      <c r="AH368" t="s">
        <v>91</v>
      </c>
      <c r="AI368" t="s">
        <v>92</v>
      </c>
      <c r="AJ368" t="s">
        <v>131</v>
      </c>
      <c r="AK368" t="s">
        <v>2568</v>
      </c>
      <c r="AL368" t="s">
        <v>95</v>
      </c>
      <c r="AM368" t="s">
        <v>96</v>
      </c>
      <c r="AN368" t="s">
        <v>97</v>
      </c>
      <c r="AO368" t="s">
        <v>98</v>
      </c>
      <c r="AP368" t="s">
        <v>78</v>
      </c>
      <c r="AQ368" t="s">
        <v>99</v>
      </c>
      <c r="AS368" t="s">
        <v>78</v>
      </c>
      <c r="AT368" t="s">
        <v>100</v>
      </c>
      <c r="AU368" t="s">
        <v>100</v>
      </c>
      <c r="AW368" t="s">
        <v>85</v>
      </c>
      <c r="AX368" t="s">
        <v>103</v>
      </c>
      <c r="AY368" t="s">
        <v>159</v>
      </c>
      <c r="AZ368" t="s">
        <v>103</v>
      </c>
      <c r="BA368" t="s">
        <v>218</v>
      </c>
      <c r="BB368" t="s">
        <v>78</v>
      </c>
      <c r="BC368" t="s">
        <v>78</v>
      </c>
      <c r="BE368">
        <v>0</v>
      </c>
      <c r="BF368">
        <v>4</v>
      </c>
      <c r="BG368">
        <v>0</v>
      </c>
      <c r="BH368">
        <v>0</v>
      </c>
      <c r="BJ368" t="s">
        <v>85</v>
      </c>
      <c r="BP368" t="s">
        <v>78</v>
      </c>
      <c r="BQ368" t="s">
        <v>78</v>
      </c>
      <c r="BR368" t="s">
        <v>78</v>
      </c>
    </row>
    <row r="369" customFormat="1" spans="1:70">
      <c r="A369" t="s">
        <v>2569</v>
      </c>
      <c r="B369" t="s">
        <v>2569</v>
      </c>
      <c r="C369" t="s">
        <v>1068</v>
      </c>
      <c r="D369" t="s">
        <v>230</v>
      </c>
      <c r="E369">
        <v>1</v>
      </c>
      <c r="F369" t="s">
        <v>1069</v>
      </c>
      <c r="G369" t="s">
        <v>2219</v>
      </c>
      <c r="H369">
        <v>180</v>
      </c>
      <c r="I369">
        <v>180</v>
      </c>
      <c r="J369">
        <v>0</v>
      </c>
      <c r="K369">
        <v>0</v>
      </c>
      <c r="L369" t="s">
        <v>78</v>
      </c>
      <c r="M369" t="s">
        <v>78</v>
      </c>
      <c r="N369" t="s">
        <v>78</v>
      </c>
      <c r="O369">
        <v>0</v>
      </c>
      <c r="P369">
        <v>0</v>
      </c>
      <c r="Q369">
        <v>0</v>
      </c>
      <c r="R369" t="s">
        <v>79</v>
      </c>
      <c r="S369">
        <v>0</v>
      </c>
      <c r="T369" t="s">
        <v>80</v>
      </c>
      <c r="U369" t="s">
        <v>80</v>
      </c>
      <c r="V369" t="s">
        <v>302</v>
      </c>
      <c r="W369" t="s">
        <v>1358</v>
      </c>
      <c r="X369" t="s">
        <v>1359</v>
      </c>
      <c r="Y369" t="s">
        <v>1360</v>
      </c>
      <c r="Z369" t="s">
        <v>80</v>
      </c>
      <c r="AA369" t="s">
        <v>85</v>
      </c>
      <c r="AC369" t="s">
        <v>2570</v>
      </c>
      <c r="AD369" t="s">
        <v>87</v>
      </c>
      <c r="AG369" t="s">
        <v>2571</v>
      </c>
      <c r="AH369" t="s">
        <v>254</v>
      </c>
      <c r="AI369" t="s">
        <v>92</v>
      </c>
      <c r="AJ369" t="s">
        <v>131</v>
      </c>
      <c r="AK369" t="s">
        <v>2572</v>
      </c>
      <c r="AL369" t="s">
        <v>95</v>
      </c>
      <c r="AM369" t="s">
        <v>96</v>
      </c>
      <c r="AN369" t="s">
        <v>97</v>
      </c>
      <c r="AO369" t="s">
        <v>98</v>
      </c>
      <c r="AP369" t="s">
        <v>78</v>
      </c>
      <c r="AQ369" t="s">
        <v>99</v>
      </c>
      <c r="AS369" t="s">
        <v>78</v>
      </c>
      <c r="AT369" t="s">
        <v>100</v>
      </c>
      <c r="AU369" t="s">
        <v>100</v>
      </c>
      <c r="AW369" t="s">
        <v>85</v>
      </c>
      <c r="AX369" t="s">
        <v>103</v>
      </c>
      <c r="AY369" t="s">
        <v>159</v>
      </c>
      <c r="AZ369" t="s">
        <v>103</v>
      </c>
      <c r="BA369" t="s">
        <v>102</v>
      </c>
      <c r="BB369" t="s">
        <v>78</v>
      </c>
      <c r="BC369" t="s">
        <v>78</v>
      </c>
      <c r="BE369">
        <v>0</v>
      </c>
      <c r="BF369">
        <v>0</v>
      </c>
      <c r="BG369">
        <v>0</v>
      </c>
      <c r="BH369">
        <v>0</v>
      </c>
      <c r="BJ369" t="s">
        <v>85</v>
      </c>
      <c r="BP369" t="s">
        <v>78</v>
      </c>
      <c r="BQ369" t="s">
        <v>78</v>
      </c>
      <c r="BR369" t="s">
        <v>78</v>
      </c>
    </row>
    <row r="370" customFormat="1" spans="1:70">
      <c r="A370" t="s">
        <v>2573</v>
      </c>
      <c r="B370" t="s">
        <v>2573</v>
      </c>
      <c r="C370" t="s">
        <v>107</v>
      </c>
      <c r="D370" t="s">
        <v>108</v>
      </c>
      <c r="E370">
        <v>1</v>
      </c>
      <c r="F370" t="s">
        <v>109</v>
      </c>
      <c r="G370" t="s">
        <v>110</v>
      </c>
      <c r="H370">
        <v>289</v>
      </c>
      <c r="I370">
        <v>289</v>
      </c>
      <c r="J370">
        <v>0</v>
      </c>
      <c r="K370">
        <v>0</v>
      </c>
      <c r="L370" t="s">
        <v>78</v>
      </c>
      <c r="M370" t="s">
        <v>78</v>
      </c>
      <c r="N370" t="s">
        <v>78</v>
      </c>
      <c r="O370">
        <v>0</v>
      </c>
      <c r="P370">
        <v>0</v>
      </c>
      <c r="Q370">
        <v>0</v>
      </c>
      <c r="R370" t="s">
        <v>125</v>
      </c>
      <c r="S370">
        <v>0</v>
      </c>
      <c r="T370" t="s">
        <v>80</v>
      </c>
      <c r="U370" t="s">
        <v>80</v>
      </c>
      <c r="V370" t="s">
        <v>464</v>
      </c>
      <c r="W370" t="s">
        <v>637</v>
      </c>
      <c r="X370" t="s">
        <v>2506</v>
      </c>
      <c r="Y370" t="s">
        <v>78</v>
      </c>
      <c r="Z370" t="s">
        <v>80</v>
      </c>
      <c r="AA370" t="s">
        <v>85</v>
      </c>
      <c r="AC370" t="s">
        <v>2574</v>
      </c>
      <c r="AD370" t="s">
        <v>87</v>
      </c>
      <c r="AG370" t="s">
        <v>2575</v>
      </c>
      <c r="AH370" t="s">
        <v>91</v>
      </c>
      <c r="AI370" t="s">
        <v>92</v>
      </c>
      <c r="AJ370" t="s">
        <v>131</v>
      </c>
      <c r="AK370" t="s">
        <v>2576</v>
      </c>
      <c r="AL370" t="s">
        <v>95</v>
      </c>
      <c r="AM370" t="s">
        <v>96</v>
      </c>
      <c r="AN370" t="s">
        <v>97</v>
      </c>
      <c r="AO370" t="s">
        <v>98</v>
      </c>
      <c r="AP370" t="s">
        <v>78</v>
      </c>
      <c r="AQ370" t="s">
        <v>99</v>
      </c>
      <c r="AS370" t="s">
        <v>78</v>
      </c>
      <c r="AT370" t="s">
        <v>100</v>
      </c>
      <c r="AU370" t="s">
        <v>100</v>
      </c>
      <c r="AW370" t="s">
        <v>85</v>
      </c>
      <c r="AX370" t="s">
        <v>101</v>
      </c>
      <c r="AY370" t="s">
        <v>102</v>
      </c>
      <c r="AZ370" t="s">
        <v>103</v>
      </c>
      <c r="BA370" t="s">
        <v>133</v>
      </c>
      <c r="BB370" t="s">
        <v>78</v>
      </c>
      <c r="BC370" t="s">
        <v>78</v>
      </c>
      <c r="BE370">
        <v>0</v>
      </c>
      <c r="BF370">
        <v>0</v>
      </c>
      <c r="BG370">
        <v>0</v>
      </c>
      <c r="BH370">
        <v>0</v>
      </c>
      <c r="BJ370" t="s">
        <v>85</v>
      </c>
      <c r="BP370" t="s">
        <v>78</v>
      </c>
      <c r="BQ370" t="s">
        <v>78</v>
      </c>
      <c r="BR370" t="s">
        <v>78</v>
      </c>
    </row>
    <row r="371" customFormat="1" spans="1:70">
      <c r="A371" t="s">
        <v>2577</v>
      </c>
      <c r="B371" t="s">
        <v>2577</v>
      </c>
      <c r="C371" t="s">
        <v>1068</v>
      </c>
      <c r="D371" t="s">
        <v>247</v>
      </c>
      <c r="E371">
        <v>1</v>
      </c>
      <c r="F371" t="s">
        <v>1069</v>
      </c>
      <c r="G371" t="s">
        <v>1104</v>
      </c>
      <c r="H371">
        <v>180</v>
      </c>
      <c r="I371">
        <v>180</v>
      </c>
      <c r="J371">
        <v>0</v>
      </c>
      <c r="K371">
        <v>0</v>
      </c>
      <c r="L371" t="s">
        <v>78</v>
      </c>
      <c r="M371" t="s">
        <v>78</v>
      </c>
      <c r="N371" t="s">
        <v>78</v>
      </c>
      <c r="O371">
        <v>0</v>
      </c>
      <c r="P371">
        <v>0</v>
      </c>
      <c r="Q371">
        <v>0</v>
      </c>
      <c r="R371" t="s">
        <v>111</v>
      </c>
      <c r="S371">
        <v>0</v>
      </c>
      <c r="T371" t="s">
        <v>80</v>
      </c>
      <c r="U371" t="s">
        <v>80</v>
      </c>
      <c r="V371" t="s">
        <v>271</v>
      </c>
      <c r="W371" t="s">
        <v>421</v>
      </c>
      <c r="X371" t="s">
        <v>809</v>
      </c>
      <c r="Y371" t="s">
        <v>1423</v>
      </c>
      <c r="Z371" t="s">
        <v>80</v>
      </c>
      <c r="AA371" t="s">
        <v>85</v>
      </c>
      <c r="AC371" t="s">
        <v>2578</v>
      </c>
      <c r="AD371" t="s">
        <v>87</v>
      </c>
      <c r="AF371" t="s">
        <v>2495</v>
      </c>
      <c r="AG371" t="s">
        <v>2575</v>
      </c>
      <c r="AH371" t="s">
        <v>227</v>
      </c>
      <c r="AI371" t="s">
        <v>92</v>
      </c>
      <c r="AJ371" t="s">
        <v>93</v>
      </c>
      <c r="AK371" t="s">
        <v>2579</v>
      </c>
      <c r="AL371" t="s">
        <v>95</v>
      </c>
      <c r="AM371" t="s">
        <v>96</v>
      </c>
      <c r="AN371" t="s">
        <v>97</v>
      </c>
      <c r="AO371" t="s">
        <v>98</v>
      </c>
      <c r="AP371" t="s">
        <v>78</v>
      </c>
      <c r="AQ371" t="s">
        <v>78</v>
      </c>
      <c r="AS371" t="s">
        <v>78</v>
      </c>
      <c r="AT371" t="s">
        <v>100</v>
      </c>
      <c r="AU371" t="s">
        <v>100</v>
      </c>
      <c r="AW371" t="s">
        <v>85</v>
      </c>
      <c r="AX371" t="s">
        <v>101</v>
      </c>
      <c r="AY371" t="s">
        <v>102</v>
      </c>
      <c r="AZ371" t="s">
        <v>103</v>
      </c>
      <c r="BA371" t="s">
        <v>120</v>
      </c>
      <c r="BB371" t="s">
        <v>78</v>
      </c>
      <c r="BC371" t="s">
        <v>78</v>
      </c>
      <c r="BD371" t="s">
        <v>2498</v>
      </c>
      <c r="BE371">
        <v>0</v>
      </c>
      <c r="BF371">
        <v>0</v>
      </c>
      <c r="BG371">
        <v>0</v>
      </c>
      <c r="BH371">
        <v>0</v>
      </c>
      <c r="BJ371" t="s">
        <v>85</v>
      </c>
      <c r="BP371" t="s">
        <v>78</v>
      </c>
      <c r="BQ371" t="s">
        <v>78</v>
      </c>
      <c r="BR371" t="s">
        <v>78</v>
      </c>
    </row>
    <row r="372" customFormat="1" spans="1:70">
      <c r="A372" t="s">
        <v>2580</v>
      </c>
      <c r="B372" t="s">
        <v>2580</v>
      </c>
      <c r="C372" t="s">
        <v>1068</v>
      </c>
      <c r="D372" t="s">
        <v>230</v>
      </c>
      <c r="E372">
        <v>1</v>
      </c>
      <c r="F372" t="s">
        <v>1069</v>
      </c>
      <c r="G372" t="s">
        <v>2219</v>
      </c>
      <c r="H372">
        <v>180</v>
      </c>
      <c r="I372">
        <v>180</v>
      </c>
      <c r="J372">
        <v>0</v>
      </c>
      <c r="K372">
        <v>0</v>
      </c>
      <c r="L372" t="s">
        <v>78</v>
      </c>
      <c r="M372" t="s">
        <v>78</v>
      </c>
      <c r="N372" t="s">
        <v>78</v>
      </c>
      <c r="O372">
        <v>0</v>
      </c>
      <c r="P372">
        <v>0</v>
      </c>
      <c r="Q372">
        <v>0</v>
      </c>
      <c r="R372" t="s">
        <v>111</v>
      </c>
      <c r="S372">
        <v>0</v>
      </c>
      <c r="T372" t="s">
        <v>80</v>
      </c>
      <c r="U372" t="s">
        <v>80</v>
      </c>
      <c r="V372" t="s">
        <v>302</v>
      </c>
      <c r="W372" t="s">
        <v>303</v>
      </c>
      <c r="X372" t="s">
        <v>310</v>
      </c>
      <c r="Y372" t="s">
        <v>311</v>
      </c>
      <c r="Z372" t="s">
        <v>80</v>
      </c>
      <c r="AA372" t="s">
        <v>85</v>
      </c>
      <c r="AC372" t="s">
        <v>2581</v>
      </c>
      <c r="AD372" t="s">
        <v>87</v>
      </c>
      <c r="AF372" t="s">
        <v>2486</v>
      </c>
      <c r="AG372" t="s">
        <v>2582</v>
      </c>
      <c r="AH372" t="s">
        <v>91</v>
      </c>
      <c r="AI372" t="s">
        <v>92</v>
      </c>
      <c r="AJ372" t="s">
        <v>93</v>
      </c>
      <c r="AK372" t="s">
        <v>2583</v>
      </c>
      <c r="AL372" t="s">
        <v>95</v>
      </c>
      <c r="AM372" t="s">
        <v>96</v>
      </c>
      <c r="AN372" t="s">
        <v>97</v>
      </c>
      <c r="AO372" t="s">
        <v>98</v>
      </c>
      <c r="AP372" t="s">
        <v>78</v>
      </c>
      <c r="AQ372" t="s">
        <v>78</v>
      </c>
      <c r="AS372" t="s">
        <v>78</v>
      </c>
      <c r="AT372" t="s">
        <v>100</v>
      </c>
      <c r="AU372" t="s">
        <v>100</v>
      </c>
      <c r="AW372" t="s">
        <v>85</v>
      </c>
      <c r="AX372" t="s">
        <v>101</v>
      </c>
      <c r="AY372" t="s">
        <v>102</v>
      </c>
      <c r="AZ372" t="s">
        <v>103</v>
      </c>
      <c r="BA372" t="s">
        <v>245</v>
      </c>
      <c r="BB372" t="s">
        <v>78</v>
      </c>
      <c r="BC372" t="s">
        <v>78</v>
      </c>
      <c r="BD372" t="s">
        <v>2489</v>
      </c>
      <c r="BE372">
        <v>0</v>
      </c>
      <c r="BF372">
        <v>0</v>
      </c>
      <c r="BG372">
        <v>0</v>
      </c>
      <c r="BH372">
        <v>0</v>
      </c>
      <c r="BJ372" t="s">
        <v>85</v>
      </c>
      <c r="BP372" t="s">
        <v>78</v>
      </c>
      <c r="BQ372" t="s">
        <v>78</v>
      </c>
      <c r="BR372" t="s">
        <v>78</v>
      </c>
    </row>
    <row r="373" customFormat="1" spans="1:70">
      <c r="A373" t="s">
        <v>2584</v>
      </c>
      <c r="B373" t="s">
        <v>2584</v>
      </c>
      <c r="C373" t="s">
        <v>1068</v>
      </c>
      <c r="D373" t="s">
        <v>75</v>
      </c>
      <c r="E373">
        <v>1</v>
      </c>
      <c r="F373" t="s">
        <v>1069</v>
      </c>
      <c r="G373" t="s">
        <v>1070</v>
      </c>
      <c r="H373">
        <v>180</v>
      </c>
      <c r="I373">
        <v>180</v>
      </c>
      <c r="J373">
        <v>0</v>
      </c>
      <c r="K373">
        <v>0</v>
      </c>
      <c r="L373" t="s">
        <v>78</v>
      </c>
      <c r="M373" t="s">
        <v>78</v>
      </c>
      <c r="N373" t="s">
        <v>78</v>
      </c>
      <c r="O373">
        <v>0</v>
      </c>
      <c r="P373">
        <v>0</v>
      </c>
      <c r="Q373">
        <v>0</v>
      </c>
      <c r="R373" t="s">
        <v>79</v>
      </c>
      <c r="S373">
        <v>0</v>
      </c>
      <c r="T373" t="s">
        <v>80</v>
      </c>
      <c r="U373" t="s">
        <v>80</v>
      </c>
      <c r="V373" t="s">
        <v>464</v>
      </c>
      <c r="W373" t="s">
        <v>1460</v>
      </c>
      <c r="X373" t="s">
        <v>2167</v>
      </c>
      <c r="Y373" t="s">
        <v>2168</v>
      </c>
      <c r="Z373" t="s">
        <v>80</v>
      </c>
      <c r="AA373" t="s">
        <v>85</v>
      </c>
      <c r="AC373" t="s">
        <v>2585</v>
      </c>
      <c r="AD373" t="s">
        <v>87</v>
      </c>
      <c r="AF373" t="s">
        <v>2586</v>
      </c>
      <c r="AG373" t="s">
        <v>2587</v>
      </c>
      <c r="AH373" t="s">
        <v>227</v>
      </c>
      <c r="AI373" t="s">
        <v>92</v>
      </c>
      <c r="AJ373" t="s">
        <v>93</v>
      </c>
      <c r="AK373" t="s">
        <v>2588</v>
      </c>
      <c r="AL373" t="s">
        <v>95</v>
      </c>
      <c r="AM373" t="s">
        <v>96</v>
      </c>
      <c r="AN373" t="s">
        <v>97</v>
      </c>
      <c r="AO373" t="s">
        <v>98</v>
      </c>
      <c r="AP373" t="s">
        <v>78</v>
      </c>
      <c r="AQ373" t="s">
        <v>78</v>
      </c>
      <c r="AS373" t="s">
        <v>78</v>
      </c>
      <c r="AT373" t="s">
        <v>100</v>
      </c>
      <c r="AU373" t="s">
        <v>100</v>
      </c>
      <c r="AW373" t="s">
        <v>85</v>
      </c>
      <c r="AX373" t="s">
        <v>101</v>
      </c>
      <c r="AY373" t="s">
        <v>102</v>
      </c>
      <c r="AZ373" t="s">
        <v>103</v>
      </c>
      <c r="BA373" t="s">
        <v>120</v>
      </c>
      <c r="BB373" t="s">
        <v>78</v>
      </c>
      <c r="BC373" t="s">
        <v>78</v>
      </c>
      <c r="BD373" t="s">
        <v>2558</v>
      </c>
      <c r="BE373">
        <v>0</v>
      </c>
      <c r="BF373">
        <v>0</v>
      </c>
      <c r="BG373">
        <v>0</v>
      </c>
      <c r="BH373">
        <v>0</v>
      </c>
      <c r="BJ373" t="s">
        <v>85</v>
      </c>
      <c r="BP373" t="s">
        <v>78</v>
      </c>
      <c r="BQ373" t="s">
        <v>78</v>
      </c>
      <c r="BR373" t="s">
        <v>78</v>
      </c>
    </row>
    <row r="374" customFormat="1" spans="1:70">
      <c r="A374" t="s">
        <v>2589</v>
      </c>
      <c r="B374" t="s">
        <v>2589</v>
      </c>
      <c r="C374" t="s">
        <v>1080</v>
      </c>
      <c r="D374" t="s">
        <v>108</v>
      </c>
      <c r="E374">
        <v>1</v>
      </c>
      <c r="F374" t="s">
        <v>1081</v>
      </c>
      <c r="G374" t="s">
        <v>1082</v>
      </c>
      <c r="H374">
        <v>289</v>
      </c>
      <c r="I374">
        <v>289</v>
      </c>
      <c r="J374">
        <v>0</v>
      </c>
      <c r="K374">
        <v>0</v>
      </c>
      <c r="L374" t="s">
        <v>78</v>
      </c>
      <c r="M374" t="s">
        <v>78</v>
      </c>
      <c r="N374" t="s">
        <v>78</v>
      </c>
      <c r="O374">
        <v>0</v>
      </c>
      <c r="P374">
        <v>0</v>
      </c>
      <c r="Q374">
        <v>0</v>
      </c>
      <c r="R374" t="s">
        <v>111</v>
      </c>
      <c r="S374">
        <v>0</v>
      </c>
      <c r="T374" t="s">
        <v>80</v>
      </c>
      <c r="U374" t="s">
        <v>80</v>
      </c>
      <c r="V374" t="s">
        <v>271</v>
      </c>
      <c r="W374" t="s">
        <v>421</v>
      </c>
      <c r="X374" t="s">
        <v>809</v>
      </c>
      <c r="Y374" t="s">
        <v>1423</v>
      </c>
      <c r="Z374" t="s">
        <v>80</v>
      </c>
      <c r="AA374" t="s">
        <v>85</v>
      </c>
      <c r="AC374" t="s">
        <v>2590</v>
      </c>
      <c r="AD374" t="s">
        <v>87</v>
      </c>
      <c r="AF374" t="s">
        <v>2591</v>
      </c>
      <c r="AG374" t="s">
        <v>2592</v>
      </c>
      <c r="AH374" t="s">
        <v>227</v>
      </c>
      <c r="AI374" t="s">
        <v>92</v>
      </c>
      <c r="AJ374" t="s">
        <v>93</v>
      </c>
      <c r="AK374" t="s">
        <v>2593</v>
      </c>
      <c r="AL374" t="s">
        <v>95</v>
      </c>
      <c r="AM374" t="s">
        <v>96</v>
      </c>
      <c r="AN374" t="s">
        <v>97</v>
      </c>
      <c r="AO374" t="s">
        <v>98</v>
      </c>
      <c r="AP374" t="s">
        <v>78</v>
      </c>
      <c r="AQ374" t="s">
        <v>78</v>
      </c>
      <c r="AS374" t="s">
        <v>78</v>
      </c>
      <c r="AT374" t="s">
        <v>100</v>
      </c>
      <c r="AU374" t="s">
        <v>100</v>
      </c>
      <c r="AW374" t="s">
        <v>85</v>
      </c>
      <c r="AX374" t="s">
        <v>101</v>
      </c>
      <c r="AY374" t="s">
        <v>102</v>
      </c>
      <c r="AZ374" t="s">
        <v>103</v>
      </c>
      <c r="BA374" t="s">
        <v>120</v>
      </c>
      <c r="BB374" t="s">
        <v>78</v>
      </c>
      <c r="BC374" t="s">
        <v>78</v>
      </c>
      <c r="BD374" t="s">
        <v>2594</v>
      </c>
      <c r="BE374">
        <v>0</v>
      </c>
      <c r="BF374">
        <v>0</v>
      </c>
      <c r="BG374">
        <v>0</v>
      </c>
      <c r="BH374">
        <v>0</v>
      </c>
      <c r="BJ374" t="s">
        <v>85</v>
      </c>
      <c r="BP374" t="s">
        <v>78</v>
      </c>
      <c r="BQ374" t="s">
        <v>78</v>
      </c>
      <c r="BR374" t="s">
        <v>78</v>
      </c>
    </row>
    <row r="375" customFormat="1" spans="1:70">
      <c r="A375" t="s">
        <v>2595</v>
      </c>
      <c r="B375" t="s">
        <v>2595</v>
      </c>
      <c r="C375" t="s">
        <v>1080</v>
      </c>
      <c r="D375" t="s">
        <v>123</v>
      </c>
      <c r="E375">
        <v>1</v>
      </c>
      <c r="F375" t="s">
        <v>1081</v>
      </c>
      <c r="G375" t="s">
        <v>1626</v>
      </c>
      <c r="H375">
        <v>289</v>
      </c>
      <c r="I375">
        <v>289</v>
      </c>
      <c r="J375">
        <v>0</v>
      </c>
      <c r="K375">
        <v>0</v>
      </c>
      <c r="L375" t="s">
        <v>78</v>
      </c>
      <c r="M375" t="s">
        <v>78</v>
      </c>
      <c r="N375" t="s">
        <v>78</v>
      </c>
      <c r="O375">
        <v>0</v>
      </c>
      <c r="P375">
        <v>0</v>
      </c>
      <c r="Q375">
        <v>0</v>
      </c>
      <c r="R375" t="s">
        <v>79</v>
      </c>
      <c r="S375">
        <v>0</v>
      </c>
      <c r="T375" t="s">
        <v>80</v>
      </c>
      <c r="U375" t="s">
        <v>80</v>
      </c>
      <c r="V375" t="s">
        <v>464</v>
      </c>
      <c r="W375" t="s">
        <v>1460</v>
      </c>
      <c r="X375" t="s">
        <v>2167</v>
      </c>
      <c r="Y375" t="s">
        <v>2168</v>
      </c>
      <c r="Z375" t="s">
        <v>80</v>
      </c>
      <c r="AA375" t="s">
        <v>85</v>
      </c>
      <c r="AC375" t="s">
        <v>2596</v>
      </c>
      <c r="AD375" t="s">
        <v>202</v>
      </c>
      <c r="AE375" t="s">
        <v>2597</v>
      </c>
      <c r="AF375" t="s">
        <v>2449</v>
      </c>
      <c r="AG375" t="s">
        <v>2590</v>
      </c>
      <c r="AH375" t="s">
        <v>227</v>
      </c>
      <c r="AI375" t="s">
        <v>92</v>
      </c>
      <c r="AJ375" t="s">
        <v>93</v>
      </c>
      <c r="AK375" t="s">
        <v>2598</v>
      </c>
      <c r="AL375" t="s">
        <v>95</v>
      </c>
      <c r="AM375" t="s">
        <v>96</v>
      </c>
      <c r="AN375" t="s">
        <v>97</v>
      </c>
      <c r="AO375" t="s">
        <v>98</v>
      </c>
      <c r="AP375" t="s">
        <v>78</v>
      </c>
      <c r="AQ375" t="s">
        <v>99</v>
      </c>
      <c r="AS375" t="s">
        <v>78</v>
      </c>
      <c r="AT375" t="s">
        <v>100</v>
      </c>
      <c r="AU375" t="s">
        <v>100</v>
      </c>
      <c r="AW375" t="s">
        <v>85</v>
      </c>
      <c r="AX375" t="s">
        <v>101</v>
      </c>
      <c r="AY375" t="s">
        <v>102</v>
      </c>
      <c r="AZ375" t="s">
        <v>103</v>
      </c>
      <c r="BA375" t="s">
        <v>120</v>
      </c>
      <c r="BB375" t="s">
        <v>78</v>
      </c>
      <c r="BC375" t="s">
        <v>78</v>
      </c>
      <c r="BD375" t="s">
        <v>2452</v>
      </c>
      <c r="BE375">
        <v>0</v>
      </c>
      <c r="BF375">
        <v>0</v>
      </c>
      <c r="BG375">
        <v>0</v>
      </c>
      <c r="BH375">
        <v>0</v>
      </c>
      <c r="BJ375" t="s">
        <v>85</v>
      </c>
      <c r="BP375" t="s">
        <v>78</v>
      </c>
      <c r="BQ375" t="s">
        <v>78</v>
      </c>
      <c r="BR375" t="s">
        <v>78</v>
      </c>
    </row>
    <row r="376" customFormat="1" spans="1:70">
      <c r="A376" t="s">
        <v>2599</v>
      </c>
      <c r="B376" t="s">
        <v>2599</v>
      </c>
      <c r="C376" t="s">
        <v>1080</v>
      </c>
      <c r="D376" t="s">
        <v>135</v>
      </c>
      <c r="E376">
        <v>1</v>
      </c>
      <c r="F376" t="s">
        <v>1081</v>
      </c>
      <c r="G376" t="s">
        <v>1639</v>
      </c>
      <c r="H376">
        <v>289</v>
      </c>
      <c r="I376">
        <v>289</v>
      </c>
      <c r="J376">
        <v>0</v>
      </c>
      <c r="K376">
        <v>0</v>
      </c>
      <c r="L376" t="s">
        <v>78</v>
      </c>
      <c r="M376" t="s">
        <v>78</v>
      </c>
      <c r="N376" t="s">
        <v>78</v>
      </c>
      <c r="O376">
        <v>0</v>
      </c>
      <c r="P376">
        <v>0</v>
      </c>
      <c r="Q376">
        <v>0</v>
      </c>
      <c r="R376" t="s">
        <v>111</v>
      </c>
      <c r="S376">
        <v>0</v>
      </c>
      <c r="T376" t="s">
        <v>80</v>
      </c>
      <c r="U376" t="s">
        <v>80</v>
      </c>
      <c r="V376" t="s">
        <v>302</v>
      </c>
      <c r="W376" t="s">
        <v>303</v>
      </c>
      <c r="X376" t="s">
        <v>310</v>
      </c>
      <c r="Y376" t="s">
        <v>311</v>
      </c>
      <c r="Z376" t="s">
        <v>80</v>
      </c>
      <c r="AA376" t="s">
        <v>85</v>
      </c>
      <c r="AC376" t="s">
        <v>2596</v>
      </c>
      <c r="AD376" t="s">
        <v>87</v>
      </c>
      <c r="AF376" t="s">
        <v>2522</v>
      </c>
      <c r="AG376" t="s">
        <v>2600</v>
      </c>
      <c r="AH376" t="s">
        <v>91</v>
      </c>
      <c r="AI376" t="s">
        <v>92</v>
      </c>
      <c r="AJ376" t="s">
        <v>93</v>
      </c>
      <c r="AK376" t="s">
        <v>2601</v>
      </c>
      <c r="AL376" t="s">
        <v>95</v>
      </c>
      <c r="AM376" t="s">
        <v>96</v>
      </c>
      <c r="AN376" t="s">
        <v>97</v>
      </c>
      <c r="AO376" t="s">
        <v>98</v>
      </c>
      <c r="AP376" t="s">
        <v>78</v>
      </c>
      <c r="AQ376" t="s">
        <v>78</v>
      </c>
      <c r="AS376" t="s">
        <v>78</v>
      </c>
      <c r="AT376" t="s">
        <v>100</v>
      </c>
      <c r="AU376" t="s">
        <v>100</v>
      </c>
      <c r="AW376" t="s">
        <v>85</v>
      </c>
      <c r="AX376" t="s">
        <v>101</v>
      </c>
      <c r="AY376" t="s">
        <v>102</v>
      </c>
      <c r="AZ376" t="s">
        <v>103</v>
      </c>
      <c r="BA376" t="s">
        <v>245</v>
      </c>
      <c r="BB376" t="s">
        <v>78</v>
      </c>
      <c r="BC376" t="s">
        <v>78</v>
      </c>
      <c r="BD376" t="s">
        <v>2524</v>
      </c>
      <c r="BE376">
        <v>0</v>
      </c>
      <c r="BF376">
        <v>0</v>
      </c>
      <c r="BG376">
        <v>0</v>
      </c>
      <c r="BH376">
        <v>0</v>
      </c>
      <c r="BJ376" t="s">
        <v>85</v>
      </c>
      <c r="BP376" t="s">
        <v>78</v>
      </c>
      <c r="BQ376" t="s">
        <v>78</v>
      </c>
      <c r="BR376" t="s">
        <v>78</v>
      </c>
    </row>
    <row r="377" customFormat="1" spans="1:70">
      <c r="A377" t="s">
        <v>2602</v>
      </c>
      <c r="B377" t="s">
        <v>2602</v>
      </c>
      <c r="C377" t="s">
        <v>1050</v>
      </c>
      <c r="D377" t="s">
        <v>1153</v>
      </c>
      <c r="E377">
        <v>1</v>
      </c>
      <c r="F377" t="s">
        <v>1052</v>
      </c>
      <c r="G377" t="s">
        <v>1154</v>
      </c>
      <c r="H377">
        <v>129</v>
      </c>
      <c r="I377">
        <v>129</v>
      </c>
      <c r="J377">
        <v>0</v>
      </c>
      <c r="K377">
        <v>0</v>
      </c>
      <c r="L377" t="s">
        <v>78</v>
      </c>
      <c r="M377" t="s">
        <v>78</v>
      </c>
      <c r="N377" t="s">
        <v>78</v>
      </c>
      <c r="O377">
        <v>0</v>
      </c>
      <c r="P377">
        <v>0</v>
      </c>
      <c r="Q377">
        <v>0</v>
      </c>
      <c r="R377" t="s">
        <v>125</v>
      </c>
      <c r="S377">
        <v>0</v>
      </c>
      <c r="T377" t="s">
        <v>80</v>
      </c>
      <c r="U377" t="s">
        <v>80</v>
      </c>
      <c r="V377" t="s">
        <v>574</v>
      </c>
      <c r="W377" t="s">
        <v>574</v>
      </c>
      <c r="X377" t="s">
        <v>2603</v>
      </c>
      <c r="Y377" t="s">
        <v>2604</v>
      </c>
      <c r="Z377" t="s">
        <v>80</v>
      </c>
      <c r="AA377" t="s">
        <v>85</v>
      </c>
      <c r="AC377" t="s">
        <v>2605</v>
      </c>
      <c r="AD377" t="s">
        <v>87</v>
      </c>
      <c r="AG377" t="s">
        <v>2606</v>
      </c>
      <c r="AH377" t="s">
        <v>91</v>
      </c>
      <c r="AI377" t="s">
        <v>92</v>
      </c>
      <c r="AJ377" t="s">
        <v>131</v>
      </c>
      <c r="AK377" t="s">
        <v>2607</v>
      </c>
      <c r="AL377" t="s">
        <v>95</v>
      </c>
      <c r="AM377" t="s">
        <v>96</v>
      </c>
      <c r="AN377" t="s">
        <v>97</v>
      </c>
      <c r="AO377" t="s">
        <v>98</v>
      </c>
      <c r="AP377" t="s">
        <v>78</v>
      </c>
      <c r="AQ377" t="s">
        <v>99</v>
      </c>
      <c r="AS377" t="s">
        <v>78</v>
      </c>
      <c r="AT377" t="s">
        <v>100</v>
      </c>
      <c r="AU377" t="s">
        <v>100</v>
      </c>
      <c r="AW377" t="s">
        <v>85</v>
      </c>
      <c r="AX377" t="s">
        <v>101</v>
      </c>
      <c r="AY377" t="s">
        <v>102</v>
      </c>
      <c r="AZ377" t="s">
        <v>103</v>
      </c>
      <c r="BA377" t="s">
        <v>133</v>
      </c>
      <c r="BB377" t="s">
        <v>78</v>
      </c>
      <c r="BC377" t="s">
        <v>78</v>
      </c>
      <c r="BE377">
        <v>0</v>
      </c>
      <c r="BF377">
        <v>0</v>
      </c>
      <c r="BG377">
        <v>0</v>
      </c>
      <c r="BH377">
        <v>0</v>
      </c>
      <c r="BJ377" t="s">
        <v>85</v>
      </c>
      <c r="BP377" t="s">
        <v>78</v>
      </c>
      <c r="BQ377" t="s">
        <v>78</v>
      </c>
      <c r="BR377" t="s">
        <v>78</v>
      </c>
    </row>
    <row r="378" customFormat="1" spans="1:70">
      <c r="A378" t="s">
        <v>2608</v>
      </c>
      <c r="B378" t="s">
        <v>2608</v>
      </c>
      <c r="C378" t="s">
        <v>1050</v>
      </c>
      <c r="D378" t="s">
        <v>1189</v>
      </c>
      <c r="E378">
        <v>1</v>
      </c>
      <c r="F378" t="s">
        <v>1052</v>
      </c>
      <c r="G378" t="s">
        <v>1190</v>
      </c>
      <c r="H378">
        <v>129</v>
      </c>
      <c r="I378">
        <v>129</v>
      </c>
      <c r="J378">
        <v>0</v>
      </c>
      <c r="K378">
        <v>0</v>
      </c>
      <c r="L378" t="s">
        <v>78</v>
      </c>
      <c r="M378" t="s">
        <v>78</v>
      </c>
      <c r="N378" t="s">
        <v>78</v>
      </c>
      <c r="O378">
        <v>0</v>
      </c>
      <c r="P378">
        <v>0</v>
      </c>
      <c r="Q378">
        <v>0</v>
      </c>
      <c r="R378" t="s">
        <v>111</v>
      </c>
      <c r="S378">
        <v>0</v>
      </c>
      <c r="T378" t="s">
        <v>80</v>
      </c>
      <c r="U378" t="s">
        <v>80</v>
      </c>
      <c r="V378" t="s">
        <v>178</v>
      </c>
      <c r="W378" t="s">
        <v>178</v>
      </c>
      <c r="X378" t="s">
        <v>1302</v>
      </c>
      <c r="Y378" t="s">
        <v>1303</v>
      </c>
      <c r="Z378" t="s">
        <v>80</v>
      </c>
      <c r="AA378" t="s">
        <v>85</v>
      </c>
      <c r="AC378" t="s">
        <v>2609</v>
      </c>
      <c r="AD378" t="s">
        <v>87</v>
      </c>
      <c r="AH378" t="s">
        <v>2610</v>
      </c>
      <c r="AI378" t="s">
        <v>92</v>
      </c>
      <c r="AJ378" t="s">
        <v>131</v>
      </c>
      <c r="AK378" t="s">
        <v>2611</v>
      </c>
      <c r="AL378" t="s">
        <v>95</v>
      </c>
      <c r="AM378" t="s">
        <v>96</v>
      </c>
      <c r="AN378" t="s">
        <v>97</v>
      </c>
      <c r="AO378" t="s">
        <v>98</v>
      </c>
      <c r="AP378" t="s">
        <v>78</v>
      </c>
      <c r="AQ378" t="s">
        <v>78</v>
      </c>
      <c r="AR378" t="s">
        <v>353</v>
      </c>
      <c r="AS378" t="s">
        <v>78</v>
      </c>
      <c r="AT378" t="s">
        <v>100</v>
      </c>
      <c r="AU378" t="s">
        <v>100</v>
      </c>
      <c r="AW378" t="s">
        <v>85</v>
      </c>
      <c r="AX378" t="s">
        <v>103</v>
      </c>
      <c r="AY378" t="s">
        <v>159</v>
      </c>
      <c r="AZ378" t="s">
        <v>103</v>
      </c>
      <c r="BA378" t="s">
        <v>102</v>
      </c>
      <c r="BB378" t="s">
        <v>78</v>
      </c>
      <c r="BC378" t="s">
        <v>78</v>
      </c>
      <c r="BE378">
        <v>0</v>
      </c>
      <c r="BF378">
        <v>0</v>
      </c>
      <c r="BG378">
        <v>0</v>
      </c>
      <c r="BH378">
        <v>0</v>
      </c>
      <c r="BJ378" t="s">
        <v>85</v>
      </c>
      <c r="BP378" t="s">
        <v>78</v>
      </c>
      <c r="BQ378" t="s">
        <v>78</v>
      </c>
      <c r="BR378" t="s">
        <v>78</v>
      </c>
    </row>
    <row r="379" customFormat="1" spans="1:70">
      <c r="A379" t="s">
        <v>2612</v>
      </c>
      <c r="B379" t="s">
        <v>2612</v>
      </c>
      <c r="C379" t="s">
        <v>1050</v>
      </c>
      <c r="D379" t="s">
        <v>1377</v>
      </c>
      <c r="E379">
        <v>1</v>
      </c>
      <c r="F379" t="s">
        <v>1052</v>
      </c>
      <c r="G379" t="s">
        <v>1378</v>
      </c>
      <c r="H379">
        <v>129</v>
      </c>
      <c r="I379">
        <v>129</v>
      </c>
      <c r="J379">
        <v>0</v>
      </c>
      <c r="K379">
        <v>0</v>
      </c>
      <c r="L379" t="s">
        <v>78</v>
      </c>
      <c r="M379" t="s">
        <v>78</v>
      </c>
      <c r="N379" t="s">
        <v>78</v>
      </c>
      <c r="O379">
        <v>0</v>
      </c>
      <c r="P379">
        <v>0</v>
      </c>
      <c r="Q379">
        <v>0</v>
      </c>
      <c r="R379" t="s">
        <v>111</v>
      </c>
      <c r="S379">
        <v>0</v>
      </c>
      <c r="T379" t="s">
        <v>80</v>
      </c>
      <c r="U379" t="s">
        <v>80</v>
      </c>
      <c r="V379" t="s">
        <v>221</v>
      </c>
      <c r="W379" t="s">
        <v>336</v>
      </c>
      <c r="X379" t="s">
        <v>2613</v>
      </c>
      <c r="Y379" t="s">
        <v>2614</v>
      </c>
      <c r="Z379" t="s">
        <v>80</v>
      </c>
      <c r="AA379" t="s">
        <v>85</v>
      </c>
      <c r="AC379" t="s">
        <v>2615</v>
      </c>
      <c r="AD379" t="s">
        <v>87</v>
      </c>
      <c r="AH379" t="s">
        <v>183</v>
      </c>
      <c r="AI379" t="s">
        <v>92</v>
      </c>
      <c r="AJ379" t="s">
        <v>131</v>
      </c>
      <c r="AK379" t="s">
        <v>2616</v>
      </c>
      <c r="AL379" t="s">
        <v>95</v>
      </c>
      <c r="AM379" t="s">
        <v>96</v>
      </c>
      <c r="AN379" t="s">
        <v>97</v>
      </c>
      <c r="AO379" t="s">
        <v>98</v>
      </c>
      <c r="AP379" t="s">
        <v>78</v>
      </c>
      <c r="AQ379" t="s">
        <v>78</v>
      </c>
      <c r="AR379" t="s">
        <v>353</v>
      </c>
      <c r="AS379" t="s">
        <v>78</v>
      </c>
      <c r="AT379" t="s">
        <v>100</v>
      </c>
      <c r="AU379" t="s">
        <v>100</v>
      </c>
      <c r="AW379" t="s">
        <v>85</v>
      </c>
      <c r="AX379" t="s">
        <v>103</v>
      </c>
      <c r="AY379" t="s">
        <v>159</v>
      </c>
      <c r="AZ379" t="s">
        <v>103</v>
      </c>
      <c r="BA379" t="s">
        <v>185</v>
      </c>
      <c r="BB379" t="s">
        <v>78</v>
      </c>
      <c r="BC379" t="s">
        <v>78</v>
      </c>
      <c r="BE379">
        <v>0</v>
      </c>
      <c r="BF379">
        <v>0</v>
      </c>
      <c r="BG379">
        <v>0</v>
      </c>
      <c r="BH379">
        <v>0</v>
      </c>
      <c r="BJ379" t="s">
        <v>85</v>
      </c>
      <c r="BP379" t="s">
        <v>78</v>
      </c>
      <c r="BQ379" t="s">
        <v>78</v>
      </c>
      <c r="BR379" t="s">
        <v>78</v>
      </c>
    </row>
    <row r="380" customFormat="1" spans="1:70">
      <c r="A380" t="s">
        <v>2617</v>
      </c>
      <c r="B380" t="s">
        <v>2617</v>
      </c>
      <c r="C380" t="s">
        <v>1050</v>
      </c>
      <c r="D380" t="s">
        <v>1377</v>
      </c>
      <c r="E380">
        <v>1</v>
      </c>
      <c r="F380" t="s">
        <v>1052</v>
      </c>
      <c r="G380" t="s">
        <v>1378</v>
      </c>
      <c r="H380">
        <v>129</v>
      </c>
      <c r="I380">
        <v>129</v>
      </c>
      <c r="J380">
        <v>0</v>
      </c>
      <c r="K380">
        <v>0</v>
      </c>
      <c r="L380" t="s">
        <v>78</v>
      </c>
      <c r="M380" t="s">
        <v>78</v>
      </c>
      <c r="N380" t="s">
        <v>78</v>
      </c>
      <c r="O380">
        <v>0</v>
      </c>
      <c r="P380">
        <v>0</v>
      </c>
      <c r="Q380">
        <v>0</v>
      </c>
      <c r="R380" t="s">
        <v>125</v>
      </c>
      <c r="S380">
        <v>0</v>
      </c>
      <c r="T380" t="s">
        <v>80</v>
      </c>
      <c r="U380" t="s">
        <v>80</v>
      </c>
      <c r="V380" t="s">
        <v>221</v>
      </c>
      <c r="W380" t="s">
        <v>336</v>
      </c>
      <c r="X380" t="s">
        <v>2613</v>
      </c>
      <c r="Y380" t="s">
        <v>2614</v>
      </c>
      <c r="Z380" t="s">
        <v>80</v>
      </c>
      <c r="AA380" t="s">
        <v>85</v>
      </c>
      <c r="AC380" t="s">
        <v>2618</v>
      </c>
      <c r="AD380" t="s">
        <v>87</v>
      </c>
      <c r="AH380" t="s">
        <v>183</v>
      </c>
      <c r="AI380" t="s">
        <v>92</v>
      </c>
      <c r="AJ380" t="s">
        <v>131</v>
      </c>
      <c r="AK380" t="s">
        <v>2619</v>
      </c>
      <c r="AL380" t="s">
        <v>95</v>
      </c>
      <c r="AM380" t="s">
        <v>96</v>
      </c>
      <c r="AN380" t="s">
        <v>97</v>
      </c>
      <c r="AO380" t="s">
        <v>98</v>
      </c>
      <c r="AP380" t="s">
        <v>78</v>
      </c>
      <c r="AQ380" t="s">
        <v>78</v>
      </c>
      <c r="AR380" t="s">
        <v>353</v>
      </c>
      <c r="AS380" t="s">
        <v>78</v>
      </c>
      <c r="AT380" t="s">
        <v>100</v>
      </c>
      <c r="AU380" t="s">
        <v>100</v>
      </c>
      <c r="AW380" t="s">
        <v>85</v>
      </c>
      <c r="AX380" t="s">
        <v>103</v>
      </c>
      <c r="AY380" t="s">
        <v>159</v>
      </c>
      <c r="AZ380" t="s">
        <v>103</v>
      </c>
      <c r="BA380" t="s">
        <v>185</v>
      </c>
      <c r="BB380" t="s">
        <v>78</v>
      </c>
      <c r="BC380" t="s">
        <v>78</v>
      </c>
      <c r="BE380">
        <v>0</v>
      </c>
      <c r="BF380">
        <v>0</v>
      </c>
      <c r="BG380">
        <v>0</v>
      </c>
      <c r="BH380">
        <v>0</v>
      </c>
      <c r="BJ380" t="s">
        <v>85</v>
      </c>
      <c r="BP380" t="s">
        <v>78</v>
      </c>
      <c r="BQ380" t="s">
        <v>78</v>
      </c>
      <c r="BR380" t="s">
        <v>78</v>
      </c>
    </row>
    <row r="381" customFormat="1" spans="1:70">
      <c r="A381" t="s">
        <v>2620</v>
      </c>
      <c r="B381" t="s">
        <v>2620</v>
      </c>
      <c r="C381" t="s">
        <v>107</v>
      </c>
      <c r="D381" t="s">
        <v>135</v>
      </c>
      <c r="E381">
        <v>1</v>
      </c>
      <c r="F381" t="s">
        <v>109</v>
      </c>
      <c r="G381" t="s">
        <v>136</v>
      </c>
      <c r="H381">
        <v>289</v>
      </c>
      <c r="I381">
        <v>289</v>
      </c>
      <c r="J381">
        <v>0</v>
      </c>
      <c r="K381">
        <v>0</v>
      </c>
      <c r="L381" t="s">
        <v>78</v>
      </c>
      <c r="M381" t="s">
        <v>78</v>
      </c>
      <c r="N381" t="s">
        <v>78</v>
      </c>
      <c r="O381">
        <v>0</v>
      </c>
      <c r="P381">
        <v>0</v>
      </c>
      <c r="Q381">
        <v>0</v>
      </c>
      <c r="R381" t="s">
        <v>125</v>
      </c>
      <c r="S381">
        <v>0</v>
      </c>
      <c r="T381" t="s">
        <v>80</v>
      </c>
      <c r="U381" t="s">
        <v>80</v>
      </c>
      <c r="V381" t="s">
        <v>239</v>
      </c>
      <c r="W381" t="s">
        <v>263</v>
      </c>
      <c r="X381" t="s">
        <v>2621</v>
      </c>
      <c r="Y381" t="s">
        <v>78</v>
      </c>
      <c r="Z381" t="s">
        <v>80</v>
      </c>
      <c r="AA381" t="s">
        <v>85</v>
      </c>
      <c r="AC381" t="s">
        <v>2622</v>
      </c>
      <c r="AD381" t="s">
        <v>87</v>
      </c>
      <c r="AF381" t="s">
        <v>2623</v>
      </c>
      <c r="AG381" t="s">
        <v>2624</v>
      </c>
      <c r="AH381" t="s">
        <v>91</v>
      </c>
      <c r="AI381" t="s">
        <v>92</v>
      </c>
      <c r="AJ381" t="s">
        <v>93</v>
      </c>
      <c r="AK381" t="s">
        <v>2625</v>
      </c>
      <c r="AL381" t="s">
        <v>95</v>
      </c>
      <c r="AM381" t="s">
        <v>96</v>
      </c>
      <c r="AN381" t="s">
        <v>97</v>
      </c>
      <c r="AO381" t="s">
        <v>98</v>
      </c>
      <c r="AP381" t="s">
        <v>78</v>
      </c>
      <c r="AQ381" t="s">
        <v>78</v>
      </c>
      <c r="AS381" t="s">
        <v>78</v>
      </c>
      <c r="AT381" t="s">
        <v>100</v>
      </c>
      <c r="AU381" t="s">
        <v>100</v>
      </c>
      <c r="AW381" t="s">
        <v>85</v>
      </c>
      <c r="AX381" t="s">
        <v>101</v>
      </c>
      <c r="AY381" t="s">
        <v>102</v>
      </c>
      <c r="AZ381" t="s">
        <v>103</v>
      </c>
      <c r="BA381" t="s">
        <v>104</v>
      </c>
      <c r="BB381" t="s">
        <v>78</v>
      </c>
      <c r="BC381" t="s">
        <v>78</v>
      </c>
      <c r="BD381" t="s">
        <v>1878</v>
      </c>
      <c r="BE381">
        <v>0</v>
      </c>
      <c r="BF381">
        <v>0</v>
      </c>
      <c r="BG381">
        <v>0</v>
      </c>
      <c r="BH381">
        <v>0</v>
      </c>
      <c r="BJ381" t="s">
        <v>85</v>
      </c>
      <c r="BP381" t="s">
        <v>78</v>
      </c>
      <c r="BQ381" t="s">
        <v>78</v>
      </c>
      <c r="BR381" t="s">
        <v>78</v>
      </c>
    </row>
    <row r="382" customFormat="1" spans="1:70">
      <c r="A382" t="s">
        <v>2626</v>
      </c>
      <c r="B382" t="s">
        <v>2626</v>
      </c>
      <c r="C382" t="s">
        <v>2225</v>
      </c>
      <c r="D382" t="s">
        <v>123</v>
      </c>
      <c r="E382">
        <v>1</v>
      </c>
      <c r="F382" t="s">
        <v>2226</v>
      </c>
      <c r="G382" t="s">
        <v>2334</v>
      </c>
      <c r="H382">
        <v>499</v>
      </c>
      <c r="I382">
        <v>499</v>
      </c>
      <c r="J382">
        <v>0</v>
      </c>
      <c r="K382">
        <v>0</v>
      </c>
      <c r="L382" t="s">
        <v>78</v>
      </c>
      <c r="M382" t="s">
        <v>78</v>
      </c>
      <c r="N382" t="s">
        <v>78</v>
      </c>
      <c r="O382">
        <v>0</v>
      </c>
      <c r="P382">
        <v>0</v>
      </c>
      <c r="Q382">
        <v>0</v>
      </c>
      <c r="R382" t="s">
        <v>125</v>
      </c>
      <c r="S382">
        <v>0</v>
      </c>
      <c r="T382" t="s">
        <v>80</v>
      </c>
      <c r="U382" t="s">
        <v>80</v>
      </c>
      <c r="V382" t="s">
        <v>271</v>
      </c>
      <c r="W382" t="s">
        <v>272</v>
      </c>
      <c r="X382" t="s">
        <v>2627</v>
      </c>
      <c r="Y382" t="s">
        <v>2628</v>
      </c>
      <c r="Z382" t="s">
        <v>80</v>
      </c>
      <c r="AA382" t="s">
        <v>85</v>
      </c>
      <c r="AC382" t="s">
        <v>2629</v>
      </c>
      <c r="AD382" t="s">
        <v>202</v>
      </c>
      <c r="AE382" t="s">
        <v>2630</v>
      </c>
      <c r="AF382" t="s">
        <v>2631</v>
      </c>
      <c r="AG382" t="s">
        <v>2632</v>
      </c>
      <c r="AH382" t="s">
        <v>227</v>
      </c>
      <c r="AI382" t="s">
        <v>92</v>
      </c>
      <c r="AJ382" t="s">
        <v>93</v>
      </c>
      <c r="AK382" t="s">
        <v>2633</v>
      </c>
      <c r="AL382" t="s">
        <v>95</v>
      </c>
      <c r="AM382" t="s">
        <v>96</v>
      </c>
      <c r="AN382" t="s">
        <v>97</v>
      </c>
      <c r="AO382" t="s">
        <v>98</v>
      </c>
      <c r="AP382" t="s">
        <v>78</v>
      </c>
      <c r="AQ382" t="s">
        <v>99</v>
      </c>
      <c r="AS382" t="s">
        <v>78</v>
      </c>
      <c r="AT382" t="s">
        <v>100</v>
      </c>
      <c r="AU382" t="s">
        <v>100</v>
      </c>
      <c r="AW382" t="s">
        <v>85</v>
      </c>
      <c r="AX382" t="s">
        <v>101</v>
      </c>
      <c r="AY382" t="s">
        <v>102</v>
      </c>
      <c r="AZ382" t="s">
        <v>103</v>
      </c>
      <c r="BA382" t="s">
        <v>120</v>
      </c>
      <c r="BB382" t="s">
        <v>78</v>
      </c>
      <c r="BC382" t="s">
        <v>78</v>
      </c>
      <c r="BD382" t="s">
        <v>2634</v>
      </c>
      <c r="BE382">
        <v>0</v>
      </c>
      <c r="BF382">
        <v>0</v>
      </c>
      <c r="BG382">
        <v>0</v>
      </c>
      <c r="BH382">
        <v>0</v>
      </c>
      <c r="BJ382" t="s">
        <v>85</v>
      </c>
      <c r="BP382" t="s">
        <v>78</v>
      </c>
      <c r="BQ382" t="s">
        <v>78</v>
      </c>
      <c r="BR382" t="s">
        <v>78</v>
      </c>
    </row>
    <row r="383" customFormat="1" spans="1:70">
      <c r="A383" t="s">
        <v>2635</v>
      </c>
      <c r="B383" t="s">
        <v>2635</v>
      </c>
      <c r="C383" t="s">
        <v>2225</v>
      </c>
      <c r="D383" t="s">
        <v>135</v>
      </c>
      <c r="E383">
        <v>1</v>
      </c>
      <c r="F383" t="s">
        <v>2226</v>
      </c>
      <c r="G383" t="s">
        <v>2236</v>
      </c>
      <c r="H383">
        <v>499</v>
      </c>
      <c r="I383">
        <v>499</v>
      </c>
      <c r="J383">
        <v>0</v>
      </c>
      <c r="K383">
        <v>0</v>
      </c>
      <c r="L383" t="s">
        <v>78</v>
      </c>
      <c r="M383" t="s">
        <v>78</v>
      </c>
      <c r="N383" t="s">
        <v>78</v>
      </c>
      <c r="O383">
        <v>0</v>
      </c>
      <c r="P383">
        <v>0</v>
      </c>
      <c r="Q383">
        <v>0</v>
      </c>
      <c r="R383" t="s">
        <v>125</v>
      </c>
      <c r="S383">
        <v>0</v>
      </c>
      <c r="T383" t="s">
        <v>80</v>
      </c>
      <c r="U383" t="s">
        <v>80</v>
      </c>
      <c r="V383" t="s">
        <v>126</v>
      </c>
      <c r="W383" t="s">
        <v>2636</v>
      </c>
      <c r="X383" t="s">
        <v>2637</v>
      </c>
      <c r="Y383" t="s">
        <v>2638</v>
      </c>
      <c r="Z383" t="s">
        <v>80</v>
      </c>
      <c r="AA383" t="s">
        <v>85</v>
      </c>
      <c r="AC383" t="s">
        <v>2639</v>
      </c>
      <c r="AD383" t="s">
        <v>87</v>
      </c>
      <c r="AG383" t="s">
        <v>2640</v>
      </c>
      <c r="AH383" t="s">
        <v>91</v>
      </c>
      <c r="AI383" t="s">
        <v>92</v>
      </c>
      <c r="AJ383" t="s">
        <v>131</v>
      </c>
      <c r="AK383" t="s">
        <v>2641</v>
      </c>
      <c r="AL383" t="s">
        <v>95</v>
      </c>
      <c r="AM383" t="s">
        <v>96</v>
      </c>
      <c r="AN383" t="s">
        <v>97</v>
      </c>
      <c r="AO383" t="s">
        <v>98</v>
      </c>
      <c r="AP383" t="s">
        <v>78</v>
      </c>
      <c r="AQ383" t="s">
        <v>99</v>
      </c>
      <c r="AS383" t="s">
        <v>78</v>
      </c>
      <c r="AT383" t="s">
        <v>100</v>
      </c>
      <c r="AU383" t="s">
        <v>100</v>
      </c>
      <c r="AW383" t="s">
        <v>85</v>
      </c>
      <c r="AX383" t="s">
        <v>103</v>
      </c>
      <c r="AY383" t="s">
        <v>159</v>
      </c>
      <c r="AZ383" t="s">
        <v>103</v>
      </c>
      <c r="BA383" t="s">
        <v>133</v>
      </c>
      <c r="BB383" t="s">
        <v>78</v>
      </c>
      <c r="BC383" t="s">
        <v>78</v>
      </c>
      <c r="BE383">
        <v>0</v>
      </c>
      <c r="BF383">
        <v>0</v>
      </c>
      <c r="BG383">
        <v>0</v>
      </c>
      <c r="BH383">
        <v>0</v>
      </c>
      <c r="BJ383" t="s">
        <v>85</v>
      </c>
      <c r="BP383" t="s">
        <v>78</v>
      </c>
      <c r="BQ383" t="s">
        <v>78</v>
      </c>
      <c r="BR383" t="s">
        <v>78</v>
      </c>
    </row>
    <row r="384" customFormat="1" spans="1:70">
      <c r="A384" t="s">
        <v>2642</v>
      </c>
      <c r="B384" t="s">
        <v>2642</v>
      </c>
      <c r="C384" t="s">
        <v>2225</v>
      </c>
      <c r="D384" t="s">
        <v>108</v>
      </c>
      <c r="E384">
        <v>1</v>
      </c>
      <c r="F384" t="s">
        <v>2226</v>
      </c>
      <c r="G384" t="s">
        <v>2227</v>
      </c>
      <c r="H384">
        <v>499</v>
      </c>
      <c r="I384">
        <v>499</v>
      </c>
      <c r="J384">
        <v>0</v>
      </c>
      <c r="K384">
        <v>0</v>
      </c>
      <c r="L384" t="s">
        <v>78</v>
      </c>
      <c r="M384" t="s">
        <v>78</v>
      </c>
      <c r="N384" t="s">
        <v>78</v>
      </c>
      <c r="O384">
        <v>0</v>
      </c>
      <c r="P384">
        <v>0</v>
      </c>
      <c r="Q384">
        <v>0</v>
      </c>
      <c r="R384" t="s">
        <v>79</v>
      </c>
      <c r="S384">
        <v>0</v>
      </c>
      <c r="T384" t="s">
        <v>80</v>
      </c>
      <c r="U384" t="s">
        <v>80</v>
      </c>
      <c r="V384" t="s">
        <v>574</v>
      </c>
      <c r="W384" t="s">
        <v>574</v>
      </c>
      <c r="X384" t="s">
        <v>575</v>
      </c>
      <c r="Y384" t="s">
        <v>2643</v>
      </c>
      <c r="Z384" t="s">
        <v>80</v>
      </c>
      <c r="AA384" t="s">
        <v>85</v>
      </c>
      <c r="AC384" t="s">
        <v>2644</v>
      </c>
      <c r="AD384" t="s">
        <v>87</v>
      </c>
      <c r="AG384" t="s">
        <v>2645</v>
      </c>
      <c r="AH384" t="s">
        <v>91</v>
      </c>
      <c r="AI384" t="s">
        <v>92</v>
      </c>
      <c r="AJ384" t="s">
        <v>131</v>
      </c>
      <c r="AK384" t="s">
        <v>2646</v>
      </c>
      <c r="AL384" t="s">
        <v>95</v>
      </c>
      <c r="AM384" t="s">
        <v>96</v>
      </c>
      <c r="AN384" t="s">
        <v>97</v>
      </c>
      <c r="AO384" t="s">
        <v>98</v>
      </c>
      <c r="AP384" t="s">
        <v>78</v>
      </c>
      <c r="AQ384" t="s">
        <v>99</v>
      </c>
      <c r="AS384" t="s">
        <v>78</v>
      </c>
      <c r="AT384" t="s">
        <v>100</v>
      </c>
      <c r="AU384" t="s">
        <v>100</v>
      </c>
      <c r="AW384" t="s">
        <v>85</v>
      </c>
      <c r="AX384" t="s">
        <v>101</v>
      </c>
      <c r="AY384" t="s">
        <v>102</v>
      </c>
      <c r="AZ384" t="s">
        <v>103</v>
      </c>
      <c r="BA384" t="s">
        <v>120</v>
      </c>
      <c r="BB384" t="s">
        <v>78</v>
      </c>
      <c r="BC384" t="s">
        <v>78</v>
      </c>
      <c r="BE384">
        <v>0</v>
      </c>
      <c r="BF384">
        <v>0</v>
      </c>
      <c r="BG384">
        <v>0</v>
      </c>
      <c r="BH384">
        <v>0</v>
      </c>
      <c r="BJ384" t="s">
        <v>85</v>
      </c>
      <c r="BP384" t="s">
        <v>78</v>
      </c>
      <c r="BQ384" t="s">
        <v>78</v>
      </c>
      <c r="BR384" t="s">
        <v>78</v>
      </c>
    </row>
    <row r="385" customFormat="1" spans="1:70">
      <c r="A385" t="s">
        <v>2647</v>
      </c>
      <c r="B385" t="s">
        <v>2647</v>
      </c>
      <c r="C385" t="s">
        <v>2225</v>
      </c>
      <c r="D385" t="s">
        <v>135</v>
      </c>
      <c r="E385">
        <v>1</v>
      </c>
      <c r="F385" t="s">
        <v>2226</v>
      </c>
      <c r="G385" t="s">
        <v>2236</v>
      </c>
      <c r="H385">
        <v>499</v>
      </c>
      <c r="I385">
        <v>499</v>
      </c>
      <c r="J385">
        <v>0</v>
      </c>
      <c r="K385">
        <v>0</v>
      </c>
      <c r="L385" t="s">
        <v>78</v>
      </c>
      <c r="M385" t="s">
        <v>78</v>
      </c>
      <c r="N385" t="s">
        <v>78</v>
      </c>
      <c r="O385">
        <v>0</v>
      </c>
      <c r="P385">
        <v>0</v>
      </c>
      <c r="Q385">
        <v>0</v>
      </c>
      <c r="R385" t="s">
        <v>111</v>
      </c>
      <c r="S385">
        <v>0</v>
      </c>
      <c r="T385" t="s">
        <v>80</v>
      </c>
      <c r="U385" t="s">
        <v>80</v>
      </c>
      <c r="V385" t="s">
        <v>161</v>
      </c>
      <c r="W385" t="s">
        <v>161</v>
      </c>
      <c r="X385" t="s">
        <v>1243</v>
      </c>
      <c r="Y385" t="s">
        <v>1580</v>
      </c>
      <c r="Z385" t="s">
        <v>80</v>
      </c>
      <c r="AA385" t="s">
        <v>85</v>
      </c>
      <c r="AC385" t="s">
        <v>2648</v>
      </c>
      <c r="AD385" t="s">
        <v>202</v>
      </c>
      <c r="AE385" t="s">
        <v>2649</v>
      </c>
      <c r="AG385" t="s">
        <v>2645</v>
      </c>
      <c r="AH385" t="s">
        <v>91</v>
      </c>
      <c r="AI385" t="s">
        <v>92</v>
      </c>
      <c r="AJ385" t="s">
        <v>131</v>
      </c>
      <c r="AK385" t="s">
        <v>2646</v>
      </c>
      <c r="AL385" t="s">
        <v>95</v>
      </c>
      <c r="AM385" t="s">
        <v>96</v>
      </c>
      <c r="AN385" t="s">
        <v>97</v>
      </c>
      <c r="AO385" t="s">
        <v>98</v>
      </c>
      <c r="AP385" t="s">
        <v>78</v>
      </c>
      <c r="AQ385" t="s">
        <v>99</v>
      </c>
      <c r="AS385" t="s">
        <v>78</v>
      </c>
      <c r="AT385" t="s">
        <v>100</v>
      </c>
      <c r="AU385" t="s">
        <v>100</v>
      </c>
      <c r="AW385" t="s">
        <v>85</v>
      </c>
      <c r="AX385" t="s">
        <v>103</v>
      </c>
      <c r="AY385" t="s">
        <v>159</v>
      </c>
      <c r="AZ385" t="s">
        <v>103</v>
      </c>
      <c r="BA385" t="s">
        <v>104</v>
      </c>
      <c r="BB385" t="s">
        <v>78</v>
      </c>
      <c r="BC385" t="s">
        <v>78</v>
      </c>
      <c r="BD385" t="s">
        <v>2650</v>
      </c>
      <c r="BE385">
        <v>0</v>
      </c>
      <c r="BF385">
        <v>0</v>
      </c>
      <c r="BG385">
        <v>0</v>
      </c>
      <c r="BH385">
        <v>0</v>
      </c>
      <c r="BJ385" t="s">
        <v>85</v>
      </c>
      <c r="BP385" t="s">
        <v>78</v>
      </c>
      <c r="BQ385" t="s">
        <v>78</v>
      </c>
      <c r="BR385" t="s">
        <v>78</v>
      </c>
    </row>
    <row r="386" customFormat="1" spans="1:70">
      <c r="A386" t="s">
        <v>2651</v>
      </c>
      <c r="B386" t="s">
        <v>2651</v>
      </c>
      <c r="C386" t="s">
        <v>2225</v>
      </c>
      <c r="D386" t="s">
        <v>123</v>
      </c>
      <c r="E386">
        <v>1</v>
      </c>
      <c r="F386" t="s">
        <v>2226</v>
      </c>
      <c r="G386" t="s">
        <v>2334</v>
      </c>
      <c r="H386">
        <v>499</v>
      </c>
      <c r="I386">
        <v>499</v>
      </c>
      <c r="J386">
        <v>0</v>
      </c>
      <c r="K386">
        <v>0</v>
      </c>
      <c r="L386" t="s">
        <v>78</v>
      </c>
      <c r="M386" t="s">
        <v>78</v>
      </c>
      <c r="N386" t="s">
        <v>78</v>
      </c>
      <c r="O386">
        <v>0</v>
      </c>
      <c r="P386">
        <v>0</v>
      </c>
      <c r="Q386">
        <v>0</v>
      </c>
      <c r="R386" t="s">
        <v>111</v>
      </c>
      <c r="S386">
        <v>0</v>
      </c>
      <c r="T386" t="s">
        <v>80</v>
      </c>
      <c r="U386" t="s">
        <v>80</v>
      </c>
      <c r="V386" t="s">
        <v>347</v>
      </c>
      <c r="W386" t="s">
        <v>2652</v>
      </c>
      <c r="X386" t="s">
        <v>2653</v>
      </c>
      <c r="Y386" t="s">
        <v>78</v>
      </c>
      <c r="Z386" t="s">
        <v>80</v>
      </c>
      <c r="AA386" t="s">
        <v>85</v>
      </c>
      <c r="AC386" t="s">
        <v>2654</v>
      </c>
      <c r="AD386" t="s">
        <v>87</v>
      </c>
      <c r="AF386" t="s">
        <v>2655</v>
      </c>
      <c r="AG386" t="s">
        <v>2656</v>
      </c>
      <c r="AH386" t="s">
        <v>91</v>
      </c>
      <c r="AI386" t="s">
        <v>92</v>
      </c>
      <c r="AJ386" t="s">
        <v>93</v>
      </c>
      <c r="AK386" t="s">
        <v>2657</v>
      </c>
      <c r="AL386" t="s">
        <v>95</v>
      </c>
      <c r="AM386" t="s">
        <v>96</v>
      </c>
      <c r="AN386" t="s">
        <v>97</v>
      </c>
      <c r="AO386" t="s">
        <v>98</v>
      </c>
      <c r="AP386" t="s">
        <v>78</v>
      </c>
      <c r="AQ386" t="s">
        <v>78</v>
      </c>
      <c r="AS386" t="s">
        <v>78</v>
      </c>
      <c r="AT386" t="s">
        <v>100</v>
      </c>
      <c r="AU386" t="s">
        <v>100</v>
      </c>
      <c r="AW386" t="s">
        <v>85</v>
      </c>
      <c r="AX386" t="s">
        <v>103</v>
      </c>
      <c r="AY386" t="s">
        <v>159</v>
      </c>
      <c r="AZ386" t="s">
        <v>103</v>
      </c>
      <c r="BA386" t="s">
        <v>419</v>
      </c>
      <c r="BB386" t="s">
        <v>78</v>
      </c>
      <c r="BC386" t="s">
        <v>78</v>
      </c>
      <c r="BD386" t="s">
        <v>2658</v>
      </c>
      <c r="BE386">
        <v>0</v>
      </c>
      <c r="BF386">
        <v>0</v>
      </c>
      <c r="BG386">
        <v>0</v>
      </c>
      <c r="BH386">
        <v>0</v>
      </c>
      <c r="BJ386" t="s">
        <v>85</v>
      </c>
      <c r="BP386" t="s">
        <v>78</v>
      </c>
      <c r="BQ386" t="s">
        <v>78</v>
      </c>
      <c r="BR386" t="s">
        <v>78</v>
      </c>
    </row>
    <row r="387" customFormat="1" spans="1:70">
      <c r="A387" t="s">
        <v>2659</v>
      </c>
      <c r="B387" t="s">
        <v>2659</v>
      </c>
      <c r="C387" t="s">
        <v>2225</v>
      </c>
      <c r="D387" t="s">
        <v>135</v>
      </c>
      <c r="E387">
        <v>1</v>
      </c>
      <c r="F387" t="s">
        <v>2226</v>
      </c>
      <c r="G387" t="s">
        <v>2236</v>
      </c>
      <c r="H387">
        <v>499</v>
      </c>
      <c r="I387">
        <v>499</v>
      </c>
      <c r="J387">
        <v>0</v>
      </c>
      <c r="K387">
        <v>0</v>
      </c>
      <c r="L387" t="s">
        <v>78</v>
      </c>
      <c r="M387" t="s">
        <v>78</v>
      </c>
      <c r="N387" t="s">
        <v>78</v>
      </c>
      <c r="O387">
        <v>0</v>
      </c>
      <c r="P387">
        <v>0</v>
      </c>
      <c r="Q387">
        <v>0</v>
      </c>
      <c r="R387" t="s">
        <v>111</v>
      </c>
      <c r="S387">
        <v>0</v>
      </c>
      <c r="T387" t="s">
        <v>80</v>
      </c>
      <c r="U387" t="s">
        <v>80</v>
      </c>
      <c r="V387" t="s">
        <v>509</v>
      </c>
      <c r="W387" t="s">
        <v>1696</v>
      </c>
      <c r="X387" t="s">
        <v>1888</v>
      </c>
      <c r="Y387" t="s">
        <v>1889</v>
      </c>
      <c r="Z387" t="s">
        <v>80</v>
      </c>
      <c r="AA387" t="s">
        <v>85</v>
      </c>
      <c r="AC387" t="s">
        <v>2660</v>
      </c>
      <c r="AD387" t="s">
        <v>202</v>
      </c>
      <c r="AE387" t="s">
        <v>2661</v>
      </c>
      <c r="AG387" t="s">
        <v>2662</v>
      </c>
      <c r="AH387" t="s">
        <v>91</v>
      </c>
      <c r="AI387" t="s">
        <v>92</v>
      </c>
      <c r="AJ387" t="s">
        <v>131</v>
      </c>
      <c r="AK387" t="s">
        <v>2663</v>
      </c>
      <c r="AL387" t="s">
        <v>95</v>
      </c>
      <c r="AM387" t="s">
        <v>96</v>
      </c>
      <c r="AN387" t="s">
        <v>97</v>
      </c>
      <c r="AO387" t="s">
        <v>98</v>
      </c>
      <c r="AP387" t="s">
        <v>78</v>
      </c>
      <c r="AQ387" t="s">
        <v>99</v>
      </c>
      <c r="AS387" t="s">
        <v>78</v>
      </c>
      <c r="AT387" t="s">
        <v>100</v>
      </c>
      <c r="AU387" t="s">
        <v>100</v>
      </c>
      <c r="AW387" t="s">
        <v>85</v>
      </c>
      <c r="AX387" t="s">
        <v>101</v>
      </c>
      <c r="AY387" t="s">
        <v>102</v>
      </c>
      <c r="AZ387" t="s">
        <v>103</v>
      </c>
      <c r="BA387" t="s">
        <v>104</v>
      </c>
      <c r="BB387" t="s">
        <v>78</v>
      </c>
      <c r="BC387" t="s">
        <v>78</v>
      </c>
      <c r="BD387" t="s">
        <v>2664</v>
      </c>
      <c r="BE387">
        <v>0</v>
      </c>
      <c r="BF387">
        <v>0</v>
      </c>
      <c r="BG387">
        <v>0</v>
      </c>
      <c r="BH387">
        <v>0</v>
      </c>
      <c r="BJ387" t="s">
        <v>85</v>
      </c>
      <c r="BP387" t="s">
        <v>78</v>
      </c>
      <c r="BQ387" t="s">
        <v>78</v>
      </c>
      <c r="BR387" t="s">
        <v>78</v>
      </c>
    </row>
    <row r="388" customFormat="1" spans="1:70">
      <c r="A388" t="s">
        <v>2665</v>
      </c>
      <c r="B388" t="s">
        <v>2665</v>
      </c>
      <c r="C388" t="s">
        <v>2225</v>
      </c>
      <c r="D388" t="s">
        <v>135</v>
      </c>
      <c r="E388">
        <v>1</v>
      </c>
      <c r="F388" t="s">
        <v>2226</v>
      </c>
      <c r="G388" t="s">
        <v>2236</v>
      </c>
      <c r="H388">
        <v>499</v>
      </c>
      <c r="I388">
        <v>499</v>
      </c>
      <c r="J388">
        <v>0</v>
      </c>
      <c r="K388">
        <v>0</v>
      </c>
      <c r="L388" t="s">
        <v>78</v>
      </c>
      <c r="M388" t="s">
        <v>78</v>
      </c>
      <c r="N388" t="s">
        <v>78</v>
      </c>
      <c r="O388">
        <v>0</v>
      </c>
      <c r="P388">
        <v>0</v>
      </c>
      <c r="Q388">
        <v>0</v>
      </c>
      <c r="R388" t="s">
        <v>111</v>
      </c>
      <c r="S388">
        <v>0</v>
      </c>
      <c r="T388" t="s">
        <v>80</v>
      </c>
      <c r="U388" t="s">
        <v>80</v>
      </c>
      <c r="V388" t="s">
        <v>302</v>
      </c>
      <c r="W388" t="s">
        <v>303</v>
      </c>
      <c r="X388" t="s">
        <v>310</v>
      </c>
      <c r="Y388" t="s">
        <v>311</v>
      </c>
      <c r="Z388" t="s">
        <v>80</v>
      </c>
      <c r="AA388" t="s">
        <v>85</v>
      </c>
      <c r="AC388" t="s">
        <v>2666</v>
      </c>
      <c r="AD388" t="s">
        <v>202</v>
      </c>
      <c r="AE388" t="s">
        <v>2667</v>
      </c>
      <c r="AG388" t="s">
        <v>2660</v>
      </c>
      <c r="AH388" t="s">
        <v>91</v>
      </c>
      <c r="AI388" t="s">
        <v>92</v>
      </c>
      <c r="AJ388" t="s">
        <v>131</v>
      </c>
      <c r="AK388" t="s">
        <v>2668</v>
      </c>
      <c r="AL388" t="s">
        <v>95</v>
      </c>
      <c r="AM388" t="s">
        <v>96</v>
      </c>
      <c r="AN388" t="s">
        <v>97</v>
      </c>
      <c r="AO388" t="s">
        <v>98</v>
      </c>
      <c r="AP388" t="s">
        <v>78</v>
      </c>
      <c r="AQ388" t="s">
        <v>99</v>
      </c>
      <c r="AS388" t="s">
        <v>78</v>
      </c>
      <c r="AT388" t="s">
        <v>100</v>
      </c>
      <c r="AU388" t="s">
        <v>100</v>
      </c>
      <c r="AW388" t="s">
        <v>85</v>
      </c>
      <c r="AX388" t="s">
        <v>101</v>
      </c>
      <c r="AY388" t="s">
        <v>102</v>
      </c>
      <c r="AZ388" t="s">
        <v>103</v>
      </c>
      <c r="BA388" t="s">
        <v>245</v>
      </c>
      <c r="BB388" t="s">
        <v>78</v>
      </c>
      <c r="BC388" t="s">
        <v>78</v>
      </c>
      <c r="BD388" t="s">
        <v>2669</v>
      </c>
      <c r="BE388">
        <v>0</v>
      </c>
      <c r="BF388">
        <v>0</v>
      </c>
      <c r="BG388">
        <v>0</v>
      </c>
      <c r="BH388">
        <v>0</v>
      </c>
      <c r="BJ388" t="s">
        <v>85</v>
      </c>
      <c r="BP388" t="s">
        <v>78</v>
      </c>
      <c r="BQ388" t="s">
        <v>78</v>
      </c>
      <c r="BR388" t="s">
        <v>78</v>
      </c>
    </row>
    <row r="389" customFormat="1" spans="1:70">
      <c r="A389" t="s">
        <v>2670</v>
      </c>
      <c r="B389" t="s">
        <v>2670</v>
      </c>
      <c r="C389" t="s">
        <v>2225</v>
      </c>
      <c r="D389" t="s">
        <v>135</v>
      </c>
      <c r="E389">
        <v>1</v>
      </c>
      <c r="F389" t="s">
        <v>2226</v>
      </c>
      <c r="G389" t="s">
        <v>2236</v>
      </c>
      <c r="H389">
        <v>499</v>
      </c>
      <c r="I389">
        <v>499</v>
      </c>
      <c r="J389">
        <v>0</v>
      </c>
      <c r="K389">
        <v>0</v>
      </c>
      <c r="L389" t="s">
        <v>78</v>
      </c>
      <c r="M389" t="s">
        <v>78</v>
      </c>
      <c r="N389" t="s">
        <v>78</v>
      </c>
      <c r="O389">
        <v>0</v>
      </c>
      <c r="P389">
        <v>0</v>
      </c>
      <c r="Q389">
        <v>0</v>
      </c>
      <c r="R389" t="s">
        <v>79</v>
      </c>
      <c r="S389">
        <v>0</v>
      </c>
      <c r="T389" t="s">
        <v>80</v>
      </c>
      <c r="U389" t="s">
        <v>80</v>
      </c>
      <c r="V389" t="s">
        <v>574</v>
      </c>
      <c r="W389" t="s">
        <v>574</v>
      </c>
      <c r="X389" t="s">
        <v>575</v>
      </c>
      <c r="Y389" t="s">
        <v>2643</v>
      </c>
      <c r="Z389" t="s">
        <v>80</v>
      </c>
      <c r="AA389" t="s">
        <v>85</v>
      </c>
      <c r="AC389" t="s">
        <v>2671</v>
      </c>
      <c r="AD389" t="s">
        <v>202</v>
      </c>
      <c r="AE389" t="s">
        <v>2672</v>
      </c>
      <c r="AG389" t="s">
        <v>2673</v>
      </c>
      <c r="AH389" t="s">
        <v>91</v>
      </c>
      <c r="AI389" t="s">
        <v>92</v>
      </c>
      <c r="AJ389" t="s">
        <v>131</v>
      </c>
      <c r="AK389" t="s">
        <v>2674</v>
      </c>
      <c r="AL389" t="s">
        <v>95</v>
      </c>
      <c r="AM389" t="s">
        <v>96</v>
      </c>
      <c r="AN389" t="s">
        <v>97</v>
      </c>
      <c r="AO389" t="s">
        <v>98</v>
      </c>
      <c r="AP389" t="s">
        <v>78</v>
      </c>
      <c r="AQ389" t="s">
        <v>99</v>
      </c>
      <c r="AS389" t="s">
        <v>78</v>
      </c>
      <c r="AT389" t="s">
        <v>100</v>
      </c>
      <c r="AU389" t="s">
        <v>100</v>
      </c>
      <c r="AW389" t="s">
        <v>85</v>
      </c>
      <c r="AX389" t="s">
        <v>101</v>
      </c>
      <c r="AY389" t="s">
        <v>102</v>
      </c>
      <c r="AZ389" t="s">
        <v>103</v>
      </c>
      <c r="BA389" t="s">
        <v>120</v>
      </c>
      <c r="BB389" t="s">
        <v>78</v>
      </c>
      <c r="BC389" t="s">
        <v>78</v>
      </c>
      <c r="BD389" t="s">
        <v>2669</v>
      </c>
      <c r="BE389">
        <v>0</v>
      </c>
      <c r="BF389">
        <v>0</v>
      </c>
      <c r="BG389">
        <v>0</v>
      </c>
      <c r="BH389">
        <v>0</v>
      </c>
      <c r="BJ389" t="s">
        <v>85</v>
      </c>
      <c r="BP389" t="s">
        <v>78</v>
      </c>
      <c r="BQ389" t="s">
        <v>78</v>
      </c>
      <c r="BR389" t="s">
        <v>78</v>
      </c>
    </row>
    <row r="390" customFormat="1" spans="1:70">
      <c r="A390" t="s">
        <v>2675</v>
      </c>
      <c r="B390" t="s">
        <v>2675</v>
      </c>
      <c r="C390" t="s">
        <v>2225</v>
      </c>
      <c r="D390" t="s">
        <v>108</v>
      </c>
      <c r="E390">
        <v>1</v>
      </c>
      <c r="F390" t="s">
        <v>2226</v>
      </c>
      <c r="G390" t="s">
        <v>2227</v>
      </c>
      <c r="H390">
        <v>499</v>
      </c>
      <c r="I390">
        <v>499</v>
      </c>
      <c r="J390">
        <v>0</v>
      </c>
      <c r="K390">
        <v>0</v>
      </c>
      <c r="L390" t="s">
        <v>78</v>
      </c>
      <c r="M390" t="s">
        <v>78</v>
      </c>
      <c r="N390" t="s">
        <v>78</v>
      </c>
      <c r="O390">
        <v>0</v>
      </c>
      <c r="P390">
        <v>0</v>
      </c>
      <c r="Q390">
        <v>0</v>
      </c>
      <c r="R390" t="s">
        <v>125</v>
      </c>
      <c r="S390">
        <v>0</v>
      </c>
      <c r="T390" t="s">
        <v>80</v>
      </c>
      <c r="U390" t="s">
        <v>80</v>
      </c>
      <c r="V390" t="s">
        <v>221</v>
      </c>
      <c r="W390" t="s">
        <v>599</v>
      </c>
      <c r="X390" t="s">
        <v>1062</v>
      </c>
      <c r="Y390" t="s">
        <v>1063</v>
      </c>
      <c r="Z390" t="s">
        <v>80</v>
      </c>
      <c r="AA390" t="s">
        <v>85</v>
      </c>
      <c r="AC390" t="s">
        <v>2676</v>
      </c>
      <c r="AD390" t="s">
        <v>87</v>
      </c>
      <c r="AG390" t="s">
        <v>2677</v>
      </c>
      <c r="AH390" t="s">
        <v>91</v>
      </c>
      <c r="AI390" t="s">
        <v>92</v>
      </c>
      <c r="AJ390" t="s">
        <v>131</v>
      </c>
      <c r="AK390" t="s">
        <v>2678</v>
      </c>
      <c r="AL390" t="s">
        <v>95</v>
      </c>
      <c r="AM390" t="s">
        <v>96</v>
      </c>
      <c r="AN390" t="s">
        <v>97</v>
      </c>
      <c r="AO390" t="s">
        <v>98</v>
      </c>
      <c r="AP390" t="s">
        <v>78</v>
      </c>
      <c r="AQ390" t="s">
        <v>99</v>
      </c>
      <c r="AS390" t="s">
        <v>78</v>
      </c>
      <c r="AT390" t="s">
        <v>100</v>
      </c>
      <c r="AU390" t="s">
        <v>100</v>
      </c>
      <c r="AW390" t="s">
        <v>85</v>
      </c>
      <c r="AX390" t="s">
        <v>103</v>
      </c>
      <c r="AY390" t="s">
        <v>159</v>
      </c>
      <c r="AZ390" t="s">
        <v>103</v>
      </c>
      <c r="BA390" t="s">
        <v>104</v>
      </c>
      <c r="BB390" t="s">
        <v>78</v>
      </c>
      <c r="BC390" t="s">
        <v>78</v>
      </c>
      <c r="BE390">
        <v>0</v>
      </c>
      <c r="BF390">
        <v>0</v>
      </c>
      <c r="BG390">
        <v>0</v>
      </c>
      <c r="BH390">
        <v>0</v>
      </c>
      <c r="BJ390" t="s">
        <v>85</v>
      </c>
      <c r="BP390" t="s">
        <v>78</v>
      </c>
      <c r="BQ390" t="s">
        <v>78</v>
      </c>
      <c r="BR390" t="s">
        <v>78</v>
      </c>
    </row>
    <row r="391" customFormat="1" spans="1:70">
      <c r="A391" t="s">
        <v>2679</v>
      </c>
      <c r="B391" t="s">
        <v>2679</v>
      </c>
      <c r="C391" t="s">
        <v>2225</v>
      </c>
      <c r="D391" t="s">
        <v>108</v>
      </c>
      <c r="E391">
        <v>1</v>
      </c>
      <c r="F391" t="s">
        <v>2226</v>
      </c>
      <c r="G391" t="s">
        <v>2227</v>
      </c>
      <c r="H391">
        <v>499</v>
      </c>
      <c r="I391">
        <v>499</v>
      </c>
      <c r="J391">
        <v>0</v>
      </c>
      <c r="K391">
        <v>0</v>
      </c>
      <c r="L391" t="s">
        <v>78</v>
      </c>
      <c r="M391" t="s">
        <v>78</v>
      </c>
      <c r="N391" t="s">
        <v>78</v>
      </c>
      <c r="O391">
        <v>0</v>
      </c>
      <c r="P391">
        <v>0</v>
      </c>
      <c r="Q391">
        <v>0</v>
      </c>
      <c r="R391" t="s">
        <v>111</v>
      </c>
      <c r="S391">
        <v>0</v>
      </c>
      <c r="T391" t="s">
        <v>80</v>
      </c>
      <c r="U391" t="s">
        <v>80</v>
      </c>
      <c r="V391" t="s">
        <v>161</v>
      </c>
      <c r="W391" t="s">
        <v>161</v>
      </c>
      <c r="X391" t="s">
        <v>1243</v>
      </c>
      <c r="Y391" t="s">
        <v>1580</v>
      </c>
      <c r="Z391" t="s">
        <v>80</v>
      </c>
      <c r="AA391" t="s">
        <v>85</v>
      </c>
      <c r="AC391" t="s">
        <v>2680</v>
      </c>
      <c r="AD391" t="s">
        <v>87</v>
      </c>
      <c r="AG391" t="s">
        <v>2681</v>
      </c>
      <c r="AH391" t="s">
        <v>91</v>
      </c>
      <c r="AI391" t="s">
        <v>92</v>
      </c>
      <c r="AJ391" t="s">
        <v>131</v>
      </c>
      <c r="AK391" t="s">
        <v>2682</v>
      </c>
      <c r="AL391" t="s">
        <v>95</v>
      </c>
      <c r="AM391" t="s">
        <v>96</v>
      </c>
      <c r="AN391" t="s">
        <v>97</v>
      </c>
      <c r="AO391" t="s">
        <v>98</v>
      </c>
      <c r="AP391" t="s">
        <v>78</v>
      </c>
      <c r="AQ391" t="s">
        <v>99</v>
      </c>
      <c r="AS391" t="s">
        <v>78</v>
      </c>
      <c r="AT391" t="s">
        <v>100</v>
      </c>
      <c r="AU391" t="s">
        <v>100</v>
      </c>
      <c r="AW391" t="s">
        <v>85</v>
      </c>
      <c r="AX391" t="s">
        <v>103</v>
      </c>
      <c r="AY391" t="s">
        <v>159</v>
      </c>
      <c r="AZ391" t="s">
        <v>103</v>
      </c>
      <c r="BA391" t="s">
        <v>104</v>
      </c>
      <c r="BB391" t="s">
        <v>78</v>
      </c>
      <c r="BC391" t="s">
        <v>78</v>
      </c>
      <c r="BE391">
        <v>0</v>
      </c>
      <c r="BF391">
        <v>0</v>
      </c>
      <c r="BG391">
        <v>0</v>
      </c>
      <c r="BH391">
        <v>0</v>
      </c>
      <c r="BJ391" t="s">
        <v>85</v>
      </c>
      <c r="BP391" t="s">
        <v>78</v>
      </c>
      <c r="BQ391" t="s">
        <v>78</v>
      </c>
      <c r="BR391" t="s">
        <v>78</v>
      </c>
    </row>
    <row r="392" customFormat="1" spans="1:70">
      <c r="A392" t="s">
        <v>2683</v>
      </c>
      <c r="B392" t="s">
        <v>2683</v>
      </c>
      <c r="C392" t="s">
        <v>2225</v>
      </c>
      <c r="D392" t="s">
        <v>108</v>
      </c>
      <c r="E392">
        <v>1</v>
      </c>
      <c r="F392" t="s">
        <v>2226</v>
      </c>
      <c r="G392" t="s">
        <v>2227</v>
      </c>
      <c r="H392">
        <v>499</v>
      </c>
      <c r="I392">
        <v>499</v>
      </c>
      <c r="J392">
        <v>0</v>
      </c>
      <c r="K392">
        <v>0</v>
      </c>
      <c r="L392" t="s">
        <v>78</v>
      </c>
      <c r="M392" t="s">
        <v>78</v>
      </c>
      <c r="N392" t="s">
        <v>78</v>
      </c>
      <c r="O392">
        <v>0</v>
      </c>
      <c r="P392">
        <v>0</v>
      </c>
      <c r="Q392">
        <v>0</v>
      </c>
      <c r="R392" t="s">
        <v>111</v>
      </c>
      <c r="S392">
        <v>0</v>
      </c>
      <c r="T392" t="s">
        <v>80</v>
      </c>
      <c r="U392" t="s">
        <v>80</v>
      </c>
      <c r="V392" t="s">
        <v>556</v>
      </c>
      <c r="W392" t="s">
        <v>2684</v>
      </c>
      <c r="X392" t="s">
        <v>2685</v>
      </c>
      <c r="Y392" t="s">
        <v>78</v>
      </c>
      <c r="Z392" t="s">
        <v>80</v>
      </c>
      <c r="AA392" t="s">
        <v>85</v>
      </c>
      <c r="AC392" t="s">
        <v>2686</v>
      </c>
      <c r="AD392" t="s">
        <v>202</v>
      </c>
      <c r="AE392" t="s">
        <v>2687</v>
      </c>
      <c r="AG392" t="s">
        <v>2688</v>
      </c>
      <c r="AH392" t="s">
        <v>91</v>
      </c>
      <c r="AI392" t="s">
        <v>92</v>
      </c>
      <c r="AJ392" t="s">
        <v>131</v>
      </c>
      <c r="AK392" t="s">
        <v>2689</v>
      </c>
      <c r="AL392" t="s">
        <v>95</v>
      </c>
      <c r="AM392" t="s">
        <v>96</v>
      </c>
      <c r="AN392" t="s">
        <v>97</v>
      </c>
      <c r="AO392" t="s">
        <v>98</v>
      </c>
      <c r="AP392" t="s">
        <v>78</v>
      </c>
      <c r="AQ392" t="s">
        <v>99</v>
      </c>
      <c r="AS392" t="s">
        <v>78</v>
      </c>
      <c r="AT392" t="s">
        <v>100</v>
      </c>
      <c r="AU392" t="s">
        <v>100</v>
      </c>
      <c r="AW392" t="s">
        <v>85</v>
      </c>
      <c r="AX392" t="s">
        <v>101</v>
      </c>
      <c r="AY392" t="s">
        <v>102</v>
      </c>
      <c r="AZ392" t="s">
        <v>103</v>
      </c>
      <c r="BA392" t="s">
        <v>133</v>
      </c>
      <c r="BB392" t="s">
        <v>78</v>
      </c>
      <c r="BC392" t="s">
        <v>78</v>
      </c>
      <c r="BD392" t="s">
        <v>2690</v>
      </c>
      <c r="BE392">
        <v>0</v>
      </c>
      <c r="BF392">
        <v>0</v>
      </c>
      <c r="BG392">
        <v>0</v>
      </c>
      <c r="BH392">
        <v>0</v>
      </c>
      <c r="BJ392" t="s">
        <v>85</v>
      </c>
      <c r="BP392" t="s">
        <v>78</v>
      </c>
      <c r="BQ392" t="s">
        <v>78</v>
      </c>
      <c r="BR392" t="s">
        <v>78</v>
      </c>
    </row>
    <row r="393" customFormat="1" spans="1:70">
      <c r="A393" t="s">
        <v>2691</v>
      </c>
      <c r="B393" t="s">
        <v>2691</v>
      </c>
      <c r="C393" t="s">
        <v>2225</v>
      </c>
      <c r="D393" t="s">
        <v>135</v>
      </c>
      <c r="E393">
        <v>1</v>
      </c>
      <c r="F393" t="s">
        <v>2226</v>
      </c>
      <c r="G393" t="s">
        <v>2236</v>
      </c>
      <c r="H393">
        <v>499</v>
      </c>
      <c r="I393">
        <v>499</v>
      </c>
      <c r="J393">
        <v>0</v>
      </c>
      <c r="K393">
        <v>0</v>
      </c>
      <c r="L393" t="s">
        <v>78</v>
      </c>
      <c r="M393" t="s">
        <v>78</v>
      </c>
      <c r="N393" t="s">
        <v>78</v>
      </c>
      <c r="O393">
        <v>0</v>
      </c>
      <c r="P393">
        <v>0</v>
      </c>
      <c r="Q393">
        <v>0</v>
      </c>
      <c r="R393" t="s">
        <v>79</v>
      </c>
      <c r="S393">
        <v>0</v>
      </c>
      <c r="T393" t="s">
        <v>80</v>
      </c>
      <c r="U393" t="s">
        <v>80</v>
      </c>
      <c r="V393" t="s">
        <v>178</v>
      </c>
      <c r="W393" t="s">
        <v>178</v>
      </c>
      <c r="X393" t="s">
        <v>293</v>
      </c>
      <c r="Y393" t="s">
        <v>294</v>
      </c>
      <c r="Z393" t="s">
        <v>80</v>
      </c>
      <c r="AA393" t="s">
        <v>85</v>
      </c>
      <c r="AC393" t="s">
        <v>2692</v>
      </c>
      <c r="AD393" t="s">
        <v>87</v>
      </c>
      <c r="AF393" t="s">
        <v>2693</v>
      </c>
      <c r="AG393" t="s">
        <v>2681</v>
      </c>
      <c r="AH393" t="s">
        <v>298</v>
      </c>
      <c r="AI393" t="s">
        <v>92</v>
      </c>
      <c r="AJ393" t="s">
        <v>93</v>
      </c>
      <c r="AK393" t="s">
        <v>2694</v>
      </c>
      <c r="AL393" t="s">
        <v>95</v>
      </c>
      <c r="AM393" t="s">
        <v>96</v>
      </c>
      <c r="AN393" t="s">
        <v>97</v>
      </c>
      <c r="AO393" t="s">
        <v>98</v>
      </c>
      <c r="AP393" t="s">
        <v>78</v>
      </c>
      <c r="AQ393" t="s">
        <v>78</v>
      </c>
      <c r="AS393" t="s">
        <v>78</v>
      </c>
      <c r="AT393" t="s">
        <v>100</v>
      </c>
      <c r="AU393" t="s">
        <v>100</v>
      </c>
      <c r="AW393" t="s">
        <v>85</v>
      </c>
      <c r="AX393" t="s">
        <v>103</v>
      </c>
      <c r="AY393" t="s">
        <v>159</v>
      </c>
      <c r="AZ393" t="s">
        <v>103</v>
      </c>
      <c r="BA393" t="s">
        <v>104</v>
      </c>
      <c r="BB393" t="s">
        <v>78</v>
      </c>
      <c r="BC393" t="s">
        <v>78</v>
      </c>
      <c r="BD393" t="s">
        <v>2669</v>
      </c>
      <c r="BE393">
        <v>0</v>
      </c>
      <c r="BF393">
        <v>0</v>
      </c>
      <c r="BG393">
        <v>0</v>
      </c>
      <c r="BH393">
        <v>0</v>
      </c>
      <c r="BJ393" t="s">
        <v>85</v>
      </c>
      <c r="BP393" t="s">
        <v>78</v>
      </c>
      <c r="BQ393" t="s">
        <v>78</v>
      </c>
      <c r="BR393" t="s">
        <v>78</v>
      </c>
    </row>
    <row r="394" customFormat="1" spans="1:70">
      <c r="A394" t="s">
        <v>2695</v>
      </c>
      <c r="B394" t="s">
        <v>2695</v>
      </c>
      <c r="C394" t="s">
        <v>2225</v>
      </c>
      <c r="D394" t="s">
        <v>135</v>
      </c>
      <c r="E394">
        <v>1</v>
      </c>
      <c r="F394" t="s">
        <v>2226</v>
      </c>
      <c r="G394" t="s">
        <v>2236</v>
      </c>
      <c r="H394">
        <v>499</v>
      </c>
      <c r="I394">
        <v>499</v>
      </c>
      <c r="J394">
        <v>0</v>
      </c>
      <c r="K394">
        <v>0</v>
      </c>
      <c r="L394" t="s">
        <v>78</v>
      </c>
      <c r="M394" t="s">
        <v>78</v>
      </c>
      <c r="N394" t="s">
        <v>78</v>
      </c>
      <c r="O394">
        <v>0</v>
      </c>
      <c r="P394">
        <v>0</v>
      </c>
      <c r="Q394">
        <v>0</v>
      </c>
      <c r="R394" t="s">
        <v>79</v>
      </c>
      <c r="S394">
        <v>0</v>
      </c>
      <c r="T394" t="s">
        <v>80</v>
      </c>
      <c r="U394" t="s">
        <v>80</v>
      </c>
      <c r="V394" t="s">
        <v>302</v>
      </c>
      <c r="W394" t="s">
        <v>1394</v>
      </c>
      <c r="X394" t="s">
        <v>2696</v>
      </c>
      <c r="Y394" t="s">
        <v>2697</v>
      </c>
      <c r="Z394" t="s">
        <v>80</v>
      </c>
      <c r="AA394" t="s">
        <v>85</v>
      </c>
      <c r="AC394" t="s">
        <v>2698</v>
      </c>
      <c r="AD394" t="s">
        <v>87</v>
      </c>
      <c r="AF394" t="s">
        <v>2693</v>
      </c>
      <c r="AG394" t="s">
        <v>2686</v>
      </c>
      <c r="AH394" t="s">
        <v>2699</v>
      </c>
      <c r="AI394" t="s">
        <v>92</v>
      </c>
      <c r="AJ394" t="s">
        <v>93</v>
      </c>
      <c r="AK394" t="s">
        <v>2700</v>
      </c>
      <c r="AL394" t="s">
        <v>95</v>
      </c>
      <c r="AM394" t="s">
        <v>96</v>
      </c>
      <c r="AN394" t="s">
        <v>97</v>
      </c>
      <c r="AO394" t="s">
        <v>98</v>
      </c>
      <c r="AP394" t="s">
        <v>78</v>
      </c>
      <c r="AQ394" t="s">
        <v>78</v>
      </c>
      <c r="AS394" t="s">
        <v>78</v>
      </c>
      <c r="AT394" t="s">
        <v>100</v>
      </c>
      <c r="AU394" t="s">
        <v>100</v>
      </c>
      <c r="AW394" t="s">
        <v>85</v>
      </c>
      <c r="AX394" t="s">
        <v>101</v>
      </c>
      <c r="AY394" t="s">
        <v>102</v>
      </c>
      <c r="AZ394" t="s">
        <v>103</v>
      </c>
      <c r="BA394" t="s">
        <v>102</v>
      </c>
      <c r="BB394" t="s">
        <v>78</v>
      </c>
      <c r="BC394" t="s">
        <v>78</v>
      </c>
      <c r="BD394" t="s">
        <v>2669</v>
      </c>
      <c r="BE394">
        <v>0</v>
      </c>
      <c r="BF394">
        <v>0</v>
      </c>
      <c r="BG394">
        <v>0</v>
      </c>
      <c r="BH394">
        <v>0</v>
      </c>
      <c r="BJ394" t="s">
        <v>85</v>
      </c>
      <c r="BP394" t="s">
        <v>78</v>
      </c>
      <c r="BQ394" t="s">
        <v>78</v>
      </c>
      <c r="BR394" t="s">
        <v>78</v>
      </c>
    </row>
    <row r="395" customFormat="1" spans="1:70">
      <c r="A395" t="s">
        <v>2701</v>
      </c>
      <c r="B395" t="s">
        <v>2701</v>
      </c>
      <c r="C395" t="s">
        <v>2225</v>
      </c>
      <c r="D395" t="s">
        <v>135</v>
      </c>
      <c r="E395">
        <v>1</v>
      </c>
      <c r="F395" t="s">
        <v>2226</v>
      </c>
      <c r="G395" t="s">
        <v>2236</v>
      </c>
      <c r="H395">
        <v>499</v>
      </c>
      <c r="I395">
        <v>499</v>
      </c>
      <c r="J395">
        <v>0</v>
      </c>
      <c r="K395">
        <v>0</v>
      </c>
      <c r="L395" t="s">
        <v>78</v>
      </c>
      <c r="M395" t="s">
        <v>78</v>
      </c>
      <c r="N395" t="s">
        <v>78</v>
      </c>
      <c r="O395">
        <v>0</v>
      </c>
      <c r="P395">
        <v>0</v>
      </c>
      <c r="Q395">
        <v>0</v>
      </c>
      <c r="R395" t="s">
        <v>125</v>
      </c>
      <c r="S395">
        <v>0</v>
      </c>
      <c r="T395" t="s">
        <v>80</v>
      </c>
      <c r="U395" t="s">
        <v>80</v>
      </c>
      <c r="V395" t="s">
        <v>325</v>
      </c>
      <c r="W395" t="s">
        <v>788</v>
      </c>
      <c r="X395" t="s">
        <v>2108</v>
      </c>
      <c r="Y395" t="s">
        <v>84</v>
      </c>
      <c r="Z395" t="s">
        <v>80</v>
      </c>
      <c r="AA395" t="s">
        <v>85</v>
      </c>
      <c r="AC395" t="s">
        <v>2702</v>
      </c>
      <c r="AD395" t="s">
        <v>202</v>
      </c>
      <c r="AE395" t="s">
        <v>2703</v>
      </c>
      <c r="AG395" t="s">
        <v>2698</v>
      </c>
      <c r="AH395" t="s">
        <v>91</v>
      </c>
      <c r="AI395" t="s">
        <v>92</v>
      </c>
      <c r="AJ395" t="s">
        <v>131</v>
      </c>
      <c r="AK395" t="s">
        <v>2704</v>
      </c>
      <c r="AL395" t="s">
        <v>95</v>
      </c>
      <c r="AM395" t="s">
        <v>96</v>
      </c>
      <c r="AN395" t="s">
        <v>97</v>
      </c>
      <c r="AO395" t="s">
        <v>98</v>
      </c>
      <c r="AP395" t="s">
        <v>78</v>
      </c>
      <c r="AQ395" t="s">
        <v>99</v>
      </c>
      <c r="AS395" t="s">
        <v>78</v>
      </c>
      <c r="AT395" t="s">
        <v>100</v>
      </c>
      <c r="AU395" t="s">
        <v>100</v>
      </c>
      <c r="AW395" t="s">
        <v>85</v>
      </c>
      <c r="AX395" t="s">
        <v>101</v>
      </c>
      <c r="AY395" t="s">
        <v>102</v>
      </c>
      <c r="AZ395" t="s">
        <v>103</v>
      </c>
      <c r="BA395" t="s">
        <v>245</v>
      </c>
      <c r="BB395" t="s">
        <v>78</v>
      </c>
      <c r="BC395" t="s">
        <v>78</v>
      </c>
      <c r="BD395" t="s">
        <v>2669</v>
      </c>
      <c r="BE395">
        <v>0</v>
      </c>
      <c r="BF395">
        <v>0</v>
      </c>
      <c r="BG395">
        <v>0</v>
      </c>
      <c r="BH395">
        <v>0</v>
      </c>
      <c r="BJ395" t="s">
        <v>85</v>
      </c>
      <c r="BP395" t="s">
        <v>78</v>
      </c>
      <c r="BQ395" t="s">
        <v>78</v>
      </c>
      <c r="BR395" t="s">
        <v>78</v>
      </c>
    </row>
    <row r="396" customFormat="1" spans="1:70">
      <c r="A396" t="s">
        <v>2705</v>
      </c>
      <c r="B396" t="s">
        <v>2705</v>
      </c>
      <c r="C396" t="s">
        <v>2225</v>
      </c>
      <c r="D396" t="s">
        <v>108</v>
      </c>
      <c r="E396">
        <v>1</v>
      </c>
      <c r="F396" t="s">
        <v>2226</v>
      </c>
      <c r="G396" t="s">
        <v>2227</v>
      </c>
      <c r="H396">
        <v>499</v>
      </c>
      <c r="I396">
        <v>499</v>
      </c>
      <c r="J396">
        <v>0</v>
      </c>
      <c r="K396">
        <v>0</v>
      </c>
      <c r="L396" t="s">
        <v>78</v>
      </c>
      <c r="M396" t="s">
        <v>78</v>
      </c>
      <c r="N396" t="s">
        <v>78</v>
      </c>
      <c r="O396">
        <v>0</v>
      </c>
      <c r="P396">
        <v>0</v>
      </c>
      <c r="Q396">
        <v>0</v>
      </c>
      <c r="R396" t="s">
        <v>125</v>
      </c>
      <c r="S396">
        <v>0</v>
      </c>
      <c r="T396" t="s">
        <v>80</v>
      </c>
      <c r="U396" t="s">
        <v>80</v>
      </c>
      <c r="V396" t="s">
        <v>500</v>
      </c>
      <c r="W396" t="s">
        <v>2706</v>
      </c>
      <c r="X396" t="s">
        <v>2707</v>
      </c>
      <c r="Y396" t="s">
        <v>2708</v>
      </c>
      <c r="Z396" t="s">
        <v>80</v>
      </c>
      <c r="AA396" t="s">
        <v>85</v>
      </c>
      <c r="AC396" t="s">
        <v>2702</v>
      </c>
      <c r="AD396" t="s">
        <v>202</v>
      </c>
      <c r="AE396" t="s">
        <v>2709</v>
      </c>
      <c r="AG396" t="s">
        <v>2710</v>
      </c>
      <c r="AH396" t="s">
        <v>2711</v>
      </c>
      <c r="AI396" t="s">
        <v>92</v>
      </c>
      <c r="AJ396" t="s">
        <v>131</v>
      </c>
      <c r="AK396" t="s">
        <v>2712</v>
      </c>
      <c r="AL396" t="s">
        <v>95</v>
      </c>
      <c r="AM396" t="s">
        <v>96</v>
      </c>
      <c r="AN396" t="s">
        <v>97</v>
      </c>
      <c r="AO396" t="s">
        <v>98</v>
      </c>
      <c r="AP396" t="s">
        <v>78</v>
      </c>
      <c r="AQ396" t="s">
        <v>99</v>
      </c>
      <c r="AS396" t="s">
        <v>78</v>
      </c>
      <c r="AT396" t="s">
        <v>100</v>
      </c>
      <c r="AU396" t="s">
        <v>100</v>
      </c>
      <c r="AW396" t="s">
        <v>85</v>
      </c>
      <c r="AX396" t="s">
        <v>103</v>
      </c>
      <c r="AY396" t="s">
        <v>159</v>
      </c>
      <c r="AZ396" t="s">
        <v>103</v>
      </c>
      <c r="BA396" t="s">
        <v>102</v>
      </c>
      <c r="BB396" t="s">
        <v>78</v>
      </c>
      <c r="BC396" t="s">
        <v>78</v>
      </c>
      <c r="BD396" t="s">
        <v>2690</v>
      </c>
      <c r="BE396">
        <v>0</v>
      </c>
      <c r="BF396">
        <v>0</v>
      </c>
      <c r="BG396">
        <v>0</v>
      </c>
      <c r="BH396">
        <v>0</v>
      </c>
      <c r="BJ396" t="s">
        <v>85</v>
      </c>
      <c r="BP396" t="s">
        <v>78</v>
      </c>
      <c r="BQ396" t="s">
        <v>78</v>
      </c>
      <c r="BR396" t="s">
        <v>78</v>
      </c>
    </row>
    <row r="397" customFormat="1" spans="1:70">
      <c r="A397" t="s">
        <v>2713</v>
      </c>
      <c r="B397" t="s">
        <v>2713</v>
      </c>
      <c r="C397" t="s">
        <v>107</v>
      </c>
      <c r="D397" t="s">
        <v>108</v>
      </c>
      <c r="E397">
        <v>1</v>
      </c>
      <c r="F397" t="s">
        <v>109</v>
      </c>
      <c r="G397" t="s">
        <v>110</v>
      </c>
      <c r="H397">
        <v>289</v>
      </c>
      <c r="I397">
        <v>289</v>
      </c>
      <c r="J397">
        <v>0</v>
      </c>
      <c r="K397">
        <v>0</v>
      </c>
      <c r="L397" t="s">
        <v>78</v>
      </c>
      <c r="M397" t="s">
        <v>78</v>
      </c>
      <c r="N397" t="s">
        <v>78</v>
      </c>
      <c r="O397">
        <v>0</v>
      </c>
      <c r="P397">
        <v>0</v>
      </c>
      <c r="Q397">
        <v>0</v>
      </c>
      <c r="R397" t="s">
        <v>79</v>
      </c>
      <c r="S397">
        <v>0</v>
      </c>
      <c r="T397" t="s">
        <v>80</v>
      </c>
      <c r="U397" t="s">
        <v>80</v>
      </c>
      <c r="V397" t="s">
        <v>676</v>
      </c>
      <c r="W397" t="s">
        <v>1083</v>
      </c>
      <c r="X397" t="s">
        <v>2714</v>
      </c>
      <c r="Y397" t="s">
        <v>2715</v>
      </c>
      <c r="Z397" t="s">
        <v>80</v>
      </c>
      <c r="AA397" t="s">
        <v>85</v>
      </c>
      <c r="AC397" t="s">
        <v>2716</v>
      </c>
      <c r="AD397" t="s">
        <v>87</v>
      </c>
      <c r="AG397" t="s">
        <v>2717</v>
      </c>
      <c r="AH397" t="s">
        <v>91</v>
      </c>
      <c r="AI397" t="s">
        <v>92</v>
      </c>
      <c r="AJ397" t="s">
        <v>131</v>
      </c>
      <c r="AK397" t="s">
        <v>2718</v>
      </c>
      <c r="AL397" t="s">
        <v>95</v>
      </c>
      <c r="AM397" t="s">
        <v>96</v>
      </c>
      <c r="AN397" t="s">
        <v>97</v>
      </c>
      <c r="AO397" t="s">
        <v>98</v>
      </c>
      <c r="AP397" t="s">
        <v>78</v>
      </c>
      <c r="AQ397" t="s">
        <v>99</v>
      </c>
      <c r="AS397" t="s">
        <v>78</v>
      </c>
      <c r="AT397" t="s">
        <v>100</v>
      </c>
      <c r="AU397" t="s">
        <v>100</v>
      </c>
      <c r="AW397" t="s">
        <v>85</v>
      </c>
      <c r="AX397" t="s">
        <v>101</v>
      </c>
      <c r="AY397" t="s">
        <v>102</v>
      </c>
      <c r="AZ397" t="s">
        <v>103</v>
      </c>
      <c r="BA397" t="s">
        <v>133</v>
      </c>
      <c r="BB397" t="s">
        <v>78</v>
      </c>
      <c r="BC397" t="s">
        <v>78</v>
      </c>
      <c r="BE397">
        <v>0</v>
      </c>
      <c r="BF397">
        <v>0</v>
      </c>
      <c r="BG397">
        <v>0</v>
      </c>
      <c r="BH397">
        <v>0</v>
      </c>
      <c r="BJ397" t="s">
        <v>85</v>
      </c>
      <c r="BP397" t="s">
        <v>78</v>
      </c>
      <c r="BQ397" t="s">
        <v>78</v>
      </c>
      <c r="BR397" t="s">
        <v>78</v>
      </c>
    </row>
    <row r="398" customFormat="1" spans="1:70">
      <c r="A398" t="s">
        <v>2719</v>
      </c>
      <c r="B398" t="s">
        <v>2719</v>
      </c>
      <c r="C398" t="s">
        <v>1050</v>
      </c>
      <c r="D398" t="s">
        <v>1051</v>
      </c>
      <c r="E398">
        <v>1</v>
      </c>
      <c r="F398" t="s">
        <v>1052</v>
      </c>
      <c r="G398" t="s">
        <v>1053</v>
      </c>
      <c r="H398">
        <v>129</v>
      </c>
      <c r="I398">
        <v>129</v>
      </c>
      <c r="J398">
        <v>0</v>
      </c>
      <c r="K398">
        <v>0</v>
      </c>
      <c r="L398" t="s">
        <v>78</v>
      </c>
      <c r="M398" t="s">
        <v>78</v>
      </c>
      <c r="N398" t="s">
        <v>78</v>
      </c>
      <c r="O398">
        <v>0</v>
      </c>
      <c r="P398">
        <v>0</v>
      </c>
      <c r="Q398">
        <v>0</v>
      </c>
      <c r="R398" t="s">
        <v>125</v>
      </c>
      <c r="S398">
        <v>0</v>
      </c>
      <c r="T398" t="s">
        <v>80</v>
      </c>
      <c r="U398" t="s">
        <v>80</v>
      </c>
      <c r="V398" t="s">
        <v>2720</v>
      </c>
      <c r="W398" t="s">
        <v>2721</v>
      </c>
      <c r="X398" t="s">
        <v>114</v>
      </c>
      <c r="Y398" t="s">
        <v>2722</v>
      </c>
      <c r="Z398" t="s">
        <v>80</v>
      </c>
      <c r="AA398" t="s">
        <v>85</v>
      </c>
      <c r="AC398" t="s">
        <v>2723</v>
      </c>
      <c r="AD398" t="s">
        <v>87</v>
      </c>
      <c r="AF398" t="s">
        <v>2724</v>
      </c>
      <c r="AG398" t="s">
        <v>2725</v>
      </c>
      <c r="AH398" t="s">
        <v>91</v>
      </c>
      <c r="AI398" t="s">
        <v>92</v>
      </c>
      <c r="AJ398" t="s">
        <v>93</v>
      </c>
      <c r="AK398" t="s">
        <v>2726</v>
      </c>
      <c r="AL398" t="s">
        <v>95</v>
      </c>
      <c r="AM398" t="s">
        <v>96</v>
      </c>
      <c r="AN398" t="s">
        <v>97</v>
      </c>
      <c r="AO398" t="s">
        <v>98</v>
      </c>
      <c r="AP398" t="s">
        <v>78</v>
      </c>
      <c r="AQ398" t="s">
        <v>78</v>
      </c>
      <c r="AS398" t="s">
        <v>78</v>
      </c>
      <c r="AT398" t="s">
        <v>100</v>
      </c>
      <c r="AU398" t="s">
        <v>100</v>
      </c>
      <c r="AW398" t="s">
        <v>85</v>
      </c>
      <c r="AX398" t="s">
        <v>101</v>
      </c>
      <c r="AY398" t="s">
        <v>102</v>
      </c>
      <c r="AZ398" t="s">
        <v>103</v>
      </c>
      <c r="BA398" t="s">
        <v>133</v>
      </c>
      <c r="BB398" t="s">
        <v>78</v>
      </c>
      <c r="BC398" t="s">
        <v>78</v>
      </c>
      <c r="BD398" t="s">
        <v>2727</v>
      </c>
      <c r="BE398">
        <v>0</v>
      </c>
      <c r="BF398">
        <v>0</v>
      </c>
      <c r="BG398">
        <v>0</v>
      </c>
      <c r="BH398">
        <v>0</v>
      </c>
      <c r="BJ398" t="s">
        <v>85</v>
      </c>
      <c r="BP398" t="s">
        <v>78</v>
      </c>
      <c r="BQ398" t="s">
        <v>78</v>
      </c>
      <c r="BR398" t="s">
        <v>78</v>
      </c>
    </row>
    <row r="399" customFormat="1" spans="1:70">
      <c r="A399" t="s">
        <v>2728</v>
      </c>
      <c r="B399" t="s">
        <v>2728</v>
      </c>
      <c r="C399" t="s">
        <v>1050</v>
      </c>
      <c r="D399" t="s">
        <v>1153</v>
      </c>
      <c r="E399">
        <v>1</v>
      </c>
      <c r="F399" t="s">
        <v>1052</v>
      </c>
      <c r="G399" t="s">
        <v>1154</v>
      </c>
      <c r="H399">
        <v>129</v>
      </c>
      <c r="I399">
        <v>129</v>
      </c>
      <c r="J399">
        <v>0</v>
      </c>
      <c r="K399">
        <v>0</v>
      </c>
      <c r="L399" t="s">
        <v>78</v>
      </c>
      <c r="M399" t="s">
        <v>78</v>
      </c>
      <c r="N399" t="s">
        <v>78</v>
      </c>
      <c r="O399">
        <v>0</v>
      </c>
      <c r="P399">
        <v>0</v>
      </c>
      <c r="Q399">
        <v>0</v>
      </c>
      <c r="R399" t="s">
        <v>125</v>
      </c>
      <c r="S399">
        <v>0</v>
      </c>
      <c r="T399" t="s">
        <v>80</v>
      </c>
      <c r="U399" t="s">
        <v>80</v>
      </c>
      <c r="V399" t="s">
        <v>302</v>
      </c>
      <c r="W399" t="s">
        <v>1834</v>
      </c>
      <c r="X399" t="s">
        <v>2729</v>
      </c>
      <c r="Y399" t="s">
        <v>78</v>
      </c>
      <c r="Z399" t="s">
        <v>80</v>
      </c>
      <c r="AA399" t="s">
        <v>85</v>
      </c>
      <c r="AC399" t="s">
        <v>2730</v>
      </c>
      <c r="AD399" t="s">
        <v>87</v>
      </c>
      <c r="AH399" t="s">
        <v>91</v>
      </c>
      <c r="AI399" t="s">
        <v>92</v>
      </c>
      <c r="AJ399" t="s">
        <v>131</v>
      </c>
      <c r="AK399" t="s">
        <v>2731</v>
      </c>
      <c r="AL399" t="s">
        <v>95</v>
      </c>
      <c r="AM399" t="s">
        <v>96</v>
      </c>
      <c r="AN399" t="s">
        <v>97</v>
      </c>
      <c r="AO399" t="s">
        <v>98</v>
      </c>
      <c r="AP399" t="s">
        <v>78</v>
      </c>
      <c r="AQ399" t="s">
        <v>78</v>
      </c>
      <c r="AR399" t="s">
        <v>353</v>
      </c>
      <c r="AS399" t="s">
        <v>78</v>
      </c>
      <c r="AT399" t="s">
        <v>100</v>
      </c>
      <c r="AU399" t="s">
        <v>100</v>
      </c>
      <c r="AW399" t="s">
        <v>85</v>
      </c>
      <c r="AX399" t="s">
        <v>101</v>
      </c>
      <c r="AY399" t="s">
        <v>102</v>
      </c>
      <c r="AZ399" t="s">
        <v>103</v>
      </c>
      <c r="BA399" t="s">
        <v>133</v>
      </c>
      <c r="BB399" t="s">
        <v>78</v>
      </c>
      <c r="BC399" t="s">
        <v>78</v>
      </c>
      <c r="BE399">
        <v>0</v>
      </c>
      <c r="BF399">
        <v>0</v>
      </c>
      <c r="BG399">
        <v>0</v>
      </c>
      <c r="BH399">
        <v>0</v>
      </c>
      <c r="BJ399" t="s">
        <v>85</v>
      </c>
      <c r="BP399" t="s">
        <v>78</v>
      </c>
      <c r="BQ399" t="s">
        <v>78</v>
      </c>
      <c r="BR399" t="s">
        <v>78</v>
      </c>
    </row>
    <row r="400" customFormat="1" spans="1:70">
      <c r="A400" t="s">
        <v>2732</v>
      </c>
      <c r="B400" t="s">
        <v>2732</v>
      </c>
      <c r="C400" t="s">
        <v>107</v>
      </c>
      <c r="D400" t="s">
        <v>108</v>
      </c>
      <c r="E400">
        <v>1</v>
      </c>
      <c r="F400" t="s">
        <v>109</v>
      </c>
      <c r="G400" t="s">
        <v>110</v>
      </c>
      <c r="H400">
        <v>289</v>
      </c>
      <c r="I400">
        <v>289</v>
      </c>
      <c r="J400">
        <v>0</v>
      </c>
      <c r="K400">
        <v>0</v>
      </c>
      <c r="L400" t="s">
        <v>78</v>
      </c>
      <c r="M400" t="s">
        <v>78</v>
      </c>
      <c r="N400" t="s">
        <v>78</v>
      </c>
      <c r="O400">
        <v>0</v>
      </c>
      <c r="P400">
        <v>0</v>
      </c>
      <c r="Q400">
        <v>0</v>
      </c>
      <c r="R400" t="s">
        <v>79</v>
      </c>
      <c r="S400">
        <v>0</v>
      </c>
      <c r="T400" t="s">
        <v>80</v>
      </c>
      <c r="U400" t="s">
        <v>80</v>
      </c>
      <c r="V400" t="s">
        <v>464</v>
      </c>
      <c r="W400" t="s">
        <v>1460</v>
      </c>
      <c r="X400" t="s">
        <v>2733</v>
      </c>
      <c r="Y400" t="s">
        <v>2734</v>
      </c>
      <c r="Z400" t="s">
        <v>80</v>
      </c>
      <c r="AA400" t="s">
        <v>85</v>
      </c>
      <c r="AC400" t="s">
        <v>2735</v>
      </c>
      <c r="AD400" t="s">
        <v>87</v>
      </c>
      <c r="AF400" t="s">
        <v>2082</v>
      </c>
      <c r="AG400" t="s">
        <v>2736</v>
      </c>
      <c r="AH400" t="s">
        <v>91</v>
      </c>
      <c r="AI400" t="s">
        <v>216</v>
      </c>
      <c r="AJ400" t="s">
        <v>93</v>
      </c>
      <c r="AK400" t="s">
        <v>2737</v>
      </c>
      <c r="AL400" t="s">
        <v>95</v>
      </c>
      <c r="AM400" t="s">
        <v>96</v>
      </c>
      <c r="AN400" t="s">
        <v>96</v>
      </c>
      <c r="AP400" t="s">
        <v>78</v>
      </c>
      <c r="AQ400" t="s">
        <v>78</v>
      </c>
      <c r="AS400" t="s">
        <v>78</v>
      </c>
      <c r="AT400" t="s">
        <v>100</v>
      </c>
      <c r="AU400" t="s">
        <v>100</v>
      </c>
      <c r="AW400" t="s">
        <v>85</v>
      </c>
      <c r="AX400" t="s">
        <v>101</v>
      </c>
      <c r="AY400" t="s">
        <v>102</v>
      </c>
      <c r="AZ400" t="s">
        <v>145</v>
      </c>
      <c r="BA400" t="s">
        <v>525</v>
      </c>
      <c r="BB400" t="s">
        <v>78</v>
      </c>
      <c r="BC400" t="s">
        <v>78</v>
      </c>
      <c r="BD400" t="s">
        <v>1878</v>
      </c>
      <c r="BE400">
        <v>0</v>
      </c>
      <c r="BF400">
        <v>0</v>
      </c>
      <c r="BG400">
        <v>0</v>
      </c>
      <c r="BH400">
        <v>0</v>
      </c>
      <c r="BJ400" t="s">
        <v>85</v>
      </c>
      <c r="BP400" t="s">
        <v>78</v>
      </c>
      <c r="BQ400" t="s">
        <v>78</v>
      </c>
      <c r="BR400" t="s">
        <v>78</v>
      </c>
    </row>
    <row r="401" customFormat="1" spans="1:70">
      <c r="A401" t="s">
        <v>2738</v>
      </c>
      <c r="B401" t="s">
        <v>2738</v>
      </c>
      <c r="C401" t="s">
        <v>2739</v>
      </c>
      <c r="D401" t="s">
        <v>1038</v>
      </c>
      <c r="E401">
        <v>1</v>
      </c>
      <c r="F401" t="s">
        <v>2740</v>
      </c>
      <c r="G401" t="s">
        <v>2741</v>
      </c>
      <c r="H401">
        <v>89</v>
      </c>
      <c r="I401">
        <v>82.78</v>
      </c>
      <c r="J401">
        <v>0</v>
      </c>
      <c r="K401">
        <v>6.22</v>
      </c>
      <c r="L401" t="s">
        <v>2742</v>
      </c>
      <c r="M401" t="s">
        <v>78</v>
      </c>
      <c r="N401" t="s">
        <v>78</v>
      </c>
      <c r="O401">
        <v>0</v>
      </c>
      <c r="P401">
        <v>0</v>
      </c>
      <c r="Q401">
        <v>0</v>
      </c>
      <c r="R401" t="s">
        <v>125</v>
      </c>
      <c r="S401">
        <v>0</v>
      </c>
      <c r="T401" t="s">
        <v>80</v>
      </c>
      <c r="U401" t="s">
        <v>80</v>
      </c>
      <c r="V401" t="s">
        <v>464</v>
      </c>
      <c r="W401" t="s">
        <v>542</v>
      </c>
      <c r="X401" t="s">
        <v>2148</v>
      </c>
      <c r="Y401" t="s">
        <v>2149</v>
      </c>
      <c r="Z401" t="s">
        <v>80</v>
      </c>
      <c r="AA401" t="s">
        <v>85</v>
      </c>
      <c r="AC401" t="s">
        <v>2743</v>
      </c>
      <c r="AD401" t="s">
        <v>202</v>
      </c>
      <c r="AE401" t="s">
        <v>2744</v>
      </c>
      <c r="AG401" t="s">
        <v>2745</v>
      </c>
      <c r="AH401" t="s">
        <v>91</v>
      </c>
      <c r="AI401" t="s">
        <v>216</v>
      </c>
      <c r="AJ401" t="s">
        <v>131</v>
      </c>
      <c r="AK401" t="s">
        <v>2746</v>
      </c>
      <c r="AL401" t="s">
        <v>95</v>
      </c>
      <c r="AM401" t="s">
        <v>96</v>
      </c>
      <c r="AN401" t="s">
        <v>96</v>
      </c>
      <c r="AP401" t="s">
        <v>78</v>
      </c>
      <c r="AQ401" t="s">
        <v>99</v>
      </c>
      <c r="AS401" t="s">
        <v>78</v>
      </c>
      <c r="AT401" t="s">
        <v>100</v>
      </c>
      <c r="AU401" t="s">
        <v>100</v>
      </c>
      <c r="AW401" t="s">
        <v>85</v>
      </c>
      <c r="AX401" t="s">
        <v>101</v>
      </c>
      <c r="AY401" t="s">
        <v>102</v>
      </c>
      <c r="AZ401" t="s">
        <v>145</v>
      </c>
      <c r="BA401" t="s">
        <v>354</v>
      </c>
      <c r="BB401" t="s">
        <v>78</v>
      </c>
      <c r="BC401" t="s">
        <v>78</v>
      </c>
      <c r="BD401" t="s">
        <v>2747</v>
      </c>
      <c r="BE401">
        <v>0</v>
      </c>
      <c r="BF401">
        <v>6.22</v>
      </c>
      <c r="BG401">
        <v>0</v>
      </c>
      <c r="BH401">
        <v>0</v>
      </c>
      <c r="BJ401" t="s">
        <v>85</v>
      </c>
      <c r="BP401" t="s">
        <v>78</v>
      </c>
      <c r="BQ401" t="s">
        <v>78</v>
      </c>
      <c r="BR401" t="s">
        <v>78</v>
      </c>
    </row>
    <row r="402" customFormat="1" spans="1:70">
      <c r="A402" t="s">
        <v>2748</v>
      </c>
      <c r="B402" t="s">
        <v>2748</v>
      </c>
      <c r="C402" t="s">
        <v>2749</v>
      </c>
      <c r="D402" t="s">
        <v>108</v>
      </c>
      <c r="E402">
        <v>1</v>
      </c>
      <c r="F402" t="s">
        <v>2750</v>
      </c>
      <c r="G402" t="s">
        <v>2751</v>
      </c>
      <c r="H402">
        <v>119</v>
      </c>
      <c r="I402">
        <v>119</v>
      </c>
      <c r="J402">
        <v>0</v>
      </c>
      <c r="K402">
        <v>0</v>
      </c>
      <c r="L402" t="s">
        <v>78</v>
      </c>
      <c r="M402" t="s">
        <v>78</v>
      </c>
      <c r="N402" t="s">
        <v>78</v>
      </c>
      <c r="O402">
        <v>0</v>
      </c>
      <c r="P402">
        <v>0</v>
      </c>
      <c r="Q402">
        <v>0</v>
      </c>
      <c r="R402" t="s">
        <v>125</v>
      </c>
      <c r="S402">
        <v>0</v>
      </c>
      <c r="T402" t="s">
        <v>80</v>
      </c>
      <c r="U402" t="s">
        <v>80</v>
      </c>
      <c r="V402" t="s">
        <v>161</v>
      </c>
      <c r="W402" t="s">
        <v>161</v>
      </c>
      <c r="X402" t="s">
        <v>2752</v>
      </c>
      <c r="Y402" t="s">
        <v>2753</v>
      </c>
      <c r="Z402" t="s">
        <v>80</v>
      </c>
      <c r="AA402" t="s">
        <v>85</v>
      </c>
      <c r="AC402" t="s">
        <v>2754</v>
      </c>
      <c r="AD402" t="s">
        <v>202</v>
      </c>
      <c r="AE402" t="s">
        <v>2755</v>
      </c>
      <c r="AG402" t="s">
        <v>2756</v>
      </c>
      <c r="AH402" t="s">
        <v>91</v>
      </c>
      <c r="AI402" t="s">
        <v>216</v>
      </c>
      <c r="AJ402" t="s">
        <v>131</v>
      </c>
      <c r="AK402" t="s">
        <v>2757</v>
      </c>
      <c r="AL402" t="s">
        <v>95</v>
      </c>
      <c r="AM402" t="s">
        <v>96</v>
      </c>
      <c r="AN402" t="s">
        <v>96</v>
      </c>
      <c r="AP402" t="s">
        <v>78</v>
      </c>
      <c r="AQ402" t="s">
        <v>99</v>
      </c>
      <c r="AS402" t="s">
        <v>78</v>
      </c>
      <c r="AT402" t="s">
        <v>100</v>
      </c>
      <c r="AU402" t="s">
        <v>100</v>
      </c>
      <c r="AW402" t="s">
        <v>85</v>
      </c>
      <c r="AX402" t="s">
        <v>101</v>
      </c>
      <c r="AY402" t="s">
        <v>102</v>
      </c>
      <c r="AZ402" t="s">
        <v>145</v>
      </c>
      <c r="BA402" t="s">
        <v>218</v>
      </c>
      <c r="BB402" t="s">
        <v>78</v>
      </c>
      <c r="BC402" t="s">
        <v>78</v>
      </c>
      <c r="BD402" t="s">
        <v>2758</v>
      </c>
      <c r="BE402">
        <v>0</v>
      </c>
      <c r="BF402">
        <v>0</v>
      </c>
      <c r="BG402">
        <v>0</v>
      </c>
      <c r="BH402">
        <v>0</v>
      </c>
      <c r="BJ402" t="s">
        <v>85</v>
      </c>
      <c r="BP402" t="s">
        <v>78</v>
      </c>
      <c r="BQ402" t="s">
        <v>78</v>
      </c>
      <c r="BR402" t="s">
        <v>78</v>
      </c>
    </row>
    <row r="403" customFormat="1" spans="1:70">
      <c r="A403" t="s">
        <v>2759</v>
      </c>
      <c r="B403" t="s">
        <v>2759</v>
      </c>
      <c r="C403" t="s">
        <v>2760</v>
      </c>
      <c r="D403" t="s">
        <v>2761</v>
      </c>
      <c r="E403">
        <v>1</v>
      </c>
      <c r="F403" t="s">
        <v>2762</v>
      </c>
      <c r="G403" t="s">
        <v>2763</v>
      </c>
      <c r="H403">
        <v>299</v>
      </c>
      <c r="I403">
        <v>299</v>
      </c>
      <c r="J403">
        <v>0</v>
      </c>
      <c r="K403">
        <v>0</v>
      </c>
      <c r="L403" t="s">
        <v>78</v>
      </c>
      <c r="M403" t="s">
        <v>78</v>
      </c>
      <c r="N403" t="s">
        <v>78</v>
      </c>
      <c r="O403">
        <v>0</v>
      </c>
      <c r="P403">
        <v>0</v>
      </c>
      <c r="Q403">
        <v>0</v>
      </c>
      <c r="R403" t="s">
        <v>79</v>
      </c>
      <c r="S403">
        <v>0</v>
      </c>
      <c r="T403" t="s">
        <v>80</v>
      </c>
      <c r="U403" t="s">
        <v>80</v>
      </c>
      <c r="V403" t="s">
        <v>556</v>
      </c>
      <c r="W403" t="s">
        <v>953</v>
      </c>
      <c r="X403" t="s">
        <v>2764</v>
      </c>
      <c r="Y403" t="s">
        <v>2765</v>
      </c>
      <c r="Z403" t="s">
        <v>80</v>
      </c>
      <c r="AA403" t="s">
        <v>85</v>
      </c>
      <c r="AC403" t="s">
        <v>2766</v>
      </c>
      <c r="AD403" t="s">
        <v>87</v>
      </c>
      <c r="AH403" t="s">
        <v>91</v>
      </c>
      <c r="AI403" t="s">
        <v>216</v>
      </c>
      <c r="AJ403" t="s">
        <v>131</v>
      </c>
      <c r="AK403" t="s">
        <v>2767</v>
      </c>
      <c r="AL403" t="s">
        <v>95</v>
      </c>
      <c r="AM403" t="s">
        <v>96</v>
      </c>
      <c r="AN403" t="s">
        <v>96</v>
      </c>
      <c r="AP403" t="s">
        <v>78</v>
      </c>
      <c r="AQ403" t="s">
        <v>78</v>
      </c>
      <c r="AR403" t="s">
        <v>195</v>
      </c>
      <c r="AS403" t="s">
        <v>78</v>
      </c>
      <c r="AT403" t="s">
        <v>100</v>
      </c>
      <c r="AU403" t="s">
        <v>100</v>
      </c>
      <c r="AW403" t="s">
        <v>85</v>
      </c>
      <c r="AX403" t="s">
        <v>101</v>
      </c>
      <c r="AY403" t="s">
        <v>102</v>
      </c>
      <c r="AZ403" t="s">
        <v>145</v>
      </c>
      <c r="BA403" t="s">
        <v>218</v>
      </c>
      <c r="BB403" t="s">
        <v>78</v>
      </c>
      <c r="BC403" t="s">
        <v>78</v>
      </c>
      <c r="BE403">
        <v>0</v>
      </c>
      <c r="BF403">
        <v>0</v>
      </c>
      <c r="BG403">
        <v>0</v>
      </c>
      <c r="BH403">
        <v>0</v>
      </c>
      <c r="BJ403" t="s">
        <v>85</v>
      </c>
      <c r="BP403" t="s">
        <v>78</v>
      </c>
      <c r="BQ403" t="s">
        <v>78</v>
      </c>
      <c r="BR403" t="s">
        <v>78</v>
      </c>
    </row>
    <row r="404" customFormat="1" spans="1:70">
      <c r="A404" t="s">
        <v>2768</v>
      </c>
      <c r="B404" t="s">
        <v>2768</v>
      </c>
      <c r="C404" t="s">
        <v>2769</v>
      </c>
      <c r="D404" t="s">
        <v>2770</v>
      </c>
      <c r="E404">
        <v>1</v>
      </c>
      <c r="F404" t="s">
        <v>2771</v>
      </c>
      <c r="G404" t="s">
        <v>2772</v>
      </c>
      <c r="H404">
        <v>299</v>
      </c>
      <c r="I404">
        <v>299</v>
      </c>
      <c r="J404">
        <v>0</v>
      </c>
      <c r="K404">
        <v>0</v>
      </c>
      <c r="L404" t="s">
        <v>78</v>
      </c>
      <c r="M404" t="s">
        <v>78</v>
      </c>
      <c r="N404" t="s">
        <v>78</v>
      </c>
      <c r="O404">
        <v>0</v>
      </c>
      <c r="P404">
        <v>0</v>
      </c>
      <c r="Q404">
        <v>0</v>
      </c>
      <c r="R404" t="s">
        <v>79</v>
      </c>
      <c r="S404">
        <v>0</v>
      </c>
      <c r="T404" t="s">
        <v>80</v>
      </c>
      <c r="U404" t="s">
        <v>80</v>
      </c>
      <c r="V404" t="s">
        <v>500</v>
      </c>
      <c r="W404" t="s">
        <v>991</v>
      </c>
      <c r="X404" t="s">
        <v>992</v>
      </c>
      <c r="Y404" t="s">
        <v>2773</v>
      </c>
      <c r="Z404" t="s">
        <v>80</v>
      </c>
      <c r="AA404" t="s">
        <v>85</v>
      </c>
      <c r="AC404" t="s">
        <v>2774</v>
      </c>
      <c r="AD404" t="s">
        <v>87</v>
      </c>
      <c r="AG404" t="s">
        <v>2775</v>
      </c>
      <c r="AH404" t="s">
        <v>227</v>
      </c>
      <c r="AI404" t="s">
        <v>216</v>
      </c>
      <c r="AJ404" t="s">
        <v>131</v>
      </c>
      <c r="AK404" t="s">
        <v>2776</v>
      </c>
      <c r="AL404" t="s">
        <v>95</v>
      </c>
      <c r="AM404" t="s">
        <v>96</v>
      </c>
      <c r="AN404" t="s">
        <v>96</v>
      </c>
      <c r="AP404" t="s">
        <v>78</v>
      </c>
      <c r="AQ404" t="s">
        <v>99</v>
      </c>
      <c r="AS404" t="s">
        <v>78</v>
      </c>
      <c r="AT404" t="s">
        <v>100</v>
      </c>
      <c r="AU404" t="s">
        <v>100</v>
      </c>
      <c r="AW404" t="s">
        <v>85</v>
      </c>
      <c r="AX404" t="s">
        <v>101</v>
      </c>
      <c r="AY404" t="s">
        <v>102</v>
      </c>
      <c r="AZ404" t="s">
        <v>145</v>
      </c>
      <c r="BA404" t="s">
        <v>218</v>
      </c>
      <c r="BB404" t="s">
        <v>78</v>
      </c>
      <c r="BC404" t="s">
        <v>78</v>
      </c>
      <c r="BE404">
        <v>0</v>
      </c>
      <c r="BF404">
        <v>0</v>
      </c>
      <c r="BG404">
        <v>0</v>
      </c>
      <c r="BH404">
        <v>0</v>
      </c>
      <c r="BJ404" t="s">
        <v>85</v>
      </c>
      <c r="BP404" t="s">
        <v>78</v>
      </c>
      <c r="BQ404" t="s">
        <v>78</v>
      </c>
      <c r="BR404" t="s">
        <v>78</v>
      </c>
    </row>
    <row r="405" customFormat="1" spans="1:70">
      <c r="A405" t="s">
        <v>2777</v>
      </c>
      <c r="B405" t="s">
        <v>2777</v>
      </c>
      <c r="C405" t="s">
        <v>2769</v>
      </c>
      <c r="D405" t="s">
        <v>2778</v>
      </c>
      <c r="E405">
        <v>1</v>
      </c>
      <c r="F405" t="s">
        <v>2771</v>
      </c>
      <c r="G405" t="s">
        <v>2779</v>
      </c>
      <c r="H405">
        <v>299</v>
      </c>
      <c r="I405">
        <v>299</v>
      </c>
      <c r="J405">
        <v>0</v>
      </c>
      <c r="K405">
        <v>0</v>
      </c>
      <c r="L405" t="s">
        <v>78</v>
      </c>
      <c r="M405" t="s">
        <v>78</v>
      </c>
      <c r="N405" t="s">
        <v>78</v>
      </c>
      <c r="O405">
        <v>0</v>
      </c>
      <c r="P405">
        <v>0</v>
      </c>
      <c r="Q405">
        <v>0</v>
      </c>
      <c r="R405" t="s">
        <v>79</v>
      </c>
      <c r="S405">
        <v>0</v>
      </c>
      <c r="T405" t="s">
        <v>80</v>
      </c>
      <c r="U405" t="s">
        <v>80</v>
      </c>
      <c r="V405" t="s">
        <v>500</v>
      </c>
      <c r="W405" t="s">
        <v>991</v>
      </c>
      <c r="X405" t="s">
        <v>992</v>
      </c>
      <c r="Y405" t="s">
        <v>2773</v>
      </c>
      <c r="Z405" t="s">
        <v>80</v>
      </c>
      <c r="AA405" t="s">
        <v>85</v>
      </c>
      <c r="AC405" t="s">
        <v>2780</v>
      </c>
      <c r="AD405" t="s">
        <v>202</v>
      </c>
      <c r="AE405" t="s">
        <v>2781</v>
      </c>
      <c r="AG405" t="s">
        <v>2782</v>
      </c>
      <c r="AH405" t="s">
        <v>227</v>
      </c>
      <c r="AI405" t="s">
        <v>216</v>
      </c>
      <c r="AJ405" t="s">
        <v>131</v>
      </c>
      <c r="AK405" t="s">
        <v>2783</v>
      </c>
      <c r="AL405" t="s">
        <v>95</v>
      </c>
      <c r="AM405" t="s">
        <v>96</v>
      </c>
      <c r="AN405" t="s">
        <v>96</v>
      </c>
      <c r="AP405" t="s">
        <v>78</v>
      </c>
      <c r="AQ405" t="s">
        <v>99</v>
      </c>
      <c r="AS405" t="s">
        <v>78</v>
      </c>
      <c r="AT405" t="s">
        <v>100</v>
      </c>
      <c r="AU405" t="s">
        <v>100</v>
      </c>
      <c r="AW405" t="s">
        <v>85</v>
      </c>
      <c r="AX405" t="s">
        <v>101</v>
      </c>
      <c r="AY405" t="s">
        <v>102</v>
      </c>
      <c r="AZ405" t="s">
        <v>145</v>
      </c>
      <c r="BA405" t="s">
        <v>102</v>
      </c>
      <c r="BB405" t="s">
        <v>78</v>
      </c>
      <c r="BC405" t="s">
        <v>78</v>
      </c>
      <c r="BD405" t="s">
        <v>2784</v>
      </c>
      <c r="BE405">
        <v>0</v>
      </c>
      <c r="BF405">
        <v>0</v>
      </c>
      <c r="BG405">
        <v>0</v>
      </c>
      <c r="BH405">
        <v>0</v>
      </c>
      <c r="BJ405" t="s">
        <v>85</v>
      </c>
      <c r="BP405" t="s">
        <v>78</v>
      </c>
      <c r="BQ405" t="s">
        <v>78</v>
      </c>
      <c r="BR405" t="s">
        <v>78</v>
      </c>
    </row>
    <row r="406" customFormat="1" spans="1:70">
      <c r="A406" t="s">
        <v>2785</v>
      </c>
      <c r="B406" t="s">
        <v>2785</v>
      </c>
      <c r="C406" t="s">
        <v>107</v>
      </c>
      <c r="D406" t="s">
        <v>108</v>
      </c>
      <c r="E406">
        <v>1</v>
      </c>
      <c r="F406" t="s">
        <v>109</v>
      </c>
      <c r="G406" t="s">
        <v>110</v>
      </c>
      <c r="H406">
        <v>289</v>
      </c>
      <c r="I406">
        <v>289</v>
      </c>
      <c r="J406">
        <v>0</v>
      </c>
      <c r="K406">
        <v>0</v>
      </c>
      <c r="L406" t="s">
        <v>78</v>
      </c>
      <c r="M406" t="s">
        <v>78</v>
      </c>
      <c r="N406" t="s">
        <v>78</v>
      </c>
      <c r="O406">
        <v>0</v>
      </c>
      <c r="P406">
        <v>0</v>
      </c>
      <c r="Q406">
        <v>0</v>
      </c>
      <c r="R406" t="s">
        <v>125</v>
      </c>
      <c r="S406">
        <v>0</v>
      </c>
      <c r="T406" t="s">
        <v>80</v>
      </c>
      <c r="U406" t="s">
        <v>80</v>
      </c>
      <c r="V406" t="s">
        <v>509</v>
      </c>
      <c r="W406" t="s">
        <v>510</v>
      </c>
      <c r="X406" t="s">
        <v>511</v>
      </c>
      <c r="Y406" t="s">
        <v>512</v>
      </c>
      <c r="Z406" t="s">
        <v>80</v>
      </c>
      <c r="AA406" t="s">
        <v>85</v>
      </c>
      <c r="AC406" t="s">
        <v>2786</v>
      </c>
      <c r="AD406" t="s">
        <v>87</v>
      </c>
      <c r="AH406" t="s">
        <v>91</v>
      </c>
      <c r="AI406" t="s">
        <v>92</v>
      </c>
      <c r="AJ406" t="s">
        <v>131</v>
      </c>
      <c r="AK406" t="s">
        <v>2787</v>
      </c>
      <c r="AL406" t="s">
        <v>95</v>
      </c>
      <c r="AM406" t="s">
        <v>96</v>
      </c>
      <c r="AN406" t="s">
        <v>97</v>
      </c>
      <c r="AO406" t="s">
        <v>98</v>
      </c>
      <c r="AP406" t="s">
        <v>78</v>
      </c>
      <c r="AQ406" t="s">
        <v>78</v>
      </c>
      <c r="AR406" t="s">
        <v>353</v>
      </c>
      <c r="AS406" t="s">
        <v>78</v>
      </c>
      <c r="AT406" t="s">
        <v>100</v>
      </c>
      <c r="AU406" t="s">
        <v>100</v>
      </c>
      <c r="AW406" t="s">
        <v>85</v>
      </c>
      <c r="AX406" t="s">
        <v>101</v>
      </c>
      <c r="AY406" t="s">
        <v>102</v>
      </c>
      <c r="AZ406" t="s">
        <v>145</v>
      </c>
      <c r="BA406" t="s">
        <v>146</v>
      </c>
      <c r="BB406" t="s">
        <v>78</v>
      </c>
      <c r="BC406" t="s">
        <v>78</v>
      </c>
      <c r="BE406">
        <v>0</v>
      </c>
      <c r="BF406">
        <v>0</v>
      </c>
      <c r="BG406">
        <v>0</v>
      </c>
      <c r="BH406">
        <v>0</v>
      </c>
      <c r="BJ406" t="s">
        <v>85</v>
      </c>
      <c r="BP406" t="s">
        <v>78</v>
      </c>
      <c r="BQ406" t="s">
        <v>78</v>
      </c>
      <c r="BR406" t="s">
        <v>78</v>
      </c>
    </row>
    <row r="407" customFormat="1" spans="1:70">
      <c r="A407" t="s">
        <v>2788</v>
      </c>
      <c r="B407" t="s">
        <v>2788</v>
      </c>
      <c r="C407" t="s">
        <v>2789</v>
      </c>
      <c r="D407" t="s">
        <v>135</v>
      </c>
      <c r="E407">
        <v>1</v>
      </c>
      <c r="F407" t="s">
        <v>2790</v>
      </c>
      <c r="G407" t="s">
        <v>2791</v>
      </c>
      <c r="H407">
        <v>389</v>
      </c>
      <c r="I407">
        <v>389</v>
      </c>
      <c r="J407">
        <v>0</v>
      </c>
      <c r="K407">
        <v>0</v>
      </c>
      <c r="L407" t="s">
        <v>78</v>
      </c>
      <c r="M407" t="s">
        <v>78</v>
      </c>
      <c r="N407" t="s">
        <v>78</v>
      </c>
      <c r="O407">
        <v>0</v>
      </c>
      <c r="P407">
        <v>0</v>
      </c>
      <c r="Q407">
        <v>0</v>
      </c>
      <c r="R407" t="s">
        <v>111</v>
      </c>
      <c r="S407">
        <v>0</v>
      </c>
      <c r="T407" t="s">
        <v>80</v>
      </c>
      <c r="U407" t="s">
        <v>80</v>
      </c>
      <c r="V407" t="s">
        <v>556</v>
      </c>
      <c r="W407" t="s">
        <v>2792</v>
      </c>
      <c r="X407" t="s">
        <v>2793</v>
      </c>
      <c r="Y407" t="s">
        <v>2794</v>
      </c>
      <c r="Z407" t="s">
        <v>80</v>
      </c>
      <c r="AA407" t="s">
        <v>85</v>
      </c>
      <c r="AC407" t="s">
        <v>2795</v>
      </c>
      <c r="AD407" t="s">
        <v>202</v>
      </c>
      <c r="AE407" t="s">
        <v>2796</v>
      </c>
      <c r="AG407" t="s">
        <v>2797</v>
      </c>
      <c r="AH407" t="s">
        <v>227</v>
      </c>
      <c r="AI407" t="s">
        <v>216</v>
      </c>
      <c r="AJ407" t="s">
        <v>131</v>
      </c>
      <c r="AK407" t="s">
        <v>2798</v>
      </c>
      <c r="AL407" t="s">
        <v>95</v>
      </c>
      <c r="AM407" t="s">
        <v>96</v>
      </c>
      <c r="AN407" t="s">
        <v>96</v>
      </c>
      <c r="AP407" t="s">
        <v>78</v>
      </c>
      <c r="AQ407" t="s">
        <v>99</v>
      </c>
      <c r="AS407" t="s">
        <v>78</v>
      </c>
      <c r="AT407" t="s">
        <v>100</v>
      </c>
      <c r="AU407" t="s">
        <v>100</v>
      </c>
      <c r="AW407" t="s">
        <v>85</v>
      </c>
      <c r="AX407" t="s">
        <v>101</v>
      </c>
      <c r="AY407" t="s">
        <v>102</v>
      </c>
      <c r="AZ407" t="s">
        <v>145</v>
      </c>
      <c r="BA407" t="s">
        <v>218</v>
      </c>
      <c r="BB407" t="s">
        <v>78</v>
      </c>
      <c r="BC407" t="s">
        <v>78</v>
      </c>
      <c r="BD407" t="s">
        <v>2799</v>
      </c>
      <c r="BE407">
        <v>0</v>
      </c>
      <c r="BF407">
        <v>0</v>
      </c>
      <c r="BG407">
        <v>0</v>
      </c>
      <c r="BH407">
        <v>0</v>
      </c>
      <c r="BJ407" t="s">
        <v>85</v>
      </c>
      <c r="BP407" t="s">
        <v>78</v>
      </c>
      <c r="BQ407" t="s">
        <v>78</v>
      </c>
      <c r="BR407" t="s">
        <v>78</v>
      </c>
    </row>
    <row r="408" customFormat="1" spans="1:70">
      <c r="A408" t="s">
        <v>2800</v>
      </c>
      <c r="B408" t="s">
        <v>2800</v>
      </c>
      <c r="C408" t="s">
        <v>2801</v>
      </c>
      <c r="D408" t="s">
        <v>2802</v>
      </c>
      <c r="E408">
        <v>1</v>
      </c>
      <c r="F408" t="s">
        <v>2803</v>
      </c>
      <c r="G408" t="s">
        <v>2804</v>
      </c>
      <c r="H408">
        <v>329</v>
      </c>
      <c r="I408">
        <v>329</v>
      </c>
      <c r="J408">
        <v>0</v>
      </c>
      <c r="K408">
        <v>0</v>
      </c>
      <c r="L408" t="s">
        <v>78</v>
      </c>
      <c r="M408" t="s">
        <v>78</v>
      </c>
      <c r="N408" t="s">
        <v>78</v>
      </c>
      <c r="O408">
        <v>0</v>
      </c>
      <c r="P408">
        <v>0</v>
      </c>
      <c r="Q408">
        <v>0</v>
      </c>
      <c r="R408" t="s">
        <v>125</v>
      </c>
      <c r="S408">
        <v>0</v>
      </c>
      <c r="T408" t="s">
        <v>80</v>
      </c>
      <c r="U408" t="s">
        <v>80</v>
      </c>
      <c r="V408" t="s">
        <v>574</v>
      </c>
      <c r="W408" t="s">
        <v>574</v>
      </c>
      <c r="X408" t="s">
        <v>809</v>
      </c>
      <c r="Y408" t="s">
        <v>2805</v>
      </c>
      <c r="Z408" t="s">
        <v>80</v>
      </c>
      <c r="AA408" t="s">
        <v>85</v>
      </c>
      <c r="AC408" t="s">
        <v>2806</v>
      </c>
      <c r="AD408" t="s">
        <v>202</v>
      </c>
      <c r="AE408" t="s">
        <v>2807</v>
      </c>
      <c r="AG408" t="s">
        <v>2808</v>
      </c>
      <c r="AH408" t="s">
        <v>91</v>
      </c>
      <c r="AI408" t="s">
        <v>216</v>
      </c>
      <c r="AJ408" t="s">
        <v>131</v>
      </c>
      <c r="AK408" t="s">
        <v>2809</v>
      </c>
      <c r="AL408" t="s">
        <v>95</v>
      </c>
      <c r="AM408" t="s">
        <v>96</v>
      </c>
      <c r="AN408" t="s">
        <v>96</v>
      </c>
      <c r="AP408" t="s">
        <v>78</v>
      </c>
      <c r="AQ408" t="s">
        <v>99</v>
      </c>
      <c r="AS408" t="s">
        <v>78</v>
      </c>
      <c r="AT408" t="s">
        <v>100</v>
      </c>
      <c r="AU408" t="s">
        <v>100</v>
      </c>
      <c r="AW408" t="s">
        <v>85</v>
      </c>
      <c r="AX408" t="s">
        <v>101</v>
      </c>
      <c r="AY408" t="s">
        <v>102</v>
      </c>
      <c r="AZ408" t="s">
        <v>145</v>
      </c>
      <c r="BA408" t="s">
        <v>1035</v>
      </c>
      <c r="BB408" t="s">
        <v>78</v>
      </c>
      <c r="BC408" t="s">
        <v>78</v>
      </c>
      <c r="BD408" t="s">
        <v>2810</v>
      </c>
      <c r="BE408">
        <v>0</v>
      </c>
      <c r="BF408">
        <v>0</v>
      </c>
      <c r="BG408">
        <v>0</v>
      </c>
      <c r="BH408">
        <v>0</v>
      </c>
      <c r="BJ408" t="s">
        <v>85</v>
      </c>
      <c r="BP408" t="s">
        <v>78</v>
      </c>
      <c r="BQ408" t="s">
        <v>78</v>
      </c>
      <c r="BR408" t="s">
        <v>78</v>
      </c>
    </row>
    <row r="409" customFormat="1" spans="1:70">
      <c r="A409" t="s">
        <v>2811</v>
      </c>
      <c r="B409" t="s">
        <v>2811</v>
      </c>
      <c r="C409" t="s">
        <v>2812</v>
      </c>
      <c r="D409" t="s">
        <v>2813</v>
      </c>
      <c r="E409">
        <v>1</v>
      </c>
      <c r="F409" t="s">
        <v>2814</v>
      </c>
      <c r="G409" t="s">
        <v>2815</v>
      </c>
      <c r="H409">
        <v>439</v>
      </c>
      <c r="I409">
        <v>387</v>
      </c>
      <c r="J409">
        <v>0</v>
      </c>
      <c r="K409">
        <v>52</v>
      </c>
      <c r="L409" t="s">
        <v>2816</v>
      </c>
      <c r="M409" t="s">
        <v>78</v>
      </c>
      <c r="N409" t="s">
        <v>78</v>
      </c>
      <c r="O409">
        <v>0</v>
      </c>
      <c r="P409">
        <v>0</v>
      </c>
      <c r="Q409">
        <v>0</v>
      </c>
      <c r="R409" t="s">
        <v>125</v>
      </c>
      <c r="S409">
        <v>0</v>
      </c>
      <c r="T409" t="s">
        <v>80</v>
      </c>
      <c r="U409" t="s">
        <v>80</v>
      </c>
      <c r="V409" t="s">
        <v>302</v>
      </c>
      <c r="W409" t="s">
        <v>412</v>
      </c>
      <c r="X409" t="s">
        <v>2817</v>
      </c>
      <c r="Y409" t="s">
        <v>2818</v>
      </c>
      <c r="Z409" t="s">
        <v>80</v>
      </c>
      <c r="AA409" t="s">
        <v>85</v>
      </c>
      <c r="AC409" t="s">
        <v>2819</v>
      </c>
      <c r="AD409" t="s">
        <v>202</v>
      </c>
      <c r="AE409" t="s">
        <v>2820</v>
      </c>
      <c r="AF409" t="s">
        <v>2821</v>
      </c>
      <c r="AG409" t="s">
        <v>2822</v>
      </c>
      <c r="AH409" t="s">
        <v>91</v>
      </c>
      <c r="AI409" t="s">
        <v>216</v>
      </c>
      <c r="AJ409" t="s">
        <v>93</v>
      </c>
      <c r="AK409" t="s">
        <v>2823</v>
      </c>
      <c r="AL409" t="s">
        <v>95</v>
      </c>
      <c r="AM409" t="s">
        <v>96</v>
      </c>
      <c r="AN409" t="s">
        <v>96</v>
      </c>
      <c r="AP409" t="s">
        <v>78</v>
      </c>
      <c r="AQ409" t="s">
        <v>99</v>
      </c>
      <c r="AS409" t="s">
        <v>78</v>
      </c>
      <c r="AT409" t="s">
        <v>100</v>
      </c>
      <c r="AU409" t="s">
        <v>100</v>
      </c>
      <c r="AW409" t="s">
        <v>85</v>
      </c>
      <c r="AX409" t="s">
        <v>101</v>
      </c>
      <c r="AY409" t="s">
        <v>102</v>
      </c>
      <c r="AZ409" t="s">
        <v>145</v>
      </c>
      <c r="BA409" t="s">
        <v>218</v>
      </c>
      <c r="BB409" t="s">
        <v>78</v>
      </c>
      <c r="BC409" t="s">
        <v>78</v>
      </c>
      <c r="BD409" t="s">
        <v>2824</v>
      </c>
      <c r="BE409">
        <v>0</v>
      </c>
      <c r="BF409">
        <v>52</v>
      </c>
      <c r="BG409">
        <v>0</v>
      </c>
      <c r="BH409">
        <v>0</v>
      </c>
      <c r="BJ409" t="s">
        <v>85</v>
      </c>
      <c r="BP409" t="s">
        <v>78</v>
      </c>
      <c r="BQ409" t="s">
        <v>78</v>
      </c>
      <c r="BR409" t="s">
        <v>78</v>
      </c>
    </row>
    <row r="410" customFormat="1" spans="1:70">
      <c r="A410" t="s">
        <v>2825</v>
      </c>
      <c r="B410" t="s">
        <v>2825</v>
      </c>
      <c r="C410" t="s">
        <v>107</v>
      </c>
      <c r="D410" t="s">
        <v>135</v>
      </c>
      <c r="E410">
        <v>1</v>
      </c>
      <c r="F410" t="s">
        <v>109</v>
      </c>
      <c r="G410" t="s">
        <v>136</v>
      </c>
      <c r="H410">
        <v>289</v>
      </c>
      <c r="I410">
        <v>271</v>
      </c>
      <c r="J410">
        <v>0</v>
      </c>
      <c r="K410">
        <v>18</v>
      </c>
      <c r="L410" t="s">
        <v>2826</v>
      </c>
      <c r="M410" t="s">
        <v>78</v>
      </c>
      <c r="N410" t="s">
        <v>78</v>
      </c>
      <c r="O410">
        <v>0</v>
      </c>
      <c r="P410">
        <v>0</v>
      </c>
      <c r="Q410">
        <v>0</v>
      </c>
      <c r="R410" t="s">
        <v>125</v>
      </c>
      <c r="S410">
        <v>0</v>
      </c>
      <c r="T410" t="s">
        <v>80</v>
      </c>
      <c r="U410" t="s">
        <v>80</v>
      </c>
      <c r="V410" t="s">
        <v>302</v>
      </c>
      <c r="W410" t="s">
        <v>412</v>
      </c>
      <c r="X410" t="s">
        <v>2827</v>
      </c>
      <c r="Y410" t="s">
        <v>2828</v>
      </c>
      <c r="Z410" t="s">
        <v>80</v>
      </c>
      <c r="AA410" t="s">
        <v>85</v>
      </c>
      <c r="AC410" t="s">
        <v>2829</v>
      </c>
      <c r="AD410" t="s">
        <v>87</v>
      </c>
      <c r="AG410" t="s">
        <v>2830</v>
      </c>
      <c r="AH410" t="s">
        <v>91</v>
      </c>
      <c r="AI410" t="s">
        <v>92</v>
      </c>
      <c r="AJ410" t="s">
        <v>131</v>
      </c>
      <c r="AK410" t="s">
        <v>2831</v>
      </c>
      <c r="AL410" t="s">
        <v>95</v>
      </c>
      <c r="AM410" t="s">
        <v>96</v>
      </c>
      <c r="AN410" t="s">
        <v>97</v>
      </c>
      <c r="AO410" t="s">
        <v>98</v>
      </c>
      <c r="AP410" t="s">
        <v>78</v>
      </c>
      <c r="AQ410" t="s">
        <v>99</v>
      </c>
      <c r="AS410" t="s">
        <v>78</v>
      </c>
      <c r="AT410" t="s">
        <v>100</v>
      </c>
      <c r="AU410" t="s">
        <v>100</v>
      </c>
      <c r="AW410" t="s">
        <v>85</v>
      </c>
      <c r="AX410" t="s">
        <v>101</v>
      </c>
      <c r="AY410" t="s">
        <v>102</v>
      </c>
      <c r="AZ410" t="s">
        <v>145</v>
      </c>
      <c r="BA410" t="s">
        <v>146</v>
      </c>
      <c r="BB410" t="s">
        <v>78</v>
      </c>
      <c r="BC410" t="s">
        <v>78</v>
      </c>
      <c r="BE410">
        <v>0</v>
      </c>
      <c r="BF410">
        <v>18</v>
      </c>
      <c r="BG410">
        <v>0</v>
      </c>
      <c r="BH410">
        <v>0</v>
      </c>
      <c r="BJ410" t="s">
        <v>85</v>
      </c>
      <c r="BP410" t="s">
        <v>78</v>
      </c>
      <c r="BQ410" t="s">
        <v>78</v>
      </c>
      <c r="BR410" t="s">
        <v>78</v>
      </c>
    </row>
    <row r="411" customFormat="1" spans="1:70">
      <c r="A411" t="s">
        <v>2832</v>
      </c>
      <c r="B411" t="s">
        <v>2832</v>
      </c>
      <c r="C411" t="s">
        <v>107</v>
      </c>
      <c r="D411" t="s">
        <v>123</v>
      </c>
      <c r="E411">
        <v>1</v>
      </c>
      <c r="F411" t="s">
        <v>109</v>
      </c>
      <c r="G411" t="s">
        <v>124</v>
      </c>
      <c r="H411">
        <v>289</v>
      </c>
      <c r="I411">
        <v>289</v>
      </c>
      <c r="J411">
        <v>0</v>
      </c>
      <c r="K411">
        <v>0</v>
      </c>
      <c r="L411" t="s">
        <v>78</v>
      </c>
      <c r="M411" t="s">
        <v>78</v>
      </c>
      <c r="N411" t="s">
        <v>78</v>
      </c>
      <c r="O411">
        <v>0</v>
      </c>
      <c r="P411">
        <v>0</v>
      </c>
      <c r="Q411">
        <v>0</v>
      </c>
      <c r="R411" t="s">
        <v>125</v>
      </c>
      <c r="S411">
        <v>0</v>
      </c>
      <c r="T411" t="s">
        <v>80</v>
      </c>
      <c r="U411" t="s">
        <v>80</v>
      </c>
      <c r="V411" t="s">
        <v>302</v>
      </c>
      <c r="W411" t="s">
        <v>2833</v>
      </c>
      <c r="X411" t="s">
        <v>2834</v>
      </c>
      <c r="Y411" t="s">
        <v>2835</v>
      </c>
      <c r="Z411" t="s">
        <v>80</v>
      </c>
      <c r="AA411" t="s">
        <v>85</v>
      </c>
      <c r="AC411" t="s">
        <v>2836</v>
      </c>
      <c r="AD411" t="s">
        <v>202</v>
      </c>
      <c r="AE411" t="s">
        <v>2837</v>
      </c>
      <c r="AG411" t="s">
        <v>2838</v>
      </c>
      <c r="AH411" t="s">
        <v>91</v>
      </c>
      <c r="AI411" t="s">
        <v>92</v>
      </c>
      <c r="AJ411" t="s">
        <v>131</v>
      </c>
      <c r="AK411" t="s">
        <v>2839</v>
      </c>
      <c r="AL411" t="s">
        <v>95</v>
      </c>
      <c r="AM411" t="s">
        <v>96</v>
      </c>
      <c r="AN411" t="s">
        <v>97</v>
      </c>
      <c r="AO411" t="s">
        <v>98</v>
      </c>
      <c r="AP411" t="s">
        <v>78</v>
      </c>
      <c r="AQ411" t="s">
        <v>99</v>
      </c>
      <c r="AS411" t="s">
        <v>78</v>
      </c>
      <c r="AT411" t="s">
        <v>100</v>
      </c>
      <c r="AU411" t="s">
        <v>100</v>
      </c>
      <c r="AW411" t="s">
        <v>85</v>
      </c>
      <c r="AX411" t="s">
        <v>101</v>
      </c>
      <c r="AY411" t="s">
        <v>102</v>
      </c>
      <c r="AZ411" t="s">
        <v>103</v>
      </c>
      <c r="BA411" t="s">
        <v>133</v>
      </c>
      <c r="BB411" t="s">
        <v>78</v>
      </c>
      <c r="BC411" t="s">
        <v>78</v>
      </c>
      <c r="BD411" t="s">
        <v>2840</v>
      </c>
      <c r="BE411">
        <v>0</v>
      </c>
      <c r="BF411">
        <v>0</v>
      </c>
      <c r="BG411">
        <v>0</v>
      </c>
      <c r="BH411">
        <v>0</v>
      </c>
      <c r="BJ411" t="s">
        <v>85</v>
      </c>
      <c r="BP411" t="s">
        <v>78</v>
      </c>
      <c r="BQ411" t="s">
        <v>78</v>
      </c>
      <c r="BR411" t="s">
        <v>78</v>
      </c>
    </row>
    <row r="412" customFormat="1" spans="1:70">
      <c r="A412" t="s">
        <v>2841</v>
      </c>
      <c r="B412" t="s">
        <v>2841</v>
      </c>
      <c r="C412" t="s">
        <v>107</v>
      </c>
      <c r="D412" t="s">
        <v>123</v>
      </c>
      <c r="E412">
        <v>1</v>
      </c>
      <c r="F412" t="s">
        <v>109</v>
      </c>
      <c r="G412" t="s">
        <v>124</v>
      </c>
      <c r="H412">
        <v>289</v>
      </c>
      <c r="I412">
        <v>289</v>
      </c>
      <c r="J412">
        <v>0</v>
      </c>
      <c r="K412">
        <v>0</v>
      </c>
      <c r="L412" t="s">
        <v>78</v>
      </c>
      <c r="M412" t="s">
        <v>78</v>
      </c>
      <c r="N412" t="s">
        <v>78</v>
      </c>
      <c r="O412">
        <v>0</v>
      </c>
      <c r="P412">
        <v>0</v>
      </c>
      <c r="Q412">
        <v>0</v>
      </c>
      <c r="R412" t="s">
        <v>79</v>
      </c>
      <c r="S412">
        <v>0</v>
      </c>
      <c r="T412" t="s">
        <v>80</v>
      </c>
      <c r="U412" t="s">
        <v>80</v>
      </c>
      <c r="V412" t="s">
        <v>239</v>
      </c>
      <c r="W412" t="s">
        <v>2439</v>
      </c>
      <c r="X412" t="s">
        <v>2440</v>
      </c>
      <c r="Y412" t="s">
        <v>2441</v>
      </c>
      <c r="Z412" t="s">
        <v>80</v>
      </c>
      <c r="AA412" t="s">
        <v>85</v>
      </c>
      <c r="AC412" t="s">
        <v>2842</v>
      </c>
      <c r="AD412" t="s">
        <v>87</v>
      </c>
      <c r="AG412" t="s">
        <v>2843</v>
      </c>
      <c r="AH412" t="s">
        <v>91</v>
      </c>
      <c r="AI412" t="s">
        <v>92</v>
      </c>
      <c r="AJ412" t="s">
        <v>131</v>
      </c>
      <c r="AK412" t="s">
        <v>2844</v>
      </c>
      <c r="AL412" t="s">
        <v>95</v>
      </c>
      <c r="AM412" t="s">
        <v>96</v>
      </c>
      <c r="AN412" t="s">
        <v>97</v>
      </c>
      <c r="AO412" t="s">
        <v>98</v>
      </c>
      <c r="AP412" t="s">
        <v>78</v>
      </c>
      <c r="AQ412" t="s">
        <v>99</v>
      </c>
      <c r="AS412" t="s">
        <v>78</v>
      </c>
      <c r="AT412" t="s">
        <v>100</v>
      </c>
      <c r="AU412" t="s">
        <v>100</v>
      </c>
      <c r="AW412" t="s">
        <v>85</v>
      </c>
      <c r="AX412" t="s">
        <v>101</v>
      </c>
      <c r="AY412" t="s">
        <v>102</v>
      </c>
      <c r="AZ412" t="s">
        <v>103</v>
      </c>
      <c r="BA412" t="s">
        <v>245</v>
      </c>
      <c r="BB412" t="s">
        <v>78</v>
      </c>
      <c r="BC412" t="s">
        <v>78</v>
      </c>
      <c r="BE412">
        <v>0</v>
      </c>
      <c r="BF412">
        <v>0</v>
      </c>
      <c r="BG412">
        <v>0</v>
      </c>
      <c r="BH412">
        <v>0</v>
      </c>
      <c r="BJ412" t="s">
        <v>85</v>
      </c>
      <c r="BP412" t="s">
        <v>78</v>
      </c>
      <c r="BQ412" t="s">
        <v>78</v>
      </c>
      <c r="BR412" t="s">
        <v>78</v>
      </c>
    </row>
    <row r="413" customFormat="1" spans="1:70">
      <c r="A413" t="s">
        <v>2845</v>
      </c>
      <c r="B413" t="s">
        <v>2845</v>
      </c>
      <c r="C413" t="s">
        <v>107</v>
      </c>
      <c r="D413" t="s">
        <v>135</v>
      </c>
      <c r="E413">
        <v>1</v>
      </c>
      <c r="F413" t="s">
        <v>109</v>
      </c>
      <c r="G413" t="s">
        <v>136</v>
      </c>
      <c r="H413">
        <v>289</v>
      </c>
      <c r="I413">
        <v>276.38</v>
      </c>
      <c r="J413">
        <v>0</v>
      </c>
      <c r="K413">
        <v>12.62</v>
      </c>
      <c r="L413" t="s">
        <v>2846</v>
      </c>
      <c r="M413" t="s">
        <v>78</v>
      </c>
      <c r="N413" t="s">
        <v>78</v>
      </c>
      <c r="O413">
        <v>0</v>
      </c>
      <c r="P413">
        <v>0</v>
      </c>
      <c r="Q413">
        <v>0</v>
      </c>
      <c r="R413" t="s">
        <v>79</v>
      </c>
      <c r="S413">
        <v>0</v>
      </c>
      <c r="T413" t="s">
        <v>80</v>
      </c>
      <c r="U413" t="s">
        <v>80</v>
      </c>
      <c r="V413" t="s">
        <v>178</v>
      </c>
      <c r="W413" t="s">
        <v>178</v>
      </c>
      <c r="X413" t="s">
        <v>2379</v>
      </c>
      <c r="Y413" t="s">
        <v>2380</v>
      </c>
      <c r="Z413" t="s">
        <v>80</v>
      </c>
      <c r="AA413" t="s">
        <v>85</v>
      </c>
      <c r="AC413" t="s">
        <v>2847</v>
      </c>
      <c r="AD413" t="s">
        <v>202</v>
      </c>
      <c r="AE413" t="s">
        <v>2848</v>
      </c>
      <c r="AG413" t="s">
        <v>2842</v>
      </c>
      <c r="AH413" t="s">
        <v>91</v>
      </c>
      <c r="AI413" t="s">
        <v>92</v>
      </c>
      <c r="AJ413" t="s">
        <v>131</v>
      </c>
      <c r="AK413" t="s">
        <v>2849</v>
      </c>
      <c r="AL413" t="s">
        <v>95</v>
      </c>
      <c r="AM413" t="s">
        <v>96</v>
      </c>
      <c r="AN413" t="s">
        <v>97</v>
      </c>
      <c r="AO413" t="s">
        <v>98</v>
      </c>
      <c r="AP413" t="s">
        <v>78</v>
      </c>
      <c r="AQ413" t="s">
        <v>99</v>
      </c>
      <c r="AS413" t="s">
        <v>78</v>
      </c>
      <c r="AT413" t="s">
        <v>100</v>
      </c>
      <c r="AU413" t="s">
        <v>100</v>
      </c>
      <c r="AW413" t="s">
        <v>85</v>
      </c>
      <c r="AX413" t="s">
        <v>103</v>
      </c>
      <c r="AY413" t="s">
        <v>159</v>
      </c>
      <c r="AZ413" t="s">
        <v>103</v>
      </c>
      <c r="BA413" t="s">
        <v>104</v>
      </c>
      <c r="BB413" t="s">
        <v>78</v>
      </c>
      <c r="BC413" t="s">
        <v>78</v>
      </c>
      <c r="BD413" t="s">
        <v>2850</v>
      </c>
      <c r="BE413">
        <v>0</v>
      </c>
      <c r="BF413">
        <v>12.62</v>
      </c>
      <c r="BG413">
        <v>0</v>
      </c>
      <c r="BH413">
        <v>0</v>
      </c>
      <c r="BJ413" t="s">
        <v>85</v>
      </c>
      <c r="BP413" t="s">
        <v>78</v>
      </c>
      <c r="BQ413" t="s">
        <v>78</v>
      </c>
      <c r="BR413" t="s">
        <v>78</v>
      </c>
    </row>
    <row r="414" customFormat="1" spans="1:70">
      <c r="A414" t="s">
        <v>2851</v>
      </c>
      <c r="B414" t="s">
        <v>2851</v>
      </c>
      <c r="C414" t="s">
        <v>107</v>
      </c>
      <c r="D414" t="s">
        <v>135</v>
      </c>
      <c r="E414">
        <v>1</v>
      </c>
      <c r="F414" t="s">
        <v>109</v>
      </c>
      <c r="G414" t="s">
        <v>136</v>
      </c>
      <c r="H414">
        <v>289</v>
      </c>
      <c r="I414">
        <v>284</v>
      </c>
      <c r="J414">
        <v>0</v>
      </c>
      <c r="K414">
        <v>5</v>
      </c>
      <c r="L414" t="s">
        <v>659</v>
      </c>
      <c r="M414" t="s">
        <v>78</v>
      </c>
      <c r="N414" t="s">
        <v>78</v>
      </c>
      <c r="O414">
        <v>0</v>
      </c>
      <c r="P414">
        <v>0</v>
      </c>
      <c r="Q414">
        <v>0</v>
      </c>
      <c r="R414" t="s">
        <v>79</v>
      </c>
      <c r="S414">
        <v>0</v>
      </c>
      <c r="T414" t="s">
        <v>80</v>
      </c>
      <c r="U414" t="s">
        <v>80</v>
      </c>
      <c r="V414" t="s">
        <v>302</v>
      </c>
      <c r="W414" t="s">
        <v>1358</v>
      </c>
      <c r="X414" t="s">
        <v>1359</v>
      </c>
      <c r="Y414" t="s">
        <v>1360</v>
      </c>
      <c r="Z414" t="s">
        <v>80</v>
      </c>
      <c r="AA414" t="s">
        <v>85</v>
      </c>
      <c r="AC414" t="s">
        <v>2852</v>
      </c>
      <c r="AD414" t="s">
        <v>87</v>
      </c>
      <c r="AF414" t="s">
        <v>2853</v>
      </c>
      <c r="AG414" t="s">
        <v>2842</v>
      </c>
      <c r="AH414" t="s">
        <v>91</v>
      </c>
      <c r="AI414" t="s">
        <v>92</v>
      </c>
      <c r="AJ414" t="s">
        <v>93</v>
      </c>
      <c r="AK414" t="s">
        <v>2849</v>
      </c>
      <c r="AL414" t="s">
        <v>95</v>
      </c>
      <c r="AM414" t="s">
        <v>96</v>
      </c>
      <c r="AN414" t="s">
        <v>97</v>
      </c>
      <c r="AO414" t="s">
        <v>98</v>
      </c>
      <c r="AP414" t="s">
        <v>78</v>
      </c>
      <c r="AQ414" t="s">
        <v>78</v>
      </c>
      <c r="AS414" t="s">
        <v>78</v>
      </c>
      <c r="AT414" t="s">
        <v>100</v>
      </c>
      <c r="AU414" t="s">
        <v>100</v>
      </c>
      <c r="AW414" t="s">
        <v>85</v>
      </c>
      <c r="AX414" t="s">
        <v>101</v>
      </c>
      <c r="AY414" t="s">
        <v>102</v>
      </c>
      <c r="AZ414" t="s">
        <v>103</v>
      </c>
      <c r="BA414" t="s">
        <v>104</v>
      </c>
      <c r="BB414" t="s">
        <v>78</v>
      </c>
      <c r="BC414" t="s">
        <v>78</v>
      </c>
      <c r="BD414" t="s">
        <v>2850</v>
      </c>
      <c r="BE414">
        <v>0</v>
      </c>
      <c r="BF414">
        <v>5</v>
      </c>
      <c r="BG414">
        <v>0</v>
      </c>
      <c r="BH414">
        <v>0</v>
      </c>
      <c r="BJ414" t="s">
        <v>85</v>
      </c>
      <c r="BP414" t="s">
        <v>78</v>
      </c>
      <c r="BQ414" t="s">
        <v>78</v>
      </c>
      <c r="BR414" t="s">
        <v>78</v>
      </c>
    </row>
    <row r="415" customFormat="1" spans="1:70">
      <c r="A415" t="s">
        <v>2854</v>
      </c>
      <c r="B415" t="s">
        <v>2854</v>
      </c>
      <c r="C415" t="s">
        <v>107</v>
      </c>
      <c r="D415" t="s">
        <v>108</v>
      </c>
      <c r="E415">
        <v>1</v>
      </c>
      <c r="F415" t="s">
        <v>109</v>
      </c>
      <c r="G415" t="s">
        <v>110</v>
      </c>
      <c r="H415">
        <v>289</v>
      </c>
      <c r="I415">
        <v>289</v>
      </c>
      <c r="J415">
        <v>0</v>
      </c>
      <c r="K415">
        <v>0</v>
      </c>
      <c r="L415" t="s">
        <v>78</v>
      </c>
      <c r="M415" t="s">
        <v>78</v>
      </c>
      <c r="N415" t="s">
        <v>78</v>
      </c>
      <c r="O415">
        <v>0</v>
      </c>
      <c r="P415">
        <v>0</v>
      </c>
      <c r="Q415">
        <v>0</v>
      </c>
      <c r="R415" t="s">
        <v>125</v>
      </c>
      <c r="S415">
        <v>0</v>
      </c>
      <c r="T415" t="s">
        <v>80</v>
      </c>
      <c r="U415" t="s">
        <v>80</v>
      </c>
      <c r="V415" t="s">
        <v>221</v>
      </c>
      <c r="W415" t="s">
        <v>599</v>
      </c>
      <c r="X415" t="s">
        <v>1062</v>
      </c>
      <c r="Y415" t="s">
        <v>1063</v>
      </c>
      <c r="Z415" t="s">
        <v>80</v>
      </c>
      <c r="AA415" t="s">
        <v>85</v>
      </c>
      <c r="AC415" t="s">
        <v>2855</v>
      </c>
      <c r="AD415" t="s">
        <v>87</v>
      </c>
      <c r="AG415" t="s">
        <v>2856</v>
      </c>
      <c r="AH415" t="s">
        <v>254</v>
      </c>
      <c r="AI415" t="s">
        <v>92</v>
      </c>
      <c r="AJ415" t="s">
        <v>131</v>
      </c>
      <c r="AK415" t="s">
        <v>2857</v>
      </c>
      <c r="AL415" t="s">
        <v>95</v>
      </c>
      <c r="AM415" t="s">
        <v>96</v>
      </c>
      <c r="AN415" t="s">
        <v>97</v>
      </c>
      <c r="AO415" t="s">
        <v>98</v>
      </c>
      <c r="AP415" t="s">
        <v>78</v>
      </c>
      <c r="AQ415" t="s">
        <v>99</v>
      </c>
      <c r="AS415" t="s">
        <v>78</v>
      </c>
      <c r="AT415" t="s">
        <v>100</v>
      </c>
      <c r="AU415" t="s">
        <v>100</v>
      </c>
      <c r="AW415" t="s">
        <v>85</v>
      </c>
      <c r="AX415" t="s">
        <v>103</v>
      </c>
      <c r="AY415" t="s">
        <v>159</v>
      </c>
      <c r="AZ415" t="s">
        <v>103</v>
      </c>
      <c r="BA415" t="s">
        <v>102</v>
      </c>
      <c r="BB415" t="s">
        <v>78</v>
      </c>
      <c r="BC415" t="s">
        <v>78</v>
      </c>
      <c r="BE415">
        <v>0</v>
      </c>
      <c r="BF415">
        <v>0</v>
      </c>
      <c r="BG415">
        <v>0</v>
      </c>
      <c r="BH415">
        <v>0</v>
      </c>
      <c r="BJ415" t="s">
        <v>85</v>
      </c>
      <c r="BP415" t="s">
        <v>78</v>
      </c>
      <c r="BQ415" t="s">
        <v>78</v>
      </c>
      <c r="BR415" t="s">
        <v>78</v>
      </c>
    </row>
    <row r="416" customFormat="1" spans="1:70">
      <c r="A416" t="s">
        <v>2858</v>
      </c>
      <c r="B416" t="s">
        <v>2858</v>
      </c>
      <c r="C416" t="s">
        <v>107</v>
      </c>
      <c r="D416" t="s">
        <v>108</v>
      </c>
      <c r="E416">
        <v>1</v>
      </c>
      <c r="F416" t="s">
        <v>109</v>
      </c>
      <c r="G416" t="s">
        <v>110</v>
      </c>
      <c r="H416">
        <v>289</v>
      </c>
      <c r="I416">
        <v>289</v>
      </c>
      <c r="J416">
        <v>0</v>
      </c>
      <c r="K416">
        <v>0</v>
      </c>
      <c r="L416" t="s">
        <v>78</v>
      </c>
      <c r="M416" t="s">
        <v>78</v>
      </c>
      <c r="N416" t="s">
        <v>78</v>
      </c>
      <c r="O416">
        <v>0</v>
      </c>
      <c r="P416">
        <v>0</v>
      </c>
      <c r="Q416">
        <v>0</v>
      </c>
      <c r="R416" t="s">
        <v>876</v>
      </c>
      <c r="S416">
        <v>0</v>
      </c>
      <c r="T416" t="s">
        <v>80</v>
      </c>
      <c r="U416" t="s">
        <v>80</v>
      </c>
      <c r="V416" t="s">
        <v>325</v>
      </c>
      <c r="W416" t="s">
        <v>788</v>
      </c>
      <c r="X416" t="s">
        <v>2859</v>
      </c>
      <c r="Y416" t="s">
        <v>2860</v>
      </c>
      <c r="Z416" t="s">
        <v>80</v>
      </c>
      <c r="AA416" t="s">
        <v>85</v>
      </c>
      <c r="AC416" t="s">
        <v>2861</v>
      </c>
      <c r="AD416" t="s">
        <v>87</v>
      </c>
      <c r="AH416" t="s">
        <v>91</v>
      </c>
      <c r="AI416" t="s">
        <v>92</v>
      </c>
      <c r="AJ416" t="s">
        <v>131</v>
      </c>
      <c r="AK416" t="s">
        <v>2862</v>
      </c>
      <c r="AL416" t="s">
        <v>95</v>
      </c>
      <c r="AM416" t="s">
        <v>96</v>
      </c>
      <c r="AN416" t="s">
        <v>97</v>
      </c>
      <c r="AO416" t="s">
        <v>98</v>
      </c>
      <c r="AP416" t="s">
        <v>78</v>
      </c>
      <c r="AQ416" t="s">
        <v>78</v>
      </c>
      <c r="AR416" t="s">
        <v>353</v>
      </c>
      <c r="AS416" t="s">
        <v>78</v>
      </c>
      <c r="AT416" t="s">
        <v>100</v>
      </c>
      <c r="AU416" t="s">
        <v>100</v>
      </c>
      <c r="AW416" t="s">
        <v>85</v>
      </c>
      <c r="AX416" t="s">
        <v>101</v>
      </c>
      <c r="AY416" t="s">
        <v>102</v>
      </c>
      <c r="AZ416" t="s">
        <v>103</v>
      </c>
      <c r="BA416" t="s">
        <v>120</v>
      </c>
      <c r="BB416" t="s">
        <v>78</v>
      </c>
      <c r="BC416" t="s">
        <v>78</v>
      </c>
      <c r="BE416">
        <v>0</v>
      </c>
      <c r="BF416">
        <v>0</v>
      </c>
      <c r="BG416">
        <v>0</v>
      </c>
      <c r="BH416">
        <v>0</v>
      </c>
      <c r="BJ416" t="s">
        <v>85</v>
      </c>
      <c r="BP416" t="s">
        <v>78</v>
      </c>
      <c r="BQ416" t="s">
        <v>78</v>
      </c>
      <c r="BR416" t="s">
        <v>78</v>
      </c>
    </row>
    <row r="417" customFormat="1" spans="1:70">
      <c r="A417" t="s">
        <v>2863</v>
      </c>
      <c r="B417" t="s">
        <v>2863</v>
      </c>
      <c r="C417" t="s">
        <v>1050</v>
      </c>
      <c r="D417" t="s">
        <v>1142</v>
      </c>
      <c r="E417">
        <v>1</v>
      </c>
      <c r="F417" t="s">
        <v>1052</v>
      </c>
      <c r="G417" t="s">
        <v>1143</v>
      </c>
      <c r="H417">
        <v>129</v>
      </c>
      <c r="I417">
        <v>125</v>
      </c>
      <c r="J417">
        <v>0</v>
      </c>
      <c r="K417">
        <v>4</v>
      </c>
      <c r="L417" t="s">
        <v>2864</v>
      </c>
      <c r="M417" t="s">
        <v>78</v>
      </c>
      <c r="N417" t="s">
        <v>78</v>
      </c>
      <c r="O417">
        <v>0</v>
      </c>
      <c r="P417">
        <v>0</v>
      </c>
      <c r="Q417">
        <v>0</v>
      </c>
      <c r="R417" t="s">
        <v>79</v>
      </c>
      <c r="S417">
        <v>0</v>
      </c>
      <c r="T417" t="s">
        <v>80</v>
      </c>
      <c r="U417" t="s">
        <v>80</v>
      </c>
      <c r="V417" t="s">
        <v>302</v>
      </c>
      <c r="W417" t="s">
        <v>1394</v>
      </c>
      <c r="X417" t="s">
        <v>2865</v>
      </c>
      <c r="Y417" t="s">
        <v>2866</v>
      </c>
      <c r="Z417" t="s">
        <v>80</v>
      </c>
      <c r="AA417" t="s">
        <v>85</v>
      </c>
      <c r="AC417" t="s">
        <v>2867</v>
      </c>
      <c r="AD417" t="s">
        <v>87</v>
      </c>
      <c r="AG417" t="s">
        <v>2868</v>
      </c>
      <c r="AH417" t="s">
        <v>91</v>
      </c>
      <c r="AI417" t="s">
        <v>92</v>
      </c>
      <c r="AJ417" t="s">
        <v>131</v>
      </c>
      <c r="AK417" t="s">
        <v>2869</v>
      </c>
      <c r="AL417" t="s">
        <v>95</v>
      </c>
      <c r="AM417" t="s">
        <v>96</v>
      </c>
      <c r="AN417" t="s">
        <v>97</v>
      </c>
      <c r="AO417" t="s">
        <v>98</v>
      </c>
      <c r="AP417" t="s">
        <v>78</v>
      </c>
      <c r="AQ417" t="s">
        <v>99</v>
      </c>
      <c r="AS417" t="s">
        <v>78</v>
      </c>
      <c r="AT417" t="s">
        <v>100</v>
      </c>
      <c r="AU417" t="s">
        <v>100</v>
      </c>
      <c r="AW417" t="s">
        <v>85</v>
      </c>
      <c r="AX417" t="s">
        <v>101</v>
      </c>
      <c r="AY417" t="s">
        <v>102</v>
      </c>
      <c r="AZ417" t="s">
        <v>103</v>
      </c>
      <c r="BA417" t="s">
        <v>133</v>
      </c>
      <c r="BB417" t="s">
        <v>78</v>
      </c>
      <c r="BC417" t="s">
        <v>78</v>
      </c>
      <c r="BE417">
        <v>0</v>
      </c>
      <c r="BF417">
        <v>4</v>
      </c>
      <c r="BG417">
        <v>0</v>
      </c>
      <c r="BH417">
        <v>0</v>
      </c>
      <c r="BJ417" t="s">
        <v>85</v>
      </c>
      <c r="BP417" t="s">
        <v>78</v>
      </c>
      <c r="BQ417" t="s">
        <v>78</v>
      </c>
      <c r="BR417" t="s">
        <v>78</v>
      </c>
    </row>
    <row r="418" customFormat="1" spans="1:70">
      <c r="A418" t="s">
        <v>2870</v>
      </c>
      <c r="B418" t="s">
        <v>2870</v>
      </c>
      <c r="C418" t="s">
        <v>107</v>
      </c>
      <c r="D418" t="s">
        <v>108</v>
      </c>
      <c r="E418">
        <v>1</v>
      </c>
      <c r="F418" t="s">
        <v>109</v>
      </c>
      <c r="G418" t="s">
        <v>110</v>
      </c>
      <c r="H418">
        <v>289</v>
      </c>
      <c r="I418">
        <v>289</v>
      </c>
      <c r="J418">
        <v>0</v>
      </c>
      <c r="K418">
        <v>0</v>
      </c>
      <c r="L418" t="s">
        <v>78</v>
      </c>
      <c r="M418" t="s">
        <v>78</v>
      </c>
      <c r="N418" t="s">
        <v>78</v>
      </c>
      <c r="O418">
        <v>0</v>
      </c>
      <c r="P418">
        <v>0</v>
      </c>
      <c r="Q418">
        <v>0</v>
      </c>
      <c r="R418" t="s">
        <v>125</v>
      </c>
      <c r="S418">
        <v>0</v>
      </c>
      <c r="T418" t="s">
        <v>80</v>
      </c>
      <c r="U418" t="s">
        <v>80</v>
      </c>
      <c r="V418" t="s">
        <v>152</v>
      </c>
      <c r="W418" t="s">
        <v>2268</v>
      </c>
      <c r="X418" t="s">
        <v>2414</v>
      </c>
      <c r="Y418" t="s">
        <v>503</v>
      </c>
      <c r="Z418" t="s">
        <v>80</v>
      </c>
      <c r="AA418" t="s">
        <v>85</v>
      </c>
      <c r="AC418" t="s">
        <v>2871</v>
      </c>
      <c r="AD418" t="s">
        <v>87</v>
      </c>
      <c r="AF418" t="s">
        <v>2853</v>
      </c>
      <c r="AG418" t="s">
        <v>2872</v>
      </c>
      <c r="AH418" t="s">
        <v>91</v>
      </c>
      <c r="AI418" t="s">
        <v>92</v>
      </c>
      <c r="AJ418" t="s">
        <v>93</v>
      </c>
      <c r="AK418" t="s">
        <v>2873</v>
      </c>
      <c r="AL418" t="s">
        <v>95</v>
      </c>
      <c r="AM418" t="s">
        <v>96</v>
      </c>
      <c r="AN418" t="s">
        <v>97</v>
      </c>
      <c r="AO418" t="s">
        <v>98</v>
      </c>
      <c r="AP418" t="s">
        <v>78</v>
      </c>
      <c r="AQ418" t="s">
        <v>78</v>
      </c>
      <c r="AS418" t="s">
        <v>78</v>
      </c>
      <c r="AT418" t="s">
        <v>100</v>
      </c>
      <c r="AU418" t="s">
        <v>100</v>
      </c>
      <c r="AW418" t="s">
        <v>85</v>
      </c>
      <c r="AX418" t="s">
        <v>103</v>
      </c>
      <c r="AY418" t="s">
        <v>159</v>
      </c>
      <c r="AZ418" t="s">
        <v>103</v>
      </c>
      <c r="BA418" t="s">
        <v>104</v>
      </c>
      <c r="BB418" t="s">
        <v>78</v>
      </c>
      <c r="BC418" t="s">
        <v>78</v>
      </c>
      <c r="BD418" t="s">
        <v>2850</v>
      </c>
      <c r="BE418">
        <v>0</v>
      </c>
      <c r="BF418">
        <v>0</v>
      </c>
      <c r="BG418">
        <v>0</v>
      </c>
      <c r="BH418">
        <v>0</v>
      </c>
      <c r="BJ418" t="s">
        <v>85</v>
      </c>
      <c r="BP418" t="s">
        <v>78</v>
      </c>
      <c r="BQ418" t="s">
        <v>78</v>
      </c>
      <c r="BR418" t="s">
        <v>78</v>
      </c>
    </row>
    <row r="419" customFormat="1" spans="1:70">
      <c r="A419" t="s">
        <v>2874</v>
      </c>
      <c r="B419" t="s">
        <v>2874</v>
      </c>
      <c r="C419" t="s">
        <v>1050</v>
      </c>
      <c r="D419" t="s">
        <v>1051</v>
      </c>
      <c r="E419">
        <v>1</v>
      </c>
      <c r="F419" t="s">
        <v>1052</v>
      </c>
      <c r="G419" t="s">
        <v>1053</v>
      </c>
      <c r="H419">
        <v>129</v>
      </c>
      <c r="I419">
        <v>95</v>
      </c>
      <c r="J419">
        <v>0</v>
      </c>
      <c r="K419">
        <v>34</v>
      </c>
      <c r="L419" t="s">
        <v>2875</v>
      </c>
      <c r="M419" t="s">
        <v>78</v>
      </c>
      <c r="N419" t="s">
        <v>78</v>
      </c>
      <c r="O419">
        <v>0</v>
      </c>
      <c r="P419">
        <v>0</v>
      </c>
      <c r="Q419">
        <v>0</v>
      </c>
      <c r="R419" t="s">
        <v>125</v>
      </c>
      <c r="S419">
        <v>0</v>
      </c>
      <c r="T419" t="s">
        <v>80</v>
      </c>
      <c r="U419" t="s">
        <v>80</v>
      </c>
      <c r="V419" t="s">
        <v>189</v>
      </c>
      <c r="W419" t="s">
        <v>1573</v>
      </c>
      <c r="X419" t="s">
        <v>2876</v>
      </c>
      <c r="Y419" t="s">
        <v>78</v>
      </c>
      <c r="Z419" t="s">
        <v>80</v>
      </c>
      <c r="AA419" t="s">
        <v>85</v>
      </c>
      <c r="AC419" t="s">
        <v>2877</v>
      </c>
      <c r="AD419" t="s">
        <v>87</v>
      </c>
      <c r="AG419" t="s">
        <v>2878</v>
      </c>
      <c r="AH419" t="s">
        <v>91</v>
      </c>
      <c r="AI419" t="s">
        <v>92</v>
      </c>
      <c r="AJ419" t="s">
        <v>131</v>
      </c>
      <c r="AK419" t="s">
        <v>2879</v>
      </c>
      <c r="AL419" t="s">
        <v>95</v>
      </c>
      <c r="AM419" t="s">
        <v>96</v>
      </c>
      <c r="AN419" t="s">
        <v>97</v>
      </c>
      <c r="AO419" t="s">
        <v>98</v>
      </c>
      <c r="AP419" t="s">
        <v>78</v>
      </c>
      <c r="AQ419" t="s">
        <v>99</v>
      </c>
      <c r="AS419" t="s">
        <v>78</v>
      </c>
      <c r="AT419" t="s">
        <v>100</v>
      </c>
      <c r="AU419" t="s">
        <v>100</v>
      </c>
      <c r="AW419" t="s">
        <v>85</v>
      </c>
      <c r="AX419" t="s">
        <v>103</v>
      </c>
      <c r="AY419" t="s">
        <v>159</v>
      </c>
      <c r="AZ419" t="s">
        <v>103</v>
      </c>
      <c r="BA419" t="s">
        <v>104</v>
      </c>
      <c r="BB419" t="s">
        <v>78</v>
      </c>
      <c r="BC419" t="s">
        <v>78</v>
      </c>
      <c r="BE419">
        <v>0</v>
      </c>
      <c r="BF419">
        <v>34</v>
      </c>
      <c r="BG419">
        <v>0</v>
      </c>
      <c r="BH419">
        <v>0</v>
      </c>
      <c r="BJ419" t="s">
        <v>85</v>
      </c>
      <c r="BP419" t="s">
        <v>78</v>
      </c>
      <c r="BQ419" t="s">
        <v>78</v>
      </c>
      <c r="BR419" t="s">
        <v>78</v>
      </c>
    </row>
    <row r="420" customFormat="1" spans="1:70">
      <c r="A420" t="s">
        <v>2880</v>
      </c>
      <c r="B420" t="s">
        <v>2880</v>
      </c>
      <c r="C420" t="s">
        <v>1050</v>
      </c>
      <c r="D420" t="s">
        <v>1153</v>
      </c>
      <c r="E420">
        <v>1</v>
      </c>
      <c r="F420" t="s">
        <v>1052</v>
      </c>
      <c r="G420" t="s">
        <v>1154</v>
      </c>
      <c r="H420">
        <v>129</v>
      </c>
      <c r="I420">
        <v>129</v>
      </c>
      <c r="J420">
        <v>0</v>
      </c>
      <c r="K420">
        <v>0</v>
      </c>
      <c r="L420" t="s">
        <v>78</v>
      </c>
      <c r="M420" t="s">
        <v>78</v>
      </c>
      <c r="N420" t="s">
        <v>78</v>
      </c>
      <c r="O420">
        <v>0</v>
      </c>
      <c r="P420">
        <v>0</v>
      </c>
      <c r="Q420">
        <v>0</v>
      </c>
      <c r="R420" t="s">
        <v>125</v>
      </c>
      <c r="S420">
        <v>0</v>
      </c>
      <c r="T420" t="s">
        <v>80</v>
      </c>
      <c r="U420" t="s">
        <v>80</v>
      </c>
      <c r="V420" t="s">
        <v>239</v>
      </c>
      <c r="W420" t="s">
        <v>2881</v>
      </c>
      <c r="X420" t="s">
        <v>2882</v>
      </c>
      <c r="Y420" t="s">
        <v>2883</v>
      </c>
      <c r="Z420" t="s">
        <v>80</v>
      </c>
      <c r="AA420" t="s">
        <v>85</v>
      </c>
      <c r="AC420" t="s">
        <v>2884</v>
      </c>
      <c r="AD420" t="s">
        <v>87</v>
      </c>
      <c r="AG420" t="s">
        <v>2885</v>
      </c>
      <c r="AH420" t="s">
        <v>91</v>
      </c>
      <c r="AI420" t="s">
        <v>92</v>
      </c>
      <c r="AJ420" t="s">
        <v>131</v>
      </c>
      <c r="AK420" t="s">
        <v>2886</v>
      </c>
      <c r="AL420" t="s">
        <v>95</v>
      </c>
      <c r="AM420" t="s">
        <v>96</v>
      </c>
      <c r="AN420" t="s">
        <v>97</v>
      </c>
      <c r="AO420" t="s">
        <v>98</v>
      </c>
      <c r="AP420" t="s">
        <v>78</v>
      </c>
      <c r="AQ420" t="s">
        <v>99</v>
      </c>
      <c r="AS420" t="s">
        <v>78</v>
      </c>
      <c r="AT420" t="s">
        <v>100</v>
      </c>
      <c r="AU420" t="s">
        <v>100</v>
      </c>
      <c r="AW420" t="s">
        <v>85</v>
      </c>
      <c r="AX420" t="s">
        <v>101</v>
      </c>
      <c r="AY420" t="s">
        <v>102</v>
      </c>
      <c r="AZ420" t="s">
        <v>103</v>
      </c>
      <c r="BA420" t="s">
        <v>419</v>
      </c>
      <c r="BB420" t="s">
        <v>78</v>
      </c>
      <c r="BC420" t="s">
        <v>78</v>
      </c>
      <c r="BE420">
        <v>0</v>
      </c>
      <c r="BF420">
        <v>0</v>
      </c>
      <c r="BG420">
        <v>0</v>
      </c>
      <c r="BH420">
        <v>0</v>
      </c>
      <c r="BJ420" t="s">
        <v>85</v>
      </c>
      <c r="BP420" t="s">
        <v>78</v>
      </c>
      <c r="BQ420" t="s">
        <v>78</v>
      </c>
      <c r="BR420" t="s">
        <v>78</v>
      </c>
    </row>
    <row r="421" customFormat="1" spans="1:70">
      <c r="A421" t="s">
        <v>2887</v>
      </c>
      <c r="B421" t="s">
        <v>2887</v>
      </c>
      <c r="C421" t="s">
        <v>2888</v>
      </c>
      <c r="D421" t="s">
        <v>2889</v>
      </c>
      <c r="E421">
        <v>1</v>
      </c>
      <c r="F421" t="s">
        <v>2890</v>
      </c>
      <c r="G421" t="s">
        <v>2891</v>
      </c>
      <c r="H421">
        <v>299</v>
      </c>
      <c r="I421">
        <v>299</v>
      </c>
      <c r="J421">
        <v>0</v>
      </c>
      <c r="K421">
        <v>0</v>
      </c>
      <c r="L421" t="s">
        <v>78</v>
      </c>
      <c r="M421" t="s">
        <v>78</v>
      </c>
      <c r="N421" t="s">
        <v>78</v>
      </c>
      <c r="O421">
        <v>0</v>
      </c>
      <c r="P421">
        <v>0</v>
      </c>
      <c r="Q421">
        <v>0</v>
      </c>
      <c r="R421" t="s">
        <v>125</v>
      </c>
      <c r="S421">
        <v>0</v>
      </c>
      <c r="T421" t="s">
        <v>80</v>
      </c>
      <c r="U421" t="s">
        <v>80</v>
      </c>
      <c r="V421" t="s">
        <v>464</v>
      </c>
      <c r="W421" t="s">
        <v>542</v>
      </c>
      <c r="X421" t="s">
        <v>1214</v>
      </c>
      <c r="Y421" t="s">
        <v>1215</v>
      </c>
      <c r="Z421" t="s">
        <v>80</v>
      </c>
      <c r="AA421" t="s">
        <v>85</v>
      </c>
      <c r="AC421" t="s">
        <v>2892</v>
      </c>
      <c r="AD421" t="s">
        <v>87</v>
      </c>
      <c r="AG421" t="s">
        <v>2893</v>
      </c>
      <c r="AH421" t="s">
        <v>91</v>
      </c>
      <c r="AI421" t="s">
        <v>216</v>
      </c>
      <c r="AJ421" t="s">
        <v>131</v>
      </c>
      <c r="AK421" t="s">
        <v>2894</v>
      </c>
      <c r="AL421" t="s">
        <v>95</v>
      </c>
      <c r="AM421" t="s">
        <v>96</v>
      </c>
      <c r="AN421" t="s">
        <v>96</v>
      </c>
      <c r="AP421" t="s">
        <v>78</v>
      </c>
      <c r="AQ421" t="s">
        <v>99</v>
      </c>
      <c r="AS421" t="s">
        <v>78</v>
      </c>
      <c r="AT421" t="s">
        <v>100</v>
      </c>
      <c r="AU421" t="s">
        <v>100</v>
      </c>
      <c r="AW421" t="s">
        <v>85</v>
      </c>
      <c r="AX421" t="s">
        <v>101</v>
      </c>
      <c r="AY421" t="s">
        <v>102</v>
      </c>
      <c r="AZ421" t="s">
        <v>145</v>
      </c>
      <c r="BA421" t="s">
        <v>1077</v>
      </c>
      <c r="BB421" t="s">
        <v>78</v>
      </c>
      <c r="BC421" t="s">
        <v>78</v>
      </c>
      <c r="BE421">
        <v>0</v>
      </c>
      <c r="BF421">
        <v>0</v>
      </c>
      <c r="BG421">
        <v>0</v>
      </c>
      <c r="BH421">
        <v>0</v>
      </c>
      <c r="BJ421" t="s">
        <v>85</v>
      </c>
      <c r="BP421" t="s">
        <v>78</v>
      </c>
      <c r="BQ421" t="s">
        <v>78</v>
      </c>
      <c r="BR421" t="s">
        <v>78</v>
      </c>
    </row>
    <row r="422" customFormat="1" spans="1:70">
      <c r="A422" t="s">
        <v>2895</v>
      </c>
      <c r="B422" t="s">
        <v>2895</v>
      </c>
      <c r="C422" t="s">
        <v>1050</v>
      </c>
      <c r="D422" t="s">
        <v>2255</v>
      </c>
      <c r="E422">
        <v>1</v>
      </c>
      <c r="F422" t="s">
        <v>1052</v>
      </c>
      <c r="G422" t="s">
        <v>2256</v>
      </c>
      <c r="H422">
        <v>129</v>
      </c>
      <c r="I422">
        <v>129</v>
      </c>
      <c r="J422">
        <v>0</v>
      </c>
      <c r="K422">
        <v>0</v>
      </c>
      <c r="L422" t="s">
        <v>78</v>
      </c>
      <c r="M422" t="s">
        <v>78</v>
      </c>
      <c r="N422" t="s">
        <v>78</v>
      </c>
      <c r="O422">
        <v>0</v>
      </c>
      <c r="P422">
        <v>0</v>
      </c>
      <c r="Q422">
        <v>0</v>
      </c>
      <c r="R422" t="s">
        <v>111</v>
      </c>
      <c r="S422">
        <v>0</v>
      </c>
      <c r="T422" t="s">
        <v>80</v>
      </c>
      <c r="U422" t="s">
        <v>80</v>
      </c>
      <c r="V422" t="s">
        <v>574</v>
      </c>
      <c r="W422" t="s">
        <v>574</v>
      </c>
      <c r="X422" t="s">
        <v>2896</v>
      </c>
      <c r="Y422" t="s">
        <v>2897</v>
      </c>
      <c r="Z422" t="s">
        <v>80</v>
      </c>
      <c r="AA422" t="s">
        <v>85</v>
      </c>
      <c r="AC422" t="s">
        <v>2898</v>
      </c>
      <c r="AD422" t="s">
        <v>87</v>
      </c>
      <c r="AF422" t="s">
        <v>2899</v>
      </c>
      <c r="AG422" t="s">
        <v>2900</v>
      </c>
      <c r="AH422" t="s">
        <v>91</v>
      </c>
      <c r="AI422" t="s">
        <v>92</v>
      </c>
      <c r="AJ422" t="s">
        <v>93</v>
      </c>
      <c r="AK422" t="s">
        <v>2901</v>
      </c>
      <c r="AL422" t="s">
        <v>95</v>
      </c>
      <c r="AM422" t="s">
        <v>96</v>
      </c>
      <c r="AN422" t="s">
        <v>97</v>
      </c>
      <c r="AO422" t="s">
        <v>98</v>
      </c>
      <c r="AP422" t="s">
        <v>78</v>
      </c>
      <c r="AQ422" t="s">
        <v>78</v>
      </c>
      <c r="AS422" t="s">
        <v>78</v>
      </c>
      <c r="AT422" t="s">
        <v>100</v>
      </c>
      <c r="AU422" t="s">
        <v>100</v>
      </c>
      <c r="AW422" t="s">
        <v>85</v>
      </c>
      <c r="AX422" t="s">
        <v>101</v>
      </c>
      <c r="AY422" t="s">
        <v>102</v>
      </c>
      <c r="AZ422" t="s">
        <v>103</v>
      </c>
      <c r="BA422" t="s">
        <v>133</v>
      </c>
      <c r="BB422" t="s">
        <v>78</v>
      </c>
      <c r="BC422" t="s">
        <v>78</v>
      </c>
      <c r="BD422" t="s">
        <v>2902</v>
      </c>
      <c r="BE422">
        <v>0</v>
      </c>
      <c r="BF422">
        <v>0</v>
      </c>
      <c r="BG422">
        <v>0</v>
      </c>
      <c r="BH422">
        <v>0</v>
      </c>
      <c r="BJ422" t="s">
        <v>85</v>
      </c>
      <c r="BP422" t="s">
        <v>78</v>
      </c>
      <c r="BQ422" t="s">
        <v>78</v>
      </c>
      <c r="BR422" t="s">
        <v>78</v>
      </c>
    </row>
    <row r="423" customFormat="1" spans="1:70">
      <c r="A423" t="s">
        <v>2903</v>
      </c>
      <c r="B423" t="s">
        <v>2903</v>
      </c>
      <c r="C423" t="s">
        <v>1050</v>
      </c>
      <c r="D423" t="s">
        <v>1051</v>
      </c>
      <c r="E423">
        <v>1</v>
      </c>
      <c r="F423" t="s">
        <v>1052</v>
      </c>
      <c r="G423" t="s">
        <v>1053</v>
      </c>
      <c r="H423">
        <v>129</v>
      </c>
      <c r="I423">
        <v>129</v>
      </c>
      <c r="J423">
        <v>0</v>
      </c>
      <c r="K423">
        <v>0</v>
      </c>
      <c r="L423" t="s">
        <v>78</v>
      </c>
      <c r="M423" t="s">
        <v>78</v>
      </c>
      <c r="N423" t="s">
        <v>78</v>
      </c>
      <c r="O423">
        <v>0</v>
      </c>
      <c r="P423">
        <v>0</v>
      </c>
      <c r="Q423">
        <v>0</v>
      </c>
      <c r="R423" t="s">
        <v>111</v>
      </c>
      <c r="S423">
        <v>0</v>
      </c>
      <c r="T423" t="s">
        <v>80</v>
      </c>
      <c r="U423" t="s">
        <v>80</v>
      </c>
      <c r="V423" t="s">
        <v>138</v>
      </c>
      <c r="W423" t="s">
        <v>2904</v>
      </c>
      <c r="X423" t="s">
        <v>2905</v>
      </c>
      <c r="Y423" t="s">
        <v>78</v>
      </c>
      <c r="Z423" t="s">
        <v>80</v>
      </c>
      <c r="AA423" t="s">
        <v>85</v>
      </c>
      <c r="AC423" t="s">
        <v>2906</v>
      </c>
      <c r="AD423" t="s">
        <v>87</v>
      </c>
      <c r="AG423" t="s">
        <v>2907</v>
      </c>
      <c r="AH423" t="s">
        <v>91</v>
      </c>
      <c r="AI423" t="s">
        <v>92</v>
      </c>
      <c r="AJ423" t="s">
        <v>131</v>
      </c>
      <c r="AK423" t="s">
        <v>2908</v>
      </c>
      <c r="AL423" t="s">
        <v>95</v>
      </c>
      <c r="AM423" t="s">
        <v>96</v>
      </c>
      <c r="AN423" t="s">
        <v>97</v>
      </c>
      <c r="AO423" t="s">
        <v>98</v>
      </c>
      <c r="AP423" t="s">
        <v>78</v>
      </c>
      <c r="AQ423" t="s">
        <v>99</v>
      </c>
      <c r="AS423" t="s">
        <v>78</v>
      </c>
      <c r="AT423" t="s">
        <v>100</v>
      </c>
      <c r="AU423" t="s">
        <v>100</v>
      </c>
      <c r="AW423" t="s">
        <v>85</v>
      </c>
      <c r="AX423" t="s">
        <v>101</v>
      </c>
      <c r="AY423" t="s">
        <v>102</v>
      </c>
      <c r="AZ423" t="s">
        <v>103</v>
      </c>
      <c r="BA423" t="s">
        <v>218</v>
      </c>
      <c r="BB423" t="s">
        <v>78</v>
      </c>
      <c r="BC423" t="s">
        <v>78</v>
      </c>
      <c r="BE423">
        <v>0</v>
      </c>
      <c r="BF423">
        <v>0</v>
      </c>
      <c r="BG423">
        <v>0</v>
      </c>
      <c r="BH423">
        <v>0</v>
      </c>
      <c r="BJ423" t="s">
        <v>85</v>
      </c>
      <c r="BP423" t="s">
        <v>78</v>
      </c>
      <c r="BQ423" t="s">
        <v>78</v>
      </c>
      <c r="BR423" t="s">
        <v>78</v>
      </c>
    </row>
    <row r="424" customFormat="1" spans="1:70">
      <c r="A424" t="s">
        <v>2909</v>
      </c>
      <c r="B424" t="s">
        <v>2909</v>
      </c>
      <c r="C424" t="s">
        <v>107</v>
      </c>
      <c r="D424" t="s">
        <v>108</v>
      </c>
      <c r="E424">
        <v>1</v>
      </c>
      <c r="F424" t="s">
        <v>109</v>
      </c>
      <c r="G424" t="s">
        <v>110</v>
      </c>
      <c r="H424">
        <v>289</v>
      </c>
      <c r="I424">
        <v>289</v>
      </c>
      <c r="J424">
        <v>0</v>
      </c>
      <c r="K424">
        <v>0</v>
      </c>
      <c r="L424" t="s">
        <v>78</v>
      </c>
      <c r="M424" t="s">
        <v>78</v>
      </c>
      <c r="N424" t="s">
        <v>78</v>
      </c>
      <c r="O424">
        <v>0</v>
      </c>
      <c r="P424">
        <v>0</v>
      </c>
      <c r="Q424">
        <v>0</v>
      </c>
      <c r="R424" t="s">
        <v>79</v>
      </c>
      <c r="S424">
        <v>0</v>
      </c>
      <c r="T424" t="s">
        <v>80</v>
      </c>
      <c r="U424" t="s">
        <v>80</v>
      </c>
      <c r="V424" t="s">
        <v>302</v>
      </c>
      <c r="W424" t="s">
        <v>1834</v>
      </c>
      <c r="X424" t="s">
        <v>2910</v>
      </c>
      <c r="Y424" t="s">
        <v>2911</v>
      </c>
      <c r="Z424" t="s">
        <v>80</v>
      </c>
      <c r="AA424" t="s">
        <v>85</v>
      </c>
      <c r="AC424" t="s">
        <v>2912</v>
      </c>
      <c r="AD424" t="s">
        <v>87</v>
      </c>
      <c r="AF424" t="s">
        <v>2853</v>
      </c>
      <c r="AG424" t="s">
        <v>2913</v>
      </c>
      <c r="AH424" t="s">
        <v>91</v>
      </c>
      <c r="AI424" t="s">
        <v>92</v>
      </c>
      <c r="AJ424" t="s">
        <v>93</v>
      </c>
      <c r="AK424" t="s">
        <v>2914</v>
      </c>
      <c r="AL424" t="s">
        <v>95</v>
      </c>
      <c r="AM424" t="s">
        <v>96</v>
      </c>
      <c r="AN424" t="s">
        <v>97</v>
      </c>
      <c r="AO424" t="s">
        <v>98</v>
      </c>
      <c r="AP424" t="s">
        <v>78</v>
      </c>
      <c r="AQ424" t="s">
        <v>78</v>
      </c>
      <c r="AS424" t="s">
        <v>78</v>
      </c>
      <c r="AT424" t="s">
        <v>100</v>
      </c>
      <c r="AU424" t="s">
        <v>100</v>
      </c>
      <c r="AW424" t="s">
        <v>85</v>
      </c>
      <c r="AX424" t="s">
        <v>101</v>
      </c>
      <c r="AY424" t="s">
        <v>102</v>
      </c>
      <c r="AZ424" t="s">
        <v>103</v>
      </c>
      <c r="BA424" t="s">
        <v>104</v>
      </c>
      <c r="BB424" t="s">
        <v>78</v>
      </c>
      <c r="BC424" t="s">
        <v>78</v>
      </c>
      <c r="BD424" t="s">
        <v>2850</v>
      </c>
      <c r="BE424">
        <v>0</v>
      </c>
      <c r="BF424">
        <v>0</v>
      </c>
      <c r="BG424">
        <v>0</v>
      </c>
      <c r="BH424">
        <v>0</v>
      </c>
      <c r="BJ424" t="s">
        <v>85</v>
      </c>
      <c r="BP424" t="s">
        <v>78</v>
      </c>
      <c r="BQ424" t="s">
        <v>78</v>
      </c>
      <c r="BR424" t="s">
        <v>78</v>
      </c>
    </row>
    <row r="425" customFormat="1" spans="1:70">
      <c r="A425" t="s">
        <v>2915</v>
      </c>
      <c r="B425" t="s">
        <v>2915</v>
      </c>
      <c r="C425" t="s">
        <v>1092</v>
      </c>
      <c r="D425" t="s">
        <v>135</v>
      </c>
      <c r="E425">
        <v>1</v>
      </c>
      <c r="F425" t="s">
        <v>1093</v>
      </c>
      <c r="G425" t="s">
        <v>1357</v>
      </c>
      <c r="H425">
        <v>289</v>
      </c>
      <c r="I425">
        <v>289</v>
      </c>
      <c r="J425">
        <v>0</v>
      </c>
      <c r="K425">
        <v>0</v>
      </c>
      <c r="L425" t="s">
        <v>78</v>
      </c>
      <c r="M425" t="s">
        <v>78</v>
      </c>
      <c r="N425" t="s">
        <v>78</v>
      </c>
      <c r="O425">
        <v>0</v>
      </c>
      <c r="P425">
        <v>0</v>
      </c>
      <c r="Q425">
        <v>0</v>
      </c>
      <c r="R425" t="s">
        <v>125</v>
      </c>
      <c r="S425">
        <v>0</v>
      </c>
      <c r="T425" t="s">
        <v>80</v>
      </c>
      <c r="U425" t="s">
        <v>80</v>
      </c>
      <c r="V425" t="s">
        <v>347</v>
      </c>
      <c r="W425" t="s">
        <v>2652</v>
      </c>
      <c r="X425" t="s">
        <v>2916</v>
      </c>
      <c r="Y425" t="s">
        <v>2917</v>
      </c>
      <c r="Z425" t="s">
        <v>80</v>
      </c>
      <c r="AA425" t="s">
        <v>85</v>
      </c>
      <c r="AC425" t="s">
        <v>2918</v>
      </c>
      <c r="AD425" t="s">
        <v>87</v>
      </c>
      <c r="AG425" t="s">
        <v>2919</v>
      </c>
      <c r="AH425" t="s">
        <v>91</v>
      </c>
      <c r="AI425" t="s">
        <v>92</v>
      </c>
      <c r="AJ425" t="s">
        <v>131</v>
      </c>
      <c r="AK425" t="s">
        <v>2920</v>
      </c>
      <c r="AL425" t="s">
        <v>95</v>
      </c>
      <c r="AM425" t="s">
        <v>96</v>
      </c>
      <c r="AN425" t="s">
        <v>97</v>
      </c>
      <c r="AO425" t="s">
        <v>98</v>
      </c>
      <c r="AP425" t="s">
        <v>78</v>
      </c>
      <c r="AQ425" t="s">
        <v>99</v>
      </c>
      <c r="AS425" t="s">
        <v>78</v>
      </c>
      <c r="AT425" t="s">
        <v>100</v>
      </c>
      <c r="AU425" t="s">
        <v>100</v>
      </c>
      <c r="AW425" t="s">
        <v>85</v>
      </c>
      <c r="AX425" t="s">
        <v>101</v>
      </c>
      <c r="AY425" t="s">
        <v>102</v>
      </c>
      <c r="AZ425" t="s">
        <v>103</v>
      </c>
      <c r="BA425" t="s">
        <v>133</v>
      </c>
      <c r="BB425" t="s">
        <v>78</v>
      </c>
      <c r="BC425" t="s">
        <v>78</v>
      </c>
      <c r="BE425">
        <v>0</v>
      </c>
      <c r="BF425">
        <v>0</v>
      </c>
      <c r="BG425">
        <v>0</v>
      </c>
      <c r="BH425">
        <v>0</v>
      </c>
      <c r="BJ425" t="s">
        <v>85</v>
      </c>
      <c r="BP425" t="s">
        <v>78</v>
      </c>
      <c r="BQ425" t="s">
        <v>78</v>
      </c>
      <c r="BR425" t="s">
        <v>78</v>
      </c>
    </row>
    <row r="426" customFormat="1" spans="1:70">
      <c r="A426" t="s">
        <v>2921</v>
      </c>
      <c r="B426" t="s">
        <v>2921</v>
      </c>
      <c r="C426" t="s">
        <v>1050</v>
      </c>
      <c r="D426" t="s">
        <v>1377</v>
      </c>
      <c r="E426">
        <v>1</v>
      </c>
      <c r="F426" t="s">
        <v>1052</v>
      </c>
      <c r="G426" t="s">
        <v>1378</v>
      </c>
      <c r="H426">
        <v>129</v>
      </c>
      <c r="I426">
        <v>121</v>
      </c>
      <c r="J426">
        <v>0</v>
      </c>
      <c r="K426">
        <v>8</v>
      </c>
      <c r="L426" t="s">
        <v>2922</v>
      </c>
      <c r="M426" t="s">
        <v>78</v>
      </c>
      <c r="N426" t="s">
        <v>78</v>
      </c>
      <c r="O426">
        <v>0</v>
      </c>
      <c r="P426">
        <v>0</v>
      </c>
      <c r="Q426">
        <v>0</v>
      </c>
      <c r="R426" t="s">
        <v>125</v>
      </c>
      <c r="S426">
        <v>0</v>
      </c>
      <c r="T426" t="s">
        <v>80</v>
      </c>
      <c r="U426" t="s">
        <v>80</v>
      </c>
      <c r="V426" t="s">
        <v>556</v>
      </c>
      <c r="W426" t="s">
        <v>2923</v>
      </c>
      <c r="X426" t="s">
        <v>2924</v>
      </c>
      <c r="Y426" t="s">
        <v>2925</v>
      </c>
      <c r="Z426" t="s">
        <v>80</v>
      </c>
      <c r="AA426" t="s">
        <v>85</v>
      </c>
      <c r="AC426" t="s">
        <v>2926</v>
      </c>
      <c r="AD426" t="s">
        <v>202</v>
      </c>
      <c r="AE426" t="s">
        <v>2927</v>
      </c>
      <c r="AG426" t="s">
        <v>2928</v>
      </c>
      <c r="AH426" t="s">
        <v>2929</v>
      </c>
      <c r="AI426" t="s">
        <v>92</v>
      </c>
      <c r="AJ426" t="s">
        <v>131</v>
      </c>
      <c r="AK426" t="s">
        <v>2930</v>
      </c>
      <c r="AL426" t="s">
        <v>95</v>
      </c>
      <c r="AM426" t="s">
        <v>96</v>
      </c>
      <c r="AN426" t="s">
        <v>97</v>
      </c>
      <c r="AO426" t="s">
        <v>98</v>
      </c>
      <c r="AP426" t="s">
        <v>78</v>
      </c>
      <c r="AQ426" t="s">
        <v>99</v>
      </c>
      <c r="AS426" t="s">
        <v>78</v>
      </c>
      <c r="AT426" t="s">
        <v>100</v>
      </c>
      <c r="AU426" t="s">
        <v>100</v>
      </c>
      <c r="AW426" t="s">
        <v>85</v>
      </c>
      <c r="AX426" t="s">
        <v>103</v>
      </c>
      <c r="AY426" t="s">
        <v>159</v>
      </c>
      <c r="AZ426" t="s">
        <v>103</v>
      </c>
      <c r="BA426" t="s">
        <v>102</v>
      </c>
      <c r="BB426" t="s">
        <v>78</v>
      </c>
      <c r="BC426" t="s">
        <v>78</v>
      </c>
      <c r="BD426" t="s">
        <v>2931</v>
      </c>
      <c r="BE426">
        <v>0</v>
      </c>
      <c r="BF426">
        <v>8</v>
      </c>
      <c r="BG426">
        <v>0</v>
      </c>
      <c r="BH426">
        <v>0</v>
      </c>
      <c r="BJ426" t="s">
        <v>85</v>
      </c>
      <c r="BP426" t="s">
        <v>78</v>
      </c>
      <c r="BQ426" t="s">
        <v>78</v>
      </c>
      <c r="BR426" t="s">
        <v>78</v>
      </c>
    </row>
    <row r="427" customFormat="1" spans="1:70">
      <c r="A427" t="s">
        <v>2932</v>
      </c>
      <c r="B427" t="s">
        <v>2932</v>
      </c>
      <c r="C427" t="s">
        <v>1050</v>
      </c>
      <c r="D427" t="s">
        <v>1142</v>
      </c>
      <c r="E427">
        <v>1</v>
      </c>
      <c r="F427" t="s">
        <v>1052</v>
      </c>
      <c r="G427" t="s">
        <v>1143</v>
      </c>
      <c r="H427">
        <v>129</v>
      </c>
      <c r="I427">
        <v>129</v>
      </c>
      <c r="J427">
        <v>0</v>
      </c>
      <c r="K427">
        <v>0</v>
      </c>
      <c r="L427" t="s">
        <v>78</v>
      </c>
      <c r="M427" t="s">
        <v>78</v>
      </c>
      <c r="N427" t="s">
        <v>78</v>
      </c>
      <c r="O427">
        <v>0</v>
      </c>
      <c r="P427">
        <v>0</v>
      </c>
      <c r="Q427">
        <v>0</v>
      </c>
      <c r="R427" t="s">
        <v>111</v>
      </c>
      <c r="S427">
        <v>0</v>
      </c>
      <c r="T427" t="s">
        <v>80</v>
      </c>
      <c r="U427" t="s">
        <v>80</v>
      </c>
      <c r="V427" t="s">
        <v>271</v>
      </c>
      <c r="W427" t="s">
        <v>961</v>
      </c>
      <c r="X427" t="s">
        <v>2308</v>
      </c>
      <c r="Y427" t="s">
        <v>2933</v>
      </c>
      <c r="Z427" t="s">
        <v>80</v>
      </c>
      <c r="AA427" t="s">
        <v>85</v>
      </c>
      <c r="AC427" t="s">
        <v>2934</v>
      </c>
      <c r="AD427" t="s">
        <v>202</v>
      </c>
      <c r="AE427" t="s">
        <v>2935</v>
      </c>
      <c r="AG427" t="s">
        <v>2936</v>
      </c>
      <c r="AH427" t="s">
        <v>91</v>
      </c>
      <c r="AI427" t="s">
        <v>92</v>
      </c>
      <c r="AJ427" t="s">
        <v>131</v>
      </c>
      <c r="AK427" t="s">
        <v>2937</v>
      </c>
      <c r="AL427" t="s">
        <v>95</v>
      </c>
      <c r="AM427" t="s">
        <v>96</v>
      </c>
      <c r="AN427" t="s">
        <v>97</v>
      </c>
      <c r="AO427" t="s">
        <v>98</v>
      </c>
      <c r="AP427" t="s">
        <v>78</v>
      </c>
      <c r="AQ427" t="s">
        <v>99</v>
      </c>
      <c r="AS427" t="s">
        <v>78</v>
      </c>
      <c r="AT427" t="s">
        <v>100</v>
      </c>
      <c r="AU427" t="s">
        <v>100</v>
      </c>
      <c r="AW427" t="s">
        <v>85</v>
      </c>
      <c r="AX427" t="s">
        <v>101</v>
      </c>
      <c r="AY427" t="s">
        <v>102</v>
      </c>
      <c r="AZ427" t="s">
        <v>103</v>
      </c>
      <c r="BA427" t="s">
        <v>120</v>
      </c>
      <c r="BB427" t="s">
        <v>78</v>
      </c>
      <c r="BC427" t="s">
        <v>78</v>
      </c>
      <c r="BD427" t="s">
        <v>2938</v>
      </c>
      <c r="BE427">
        <v>0</v>
      </c>
      <c r="BF427">
        <v>0</v>
      </c>
      <c r="BG427">
        <v>0</v>
      </c>
      <c r="BH427">
        <v>0</v>
      </c>
      <c r="BJ427" t="s">
        <v>85</v>
      </c>
      <c r="BP427" t="s">
        <v>78</v>
      </c>
      <c r="BQ427" t="s">
        <v>78</v>
      </c>
      <c r="BR427" t="s">
        <v>78</v>
      </c>
    </row>
    <row r="428" customFormat="1" spans="1:70">
      <c r="A428" t="s">
        <v>2939</v>
      </c>
      <c r="B428" t="s">
        <v>2939</v>
      </c>
      <c r="C428" t="s">
        <v>1050</v>
      </c>
      <c r="D428" t="s">
        <v>1377</v>
      </c>
      <c r="E428">
        <v>1</v>
      </c>
      <c r="F428" t="s">
        <v>1052</v>
      </c>
      <c r="G428" t="s">
        <v>1378</v>
      </c>
      <c r="H428">
        <v>129</v>
      </c>
      <c r="I428">
        <v>129</v>
      </c>
      <c r="J428">
        <v>0</v>
      </c>
      <c r="K428">
        <v>0</v>
      </c>
      <c r="L428" t="s">
        <v>78</v>
      </c>
      <c r="M428" t="s">
        <v>78</v>
      </c>
      <c r="N428" t="s">
        <v>78</v>
      </c>
      <c r="O428">
        <v>0</v>
      </c>
      <c r="P428">
        <v>0</v>
      </c>
      <c r="Q428">
        <v>0</v>
      </c>
      <c r="R428" t="s">
        <v>79</v>
      </c>
      <c r="S428">
        <v>0</v>
      </c>
      <c r="T428" t="s">
        <v>80</v>
      </c>
      <c r="U428" t="s">
        <v>80</v>
      </c>
      <c r="V428" t="s">
        <v>239</v>
      </c>
      <c r="W428" t="s">
        <v>967</v>
      </c>
      <c r="X428" t="s">
        <v>2940</v>
      </c>
      <c r="Y428" t="s">
        <v>2941</v>
      </c>
      <c r="Z428" t="s">
        <v>80</v>
      </c>
      <c r="AA428" t="s">
        <v>85</v>
      </c>
      <c r="AC428" t="s">
        <v>2942</v>
      </c>
      <c r="AD428" t="s">
        <v>202</v>
      </c>
      <c r="AE428" t="s">
        <v>2943</v>
      </c>
      <c r="AG428" t="s">
        <v>2944</v>
      </c>
      <c r="AH428" t="s">
        <v>91</v>
      </c>
      <c r="AI428" t="s">
        <v>92</v>
      </c>
      <c r="AJ428" t="s">
        <v>131</v>
      </c>
      <c r="AK428" t="s">
        <v>2945</v>
      </c>
      <c r="AL428" t="s">
        <v>95</v>
      </c>
      <c r="AM428" t="s">
        <v>96</v>
      </c>
      <c r="AN428" t="s">
        <v>97</v>
      </c>
      <c r="AO428" t="s">
        <v>98</v>
      </c>
      <c r="AP428" t="s">
        <v>78</v>
      </c>
      <c r="AQ428" t="s">
        <v>99</v>
      </c>
      <c r="AS428" t="s">
        <v>78</v>
      </c>
      <c r="AT428" t="s">
        <v>100</v>
      </c>
      <c r="AU428" t="s">
        <v>100</v>
      </c>
      <c r="AW428" t="s">
        <v>85</v>
      </c>
      <c r="AX428" t="s">
        <v>103</v>
      </c>
      <c r="AY428" t="s">
        <v>159</v>
      </c>
      <c r="AZ428" t="s">
        <v>103</v>
      </c>
      <c r="BA428" t="s">
        <v>133</v>
      </c>
      <c r="BB428" t="s">
        <v>78</v>
      </c>
      <c r="BC428" t="s">
        <v>78</v>
      </c>
      <c r="BD428" t="s">
        <v>2946</v>
      </c>
      <c r="BE428">
        <v>0</v>
      </c>
      <c r="BF428">
        <v>0</v>
      </c>
      <c r="BG428">
        <v>0</v>
      </c>
      <c r="BH428">
        <v>0</v>
      </c>
      <c r="BJ428" t="s">
        <v>85</v>
      </c>
      <c r="BP428" t="s">
        <v>78</v>
      </c>
      <c r="BQ428" t="s">
        <v>78</v>
      </c>
      <c r="BR428" t="s">
        <v>78</v>
      </c>
    </row>
    <row r="429" customFormat="1" spans="1:70">
      <c r="A429" t="s">
        <v>2947</v>
      </c>
      <c r="B429" t="s">
        <v>2947</v>
      </c>
      <c r="C429" t="s">
        <v>1050</v>
      </c>
      <c r="D429" t="s">
        <v>1051</v>
      </c>
      <c r="E429">
        <v>1</v>
      </c>
      <c r="F429" t="s">
        <v>1052</v>
      </c>
      <c r="G429" t="s">
        <v>1053</v>
      </c>
      <c r="H429">
        <v>129</v>
      </c>
      <c r="I429">
        <v>129</v>
      </c>
      <c r="J429">
        <v>0</v>
      </c>
      <c r="K429">
        <v>0</v>
      </c>
      <c r="L429" t="s">
        <v>78</v>
      </c>
      <c r="M429" t="s">
        <v>78</v>
      </c>
      <c r="N429" t="s">
        <v>78</v>
      </c>
      <c r="O429">
        <v>0</v>
      </c>
      <c r="P429">
        <v>0</v>
      </c>
      <c r="Q429">
        <v>0</v>
      </c>
      <c r="R429" t="s">
        <v>125</v>
      </c>
      <c r="S429">
        <v>0</v>
      </c>
      <c r="T429" t="s">
        <v>80</v>
      </c>
      <c r="U429" t="s">
        <v>80</v>
      </c>
      <c r="V429" t="s">
        <v>152</v>
      </c>
      <c r="W429" t="s">
        <v>2948</v>
      </c>
      <c r="X429" t="s">
        <v>2949</v>
      </c>
      <c r="Y429" t="s">
        <v>78</v>
      </c>
      <c r="Z429" t="s">
        <v>80</v>
      </c>
      <c r="AA429" t="s">
        <v>85</v>
      </c>
      <c r="AC429" t="s">
        <v>2950</v>
      </c>
      <c r="AD429" t="s">
        <v>87</v>
      </c>
      <c r="AG429" t="s">
        <v>2951</v>
      </c>
      <c r="AH429" t="s">
        <v>91</v>
      </c>
      <c r="AI429" t="s">
        <v>92</v>
      </c>
      <c r="AJ429" t="s">
        <v>131</v>
      </c>
      <c r="AK429" t="s">
        <v>2952</v>
      </c>
      <c r="AL429" t="s">
        <v>95</v>
      </c>
      <c r="AM429" t="s">
        <v>96</v>
      </c>
      <c r="AN429" t="s">
        <v>97</v>
      </c>
      <c r="AO429" t="s">
        <v>98</v>
      </c>
      <c r="AP429" t="s">
        <v>78</v>
      </c>
      <c r="AQ429" t="s">
        <v>99</v>
      </c>
      <c r="AS429" t="s">
        <v>78</v>
      </c>
      <c r="AT429" t="s">
        <v>100</v>
      </c>
      <c r="AU429" t="s">
        <v>100</v>
      </c>
      <c r="AW429" t="s">
        <v>85</v>
      </c>
      <c r="AX429" t="s">
        <v>103</v>
      </c>
      <c r="AY429" t="s">
        <v>159</v>
      </c>
      <c r="AZ429" t="s">
        <v>103</v>
      </c>
      <c r="BA429" t="s">
        <v>104</v>
      </c>
      <c r="BB429" t="s">
        <v>78</v>
      </c>
      <c r="BC429" t="s">
        <v>78</v>
      </c>
      <c r="BE429">
        <v>0</v>
      </c>
      <c r="BF429">
        <v>0</v>
      </c>
      <c r="BG429">
        <v>0</v>
      </c>
      <c r="BH429">
        <v>0</v>
      </c>
      <c r="BJ429" t="s">
        <v>85</v>
      </c>
      <c r="BP429" t="s">
        <v>78</v>
      </c>
      <c r="BQ429" t="s">
        <v>78</v>
      </c>
      <c r="BR429" t="s">
        <v>78</v>
      </c>
    </row>
    <row r="430" customFormat="1" spans="1:70">
      <c r="A430" t="s">
        <v>2953</v>
      </c>
      <c r="B430" t="s">
        <v>2953</v>
      </c>
      <c r="C430" t="s">
        <v>1092</v>
      </c>
      <c r="D430" t="s">
        <v>108</v>
      </c>
      <c r="E430">
        <v>1</v>
      </c>
      <c r="F430" t="s">
        <v>1093</v>
      </c>
      <c r="G430" t="s">
        <v>1094</v>
      </c>
      <c r="H430">
        <v>289</v>
      </c>
      <c r="I430">
        <v>289</v>
      </c>
      <c r="J430">
        <v>0</v>
      </c>
      <c r="K430">
        <v>0</v>
      </c>
      <c r="L430" t="s">
        <v>78</v>
      </c>
      <c r="M430" t="s">
        <v>78</v>
      </c>
      <c r="N430" t="s">
        <v>78</v>
      </c>
      <c r="O430">
        <v>0</v>
      </c>
      <c r="P430">
        <v>0</v>
      </c>
      <c r="Q430">
        <v>0</v>
      </c>
      <c r="R430" t="s">
        <v>125</v>
      </c>
      <c r="S430">
        <v>0</v>
      </c>
      <c r="T430" t="s">
        <v>80</v>
      </c>
      <c r="U430" t="s">
        <v>80</v>
      </c>
      <c r="V430" t="s">
        <v>347</v>
      </c>
      <c r="W430" t="s">
        <v>2652</v>
      </c>
      <c r="X430" t="s">
        <v>2916</v>
      </c>
      <c r="Y430" t="s">
        <v>2917</v>
      </c>
      <c r="Z430" t="s">
        <v>80</v>
      </c>
      <c r="AA430" t="s">
        <v>85</v>
      </c>
      <c r="AC430" t="s">
        <v>2954</v>
      </c>
      <c r="AD430" t="s">
        <v>87</v>
      </c>
      <c r="AG430" t="s">
        <v>2955</v>
      </c>
      <c r="AH430" t="s">
        <v>91</v>
      </c>
      <c r="AI430" t="s">
        <v>92</v>
      </c>
      <c r="AJ430" t="s">
        <v>131</v>
      </c>
      <c r="AK430" t="s">
        <v>2956</v>
      </c>
      <c r="AL430" t="s">
        <v>95</v>
      </c>
      <c r="AM430" t="s">
        <v>96</v>
      </c>
      <c r="AN430" t="s">
        <v>97</v>
      </c>
      <c r="AO430" t="s">
        <v>98</v>
      </c>
      <c r="AP430" t="s">
        <v>78</v>
      </c>
      <c r="AQ430" t="s">
        <v>99</v>
      </c>
      <c r="AS430" t="s">
        <v>78</v>
      </c>
      <c r="AT430" t="s">
        <v>100</v>
      </c>
      <c r="AU430" t="s">
        <v>100</v>
      </c>
      <c r="AW430" t="s">
        <v>85</v>
      </c>
      <c r="AX430" t="s">
        <v>101</v>
      </c>
      <c r="AY430" t="s">
        <v>102</v>
      </c>
      <c r="AZ430" t="s">
        <v>103</v>
      </c>
      <c r="BA430" t="s">
        <v>419</v>
      </c>
      <c r="BB430" t="s">
        <v>78</v>
      </c>
      <c r="BC430" t="s">
        <v>78</v>
      </c>
      <c r="BE430">
        <v>0</v>
      </c>
      <c r="BF430">
        <v>0</v>
      </c>
      <c r="BG430">
        <v>0</v>
      </c>
      <c r="BH430">
        <v>0</v>
      </c>
      <c r="BJ430" t="s">
        <v>85</v>
      </c>
      <c r="BP430" t="s">
        <v>78</v>
      </c>
      <c r="BQ430" t="s">
        <v>78</v>
      </c>
      <c r="BR430" t="s">
        <v>78</v>
      </c>
    </row>
    <row r="431" customFormat="1" spans="1:70">
      <c r="A431" t="s">
        <v>2957</v>
      </c>
      <c r="B431" t="s">
        <v>2957</v>
      </c>
      <c r="C431" t="s">
        <v>107</v>
      </c>
      <c r="D431" t="s">
        <v>108</v>
      </c>
      <c r="E431">
        <v>1</v>
      </c>
      <c r="F431" t="s">
        <v>109</v>
      </c>
      <c r="G431" t="s">
        <v>110</v>
      </c>
      <c r="H431">
        <v>289</v>
      </c>
      <c r="I431">
        <v>289</v>
      </c>
      <c r="J431">
        <v>0</v>
      </c>
      <c r="K431">
        <v>0</v>
      </c>
      <c r="L431" t="s">
        <v>78</v>
      </c>
      <c r="M431" t="s">
        <v>78</v>
      </c>
      <c r="N431" t="s">
        <v>78</v>
      </c>
      <c r="O431">
        <v>0</v>
      </c>
      <c r="P431">
        <v>0</v>
      </c>
      <c r="Q431">
        <v>0</v>
      </c>
      <c r="R431" t="s">
        <v>79</v>
      </c>
      <c r="S431">
        <v>0</v>
      </c>
      <c r="T431" t="s">
        <v>80</v>
      </c>
      <c r="U431" t="s">
        <v>80</v>
      </c>
      <c r="V431" t="s">
        <v>178</v>
      </c>
      <c r="W431" t="s">
        <v>178</v>
      </c>
      <c r="X431" t="s">
        <v>293</v>
      </c>
      <c r="Y431" t="s">
        <v>294</v>
      </c>
      <c r="Z431" t="s">
        <v>80</v>
      </c>
      <c r="AA431" t="s">
        <v>85</v>
      </c>
      <c r="AC431" t="s">
        <v>2958</v>
      </c>
      <c r="AD431" t="s">
        <v>87</v>
      </c>
      <c r="AF431" t="s">
        <v>2853</v>
      </c>
      <c r="AG431" t="s">
        <v>2959</v>
      </c>
      <c r="AH431" t="s">
        <v>298</v>
      </c>
      <c r="AI431" t="s">
        <v>216</v>
      </c>
      <c r="AJ431" t="s">
        <v>93</v>
      </c>
      <c r="AK431" t="s">
        <v>2960</v>
      </c>
      <c r="AL431" t="s">
        <v>95</v>
      </c>
      <c r="AM431" t="s">
        <v>96</v>
      </c>
      <c r="AN431" t="s">
        <v>96</v>
      </c>
      <c r="AP431" t="s">
        <v>78</v>
      </c>
      <c r="AQ431" t="s">
        <v>78</v>
      </c>
      <c r="AS431" t="s">
        <v>78</v>
      </c>
      <c r="AT431" t="s">
        <v>100</v>
      </c>
      <c r="AU431" t="s">
        <v>100</v>
      </c>
      <c r="AW431" t="s">
        <v>85</v>
      </c>
      <c r="AX431" t="s">
        <v>101</v>
      </c>
      <c r="AY431" t="s">
        <v>102</v>
      </c>
      <c r="AZ431" t="s">
        <v>102</v>
      </c>
      <c r="BA431" t="s">
        <v>102</v>
      </c>
      <c r="BB431" t="s">
        <v>78</v>
      </c>
      <c r="BC431" t="s">
        <v>78</v>
      </c>
      <c r="BD431" t="s">
        <v>2850</v>
      </c>
      <c r="BE431">
        <v>0</v>
      </c>
      <c r="BF431">
        <v>0</v>
      </c>
      <c r="BG431">
        <v>0</v>
      </c>
      <c r="BH431">
        <v>0</v>
      </c>
      <c r="BJ431" t="s">
        <v>85</v>
      </c>
      <c r="BP431" t="s">
        <v>78</v>
      </c>
      <c r="BQ431" t="s">
        <v>78</v>
      </c>
      <c r="BR431" t="s">
        <v>78</v>
      </c>
    </row>
    <row r="432" customFormat="1" spans="1:70">
      <c r="A432" t="s">
        <v>2961</v>
      </c>
      <c r="B432" t="s">
        <v>2961</v>
      </c>
      <c r="C432" t="s">
        <v>1050</v>
      </c>
      <c r="D432" t="s">
        <v>1377</v>
      </c>
      <c r="E432">
        <v>1</v>
      </c>
      <c r="F432" t="s">
        <v>1052</v>
      </c>
      <c r="G432" t="s">
        <v>1378</v>
      </c>
      <c r="H432">
        <v>129</v>
      </c>
      <c r="I432">
        <v>154</v>
      </c>
      <c r="J432">
        <v>25</v>
      </c>
      <c r="K432">
        <v>0</v>
      </c>
      <c r="L432" t="s">
        <v>78</v>
      </c>
      <c r="M432" t="s">
        <v>78</v>
      </c>
      <c r="N432" t="s">
        <v>78</v>
      </c>
      <c r="O432">
        <v>0</v>
      </c>
      <c r="P432">
        <v>0</v>
      </c>
      <c r="Q432">
        <v>0</v>
      </c>
      <c r="R432" t="s">
        <v>111</v>
      </c>
      <c r="S432">
        <v>0</v>
      </c>
      <c r="T432" t="s">
        <v>80</v>
      </c>
      <c r="U432" t="s">
        <v>80</v>
      </c>
      <c r="V432" t="s">
        <v>1255</v>
      </c>
      <c r="W432" t="s">
        <v>1256</v>
      </c>
      <c r="X432" t="s">
        <v>1256</v>
      </c>
      <c r="Y432" t="s">
        <v>1257</v>
      </c>
      <c r="Z432" t="s">
        <v>80</v>
      </c>
      <c r="AA432" t="s">
        <v>85</v>
      </c>
      <c r="AC432" t="s">
        <v>2962</v>
      </c>
      <c r="AD432" t="s">
        <v>87</v>
      </c>
      <c r="AH432" t="s">
        <v>183</v>
      </c>
      <c r="AI432" t="s">
        <v>92</v>
      </c>
      <c r="AJ432" t="s">
        <v>131</v>
      </c>
      <c r="AK432" t="s">
        <v>2963</v>
      </c>
      <c r="AL432" t="s">
        <v>95</v>
      </c>
      <c r="AM432" t="s">
        <v>96</v>
      </c>
      <c r="AN432" t="s">
        <v>97</v>
      </c>
      <c r="AO432" t="s">
        <v>98</v>
      </c>
      <c r="AP432" t="s">
        <v>78</v>
      </c>
      <c r="AQ432" t="s">
        <v>78</v>
      </c>
      <c r="AR432" t="s">
        <v>353</v>
      </c>
      <c r="AS432" t="s">
        <v>78</v>
      </c>
      <c r="AT432" t="s">
        <v>100</v>
      </c>
      <c r="AU432" t="s">
        <v>100</v>
      </c>
      <c r="AW432" t="s">
        <v>85</v>
      </c>
      <c r="AX432" t="s">
        <v>101</v>
      </c>
      <c r="AY432" t="s">
        <v>102</v>
      </c>
      <c r="AZ432" t="s">
        <v>103</v>
      </c>
      <c r="BA432" t="s">
        <v>185</v>
      </c>
      <c r="BB432" t="s">
        <v>78</v>
      </c>
      <c r="BC432" t="s">
        <v>78</v>
      </c>
      <c r="BE432">
        <v>0</v>
      </c>
      <c r="BF432">
        <v>0</v>
      </c>
      <c r="BG432">
        <v>0</v>
      </c>
      <c r="BH432">
        <v>0</v>
      </c>
      <c r="BJ432" t="s">
        <v>85</v>
      </c>
      <c r="BP432" t="s">
        <v>78</v>
      </c>
      <c r="BQ432" t="s">
        <v>78</v>
      </c>
      <c r="BR432" t="s">
        <v>78</v>
      </c>
    </row>
    <row r="433" customFormat="1" spans="1:70">
      <c r="A433" t="s">
        <v>2964</v>
      </c>
      <c r="B433" t="s">
        <v>2964</v>
      </c>
      <c r="C433" t="s">
        <v>1050</v>
      </c>
      <c r="D433" t="s">
        <v>1051</v>
      </c>
      <c r="E433">
        <v>1</v>
      </c>
      <c r="F433" t="s">
        <v>1052</v>
      </c>
      <c r="G433" t="s">
        <v>1053</v>
      </c>
      <c r="H433">
        <v>129</v>
      </c>
      <c r="I433">
        <v>129</v>
      </c>
      <c r="J433">
        <v>0</v>
      </c>
      <c r="K433">
        <v>0</v>
      </c>
      <c r="L433" t="s">
        <v>78</v>
      </c>
      <c r="M433" t="s">
        <v>78</v>
      </c>
      <c r="N433" t="s">
        <v>78</v>
      </c>
      <c r="O433">
        <v>0</v>
      </c>
      <c r="P433">
        <v>0</v>
      </c>
      <c r="Q433">
        <v>0</v>
      </c>
      <c r="R433" t="s">
        <v>79</v>
      </c>
      <c r="S433">
        <v>0</v>
      </c>
      <c r="T433" t="s">
        <v>80</v>
      </c>
      <c r="U433" t="s">
        <v>80</v>
      </c>
      <c r="V433" t="s">
        <v>1261</v>
      </c>
      <c r="W433" t="s">
        <v>2482</v>
      </c>
      <c r="X433" t="s">
        <v>2965</v>
      </c>
      <c r="Y433" t="s">
        <v>2966</v>
      </c>
      <c r="Z433" t="s">
        <v>80</v>
      </c>
      <c r="AA433" t="s">
        <v>85</v>
      </c>
      <c r="AC433" t="s">
        <v>2967</v>
      </c>
      <c r="AD433" t="s">
        <v>87</v>
      </c>
      <c r="AG433" t="s">
        <v>2968</v>
      </c>
      <c r="AH433" t="s">
        <v>91</v>
      </c>
      <c r="AI433" t="s">
        <v>92</v>
      </c>
      <c r="AJ433" t="s">
        <v>131</v>
      </c>
      <c r="AK433" t="s">
        <v>2969</v>
      </c>
      <c r="AL433" t="s">
        <v>95</v>
      </c>
      <c r="AM433" t="s">
        <v>96</v>
      </c>
      <c r="AN433" t="s">
        <v>97</v>
      </c>
      <c r="AO433" t="s">
        <v>98</v>
      </c>
      <c r="AP433" t="s">
        <v>78</v>
      </c>
      <c r="AQ433" t="s">
        <v>99</v>
      </c>
      <c r="AS433" t="s">
        <v>78</v>
      </c>
      <c r="AT433" t="s">
        <v>100</v>
      </c>
      <c r="AU433" t="s">
        <v>100</v>
      </c>
      <c r="AW433" t="s">
        <v>85</v>
      </c>
      <c r="AX433" t="s">
        <v>101</v>
      </c>
      <c r="AY433" t="s">
        <v>102</v>
      </c>
      <c r="AZ433" t="s">
        <v>103</v>
      </c>
      <c r="BA433" t="s">
        <v>133</v>
      </c>
      <c r="BB433" t="s">
        <v>78</v>
      </c>
      <c r="BC433" t="s">
        <v>78</v>
      </c>
      <c r="BE433">
        <v>0</v>
      </c>
      <c r="BF433">
        <v>0</v>
      </c>
      <c r="BG433">
        <v>0</v>
      </c>
      <c r="BH433">
        <v>0</v>
      </c>
      <c r="BJ433" t="s">
        <v>85</v>
      </c>
      <c r="BP433" t="s">
        <v>78</v>
      </c>
      <c r="BQ433" t="s">
        <v>78</v>
      </c>
      <c r="BR433" t="s">
        <v>78</v>
      </c>
    </row>
    <row r="434" customFormat="1" spans="1:70">
      <c r="A434" t="s">
        <v>2970</v>
      </c>
      <c r="B434" t="s">
        <v>2970</v>
      </c>
      <c r="C434" t="s">
        <v>107</v>
      </c>
      <c r="D434" t="s">
        <v>108</v>
      </c>
      <c r="E434">
        <v>1</v>
      </c>
      <c r="F434" t="s">
        <v>109</v>
      </c>
      <c r="G434" t="s">
        <v>110</v>
      </c>
      <c r="H434">
        <v>289</v>
      </c>
      <c r="I434">
        <v>274</v>
      </c>
      <c r="J434">
        <v>0</v>
      </c>
      <c r="K434">
        <v>15</v>
      </c>
      <c r="L434" t="s">
        <v>1118</v>
      </c>
      <c r="M434" t="s">
        <v>78</v>
      </c>
      <c r="N434" t="s">
        <v>78</v>
      </c>
      <c r="O434">
        <v>0</v>
      </c>
      <c r="P434">
        <v>0</v>
      </c>
      <c r="Q434">
        <v>0</v>
      </c>
      <c r="R434" t="s">
        <v>125</v>
      </c>
      <c r="S434">
        <v>0</v>
      </c>
      <c r="T434" t="s">
        <v>80</v>
      </c>
      <c r="U434" t="s">
        <v>80</v>
      </c>
      <c r="V434" t="s">
        <v>221</v>
      </c>
      <c r="W434" t="s">
        <v>1368</v>
      </c>
      <c r="X434" t="s">
        <v>1369</v>
      </c>
      <c r="Y434" t="s">
        <v>1370</v>
      </c>
      <c r="Z434" t="s">
        <v>80</v>
      </c>
      <c r="AA434" t="s">
        <v>85</v>
      </c>
      <c r="AC434" t="s">
        <v>2971</v>
      </c>
      <c r="AD434" t="s">
        <v>87</v>
      </c>
      <c r="AG434" t="s">
        <v>2972</v>
      </c>
      <c r="AH434" t="s">
        <v>91</v>
      </c>
      <c r="AI434" t="s">
        <v>92</v>
      </c>
      <c r="AJ434" t="s">
        <v>131</v>
      </c>
      <c r="AK434" t="s">
        <v>2973</v>
      </c>
      <c r="AL434" t="s">
        <v>95</v>
      </c>
      <c r="AM434" t="s">
        <v>96</v>
      </c>
      <c r="AN434" t="s">
        <v>97</v>
      </c>
      <c r="AO434" t="s">
        <v>98</v>
      </c>
      <c r="AP434" t="s">
        <v>78</v>
      </c>
      <c r="AQ434" t="s">
        <v>99</v>
      </c>
      <c r="AS434" t="s">
        <v>78</v>
      </c>
      <c r="AT434" t="s">
        <v>100</v>
      </c>
      <c r="AU434" t="s">
        <v>100</v>
      </c>
      <c r="AW434" t="s">
        <v>85</v>
      </c>
      <c r="AX434" t="s">
        <v>103</v>
      </c>
      <c r="AY434" t="s">
        <v>159</v>
      </c>
      <c r="AZ434" t="s">
        <v>103</v>
      </c>
      <c r="BA434" t="s">
        <v>104</v>
      </c>
      <c r="BB434" t="s">
        <v>78</v>
      </c>
      <c r="BC434" t="s">
        <v>78</v>
      </c>
      <c r="BE434">
        <v>0</v>
      </c>
      <c r="BF434">
        <v>15</v>
      </c>
      <c r="BG434">
        <v>0</v>
      </c>
      <c r="BH434">
        <v>0</v>
      </c>
      <c r="BJ434" t="s">
        <v>85</v>
      </c>
      <c r="BP434" t="s">
        <v>78</v>
      </c>
      <c r="BQ434" t="s">
        <v>78</v>
      </c>
      <c r="BR434" t="s">
        <v>78</v>
      </c>
    </row>
    <row r="435" customFormat="1" spans="1:70">
      <c r="A435" t="s">
        <v>2974</v>
      </c>
      <c r="B435" t="s">
        <v>2974</v>
      </c>
      <c r="C435" t="s">
        <v>1050</v>
      </c>
      <c r="D435" t="s">
        <v>1142</v>
      </c>
      <c r="E435">
        <v>1</v>
      </c>
      <c r="F435" t="s">
        <v>1052</v>
      </c>
      <c r="G435" t="s">
        <v>1143</v>
      </c>
      <c r="H435">
        <v>129</v>
      </c>
      <c r="I435">
        <v>129</v>
      </c>
      <c r="J435">
        <v>0</v>
      </c>
      <c r="K435">
        <v>0</v>
      </c>
      <c r="L435" t="s">
        <v>78</v>
      </c>
      <c r="M435" t="s">
        <v>78</v>
      </c>
      <c r="N435" t="s">
        <v>78</v>
      </c>
      <c r="O435">
        <v>0</v>
      </c>
      <c r="P435">
        <v>0</v>
      </c>
      <c r="Q435">
        <v>0</v>
      </c>
      <c r="R435" t="s">
        <v>79</v>
      </c>
      <c r="S435">
        <v>0</v>
      </c>
      <c r="T435" t="s">
        <v>80</v>
      </c>
      <c r="U435" t="s">
        <v>80</v>
      </c>
      <c r="V435" t="s">
        <v>239</v>
      </c>
      <c r="W435" t="s">
        <v>2439</v>
      </c>
      <c r="X435" t="s">
        <v>2440</v>
      </c>
      <c r="Y435" t="s">
        <v>2441</v>
      </c>
      <c r="Z435" t="s">
        <v>80</v>
      </c>
      <c r="AA435" t="s">
        <v>85</v>
      </c>
      <c r="AC435" t="s">
        <v>2975</v>
      </c>
      <c r="AD435" t="s">
        <v>87</v>
      </c>
      <c r="AG435" t="s">
        <v>2976</v>
      </c>
      <c r="AH435" t="s">
        <v>91</v>
      </c>
      <c r="AI435" t="s">
        <v>92</v>
      </c>
      <c r="AJ435" t="s">
        <v>131</v>
      </c>
      <c r="AK435" t="s">
        <v>2977</v>
      </c>
      <c r="AL435" t="s">
        <v>95</v>
      </c>
      <c r="AM435" t="s">
        <v>96</v>
      </c>
      <c r="AN435" t="s">
        <v>97</v>
      </c>
      <c r="AO435" t="s">
        <v>98</v>
      </c>
      <c r="AP435" t="s">
        <v>78</v>
      </c>
      <c r="AQ435" t="s">
        <v>99</v>
      </c>
      <c r="AS435" t="s">
        <v>78</v>
      </c>
      <c r="AT435" t="s">
        <v>100</v>
      </c>
      <c r="AU435" t="s">
        <v>100</v>
      </c>
      <c r="AW435" t="s">
        <v>85</v>
      </c>
      <c r="AX435" t="s">
        <v>103</v>
      </c>
      <c r="AY435" t="s">
        <v>159</v>
      </c>
      <c r="AZ435" t="s">
        <v>103</v>
      </c>
      <c r="BA435" t="s">
        <v>133</v>
      </c>
      <c r="BB435" t="s">
        <v>78</v>
      </c>
      <c r="BC435" t="s">
        <v>78</v>
      </c>
      <c r="BE435">
        <v>0</v>
      </c>
      <c r="BF435">
        <v>0</v>
      </c>
      <c r="BG435">
        <v>0</v>
      </c>
      <c r="BH435">
        <v>0</v>
      </c>
      <c r="BJ435" t="s">
        <v>85</v>
      </c>
      <c r="BP435" t="s">
        <v>78</v>
      </c>
      <c r="BQ435" t="s">
        <v>78</v>
      </c>
      <c r="BR435" t="s">
        <v>78</v>
      </c>
    </row>
    <row r="436" customFormat="1" spans="1:70">
      <c r="A436" t="s">
        <v>2978</v>
      </c>
      <c r="B436" t="s">
        <v>2978</v>
      </c>
      <c r="C436" t="s">
        <v>1092</v>
      </c>
      <c r="D436" t="s">
        <v>135</v>
      </c>
      <c r="E436">
        <v>1</v>
      </c>
      <c r="F436" t="s">
        <v>1093</v>
      </c>
      <c r="G436" t="s">
        <v>1357</v>
      </c>
      <c r="H436">
        <v>289</v>
      </c>
      <c r="I436">
        <v>289</v>
      </c>
      <c r="J436">
        <v>0</v>
      </c>
      <c r="K436">
        <v>0</v>
      </c>
      <c r="L436" t="s">
        <v>78</v>
      </c>
      <c r="M436" t="s">
        <v>78</v>
      </c>
      <c r="N436" t="s">
        <v>78</v>
      </c>
      <c r="O436">
        <v>0</v>
      </c>
      <c r="P436">
        <v>0</v>
      </c>
      <c r="Q436">
        <v>0</v>
      </c>
      <c r="R436" t="s">
        <v>125</v>
      </c>
      <c r="S436">
        <v>0</v>
      </c>
      <c r="T436" t="s">
        <v>80</v>
      </c>
      <c r="U436" t="s">
        <v>80</v>
      </c>
      <c r="V436" t="s">
        <v>302</v>
      </c>
      <c r="W436" t="s">
        <v>1394</v>
      </c>
      <c r="X436" t="s">
        <v>1395</v>
      </c>
      <c r="Y436" t="s">
        <v>1396</v>
      </c>
      <c r="Z436" t="s">
        <v>80</v>
      </c>
      <c r="AA436" t="s">
        <v>85</v>
      </c>
      <c r="AC436" t="s">
        <v>2979</v>
      </c>
      <c r="AD436" t="s">
        <v>87</v>
      </c>
      <c r="AG436" t="s">
        <v>2980</v>
      </c>
      <c r="AH436" t="s">
        <v>91</v>
      </c>
      <c r="AI436" t="s">
        <v>92</v>
      </c>
      <c r="AJ436" t="s">
        <v>131</v>
      </c>
      <c r="AK436" t="s">
        <v>2981</v>
      </c>
      <c r="AL436" t="s">
        <v>95</v>
      </c>
      <c r="AM436" t="s">
        <v>96</v>
      </c>
      <c r="AN436" t="s">
        <v>97</v>
      </c>
      <c r="AO436" t="s">
        <v>98</v>
      </c>
      <c r="AP436" t="s">
        <v>78</v>
      </c>
      <c r="AQ436" t="s">
        <v>99</v>
      </c>
      <c r="AS436" t="s">
        <v>78</v>
      </c>
      <c r="AT436" t="s">
        <v>100</v>
      </c>
      <c r="AU436" t="s">
        <v>100</v>
      </c>
      <c r="AW436" t="s">
        <v>85</v>
      </c>
      <c r="AX436" t="s">
        <v>101</v>
      </c>
      <c r="AY436" t="s">
        <v>102</v>
      </c>
      <c r="AZ436" t="s">
        <v>103</v>
      </c>
      <c r="BA436" t="s">
        <v>120</v>
      </c>
      <c r="BB436" t="s">
        <v>78</v>
      </c>
      <c r="BC436" t="s">
        <v>78</v>
      </c>
      <c r="BE436">
        <v>0</v>
      </c>
      <c r="BF436">
        <v>0</v>
      </c>
      <c r="BG436">
        <v>0</v>
      </c>
      <c r="BH436">
        <v>0</v>
      </c>
      <c r="BJ436" t="s">
        <v>85</v>
      </c>
      <c r="BP436" t="s">
        <v>78</v>
      </c>
      <c r="BQ436" t="s">
        <v>78</v>
      </c>
      <c r="BR436" t="s">
        <v>78</v>
      </c>
    </row>
    <row r="437" customFormat="1" spans="1:70">
      <c r="A437" t="s">
        <v>2982</v>
      </c>
      <c r="B437" t="s">
        <v>2982</v>
      </c>
      <c r="C437" t="s">
        <v>1050</v>
      </c>
      <c r="D437" t="s">
        <v>1153</v>
      </c>
      <c r="E437">
        <v>1</v>
      </c>
      <c r="F437" t="s">
        <v>1052</v>
      </c>
      <c r="G437" t="s">
        <v>1154</v>
      </c>
      <c r="H437">
        <v>129</v>
      </c>
      <c r="I437">
        <v>129</v>
      </c>
      <c r="J437">
        <v>0</v>
      </c>
      <c r="K437">
        <v>0</v>
      </c>
      <c r="L437" t="s">
        <v>78</v>
      </c>
      <c r="M437" t="s">
        <v>78</v>
      </c>
      <c r="N437" t="s">
        <v>78</v>
      </c>
      <c r="O437">
        <v>0</v>
      </c>
      <c r="P437">
        <v>0</v>
      </c>
      <c r="Q437">
        <v>0</v>
      </c>
      <c r="R437" t="s">
        <v>125</v>
      </c>
      <c r="S437">
        <v>0</v>
      </c>
      <c r="T437" t="s">
        <v>80</v>
      </c>
      <c r="U437" t="s">
        <v>80</v>
      </c>
      <c r="V437" t="s">
        <v>112</v>
      </c>
      <c r="W437" t="s">
        <v>2983</v>
      </c>
      <c r="X437" t="s">
        <v>2983</v>
      </c>
      <c r="Y437" t="s">
        <v>2984</v>
      </c>
      <c r="Z437" t="s">
        <v>80</v>
      </c>
      <c r="AA437" t="s">
        <v>85</v>
      </c>
      <c r="AC437" t="s">
        <v>2985</v>
      </c>
      <c r="AD437" t="s">
        <v>87</v>
      </c>
      <c r="AH437" t="s">
        <v>227</v>
      </c>
      <c r="AI437" t="s">
        <v>92</v>
      </c>
      <c r="AJ437" t="s">
        <v>131</v>
      </c>
      <c r="AK437" t="s">
        <v>2986</v>
      </c>
      <c r="AL437" t="s">
        <v>95</v>
      </c>
      <c r="AM437" t="s">
        <v>96</v>
      </c>
      <c r="AN437" t="s">
        <v>97</v>
      </c>
      <c r="AO437" t="s">
        <v>98</v>
      </c>
      <c r="AP437" t="s">
        <v>78</v>
      </c>
      <c r="AQ437" t="s">
        <v>78</v>
      </c>
      <c r="AR437" t="s">
        <v>353</v>
      </c>
      <c r="AS437" t="s">
        <v>78</v>
      </c>
      <c r="AT437" t="s">
        <v>100</v>
      </c>
      <c r="AU437" t="s">
        <v>100</v>
      </c>
      <c r="AW437" t="s">
        <v>85</v>
      </c>
      <c r="AX437" t="s">
        <v>103</v>
      </c>
      <c r="AY437" t="s">
        <v>159</v>
      </c>
      <c r="AZ437" t="s">
        <v>103</v>
      </c>
      <c r="BA437" t="s">
        <v>133</v>
      </c>
      <c r="BB437" t="s">
        <v>78</v>
      </c>
      <c r="BC437" t="s">
        <v>78</v>
      </c>
      <c r="BE437">
        <v>0</v>
      </c>
      <c r="BF437">
        <v>0</v>
      </c>
      <c r="BG437">
        <v>0</v>
      </c>
      <c r="BH437">
        <v>0</v>
      </c>
      <c r="BJ437" t="s">
        <v>85</v>
      </c>
      <c r="BP437" t="s">
        <v>78</v>
      </c>
      <c r="BQ437" t="s">
        <v>78</v>
      </c>
      <c r="BR437" t="s">
        <v>78</v>
      </c>
    </row>
    <row r="438" customFormat="1" spans="1:70">
      <c r="A438" t="s">
        <v>2987</v>
      </c>
      <c r="B438" t="s">
        <v>2987</v>
      </c>
      <c r="C438" t="s">
        <v>1092</v>
      </c>
      <c r="D438" t="s">
        <v>108</v>
      </c>
      <c r="E438">
        <v>1</v>
      </c>
      <c r="F438" t="s">
        <v>1093</v>
      </c>
      <c r="G438" t="s">
        <v>1094</v>
      </c>
      <c r="H438">
        <v>289</v>
      </c>
      <c r="I438">
        <v>261</v>
      </c>
      <c r="J438">
        <v>0</v>
      </c>
      <c r="K438">
        <v>28</v>
      </c>
      <c r="L438" t="s">
        <v>488</v>
      </c>
      <c r="M438" t="s">
        <v>78</v>
      </c>
      <c r="N438" t="s">
        <v>78</v>
      </c>
      <c r="O438">
        <v>0</v>
      </c>
      <c r="P438">
        <v>0</v>
      </c>
      <c r="Q438">
        <v>0</v>
      </c>
      <c r="R438" t="s">
        <v>125</v>
      </c>
      <c r="S438">
        <v>0</v>
      </c>
      <c r="T438" t="s">
        <v>80</v>
      </c>
      <c r="U438" t="s">
        <v>80</v>
      </c>
      <c r="V438" t="s">
        <v>583</v>
      </c>
      <c r="W438" t="s">
        <v>584</v>
      </c>
      <c r="X438" t="s">
        <v>2988</v>
      </c>
      <c r="Y438" t="s">
        <v>2989</v>
      </c>
      <c r="Z438" t="s">
        <v>80</v>
      </c>
      <c r="AA438" t="s">
        <v>85</v>
      </c>
      <c r="AC438" t="s">
        <v>2990</v>
      </c>
      <c r="AD438" t="s">
        <v>87</v>
      </c>
      <c r="AG438" t="s">
        <v>2991</v>
      </c>
      <c r="AH438" t="s">
        <v>91</v>
      </c>
      <c r="AI438" t="s">
        <v>216</v>
      </c>
      <c r="AJ438" t="s">
        <v>131</v>
      </c>
      <c r="AK438" t="s">
        <v>2992</v>
      </c>
      <c r="AL438" t="s">
        <v>95</v>
      </c>
      <c r="AM438" t="s">
        <v>96</v>
      </c>
      <c r="AN438" t="s">
        <v>96</v>
      </c>
      <c r="AP438" t="s">
        <v>78</v>
      </c>
      <c r="AQ438" t="s">
        <v>99</v>
      </c>
      <c r="AS438" t="s">
        <v>78</v>
      </c>
      <c r="AT438" t="s">
        <v>100</v>
      </c>
      <c r="AU438" t="s">
        <v>100</v>
      </c>
      <c r="AW438" t="s">
        <v>85</v>
      </c>
      <c r="AX438" t="s">
        <v>101</v>
      </c>
      <c r="AY438" t="s">
        <v>102</v>
      </c>
      <c r="AZ438" t="s">
        <v>145</v>
      </c>
      <c r="BA438" t="s">
        <v>525</v>
      </c>
      <c r="BB438" t="s">
        <v>78</v>
      </c>
      <c r="BC438" t="s">
        <v>78</v>
      </c>
      <c r="BE438">
        <v>0</v>
      </c>
      <c r="BF438">
        <v>28</v>
      </c>
      <c r="BG438">
        <v>0</v>
      </c>
      <c r="BH438">
        <v>0</v>
      </c>
      <c r="BJ438" t="s">
        <v>85</v>
      </c>
      <c r="BP438" t="s">
        <v>78</v>
      </c>
      <c r="BQ438" t="s">
        <v>78</v>
      </c>
      <c r="BR438" t="s">
        <v>78</v>
      </c>
    </row>
    <row r="439" customFormat="1" spans="1:70">
      <c r="A439" t="s">
        <v>2993</v>
      </c>
      <c r="B439" t="s">
        <v>2993</v>
      </c>
      <c r="C439" t="s">
        <v>1092</v>
      </c>
      <c r="D439" t="s">
        <v>108</v>
      </c>
      <c r="E439">
        <v>1</v>
      </c>
      <c r="F439" t="s">
        <v>1093</v>
      </c>
      <c r="G439" t="s">
        <v>1094</v>
      </c>
      <c r="H439">
        <v>289</v>
      </c>
      <c r="I439">
        <v>274</v>
      </c>
      <c r="J439">
        <v>0</v>
      </c>
      <c r="K439">
        <v>15</v>
      </c>
      <c r="L439" t="s">
        <v>1118</v>
      </c>
      <c r="M439" t="s">
        <v>78</v>
      </c>
      <c r="N439" t="s">
        <v>78</v>
      </c>
      <c r="O439">
        <v>0</v>
      </c>
      <c r="P439">
        <v>0</v>
      </c>
      <c r="Q439">
        <v>0</v>
      </c>
      <c r="R439" t="s">
        <v>125</v>
      </c>
      <c r="S439">
        <v>0</v>
      </c>
      <c r="T439" t="s">
        <v>80</v>
      </c>
      <c r="U439" t="s">
        <v>80</v>
      </c>
      <c r="V439" t="s">
        <v>583</v>
      </c>
      <c r="W439" t="s">
        <v>584</v>
      </c>
      <c r="X439" t="s">
        <v>2988</v>
      </c>
      <c r="Y439" t="s">
        <v>2989</v>
      </c>
      <c r="Z439" t="s">
        <v>80</v>
      </c>
      <c r="AA439" t="s">
        <v>85</v>
      </c>
      <c r="AC439" t="s">
        <v>2994</v>
      </c>
      <c r="AD439" t="s">
        <v>87</v>
      </c>
      <c r="AG439" t="s">
        <v>2995</v>
      </c>
      <c r="AH439" t="s">
        <v>91</v>
      </c>
      <c r="AI439" t="s">
        <v>216</v>
      </c>
      <c r="AJ439" t="s">
        <v>131</v>
      </c>
      <c r="AK439" t="s">
        <v>2996</v>
      </c>
      <c r="AL439" t="s">
        <v>95</v>
      </c>
      <c r="AM439" t="s">
        <v>96</v>
      </c>
      <c r="AN439" t="s">
        <v>96</v>
      </c>
      <c r="AP439" t="s">
        <v>78</v>
      </c>
      <c r="AQ439" t="s">
        <v>99</v>
      </c>
      <c r="AS439" t="s">
        <v>78</v>
      </c>
      <c r="AT439" t="s">
        <v>100</v>
      </c>
      <c r="AU439" t="s">
        <v>100</v>
      </c>
      <c r="AW439" t="s">
        <v>85</v>
      </c>
      <c r="AX439" t="s">
        <v>101</v>
      </c>
      <c r="AY439" t="s">
        <v>102</v>
      </c>
      <c r="AZ439" t="s">
        <v>145</v>
      </c>
      <c r="BA439" t="s">
        <v>525</v>
      </c>
      <c r="BB439" t="s">
        <v>78</v>
      </c>
      <c r="BC439" t="s">
        <v>78</v>
      </c>
      <c r="BE439">
        <v>0</v>
      </c>
      <c r="BF439">
        <v>15</v>
      </c>
      <c r="BG439">
        <v>0</v>
      </c>
      <c r="BH439">
        <v>0</v>
      </c>
      <c r="BJ439" t="s">
        <v>85</v>
      </c>
      <c r="BP439" t="s">
        <v>78</v>
      </c>
      <c r="BQ439" t="s">
        <v>78</v>
      </c>
      <c r="BR439" t="s">
        <v>78</v>
      </c>
    </row>
    <row r="440" customFormat="1" spans="1:70">
      <c r="A440" t="s">
        <v>2997</v>
      </c>
      <c r="B440" t="s">
        <v>2997</v>
      </c>
      <c r="C440" t="s">
        <v>1050</v>
      </c>
      <c r="D440" t="s">
        <v>1051</v>
      </c>
      <c r="E440">
        <v>1</v>
      </c>
      <c r="F440" t="s">
        <v>1052</v>
      </c>
      <c r="G440" t="s">
        <v>1053</v>
      </c>
      <c r="H440">
        <v>129</v>
      </c>
      <c r="I440">
        <v>129</v>
      </c>
      <c r="J440">
        <v>0</v>
      </c>
      <c r="K440">
        <v>0</v>
      </c>
      <c r="L440" t="s">
        <v>78</v>
      </c>
      <c r="M440" t="s">
        <v>78</v>
      </c>
      <c r="N440" t="s">
        <v>78</v>
      </c>
      <c r="O440">
        <v>0</v>
      </c>
      <c r="P440">
        <v>0</v>
      </c>
      <c r="Q440">
        <v>0</v>
      </c>
      <c r="R440" t="s">
        <v>111</v>
      </c>
      <c r="S440">
        <v>0</v>
      </c>
      <c r="T440" t="s">
        <v>80</v>
      </c>
      <c r="U440" t="s">
        <v>80</v>
      </c>
      <c r="V440" t="s">
        <v>239</v>
      </c>
      <c r="W440" t="s">
        <v>263</v>
      </c>
      <c r="X440" t="s">
        <v>264</v>
      </c>
      <c r="Y440" t="s">
        <v>265</v>
      </c>
      <c r="Z440" t="s">
        <v>80</v>
      </c>
      <c r="AA440" t="s">
        <v>85</v>
      </c>
      <c r="AC440" t="s">
        <v>2998</v>
      </c>
      <c r="AD440" t="s">
        <v>87</v>
      </c>
      <c r="AG440" t="s">
        <v>2999</v>
      </c>
      <c r="AH440" t="s">
        <v>91</v>
      </c>
      <c r="AI440" t="s">
        <v>92</v>
      </c>
      <c r="AJ440" t="s">
        <v>131</v>
      </c>
      <c r="AK440" t="s">
        <v>3000</v>
      </c>
      <c r="AL440" t="s">
        <v>95</v>
      </c>
      <c r="AM440" t="s">
        <v>96</v>
      </c>
      <c r="AN440" t="s">
        <v>97</v>
      </c>
      <c r="AO440" t="s">
        <v>98</v>
      </c>
      <c r="AP440" t="s">
        <v>78</v>
      </c>
      <c r="AQ440" t="s">
        <v>99</v>
      </c>
      <c r="AS440" t="s">
        <v>78</v>
      </c>
      <c r="AT440" t="s">
        <v>100</v>
      </c>
      <c r="AU440" t="s">
        <v>100</v>
      </c>
      <c r="AW440" t="s">
        <v>85</v>
      </c>
      <c r="AX440" t="s">
        <v>103</v>
      </c>
      <c r="AY440" t="s">
        <v>159</v>
      </c>
      <c r="AZ440" t="s">
        <v>103</v>
      </c>
      <c r="BA440" t="s">
        <v>419</v>
      </c>
      <c r="BB440" t="s">
        <v>78</v>
      </c>
      <c r="BC440" t="s">
        <v>78</v>
      </c>
      <c r="BE440">
        <v>0</v>
      </c>
      <c r="BF440">
        <v>0</v>
      </c>
      <c r="BG440">
        <v>0</v>
      </c>
      <c r="BH440">
        <v>0</v>
      </c>
      <c r="BJ440" t="s">
        <v>85</v>
      </c>
      <c r="BP440" t="s">
        <v>78</v>
      </c>
      <c r="BQ440" t="s">
        <v>78</v>
      </c>
      <c r="BR440" t="s">
        <v>78</v>
      </c>
    </row>
    <row r="441" customFormat="1" spans="1:70">
      <c r="A441" t="s">
        <v>3001</v>
      </c>
      <c r="B441" t="s">
        <v>3001</v>
      </c>
      <c r="C441" t="s">
        <v>1050</v>
      </c>
      <c r="D441" t="s">
        <v>1142</v>
      </c>
      <c r="E441">
        <v>1</v>
      </c>
      <c r="F441" t="s">
        <v>1052</v>
      </c>
      <c r="G441" t="s">
        <v>1143</v>
      </c>
      <c r="H441">
        <v>129</v>
      </c>
      <c r="I441">
        <v>129</v>
      </c>
      <c r="J441">
        <v>0</v>
      </c>
      <c r="K441">
        <v>0</v>
      </c>
      <c r="L441" t="s">
        <v>78</v>
      </c>
      <c r="M441" t="s">
        <v>78</v>
      </c>
      <c r="N441" t="s">
        <v>78</v>
      </c>
      <c r="O441">
        <v>0</v>
      </c>
      <c r="P441">
        <v>0</v>
      </c>
      <c r="Q441">
        <v>0</v>
      </c>
      <c r="R441" t="s">
        <v>79</v>
      </c>
      <c r="S441">
        <v>0</v>
      </c>
      <c r="T441" t="s">
        <v>80</v>
      </c>
      <c r="U441" t="s">
        <v>80</v>
      </c>
      <c r="V441" t="s">
        <v>81</v>
      </c>
      <c r="W441" t="s">
        <v>3002</v>
      </c>
      <c r="X441" t="s">
        <v>3003</v>
      </c>
      <c r="Y441" t="s">
        <v>3004</v>
      </c>
      <c r="Z441" t="s">
        <v>80</v>
      </c>
      <c r="AA441" t="s">
        <v>85</v>
      </c>
      <c r="AC441" t="s">
        <v>3005</v>
      </c>
      <c r="AD441" t="s">
        <v>202</v>
      </c>
      <c r="AE441" t="s">
        <v>3006</v>
      </c>
      <c r="AG441" t="s">
        <v>3007</v>
      </c>
      <c r="AH441" t="s">
        <v>91</v>
      </c>
      <c r="AI441" t="s">
        <v>92</v>
      </c>
      <c r="AJ441" t="s">
        <v>131</v>
      </c>
      <c r="AK441" t="s">
        <v>3008</v>
      </c>
      <c r="AL441" t="s">
        <v>95</v>
      </c>
      <c r="AM441" t="s">
        <v>96</v>
      </c>
      <c r="AN441" t="s">
        <v>97</v>
      </c>
      <c r="AO441" t="s">
        <v>98</v>
      </c>
      <c r="AP441" t="s">
        <v>78</v>
      </c>
      <c r="AQ441" t="s">
        <v>99</v>
      </c>
      <c r="AS441" t="s">
        <v>78</v>
      </c>
      <c r="AT441" t="s">
        <v>100</v>
      </c>
      <c r="AU441" t="s">
        <v>100</v>
      </c>
      <c r="AW441" t="s">
        <v>85</v>
      </c>
      <c r="AX441" t="s">
        <v>101</v>
      </c>
      <c r="AY441" t="s">
        <v>102</v>
      </c>
      <c r="AZ441" t="s">
        <v>103</v>
      </c>
      <c r="BA441" t="s">
        <v>104</v>
      </c>
      <c r="BB441" t="s">
        <v>78</v>
      </c>
      <c r="BC441" t="s">
        <v>78</v>
      </c>
      <c r="BD441" t="s">
        <v>3009</v>
      </c>
      <c r="BE441">
        <v>0</v>
      </c>
      <c r="BF441">
        <v>0</v>
      </c>
      <c r="BG441">
        <v>0</v>
      </c>
      <c r="BH441">
        <v>0</v>
      </c>
      <c r="BJ441" t="s">
        <v>85</v>
      </c>
      <c r="BP441" t="s">
        <v>78</v>
      </c>
      <c r="BQ441" t="s">
        <v>78</v>
      </c>
      <c r="BR441" t="s">
        <v>78</v>
      </c>
    </row>
    <row r="442" customFormat="1" spans="1:70">
      <c r="A442" t="s">
        <v>3010</v>
      </c>
      <c r="B442" t="s">
        <v>3010</v>
      </c>
      <c r="C442" t="s">
        <v>1050</v>
      </c>
      <c r="D442" t="s">
        <v>1377</v>
      </c>
      <c r="E442">
        <v>1</v>
      </c>
      <c r="F442" t="s">
        <v>1052</v>
      </c>
      <c r="G442" t="s">
        <v>1378</v>
      </c>
      <c r="H442">
        <v>129</v>
      </c>
      <c r="I442">
        <v>124</v>
      </c>
      <c r="J442">
        <v>0</v>
      </c>
      <c r="K442">
        <v>5</v>
      </c>
      <c r="L442" t="s">
        <v>659</v>
      </c>
      <c r="M442" t="s">
        <v>78</v>
      </c>
      <c r="N442" t="s">
        <v>78</v>
      </c>
      <c r="O442">
        <v>0</v>
      </c>
      <c r="P442">
        <v>0</v>
      </c>
      <c r="Q442">
        <v>0</v>
      </c>
      <c r="R442" t="s">
        <v>3011</v>
      </c>
      <c r="S442">
        <v>0</v>
      </c>
      <c r="T442" t="s">
        <v>80</v>
      </c>
      <c r="U442" t="s">
        <v>80</v>
      </c>
      <c r="V442" t="s">
        <v>112</v>
      </c>
      <c r="W442" t="s">
        <v>3012</v>
      </c>
      <c r="X442" t="s">
        <v>3013</v>
      </c>
      <c r="Y442" t="s">
        <v>3014</v>
      </c>
      <c r="Z442" t="s">
        <v>80</v>
      </c>
      <c r="AA442" t="s">
        <v>85</v>
      </c>
      <c r="AC442" t="s">
        <v>3015</v>
      </c>
      <c r="AD442" t="s">
        <v>202</v>
      </c>
      <c r="AE442" t="s">
        <v>3016</v>
      </c>
      <c r="AG442" t="s">
        <v>3017</v>
      </c>
      <c r="AH442" t="s">
        <v>91</v>
      </c>
      <c r="AI442" t="s">
        <v>92</v>
      </c>
      <c r="AJ442" t="s">
        <v>131</v>
      </c>
      <c r="AK442" t="s">
        <v>3018</v>
      </c>
      <c r="AL442" t="s">
        <v>95</v>
      </c>
      <c r="AM442" t="s">
        <v>96</v>
      </c>
      <c r="AN442" t="s">
        <v>97</v>
      </c>
      <c r="AO442" t="s">
        <v>98</v>
      </c>
      <c r="AP442" t="s">
        <v>78</v>
      </c>
      <c r="AQ442" t="s">
        <v>99</v>
      </c>
      <c r="AS442" t="s">
        <v>78</v>
      </c>
      <c r="AT442" t="s">
        <v>100</v>
      </c>
      <c r="AU442" t="s">
        <v>100</v>
      </c>
      <c r="AW442" t="s">
        <v>85</v>
      </c>
      <c r="AX442" t="s">
        <v>103</v>
      </c>
      <c r="AY442" t="s">
        <v>159</v>
      </c>
      <c r="AZ442" t="s">
        <v>103</v>
      </c>
      <c r="BA442" t="s">
        <v>104</v>
      </c>
      <c r="BB442" t="s">
        <v>78</v>
      </c>
      <c r="BC442" t="s">
        <v>78</v>
      </c>
      <c r="BD442" t="s">
        <v>3019</v>
      </c>
      <c r="BE442">
        <v>0</v>
      </c>
      <c r="BF442">
        <v>5</v>
      </c>
      <c r="BG442">
        <v>0</v>
      </c>
      <c r="BH442">
        <v>0</v>
      </c>
      <c r="BJ442" t="s">
        <v>85</v>
      </c>
      <c r="BP442" t="s">
        <v>78</v>
      </c>
      <c r="BQ442" t="s">
        <v>78</v>
      </c>
      <c r="BR442" t="s">
        <v>78</v>
      </c>
    </row>
    <row r="443" customFormat="1" spans="1:70">
      <c r="A443" t="s">
        <v>3020</v>
      </c>
      <c r="B443" t="s">
        <v>3020</v>
      </c>
      <c r="C443" t="s">
        <v>1092</v>
      </c>
      <c r="D443" t="s">
        <v>1391</v>
      </c>
      <c r="E443">
        <v>1</v>
      </c>
      <c r="F443" t="s">
        <v>1093</v>
      </c>
      <c r="G443" t="s">
        <v>1392</v>
      </c>
      <c r="H443">
        <v>289</v>
      </c>
      <c r="I443">
        <v>289</v>
      </c>
      <c r="J443">
        <v>0</v>
      </c>
      <c r="K443">
        <v>0</v>
      </c>
      <c r="L443" t="s">
        <v>78</v>
      </c>
      <c r="M443" t="s">
        <v>78</v>
      </c>
      <c r="N443" t="s">
        <v>78</v>
      </c>
      <c r="O443">
        <v>0</v>
      </c>
      <c r="P443">
        <v>0</v>
      </c>
      <c r="Q443">
        <v>0</v>
      </c>
      <c r="R443" t="s">
        <v>79</v>
      </c>
      <c r="S443">
        <v>0</v>
      </c>
      <c r="T443" t="s">
        <v>80</v>
      </c>
      <c r="U443" t="s">
        <v>80</v>
      </c>
      <c r="V443" t="s">
        <v>574</v>
      </c>
      <c r="W443" t="s">
        <v>574</v>
      </c>
      <c r="X443" t="s">
        <v>2603</v>
      </c>
      <c r="Y443" t="s">
        <v>3021</v>
      </c>
      <c r="Z443" t="s">
        <v>80</v>
      </c>
      <c r="AA443" t="s">
        <v>85</v>
      </c>
      <c r="AC443" t="s">
        <v>3022</v>
      </c>
      <c r="AD443" t="s">
        <v>202</v>
      </c>
      <c r="AE443" t="s">
        <v>3023</v>
      </c>
      <c r="AG443" t="s">
        <v>3024</v>
      </c>
      <c r="AH443" t="s">
        <v>91</v>
      </c>
      <c r="AI443" t="s">
        <v>92</v>
      </c>
      <c r="AJ443" t="s">
        <v>131</v>
      </c>
      <c r="AK443" t="s">
        <v>3025</v>
      </c>
      <c r="AL443" t="s">
        <v>95</v>
      </c>
      <c r="AM443" t="s">
        <v>96</v>
      </c>
      <c r="AN443" t="s">
        <v>97</v>
      </c>
      <c r="AO443" t="s">
        <v>98</v>
      </c>
      <c r="AP443" t="s">
        <v>78</v>
      </c>
      <c r="AQ443" t="s">
        <v>99</v>
      </c>
      <c r="AS443" t="s">
        <v>78</v>
      </c>
      <c r="AT443" t="s">
        <v>100</v>
      </c>
      <c r="AU443" t="s">
        <v>100</v>
      </c>
      <c r="AW443" t="s">
        <v>85</v>
      </c>
      <c r="AX443" t="s">
        <v>103</v>
      </c>
      <c r="AY443" t="s">
        <v>159</v>
      </c>
      <c r="AZ443" t="s">
        <v>103</v>
      </c>
      <c r="BA443" t="s">
        <v>419</v>
      </c>
      <c r="BB443" t="s">
        <v>78</v>
      </c>
      <c r="BC443" t="s">
        <v>78</v>
      </c>
      <c r="BD443" t="s">
        <v>3026</v>
      </c>
      <c r="BE443">
        <v>0</v>
      </c>
      <c r="BF443">
        <v>0</v>
      </c>
      <c r="BG443">
        <v>0</v>
      </c>
      <c r="BH443">
        <v>0</v>
      </c>
      <c r="BJ443" t="s">
        <v>85</v>
      </c>
      <c r="BP443" t="s">
        <v>78</v>
      </c>
      <c r="BQ443" t="s">
        <v>78</v>
      </c>
      <c r="BR443" t="s">
        <v>78</v>
      </c>
    </row>
    <row r="444" customFormat="1" spans="1:70">
      <c r="A444" t="s">
        <v>3027</v>
      </c>
      <c r="B444" t="s">
        <v>3027</v>
      </c>
      <c r="C444" t="s">
        <v>107</v>
      </c>
      <c r="D444" t="s">
        <v>108</v>
      </c>
      <c r="E444">
        <v>1</v>
      </c>
      <c r="F444" t="s">
        <v>109</v>
      </c>
      <c r="G444" t="s">
        <v>110</v>
      </c>
      <c r="H444">
        <v>289</v>
      </c>
      <c r="I444">
        <v>289</v>
      </c>
      <c r="J444">
        <v>0</v>
      </c>
      <c r="K444">
        <v>0</v>
      </c>
      <c r="L444" t="s">
        <v>78</v>
      </c>
      <c r="M444" t="s">
        <v>78</v>
      </c>
      <c r="N444" t="s">
        <v>78</v>
      </c>
      <c r="O444">
        <v>0</v>
      </c>
      <c r="P444">
        <v>0</v>
      </c>
      <c r="Q444">
        <v>0</v>
      </c>
      <c r="R444" t="s">
        <v>79</v>
      </c>
      <c r="S444">
        <v>0</v>
      </c>
      <c r="T444" t="s">
        <v>80</v>
      </c>
      <c r="U444" t="s">
        <v>80</v>
      </c>
      <c r="V444" t="s">
        <v>347</v>
      </c>
      <c r="W444" t="s">
        <v>1498</v>
      </c>
      <c r="X444" t="s">
        <v>3028</v>
      </c>
      <c r="Y444" t="s">
        <v>3029</v>
      </c>
      <c r="Z444" t="s">
        <v>80</v>
      </c>
      <c r="AA444" t="s">
        <v>85</v>
      </c>
      <c r="AC444" t="s">
        <v>3030</v>
      </c>
      <c r="AD444" t="s">
        <v>87</v>
      </c>
      <c r="AG444" t="s">
        <v>3031</v>
      </c>
      <c r="AH444" t="s">
        <v>91</v>
      </c>
      <c r="AI444" t="s">
        <v>92</v>
      </c>
      <c r="AJ444" t="s">
        <v>131</v>
      </c>
      <c r="AK444" t="s">
        <v>3032</v>
      </c>
      <c r="AL444" t="s">
        <v>95</v>
      </c>
      <c r="AM444" t="s">
        <v>96</v>
      </c>
      <c r="AN444" t="s">
        <v>97</v>
      </c>
      <c r="AO444" t="s">
        <v>98</v>
      </c>
      <c r="AP444" t="s">
        <v>78</v>
      </c>
      <c r="AQ444" t="s">
        <v>99</v>
      </c>
      <c r="AS444" t="s">
        <v>78</v>
      </c>
      <c r="AT444" t="s">
        <v>100</v>
      </c>
      <c r="AU444" t="s">
        <v>100</v>
      </c>
      <c r="AW444" t="s">
        <v>85</v>
      </c>
      <c r="AX444" t="s">
        <v>103</v>
      </c>
      <c r="AY444" t="s">
        <v>159</v>
      </c>
      <c r="AZ444" t="s">
        <v>103</v>
      </c>
      <c r="BA444" t="s">
        <v>419</v>
      </c>
      <c r="BB444" t="s">
        <v>78</v>
      </c>
      <c r="BC444" t="s">
        <v>78</v>
      </c>
      <c r="BE444">
        <v>0</v>
      </c>
      <c r="BF444">
        <v>0</v>
      </c>
      <c r="BG444">
        <v>0</v>
      </c>
      <c r="BH444">
        <v>0</v>
      </c>
      <c r="BJ444" t="s">
        <v>85</v>
      </c>
      <c r="BP444" t="s">
        <v>78</v>
      </c>
      <c r="BQ444" t="s">
        <v>78</v>
      </c>
      <c r="BR444" t="s">
        <v>78</v>
      </c>
    </row>
    <row r="445" customFormat="1" spans="1:70">
      <c r="A445" t="s">
        <v>3033</v>
      </c>
      <c r="B445" t="s">
        <v>3033</v>
      </c>
      <c r="C445" t="s">
        <v>1092</v>
      </c>
      <c r="D445" t="s">
        <v>108</v>
      </c>
      <c r="E445">
        <v>1</v>
      </c>
      <c r="F445" t="s">
        <v>1093</v>
      </c>
      <c r="G445" t="s">
        <v>1094</v>
      </c>
      <c r="H445">
        <v>289</v>
      </c>
      <c r="I445">
        <v>289</v>
      </c>
      <c r="J445">
        <v>0</v>
      </c>
      <c r="K445">
        <v>0</v>
      </c>
      <c r="L445" t="s">
        <v>78</v>
      </c>
      <c r="M445" t="s">
        <v>78</v>
      </c>
      <c r="N445" t="s">
        <v>78</v>
      </c>
      <c r="O445">
        <v>0</v>
      </c>
      <c r="P445">
        <v>0</v>
      </c>
      <c r="Q445">
        <v>0</v>
      </c>
      <c r="R445" t="s">
        <v>125</v>
      </c>
      <c r="S445">
        <v>0</v>
      </c>
      <c r="T445" t="s">
        <v>80</v>
      </c>
      <c r="U445" t="s">
        <v>80</v>
      </c>
      <c r="V445" t="s">
        <v>161</v>
      </c>
      <c r="W445" t="s">
        <v>161</v>
      </c>
      <c r="X445" t="s">
        <v>162</v>
      </c>
      <c r="Y445" t="s">
        <v>3034</v>
      </c>
      <c r="Z445" t="s">
        <v>80</v>
      </c>
      <c r="AA445" t="s">
        <v>85</v>
      </c>
      <c r="AC445" t="s">
        <v>3035</v>
      </c>
      <c r="AD445" t="s">
        <v>87</v>
      </c>
      <c r="AG445" t="s">
        <v>3036</v>
      </c>
      <c r="AH445" t="s">
        <v>91</v>
      </c>
      <c r="AI445" t="s">
        <v>92</v>
      </c>
      <c r="AJ445" t="s">
        <v>131</v>
      </c>
      <c r="AK445" t="s">
        <v>3037</v>
      </c>
      <c r="AL445" t="s">
        <v>95</v>
      </c>
      <c r="AM445" t="s">
        <v>96</v>
      </c>
      <c r="AN445" t="s">
        <v>97</v>
      </c>
      <c r="AO445" t="s">
        <v>98</v>
      </c>
      <c r="AP445" t="s">
        <v>78</v>
      </c>
      <c r="AQ445" t="s">
        <v>99</v>
      </c>
      <c r="AS445" t="s">
        <v>78</v>
      </c>
      <c r="AT445" t="s">
        <v>100</v>
      </c>
      <c r="AU445" t="s">
        <v>100</v>
      </c>
      <c r="AW445" t="s">
        <v>85</v>
      </c>
      <c r="AX445" t="s">
        <v>103</v>
      </c>
      <c r="AY445" t="s">
        <v>159</v>
      </c>
      <c r="AZ445" t="s">
        <v>103</v>
      </c>
      <c r="BA445" t="s">
        <v>104</v>
      </c>
      <c r="BB445" t="s">
        <v>78</v>
      </c>
      <c r="BC445" t="s">
        <v>78</v>
      </c>
      <c r="BE445">
        <v>0</v>
      </c>
      <c r="BF445">
        <v>0</v>
      </c>
      <c r="BG445">
        <v>0</v>
      </c>
      <c r="BH445">
        <v>0</v>
      </c>
      <c r="BJ445" t="s">
        <v>85</v>
      </c>
      <c r="BP445" t="s">
        <v>78</v>
      </c>
      <c r="BQ445" t="s">
        <v>78</v>
      </c>
      <c r="BR445" t="s">
        <v>78</v>
      </c>
    </row>
    <row r="446" customFormat="1" spans="1:70">
      <c r="A446" t="s">
        <v>3038</v>
      </c>
      <c r="B446" t="s">
        <v>3038</v>
      </c>
      <c r="C446" t="s">
        <v>107</v>
      </c>
      <c r="D446" t="s">
        <v>108</v>
      </c>
      <c r="E446">
        <v>1</v>
      </c>
      <c r="F446" t="s">
        <v>109</v>
      </c>
      <c r="G446" t="s">
        <v>110</v>
      </c>
      <c r="H446">
        <v>289</v>
      </c>
      <c r="I446">
        <v>274</v>
      </c>
      <c r="J446">
        <v>0</v>
      </c>
      <c r="K446">
        <v>15</v>
      </c>
      <c r="L446" t="s">
        <v>3039</v>
      </c>
      <c r="M446" t="s">
        <v>78</v>
      </c>
      <c r="N446" t="s">
        <v>78</v>
      </c>
      <c r="O446">
        <v>0</v>
      </c>
      <c r="P446">
        <v>0</v>
      </c>
      <c r="Q446">
        <v>0</v>
      </c>
      <c r="R446" t="s">
        <v>111</v>
      </c>
      <c r="S446">
        <v>0</v>
      </c>
      <c r="T446" t="s">
        <v>80</v>
      </c>
      <c r="U446" t="s">
        <v>80</v>
      </c>
      <c r="V446" t="s">
        <v>138</v>
      </c>
      <c r="W446" t="s">
        <v>2228</v>
      </c>
      <c r="X446" t="s">
        <v>3040</v>
      </c>
      <c r="Y446" t="s">
        <v>3041</v>
      </c>
      <c r="Z446" t="s">
        <v>80</v>
      </c>
      <c r="AA446" t="s">
        <v>85</v>
      </c>
      <c r="AC446" t="s">
        <v>3042</v>
      </c>
      <c r="AD446" t="s">
        <v>87</v>
      </c>
      <c r="AF446" t="s">
        <v>3043</v>
      </c>
      <c r="AG446" t="s">
        <v>3044</v>
      </c>
      <c r="AH446" t="s">
        <v>91</v>
      </c>
      <c r="AI446" t="s">
        <v>92</v>
      </c>
      <c r="AJ446" t="s">
        <v>93</v>
      </c>
      <c r="AK446" t="s">
        <v>3045</v>
      </c>
      <c r="AL446" t="s">
        <v>95</v>
      </c>
      <c r="AM446" t="s">
        <v>96</v>
      </c>
      <c r="AN446" t="s">
        <v>97</v>
      </c>
      <c r="AO446" t="s">
        <v>98</v>
      </c>
      <c r="AP446" t="s">
        <v>78</v>
      </c>
      <c r="AQ446" t="s">
        <v>78</v>
      </c>
      <c r="AS446" t="s">
        <v>78</v>
      </c>
      <c r="AT446" t="s">
        <v>100</v>
      </c>
      <c r="AU446" t="s">
        <v>100</v>
      </c>
      <c r="AW446" t="s">
        <v>85</v>
      </c>
      <c r="AX446" t="s">
        <v>101</v>
      </c>
      <c r="AY446" t="s">
        <v>102</v>
      </c>
      <c r="AZ446" t="s">
        <v>103</v>
      </c>
      <c r="BA446" t="s">
        <v>120</v>
      </c>
      <c r="BB446" t="s">
        <v>78</v>
      </c>
      <c r="BC446" t="s">
        <v>78</v>
      </c>
      <c r="BD446" t="s">
        <v>3046</v>
      </c>
      <c r="BE446">
        <v>0</v>
      </c>
      <c r="BF446">
        <v>15</v>
      </c>
      <c r="BG446">
        <v>0</v>
      </c>
      <c r="BH446">
        <v>0</v>
      </c>
      <c r="BJ446" t="s">
        <v>85</v>
      </c>
      <c r="BP446" t="s">
        <v>78</v>
      </c>
      <c r="BQ446" t="s">
        <v>78</v>
      </c>
      <c r="BR446" t="s">
        <v>78</v>
      </c>
    </row>
    <row r="447" customFormat="1" spans="1:70">
      <c r="A447" t="s">
        <v>3047</v>
      </c>
      <c r="B447" t="s">
        <v>3047</v>
      </c>
      <c r="C447" t="s">
        <v>107</v>
      </c>
      <c r="D447" t="s">
        <v>108</v>
      </c>
      <c r="E447">
        <v>1</v>
      </c>
      <c r="F447" t="s">
        <v>109</v>
      </c>
      <c r="G447" t="s">
        <v>110</v>
      </c>
      <c r="H447">
        <v>289</v>
      </c>
      <c r="I447">
        <v>289</v>
      </c>
      <c r="J447">
        <v>0</v>
      </c>
      <c r="K447">
        <v>0</v>
      </c>
      <c r="L447" t="s">
        <v>78</v>
      </c>
      <c r="M447" t="s">
        <v>78</v>
      </c>
      <c r="N447" t="s">
        <v>78</v>
      </c>
      <c r="O447">
        <v>0</v>
      </c>
      <c r="P447">
        <v>0</v>
      </c>
      <c r="Q447">
        <v>0</v>
      </c>
      <c r="R447" t="s">
        <v>79</v>
      </c>
      <c r="S447">
        <v>0</v>
      </c>
      <c r="T447" t="s">
        <v>80</v>
      </c>
      <c r="U447" t="s">
        <v>80</v>
      </c>
      <c r="V447" t="s">
        <v>161</v>
      </c>
      <c r="W447" t="s">
        <v>161</v>
      </c>
      <c r="X447" t="s">
        <v>1899</v>
      </c>
      <c r="Y447" t="s">
        <v>3048</v>
      </c>
      <c r="Z447" t="s">
        <v>80</v>
      </c>
      <c r="AA447" t="s">
        <v>85</v>
      </c>
      <c r="AC447" t="s">
        <v>3049</v>
      </c>
      <c r="AD447" t="s">
        <v>87</v>
      </c>
      <c r="AG447" t="s">
        <v>3042</v>
      </c>
      <c r="AH447" t="s">
        <v>298</v>
      </c>
      <c r="AI447" t="s">
        <v>92</v>
      </c>
      <c r="AJ447" t="s">
        <v>131</v>
      </c>
      <c r="AK447" t="s">
        <v>3050</v>
      </c>
      <c r="AL447" t="s">
        <v>95</v>
      </c>
      <c r="AM447" t="s">
        <v>96</v>
      </c>
      <c r="AN447" t="s">
        <v>97</v>
      </c>
      <c r="AO447" t="s">
        <v>98</v>
      </c>
      <c r="AP447" t="s">
        <v>78</v>
      </c>
      <c r="AQ447" t="s">
        <v>99</v>
      </c>
      <c r="AS447" t="s">
        <v>78</v>
      </c>
      <c r="AT447" t="s">
        <v>100</v>
      </c>
      <c r="AU447" t="s">
        <v>100</v>
      </c>
      <c r="AW447" t="s">
        <v>85</v>
      </c>
      <c r="AX447" t="s">
        <v>101</v>
      </c>
      <c r="AY447" t="s">
        <v>102</v>
      </c>
      <c r="AZ447" t="s">
        <v>103</v>
      </c>
      <c r="BA447" t="s">
        <v>104</v>
      </c>
      <c r="BB447" t="s">
        <v>78</v>
      </c>
      <c r="BC447" t="s">
        <v>78</v>
      </c>
      <c r="BE447">
        <v>0</v>
      </c>
      <c r="BF447">
        <v>0</v>
      </c>
      <c r="BG447">
        <v>0</v>
      </c>
      <c r="BH447">
        <v>0</v>
      </c>
      <c r="BJ447" t="s">
        <v>85</v>
      </c>
      <c r="BP447" t="s">
        <v>78</v>
      </c>
      <c r="BQ447" t="s">
        <v>78</v>
      </c>
      <c r="BR447" t="s">
        <v>78</v>
      </c>
    </row>
    <row r="448" customFormat="1" spans="1:70">
      <c r="A448" t="s">
        <v>3051</v>
      </c>
      <c r="B448" t="s">
        <v>3051</v>
      </c>
      <c r="C448" t="s">
        <v>107</v>
      </c>
      <c r="D448" t="s">
        <v>123</v>
      </c>
      <c r="E448">
        <v>1</v>
      </c>
      <c r="F448" t="s">
        <v>109</v>
      </c>
      <c r="G448" t="s">
        <v>124</v>
      </c>
      <c r="H448">
        <v>289</v>
      </c>
      <c r="I448">
        <v>289</v>
      </c>
      <c r="J448">
        <v>0</v>
      </c>
      <c r="K448">
        <v>0</v>
      </c>
      <c r="L448" t="s">
        <v>78</v>
      </c>
      <c r="M448" t="s">
        <v>78</v>
      </c>
      <c r="N448" t="s">
        <v>78</v>
      </c>
      <c r="O448">
        <v>0</v>
      </c>
      <c r="P448">
        <v>0</v>
      </c>
      <c r="Q448">
        <v>0</v>
      </c>
      <c r="R448" t="s">
        <v>79</v>
      </c>
      <c r="S448">
        <v>0</v>
      </c>
      <c r="T448" t="s">
        <v>80</v>
      </c>
      <c r="U448" t="s">
        <v>80</v>
      </c>
      <c r="V448" t="s">
        <v>574</v>
      </c>
      <c r="W448" t="s">
        <v>574</v>
      </c>
      <c r="X448" t="s">
        <v>1428</v>
      </c>
      <c r="Y448" t="s">
        <v>3052</v>
      </c>
      <c r="Z448" t="s">
        <v>80</v>
      </c>
      <c r="AA448" t="s">
        <v>85</v>
      </c>
      <c r="AC448" t="s">
        <v>3053</v>
      </c>
      <c r="AD448" t="s">
        <v>87</v>
      </c>
      <c r="AF448" t="s">
        <v>3054</v>
      </c>
      <c r="AG448" t="s">
        <v>3055</v>
      </c>
      <c r="AH448" t="s">
        <v>91</v>
      </c>
      <c r="AI448" t="s">
        <v>92</v>
      </c>
      <c r="AJ448" t="s">
        <v>93</v>
      </c>
      <c r="AK448" t="s">
        <v>3056</v>
      </c>
      <c r="AL448" t="s">
        <v>95</v>
      </c>
      <c r="AM448" t="s">
        <v>96</v>
      </c>
      <c r="AN448" t="s">
        <v>97</v>
      </c>
      <c r="AO448" t="s">
        <v>98</v>
      </c>
      <c r="AP448" t="s">
        <v>78</v>
      </c>
      <c r="AQ448" t="s">
        <v>78</v>
      </c>
      <c r="AS448" t="s">
        <v>78</v>
      </c>
      <c r="AT448" t="s">
        <v>100</v>
      </c>
      <c r="AU448" t="s">
        <v>100</v>
      </c>
      <c r="AW448" t="s">
        <v>85</v>
      </c>
      <c r="AX448" t="s">
        <v>103</v>
      </c>
      <c r="AY448" t="s">
        <v>159</v>
      </c>
      <c r="AZ448" t="s">
        <v>103</v>
      </c>
      <c r="BA448" t="s">
        <v>102</v>
      </c>
      <c r="BB448" t="s">
        <v>78</v>
      </c>
      <c r="BC448" t="s">
        <v>78</v>
      </c>
      <c r="BD448" t="s">
        <v>3057</v>
      </c>
      <c r="BE448">
        <v>0</v>
      </c>
      <c r="BF448">
        <v>0</v>
      </c>
      <c r="BG448">
        <v>0</v>
      </c>
      <c r="BH448">
        <v>0</v>
      </c>
      <c r="BJ448" t="s">
        <v>85</v>
      </c>
      <c r="BP448" t="s">
        <v>78</v>
      </c>
      <c r="BQ448" t="s">
        <v>78</v>
      </c>
      <c r="BR448" t="s">
        <v>78</v>
      </c>
    </row>
    <row r="449" customFormat="1" spans="1:70">
      <c r="A449" t="s">
        <v>3058</v>
      </c>
      <c r="B449" t="s">
        <v>3058</v>
      </c>
      <c r="C449" t="s">
        <v>107</v>
      </c>
      <c r="D449" t="s">
        <v>135</v>
      </c>
      <c r="E449">
        <v>1</v>
      </c>
      <c r="F449" t="s">
        <v>109</v>
      </c>
      <c r="G449" t="s">
        <v>136</v>
      </c>
      <c r="H449">
        <v>289</v>
      </c>
      <c r="I449">
        <v>289</v>
      </c>
      <c r="J449">
        <v>0</v>
      </c>
      <c r="K449">
        <v>0</v>
      </c>
      <c r="L449" t="s">
        <v>78</v>
      </c>
      <c r="M449" t="s">
        <v>78</v>
      </c>
      <c r="N449" t="s">
        <v>78</v>
      </c>
      <c r="O449">
        <v>0</v>
      </c>
      <c r="P449">
        <v>0</v>
      </c>
      <c r="Q449">
        <v>0</v>
      </c>
      <c r="R449" t="s">
        <v>111</v>
      </c>
      <c r="S449">
        <v>0</v>
      </c>
      <c r="T449" t="s">
        <v>80</v>
      </c>
      <c r="U449" t="s">
        <v>80</v>
      </c>
      <c r="V449" t="s">
        <v>302</v>
      </c>
      <c r="W449" t="s">
        <v>1358</v>
      </c>
      <c r="X449" t="s">
        <v>3059</v>
      </c>
      <c r="Y449" t="s">
        <v>1547</v>
      </c>
      <c r="Z449" t="s">
        <v>80</v>
      </c>
      <c r="AA449" t="s">
        <v>85</v>
      </c>
      <c r="AC449" t="s">
        <v>3060</v>
      </c>
      <c r="AD449" t="s">
        <v>87</v>
      </c>
      <c r="AF449" t="s">
        <v>2853</v>
      </c>
      <c r="AG449" t="s">
        <v>3061</v>
      </c>
      <c r="AH449" t="s">
        <v>91</v>
      </c>
      <c r="AI449" t="s">
        <v>92</v>
      </c>
      <c r="AJ449" t="s">
        <v>93</v>
      </c>
      <c r="AK449" t="s">
        <v>3062</v>
      </c>
      <c r="AL449" t="s">
        <v>95</v>
      </c>
      <c r="AM449" t="s">
        <v>96</v>
      </c>
      <c r="AN449" t="s">
        <v>97</v>
      </c>
      <c r="AO449" t="s">
        <v>98</v>
      </c>
      <c r="AP449" t="s">
        <v>78</v>
      </c>
      <c r="AQ449" t="s">
        <v>78</v>
      </c>
      <c r="AS449" t="s">
        <v>78</v>
      </c>
      <c r="AT449" t="s">
        <v>100</v>
      </c>
      <c r="AU449" t="s">
        <v>100</v>
      </c>
      <c r="AW449" t="s">
        <v>85</v>
      </c>
      <c r="AX449" t="s">
        <v>101</v>
      </c>
      <c r="AY449" t="s">
        <v>102</v>
      </c>
      <c r="AZ449" t="s">
        <v>103</v>
      </c>
      <c r="BA449" t="s">
        <v>133</v>
      </c>
      <c r="BB449" t="s">
        <v>78</v>
      </c>
      <c r="BC449" t="s">
        <v>78</v>
      </c>
      <c r="BD449" t="s">
        <v>2850</v>
      </c>
      <c r="BE449">
        <v>0</v>
      </c>
      <c r="BF449">
        <v>0</v>
      </c>
      <c r="BG449">
        <v>0</v>
      </c>
      <c r="BH449">
        <v>0</v>
      </c>
      <c r="BJ449" t="s">
        <v>85</v>
      </c>
      <c r="BP449" t="s">
        <v>78</v>
      </c>
      <c r="BQ449" t="s">
        <v>78</v>
      </c>
      <c r="BR449" t="s">
        <v>78</v>
      </c>
    </row>
    <row r="450" customFormat="1" spans="1:70">
      <c r="A450" t="s">
        <v>3063</v>
      </c>
      <c r="B450" t="s">
        <v>3063</v>
      </c>
      <c r="C450" t="s">
        <v>107</v>
      </c>
      <c r="D450" t="s">
        <v>108</v>
      </c>
      <c r="E450">
        <v>1</v>
      </c>
      <c r="F450" t="s">
        <v>109</v>
      </c>
      <c r="G450" t="s">
        <v>110</v>
      </c>
      <c r="H450">
        <v>289</v>
      </c>
      <c r="I450">
        <v>289</v>
      </c>
      <c r="J450">
        <v>0</v>
      </c>
      <c r="K450">
        <v>0</v>
      </c>
      <c r="L450" t="s">
        <v>78</v>
      </c>
      <c r="M450" t="s">
        <v>78</v>
      </c>
      <c r="N450" t="s">
        <v>78</v>
      </c>
      <c r="O450">
        <v>0</v>
      </c>
      <c r="P450">
        <v>0</v>
      </c>
      <c r="Q450">
        <v>0</v>
      </c>
      <c r="R450" t="s">
        <v>125</v>
      </c>
      <c r="S450">
        <v>0</v>
      </c>
      <c r="T450" t="s">
        <v>80</v>
      </c>
      <c r="U450" t="s">
        <v>80</v>
      </c>
      <c r="V450" t="s">
        <v>271</v>
      </c>
      <c r="W450" t="s">
        <v>717</v>
      </c>
      <c r="X450" t="s">
        <v>1041</v>
      </c>
      <c r="Y450" t="s">
        <v>3064</v>
      </c>
      <c r="Z450" t="s">
        <v>80</v>
      </c>
      <c r="AA450" t="s">
        <v>85</v>
      </c>
      <c r="AC450" t="s">
        <v>3065</v>
      </c>
      <c r="AD450" t="s">
        <v>202</v>
      </c>
      <c r="AE450" t="s">
        <v>3066</v>
      </c>
      <c r="AG450" t="s">
        <v>3060</v>
      </c>
      <c r="AH450" t="s">
        <v>401</v>
      </c>
      <c r="AI450" t="s">
        <v>92</v>
      </c>
      <c r="AJ450" t="s">
        <v>131</v>
      </c>
      <c r="AK450" t="s">
        <v>3067</v>
      </c>
      <c r="AL450" t="s">
        <v>95</v>
      </c>
      <c r="AM450" t="s">
        <v>96</v>
      </c>
      <c r="AN450" t="s">
        <v>97</v>
      </c>
      <c r="AO450" t="s">
        <v>98</v>
      </c>
      <c r="AP450" t="s">
        <v>78</v>
      </c>
      <c r="AQ450" t="s">
        <v>99</v>
      </c>
      <c r="AS450" t="s">
        <v>78</v>
      </c>
      <c r="AT450" t="s">
        <v>100</v>
      </c>
      <c r="AU450" t="s">
        <v>100</v>
      </c>
      <c r="AW450" t="s">
        <v>85</v>
      </c>
      <c r="AX450" t="s">
        <v>101</v>
      </c>
      <c r="AY450" t="s">
        <v>102</v>
      </c>
      <c r="AZ450" t="s">
        <v>103</v>
      </c>
      <c r="BA450" t="s">
        <v>102</v>
      </c>
      <c r="BB450" t="s">
        <v>78</v>
      </c>
      <c r="BC450" t="s">
        <v>78</v>
      </c>
      <c r="BD450" t="s">
        <v>3046</v>
      </c>
      <c r="BE450">
        <v>0</v>
      </c>
      <c r="BF450">
        <v>0</v>
      </c>
      <c r="BG450">
        <v>0</v>
      </c>
      <c r="BH450">
        <v>0</v>
      </c>
      <c r="BJ450" t="s">
        <v>85</v>
      </c>
      <c r="BP450" t="s">
        <v>78</v>
      </c>
      <c r="BQ450" t="s">
        <v>78</v>
      </c>
      <c r="BR450" t="s">
        <v>78</v>
      </c>
    </row>
    <row r="451" customFormat="1" spans="1:70">
      <c r="A451" t="s">
        <v>3068</v>
      </c>
      <c r="B451" t="s">
        <v>3068</v>
      </c>
      <c r="C451" t="s">
        <v>107</v>
      </c>
      <c r="D451" t="s">
        <v>108</v>
      </c>
      <c r="E451">
        <v>1</v>
      </c>
      <c r="F451" t="s">
        <v>109</v>
      </c>
      <c r="G451" t="s">
        <v>110</v>
      </c>
      <c r="H451">
        <v>289</v>
      </c>
      <c r="I451">
        <v>289</v>
      </c>
      <c r="J451">
        <v>0</v>
      </c>
      <c r="K451">
        <v>0</v>
      </c>
      <c r="L451" t="s">
        <v>78</v>
      </c>
      <c r="M451" t="s">
        <v>78</v>
      </c>
      <c r="N451" t="s">
        <v>78</v>
      </c>
      <c r="O451">
        <v>0</v>
      </c>
      <c r="P451">
        <v>0</v>
      </c>
      <c r="Q451">
        <v>0</v>
      </c>
      <c r="R451" t="s">
        <v>111</v>
      </c>
      <c r="S451">
        <v>0</v>
      </c>
      <c r="T451" t="s">
        <v>80</v>
      </c>
      <c r="U451" t="s">
        <v>80</v>
      </c>
      <c r="V451" t="s">
        <v>464</v>
      </c>
      <c r="W451" t="s">
        <v>3069</v>
      </c>
      <c r="X451" t="s">
        <v>3070</v>
      </c>
      <c r="Y451" t="s">
        <v>78</v>
      </c>
      <c r="Z451" t="s">
        <v>80</v>
      </c>
      <c r="AA451" t="s">
        <v>85</v>
      </c>
      <c r="AC451" t="s">
        <v>3071</v>
      </c>
      <c r="AD451" t="s">
        <v>87</v>
      </c>
      <c r="AF451" t="s">
        <v>3043</v>
      </c>
      <c r="AG451" t="s">
        <v>3072</v>
      </c>
      <c r="AH451" t="s">
        <v>91</v>
      </c>
      <c r="AI451" t="s">
        <v>92</v>
      </c>
      <c r="AJ451" t="s">
        <v>93</v>
      </c>
      <c r="AK451" t="s">
        <v>3073</v>
      </c>
      <c r="AL451" t="s">
        <v>95</v>
      </c>
      <c r="AM451" t="s">
        <v>96</v>
      </c>
      <c r="AN451" t="s">
        <v>97</v>
      </c>
      <c r="AO451" t="s">
        <v>98</v>
      </c>
      <c r="AP451" t="s">
        <v>78</v>
      </c>
      <c r="AQ451" t="s">
        <v>78</v>
      </c>
      <c r="AS451" t="s">
        <v>78</v>
      </c>
      <c r="AT451" t="s">
        <v>100</v>
      </c>
      <c r="AU451" t="s">
        <v>100</v>
      </c>
      <c r="AW451" t="s">
        <v>85</v>
      </c>
      <c r="AX451" t="s">
        <v>101</v>
      </c>
      <c r="AY451" t="s">
        <v>102</v>
      </c>
      <c r="AZ451" t="s">
        <v>103</v>
      </c>
      <c r="BA451" t="s">
        <v>133</v>
      </c>
      <c r="BB451" t="s">
        <v>78</v>
      </c>
      <c r="BC451" t="s">
        <v>78</v>
      </c>
      <c r="BD451" t="s">
        <v>3046</v>
      </c>
      <c r="BE451">
        <v>0</v>
      </c>
      <c r="BF451">
        <v>0</v>
      </c>
      <c r="BG451">
        <v>0</v>
      </c>
      <c r="BH451">
        <v>0</v>
      </c>
      <c r="BJ451" t="s">
        <v>85</v>
      </c>
      <c r="BP451" t="s">
        <v>78</v>
      </c>
      <c r="BQ451" t="s">
        <v>78</v>
      </c>
      <c r="BR451" t="s">
        <v>78</v>
      </c>
    </row>
    <row r="452" customFormat="1" spans="1:70">
      <c r="A452" t="s">
        <v>3074</v>
      </c>
      <c r="B452" t="s">
        <v>3074</v>
      </c>
      <c r="C452" t="s">
        <v>107</v>
      </c>
      <c r="D452" t="s">
        <v>135</v>
      </c>
      <c r="E452">
        <v>1</v>
      </c>
      <c r="F452" t="s">
        <v>109</v>
      </c>
      <c r="G452" t="s">
        <v>136</v>
      </c>
      <c r="H452">
        <v>289</v>
      </c>
      <c r="I452">
        <v>289</v>
      </c>
      <c r="J452">
        <v>0</v>
      </c>
      <c r="K452">
        <v>0</v>
      </c>
      <c r="L452" t="s">
        <v>78</v>
      </c>
      <c r="M452" t="s">
        <v>78</v>
      </c>
      <c r="N452" t="s">
        <v>78</v>
      </c>
      <c r="O452">
        <v>0</v>
      </c>
      <c r="P452">
        <v>0</v>
      </c>
      <c r="Q452">
        <v>0</v>
      </c>
      <c r="R452" t="s">
        <v>79</v>
      </c>
      <c r="S452">
        <v>0</v>
      </c>
      <c r="T452" t="s">
        <v>80</v>
      </c>
      <c r="U452" t="s">
        <v>80</v>
      </c>
      <c r="V452" t="s">
        <v>161</v>
      </c>
      <c r="W452" t="s">
        <v>161</v>
      </c>
      <c r="X452" t="s">
        <v>162</v>
      </c>
      <c r="Y452" t="s">
        <v>700</v>
      </c>
      <c r="Z452" t="s">
        <v>80</v>
      </c>
      <c r="AA452" t="s">
        <v>85</v>
      </c>
      <c r="AC452" t="s">
        <v>3075</v>
      </c>
      <c r="AD452" t="s">
        <v>87</v>
      </c>
      <c r="AF452" t="s">
        <v>2853</v>
      </c>
      <c r="AG452" t="s">
        <v>3076</v>
      </c>
      <c r="AH452" t="s">
        <v>91</v>
      </c>
      <c r="AI452" t="s">
        <v>92</v>
      </c>
      <c r="AJ452" t="s">
        <v>93</v>
      </c>
      <c r="AK452" t="s">
        <v>3077</v>
      </c>
      <c r="AL452" t="s">
        <v>95</v>
      </c>
      <c r="AM452" t="s">
        <v>96</v>
      </c>
      <c r="AN452" t="s">
        <v>97</v>
      </c>
      <c r="AO452" t="s">
        <v>98</v>
      </c>
      <c r="AP452" t="s">
        <v>78</v>
      </c>
      <c r="AQ452" t="s">
        <v>78</v>
      </c>
      <c r="AS452" t="s">
        <v>78</v>
      </c>
      <c r="AT452" t="s">
        <v>100</v>
      </c>
      <c r="AU452" t="s">
        <v>100</v>
      </c>
      <c r="AW452" t="s">
        <v>85</v>
      </c>
      <c r="AX452" t="s">
        <v>101</v>
      </c>
      <c r="AY452" t="s">
        <v>102</v>
      </c>
      <c r="AZ452" t="s">
        <v>103</v>
      </c>
      <c r="BA452" t="s">
        <v>104</v>
      </c>
      <c r="BB452" t="s">
        <v>78</v>
      </c>
      <c r="BC452" t="s">
        <v>78</v>
      </c>
      <c r="BD452" t="s">
        <v>2850</v>
      </c>
      <c r="BE452">
        <v>0</v>
      </c>
      <c r="BF452">
        <v>0</v>
      </c>
      <c r="BG452">
        <v>0</v>
      </c>
      <c r="BH452">
        <v>0</v>
      </c>
      <c r="BJ452" t="s">
        <v>85</v>
      </c>
      <c r="BP452" t="s">
        <v>78</v>
      </c>
      <c r="BQ452" t="s">
        <v>78</v>
      </c>
      <c r="BR452" t="s">
        <v>78</v>
      </c>
    </row>
    <row r="453" customFormat="1" spans="1:70">
      <c r="A453" t="s">
        <v>3078</v>
      </c>
      <c r="B453" t="s">
        <v>3078</v>
      </c>
      <c r="C453" t="s">
        <v>107</v>
      </c>
      <c r="D453" t="s">
        <v>108</v>
      </c>
      <c r="E453">
        <v>1</v>
      </c>
      <c r="F453" t="s">
        <v>109</v>
      </c>
      <c r="G453" t="s">
        <v>110</v>
      </c>
      <c r="H453">
        <v>289</v>
      </c>
      <c r="I453">
        <v>289</v>
      </c>
      <c r="J453">
        <v>0</v>
      </c>
      <c r="K453">
        <v>0</v>
      </c>
      <c r="L453" t="s">
        <v>78</v>
      </c>
      <c r="M453" t="s">
        <v>78</v>
      </c>
      <c r="N453" t="s">
        <v>78</v>
      </c>
      <c r="O453">
        <v>0</v>
      </c>
      <c r="P453">
        <v>0</v>
      </c>
      <c r="Q453">
        <v>0</v>
      </c>
      <c r="R453" t="s">
        <v>79</v>
      </c>
      <c r="S453">
        <v>0</v>
      </c>
      <c r="T453" t="s">
        <v>80</v>
      </c>
      <c r="U453" t="s">
        <v>80</v>
      </c>
      <c r="V453" t="s">
        <v>574</v>
      </c>
      <c r="W453" t="s">
        <v>574</v>
      </c>
      <c r="X453" t="s">
        <v>575</v>
      </c>
      <c r="Y453" t="s">
        <v>3079</v>
      </c>
      <c r="Z453" t="s">
        <v>80</v>
      </c>
      <c r="AA453" t="s">
        <v>85</v>
      </c>
      <c r="AC453" t="s">
        <v>3080</v>
      </c>
      <c r="AD453" t="s">
        <v>202</v>
      </c>
      <c r="AE453" t="s">
        <v>3081</v>
      </c>
      <c r="AF453" t="s">
        <v>3043</v>
      </c>
      <c r="AG453" t="s">
        <v>3082</v>
      </c>
      <c r="AH453" t="s">
        <v>91</v>
      </c>
      <c r="AI453" t="s">
        <v>92</v>
      </c>
      <c r="AJ453" t="s">
        <v>93</v>
      </c>
      <c r="AK453" t="s">
        <v>3083</v>
      </c>
      <c r="AL453" t="s">
        <v>95</v>
      </c>
      <c r="AM453" t="s">
        <v>96</v>
      </c>
      <c r="AN453" t="s">
        <v>97</v>
      </c>
      <c r="AO453" t="s">
        <v>98</v>
      </c>
      <c r="AP453" t="s">
        <v>78</v>
      </c>
      <c r="AQ453" t="s">
        <v>99</v>
      </c>
      <c r="AS453" t="s">
        <v>78</v>
      </c>
      <c r="AT453" t="s">
        <v>100</v>
      </c>
      <c r="AU453" t="s">
        <v>100</v>
      </c>
      <c r="AW453" t="s">
        <v>85</v>
      </c>
      <c r="AX453" t="s">
        <v>101</v>
      </c>
      <c r="AY453" t="s">
        <v>102</v>
      </c>
      <c r="AZ453" t="s">
        <v>103</v>
      </c>
      <c r="BA453" t="s">
        <v>120</v>
      </c>
      <c r="BB453" t="s">
        <v>78</v>
      </c>
      <c r="BC453" t="s">
        <v>78</v>
      </c>
      <c r="BD453" t="s">
        <v>3046</v>
      </c>
      <c r="BE453">
        <v>0</v>
      </c>
      <c r="BF453">
        <v>0</v>
      </c>
      <c r="BG453">
        <v>0</v>
      </c>
      <c r="BH453">
        <v>0</v>
      </c>
      <c r="BJ453" t="s">
        <v>85</v>
      </c>
      <c r="BP453" t="s">
        <v>78</v>
      </c>
      <c r="BQ453" t="s">
        <v>78</v>
      </c>
      <c r="BR453" t="s">
        <v>78</v>
      </c>
    </row>
    <row r="454" customFormat="1" spans="1:70">
      <c r="A454" t="s">
        <v>3084</v>
      </c>
      <c r="B454" t="s">
        <v>3084</v>
      </c>
      <c r="C454" t="s">
        <v>1092</v>
      </c>
      <c r="D454" t="s">
        <v>3085</v>
      </c>
      <c r="E454">
        <v>1</v>
      </c>
      <c r="F454" t="s">
        <v>1093</v>
      </c>
      <c r="G454" t="s">
        <v>3086</v>
      </c>
      <c r="H454">
        <v>289</v>
      </c>
      <c r="I454">
        <v>289</v>
      </c>
      <c r="J454">
        <v>0</v>
      </c>
      <c r="K454">
        <v>0</v>
      </c>
      <c r="L454" t="s">
        <v>78</v>
      </c>
      <c r="M454" t="s">
        <v>78</v>
      </c>
      <c r="N454" t="s">
        <v>78</v>
      </c>
      <c r="O454">
        <v>0</v>
      </c>
      <c r="P454">
        <v>0</v>
      </c>
      <c r="Q454">
        <v>0</v>
      </c>
      <c r="R454" t="s">
        <v>125</v>
      </c>
      <c r="S454">
        <v>0</v>
      </c>
      <c r="T454" t="s">
        <v>80</v>
      </c>
      <c r="U454" t="s">
        <v>80</v>
      </c>
      <c r="V454" t="s">
        <v>112</v>
      </c>
      <c r="W454" t="s">
        <v>3087</v>
      </c>
      <c r="X454" t="s">
        <v>3088</v>
      </c>
      <c r="Y454" t="s">
        <v>3089</v>
      </c>
      <c r="Z454" t="s">
        <v>80</v>
      </c>
      <c r="AA454" t="s">
        <v>85</v>
      </c>
      <c r="AC454" t="s">
        <v>3090</v>
      </c>
      <c r="AD454" t="s">
        <v>87</v>
      </c>
      <c r="AF454" t="s">
        <v>3091</v>
      </c>
      <c r="AG454" t="s">
        <v>3092</v>
      </c>
      <c r="AH454" t="s">
        <v>91</v>
      </c>
      <c r="AI454" t="s">
        <v>92</v>
      </c>
      <c r="AJ454" t="s">
        <v>93</v>
      </c>
      <c r="AK454" t="s">
        <v>3093</v>
      </c>
      <c r="AL454" t="s">
        <v>95</v>
      </c>
      <c r="AM454" t="s">
        <v>96</v>
      </c>
      <c r="AN454" t="s">
        <v>97</v>
      </c>
      <c r="AO454" t="s">
        <v>98</v>
      </c>
      <c r="AP454" t="s">
        <v>78</v>
      </c>
      <c r="AQ454" t="s">
        <v>78</v>
      </c>
      <c r="AS454" t="s">
        <v>78</v>
      </c>
      <c r="AT454" t="s">
        <v>100</v>
      </c>
      <c r="AU454" t="s">
        <v>100</v>
      </c>
      <c r="AW454" t="s">
        <v>85</v>
      </c>
      <c r="AX454" t="s">
        <v>103</v>
      </c>
      <c r="AY454" t="s">
        <v>159</v>
      </c>
      <c r="AZ454" t="s">
        <v>103</v>
      </c>
      <c r="BA454" t="s">
        <v>104</v>
      </c>
      <c r="BB454" t="s">
        <v>78</v>
      </c>
      <c r="BC454" t="s">
        <v>78</v>
      </c>
      <c r="BD454" t="s">
        <v>3094</v>
      </c>
      <c r="BE454">
        <v>0</v>
      </c>
      <c r="BF454">
        <v>0</v>
      </c>
      <c r="BG454">
        <v>0</v>
      </c>
      <c r="BH454">
        <v>0</v>
      </c>
      <c r="BJ454" t="s">
        <v>85</v>
      </c>
      <c r="BP454" t="s">
        <v>78</v>
      </c>
      <c r="BQ454" t="s">
        <v>78</v>
      </c>
      <c r="BR454" t="s">
        <v>78</v>
      </c>
    </row>
    <row r="455" customFormat="1" spans="1:70">
      <c r="A455" t="s">
        <v>3095</v>
      </c>
      <c r="B455" t="s">
        <v>3095</v>
      </c>
      <c r="C455" t="s">
        <v>107</v>
      </c>
      <c r="D455" t="s">
        <v>108</v>
      </c>
      <c r="E455">
        <v>1</v>
      </c>
      <c r="F455" t="s">
        <v>109</v>
      </c>
      <c r="G455" t="s">
        <v>110</v>
      </c>
      <c r="H455">
        <v>289</v>
      </c>
      <c r="I455">
        <v>289</v>
      </c>
      <c r="J455">
        <v>0</v>
      </c>
      <c r="K455">
        <v>0</v>
      </c>
      <c r="L455" t="s">
        <v>78</v>
      </c>
      <c r="M455" t="s">
        <v>78</v>
      </c>
      <c r="N455" t="s">
        <v>78</v>
      </c>
      <c r="O455">
        <v>0</v>
      </c>
      <c r="P455">
        <v>0</v>
      </c>
      <c r="Q455">
        <v>0</v>
      </c>
      <c r="R455" t="s">
        <v>125</v>
      </c>
      <c r="S455">
        <v>0</v>
      </c>
      <c r="T455" t="s">
        <v>80</v>
      </c>
      <c r="U455" t="s">
        <v>80</v>
      </c>
      <c r="V455" t="s">
        <v>509</v>
      </c>
      <c r="W455" t="s">
        <v>510</v>
      </c>
      <c r="X455" t="s">
        <v>511</v>
      </c>
      <c r="Y455" t="s">
        <v>512</v>
      </c>
      <c r="Z455" t="s">
        <v>80</v>
      </c>
      <c r="AA455" t="s">
        <v>85</v>
      </c>
      <c r="AC455" t="s">
        <v>3096</v>
      </c>
      <c r="AD455" t="s">
        <v>87</v>
      </c>
      <c r="AH455" t="s">
        <v>91</v>
      </c>
      <c r="AI455" t="s">
        <v>92</v>
      </c>
      <c r="AJ455" t="s">
        <v>131</v>
      </c>
      <c r="AK455" t="s">
        <v>3097</v>
      </c>
      <c r="AL455" t="s">
        <v>95</v>
      </c>
      <c r="AM455" t="s">
        <v>96</v>
      </c>
      <c r="AN455" t="s">
        <v>97</v>
      </c>
      <c r="AO455" t="s">
        <v>98</v>
      </c>
      <c r="AP455" t="s">
        <v>78</v>
      </c>
      <c r="AQ455" t="s">
        <v>78</v>
      </c>
      <c r="AR455" t="s">
        <v>1959</v>
      </c>
      <c r="AS455" t="s">
        <v>78</v>
      </c>
      <c r="AT455" t="s">
        <v>100</v>
      </c>
      <c r="AU455" t="s">
        <v>100</v>
      </c>
      <c r="AW455" t="s">
        <v>85</v>
      </c>
      <c r="AX455" t="s">
        <v>101</v>
      </c>
      <c r="AY455" t="s">
        <v>102</v>
      </c>
      <c r="AZ455" t="s">
        <v>103</v>
      </c>
      <c r="BA455" t="s">
        <v>133</v>
      </c>
      <c r="BB455" t="s">
        <v>78</v>
      </c>
      <c r="BC455" t="s">
        <v>78</v>
      </c>
      <c r="BE455">
        <v>0</v>
      </c>
      <c r="BF455">
        <v>0</v>
      </c>
      <c r="BG455">
        <v>0</v>
      </c>
      <c r="BH455">
        <v>0</v>
      </c>
      <c r="BJ455" t="s">
        <v>85</v>
      </c>
      <c r="BP455" t="s">
        <v>78</v>
      </c>
      <c r="BQ455" t="s">
        <v>78</v>
      </c>
      <c r="BR455" t="s">
        <v>78</v>
      </c>
    </row>
    <row r="456" customFormat="1" spans="1:70">
      <c r="A456" t="s">
        <v>3098</v>
      </c>
      <c r="B456" t="s">
        <v>3098</v>
      </c>
      <c r="C456" t="s">
        <v>107</v>
      </c>
      <c r="D456" t="s">
        <v>108</v>
      </c>
      <c r="E456">
        <v>1</v>
      </c>
      <c r="F456" t="s">
        <v>109</v>
      </c>
      <c r="G456" t="s">
        <v>110</v>
      </c>
      <c r="H456">
        <v>289</v>
      </c>
      <c r="I456">
        <v>289</v>
      </c>
      <c r="J456">
        <v>0</v>
      </c>
      <c r="K456">
        <v>0</v>
      </c>
      <c r="L456" t="s">
        <v>78</v>
      </c>
      <c r="M456" t="s">
        <v>78</v>
      </c>
      <c r="N456" t="s">
        <v>78</v>
      </c>
      <c r="O456">
        <v>0</v>
      </c>
      <c r="P456">
        <v>0</v>
      </c>
      <c r="Q456">
        <v>0</v>
      </c>
      <c r="R456" t="s">
        <v>125</v>
      </c>
      <c r="S456">
        <v>0</v>
      </c>
      <c r="T456" t="s">
        <v>80</v>
      </c>
      <c r="U456" t="s">
        <v>80</v>
      </c>
      <c r="V456" t="s">
        <v>112</v>
      </c>
      <c r="W456" t="s">
        <v>3087</v>
      </c>
      <c r="X456" t="s">
        <v>3088</v>
      </c>
      <c r="Y456" t="s">
        <v>3089</v>
      </c>
      <c r="Z456" t="s">
        <v>80</v>
      </c>
      <c r="AA456" t="s">
        <v>85</v>
      </c>
      <c r="AC456" t="s">
        <v>3099</v>
      </c>
      <c r="AD456" t="s">
        <v>87</v>
      </c>
      <c r="AF456" t="s">
        <v>3043</v>
      </c>
      <c r="AG456" t="s">
        <v>3100</v>
      </c>
      <c r="AH456" t="s">
        <v>91</v>
      </c>
      <c r="AI456" t="s">
        <v>92</v>
      </c>
      <c r="AJ456" t="s">
        <v>93</v>
      </c>
      <c r="AK456" t="s">
        <v>3101</v>
      </c>
      <c r="AL456" t="s">
        <v>95</v>
      </c>
      <c r="AM456" t="s">
        <v>96</v>
      </c>
      <c r="AN456" t="s">
        <v>97</v>
      </c>
      <c r="AO456" t="s">
        <v>98</v>
      </c>
      <c r="AP456" t="s">
        <v>78</v>
      </c>
      <c r="AQ456" t="s">
        <v>78</v>
      </c>
      <c r="AS456" t="s">
        <v>78</v>
      </c>
      <c r="AT456" t="s">
        <v>100</v>
      </c>
      <c r="AU456" t="s">
        <v>100</v>
      </c>
      <c r="AW456" t="s">
        <v>85</v>
      </c>
      <c r="AX456" t="s">
        <v>103</v>
      </c>
      <c r="AY456" t="s">
        <v>159</v>
      </c>
      <c r="AZ456" t="s">
        <v>103</v>
      </c>
      <c r="BA456" t="s">
        <v>104</v>
      </c>
      <c r="BB456" t="s">
        <v>78</v>
      </c>
      <c r="BC456" t="s">
        <v>78</v>
      </c>
      <c r="BD456" t="s">
        <v>3046</v>
      </c>
      <c r="BE456">
        <v>0</v>
      </c>
      <c r="BF456">
        <v>0</v>
      </c>
      <c r="BG456">
        <v>0</v>
      </c>
      <c r="BH456">
        <v>0</v>
      </c>
      <c r="BJ456" t="s">
        <v>85</v>
      </c>
      <c r="BP456" t="s">
        <v>78</v>
      </c>
      <c r="BQ456" t="s">
        <v>78</v>
      </c>
      <c r="BR456" t="s">
        <v>78</v>
      </c>
    </row>
    <row r="457" customFormat="1" spans="1:70">
      <c r="A457" t="s">
        <v>3102</v>
      </c>
      <c r="B457" t="s">
        <v>3102</v>
      </c>
      <c r="C457" t="s">
        <v>107</v>
      </c>
      <c r="D457" t="s">
        <v>108</v>
      </c>
      <c r="E457">
        <v>1</v>
      </c>
      <c r="F457" t="s">
        <v>109</v>
      </c>
      <c r="G457" t="s">
        <v>110</v>
      </c>
      <c r="H457">
        <v>289</v>
      </c>
      <c r="I457">
        <v>289</v>
      </c>
      <c r="J457">
        <v>0</v>
      </c>
      <c r="K457">
        <v>0</v>
      </c>
      <c r="L457" t="s">
        <v>78</v>
      </c>
      <c r="M457" t="s">
        <v>78</v>
      </c>
      <c r="N457" t="s">
        <v>78</v>
      </c>
      <c r="O457">
        <v>0</v>
      </c>
      <c r="P457">
        <v>0</v>
      </c>
      <c r="Q457">
        <v>0</v>
      </c>
      <c r="R457" t="s">
        <v>79</v>
      </c>
      <c r="S457">
        <v>0</v>
      </c>
      <c r="T457" t="s">
        <v>80</v>
      </c>
      <c r="U457" t="s">
        <v>80</v>
      </c>
      <c r="V457" t="s">
        <v>302</v>
      </c>
      <c r="W457" t="s">
        <v>1394</v>
      </c>
      <c r="X457" t="s">
        <v>2696</v>
      </c>
      <c r="Y457" t="s">
        <v>2697</v>
      </c>
      <c r="Z457" t="s">
        <v>80</v>
      </c>
      <c r="AA457" t="s">
        <v>85</v>
      </c>
      <c r="AC457" t="s">
        <v>3103</v>
      </c>
      <c r="AD457" t="s">
        <v>87</v>
      </c>
      <c r="AF457" t="s">
        <v>3043</v>
      </c>
      <c r="AG457" t="s">
        <v>3104</v>
      </c>
      <c r="AH457" t="s">
        <v>2699</v>
      </c>
      <c r="AI457" t="s">
        <v>92</v>
      </c>
      <c r="AJ457" t="s">
        <v>93</v>
      </c>
      <c r="AK457" t="s">
        <v>3105</v>
      </c>
      <c r="AL457" t="s">
        <v>95</v>
      </c>
      <c r="AM457" t="s">
        <v>96</v>
      </c>
      <c r="AN457" t="s">
        <v>97</v>
      </c>
      <c r="AO457" t="s">
        <v>98</v>
      </c>
      <c r="AP457" t="s">
        <v>78</v>
      </c>
      <c r="AQ457" t="s">
        <v>78</v>
      </c>
      <c r="AS457" t="s">
        <v>78</v>
      </c>
      <c r="AT457" t="s">
        <v>100</v>
      </c>
      <c r="AU457" t="s">
        <v>100</v>
      </c>
      <c r="AW457" t="s">
        <v>85</v>
      </c>
      <c r="AX457" t="s">
        <v>101</v>
      </c>
      <c r="AY457" t="s">
        <v>102</v>
      </c>
      <c r="AZ457" t="s">
        <v>103</v>
      </c>
      <c r="BA457" t="s">
        <v>102</v>
      </c>
      <c r="BB457" t="s">
        <v>78</v>
      </c>
      <c r="BC457" t="s">
        <v>78</v>
      </c>
      <c r="BD457" t="s">
        <v>3046</v>
      </c>
      <c r="BE457">
        <v>0</v>
      </c>
      <c r="BF457">
        <v>0</v>
      </c>
      <c r="BG457">
        <v>0</v>
      </c>
      <c r="BH457">
        <v>0</v>
      </c>
      <c r="BJ457" t="s">
        <v>85</v>
      </c>
      <c r="BP457" t="s">
        <v>78</v>
      </c>
      <c r="BQ457" t="s">
        <v>78</v>
      </c>
      <c r="BR457" t="s">
        <v>78</v>
      </c>
    </row>
    <row r="458" customFormat="1" spans="1:70">
      <c r="A458" t="s">
        <v>3106</v>
      </c>
      <c r="B458" t="s">
        <v>3106</v>
      </c>
      <c r="C458" t="s">
        <v>1092</v>
      </c>
      <c r="D458" t="s">
        <v>108</v>
      </c>
      <c r="E458">
        <v>1</v>
      </c>
      <c r="F458" t="s">
        <v>1093</v>
      </c>
      <c r="G458" t="s">
        <v>1094</v>
      </c>
      <c r="H458">
        <v>289</v>
      </c>
      <c r="I458">
        <v>289</v>
      </c>
      <c r="J458">
        <v>0</v>
      </c>
      <c r="K458">
        <v>0</v>
      </c>
      <c r="L458" t="s">
        <v>78</v>
      </c>
      <c r="M458" t="s">
        <v>78</v>
      </c>
      <c r="N458" t="s">
        <v>78</v>
      </c>
      <c r="O458">
        <v>0</v>
      </c>
      <c r="P458">
        <v>0</v>
      </c>
      <c r="Q458">
        <v>0</v>
      </c>
      <c r="R458" t="s">
        <v>125</v>
      </c>
      <c r="S458">
        <v>0</v>
      </c>
      <c r="T458" t="s">
        <v>80</v>
      </c>
      <c r="U458" t="s">
        <v>80</v>
      </c>
      <c r="V458" t="s">
        <v>271</v>
      </c>
      <c r="W458" t="s">
        <v>717</v>
      </c>
      <c r="X458" t="s">
        <v>1041</v>
      </c>
      <c r="Y458" t="s">
        <v>3064</v>
      </c>
      <c r="Z458" t="s">
        <v>80</v>
      </c>
      <c r="AA458" t="s">
        <v>85</v>
      </c>
      <c r="AC458" t="s">
        <v>3107</v>
      </c>
      <c r="AD458" t="s">
        <v>87</v>
      </c>
      <c r="AG458" t="s">
        <v>3108</v>
      </c>
      <c r="AH458" t="s">
        <v>401</v>
      </c>
      <c r="AI458" t="s">
        <v>92</v>
      </c>
      <c r="AJ458" t="s">
        <v>131</v>
      </c>
      <c r="AK458" t="s">
        <v>3109</v>
      </c>
      <c r="AL458" t="s">
        <v>95</v>
      </c>
      <c r="AM458" t="s">
        <v>96</v>
      </c>
      <c r="AN458" t="s">
        <v>97</v>
      </c>
      <c r="AO458" t="s">
        <v>98</v>
      </c>
      <c r="AP458" t="s">
        <v>78</v>
      </c>
      <c r="AQ458" t="s">
        <v>99</v>
      </c>
      <c r="AS458" t="s">
        <v>78</v>
      </c>
      <c r="AT458" t="s">
        <v>100</v>
      </c>
      <c r="AU458" t="s">
        <v>100</v>
      </c>
      <c r="AW458" t="s">
        <v>85</v>
      </c>
      <c r="AX458" t="s">
        <v>101</v>
      </c>
      <c r="AY458" t="s">
        <v>102</v>
      </c>
      <c r="AZ458" t="s">
        <v>103</v>
      </c>
      <c r="BA458" t="s">
        <v>102</v>
      </c>
      <c r="BB458" t="s">
        <v>78</v>
      </c>
      <c r="BC458" t="s">
        <v>78</v>
      </c>
      <c r="BE458">
        <v>0</v>
      </c>
      <c r="BF458">
        <v>0</v>
      </c>
      <c r="BG458">
        <v>0</v>
      </c>
      <c r="BH458">
        <v>0</v>
      </c>
      <c r="BJ458" t="s">
        <v>85</v>
      </c>
      <c r="BP458" t="s">
        <v>78</v>
      </c>
      <c r="BQ458" t="s">
        <v>78</v>
      </c>
      <c r="BR458" t="s">
        <v>78</v>
      </c>
    </row>
    <row r="459" customFormat="1" spans="1:70">
      <c r="A459" t="s">
        <v>3110</v>
      </c>
      <c r="B459" t="s">
        <v>3110</v>
      </c>
      <c r="C459" t="s">
        <v>1092</v>
      </c>
      <c r="D459" t="s">
        <v>3085</v>
      </c>
      <c r="E459">
        <v>1</v>
      </c>
      <c r="F459" t="s">
        <v>1093</v>
      </c>
      <c r="G459" t="s">
        <v>3086</v>
      </c>
      <c r="H459">
        <v>289</v>
      </c>
      <c r="I459">
        <v>289</v>
      </c>
      <c r="J459">
        <v>0</v>
      </c>
      <c r="K459">
        <v>0</v>
      </c>
      <c r="L459" t="s">
        <v>78</v>
      </c>
      <c r="M459" t="s">
        <v>78</v>
      </c>
      <c r="N459" t="s">
        <v>78</v>
      </c>
      <c r="O459">
        <v>0</v>
      </c>
      <c r="P459">
        <v>0</v>
      </c>
      <c r="Q459">
        <v>0</v>
      </c>
      <c r="R459" t="s">
        <v>125</v>
      </c>
      <c r="S459">
        <v>0</v>
      </c>
      <c r="T459" t="s">
        <v>80</v>
      </c>
      <c r="U459" t="s">
        <v>80</v>
      </c>
      <c r="V459" t="s">
        <v>167</v>
      </c>
      <c r="W459" t="s">
        <v>285</v>
      </c>
      <c r="X459" t="s">
        <v>1284</v>
      </c>
      <c r="Y459" t="s">
        <v>3111</v>
      </c>
      <c r="Z459" t="s">
        <v>80</v>
      </c>
      <c r="AA459" t="s">
        <v>85</v>
      </c>
      <c r="AC459" t="s">
        <v>3112</v>
      </c>
      <c r="AD459" t="s">
        <v>87</v>
      </c>
      <c r="AG459" t="s">
        <v>3113</v>
      </c>
      <c r="AH459" t="s">
        <v>91</v>
      </c>
      <c r="AI459" t="s">
        <v>92</v>
      </c>
      <c r="AJ459" t="s">
        <v>131</v>
      </c>
      <c r="AK459" t="s">
        <v>3109</v>
      </c>
      <c r="AL459" t="s">
        <v>95</v>
      </c>
      <c r="AM459" t="s">
        <v>96</v>
      </c>
      <c r="AN459" t="s">
        <v>97</v>
      </c>
      <c r="AO459" t="s">
        <v>98</v>
      </c>
      <c r="AP459" t="s">
        <v>78</v>
      </c>
      <c r="AQ459" t="s">
        <v>99</v>
      </c>
      <c r="AS459" t="s">
        <v>78</v>
      </c>
      <c r="AT459" t="s">
        <v>100</v>
      </c>
      <c r="AU459" t="s">
        <v>100</v>
      </c>
      <c r="AW459" t="s">
        <v>85</v>
      </c>
      <c r="AX459" t="s">
        <v>103</v>
      </c>
      <c r="AY459" t="s">
        <v>159</v>
      </c>
      <c r="AZ459" t="s">
        <v>103</v>
      </c>
      <c r="BA459" t="s">
        <v>104</v>
      </c>
      <c r="BB459" t="s">
        <v>78</v>
      </c>
      <c r="BC459" t="s">
        <v>78</v>
      </c>
      <c r="BE459">
        <v>0</v>
      </c>
      <c r="BF459">
        <v>0</v>
      </c>
      <c r="BG459">
        <v>0</v>
      </c>
      <c r="BH459">
        <v>0</v>
      </c>
      <c r="BJ459" t="s">
        <v>85</v>
      </c>
      <c r="BP459" t="s">
        <v>78</v>
      </c>
      <c r="BQ459" t="s">
        <v>78</v>
      </c>
      <c r="BR459" t="s">
        <v>78</v>
      </c>
    </row>
    <row r="460" customFormat="1" spans="1:70">
      <c r="A460" t="s">
        <v>3114</v>
      </c>
      <c r="B460" t="s">
        <v>3114</v>
      </c>
      <c r="C460" t="s">
        <v>1092</v>
      </c>
      <c r="D460" t="s">
        <v>108</v>
      </c>
      <c r="E460">
        <v>1</v>
      </c>
      <c r="F460" t="s">
        <v>1093</v>
      </c>
      <c r="G460" t="s">
        <v>1094</v>
      </c>
      <c r="H460">
        <v>289</v>
      </c>
      <c r="I460">
        <v>289</v>
      </c>
      <c r="J460">
        <v>0</v>
      </c>
      <c r="K460">
        <v>0</v>
      </c>
      <c r="L460" t="s">
        <v>78</v>
      </c>
      <c r="M460" t="s">
        <v>78</v>
      </c>
      <c r="N460" t="s">
        <v>78</v>
      </c>
      <c r="O460">
        <v>0</v>
      </c>
      <c r="P460">
        <v>0</v>
      </c>
      <c r="Q460">
        <v>0</v>
      </c>
      <c r="R460" t="s">
        <v>125</v>
      </c>
      <c r="S460">
        <v>0</v>
      </c>
      <c r="T460" t="s">
        <v>80</v>
      </c>
      <c r="U460" t="s">
        <v>80</v>
      </c>
      <c r="V460" t="s">
        <v>583</v>
      </c>
      <c r="W460" t="s">
        <v>584</v>
      </c>
      <c r="X460" t="s">
        <v>2988</v>
      </c>
      <c r="Y460" t="s">
        <v>2989</v>
      </c>
      <c r="Z460" t="s">
        <v>80</v>
      </c>
      <c r="AA460" t="s">
        <v>85</v>
      </c>
      <c r="AC460" t="s">
        <v>3115</v>
      </c>
      <c r="AD460" t="s">
        <v>87</v>
      </c>
      <c r="AG460" t="s">
        <v>3116</v>
      </c>
      <c r="AH460" t="s">
        <v>91</v>
      </c>
      <c r="AI460" t="s">
        <v>92</v>
      </c>
      <c r="AJ460" t="s">
        <v>131</v>
      </c>
      <c r="AK460" t="s">
        <v>3117</v>
      </c>
      <c r="AL460" t="s">
        <v>95</v>
      </c>
      <c r="AM460" t="s">
        <v>96</v>
      </c>
      <c r="AN460" t="s">
        <v>97</v>
      </c>
      <c r="AO460" t="s">
        <v>98</v>
      </c>
      <c r="AP460" t="s">
        <v>78</v>
      </c>
      <c r="AQ460" t="s">
        <v>99</v>
      </c>
      <c r="AS460" t="s">
        <v>78</v>
      </c>
      <c r="AT460" t="s">
        <v>100</v>
      </c>
      <c r="AU460" t="s">
        <v>100</v>
      </c>
      <c r="AW460" t="s">
        <v>85</v>
      </c>
      <c r="AX460" t="s">
        <v>101</v>
      </c>
      <c r="AY460" t="s">
        <v>102</v>
      </c>
      <c r="AZ460" t="s">
        <v>103</v>
      </c>
      <c r="BA460" t="s">
        <v>104</v>
      </c>
      <c r="BB460" t="s">
        <v>78</v>
      </c>
      <c r="BC460" t="s">
        <v>78</v>
      </c>
      <c r="BE460">
        <v>0</v>
      </c>
      <c r="BF460">
        <v>0</v>
      </c>
      <c r="BG460">
        <v>0</v>
      </c>
      <c r="BH460">
        <v>0</v>
      </c>
      <c r="BJ460" t="s">
        <v>85</v>
      </c>
      <c r="BP460" t="s">
        <v>78</v>
      </c>
      <c r="BQ460" t="s">
        <v>78</v>
      </c>
      <c r="BR460" t="s">
        <v>78</v>
      </c>
    </row>
    <row r="461" customFormat="1" spans="1:70">
      <c r="A461" t="s">
        <v>3118</v>
      </c>
      <c r="B461" t="s">
        <v>3118</v>
      </c>
      <c r="C461" t="s">
        <v>1092</v>
      </c>
      <c r="D461" t="s">
        <v>135</v>
      </c>
      <c r="E461">
        <v>1</v>
      </c>
      <c r="F461" t="s">
        <v>1093</v>
      </c>
      <c r="G461" t="s">
        <v>1357</v>
      </c>
      <c r="H461">
        <v>289</v>
      </c>
      <c r="I461">
        <v>289</v>
      </c>
      <c r="J461">
        <v>0</v>
      </c>
      <c r="K461">
        <v>0</v>
      </c>
      <c r="L461" t="s">
        <v>78</v>
      </c>
      <c r="M461" t="s">
        <v>78</v>
      </c>
      <c r="N461" t="s">
        <v>78</v>
      </c>
      <c r="O461">
        <v>0</v>
      </c>
      <c r="P461">
        <v>0</v>
      </c>
      <c r="Q461">
        <v>0</v>
      </c>
      <c r="R461" t="s">
        <v>79</v>
      </c>
      <c r="S461">
        <v>0</v>
      </c>
      <c r="T461" t="s">
        <v>80</v>
      </c>
      <c r="U461" t="s">
        <v>80</v>
      </c>
      <c r="V461" t="s">
        <v>239</v>
      </c>
      <c r="W461" t="s">
        <v>1105</v>
      </c>
      <c r="X461" t="s">
        <v>3119</v>
      </c>
      <c r="Y461" t="s">
        <v>78</v>
      </c>
      <c r="Z461" t="s">
        <v>80</v>
      </c>
      <c r="AA461" t="s">
        <v>85</v>
      </c>
      <c r="AC461" t="s">
        <v>3120</v>
      </c>
      <c r="AD461" t="s">
        <v>87</v>
      </c>
      <c r="AG461" t="s">
        <v>3121</v>
      </c>
      <c r="AH461" t="s">
        <v>91</v>
      </c>
      <c r="AI461" t="s">
        <v>92</v>
      </c>
      <c r="AJ461" t="s">
        <v>131</v>
      </c>
      <c r="AK461" t="s">
        <v>3122</v>
      </c>
      <c r="AL461" t="s">
        <v>95</v>
      </c>
      <c r="AM461" t="s">
        <v>96</v>
      </c>
      <c r="AN461" t="s">
        <v>97</v>
      </c>
      <c r="AO461" t="s">
        <v>98</v>
      </c>
      <c r="AP461" t="s">
        <v>78</v>
      </c>
      <c r="AQ461" t="s">
        <v>99</v>
      </c>
      <c r="AS461" t="s">
        <v>78</v>
      </c>
      <c r="AT461" t="s">
        <v>100</v>
      </c>
      <c r="AU461" t="s">
        <v>100</v>
      </c>
      <c r="AW461" t="s">
        <v>85</v>
      </c>
      <c r="AX461" t="s">
        <v>101</v>
      </c>
      <c r="AY461" t="s">
        <v>102</v>
      </c>
      <c r="AZ461" t="s">
        <v>103</v>
      </c>
      <c r="BA461" t="s">
        <v>133</v>
      </c>
      <c r="BB461" t="s">
        <v>78</v>
      </c>
      <c r="BC461" t="s">
        <v>78</v>
      </c>
      <c r="BE461">
        <v>0</v>
      </c>
      <c r="BF461">
        <v>0</v>
      </c>
      <c r="BG461">
        <v>0</v>
      </c>
      <c r="BH461">
        <v>0</v>
      </c>
      <c r="BJ461" t="s">
        <v>85</v>
      </c>
      <c r="BP461" t="s">
        <v>78</v>
      </c>
      <c r="BQ461" t="s">
        <v>78</v>
      </c>
      <c r="BR461" t="s">
        <v>78</v>
      </c>
    </row>
    <row r="462" customFormat="1" spans="1:70">
      <c r="A462" t="s">
        <v>3123</v>
      </c>
      <c r="B462" t="s">
        <v>3123</v>
      </c>
      <c r="C462" t="s">
        <v>1092</v>
      </c>
      <c r="D462" t="s">
        <v>108</v>
      </c>
      <c r="E462">
        <v>1</v>
      </c>
      <c r="F462" t="s">
        <v>1093</v>
      </c>
      <c r="G462" t="s">
        <v>1094</v>
      </c>
      <c r="H462">
        <v>289</v>
      </c>
      <c r="I462">
        <v>289</v>
      </c>
      <c r="J462">
        <v>0</v>
      </c>
      <c r="K462">
        <v>0</v>
      </c>
      <c r="L462" t="s">
        <v>78</v>
      </c>
      <c r="M462" t="s">
        <v>78</v>
      </c>
      <c r="N462" t="s">
        <v>78</v>
      </c>
      <c r="O462">
        <v>0</v>
      </c>
      <c r="P462">
        <v>0</v>
      </c>
      <c r="Q462">
        <v>0</v>
      </c>
      <c r="R462" t="s">
        <v>111</v>
      </c>
      <c r="S462">
        <v>0</v>
      </c>
      <c r="T462" t="s">
        <v>80</v>
      </c>
      <c r="U462" t="s">
        <v>80</v>
      </c>
      <c r="V462" t="s">
        <v>509</v>
      </c>
      <c r="W462" t="s">
        <v>3124</v>
      </c>
      <c r="X462" t="s">
        <v>3125</v>
      </c>
      <c r="Y462" t="s">
        <v>3126</v>
      </c>
      <c r="Z462" t="s">
        <v>80</v>
      </c>
      <c r="AA462" t="s">
        <v>85</v>
      </c>
      <c r="AC462" t="s">
        <v>3127</v>
      </c>
      <c r="AD462" t="s">
        <v>87</v>
      </c>
      <c r="AG462" t="s">
        <v>3120</v>
      </c>
      <c r="AH462" t="s">
        <v>227</v>
      </c>
      <c r="AI462" t="s">
        <v>92</v>
      </c>
      <c r="AJ462" t="s">
        <v>131</v>
      </c>
      <c r="AK462" t="s">
        <v>3128</v>
      </c>
      <c r="AL462" t="s">
        <v>95</v>
      </c>
      <c r="AM462" t="s">
        <v>96</v>
      </c>
      <c r="AN462" t="s">
        <v>97</v>
      </c>
      <c r="AO462" t="s">
        <v>98</v>
      </c>
      <c r="AP462" t="s">
        <v>78</v>
      </c>
      <c r="AQ462" t="s">
        <v>99</v>
      </c>
      <c r="AS462" t="s">
        <v>78</v>
      </c>
      <c r="AT462" t="s">
        <v>100</v>
      </c>
      <c r="AU462" t="s">
        <v>100</v>
      </c>
      <c r="AW462" t="s">
        <v>85</v>
      </c>
      <c r="AX462" t="s">
        <v>103</v>
      </c>
      <c r="AY462" t="s">
        <v>159</v>
      </c>
      <c r="AZ462" t="s">
        <v>103</v>
      </c>
      <c r="BA462" t="s">
        <v>104</v>
      </c>
      <c r="BB462" t="s">
        <v>78</v>
      </c>
      <c r="BC462" t="s">
        <v>78</v>
      </c>
      <c r="BE462">
        <v>0</v>
      </c>
      <c r="BF462">
        <v>0</v>
      </c>
      <c r="BG462">
        <v>0</v>
      </c>
      <c r="BH462">
        <v>0</v>
      </c>
      <c r="BJ462" t="s">
        <v>85</v>
      </c>
      <c r="BP462" t="s">
        <v>78</v>
      </c>
      <c r="BQ462" t="s">
        <v>78</v>
      </c>
      <c r="BR462" t="s">
        <v>78</v>
      </c>
    </row>
    <row r="463" customFormat="1" spans="1:70">
      <c r="A463" t="s">
        <v>3129</v>
      </c>
      <c r="B463" t="s">
        <v>3129</v>
      </c>
      <c r="C463" t="s">
        <v>1092</v>
      </c>
      <c r="D463" t="s">
        <v>108</v>
      </c>
      <c r="E463">
        <v>1</v>
      </c>
      <c r="F463" t="s">
        <v>1093</v>
      </c>
      <c r="G463" t="s">
        <v>1094</v>
      </c>
      <c r="H463">
        <v>289</v>
      </c>
      <c r="I463">
        <v>289</v>
      </c>
      <c r="J463">
        <v>0</v>
      </c>
      <c r="K463">
        <v>0</v>
      </c>
      <c r="L463" t="s">
        <v>78</v>
      </c>
      <c r="M463" t="s">
        <v>78</v>
      </c>
      <c r="N463" t="s">
        <v>78</v>
      </c>
      <c r="O463">
        <v>0</v>
      </c>
      <c r="P463">
        <v>0</v>
      </c>
      <c r="Q463">
        <v>0</v>
      </c>
      <c r="R463" t="s">
        <v>125</v>
      </c>
      <c r="S463">
        <v>0</v>
      </c>
      <c r="T463" t="s">
        <v>80</v>
      </c>
      <c r="U463" t="s">
        <v>80</v>
      </c>
      <c r="V463" t="s">
        <v>189</v>
      </c>
      <c r="W463" t="s">
        <v>3130</v>
      </c>
      <c r="X463" t="s">
        <v>3131</v>
      </c>
      <c r="Y463" t="s">
        <v>3132</v>
      </c>
      <c r="Z463" t="s">
        <v>80</v>
      </c>
      <c r="AA463" t="s">
        <v>85</v>
      </c>
      <c r="AC463" t="s">
        <v>3133</v>
      </c>
      <c r="AD463" t="s">
        <v>87</v>
      </c>
      <c r="AG463" t="s">
        <v>3134</v>
      </c>
      <c r="AH463" t="s">
        <v>91</v>
      </c>
      <c r="AI463" t="s">
        <v>92</v>
      </c>
      <c r="AJ463" t="s">
        <v>131</v>
      </c>
      <c r="AK463" t="s">
        <v>3135</v>
      </c>
      <c r="AL463" t="s">
        <v>95</v>
      </c>
      <c r="AM463" t="s">
        <v>96</v>
      </c>
      <c r="AN463" t="s">
        <v>97</v>
      </c>
      <c r="AO463" t="s">
        <v>98</v>
      </c>
      <c r="AP463" t="s">
        <v>78</v>
      </c>
      <c r="AQ463" t="s">
        <v>99</v>
      </c>
      <c r="AS463" t="s">
        <v>78</v>
      </c>
      <c r="AT463" t="s">
        <v>100</v>
      </c>
      <c r="AU463" t="s">
        <v>100</v>
      </c>
      <c r="AW463" t="s">
        <v>85</v>
      </c>
      <c r="AX463" t="s">
        <v>101</v>
      </c>
      <c r="AY463" t="s">
        <v>102</v>
      </c>
      <c r="AZ463" t="s">
        <v>103</v>
      </c>
      <c r="BA463" t="s">
        <v>120</v>
      </c>
      <c r="BB463" t="s">
        <v>78</v>
      </c>
      <c r="BC463" t="s">
        <v>78</v>
      </c>
      <c r="BE463">
        <v>0</v>
      </c>
      <c r="BF463">
        <v>0</v>
      </c>
      <c r="BG463">
        <v>0</v>
      </c>
      <c r="BH463">
        <v>0</v>
      </c>
      <c r="BJ463" t="s">
        <v>85</v>
      </c>
      <c r="BP463" t="s">
        <v>78</v>
      </c>
      <c r="BQ463" t="s">
        <v>78</v>
      </c>
      <c r="BR463" t="s">
        <v>78</v>
      </c>
    </row>
    <row r="464" customFormat="1" spans="1:70">
      <c r="A464" t="s">
        <v>3136</v>
      </c>
      <c r="B464" t="s">
        <v>3136</v>
      </c>
      <c r="C464" t="s">
        <v>1092</v>
      </c>
      <c r="D464" t="s">
        <v>123</v>
      </c>
      <c r="E464">
        <v>1</v>
      </c>
      <c r="F464" t="s">
        <v>1093</v>
      </c>
      <c r="G464" t="s">
        <v>1986</v>
      </c>
      <c r="H464">
        <v>289</v>
      </c>
      <c r="I464">
        <v>289</v>
      </c>
      <c r="J464">
        <v>0</v>
      </c>
      <c r="K464">
        <v>0</v>
      </c>
      <c r="L464" t="s">
        <v>78</v>
      </c>
      <c r="M464" t="s">
        <v>78</v>
      </c>
      <c r="N464" t="s">
        <v>78</v>
      </c>
      <c r="O464">
        <v>0</v>
      </c>
      <c r="P464">
        <v>0</v>
      </c>
      <c r="Q464">
        <v>0</v>
      </c>
      <c r="R464" t="s">
        <v>79</v>
      </c>
      <c r="S464">
        <v>0</v>
      </c>
      <c r="T464" t="s">
        <v>80</v>
      </c>
      <c r="U464" t="s">
        <v>80</v>
      </c>
      <c r="V464" t="s">
        <v>464</v>
      </c>
      <c r="W464" t="s">
        <v>1460</v>
      </c>
      <c r="X464" t="s">
        <v>2167</v>
      </c>
      <c r="Y464" t="s">
        <v>2168</v>
      </c>
      <c r="Z464" t="s">
        <v>80</v>
      </c>
      <c r="AA464" t="s">
        <v>85</v>
      </c>
      <c r="AC464" t="s">
        <v>3137</v>
      </c>
      <c r="AD464" t="s">
        <v>202</v>
      </c>
      <c r="AE464" t="s">
        <v>3138</v>
      </c>
      <c r="AG464" t="s">
        <v>3139</v>
      </c>
      <c r="AH464" t="s">
        <v>227</v>
      </c>
      <c r="AI464" t="s">
        <v>92</v>
      </c>
      <c r="AJ464" t="s">
        <v>131</v>
      </c>
      <c r="AK464" t="s">
        <v>3140</v>
      </c>
      <c r="AL464" t="s">
        <v>95</v>
      </c>
      <c r="AM464" t="s">
        <v>96</v>
      </c>
      <c r="AN464" t="s">
        <v>97</v>
      </c>
      <c r="AO464" t="s">
        <v>98</v>
      </c>
      <c r="AP464" t="s">
        <v>78</v>
      </c>
      <c r="AQ464" t="s">
        <v>99</v>
      </c>
      <c r="AS464" t="s">
        <v>78</v>
      </c>
      <c r="AT464" t="s">
        <v>100</v>
      </c>
      <c r="AU464" t="s">
        <v>100</v>
      </c>
      <c r="AW464" t="s">
        <v>85</v>
      </c>
      <c r="AX464" t="s">
        <v>103</v>
      </c>
      <c r="AY464" t="s">
        <v>159</v>
      </c>
      <c r="AZ464" t="s">
        <v>103</v>
      </c>
      <c r="BA464" t="s">
        <v>104</v>
      </c>
      <c r="BB464" t="s">
        <v>78</v>
      </c>
      <c r="BC464" t="s">
        <v>78</v>
      </c>
      <c r="BD464" t="s">
        <v>3141</v>
      </c>
      <c r="BE464">
        <v>0</v>
      </c>
      <c r="BF464">
        <v>0</v>
      </c>
      <c r="BG464">
        <v>0</v>
      </c>
      <c r="BH464">
        <v>0</v>
      </c>
      <c r="BJ464" t="s">
        <v>85</v>
      </c>
      <c r="BP464" t="s">
        <v>78</v>
      </c>
      <c r="BQ464" t="s">
        <v>78</v>
      </c>
      <c r="BR464" t="s">
        <v>78</v>
      </c>
    </row>
    <row r="465" customFormat="1" spans="1:70">
      <c r="A465" t="s">
        <v>3142</v>
      </c>
      <c r="B465" t="s">
        <v>3142</v>
      </c>
      <c r="C465" t="s">
        <v>1092</v>
      </c>
      <c r="D465" t="s">
        <v>108</v>
      </c>
      <c r="E465">
        <v>1</v>
      </c>
      <c r="F465" t="s">
        <v>1093</v>
      </c>
      <c r="G465" t="s">
        <v>1094</v>
      </c>
      <c r="H465">
        <v>289</v>
      </c>
      <c r="I465">
        <v>289</v>
      </c>
      <c r="J465">
        <v>0</v>
      </c>
      <c r="K465">
        <v>0</v>
      </c>
      <c r="L465" t="s">
        <v>78</v>
      </c>
      <c r="M465" t="s">
        <v>78</v>
      </c>
      <c r="N465" t="s">
        <v>78</v>
      </c>
      <c r="O465">
        <v>0</v>
      </c>
      <c r="P465">
        <v>0</v>
      </c>
      <c r="Q465">
        <v>0</v>
      </c>
      <c r="R465" t="s">
        <v>111</v>
      </c>
      <c r="S465">
        <v>0</v>
      </c>
      <c r="T465" t="s">
        <v>80</v>
      </c>
      <c r="U465" t="s">
        <v>80</v>
      </c>
      <c r="V465" t="s">
        <v>161</v>
      </c>
      <c r="W465" t="s">
        <v>161</v>
      </c>
      <c r="X465" t="s">
        <v>1243</v>
      </c>
      <c r="Y465" t="s">
        <v>3143</v>
      </c>
      <c r="Z465" t="s">
        <v>80</v>
      </c>
      <c r="AA465" t="s">
        <v>85</v>
      </c>
      <c r="AC465" t="s">
        <v>3144</v>
      </c>
      <c r="AD465" t="s">
        <v>202</v>
      </c>
      <c r="AE465" t="s">
        <v>3145</v>
      </c>
      <c r="AG465" t="s">
        <v>3146</v>
      </c>
      <c r="AH465" t="s">
        <v>91</v>
      </c>
      <c r="AI465" t="s">
        <v>92</v>
      </c>
      <c r="AJ465" t="s">
        <v>131</v>
      </c>
      <c r="AK465" t="s">
        <v>3147</v>
      </c>
      <c r="AL465" t="s">
        <v>95</v>
      </c>
      <c r="AM465" t="s">
        <v>96</v>
      </c>
      <c r="AN465" t="s">
        <v>97</v>
      </c>
      <c r="AO465" t="s">
        <v>98</v>
      </c>
      <c r="AP465" t="s">
        <v>78</v>
      </c>
      <c r="AQ465" t="s">
        <v>99</v>
      </c>
      <c r="AS465" t="s">
        <v>78</v>
      </c>
      <c r="AT465" t="s">
        <v>100</v>
      </c>
      <c r="AU465" t="s">
        <v>100</v>
      </c>
      <c r="AW465" t="s">
        <v>85</v>
      </c>
      <c r="AX465" t="s">
        <v>101</v>
      </c>
      <c r="AY465" t="s">
        <v>102</v>
      </c>
      <c r="AZ465" t="s">
        <v>103</v>
      </c>
      <c r="BA465" t="s">
        <v>120</v>
      </c>
      <c r="BB465" t="s">
        <v>78</v>
      </c>
      <c r="BC465" t="s">
        <v>78</v>
      </c>
      <c r="BD465" t="s">
        <v>3148</v>
      </c>
      <c r="BE465">
        <v>0</v>
      </c>
      <c r="BF465">
        <v>0</v>
      </c>
      <c r="BG465">
        <v>0</v>
      </c>
      <c r="BH465">
        <v>0</v>
      </c>
      <c r="BJ465" t="s">
        <v>85</v>
      </c>
      <c r="BP465" t="s">
        <v>78</v>
      </c>
      <c r="BQ465" t="s">
        <v>78</v>
      </c>
      <c r="BR465" t="s">
        <v>78</v>
      </c>
    </row>
    <row r="466" customFormat="1" spans="1:70">
      <c r="A466" t="s">
        <v>3149</v>
      </c>
      <c r="B466" t="s">
        <v>3149</v>
      </c>
      <c r="C466" t="s">
        <v>1092</v>
      </c>
      <c r="D466" t="s">
        <v>2021</v>
      </c>
      <c r="E466">
        <v>1</v>
      </c>
      <c r="F466" t="s">
        <v>1093</v>
      </c>
      <c r="G466" t="s">
        <v>2022</v>
      </c>
      <c r="H466">
        <v>289</v>
      </c>
      <c r="I466">
        <v>289</v>
      </c>
      <c r="J466">
        <v>0</v>
      </c>
      <c r="K466">
        <v>0</v>
      </c>
      <c r="L466" t="s">
        <v>78</v>
      </c>
      <c r="M466" t="s">
        <v>78</v>
      </c>
      <c r="N466" t="s">
        <v>78</v>
      </c>
      <c r="O466">
        <v>0</v>
      </c>
      <c r="P466">
        <v>0</v>
      </c>
      <c r="Q466">
        <v>0</v>
      </c>
      <c r="R466" t="s">
        <v>79</v>
      </c>
      <c r="S466">
        <v>0</v>
      </c>
      <c r="T466" t="s">
        <v>80</v>
      </c>
      <c r="U466" t="s">
        <v>80</v>
      </c>
      <c r="V466" t="s">
        <v>126</v>
      </c>
      <c r="W466" t="s">
        <v>945</v>
      </c>
      <c r="X466" t="s">
        <v>2419</v>
      </c>
      <c r="Y466" t="s">
        <v>3150</v>
      </c>
      <c r="Z466" t="s">
        <v>80</v>
      </c>
      <c r="AA466" t="s">
        <v>85</v>
      </c>
      <c r="AC466" t="s">
        <v>3151</v>
      </c>
      <c r="AD466" t="s">
        <v>87</v>
      </c>
      <c r="AG466" t="s">
        <v>3152</v>
      </c>
      <c r="AH466" t="s">
        <v>91</v>
      </c>
      <c r="AI466" t="s">
        <v>92</v>
      </c>
      <c r="AJ466" t="s">
        <v>131</v>
      </c>
      <c r="AK466" t="s">
        <v>3153</v>
      </c>
      <c r="AL466" t="s">
        <v>95</v>
      </c>
      <c r="AM466" t="s">
        <v>96</v>
      </c>
      <c r="AN466" t="s">
        <v>97</v>
      </c>
      <c r="AO466" t="s">
        <v>98</v>
      </c>
      <c r="AP466" t="s">
        <v>78</v>
      </c>
      <c r="AQ466" t="s">
        <v>99</v>
      </c>
      <c r="AS466" t="s">
        <v>78</v>
      </c>
      <c r="AT466" t="s">
        <v>100</v>
      </c>
      <c r="AU466" t="s">
        <v>100</v>
      </c>
      <c r="AW466" t="s">
        <v>85</v>
      </c>
      <c r="AX466" t="s">
        <v>101</v>
      </c>
      <c r="AY466" t="s">
        <v>102</v>
      </c>
      <c r="AZ466" t="s">
        <v>103</v>
      </c>
      <c r="BA466" t="s">
        <v>133</v>
      </c>
      <c r="BB466" t="s">
        <v>78</v>
      </c>
      <c r="BC466" t="s">
        <v>78</v>
      </c>
      <c r="BE466">
        <v>0</v>
      </c>
      <c r="BF466">
        <v>0</v>
      </c>
      <c r="BG466">
        <v>0</v>
      </c>
      <c r="BH466">
        <v>0</v>
      </c>
      <c r="BJ466" t="s">
        <v>85</v>
      </c>
      <c r="BP466" t="s">
        <v>78</v>
      </c>
      <c r="BQ466" t="s">
        <v>78</v>
      </c>
      <c r="BR466" t="s">
        <v>78</v>
      </c>
    </row>
    <row r="467" customFormat="1" spans="1:70">
      <c r="A467" t="s">
        <v>3154</v>
      </c>
      <c r="B467" t="s">
        <v>3154</v>
      </c>
      <c r="C467" t="s">
        <v>1092</v>
      </c>
      <c r="D467" t="s">
        <v>3085</v>
      </c>
      <c r="E467">
        <v>1</v>
      </c>
      <c r="F467" t="s">
        <v>1093</v>
      </c>
      <c r="G467" t="s">
        <v>3086</v>
      </c>
      <c r="H467">
        <v>289</v>
      </c>
      <c r="I467">
        <v>289</v>
      </c>
      <c r="J467">
        <v>0</v>
      </c>
      <c r="K467">
        <v>0</v>
      </c>
      <c r="L467" t="s">
        <v>78</v>
      </c>
      <c r="M467" t="s">
        <v>78</v>
      </c>
      <c r="N467" t="s">
        <v>78</v>
      </c>
      <c r="O467">
        <v>0</v>
      </c>
      <c r="P467">
        <v>0</v>
      </c>
      <c r="Q467">
        <v>0</v>
      </c>
      <c r="R467" t="s">
        <v>125</v>
      </c>
      <c r="S467">
        <v>0</v>
      </c>
      <c r="T467" t="s">
        <v>80</v>
      </c>
      <c r="U467" t="s">
        <v>80</v>
      </c>
      <c r="V467" t="s">
        <v>574</v>
      </c>
      <c r="W467" t="s">
        <v>574</v>
      </c>
      <c r="X467" t="s">
        <v>809</v>
      </c>
      <c r="Y467" t="s">
        <v>3155</v>
      </c>
      <c r="Z467" t="s">
        <v>80</v>
      </c>
      <c r="AA467" t="s">
        <v>85</v>
      </c>
      <c r="AC467" t="s">
        <v>3151</v>
      </c>
      <c r="AD467" t="s">
        <v>87</v>
      </c>
      <c r="AF467" t="s">
        <v>3156</v>
      </c>
      <c r="AG467" t="s">
        <v>3157</v>
      </c>
      <c r="AH467" t="s">
        <v>91</v>
      </c>
      <c r="AI467" t="s">
        <v>92</v>
      </c>
      <c r="AJ467" t="s">
        <v>93</v>
      </c>
      <c r="AK467" t="s">
        <v>3153</v>
      </c>
      <c r="AL467" t="s">
        <v>95</v>
      </c>
      <c r="AM467" t="s">
        <v>96</v>
      </c>
      <c r="AN467" t="s">
        <v>97</v>
      </c>
      <c r="AO467" t="s">
        <v>98</v>
      </c>
      <c r="AP467" t="s">
        <v>78</v>
      </c>
      <c r="AQ467" t="s">
        <v>78</v>
      </c>
      <c r="AS467" t="s">
        <v>78</v>
      </c>
      <c r="AT467" t="s">
        <v>100</v>
      </c>
      <c r="AU467" t="s">
        <v>100</v>
      </c>
      <c r="AW467" t="s">
        <v>85</v>
      </c>
      <c r="AX467" t="s">
        <v>101</v>
      </c>
      <c r="AY467" t="s">
        <v>102</v>
      </c>
      <c r="AZ467" t="s">
        <v>103</v>
      </c>
      <c r="BA467" t="s">
        <v>120</v>
      </c>
      <c r="BB467" t="s">
        <v>78</v>
      </c>
      <c r="BC467" t="s">
        <v>78</v>
      </c>
      <c r="BD467" t="s">
        <v>3094</v>
      </c>
      <c r="BE467">
        <v>0</v>
      </c>
      <c r="BF467">
        <v>0</v>
      </c>
      <c r="BG467">
        <v>0</v>
      </c>
      <c r="BH467">
        <v>0</v>
      </c>
      <c r="BJ467" t="s">
        <v>85</v>
      </c>
      <c r="BP467" t="s">
        <v>78</v>
      </c>
      <c r="BQ467" t="s">
        <v>78</v>
      </c>
      <c r="BR467" t="s">
        <v>78</v>
      </c>
    </row>
    <row r="468" customFormat="1" spans="1:70">
      <c r="A468" t="s">
        <v>3158</v>
      </c>
      <c r="B468" t="s">
        <v>3158</v>
      </c>
      <c r="C468" t="s">
        <v>1092</v>
      </c>
      <c r="D468" t="s">
        <v>108</v>
      </c>
      <c r="E468">
        <v>1</v>
      </c>
      <c r="F468" t="s">
        <v>1093</v>
      </c>
      <c r="G468" t="s">
        <v>1094</v>
      </c>
      <c r="H468">
        <v>289</v>
      </c>
      <c r="I468">
        <v>286</v>
      </c>
      <c r="J468">
        <v>0</v>
      </c>
      <c r="K468">
        <v>3</v>
      </c>
      <c r="L468" t="s">
        <v>137</v>
      </c>
      <c r="M468" t="s">
        <v>78</v>
      </c>
      <c r="N468" t="s">
        <v>78</v>
      </c>
      <c r="O468">
        <v>0</v>
      </c>
      <c r="P468">
        <v>0</v>
      </c>
      <c r="Q468">
        <v>0</v>
      </c>
      <c r="R468" t="s">
        <v>125</v>
      </c>
      <c r="S468">
        <v>0</v>
      </c>
      <c r="T468" t="s">
        <v>80</v>
      </c>
      <c r="U468" t="s">
        <v>80</v>
      </c>
      <c r="V468" t="s">
        <v>152</v>
      </c>
      <c r="W468" t="s">
        <v>2948</v>
      </c>
      <c r="X468" t="s">
        <v>2949</v>
      </c>
      <c r="Y468" t="s">
        <v>78</v>
      </c>
      <c r="Z468" t="s">
        <v>80</v>
      </c>
      <c r="AA468" t="s">
        <v>85</v>
      </c>
      <c r="AC468" t="s">
        <v>3159</v>
      </c>
      <c r="AD468" t="s">
        <v>87</v>
      </c>
      <c r="AF468" t="s">
        <v>3160</v>
      </c>
      <c r="AG468" t="s">
        <v>3152</v>
      </c>
      <c r="AH468" t="s">
        <v>91</v>
      </c>
      <c r="AI468" t="s">
        <v>92</v>
      </c>
      <c r="AJ468" t="s">
        <v>93</v>
      </c>
      <c r="AK468" t="s">
        <v>3161</v>
      </c>
      <c r="AL468" t="s">
        <v>95</v>
      </c>
      <c r="AM468" t="s">
        <v>96</v>
      </c>
      <c r="AN468" t="s">
        <v>97</v>
      </c>
      <c r="AO468" t="s">
        <v>98</v>
      </c>
      <c r="AP468" t="s">
        <v>78</v>
      </c>
      <c r="AQ468" t="s">
        <v>78</v>
      </c>
      <c r="AS468" t="s">
        <v>78</v>
      </c>
      <c r="AT468" t="s">
        <v>100</v>
      </c>
      <c r="AU468" t="s">
        <v>100</v>
      </c>
      <c r="AW468" t="s">
        <v>85</v>
      </c>
      <c r="AX468" t="s">
        <v>101</v>
      </c>
      <c r="AY468" t="s">
        <v>102</v>
      </c>
      <c r="AZ468" t="s">
        <v>103</v>
      </c>
      <c r="BA468" t="s">
        <v>218</v>
      </c>
      <c r="BB468" t="s">
        <v>78</v>
      </c>
      <c r="BC468" t="s">
        <v>78</v>
      </c>
      <c r="BD468" t="s">
        <v>3148</v>
      </c>
      <c r="BE468">
        <v>0</v>
      </c>
      <c r="BF468">
        <v>3</v>
      </c>
      <c r="BG468">
        <v>0</v>
      </c>
      <c r="BH468">
        <v>0</v>
      </c>
      <c r="BJ468" t="s">
        <v>85</v>
      </c>
      <c r="BP468" t="s">
        <v>78</v>
      </c>
      <c r="BQ468" t="s">
        <v>78</v>
      </c>
      <c r="BR468" t="s">
        <v>78</v>
      </c>
    </row>
    <row r="469" customFormat="1" spans="1:70">
      <c r="A469" t="s">
        <v>3162</v>
      </c>
      <c r="B469" t="s">
        <v>3162</v>
      </c>
      <c r="C469" t="s">
        <v>1092</v>
      </c>
      <c r="D469" t="s">
        <v>135</v>
      </c>
      <c r="E469">
        <v>1</v>
      </c>
      <c r="F469" t="s">
        <v>1093</v>
      </c>
      <c r="G469" t="s">
        <v>1357</v>
      </c>
      <c r="H469">
        <v>289</v>
      </c>
      <c r="I469">
        <v>289</v>
      </c>
      <c r="J469">
        <v>0</v>
      </c>
      <c r="K469">
        <v>0</v>
      </c>
      <c r="L469" t="s">
        <v>78</v>
      </c>
      <c r="M469" t="s">
        <v>78</v>
      </c>
      <c r="N469" t="s">
        <v>78</v>
      </c>
      <c r="O469">
        <v>0</v>
      </c>
      <c r="P469">
        <v>0</v>
      </c>
      <c r="Q469">
        <v>0</v>
      </c>
      <c r="R469" t="s">
        <v>111</v>
      </c>
      <c r="S469">
        <v>0</v>
      </c>
      <c r="T469" t="s">
        <v>80</v>
      </c>
      <c r="U469" t="s">
        <v>80</v>
      </c>
      <c r="V469" t="s">
        <v>302</v>
      </c>
      <c r="W469" t="s">
        <v>303</v>
      </c>
      <c r="X469" t="s">
        <v>310</v>
      </c>
      <c r="Y469" t="s">
        <v>311</v>
      </c>
      <c r="Z469" t="s">
        <v>80</v>
      </c>
      <c r="AA469" t="s">
        <v>85</v>
      </c>
      <c r="AC469" t="s">
        <v>3163</v>
      </c>
      <c r="AD469" t="s">
        <v>87</v>
      </c>
      <c r="AG469" t="s">
        <v>3139</v>
      </c>
      <c r="AH469" t="s">
        <v>91</v>
      </c>
      <c r="AI469" t="s">
        <v>92</v>
      </c>
      <c r="AJ469" t="s">
        <v>131</v>
      </c>
      <c r="AK469" t="s">
        <v>3140</v>
      </c>
      <c r="AL469" t="s">
        <v>95</v>
      </c>
      <c r="AM469" t="s">
        <v>96</v>
      </c>
      <c r="AN469" t="s">
        <v>97</v>
      </c>
      <c r="AO469" t="s">
        <v>98</v>
      </c>
      <c r="AP469" t="s">
        <v>78</v>
      </c>
      <c r="AQ469" t="s">
        <v>99</v>
      </c>
      <c r="AS469" t="s">
        <v>78</v>
      </c>
      <c r="AT469" t="s">
        <v>100</v>
      </c>
      <c r="AU469" t="s">
        <v>100</v>
      </c>
      <c r="AW469" t="s">
        <v>85</v>
      </c>
      <c r="AX469" t="s">
        <v>103</v>
      </c>
      <c r="AY469" t="s">
        <v>159</v>
      </c>
      <c r="AZ469" t="s">
        <v>103</v>
      </c>
      <c r="BA469" t="s">
        <v>104</v>
      </c>
      <c r="BB469" t="s">
        <v>78</v>
      </c>
      <c r="BC469" t="s">
        <v>78</v>
      </c>
      <c r="BE469">
        <v>0</v>
      </c>
      <c r="BF469">
        <v>0</v>
      </c>
      <c r="BG469">
        <v>0</v>
      </c>
      <c r="BH469">
        <v>0</v>
      </c>
      <c r="BJ469" t="s">
        <v>85</v>
      </c>
      <c r="BP469" t="s">
        <v>78</v>
      </c>
      <c r="BQ469" t="s">
        <v>78</v>
      </c>
      <c r="BR469" t="s">
        <v>78</v>
      </c>
    </row>
    <row r="470" customFormat="1" spans="1:70">
      <c r="A470" t="s">
        <v>3164</v>
      </c>
      <c r="B470" t="s">
        <v>3164</v>
      </c>
      <c r="C470" t="s">
        <v>1092</v>
      </c>
      <c r="D470" t="s">
        <v>108</v>
      </c>
      <c r="E470">
        <v>1</v>
      </c>
      <c r="F470" t="s">
        <v>1093</v>
      </c>
      <c r="G470" t="s">
        <v>1094</v>
      </c>
      <c r="H470">
        <v>289</v>
      </c>
      <c r="I470">
        <v>289</v>
      </c>
      <c r="J470">
        <v>0</v>
      </c>
      <c r="K470">
        <v>0</v>
      </c>
      <c r="L470" t="s">
        <v>78</v>
      </c>
      <c r="M470" t="s">
        <v>78</v>
      </c>
      <c r="N470" t="s">
        <v>78</v>
      </c>
      <c r="O470">
        <v>0</v>
      </c>
      <c r="P470">
        <v>0</v>
      </c>
      <c r="Q470">
        <v>0</v>
      </c>
      <c r="R470" t="s">
        <v>125</v>
      </c>
      <c r="S470">
        <v>0</v>
      </c>
      <c r="T470" t="s">
        <v>80</v>
      </c>
      <c r="U470" t="s">
        <v>80</v>
      </c>
      <c r="V470" t="s">
        <v>167</v>
      </c>
      <c r="W470" t="s">
        <v>285</v>
      </c>
      <c r="X470" t="s">
        <v>1284</v>
      </c>
      <c r="Y470" t="s">
        <v>3111</v>
      </c>
      <c r="Z470" t="s">
        <v>80</v>
      </c>
      <c r="AA470" t="s">
        <v>85</v>
      </c>
      <c r="AC470" t="s">
        <v>3165</v>
      </c>
      <c r="AD470" t="s">
        <v>87</v>
      </c>
      <c r="AG470" t="s">
        <v>3159</v>
      </c>
      <c r="AH470" t="s">
        <v>91</v>
      </c>
      <c r="AI470" t="s">
        <v>92</v>
      </c>
      <c r="AJ470" t="s">
        <v>131</v>
      </c>
      <c r="AK470" t="s">
        <v>3166</v>
      </c>
      <c r="AL470" t="s">
        <v>95</v>
      </c>
      <c r="AM470" t="s">
        <v>96</v>
      </c>
      <c r="AN470" t="s">
        <v>97</v>
      </c>
      <c r="AO470" t="s">
        <v>98</v>
      </c>
      <c r="AP470" t="s">
        <v>78</v>
      </c>
      <c r="AQ470" t="s">
        <v>99</v>
      </c>
      <c r="AS470" t="s">
        <v>78</v>
      </c>
      <c r="AT470" t="s">
        <v>100</v>
      </c>
      <c r="AU470" t="s">
        <v>100</v>
      </c>
      <c r="AW470" t="s">
        <v>85</v>
      </c>
      <c r="AX470" t="s">
        <v>103</v>
      </c>
      <c r="AY470" t="s">
        <v>159</v>
      </c>
      <c r="AZ470" t="s">
        <v>103</v>
      </c>
      <c r="BA470" t="s">
        <v>104</v>
      </c>
      <c r="BB470" t="s">
        <v>78</v>
      </c>
      <c r="BC470" t="s">
        <v>78</v>
      </c>
      <c r="BE470">
        <v>0</v>
      </c>
      <c r="BF470">
        <v>0</v>
      </c>
      <c r="BG470">
        <v>0</v>
      </c>
      <c r="BH470">
        <v>0</v>
      </c>
      <c r="BJ470" t="s">
        <v>85</v>
      </c>
      <c r="BP470" t="s">
        <v>78</v>
      </c>
      <c r="BQ470" t="s">
        <v>78</v>
      </c>
      <c r="BR470" t="s">
        <v>78</v>
      </c>
    </row>
    <row r="471" customFormat="1" spans="1:70">
      <c r="A471" t="s">
        <v>3167</v>
      </c>
      <c r="B471" t="s">
        <v>3167</v>
      </c>
      <c r="C471" t="s">
        <v>1092</v>
      </c>
      <c r="D471" t="s">
        <v>1391</v>
      </c>
      <c r="E471">
        <v>1</v>
      </c>
      <c r="F471" t="s">
        <v>1093</v>
      </c>
      <c r="G471" t="s">
        <v>1392</v>
      </c>
      <c r="H471">
        <v>289</v>
      </c>
      <c r="I471">
        <v>289</v>
      </c>
      <c r="J471">
        <v>0</v>
      </c>
      <c r="K471">
        <v>0</v>
      </c>
      <c r="L471" t="s">
        <v>78</v>
      </c>
      <c r="M471" t="s">
        <v>78</v>
      </c>
      <c r="N471" t="s">
        <v>78</v>
      </c>
      <c r="O471">
        <v>0</v>
      </c>
      <c r="P471">
        <v>0</v>
      </c>
      <c r="Q471">
        <v>0</v>
      </c>
      <c r="R471" t="s">
        <v>111</v>
      </c>
      <c r="S471">
        <v>0</v>
      </c>
      <c r="T471" t="s">
        <v>80</v>
      </c>
      <c r="U471" t="s">
        <v>80</v>
      </c>
      <c r="V471" t="s">
        <v>302</v>
      </c>
      <c r="W471" t="s">
        <v>303</v>
      </c>
      <c r="X471" t="s">
        <v>310</v>
      </c>
      <c r="Y471" t="s">
        <v>311</v>
      </c>
      <c r="Z471" t="s">
        <v>80</v>
      </c>
      <c r="AA471" t="s">
        <v>85</v>
      </c>
      <c r="AC471" t="s">
        <v>3168</v>
      </c>
      <c r="AD471" t="s">
        <v>87</v>
      </c>
      <c r="AG471" t="s">
        <v>3169</v>
      </c>
      <c r="AH471" t="s">
        <v>91</v>
      </c>
      <c r="AI471" t="s">
        <v>92</v>
      </c>
      <c r="AJ471" t="s">
        <v>131</v>
      </c>
      <c r="AK471" t="s">
        <v>3170</v>
      </c>
      <c r="AL471" t="s">
        <v>95</v>
      </c>
      <c r="AM471" t="s">
        <v>96</v>
      </c>
      <c r="AN471" t="s">
        <v>97</v>
      </c>
      <c r="AO471" t="s">
        <v>98</v>
      </c>
      <c r="AP471" t="s">
        <v>78</v>
      </c>
      <c r="AQ471" t="s">
        <v>99</v>
      </c>
      <c r="AS471" t="s">
        <v>78</v>
      </c>
      <c r="AT471" t="s">
        <v>100</v>
      </c>
      <c r="AU471" t="s">
        <v>100</v>
      </c>
      <c r="AW471" t="s">
        <v>85</v>
      </c>
      <c r="AX471" t="s">
        <v>103</v>
      </c>
      <c r="AY471" t="s">
        <v>159</v>
      </c>
      <c r="AZ471" t="s">
        <v>103</v>
      </c>
      <c r="BA471" t="s">
        <v>104</v>
      </c>
      <c r="BB471" t="s">
        <v>78</v>
      </c>
      <c r="BC471" t="s">
        <v>78</v>
      </c>
      <c r="BE471">
        <v>0</v>
      </c>
      <c r="BF471">
        <v>0</v>
      </c>
      <c r="BG471">
        <v>0</v>
      </c>
      <c r="BH471">
        <v>0</v>
      </c>
      <c r="BJ471" t="s">
        <v>85</v>
      </c>
      <c r="BP471" t="s">
        <v>78</v>
      </c>
      <c r="BQ471" t="s">
        <v>78</v>
      </c>
      <c r="BR471" t="s">
        <v>78</v>
      </c>
    </row>
    <row r="472" customFormat="1" spans="1:70">
      <c r="A472" t="s">
        <v>3171</v>
      </c>
      <c r="B472" t="s">
        <v>3171</v>
      </c>
      <c r="C472" t="s">
        <v>1092</v>
      </c>
      <c r="D472" t="s">
        <v>135</v>
      </c>
      <c r="E472">
        <v>1</v>
      </c>
      <c r="F472" t="s">
        <v>1093</v>
      </c>
      <c r="G472" t="s">
        <v>1357</v>
      </c>
      <c r="H472">
        <v>289</v>
      </c>
      <c r="I472">
        <v>289</v>
      </c>
      <c r="J472">
        <v>0</v>
      </c>
      <c r="K472">
        <v>0</v>
      </c>
      <c r="L472" t="s">
        <v>78</v>
      </c>
      <c r="M472" t="s">
        <v>78</v>
      </c>
      <c r="N472" t="s">
        <v>78</v>
      </c>
      <c r="O472">
        <v>0</v>
      </c>
      <c r="P472">
        <v>0</v>
      </c>
      <c r="Q472">
        <v>0</v>
      </c>
      <c r="R472" t="s">
        <v>79</v>
      </c>
      <c r="S472">
        <v>0</v>
      </c>
      <c r="T472" t="s">
        <v>80</v>
      </c>
      <c r="U472" t="s">
        <v>80</v>
      </c>
      <c r="V472" t="s">
        <v>112</v>
      </c>
      <c r="W472" t="s">
        <v>3172</v>
      </c>
      <c r="X472" t="s">
        <v>3173</v>
      </c>
      <c r="Y472" t="s">
        <v>3174</v>
      </c>
      <c r="Z472" t="s">
        <v>80</v>
      </c>
      <c r="AA472" t="s">
        <v>85</v>
      </c>
      <c r="AC472" t="s">
        <v>3175</v>
      </c>
      <c r="AD472" t="s">
        <v>87</v>
      </c>
      <c r="AF472" t="s">
        <v>3176</v>
      </c>
      <c r="AG472" t="s">
        <v>3177</v>
      </c>
      <c r="AH472" t="s">
        <v>91</v>
      </c>
      <c r="AI472" t="s">
        <v>92</v>
      </c>
      <c r="AJ472" t="s">
        <v>93</v>
      </c>
      <c r="AK472" t="s">
        <v>3178</v>
      </c>
      <c r="AL472" t="s">
        <v>95</v>
      </c>
      <c r="AM472" t="s">
        <v>96</v>
      </c>
      <c r="AN472" t="s">
        <v>97</v>
      </c>
      <c r="AO472" t="s">
        <v>98</v>
      </c>
      <c r="AP472" t="s">
        <v>78</v>
      </c>
      <c r="AQ472" t="s">
        <v>78</v>
      </c>
      <c r="AS472" t="s">
        <v>78</v>
      </c>
      <c r="AT472" t="s">
        <v>100</v>
      </c>
      <c r="AU472" t="s">
        <v>100</v>
      </c>
      <c r="AW472" t="s">
        <v>85</v>
      </c>
      <c r="AX472" t="s">
        <v>101</v>
      </c>
      <c r="AY472" t="s">
        <v>102</v>
      </c>
      <c r="AZ472" t="s">
        <v>103</v>
      </c>
      <c r="BA472" t="s">
        <v>133</v>
      </c>
      <c r="BB472" t="s">
        <v>78</v>
      </c>
      <c r="BC472" t="s">
        <v>78</v>
      </c>
      <c r="BD472" t="s">
        <v>3179</v>
      </c>
      <c r="BE472">
        <v>0</v>
      </c>
      <c r="BF472">
        <v>0</v>
      </c>
      <c r="BG472">
        <v>0</v>
      </c>
      <c r="BH472">
        <v>0</v>
      </c>
      <c r="BJ472" t="s">
        <v>85</v>
      </c>
      <c r="BP472" t="s">
        <v>78</v>
      </c>
      <c r="BQ472" t="s">
        <v>78</v>
      </c>
      <c r="BR472" t="s">
        <v>78</v>
      </c>
    </row>
    <row r="473" customFormat="1" spans="1:70">
      <c r="A473" t="s">
        <v>3180</v>
      </c>
      <c r="B473" t="s">
        <v>3180</v>
      </c>
      <c r="C473" t="s">
        <v>1092</v>
      </c>
      <c r="D473" t="s">
        <v>108</v>
      </c>
      <c r="E473">
        <v>1</v>
      </c>
      <c r="F473" t="s">
        <v>1093</v>
      </c>
      <c r="G473" t="s">
        <v>1094</v>
      </c>
      <c r="H473">
        <v>289</v>
      </c>
      <c r="I473">
        <v>289</v>
      </c>
      <c r="J473">
        <v>0</v>
      </c>
      <c r="K473">
        <v>0</v>
      </c>
      <c r="L473" t="s">
        <v>78</v>
      </c>
      <c r="M473" t="s">
        <v>78</v>
      </c>
      <c r="N473" t="s">
        <v>78</v>
      </c>
      <c r="O473">
        <v>0</v>
      </c>
      <c r="P473">
        <v>0</v>
      </c>
      <c r="Q473">
        <v>0</v>
      </c>
      <c r="R473" t="s">
        <v>79</v>
      </c>
      <c r="S473">
        <v>0</v>
      </c>
      <c r="T473" t="s">
        <v>80</v>
      </c>
      <c r="U473" t="s">
        <v>80</v>
      </c>
      <c r="V473" t="s">
        <v>464</v>
      </c>
      <c r="W473" t="s">
        <v>1460</v>
      </c>
      <c r="X473" t="s">
        <v>2733</v>
      </c>
      <c r="Y473" t="s">
        <v>2734</v>
      </c>
      <c r="Z473" t="s">
        <v>80</v>
      </c>
      <c r="AA473" t="s">
        <v>85</v>
      </c>
      <c r="AC473" t="s">
        <v>3181</v>
      </c>
      <c r="AD473" t="s">
        <v>202</v>
      </c>
      <c r="AE473" t="s">
        <v>3182</v>
      </c>
      <c r="AG473" t="s">
        <v>3183</v>
      </c>
      <c r="AH473" t="s">
        <v>91</v>
      </c>
      <c r="AI473" t="s">
        <v>92</v>
      </c>
      <c r="AJ473" t="s">
        <v>131</v>
      </c>
      <c r="AK473" t="s">
        <v>3184</v>
      </c>
      <c r="AL473" t="s">
        <v>95</v>
      </c>
      <c r="AM473" t="s">
        <v>96</v>
      </c>
      <c r="AN473" t="s">
        <v>97</v>
      </c>
      <c r="AO473" t="s">
        <v>98</v>
      </c>
      <c r="AP473" t="s">
        <v>78</v>
      </c>
      <c r="AQ473" t="s">
        <v>99</v>
      </c>
      <c r="AS473" t="s">
        <v>78</v>
      </c>
      <c r="AT473" t="s">
        <v>100</v>
      </c>
      <c r="AU473" t="s">
        <v>100</v>
      </c>
      <c r="AW473" t="s">
        <v>85</v>
      </c>
      <c r="AX473" t="s">
        <v>103</v>
      </c>
      <c r="AY473" t="s">
        <v>159</v>
      </c>
      <c r="AZ473" t="s">
        <v>103</v>
      </c>
      <c r="BA473" t="s">
        <v>104</v>
      </c>
      <c r="BB473" t="s">
        <v>78</v>
      </c>
      <c r="BC473" t="s">
        <v>78</v>
      </c>
      <c r="BD473" t="s">
        <v>3185</v>
      </c>
      <c r="BE473">
        <v>0</v>
      </c>
      <c r="BF473">
        <v>0</v>
      </c>
      <c r="BG473">
        <v>0</v>
      </c>
      <c r="BH473">
        <v>0</v>
      </c>
      <c r="BJ473" t="s">
        <v>85</v>
      </c>
      <c r="BP473" t="s">
        <v>78</v>
      </c>
      <c r="BQ473" t="s">
        <v>78</v>
      </c>
      <c r="BR473" t="s">
        <v>78</v>
      </c>
    </row>
    <row r="474" customFormat="1" spans="1:70">
      <c r="A474" t="s">
        <v>3186</v>
      </c>
      <c r="B474" t="s">
        <v>3186</v>
      </c>
      <c r="C474" t="s">
        <v>1092</v>
      </c>
      <c r="D474" t="s">
        <v>123</v>
      </c>
      <c r="E474">
        <v>1</v>
      </c>
      <c r="F474" t="s">
        <v>1093</v>
      </c>
      <c r="G474" t="s">
        <v>1986</v>
      </c>
      <c r="H474">
        <v>289</v>
      </c>
      <c r="I474">
        <v>289</v>
      </c>
      <c r="J474">
        <v>0</v>
      </c>
      <c r="K474">
        <v>0</v>
      </c>
      <c r="L474" t="s">
        <v>78</v>
      </c>
      <c r="M474" t="s">
        <v>78</v>
      </c>
      <c r="N474" t="s">
        <v>78</v>
      </c>
      <c r="O474">
        <v>0</v>
      </c>
      <c r="P474">
        <v>0</v>
      </c>
      <c r="Q474">
        <v>0</v>
      </c>
      <c r="R474" t="s">
        <v>125</v>
      </c>
      <c r="S474">
        <v>0</v>
      </c>
      <c r="T474" t="s">
        <v>80</v>
      </c>
      <c r="U474" t="s">
        <v>80</v>
      </c>
      <c r="V474" t="s">
        <v>447</v>
      </c>
      <c r="W474" t="s">
        <v>1601</v>
      </c>
      <c r="X474" t="s">
        <v>1602</v>
      </c>
      <c r="Y474" t="s">
        <v>78</v>
      </c>
      <c r="Z474" t="s">
        <v>80</v>
      </c>
      <c r="AA474" t="s">
        <v>85</v>
      </c>
      <c r="AC474" t="s">
        <v>3187</v>
      </c>
      <c r="AD474" t="s">
        <v>87</v>
      </c>
      <c r="AF474" t="s">
        <v>3188</v>
      </c>
      <c r="AG474" t="s">
        <v>3189</v>
      </c>
      <c r="AH474" t="s">
        <v>91</v>
      </c>
      <c r="AI474" t="s">
        <v>92</v>
      </c>
      <c r="AJ474" t="s">
        <v>93</v>
      </c>
      <c r="AK474" t="s">
        <v>3184</v>
      </c>
      <c r="AL474" t="s">
        <v>95</v>
      </c>
      <c r="AM474" t="s">
        <v>96</v>
      </c>
      <c r="AN474" t="s">
        <v>97</v>
      </c>
      <c r="AO474" t="s">
        <v>98</v>
      </c>
      <c r="AP474" t="s">
        <v>78</v>
      </c>
      <c r="AQ474" t="s">
        <v>78</v>
      </c>
      <c r="AS474" t="s">
        <v>78</v>
      </c>
      <c r="AT474" t="s">
        <v>100</v>
      </c>
      <c r="AU474" t="s">
        <v>100</v>
      </c>
      <c r="AW474" t="s">
        <v>85</v>
      </c>
      <c r="AX474" t="s">
        <v>101</v>
      </c>
      <c r="AY474" t="s">
        <v>102</v>
      </c>
      <c r="AZ474" t="s">
        <v>103</v>
      </c>
      <c r="BA474" t="s">
        <v>419</v>
      </c>
      <c r="BB474" t="s">
        <v>78</v>
      </c>
      <c r="BC474" t="s">
        <v>78</v>
      </c>
      <c r="BD474" t="s">
        <v>3190</v>
      </c>
      <c r="BE474">
        <v>0</v>
      </c>
      <c r="BF474">
        <v>0</v>
      </c>
      <c r="BG474">
        <v>0</v>
      </c>
      <c r="BH474">
        <v>0</v>
      </c>
      <c r="BJ474" t="s">
        <v>85</v>
      </c>
      <c r="BP474" t="s">
        <v>78</v>
      </c>
      <c r="BQ474" t="s">
        <v>78</v>
      </c>
      <c r="BR474" t="s">
        <v>78</v>
      </c>
    </row>
    <row r="475" customFormat="1" spans="1:70">
      <c r="A475" t="s">
        <v>3191</v>
      </c>
      <c r="B475" t="s">
        <v>3191</v>
      </c>
      <c r="C475" t="s">
        <v>1092</v>
      </c>
      <c r="D475" t="s">
        <v>108</v>
      </c>
      <c r="E475">
        <v>1</v>
      </c>
      <c r="F475" t="s">
        <v>1093</v>
      </c>
      <c r="G475" t="s">
        <v>1094</v>
      </c>
      <c r="H475">
        <v>289</v>
      </c>
      <c r="I475">
        <v>289</v>
      </c>
      <c r="J475">
        <v>0</v>
      </c>
      <c r="K475">
        <v>0</v>
      </c>
      <c r="L475" t="s">
        <v>78</v>
      </c>
      <c r="M475" t="s">
        <v>78</v>
      </c>
      <c r="N475" t="s">
        <v>78</v>
      </c>
      <c r="O475">
        <v>0</v>
      </c>
      <c r="P475">
        <v>0</v>
      </c>
      <c r="Q475">
        <v>0</v>
      </c>
      <c r="R475" t="s">
        <v>125</v>
      </c>
      <c r="S475">
        <v>0</v>
      </c>
      <c r="T475" t="s">
        <v>80</v>
      </c>
      <c r="U475" t="s">
        <v>80</v>
      </c>
      <c r="V475" t="s">
        <v>112</v>
      </c>
      <c r="W475" t="s">
        <v>113</v>
      </c>
      <c r="X475" t="s">
        <v>114</v>
      </c>
      <c r="Y475" t="s">
        <v>115</v>
      </c>
      <c r="Z475" t="s">
        <v>80</v>
      </c>
      <c r="AA475" t="s">
        <v>85</v>
      </c>
      <c r="AC475" t="s">
        <v>3192</v>
      </c>
      <c r="AD475" t="s">
        <v>87</v>
      </c>
      <c r="AH475" t="s">
        <v>91</v>
      </c>
      <c r="AI475" t="s">
        <v>92</v>
      </c>
      <c r="AJ475" t="s">
        <v>131</v>
      </c>
      <c r="AK475" t="s">
        <v>3193</v>
      </c>
      <c r="AL475" t="s">
        <v>95</v>
      </c>
      <c r="AM475" t="s">
        <v>96</v>
      </c>
      <c r="AN475" t="s">
        <v>97</v>
      </c>
      <c r="AO475" t="s">
        <v>98</v>
      </c>
      <c r="AP475" t="s">
        <v>78</v>
      </c>
      <c r="AQ475" t="s">
        <v>78</v>
      </c>
      <c r="AR475" t="s">
        <v>195</v>
      </c>
      <c r="AS475" t="s">
        <v>78</v>
      </c>
      <c r="AT475" t="s">
        <v>100</v>
      </c>
      <c r="AU475" t="s">
        <v>100</v>
      </c>
      <c r="AW475" t="s">
        <v>85</v>
      </c>
      <c r="AX475" t="s">
        <v>101</v>
      </c>
      <c r="AY475" t="s">
        <v>102</v>
      </c>
      <c r="AZ475" t="s">
        <v>103</v>
      </c>
      <c r="BA475" t="s">
        <v>102</v>
      </c>
      <c r="BB475" t="s">
        <v>78</v>
      </c>
      <c r="BC475" t="s">
        <v>78</v>
      </c>
      <c r="BE475">
        <v>0</v>
      </c>
      <c r="BF475">
        <v>0</v>
      </c>
      <c r="BG475">
        <v>0</v>
      </c>
      <c r="BH475">
        <v>0</v>
      </c>
      <c r="BJ475" t="s">
        <v>85</v>
      </c>
      <c r="BP475" t="s">
        <v>78</v>
      </c>
      <c r="BQ475" t="s">
        <v>78</v>
      </c>
      <c r="BR475" t="s">
        <v>78</v>
      </c>
    </row>
    <row r="476" customFormat="1" spans="1:70">
      <c r="A476" t="s">
        <v>3194</v>
      </c>
      <c r="B476" t="s">
        <v>3194</v>
      </c>
      <c r="C476" t="s">
        <v>1092</v>
      </c>
      <c r="D476" t="s">
        <v>108</v>
      </c>
      <c r="E476">
        <v>1</v>
      </c>
      <c r="F476" t="s">
        <v>1093</v>
      </c>
      <c r="G476" t="s">
        <v>1094</v>
      </c>
      <c r="H476">
        <v>289</v>
      </c>
      <c r="I476">
        <v>289</v>
      </c>
      <c r="J476">
        <v>0</v>
      </c>
      <c r="K476">
        <v>0</v>
      </c>
      <c r="L476" t="s">
        <v>78</v>
      </c>
      <c r="M476" t="s">
        <v>78</v>
      </c>
      <c r="N476" t="s">
        <v>78</v>
      </c>
      <c r="O476">
        <v>0</v>
      </c>
      <c r="P476">
        <v>0</v>
      </c>
      <c r="Q476">
        <v>0</v>
      </c>
      <c r="R476" t="s">
        <v>79</v>
      </c>
      <c r="S476">
        <v>0</v>
      </c>
      <c r="T476" t="s">
        <v>80</v>
      </c>
      <c r="U476" t="s">
        <v>80</v>
      </c>
      <c r="V476" t="s">
        <v>178</v>
      </c>
      <c r="W476" t="s">
        <v>178</v>
      </c>
      <c r="X476" t="s">
        <v>293</v>
      </c>
      <c r="Y476" t="s">
        <v>294</v>
      </c>
      <c r="Z476" t="s">
        <v>80</v>
      </c>
      <c r="AA476" t="s">
        <v>85</v>
      </c>
      <c r="AC476" t="s">
        <v>3195</v>
      </c>
      <c r="AD476" t="s">
        <v>202</v>
      </c>
      <c r="AE476" t="s">
        <v>3196</v>
      </c>
      <c r="AG476" t="s">
        <v>3197</v>
      </c>
      <c r="AH476" t="s">
        <v>298</v>
      </c>
      <c r="AI476" t="s">
        <v>92</v>
      </c>
      <c r="AJ476" t="s">
        <v>131</v>
      </c>
      <c r="AK476" t="s">
        <v>3198</v>
      </c>
      <c r="AL476" t="s">
        <v>95</v>
      </c>
      <c r="AM476" t="s">
        <v>96</v>
      </c>
      <c r="AN476" t="s">
        <v>97</v>
      </c>
      <c r="AO476" t="s">
        <v>98</v>
      </c>
      <c r="AP476" t="s">
        <v>78</v>
      </c>
      <c r="AQ476" t="s">
        <v>99</v>
      </c>
      <c r="AS476" t="s">
        <v>78</v>
      </c>
      <c r="AT476" t="s">
        <v>100</v>
      </c>
      <c r="AU476" t="s">
        <v>100</v>
      </c>
      <c r="AW476" t="s">
        <v>85</v>
      </c>
      <c r="AX476" t="s">
        <v>101</v>
      </c>
      <c r="AY476" t="s">
        <v>102</v>
      </c>
      <c r="AZ476" t="s">
        <v>103</v>
      </c>
      <c r="BA476" t="s">
        <v>104</v>
      </c>
      <c r="BB476" t="s">
        <v>78</v>
      </c>
      <c r="BC476" t="s">
        <v>78</v>
      </c>
      <c r="BD476" t="s">
        <v>3185</v>
      </c>
      <c r="BE476">
        <v>0</v>
      </c>
      <c r="BF476">
        <v>0</v>
      </c>
      <c r="BG476">
        <v>0</v>
      </c>
      <c r="BH476">
        <v>0</v>
      </c>
      <c r="BJ476" t="s">
        <v>85</v>
      </c>
      <c r="BP476" t="s">
        <v>78</v>
      </c>
      <c r="BQ476" t="s">
        <v>78</v>
      </c>
      <c r="BR476" t="s">
        <v>78</v>
      </c>
    </row>
    <row r="477" customFormat="1" spans="1:70">
      <c r="A477" t="s">
        <v>3199</v>
      </c>
      <c r="B477" t="s">
        <v>3199</v>
      </c>
      <c r="C477" t="s">
        <v>1092</v>
      </c>
      <c r="D477" t="s">
        <v>108</v>
      </c>
      <c r="E477">
        <v>1</v>
      </c>
      <c r="F477" t="s">
        <v>1093</v>
      </c>
      <c r="G477" t="s">
        <v>1094</v>
      </c>
      <c r="H477">
        <v>289</v>
      </c>
      <c r="I477">
        <v>289</v>
      </c>
      <c r="J477">
        <v>0</v>
      </c>
      <c r="K477">
        <v>0</v>
      </c>
      <c r="L477" t="s">
        <v>78</v>
      </c>
      <c r="M477" t="s">
        <v>78</v>
      </c>
      <c r="N477" t="s">
        <v>78</v>
      </c>
      <c r="O477">
        <v>0</v>
      </c>
      <c r="P477">
        <v>0</v>
      </c>
      <c r="Q477">
        <v>0</v>
      </c>
      <c r="R477" t="s">
        <v>79</v>
      </c>
      <c r="S477">
        <v>0</v>
      </c>
      <c r="T477" t="s">
        <v>80</v>
      </c>
      <c r="U477" t="s">
        <v>80</v>
      </c>
      <c r="V477" t="s">
        <v>302</v>
      </c>
      <c r="W477" t="s">
        <v>1394</v>
      </c>
      <c r="X477" t="s">
        <v>2696</v>
      </c>
      <c r="Y477" t="s">
        <v>2697</v>
      </c>
      <c r="Z477" t="s">
        <v>80</v>
      </c>
      <c r="AA477" t="s">
        <v>85</v>
      </c>
      <c r="AC477" t="s">
        <v>3200</v>
      </c>
      <c r="AD477" t="s">
        <v>87</v>
      </c>
      <c r="AF477" t="s">
        <v>3201</v>
      </c>
      <c r="AG477" t="s">
        <v>3197</v>
      </c>
      <c r="AH477" t="s">
        <v>2699</v>
      </c>
      <c r="AI477" t="s">
        <v>92</v>
      </c>
      <c r="AJ477" t="s">
        <v>93</v>
      </c>
      <c r="AK477" t="s">
        <v>3202</v>
      </c>
      <c r="AL477" t="s">
        <v>95</v>
      </c>
      <c r="AM477" t="s">
        <v>96</v>
      </c>
      <c r="AN477" t="s">
        <v>97</v>
      </c>
      <c r="AO477" t="s">
        <v>98</v>
      </c>
      <c r="AP477" t="s">
        <v>78</v>
      </c>
      <c r="AQ477" t="s">
        <v>78</v>
      </c>
      <c r="AS477" t="s">
        <v>78</v>
      </c>
      <c r="AT477" t="s">
        <v>100</v>
      </c>
      <c r="AU477" t="s">
        <v>100</v>
      </c>
      <c r="AW477" t="s">
        <v>85</v>
      </c>
      <c r="AX477" t="s">
        <v>101</v>
      </c>
      <c r="AY477" t="s">
        <v>102</v>
      </c>
      <c r="AZ477" t="s">
        <v>103</v>
      </c>
      <c r="BA477" t="s">
        <v>102</v>
      </c>
      <c r="BB477" t="s">
        <v>78</v>
      </c>
      <c r="BC477" t="s">
        <v>78</v>
      </c>
      <c r="BD477" t="s">
        <v>3185</v>
      </c>
      <c r="BE477">
        <v>0</v>
      </c>
      <c r="BF477">
        <v>0</v>
      </c>
      <c r="BG477">
        <v>0</v>
      </c>
      <c r="BH477">
        <v>0</v>
      </c>
      <c r="BJ477" t="s">
        <v>85</v>
      </c>
      <c r="BP477" t="s">
        <v>78</v>
      </c>
      <c r="BQ477" t="s">
        <v>78</v>
      </c>
      <c r="BR477" t="s">
        <v>78</v>
      </c>
    </row>
    <row r="478" customFormat="1" spans="1:70">
      <c r="A478" t="s">
        <v>3203</v>
      </c>
      <c r="B478" t="s">
        <v>3203</v>
      </c>
      <c r="C478" t="s">
        <v>1092</v>
      </c>
      <c r="D478" t="s">
        <v>135</v>
      </c>
      <c r="E478">
        <v>1</v>
      </c>
      <c r="F478" t="s">
        <v>1093</v>
      </c>
      <c r="G478" t="s">
        <v>1357</v>
      </c>
      <c r="H478">
        <v>289</v>
      </c>
      <c r="I478">
        <v>289</v>
      </c>
      <c r="J478">
        <v>0</v>
      </c>
      <c r="K478">
        <v>0</v>
      </c>
      <c r="L478" t="s">
        <v>78</v>
      </c>
      <c r="M478" t="s">
        <v>78</v>
      </c>
      <c r="N478" t="s">
        <v>78</v>
      </c>
      <c r="O478">
        <v>0</v>
      </c>
      <c r="P478">
        <v>0</v>
      </c>
      <c r="Q478">
        <v>0</v>
      </c>
      <c r="R478" t="s">
        <v>111</v>
      </c>
      <c r="S478">
        <v>0</v>
      </c>
      <c r="T478" t="s">
        <v>80</v>
      </c>
      <c r="U478" t="s">
        <v>80</v>
      </c>
      <c r="V478" t="s">
        <v>189</v>
      </c>
      <c r="W478" t="s">
        <v>190</v>
      </c>
      <c r="X478" t="s">
        <v>320</v>
      </c>
      <c r="Y478" t="s">
        <v>321</v>
      </c>
      <c r="Z478" t="s">
        <v>80</v>
      </c>
      <c r="AA478" t="s">
        <v>85</v>
      </c>
      <c r="AC478" t="s">
        <v>3204</v>
      </c>
      <c r="AD478" t="s">
        <v>87</v>
      </c>
      <c r="AG478" t="s">
        <v>3192</v>
      </c>
      <c r="AH478" t="s">
        <v>2711</v>
      </c>
      <c r="AI478" t="s">
        <v>92</v>
      </c>
      <c r="AJ478" t="s">
        <v>131</v>
      </c>
      <c r="AK478" t="s">
        <v>3193</v>
      </c>
      <c r="AL478" t="s">
        <v>95</v>
      </c>
      <c r="AM478" t="s">
        <v>96</v>
      </c>
      <c r="AN478" t="s">
        <v>97</v>
      </c>
      <c r="AO478" t="s">
        <v>98</v>
      </c>
      <c r="AP478" t="s">
        <v>78</v>
      </c>
      <c r="AQ478" t="s">
        <v>99</v>
      </c>
      <c r="AS478" t="s">
        <v>78</v>
      </c>
      <c r="AT478" t="s">
        <v>100</v>
      </c>
      <c r="AU478" t="s">
        <v>100</v>
      </c>
      <c r="AW478" t="s">
        <v>85</v>
      </c>
      <c r="AX478" t="s">
        <v>103</v>
      </c>
      <c r="AY478" t="s">
        <v>159</v>
      </c>
      <c r="AZ478" t="s">
        <v>103</v>
      </c>
      <c r="BA478" t="s">
        <v>102</v>
      </c>
      <c r="BB478" t="s">
        <v>78</v>
      </c>
      <c r="BC478" t="s">
        <v>78</v>
      </c>
      <c r="BE478">
        <v>0</v>
      </c>
      <c r="BF478">
        <v>0</v>
      </c>
      <c r="BG478">
        <v>0</v>
      </c>
      <c r="BH478">
        <v>0</v>
      </c>
      <c r="BJ478" t="s">
        <v>85</v>
      </c>
      <c r="BP478" t="s">
        <v>78</v>
      </c>
      <c r="BQ478" t="s">
        <v>78</v>
      </c>
      <c r="BR478" t="s">
        <v>78</v>
      </c>
    </row>
    <row r="479" customFormat="1" spans="1:70">
      <c r="A479" t="s">
        <v>3205</v>
      </c>
      <c r="B479" t="s">
        <v>3205</v>
      </c>
      <c r="C479" t="s">
        <v>107</v>
      </c>
      <c r="D479" t="s">
        <v>108</v>
      </c>
      <c r="E479">
        <v>1</v>
      </c>
      <c r="F479" t="s">
        <v>109</v>
      </c>
      <c r="G479" t="s">
        <v>110</v>
      </c>
      <c r="H479">
        <v>289</v>
      </c>
      <c r="I479">
        <v>289</v>
      </c>
      <c r="J479">
        <v>0</v>
      </c>
      <c r="K479">
        <v>0</v>
      </c>
      <c r="L479" t="s">
        <v>78</v>
      </c>
      <c r="M479" t="s">
        <v>78</v>
      </c>
      <c r="N479" t="s">
        <v>78</v>
      </c>
      <c r="O479">
        <v>0</v>
      </c>
      <c r="P479">
        <v>0</v>
      </c>
      <c r="Q479">
        <v>0</v>
      </c>
      <c r="R479" t="s">
        <v>125</v>
      </c>
      <c r="S479">
        <v>0</v>
      </c>
      <c r="T479" t="s">
        <v>80</v>
      </c>
      <c r="U479" t="s">
        <v>80</v>
      </c>
      <c r="V479" t="s">
        <v>126</v>
      </c>
      <c r="W479" t="s">
        <v>1748</v>
      </c>
      <c r="X479" t="s">
        <v>3206</v>
      </c>
      <c r="Y479" t="s">
        <v>3207</v>
      </c>
      <c r="Z479" t="s">
        <v>80</v>
      </c>
      <c r="AA479" t="s">
        <v>85</v>
      </c>
      <c r="AC479" t="s">
        <v>3208</v>
      </c>
      <c r="AD479" t="s">
        <v>87</v>
      </c>
      <c r="AH479" t="s">
        <v>227</v>
      </c>
      <c r="AI479" t="s">
        <v>92</v>
      </c>
      <c r="AJ479" t="s">
        <v>131</v>
      </c>
      <c r="AK479" t="s">
        <v>3209</v>
      </c>
      <c r="AL479" t="s">
        <v>95</v>
      </c>
      <c r="AM479" t="s">
        <v>96</v>
      </c>
      <c r="AN479" t="s">
        <v>97</v>
      </c>
      <c r="AO479" t="s">
        <v>98</v>
      </c>
      <c r="AP479" t="s">
        <v>78</v>
      </c>
      <c r="AQ479" t="s">
        <v>78</v>
      </c>
      <c r="AR479" t="s">
        <v>672</v>
      </c>
      <c r="AS479" t="s">
        <v>78</v>
      </c>
      <c r="AT479" t="s">
        <v>100</v>
      </c>
      <c r="AU479" t="s">
        <v>100</v>
      </c>
      <c r="AW479" t="s">
        <v>85</v>
      </c>
      <c r="AX479" t="s">
        <v>103</v>
      </c>
      <c r="AY479" t="s">
        <v>159</v>
      </c>
      <c r="AZ479" t="s">
        <v>103</v>
      </c>
      <c r="BA479" t="s">
        <v>104</v>
      </c>
      <c r="BB479" t="s">
        <v>78</v>
      </c>
      <c r="BC479" t="s">
        <v>78</v>
      </c>
      <c r="BE479">
        <v>0</v>
      </c>
      <c r="BF479">
        <v>0</v>
      </c>
      <c r="BG479">
        <v>0</v>
      </c>
      <c r="BH479">
        <v>0</v>
      </c>
      <c r="BJ479" t="s">
        <v>85</v>
      </c>
      <c r="BP479" t="s">
        <v>78</v>
      </c>
      <c r="BQ479" t="s">
        <v>78</v>
      </c>
      <c r="BR479" t="s">
        <v>78</v>
      </c>
    </row>
    <row r="480" customFormat="1" spans="1:70">
      <c r="A480" t="s">
        <v>3210</v>
      </c>
      <c r="B480" t="s">
        <v>3210</v>
      </c>
      <c r="C480" t="s">
        <v>1092</v>
      </c>
      <c r="D480" t="s">
        <v>3085</v>
      </c>
      <c r="E480">
        <v>1</v>
      </c>
      <c r="F480" t="s">
        <v>1093</v>
      </c>
      <c r="G480" t="s">
        <v>3086</v>
      </c>
      <c r="H480" s="20">
        <v>9999</v>
      </c>
      <c r="I480" s="20">
        <v>9999</v>
      </c>
      <c r="J480">
        <v>0</v>
      </c>
      <c r="K480">
        <v>0</v>
      </c>
      <c r="L480" t="s">
        <v>78</v>
      </c>
      <c r="M480" t="s">
        <v>78</v>
      </c>
      <c r="N480" t="s">
        <v>78</v>
      </c>
      <c r="O480">
        <v>0</v>
      </c>
      <c r="P480">
        <v>0</v>
      </c>
      <c r="Q480">
        <v>0</v>
      </c>
      <c r="R480" t="s">
        <v>125</v>
      </c>
      <c r="S480">
        <v>0</v>
      </c>
      <c r="T480" t="s">
        <v>80</v>
      </c>
      <c r="U480" t="s">
        <v>80</v>
      </c>
      <c r="V480" t="s">
        <v>302</v>
      </c>
      <c r="W480" t="s">
        <v>412</v>
      </c>
      <c r="X480" t="s">
        <v>3211</v>
      </c>
      <c r="Y480" t="s">
        <v>3212</v>
      </c>
      <c r="Z480" t="s">
        <v>80</v>
      </c>
      <c r="AA480" t="s">
        <v>85</v>
      </c>
      <c r="AC480" t="s">
        <v>3213</v>
      </c>
      <c r="AD480" t="s">
        <v>87</v>
      </c>
      <c r="AH480" t="s">
        <v>183</v>
      </c>
      <c r="AI480" t="s">
        <v>92</v>
      </c>
      <c r="AJ480" t="s">
        <v>131</v>
      </c>
      <c r="AK480" t="s">
        <v>3214</v>
      </c>
      <c r="AL480" t="s">
        <v>95</v>
      </c>
      <c r="AM480" t="s">
        <v>96</v>
      </c>
      <c r="AN480" t="s">
        <v>97</v>
      </c>
      <c r="AO480" t="s">
        <v>98</v>
      </c>
      <c r="AP480" t="s">
        <v>78</v>
      </c>
      <c r="AQ480" t="s">
        <v>78</v>
      </c>
      <c r="AR480" t="s">
        <v>353</v>
      </c>
      <c r="AS480" t="s">
        <v>78</v>
      </c>
      <c r="AT480" t="s">
        <v>100</v>
      </c>
      <c r="AU480" t="s">
        <v>100</v>
      </c>
      <c r="AW480" t="s">
        <v>85</v>
      </c>
      <c r="AX480" t="s">
        <v>103</v>
      </c>
      <c r="AY480" t="s">
        <v>159</v>
      </c>
      <c r="AZ480" t="s">
        <v>103</v>
      </c>
      <c r="BA480" t="s">
        <v>185</v>
      </c>
      <c r="BB480" t="s">
        <v>78</v>
      </c>
      <c r="BC480" t="s">
        <v>78</v>
      </c>
      <c r="BE480">
        <v>0</v>
      </c>
      <c r="BF480">
        <v>0</v>
      </c>
      <c r="BG480">
        <v>0</v>
      </c>
      <c r="BH480">
        <v>0</v>
      </c>
      <c r="BJ480" t="s">
        <v>85</v>
      </c>
      <c r="BP480" t="s">
        <v>78</v>
      </c>
      <c r="BQ480" t="s">
        <v>78</v>
      </c>
      <c r="BR480" t="s">
        <v>78</v>
      </c>
    </row>
    <row r="481" customFormat="1" spans="1:70">
      <c r="A481" t="s">
        <v>3215</v>
      </c>
      <c r="B481" t="s">
        <v>3215</v>
      </c>
      <c r="C481" t="s">
        <v>1092</v>
      </c>
      <c r="D481" t="s">
        <v>108</v>
      </c>
      <c r="E481">
        <v>1</v>
      </c>
      <c r="F481" t="s">
        <v>1093</v>
      </c>
      <c r="G481" t="s">
        <v>1094</v>
      </c>
      <c r="H481" s="20">
        <v>9999</v>
      </c>
      <c r="I481" s="20">
        <v>9999</v>
      </c>
      <c r="J481">
        <v>0</v>
      </c>
      <c r="K481">
        <v>0</v>
      </c>
      <c r="L481" t="s">
        <v>78</v>
      </c>
      <c r="M481" t="s">
        <v>78</v>
      </c>
      <c r="N481" t="s">
        <v>78</v>
      </c>
      <c r="O481">
        <v>0</v>
      </c>
      <c r="P481">
        <v>0</v>
      </c>
      <c r="Q481">
        <v>0</v>
      </c>
      <c r="R481" t="s">
        <v>79</v>
      </c>
      <c r="S481">
        <v>0</v>
      </c>
      <c r="T481" t="s">
        <v>80</v>
      </c>
      <c r="U481" t="s">
        <v>80</v>
      </c>
      <c r="V481" t="s">
        <v>464</v>
      </c>
      <c r="W481" t="s">
        <v>1460</v>
      </c>
      <c r="X481" t="s">
        <v>2733</v>
      </c>
      <c r="Y481" t="s">
        <v>2734</v>
      </c>
      <c r="Z481" t="s">
        <v>80</v>
      </c>
      <c r="AA481" t="s">
        <v>85</v>
      </c>
      <c r="AC481" t="s">
        <v>3216</v>
      </c>
      <c r="AD481" t="s">
        <v>87</v>
      </c>
      <c r="AH481" t="s">
        <v>91</v>
      </c>
      <c r="AI481" t="s">
        <v>92</v>
      </c>
      <c r="AJ481" t="s">
        <v>131</v>
      </c>
      <c r="AK481" t="s">
        <v>3217</v>
      </c>
      <c r="AL481" t="s">
        <v>95</v>
      </c>
      <c r="AM481" t="s">
        <v>96</v>
      </c>
      <c r="AN481" t="s">
        <v>97</v>
      </c>
      <c r="AO481" t="s">
        <v>98</v>
      </c>
      <c r="AP481" t="s">
        <v>78</v>
      </c>
      <c r="AQ481" t="s">
        <v>78</v>
      </c>
      <c r="AR481" t="s">
        <v>195</v>
      </c>
      <c r="AS481" t="s">
        <v>78</v>
      </c>
      <c r="AT481" t="s">
        <v>100</v>
      </c>
      <c r="AU481" t="s">
        <v>100</v>
      </c>
      <c r="AW481" t="s">
        <v>85</v>
      </c>
      <c r="AX481" t="s">
        <v>103</v>
      </c>
      <c r="AY481" t="s">
        <v>159</v>
      </c>
      <c r="AZ481" t="s">
        <v>103</v>
      </c>
      <c r="BA481" t="s">
        <v>104</v>
      </c>
      <c r="BB481" t="s">
        <v>78</v>
      </c>
      <c r="BC481" t="s">
        <v>78</v>
      </c>
      <c r="BE481">
        <v>0</v>
      </c>
      <c r="BF481">
        <v>0</v>
      </c>
      <c r="BG481">
        <v>0</v>
      </c>
      <c r="BH481">
        <v>0</v>
      </c>
      <c r="BJ481" t="s">
        <v>85</v>
      </c>
      <c r="BP481" t="s">
        <v>78</v>
      </c>
      <c r="BQ481" t="s">
        <v>78</v>
      </c>
      <c r="BR481" t="s">
        <v>78</v>
      </c>
    </row>
    <row r="482" customFormat="1" spans="1:70">
      <c r="A482" t="s">
        <v>3218</v>
      </c>
      <c r="B482" t="s">
        <v>3218</v>
      </c>
      <c r="C482" t="s">
        <v>1050</v>
      </c>
      <c r="D482" t="s">
        <v>1051</v>
      </c>
      <c r="E482">
        <v>1</v>
      </c>
      <c r="F482" t="s">
        <v>1052</v>
      </c>
      <c r="G482" t="s">
        <v>1053</v>
      </c>
      <c r="H482">
        <v>129</v>
      </c>
      <c r="I482">
        <v>129</v>
      </c>
      <c r="J482">
        <v>0</v>
      </c>
      <c r="K482">
        <v>0</v>
      </c>
      <c r="L482" t="s">
        <v>78</v>
      </c>
      <c r="M482" t="s">
        <v>78</v>
      </c>
      <c r="N482" t="s">
        <v>78</v>
      </c>
      <c r="O482">
        <v>0</v>
      </c>
      <c r="P482">
        <v>0</v>
      </c>
      <c r="Q482">
        <v>0</v>
      </c>
      <c r="R482" t="s">
        <v>125</v>
      </c>
      <c r="S482">
        <v>0</v>
      </c>
      <c r="T482" t="s">
        <v>80</v>
      </c>
      <c r="U482" t="s">
        <v>80</v>
      </c>
      <c r="V482" t="s">
        <v>509</v>
      </c>
      <c r="W482" t="s">
        <v>623</v>
      </c>
      <c r="X482" t="s">
        <v>3219</v>
      </c>
      <c r="Y482" t="s">
        <v>3220</v>
      </c>
      <c r="Z482" t="s">
        <v>80</v>
      </c>
      <c r="AA482" t="s">
        <v>85</v>
      </c>
      <c r="AC482" t="s">
        <v>3221</v>
      </c>
      <c r="AD482" t="s">
        <v>87</v>
      </c>
      <c r="AH482" t="s">
        <v>227</v>
      </c>
      <c r="AI482" t="s">
        <v>92</v>
      </c>
      <c r="AJ482" t="s">
        <v>131</v>
      </c>
      <c r="AK482" t="s">
        <v>3222</v>
      </c>
      <c r="AL482" t="s">
        <v>95</v>
      </c>
      <c r="AM482" t="s">
        <v>96</v>
      </c>
      <c r="AN482" t="s">
        <v>97</v>
      </c>
      <c r="AO482" t="s">
        <v>98</v>
      </c>
      <c r="AP482" t="s">
        <v>78</v>
      </c>
      <c r="AQ482" t="s">
        <v>78</v>
      </c>
      <c r="AR482" t="s">
        <v>353</v>
      </c>
      <c r="AS482" t="s">
        <v>78</v>
      </c>
      <c r="AT482" t="s">
        <v>100</v>
      </c>
      <c r="AU482" t="s">
        <v>100</v>
      </c>
      <c r="AW482" t="s">
        <v>85</v>
      </c>
      <c r="AX482" t="s">
        <v>103</v>
      </c>
      <c r="AY482" t="s">
        <v>159</v>
      </c>
      <c r="AZ482" t="s">
        <v>103</v>
      </c>
      <c r="BA482" t="s">
        <v>133</v>
      </c>
      <c r="BB482" t="s">
        <v>78</v>
      </c>
      <c r="BC482" t="s">
        <v>78</v>
      </c>
      <c r="BE482">
        <v>0</v>
      </c>
      <c r="BF482">
        <v>0</v>
      </c>
      <c r="BG482">
        <v>0</v>
      </c>
      <c r="BH482">
        <v>0</v>
      </c>
      <c r="BJ482" t="s">
        <v>85</v>
      </c>
      <c r="BP482" t="s">
        <v>78</v>
      </c>
      <c r="BQ482" t="s">
        <v>78</v>
      </c>
      <c r="BR482" t="s">
        <v>78</v>
      </c>
    </row>
    <row r="483" customFormat="1" spans="1:70">
      <c r="A483" t="s">
        <v>3223</v>
      </c>
      <c r="B483" t="s">
        <v>3223</v>
      </c>
      <c r="C483" t="s">
        <v>107</v>
      </c>
      <c r="D483" t="s">
        <v>108</v>
      </c>
      <c r="E483">
        <v>1</v>
      </c>
      <c r="F483" t="s">
        <v>109</v>
      </c>
      <c r="G483" t="s">
        <v>110</v>
      </c>
      <c r="H483">
        <v>289</v>
      </c>
      <c r="I483">
        <v>276</v>
      </c>
      <c r="J483">
        <v>0</v>
      </c>
      <c r="K483">
        <v>13</v>
      </c>
      <c r="L483" t="s">
        <v>3224</v>
      </c>
      <c r="M483" t="s">
        <v>78</v>
      </c>
      <c r="N483" t="s">
        <v>78</v>
      </c>
      <c r="O483">
        <v>0</v>
      </c>
      <c r="P483">
        <v>0</v>
      </c>
      <c r="Q483">
        <v>0</v>
      </c>
      <c r="R483" t="s">
        <v>125</v>
      </c>
      <c r="S483">
        <v>0</v>
      </c>
      <c r="T483" t="s">
        <v>80</v>
      </c>
      <c r="U483" t="s">
        <v>80</v>
      </c>
      <c r="V483" t="s">
        <v>126</v>
      </c>
      <c r="W483" t="s">
        <v>518</v>
      </c>
      <c r="X483" t="s">
        <v>979</v>
      </c>
      <c r="Y483" t="s">
        <v>3225</v>
      </c>
      <c r="Z483" t="s">
        <v>80</v>
      </c>
      <c r="AA483" t="s">
        <v>85</v>
      </c>
      <c r="AC483" t="s">
        <v>3226</v>
      </c>
      <c r="AD483" t="s">
        <v>202</v>
      </c>
      <c r="AE483" t="s">
        <v>3227</v>
      </c>
      <c r="AF483" t="s">
        <v>3043</v>
      </c>
      <c r="AG483" t="s">
        <v>3228</v>
      </c>
      <c r="AH483" t="s">
        <v>3229</v>
      </c>
      <c r="AI483" t="s">
        <v>92</v>
      </c>
      <c r="AJ483" t="s">
        <v>93</v>
      </c>
      <c r="AK483" t="s">
        <v>3230</v>
      </c>
      <c r="AL483" t="s">
        <v>95</v>
      </c>
      <c r="AM483" t="s">
        <v>96</v>
      </c>
      <c r="AN483" t="s">
        <v>97</v>
      </c>
      <c r="AO483" t="s">
        <v>98</v>
      </c>
      <c r="AP483" t="s">
        <v>78</v>
      </c>
      <c r="AQ483" t="s">
        <v>99</v>
      </c>
      <c r="AS483" t="s">
        <v>78</v>
      </c>
      <c r="AT483" t="s">
        <v>100</v>
      </c>
      <c r="AU483" t="s">
        <v>100</v>
      </c>
      <c r="AW483" t="s">
        <v>85</v>
      </c>
      <c r="AX483" t="s">
        <v>103</v>
      </c>
      <c r="AY483" t="s">
        <v>159</v>
      </c>
      <c r="AZ483" t="s">
        <v>103</v>
      </c>
      <c r="BA483" t="s">
        <v>102</v>
      </c>
      <c r="BB483" t="s">
        <v>78</v>
      </c>
      <c r="BC483" t="s">
        <v>78</v>
      </c>
      <c r="BD483" t="s">
        <v>3046</v>
      </c>
      <c r="BE483">
        <v>0</v>
      </c>
      <c r="BF483">
        <v>13</v>
      </c>
      <c r="BG483">
        <v>0</v>
      </c>
      <c r="BH483">
        <v>0</v>
      </c>
      <c r="BJ483" t="s">
        <v>85</v>
      </c>
      <c r="BP483" t="s">
        <v>78</v>
      </c>
      <c r="BQ483" t="s">
        <v>78</v>
      </c>
      <c r="BR483" t="s">
        <v>78</v>
      </c>
    </row>
    <row r="484" customFormat="1" spans="1:70">
      <c r="A484" t="s">
        <v>3231</v>
      </c>
      <c r="B484" t="s">
        <v>3231</v>
      </c>
      <c r="C484" t="s">
        <v>1050</v>
      </c>
      <c r="D484" t="s">
        <v>1142</v>
      </c>
      <c r="E484">
        <v>1</v>
      </c>
      <c r="F484" t="s">
        <v>1052</v>
      </c>
      <c r="G484" t="s">
        <v>1143</v>
      </c>
      <c r="H484">
        <v>129</v>
      </c>
      <c r="I484">
        <v>129</v>
      </c>
      <c r="J484">
        <v>0</v>
      </c>
      <c r="K484">
        <v>0</v>
      </c>
      <c r="L484" t="s">
        <v>78</v>
      </c>
      <c r="M484" t="s">
        <v>78</v>
      </c>
      <c r="N484" t="s">
        <v>78</v>
      </c>
      <c r="O484">
        <v>0</v>
      </c>
      <c r="P484">
        <v>0</v>
      </c>
      <c r="Q484">
        <v>0</v>
      </c>
      <c r="R484" t="s">
        <v>79</v>
      </c>
      <c r="S484">
        <v>0</v>
      </c>
      <c r="T484" t="s">
        <v>80</v>
      </c>
      <c r="U484" t="s">
        <v>80</v>
      </c>
      <c r="V484" t="s">
        <v>257</v>
      </c>
      <c r="W484" t="s">
        <v>257</v>
      </c>
      <c r="X484" t="s">
        <v>3232</v>
      </c>
      <c r="Y484" t="s">
        <v>3233</v>
      </c>
      <c r="Z484" t="s">
        <v>80</v>
      </c>
      <c r="AA484" t="s">
        <v>85</v>
      </c>
      <c r="AC484" t="s">
        <v>3234</v>
      </c>
      <c r="AD484" t="s">
        <v>87</v>
      </c>
      <c r="AG484" t="s">
        <v>3235</v>
      </c>
      <c r="AH484" t="s">
        <v>91</v>
      </c>
      <c r="AI484" t="s">
        <v>92</v>
      </c>
      <c r="AJ484" t="s">
        <v>131</v>
      </c>
      <c r="AK484" t="s">
        <v>3236</v>
      </c>
      <c r="AL484" t="s">
        <v>95</v>
      </c>
      <c r="AM484" t="s">
        <v>96</v>
      </c>
      <c r="AN484" t="s">
        <v>97</v>
      </c>
      <c r="AO484" t="s">
        <v>98</v>
      </c>
      <c r="AP484" t="s">
        <v>78</v>
      </c>
      <c r="AQ484" t="s">
        <v>99</v>
      </c>
      <c r="AS484" t="s">
        <v>78</v>
      </c>
      <c r="AT484" t="s">
        <v>100</v>
      </c>
      <c r="AU484" t="s">
        <v>100</v>
      </c>
      <c r="AW484" t="s">
        <v>85</v>
      </c>
      <c r="AX484" t="s">
        <v>103</v>
      </c>
      <c r="AY484" t="s">
        <v>159</v>
      </c>
      <c r="AZ484" t="s">
        <v>103</v>
      </c>
      <c r="BA484" t="s">
        <v>133</v>
      </c>
      <c r="BB484" t="s">
        <v>78</v>
      </c>
      <c r="BC484" t="s">
        <v>78</v>
      </c>
      <c r="BE484">
        <v>0</v>
      </c>
      <c r="BF484">
        <v>0</v>
      </c>
      <c r="BG484">
        <v>0</v>
      </c>
      <c r="BH484">
        <v>0</v>
      </c>
      <c r="BJ484" t="s">
        <v>85</v>
      </c>
      <c r="BP484" t="s">
        <v>78</v>
      </c>
      <c r="BQ484" t="s">
        <v>78</v>
      </c>
      <c r="BR484" t="s">
        <v>78</v>
      </c>
    </row>
    <row r="485" customFormat="1" spans="1:70">
      <c r="A485" t="s">
        <v>3237</v>
      </c>
      <c r="B485" t="s">
        <v>3237</v>
      </c>
      <c r="C485" t="s">
        <v>1050</v>
      </c>
      <c r="D485" t="s">
        <v>1051</v>
      </c>
      <c r="E485">
        <v>1</v>
      </c>
      <c r="F485" t="s">
        <v>1052</v>
      </c>
      <c r="G485" t="s">
        <v>1053</v>
      </c>
      <c r="H485">
        <v>129</v>
      </c>
      <c r="I485">
        <v>129</v>
      </c>
      <c r="J485">
        <v>0</v>
      </c>
      <c r="K485">
        <v>0</v>
      </c>
      <c r="L485" t="s">
        <v>78</v>
      </c>
      <c r="M485" t="s">
        <v>78</v>
      </c>
      <c r="N485" t="s">
        <v>78</v>
      </c>
      <c r="O485">
        <v>0</v>
      </c>
      <c r="P485">
        <v>0</v>
      </c>
      <c r="Q485">
        <v>0</v>
      </c>
      <c r="R485" t="s">
        <v>125</v>
      </c>
      <c r="S485">
        <v>0</v>
      </c>
      <c r="T485" t="s">
        <v>80</v>
      </c>
      <c r="U485" t="s">
        <v>80</v>
      </c>
      <c r="V485" t="s">
        <v>500</v>
      </c>
      <c r="W485" t="s">
        <v>501</v>
      </c>
      <c r="X485" t="s">
        <v>3238</v>
      </c>
      <c r="Y485" t="s">
        <v>78</v>
      </c>
      <c r="Z485" t="s">
        <v>80</v>
      </c>
      <c r="AA485" t="s">
        <v>85</v>
      </c>
      <c r="AC485" t="s">
        <v>3239</v>
      </c>
      <c r="AD485" t="s">
        <v>87</v>
      </c>
      <c r="AG485" t="s">
        <v>3240</v>
      </c>
      <c r="AH485" t="s">
        <v>91</v>
      </c>
      <c r="AI485" t="s">
        <v>92</v>
      </c>
      <c r="AJ485" t="s">
        <v>131</v>
      </c>
      <c r="AK485" t="s">
        <v>3241</v>
      </c>
      <c r="AL485" t="s">
        <v>95</v>
      </c>
      <c r="AM485" t="s">
        <v>96</v>
      </c>
      <c r="AN485" t="s">
        <v>97</v>
      </c>
      <c r="AO485" t="s">
        <v>98</v>
      </c>
      <c r="AP485" t="s">
        <v>78</v>
      </c>
      <c r="AQ485" t="s">
        <v>99</v>
      </c>
      <c r="AS485" t="s">
        <v>78</v>
      </c>
      <c r="AT485" t="s">
        <v>100</v>
      </c>
      <c r="AU485" t="s">
        <v>100</v>
      </c>
      <c r="AW485" t="s">
        <v>85</v>
      </c>
      <c r="AX485" t="s">
        <v>101</v>
      </c>
      <c r="AY485" t="s">
        <v>102</v>
      </c>
      <c r="AZ485" t="s">
        <v>103</v>
      </c>
      <c r="BA485" t="s">
        <v>120</v>
      </c>
      <c r="BB485" t="s">
        <v>78</v>
      </c>
      <c r="BC485" t="s">
        <v>78</v>
      </c>
      <c r="BE485">
        <v>0</v>
      </c>
      <c r="BF485">
        <v>0</v>
      </c>
      <c r="BG485">
        <v>0</v>
      </c>
      <c r="BH485">
        <v>0</v>
      </c>
      <c r="BJ485" t="s">
        <v>85</v>
      </c>
      <c r="BP485" t="s">
        <v>78</v>
      </c>
      <c r="BQ485" t="s">
        <v>78</v>
      </c>
      <c r="BR485" t="s">
        <v>78</v>
      </c>
    </row>
    <row r="486" customFormat="1" spans="1:70">
      <c r="A486" t="s">
        <v>3242</v>
      </c>
      <c r="B486" t="s">
        <v>3242</v>
      </c>
      <c r="C486" t="s">
        <v>3243</v>
      </c>
      <c r="D486" t="s">
        <v>108</v>
      </c>
      <c r="E486">
        <v>1</v>
      </c>
      <c r="F486" t="s">
        <v>3244</v>
      </c>
      <c r="G486" t="s">
        <v>3245</v>
      </c>
      <c r="H486">
        <v>299</v>
      </c>
      <c r="I486">
        <v>272.8</v>
      </c>
      <c r="J486">
        <v>0</v>
      </c>
      <c r="K486">
        <v>27.7</v>
      </c>
      <c r="L486" t="s">
        <v>3246</v>
      </c>
      <c r="M486" t="s">
        <v>78</v>
      </c>
      <c r="N486" t="s">
        <v>78</v>
      </c>
      <c r="O486">
        <v>0</v>
      </c>
      <c r="P486">
        <v>1.5</v>
      </c>
      <c r="Q486">
        <v>0</v>
      </c>
      <c r="R486" t="s">
        <v>79</v>
      </c>
      <c r="S486">
        <v>0</v>
      </c>
      <c r="T486" t="s">
        <v>80</v>
      </c>
      <c r="U486" t="s">
        <v>80</v>
      </c>
      <c r="V486" t="s">
        <v>126</v>
      </c>
      <c r="W486" t="s">
        <v>3247</v>
      </c>
      <c r="X486" t="s">
        <v>3248</v>
      </c>
      <c r="Y486" t="s">
        <v>3249</v>
      </c>
      <c r="Z486" t="s">
        <v>80</v>
      </c>
      <c r="AA486" t="s">
        <v>85</v>
      </c>
      <c r="AC486" t="s">
        <v>3250</v>
      </c>
      <c r="AD486" t="s">
        <v>362</v>
      </c>
      <c r="AE486" t="s">
        <v>3251</v>
      </c>
      <c r="AF486" t="s">
        <v>3252</v>
      </c>
      <c r="AG486" t="s">
        <v>3253</v>
      </c>
      <c r="AH486" t="s">
        <v>91</v>
      </c>
      <c r="AI486" t="s">
        <v>216</v>
      </c>
      <c r="AJ486" t="s">
        <v>93</v>
      </c>
      <c r="AK486" t="s">
        <v>3254</v>
      </c>
      <c r="AL486" t="s">
        <v>95</v>
      </c>
      <c r="AM486" t="s">
        <v>96</v>
      </c>
      <c r="AN486" t="s">
        <v>96</v>
      </c>
      <c r="AP486" t="s">
        <v>78</v>
      </c>
      <c r="AQ486" t="s">
        <v>78</v>
      </c>
      <c r="AS486" t="s">
        <v>78</v>
      </c>
      <c r="AT486" t="s">
        <v>100</v>
      </c>
      <c r="AU486" t="s">
        <v>100</v>
      </c>
      <c r="AW486" t="s">
        <v>85</v>
      </c>
      <c r="AX486" t="s">
        <v>101</v>
      </c>
      <c r="AY486" t="s">
        <v>102</v>
      </c>
      <c r="AZ486" t="s">
        <v>145</v>
      </c>
      <c r="BA486" t="s">
        <v>354</v>
      </c>
      <c r="BB486" t="s">
        <v>78</v>
      </c>
      <c r="BC486" t="s">
        <v>78</v>
      </c>
      <c r="BD486" t="s">
        <v>3255</v>
      </c>
      <c r="BE486">
        <v>0</v>
      </c>
      <c r="BF486">
        <v>26.2</v>
      </c>
      <c r="BG486">
        <v>0</v>
      </c>
      <c r="BH486">
        <v>0</v>
      </c>
      <c r="BJ486" t="s">
        <v>85</v>
      </c>
      <c r="BP486" t="s">
        <v>78</v>
      </c>
      <c r="BQ486" t="s">
        <v>78</v>
      </c>
      <c r="BR486" t="s">
        <v>78</v>
      </c>
    </row>
    <row r="487" customFormat="1" spans="1:70">
      <c r="A487" t="s">
        <v>3256</v>
      </c>
      <c r="B487" t="s">
        <v>3256</v>
      </c>
      <c r="C487" t="s">
        <v>107</v>
      </c>
      <c r="D487" t="s">
        <v>108</v>
      </c>
      <c r="E487">
        <v>1</v>
      </c>
      <c r="F487" t="s">
        <v>109</v>
      </c>
      <c r="G487" t="s">
        <v>110</v>
      </c>
      <c r="H487">
        <v>289</v>
      </c>
      <c r="I487">
        <v>267.86</v>
      </c>
      <c r="J487">
        <v>0</v>
      </c>
      <c r="K487">
        <v>21.14</v>
      </c>
      <c r="L487" t="s">
        <v>3257</v>
      </c>
      <c r="M487" t="s">
        <v>78</v>
      </c>
      <c r="N487" t="s">
        <v>78</v>
      </c>
      <c r="O487">
        <v>0</v>
      </c>
      <c r="P487">
        <v>0</v>
      </c>
      <c r="Q487">
        <v>0</v>
      </c>
      <c r="R487" t="s">
        <v>111</v>
      </c>
      <c r="S487">
        <v>0</v>
      </c>
      <c r="T487" t="s">
        <v>80</v>
      </c>
      <c r="U487" t="s">
        <v>80</v>
      </c>
      <c r="V487" t="s">
        <v>138</v>
      </c>
      <c r="W487" t="s">
        <v>2228</v>
      </c>
      <c r="X487" t="s">
        <v>2229</v>
      </c>
      <c r="Y487" t="s">
        <v>3258</v>
      </c>
      <c r="Z487" t="s">
        <v>80</v>
      </c>
      <c r="AA487" t="s">
        <v>85</v>
      </c>
      <c r="AC487" t="s">
        <v>3259</v>
      </c>
      <c r="AD487" t="s">
        <v>87</v>
      </c>
      <c r="AF487" t="s">
        <v>3260</v>
      </c>
      <c r="AG487" t="s">
        <v>3261</v>
      </c>
      <c r="AH487" t="s">
        <v>91</v>
      </c>
      <c r="AI487" t="s">
        <v>92</v>
      </c>
      <c r="AJ487" t="s">
        <v>93</v>
      </c>
      <c r="AK487" t="s">
        <v>3262</v>
      </c>
      <c r="AL487" t="s">
        <v>95</v>
      </c>
      <c r="AM487" t="s">
        <v>96</v>
      </c>
      <c r="AN487" t="s">
        <v>97</v>
      </c>
      <c r="AO487" t="s">
        <v>98</v>
      </c>
      <c r="AP487" t="s">
        <v>78</v>
      </c>
      <c r="AQ487" t="s">
        <v>78</v>
      </c>
      <c r="AS487" t="s">
        <v>78</v>
      </c>
      <c r="AT487" t="s">
        <v>100</v>
      </c>
      <c r="AU487" t="s">
        <v>100</v>
      </c>
      <c r="AW487" t="s">
        <v>85</v>
      </c>
      <c r="AX487" t="s">
        <v>101</v>
      </c>
      <c r="AY487" t="s">
        <v>102</v>
      </c>
      <c r="AZ487" t="s">
        <v>103</v>
      </c>
      <c r="BA487" t="s">
        <v>104</v>
      </c>
      <c r="BB487" t="s">
        <v>78</v>
      </c>
      <c r="BC487" t="s">
        <v>78</v>
      </c>
      <c r="BD487" t="s">
        <v>3263</v>
      </c>
      <c r="BE487">
        <v>0</v>
      </c>
      <c r="BF487">
        <v>21.14</v>
      </c>
      <c r="BG487">
        <v>0</v>
      </c>
      <c r="BH487">
        <v>0</v>
      </c>
      <c r="BJ487" t="s">
        <v>85</v>
      </c>
      <c r="BP487" t="s">
        <v>78</v>
      </c>
      <c r="BQ487" t="s">
        <v>78</v>
      </c>
      <c r="BR487" t="s">
        <v>78</v>
      </c>
    </row>
    <row r="488" customFormat="1" spans="1:70">
      <c r="A488" t="s">
        <v>3264</v>
      </c>
      <c r="B488" t="s">
        <v>3264</v>
      </c>
      <c r="C488" t="s">
        <v>3265</v>
      </c>
      <c r="D488" t="s">
        <v>3266</v>
      </c>
      <c r="E488">
        <v>1</v>
      </c>
      <c r="F488" t="s">
        <v>3267</v>
      </c>
      <c r="G488" t="s">
        <v>3268</v>
      </c>
      <c r="H488">
        <v>339</v>
      </c>
      <c r="I488">
        <v>334</v>
      </c>
      <c r="J488">
        <v>0</v>
      </c>
      <c r="K488">
        <v>5</v>
      </c>
      <c r="L488" t="s">
        <v>3269</v>
      </c>
      <c r="M488" t="s">
        <v>78</v>
      </c>
      <c r="N488" t="s">
        <v>78</v>
      </c>
      <c r="O488">
        <v>0</v>
      </c>
      <c r="P488">
        <v>0</v>
      </c>
      <c r="Q488">
        <v>0</v>
      </c>
      <c r="R488" t="s">
        <v>125</v>
      </c>
      <c r="S488">
        <v>0</v>
      </c>
      <c r="T488" t="s">
        <v>80</v>
      </c>
      <c r="U488" t="s">
        <v>80</v>
      </c>
      <c r="V488" t="s">
        <v>464</v>
      </c>
      <c r="W488" t="s">
        <v>542</v>
      </c>
      <c r="X488" t="s">
        <v>2148</v>
      </c>
      <c r="Y488" t="s">
        <v>2149</v>
      </c>
      <c r="Z488" t="s">
        <v>80</v>
      </c>
      <c r="AA488" t="s">
        <v>85</v>
      </c>
      <c r="AC488" t="s">
        <v>3270</v>
      </c>
      <c r="AD488" t="s">
        <v>87</v>
      </c>
      <c r="AG488" t="s">
        <v>3271</v>
      </c>
      <c r="AH488" t="s">
        <v>91</v>
      </c>
      <c r="AI488" t="s">
        <v>216</v>
      </c>
      <c r="AJ488" t="s">
        <v>131</v>
      </c>
      <c r="AK488" t="s">
        <v>3272</v>
      </c>
      <c r="AL488" t="s">
        <v>95</v>
      </c>
      <c r="AM488" t="s">
        <v>96</v>
      </c>
      <c r="AN488" t="s">
        <v>96</v>
      </c>
      <c r="AP488" t="s">
        <v>78</v>
      </c>
      <c r="AQ488" t="s">
        <v>99</v>
      </c>
      <c r="AS488" t="s">
        <v>78</v>
      </c>
      <c r="AT488" t="s">
        <v>100</v>
      </c>
      <c r="AU488" t="s">
        <v>100</v>
      </c>
      <c r="AW488" t="s">
        <v>85</v>
      </c>
      <c r="AX488" t="s">
        <v>101</v>
      </c>
      <c r="AY488" t="s">
        <v>102</v>
      </c>
      <c r="AZ488" t="s">
        <v>145</v>
      </c>
      <c r="BA488" t="s">
        <v>354</v>
      </c>
      <c r="BB488" t="s">
        <v>78</v>
      </c>
      <c r="BC488" t="s">
        <v>78</v>
      </c>
      <c r="BE488">
        <v>0</v>
      </c>
      <c r="BF488">
        <v>5</v>
      </c>
      <c r="BG488">
        <v>0</v>
      </c>
      <c r="BH488">
        <v>0</v>
      </c>
      <c r="BJ488" t="s">
        <v>85</v>
      </c>
      <c r="BP488" t="s">
        <v>78</v>
      </c>
      <c r="BQ488" t="s">
        <v>78</v>
      </c>
      <c r="BR488" t="s">
        <v>78</v>
      </c>
    </row>
    <row r="489" customFormat="1" spans="1:70">
      <c r="A489" t="s">
        <v>3273</v>
      </c>
      <c r="B489" t="s">
        <v>3273</v>
      </c>
      <c r="C489" t="s">
        <v>2192</v>
      </c>
      <c r="D489" t="s">
        <v>1038</v>
      </c>
      <c r="E489">
        <v>1</v>
      </c>
      <c r="F489" t="s">
        <v>2193</v>
      </c>
      <c r="G489" t="s">
        <v>2194</v>
      </c>
      <c r="H489">
        <v>319</v>
      </c>
      <c r="I489">
        <v>314</v>
      </c>
      <c r="J489">
        <v>0</v>
      </c>
      <c r="K489">
        <v>5</v>
      </c>
      <c r="L489" t="s">
        <v>3269</v>
      </c>
      <c r="M489" t="s">
        <v>78</v>
      </c>
      <c r="N489" t="s">
        <v>78</v>
      </c>
      <c r="O489">
        <v>0</v>
      </c>
      <c r="P489">
        <v>0</v>
      </c>
      <c r="Q489">
        <v>0</v>
      </c>
      <c r="R489" t="s">
        <v>125</v>
      </c>
      <c r="S489">
        <v>0</v>
      </c>
      <c r="T489" t="s">
        <v>80</v>
      </c>
      <c r="U489" t="s">
        <v>80</v>
      </c>
      <c r="V489" t="s">
        <v>464</v>
      </c>
      <c r="W489" t="s">
        <v>542</v>
      </c>
      <c r="X489" t="s">
        <v>2148</v>
      </c>
      <c r="Y489" t="s">
        <v>2149</v>
      </c>
      <c r="Z489" t="s">
        <v>80</v>
      </c>
      <c r="AA489" t="s">
        <v>85</v>
      </c>
      <c r="AC489" t="s">
        <v>3274</v>
      </c>
      <c r="AD489" t="s">
        <v>87</v>
      </c>
      <c r="AG489" t="s">
        <v>3275</v>
      </c>
      <c r="AH489" t="s">
        <v>91</v>
      </c>
      <c r="AI489" t="s">
        <v>216</v>
      </c>
      <c r="AJ489" t="s">
        <v>131</v>
      </c>
      <c r="AK489" t="s">
        <v>3276</v>
      </c>
      <c r="AL489" t="s">
        <v>95</v>
      </c>
      <c r="AM489" t="s">
        <v>96</v>
      </c>
      <c r="AN489" t="s">
        <v>96</v>
      </c>
      <c r="AP489" t="s">
        <v>78</v>
      </c>
      <c r="AQ489" t="s">
        <v>99</v>
      </c>
      <c r="AS489" t="s">
        <v>78</v>
      </c>
      <c r="AT489" t="s">
        <v>100</v>
      </c>
      <c r="AU489" t="s">
        <v>100</v>
      </c>
      <c r="AW489" t="s">
        <v>85</v>
      </c>
      <c r="AX489" t="s">
        <v>101</v>
      </c>
      <c r="AY489" t="s">
        <v>102</v>
      </c>
      <c r="AZ489" t="s">
        <v>145</v>
      </c>
      <c r="BA489" t="s">
        <v>354</v>
      </c>
      <c r="BB489" t="s">
        <v>78</v>
      </c>
      <c r="BC489" t="s">
        <v>78</v>
      </c>
      <c r="BE489">
        <v>0</v>
      </c>
      <c r="BF489">
        <v>5</v>
      </c>
      <c r="BG489">
        <v>0</v>
      </c>
      <c r="BH489">
        <v>0</v>
      </c>
      <c r="BJ489" t="s">
        <v>85</v>
      </c>
      <c r="BP489" t="s">
        <v>78</v>
      </c>
      <c r="BQ489" t="s">
        <v>78</v>
      </c>
      <c r="BR489" t="s">
        <v>78</v>
      </c>
    </row>
    <row r="490" customFormat="1" spans="1:70">
      <c r="A490" t="s">
        <v>3277</v>
      </c>
      <c r="B490" t="s">
        <v>3277</v>
      </c>
      <c r="C490" t="s">
        <v>3278</v>
      </c>
      <c r="D490" t="s">
        <v>3279</v>
      </c>
      <c r="E490">
        <v>1</v>
      </c>
      <c r="F490" t="s">
        <v>3280</v>
      </c>
      <c r="G490" t="s">
        <v>3281</v>
      </c>
      <c r="H490">
        <v>239</v>
      </c>
      <c r="I490">
        <v>239</v>
      </c>
      <c r="J490">
        <v>0</v>
      </c>
      <c r="K490">
        <v>0</v>
      </c>
      <c r="L490" t="s">
        <v>78</v>
      </c>
      <c r="M490" t="s">
        <v>78</v>
      </c>
      <c r="N490" t="s">
        <v>78</v>
      </c>
      <c r="O490">
        <v>0</v>
      </c>
      <c r="P490">
        <v>0</v>
      </c>
      <c r="Q490">
        <v>0</v>
      </c>
      <c r="R490" t="s">
        <v>125</v>
      </c>
      <c r="S490">
        <v>0</v>
      </c>
      <c r="T490" t="s">
        <v>80</v>
      </c>
      <c r="U490" t="s">
        <v>80</v>
      </c>
      <c r="V490" t="s">
        <v>574</v>
      </c>
      <c r="W490" t="s">
        <v>574</v>
      </c>
      <c r="X490" t="s">
        <v>3282</v>
      </c>
      <c r="Y490" t="s">
        <v>3283</v>
      </c>
      <c r="Z490" t="s">
        <v>80</v>
      </c>
      <c r="AA490" t="s">
        <v>85</v>
      </c>
      <c r="AC490" t="s">
        <v>3284</v>
      </c>
      <c r="AD490" t="s">
        <v>202</v>
      </c>
      <c r="AE490" t="s">
        <v>3285</v>
      </c>
      <c r="AG490" t="s">
        <v>3286</v>
      </c>
      <c r="AH490" t="s">
        <v>91</v>
      </c>
      <c r="AI490" t="s">
        <v>216</v>
      </c>
      <c r="AJ490" t="s">
        <v>131</v>
      </c>
      <c r="AK490" t="s">
        <v>3287</v>
      </c>
      <c r="AL490" t="s">
        <v>95</v>
      </c>
      <c r="AM490" t="s">
        <v>96</v>
      </c>
      <c r="AN490" t="s">
        <v>96</v>
      </c>
      <c r="AP490" t="s">
        <v>78</v>
      </c>
      <c r="AQ490" t="s">
        <v>99</v>
      </c>
      <c r="AS490" t="s">
        <v>78</v>
      </c>
      <c r="AT490" t="s">
        <v>100</v>
      </c>
      <c r="AU490" t="s">
        <v>100</v>
      </c>
      <c r="AW490" t="s">
        <v>85</v>
      </c>
      <c r="AX490" t="s">
        <v>101</v>
      </c>
      <c r="AY490" t="s">
        <v>102</v>
      </c>
      <c r="AZ490" t="s">
        <v>145</v>
      </c>
      <c r="BA490" t="s">
        <v>354</v>
      </c>
      <c r="BB490" t="s">
        <v>78</v>
      </c>
      <c r="BC490" t="s">
        <v>78</v>
      </c>
      <c r="BD490" t="s">
        <v>3288</v>
      </c>
      <c r="BE490">
        <v>0</v>
      </c>
      <c r="BF490">
        <v>0</v>
      </c>
      <c r="BG490">
        <v>0</v>
      </c>
      <c r="BH490">
        <v>0</v>
      </c>
      <c r="BJ490" t="s">
        <v>85</v>
      </c>
      <c r="BP490" t="s">
        <v>78</v>
      </c>
      <c r="BQ490" t="s">
        <v>78</v>
      </c>
      <c r="BR490" t="s">
        <v>78</v>
      </c>
    </row>
    <row r="491" customFormat="1" spans="1:70">
      <c r="A491" t="s">
        <v>3289</v>
      </c>
      <c r="B491" t="s">
        <v>3289</v>
      </c>
      <c r="C491" t="s">
        <v>1050</v>
      </c>
      <c r="D491" t="s">
        <v>1142</v>
      </c>
      <c r="E491">
        <v>1</v>
      </c>
      <c r="F491" t="s">
        <v>1052</v>
      </c>
      <c r="G491" t="s">
        <v>1143</v>
      </c>
      <c r="H491">
        <v>129</v>
      </c>
      <c r="I491">
        <v>129</v>
      </c>
      <c r="J491">
        <v>0</v>
      </c>
      <c r="K491">
        <v>0</v>
      </c>
      <c r="L491" t="s">
        <v>78</v>
      </c>
      <c r="M491" t="s">
        <v>78</v>
      </c>
      <c r="N491" t="s">
        <v>78</v>
      </c>
      <c r="O491">
        <v>0</v>
      </c>
      <c r="P491">
        <v>0</v>
      </c>
      <c r="Q491">
        <v>0</v>
      </c>
      <c r="R491" t="s">
        <v>125</v>
      </c>
      <c r="S491">
        <v>0</v>
      </c>
      <c r="T491" t="s">
        <v>80</v>
      </c>
      <c r="U491" t="s">
        <v>80</v>
      </c>
      <c r="V491" t="s">
        <v>574</v>
      </c>
      <c r="W491" t="s">
        <v>574</v>
      </c>
      <c r="X491" t="s">
        <v>3282</v>
      </c>
      <c r="Y491" t="s">
        <v>3283</v>
      </c>
      <c r="Z491" t="s">
        <v>80</v>
      </c>
      <c r="AA491" t="s">
        <v>85</v>
      </c>
      <c r="AC491" t="s">
        <v>3290</v>
      </c>
      <c r="AD491" t="s">
        <v>87</v>
      </c>
      <c r="AF491" t="s">
        <v>3291</v>
      </c>
      <c r="AG491" t="s">
        <v>3292</v>
      </c>
      <c r="AH491" t="s">
        <v>91</v>
      </c>
      <c r="AI491" t="s">
        <v>92</v>
      </c>
      <c r="AJ491" t="s">
        <v>93</v>
      </c>
      <c r="AK491" t="s">
        <v>3293</v>
      </c>
      <c r="AL491" t="s">
        <v>95</v>
      </c>
      <c r="AM491" t="s">
        <v>96</v>
      </c>
      <c r="AN491" t="s">
        <v>97</v>
      </c>
      <c r="AO491" t="s">
        <v>98</v>
      </c>
      <c r="AP491" t="s">
        <v>78</v>
      </c>
      <c r="AQ491" t="s">
        <v>78</v>
      </c>
      <c r="AS491" t="s">
        <v>78</v>
      </c>
      <c r="AT491" t="s">
        <v>100</v>
      </c>
      <c r="AU491" t="s">
        <v>100</v>
      </c>
      <c r="AW491" t="s">
        <v>85</v>
      </c>
      <c r="AX491" t="s">
        <v>101</v>
      </c>
      <c r="AY491" t="s">
        <v>102</v>
      </c>
      <c r="AZ491" t="s">
        <v>145</v>
      </c>
      <c r="BA491" t="s">
        <v>1035</v>
      </c>
      <c r="BB491" t="s">
        <v>78</v>
      </c>
      <c r="BC491" t="s">
        <v>78</v>
      </c>
      <c r="BD491" t="s">
        <v>3294</v>
      </c>
      <c r="BE491">
        <v>0</v>
      </c>
      <c r="BF491">
        <v>0</v>
      </c>
      <c r="BG491">
        <v>0</v>
      </c>
      <c r="BH491">
        <v>0</v>
      </c>
      <c r="BJ491" t="s">
        <v>85</v>
      </c>
      <c r="BP491" t="s">
        <v>78</v>
      </c>
      <c r="BQ491" t="s">
        <v>78</v>
      </c>
      <c r="BR491" t="s">
        <v>78</v>
      </c>
    </row>
    <row r="492" customFormat="1" spans="1:70">
      <c r="A492" t="s">
        <v>3289</v>
      </c>
      <c r="B492" t="s">
        <v>3295</v>
      </c>
      <c r="C492" t="s">
        <v>2888</v>
      </c>
      <c r="D492" t="s">
        <v>3296</v>
      </c>
      <c r="E492">
        <v>1</v>
      </c>
      <c r="F492" t="s">
        <v>2890</v>
      </c>
      <c r="G492" t="s">
        <v>3297</v>
      </c>
      <c r="H492">
        <v>299</v>
      </c>
      <c r="I492">
        <v>299</v>
      </c>
      <c r="J492">
        <v>0</v>
      </c>
      <c r="K492">
        <v>0</v>
      </c>
      <c r="L492" t="s">
        <v>78</v>
      </c>
      <c r="M492" t="s">
        <v>78</v>
      </c>
      <c r="N492" t="s">
        <v>78</v>
      </c>
      <c r="O492">
        <v>0</v>
      </c>
      <c r="P492">
        <v>0</v>
      </c>
      <c r="Q492">
        <v>0</v>
      </c>
      <c r="R492" t="s">
        <v>125</v>
      </c>
      <c r="S492">
        <v>0</v>
      </c>
      <c r="T492" t="s">
        <v>80</v>
      </c>
      <c r="U492" t="s">
        <v>80</v>
      </c>
      <c r="V492" t="s">
        <v>574</v>
      </c>
      <c r="W492" t="s">
        <v>574</v>
      </c>
      <c r="X492" t="s">
        <v>3282</v>
      </c>
      <c r="Y492" t="s">
        <v>3283</v>
      </c>
      <c r="Z492" t="s">
        <v>80</v>
      </c>
      <c r="AA492" t="s">
        <v>85</v>
      </c>
      <c r="AC492" t="s">
        <v>3290</v>
      </c>
      <c r="AD492" t="s">
        <v>87</v>
      </c>
      <c r="AF492" t="s">
        <v>3298</v>
      </c>
      <c r="AG492" t="s">
        <v>3292</v>
      </c>
      <c r="AH492" t="s">
        <v>91</v>
      </c>
      <c r="AI492" t="s">
        <v>216</v>
      </c>
      <c r="AJ492" t="s">
        <v>93</v>
      </c>
      <c r="AK492" t="s">
        <v>3293</v>
      </c>
      <c r="AL492" t="s">
        <v>95</v>
      </c>
      <c r="AM492" t="s">
        <v>96</v>
      </c>
      <c r="AN492" t="s">
        <v>96</v>
      </c>
      <c r="AP492" t="s">
        <v>78</v>
      </c>
      <c r="AQ492" t="s">
        <v>78</v>
      </c>
      <c r="AS492" t="s">
        <v>78</v>
      </c>
      <c r="AT492" t="s">
        <v>100</v>
      </c>
      <c r="AU492" t="s">
        <v>100</v>
      </c>
      <c r="AW492" t="s">
        <v>85</v>
      </c>
      <c r="AX492" t="s">
        <v>101</v>
      </c>
      <c r="AY492" t="s">
        <v>102</v>
      </c>
      <c r="AZ492" t="s">
        <v>145</v>
      </c>
      <c r="BA492" t="s">
        <v>354</v>
      </c>
      <c r="BB492" t="s">
        <v>78</v>
      </c>
      <c r="BC492" t="s">
        <v>78</v>
      </c>
      <c r="BD492" t="s">
        <v>3299</v>
      </c>
      <c r="BE492">
        <v>0</v>
      </c>
      <c r="BF492">
        <v>0</v>
      </c>
      <c r="BG492">
        <v>0</v>
      </c>
      <c r="BH492">
        <v>0</v>
      </c>
      <c r="BJ492" t="s">
        <v>85</v>
      </c>
      <c r="BP492" t="s">
        <v>78</v>
      </c>
      <c r="BQ492" t="s">
        <v>78</v>
      </c>
      <c r="BR492" t="s">
        <v>78</v>
      </c>
    </row>
    <row r="493" customFormat="1" spans="1:70">
      <c r="A493" t="s">
        <v>3289</v>
      </c>
      <c r="B493" t="s">
        <v>3300</v>
      </c>
      <c r="C493" t="s">
        <v>1050</v>
      </c>
      <c r="D493" t="s">
        <v>1153</v>
      </c>
      <c r="E493">
        <v>1</v>
      </c>
      <c r="F493" t="s">
        <v>1052</v>
      </c>
      <c r="G493" t="s">
        <v>1154</v>
      </c>
      <c r="H493">
        <v>129</v>
      </c>
      <c r="I493">
        <v>129</v>
      </c>
      <c r="J493">
        <v>0</v>
      </c>
      <c r="K493">
        <v>0</v>
      </c>
      <c r="L493" t="s">
        <v>78</v>
      </c>
      <c r="M493" t="s">
        <v>78</v>
      </c>
      <c r="N493" t="s">
        <v>78</v>
      </c>
      <c r="O493">
        <v>0</v>
      </c>
      <c r="P493">
        <v>0</v>
      </c>
      <c r="Q493">
        <v>0</v>
      </c>
      <c r="R493" t="s">
        <v>125</v>
      </c>
      <c r="S493">
        <v>0</v>
      </c>
      <c r="T493" t="s">
        <v>80</v>
      </c>
      <c r="U493" t="s">
        <v>80</v>
      </c>
      <c r="V493" t="s">
        <v>574</v>
      </c>
      <c r="W493" t="s">
        <v>574</v>
      </c>
      <c r="X493" t="s">
        <v>3282</v>
      </c>
      <c r="Y493" t="s">
        <v>3283</v>
      </c>
      <c r="Z493" t="s">
        <v>80</v>
      </c>
      <c r="AA493" t="s">
        <v>85</v>
      </c>
      <c r="AC493" t="s">
        <v>3290</v>
      </c>
      <c r="AD493" t="s">
        <v>87</v>
      </c>
      <c r="AF493" t="s">
        <v>3301</v>
      </c>
      <c r="AG493" t="s">
        <v>3292</v>
      </c>
      <c r="AH493" t="s">
        <v>91</v>
      </c>
      <c r="AI493" t="s">
        <v>92</v>
      </c>
      <c r="AJ493" t="s">
        <v>93</v>
      </c>
      <c r="AK493" t="s">
        <v>3293</v>
      </c>
      <c r="AL493" t="s">
        <v>95</v>
      </c>
      <c r="AM493" t="s">
        <v>96</v>
      </c>
      <c r="AN493" t="s">
        <v>97</v>
      </c>
      <c r="AO493" t="s">
        <v>98</v>
      </c>
      <c r="AP493" t="s">
        <v>78</v>
      </c>
      <c r="AQ493" t="s">
        <v>78</v>
      </c>
      <c r="AS493" t="s">
        <v>78</v>
      </c>
      <c r="AT493" t="s">
        <v>100</v>
      </c>
      <c r="AU493" t="s">
        <v>100</v>
      </c>
      <c r="AW493" t="s">
        <v>85</v>
      </c>
      <c r="AX493" t="s">
        <v>101</v>
      </c>
      <c r="AY493" t="s">
        <v>102</v>
      </c>
      <c r="AZ493" t="s">
        <v>103</v>
      </c>
      <c r="BA493" t="s">
        <v>120</v>
      </c>
      <c r="BB493" t="s">
        <v>78</v>
      </c>
      <c r="BC493" t="s">
        <v>78</v>
      </c>
      <c r="BD493" t="s">
        <v>3302</v>
      </c>
      <c r="BE493">
        <v>0</v>
      </c>
      <c r="BF493">
        <v>0</v>
      </c>
      <c r="BG493">
        <v>0</v>
      </c>
      <c r="BH493">
        <v>0</v>
      </c>
      <c r="BJ493" t="s">
        <v>85</v>
      </c>
      <c r="BP493" t="s">
        <v>78</v>
      </c>
      <c r="BQ493" t="s">
        <v>78</v>
      </c>
      <c r="BR493" t="s">
        <v>78</v>
      </c>
    </row>
    <row r="494" customFormat="1" spans="1:70">
      <c r="A494" t="s">
        <v>3303</v>
      </c>
      <c r="B494" t="s">
        <v>3303</v>
      </c>
      <c r="C494" t="s">
        <v>2888</v>
      </c>
      <c r="D494" t="s">
        <v>3304</v>
      </c>
      <c r="E494">
        <v>1</v>
      </c>
      <c r="F494" t="s">
        <v>2890</v>
      </c>
      <c r="G494" t="s">
        <v>3305</v>
      </c>
      <c r="H494">
        <v>299</v>
      </c>
      <c r="I494">
        <v>299</v>
      </c>
      <c r="J494">
        <v>0</v>
      </c>
      <c r="K494">
        <v>0</v>
      </c>
      <c r="L494" t="s">
        <v>78</v>
      </c>
      <c r="M494" t="s">
        <v>78</v>
      </c>
      <c r="N494" t="s">
        <v>78</v>
      </c>
      <c r="O494">
        <v>0</v>
      </c>
      <c r="P494">
        <v>0</v>
      </c>
      <c r="Q494">
        <v>0</v>
      </c>
      <c r="R494" t="s">
        <v>125</v>
      </c>
      <c r="S494">
        <v>0</v>
      </c>
      <c r="T494" t="s">
        <v>80</v>
      </c>
      <c r="U494" t="s">
        <v>80</v>
      </c>
      <c r="V494" t="s">
        <v>271</v>
      </c>
      <c r="W494" t="s">
        <v>1506</v>
      </c>
      <c r="X494" t="s">
        <v>1507</v>
      </c>
      <c r="Y494" t="s">
        <v>3306</v>
      </c>
      <c r="Z494" t="s">
        <v>80</v>
      </c>
      <c r="AA494" t="s">
        <v>85</v>
      </c>
      <c r="AC494" t="s">
        <v>3307</v>
      </c>
      <c r="AD494" t="s">
        <v>87</v>
      </c>
      <c r="AG494" t="s">
        <v>3308</v>
      </c>
      <c r="AH494" t="s">
        <v>227</v>
      </c>
      <c r="AI494" t="s">
        <v>216</v>
      </c>
      <c r="AJ494" t="s">
        <v>131</v>
      </c>
      <c r="AK494" t="s">
        <v>3309</v>
      </c>
      <c r="AL494" t="s">
        <v>95</v>
      </c>
      <c r="AM494" t="s">
        <v>96</v>
      </c>
      <c r="AN494" t="s">
        <v>96</v>
      </c>
      <c r="AP494" t="s">
        <v>78</v>
      </c>
      <c r="AQ494" t="s">
        <v>99</v>
      </c>
      <c r="AS494" t="s">
        <v>78</v>
      </c>
      <c r="AT494" t="s">
        <v>100</v>
      </c>
      <c r="AU494" t="s">
        <v>100</v>
      </c>
      <c r="AW494" t="s">
        <v>85</v>
      </c>
      <c r="AX494" t="s">
        <v>101</v>
      </c>
      <c r="AY494" t="s">
        <v>102</v>
      </c>
      <c r="AZ494" t="s">
        <v>145</v>
      </c>
      <c r="BA494" t="s">
        <v>354</v>
      </c>
      <c r="BB494" t="s">
        <v>78</v>
      </c>
      <c r="BC494" t="s">
        <v>78</v>
      </c>
      <c r="BE494">
        <v>0</v>
      </c>
      <c r="BF494">
        <v>0</v>
      </c>
      <c r="BG494">
        <v>0</v>
      </c>
      <c r="BH494">
        <v>0</v>
      </c>
      <c r="BJ494" t="s">
        <v>85</v>
      </c>
      <c r="BP494" t="s">
        <v>78</v>
      </c>
      <c r="BQ494" t="s">
        <v>78</v>
      </c>
      <c r="BR494" t="s">
        <v>78</v>
      </c>
    </row>
    <row r="495" customFormat="1" spans="1:70">
      <c r="A495" t="s">
        <v>3310</v>
      </c>
      <c r="B495" t="s">
        <v>3310</v>
      </c>
      <c r="C495" t="s">
        <v>107</v>
      </c>
      <c r="D495" t="s">
        <v>135</v>
      </c>
      <c r="E495">
        <v>1</v>
      </c>
      <c r="F495" t="s">
        <v>109</v>
      </c>
      <c r="G495" t="s">
        <v>136</v>
      </c>
      <c r="H495">
        <v>289</v>
      </c>
      <c r="I495">
        <v>289</v>
      </c>
      <c r="J495">
        <v>0</v>
      </c>
      <c r="K495">
        <v>0</v>
      </c>
      <c r="L495" t="s">
        <v>78</v>
      </c>
      <c r="M495" t="s">
        <v>78</v>
      </c>
      <c r="N495" t="s">
        <v>78</v>
      </c>
      <c r="O495">
        <v>0</v>
      </c>
      <c r="P495">
        <v>0</v>
      </c>
      <c r="Q495">
        <v>0</v>
      </c>
      <c r="R495" t="s">
        <v>79</v>
      </c>
      <c r="S495">
        <v>0</v>
      </c>
      <c r="T495" t="s">
        <v>80</v>
      </c>
      <c r="U495" t="s">
        <v>80</v>
      </c>
      <c r="V495" t="s">
        <v>302</v>
      </c>
      <c r="W495" t="s">
        <v>1358</v>
      </c>
      <c r="X495" t="s">
        <v>1359</v>
      </c>
      <c r="Y495" t="s">
        <v>1360</v>
      </c>
      <c r="Z495" t="s">
        <v>80</v>
      </c>
      <c r="AA495" t="s">
        <v>85</v>
      </c>
      <c r="AC495" t="s">
        <v>3311</v>
      </c>
      <c r="AD495" t="s">
        <v>87</v>
      </c>
      <c r="AG495" t="s">
        <v>3312</v>
      </c>
      <c r="AH495" t="s">
        <v>91</v>
      </c>
      <c r="AI495" t="s">
        <v>216</v>
      </c>
      <c r="AJ495" t="s">
        <v>131</v>
      </c>
      <c r="AK495" t="s">
        <v>3313</v>
      </c>
      <c r="AL495" t="s">
        <v>95</v>
      </c>
      <c r="AM495" t="s">
        <v>96</v>
      </c>
      <c r="AN495" t="s">
        <v>96</v>
      </c>
      <c r="AP495" t="s">
        <v>78</v>
      </c>
      <c r="AQ495" t="s">
        <v>99</v>
      </c>
      <c r="AS495" t="s">
        <v>78</v>
      </c>
      <c r="AT495" t="s">
        <v>100</v>
      </c>
      <c r="AU495" t="s">
        <v>100</v>
      </c>
      <c r="AW495" t="s">
        <v>85</v>
      </c>
      <c r="AX495" t="s">
        <v>101</v>
      </c>
      <c r="AY495" t="s">
        <v>102</v>
      </c>
      <c r="AZ495" t="s">
        <v>145</v>
      </c>
      <c r="BA495" t="s">
        <v>218</v>
      </c>
      <c r="BB495" t="s">
        <v>78</v>
      </c>
      <c r="BC495" t="s">
        <v>78</v>
      </c>
      <c r="BE495">
        <v>0</v>
      </c>
      <c r="BF495">
        <v>0</v>
      </c>
      <c r="BG495">
        <v>0</v>
      </c>
      <c r="BH495">
        <v>0</v>
      </c>
      <c r="BJ495" t="s">
        <v>85</v>
      </c>
      <c r="BP495" t="s">
        <v>78</v>
      </c>
      <c r="BQ495" t="s">
        <v>78</v>
      </c>
      <c r="BR495" t="s">
        <v>78</v>
      </c>
    </row>
    <row r="496" customFormat="1" spans="1:70">
      <c r="A496" t="s">
        <v>3314</v>
      </c>
      <c r="B496" t="s">
        <v>3314</v>
      </c>
      <c r="C496" t="s">
        <v>1050</v>
      </c>
      <c r="D496" t="s">
        <v>2255</v>
      </c>
      <c r="E496">
        <v>1</v>
      </c>
      <c r="F496" t="s">
        <v>1052</v>
      </c>
      <c r="G496" t="s">
        <v>2256</v>
      </c>
      <c r="H496">
        <v>129</v>
      </c>
      <c r="I496">
        <v>129</v>
      </c>
      <c r="J496">
        <v>0</v>
      </c>
      <c r="K496">
        <v>0</v>
      </c>
      <c r="L496" t="s">
        <v>78</v>
      </c>
      <c r="M496" t="s">
        <v>78</v>
      </c>
      <c r="N496" t="s">
        <v>78</v>
      </c>
      <c r="O496">
        <v>0</v>
      </c>
      <c r="P496">
        <v>0</v>
      </c>
      <c r="Q496">
        <v>0</v>
      </c>
      <c r="R496" t="s">
        <v>125</v>
      </c>
      <c r="S496">
        <v>0</v>
      </c>
      <c r="T496" t="s">
        <v>80</v>
      </c>
      <c r="U496" t="s">
        <v>80</v>
      </c>
      <c r="V496" t="s">
        <v>112</v>
      </c>
      <c r="W496" t="s">
        <v>113</v>
      </c>
      <c r="X496" t="s">
        <v>881</v>
      </c>
      <c r="Y496" t="s">
        <v>3315</v>
      </c>
      <c r="Z496" t="s">
        <v>80</v>
      </c>
      <c r="AA496" t="s">
        <v>85</v>
      </c>
      <c r="AC496" t="s">
        <v>3316</v>
      </c>
      <c r="AD496" t="s">
        <v>202</v>
      </c>
      <c r="AE496" t="s">
        <v>3317</v>
      </c>
      <c r="AG496" t="s">
        <v>3318</v>
      </c>
      <c r="AH496" t="s">
        <v>91</v>
      </c>
      <c r="AI496" t="s">
        <v>92</v>
      </c>
      <c r="AJ496" t="s">
        <v>131</v>
      </c>
      <c r="AK496" t="s">
        <v>3319</v>
      </c>
      <c r="AL496" t="s">
        <v>95</v>
      </c>
      <c r="AM496" t="s">
        <v>96</v>
      </c>
      <c r="AN496" t="s">
        <v>97</v>
      </c>
      <c r="AO496" t="s">
        <v>98</v>
      </c>
      <c r="AP496" t="s">
        <v>78</v>
      </c>
      <c r="AQ496" t="s">
        <v>99</v>
      </c>
      <c r="AS496" t="s">
        <v>78</v>
      </c>
      <c r="AT496" t="s">
        <v>100</v>
      </c>
      <c r="AU496" t="s">
        <v>100</v>
      </c>
      <c r="AW496" t="s">
        <v>85</v>
      </c>
      <c r="AX496" t="s">
        <v>103</v>
      </c>
      <c r="AY496" t="s">
        <v>159</v>
      </c>
      <c r="AZ496" t="s">
        <v>103</v>
      </c>
      <c r="BA496" t="s">
        <v>104</v>
      </c>
      <c r="BB496" t="s">
        <v>78</v>
      </c>
      <c r="BC496" t="s">
        <v>78</v>
      </c>
      <c r="BD496" t="s">
        <v>3320</v>
      </c>
      <c r="BE496">
        <v>0</v>
      </c>
      <c r="BF496">
        <v>0</v>
      </c>
      <c r="BG496">
        <v>0</v>
      </c>
      <c r="BH496">
        <v>0</v>
      </c>
      <c r="BJ496" t="s">
        <v>85</v>
      </c>
      <c r="BP496" t="s">
        <v>78</v>
      </c>
      <c r="BQ496" t="s">
        <v>78</v>
      </c>
      <c r="BR496" t="s">
        <v>78</v>
      </c>
    </row>
    <row r="497" customFormat="1" spans="1:70">
      <c r="A497" t="s">
        <v>3321</v>
      </c>
      <c r="B497" t="s">
        <v>3321</v>
      </c>
      <c r="C497" t="s">
        <v>1050</v>
      </c>
      <c r="D497" t="s">
        <v>1377</v>
      </c>
      <c r="E497">
        <v>1</v>
      </c>
      <c r="F497" t="s">
        <v>1052</v>
      </c>
      <c r="G497" t="s">
        <v>1378</v>
      </c>
      <c r="H497">
        <v>129</v>
      </c>
      <c r="I497">
        <v>129</v>
      </c>
      <c r="J497">
        <v>0</v>
      </c>
      <c r="K497">
        <v>0</v>
      </c>
      <c r="L497" t="s">
        <v>78</v>
      </c>
      <c r="M497" t="s">
        <v>78</v>
      </c>
      <c r="N497" t="s">
        <v>78</v>
      </c>
      <c r="O497">
        <v>0</v>
      </c>
      <c r="P497">
        <v>0</v>
      </c>
      <c r="Q497">
        <v>0</v>
      </c>
      <c r="R497" t="s">
        <v>79</v>
      </c>
      <c r="S497">
        <v>0</v>
      </c>
      <c r="T497" t="s">
        <v>80</v>
      </c>
      <c r="U497" t="s">
        <v>80</v>
      </c>
      <c r="V497" t="s">
        <v>447</v>
      </c>
      <c r="W497" t="s">
        <v>3322</v>
      </c>
      <c r="X497" t="s">
        <v>3323</v>
      </c>
      <c r="Y497" t="s">
        <v>3324</v>
      </c>
      <c r="Z497" t="s">
        <v>80</v>
      </c>
      <c r="AA497" t="s">
        <v>85</v>
      </c>
      <c r="AC497" t="s">
        <v>3325</v>
      </c>
      <c r="AD497" t="s">
        <v>202</v>
      </c>
      <c r="AE497" t="s">
        <v>3326</v>
      </c>
      <c r="AG497" t="s">
        <v>3327</v>
      </c>
      <c r="AH497" t="s">
        <v>91</v>
      </c>
      <c r="AI497" t="s">
        <v>92</v>
      </c>
      <c r="AJ497" t="s">
        <v>131</v>
      </c>
      <c r="AK497" t="s">
        <v>3328</v>
      </c>
      <c r="AL497" t="s">
        <v>95</v>
      </c>
      <c r="AM497" t="s">
        <v>96</v>
      </c>
      <c r="AN497" t="s">
        <v>97</v>
      </c>
      <c r="AO497" t="s">
        <v>98</v>
      </c>
      <c r="AP497" t="s">
        <v>78</v>
      </c>
      <c r="AQ497" t="s">
        <v>99</v>
      </c>
      <c r="AS497" t="s">
        <v>78</v>
      </c>
      <c r="AT497" t="s">
        <v>100</v>
      </c>
      <c r="AU497" t="s">
        <v>100</v>
      </c>
      <c r="AW497" t="s">
        <v>85</v>
      </c>
      <c r="AX497" t="s">
        <v>101</v>
      </c>
      <c r="AY497" t="s">
        <v>102</v>
      </c>
      <c r="AZ497" t="s">
        <v>103</v>
      </c>
      <c r="BA497" t="s">
        <v>120</v>
      </c>
      <c r="BB497" t="s">
        <v>78</v>
      </c>
      <c r="BC497" t="s">
        <v>78</v>
      </c>
      <c r="BD497" t="s">
        <v>3329</v>
      </c>
      <c r="BE497">
        <v>0</v>
      </c>
      <c r="BF497">
        <v>0</v>
      </c>
      <c r="BG497">
        <v>0</v>
      </c>
      <c r="BH497">
        <v>0</v>
      </c>
      <c r="BJ497" t="s">
        <v>85</v>
      </c>
      <c r="BP497" t="s">
        <v>78</v>
      </c>
      <c r="BQ497" t="s">
        <v>78</v>
      </c>
      <c r="BR497" t="s">
        <v>78</v>
      </c>
    </row>
    <row r="498" customFormat="1" ht="168" spans="1:70">
      <c r="A498" t="s">
        <v>3330</v>
      </c>
      <c r="B498" t="s">
        <v>3330</v>
      </c>
      <c r="C498" t="s">
        <v>107</v>
      </c>
      <c r="D498" t="s">
        <v>123</v>
      </c>
      <c r="E498">
        <v>1</v>
      </c>
      <c r="F498" t="s">
        <v>109</v>
      </c>
      <c r="G498" t="s">
        <v>124</v>
      </c>
      <c r="H498">
        <v>289</v>
      </c>
      <c r="I498">
        <v>289</v>
      </c>
      <c r="J498">
        <v>0</v>
      </c>
      <c r="K498">
        <v>0</v>
      </c>
      <c r="L498" t="s">
        <v>78</v>
      </c>
      <c r="M498" t="s">
        <v>78</v>
      </c>
      <c r="N498" t="s">
        <v>78</v>
      </c>
      <c r="O498">
        <v>0</v>
      </c>
      <c r="P498">
        <v>0</v>
      </c>
      <c r="Q498">
        <v>0</v>
      </c>
      <c r="R498" t="s">
        <v>79</v>
      </c>
      <c r="S498">
        <v>0</v>
      </c>
      <c r="T498" t="s">
        <v>80</v>
      </c>
      <c r="U498" t="s">
        <v>80</v>
      </c>
      <c r="V498" t="s">
        <v>500</v>
      </c>
      <c r="W498" t="s">
        <v>991</v>
      </c>
      <c r="X498" t="s">
        <v>992</v>
      </c>
      <c r="Y498" t="s">
        <v>993</v>
      </c>
      <c r="Z498" t="s">
        <v>80</v>
      </c>
      <c r="AA498" t="s">
        <v>85</v>
      </c>
      <c r="AC498" t="s">
        <v>3331</v>
      </c>
      <c r="AD498" t="s">
        <v>202</v>
      </c>
      <c r="AE498" s="1" t="s">
        <v>3332</v>
      </c>
      <c r="AG498" t="s">
        <v>3333</v>
      </c>
      <c r="AH498" t="s">
        <v>227</v>
      </c>
      <c r="AI498" t="s">
        <v>92</v>
      </c>
      <c r="AJ498" t="s">
        <v>131</v>
      </c>
      <c r="AK498" t="s">
        <v>3334</v>
      </c>
      <c r="AL498" t="s">
        <v>95</v>
      </c>
      <c r="AM498" t="s">
        <v>96</v>
      </c>
      <c r="AN498" t="s">
        <v>97</v>
      </c>
      <c r="AO498" t="s">
        <v>98</v>
      </c>
      <c r="AP498" t="s">
        <v>78</v>
      </c>
      <c r="AQ498" t="s">
        <v>99</v>
      </c>
      <c r="AS498" t="s">
        <v>78</v>
      </c>
      <c r="AT498" t="s">
        <v>100</v>
      </c>
      <c r="AU498" t="s">
        <v>100</v>
      </c>
      <c r="AW498" t="s">
        <v>85</v>
      </c>
      <c r="AX498" t="s">
        <v>101</v>
      </c>
      <c r="AY498" t="s">
        <v>102</v>
      </c>
      <c r="AZ498" t="s">
        <v>103</v>
      </c>
      <c r="BA498" t="s">
        <v>104</v>
      </c>
      <c r="BB498" t="s">
        <v>78</v>
      </c>
      <c r="BC498" t="s">
        <v>78</v>
      </c>
      <c r="BD498" t="s">
        <v>3335</v>
      </c>
      <c r="BE498">
        <v>0</v>
      </c>
      <c r="BF498">
        <v>0</v>
      </c>
      <c r="BG498">
        <v>0</v>
      </c>
      <c r="BH498">
        <v>0</v>
      </c>
      <c r="BJ498" t="s">
        <v>85</v>
      </c>
      <c r="BP498" t="s">
        <v>78</v>
      </c>
      <c r="BQ498" t="s">
        <v>78</v>
      </c>
      <c r="BR498" t="s">
        <v>78</v>
      </c>
    </row>
    <row r="499" customFormat="1" spans="1:70">
      <c r="A499" t="s">
        <v>3336</v>
      </c>
      <c r="B499" t="s">
        <v>3336</v>
      </c>
      <c r="C499" t="s">
        <v>1050</v>
      </c>
      <c r="D499" t="s">
        <v>2255</v>
      </c>
      <c r="E499">
        <v>1</v>
      </c>
      <c r="F499" t="s">
        <v>1052</v>
      </c>
      <c r="G499" t="s">
        <v>2256</v>
      </c>
      <c r="H499">
        <v>129</v>
      </c>
      <c r="I499">
        <v>129</v>
      </c>
      <c r="J499">
        <v>0</v>
      </c>
      <c r="K499">
        <v>0</v>
      </c>
      <c r="L499" t="s">
        <v>78</v>
      </c>
      <c r="M499" t="s">
        <v>78</v>
      </c>
      <c r="N499" t="s">
        <v>78</v>
      </c>
      <c r="O499">
        <v>0</v>
      </c>
      <c r="P499">
        <v>0</v>
      </c>
      <c r="Q499">
        <v>0</v>
      </c>
      <c r="R499" t="s">
        <v>125</v>
      </c>
      <c r="S499">
        <v>0</v>
      </c>
      <c r="T499" t="s">
        <v>80</v>
      </c>
      <c r="U499" t="s">
        <v>80</v>
      </c>
      <c r="V499" t="s">
        <v>112</v>
      </c>
      <c r="W499" t="s">
        <v>113</v>
      </c>
      <c r="X499" t="s">
        <v>881</v>
      </c>
      <c r="Y499" t="s">
        <v>3315</v>
      </c>
      <c r="Z499" t="s">
        <v>80</v>
      </c>
      <c r="AA499" t="s">
        <v>85</v>
      </c>
      <c r="AC499" t="s">
        <v>3337</v>
      </c>
      <c r="AD499" t="s">
        <v>87</v>
      </c>
      <c r="AG499" t="s">
        <v>3338</v>
      </c>
      <c r="AH499" t="s">
        <v>91</v>
      </c>
      <c r="AI499" t="s">
        <v>92</v>
      </c>
      <c r="AJ499" t="s">
        <v>131</v>
      </c>
      <c r="AK499" t="s">
        <v>3339</v>
      </c>
      <c r="AL499" t="s">
        <v>95</v>
      </c>
      <c r="AM499" t="s">
        <v>96</v>
      </c>
      <c r="AN499" t="s">
        <v>97</v>
      </c>
      <c r="AO499" t="s">
        <v>98</v>
      </c>
      <c r="AP499" t="s">
        <v>78</v>
      </c>
      <c r="AQ499" t="s">
        <v>99</v>
      </c>
      <c r="AS499" t="s">
        <v>78</v>
      </c>
      <c r="AT499" t="s">
        <v>100</v>
      </c>
      <c r="AU499" t="s">
        <v>100</v>
      </c>
      <c r="AW499" t="s">
        <v>85</v>
      </c>
      <c r="AX499" t="s">
        <v>101</v>
      </c>
      <c r="AY499" t="s">
        <v>102</v>
      </c>
      <c r="AZ499" t="s">
        <v>103</v>
      </c>
      <c r="BA499" t="s">
        <v>245</v>
      </c>
      <c r="BB499" t="s">
        <v>78</v>
      </c>
      <c r="BC499" t="s">
        <v>78</v>
      </c>
      <c r="BE499">
        <v>0</v>
      </c>
      <c r="BF499">
        <v>0</v>
      </c>
      <c r="BG499">
        <v>0</v>
      </c>
      <c r="BH499">
        <v>0</v>
      </c>
      <c r="BJ499" t="s">
        <v>85</v>
      </c>
      <c r="BP499" t="s">
        <v>78</v>
      </c>
      <c r="BQ499" t="s">
        <v>78</v>
      </c>
      <c r="BR499" t="s">
        <v>78</v>
      </c>
    </row>
    <row r="500" customFormat="1" spans="1:70">
      <c r="A500" t="s">
        <v>3340</v>
      </c>
      <c r="B500" t="s">
        <v>3340</v>
      </c>
      <c r="C500" t="s">
        <v>1050</v>
      </c>
      <c r="D500" t="s">
        <v>1377</v>
      </c>
      <c r="E500">
        <v>1</v>
      </c>
      <c r="F500" t="s">
        <v>1052</v>
      </c>
      <c r="G500" t="s">
        <v>1378</v>
      </c>
      <c r="H500">
        <v>129</v>
      </c>
      <c r="I500">
        <v>129</v>
      </c>
      <c r="J500">
        <v>0</v>
      </c>
      <c r="K500">
        <v>0</v>
      </c>
      <c r="L500" t="s">
        <v>78</v>
      </c>
      <c r="M500" t="s">
        <v>78</v>
      </c>
      <c r="N500" t="s">
        <v>78</v>
      </c>
      <c r="O500">
        <v>0</v>
      </c>
      <c r="P500">
        <v>0</v>
      </c>
      <c r="Q500">
        <v>0</v>
      </c>
      <c r="R500" t="s">
        <v>79</v>
      </c>
      <c r="S500">
        <v>0</v>
      </c>
      <c r="T500" t="s">
        <v>80</v>
      </c>
      <c r="U500" t="s">
        <v>80</v>
      </c>
      <c r="V500" t="s">
        <v>161</v>
      </c>
      <c r="W500" t="s">
        <v>161</v>
      </c>
      <c r="X500" t="s">
        <v>162</v>
      </c>
      <c r="Y500" t="s">
        <v>2434</v>
      </c>
      <c r="Z500" t="s">
        <v>80</v>
      </c>
      <c r="AA500" t="s">
        <v>85</v>
      </c>
      <c r="AC500" t="s">
        <v>3341</v>
      </c>
      <c r="AD500" t="s">
        <v>87</v>
      </c>
      <c r="AF500" t="s">
        <v>3342</v>
      </c>
      <c r="AG500" t="s">
        <v>3343</v>
      </c>
      <c r="AH500" t="s">
        <v>91</v>
      </c>
      <c r="AI500" t="s">
        <v>92</v>
      </c>
      <c r="AJ500" t="s">
        <v>93</v>
      </c>
      <c r="AK500" t="s">
        <v>3344</v>
      </c>
      <c r="AL500" t="s">
        <v>95</v>
      </c>
      <c r="AM500" t="s">
        <v>96</v>
      </c>
      <c r="AN500" t="s">
        <v>97</v>
      </c>
      <c r="AO500" t="s">
        <v>98</v>
      </c>
      <c r="AP500" t="s">
        <v>78</v>
      </c>
      <c r="AQ500" t="s">
        <v>78</v>
      </c>
      <c r="AS500" t="s">
        <v>78</v>
      </c>
      <c r="AT500" t="s">
        <v>100</v>
      </c>
      <c r="AU500" t="s">
        <v>100</v>
      </c>
      <c r="AW500" t="s">
        <v>85</v>
      </c>
      <c r="AX500" t="s">
        <v>101</v>
      </c>
      <c r="AY500" t="s">
        <v>102</v>
      </c>
      <c r="AZ500" t="s">
        <v>103</v>
      </c>
      <c r="BA500" t="s">
        <v>120</v>
      </c>
      <c r="BB500" t="s">
        <v>78</v>
      </c>
      <c r="BC500" t="s">
        <v>78</v>
      </c>
      <c r="BD500" t="s">
        <v>3345</v>
      </c>
      <c r="BE500">
        <v>0</v>
      </c>
      <c r="BF500">
        <v>0</v>
      </c>
      <c r="BG500">
        <v>0</v>
      </c>
      <c r="BH500">
        <v>0</v>
      </c>
      <c r="BJ500" t="s">
        <v>85</v>
      </c>
      <c r="BP500" t="s">
        <v>78</v>
      </c>
      <c r="BQ500" t="s">
        <v>78</v>
      </c>
      <c r="BR500" t="s">
        <v>78</v>
      </c>
    </row>
    <row r="501" customFormat="1" spans="1:70">
      <c r="A501" t="s">
        <v>3346</v>
      </c>
      <c r="B501" t="s">
        <v>3346</v>
      </c>
      <c r="C501" t="s">
        <v>107</v>
      </c>
      <c r="D501" t="s">
        <v>108</v>
      </c>
      <c r="E501">
        <v>1</v>
      </c>
      <c r="F501" t="s">
        <v>109</v>
      </c>
      <c r="G501" t="s">
        <v>110</v>
      </c>
      <c r="H501">
        <v>289</v>
      </c>
      <c r="I501">
        <v>289</v>
      </c>
      <c r="J501">
        <v>0</v>
      </c>
      <c r="K501">
        <v>0</v>
      </c>
      <c r="L501" t="s">
        <v>78</v>
      </c>
      <c r="M501" t="s">
        <v>78</v>
      </c>
      <c r="N501" t="s">
        <v>78</v>
      </c>
      <c r="O501">
        <v>0</v>
      </c>
      <c r="P501">
        <v>0</v>
      </c>
      <c r="Q501">
        <v>0</v>
      </c>
      <c r="R501" t="s">
        <v>111</v>
      </c>
      <c r="S501">
        <v>0</v>
      </c>
      <c r="T501" t="s">
        <v>80</v>
      </c>
      <c r="U501" t="s">
        <v>80</v>
      </c>
      <c r="V501" t="s">
        <v>464</v>
      </c>
      <c r="W501" t="s">
        <v>637</v>
      </c>
      <c r="X501" t="s">
        <v>3347</v>
      </c>
      <c r="Y501" t="s">
        <v>78</v>
      </c>
      <c r="Z501" t="s">
        <v>80</v>
      </c>
      <c r="AA501" t="s">
        <v>85</v>
      </c>
      <c r="AC501" t="s">
        <v>3348</v>
      </c>
      <c r="AD501" t="s">
        <v>87</v>
      </c>
      <c r="AG501" t="s">
        <v>3349</v>
      </c>
      <c r="AH501" t="s">
        <v>227</v>
      </c>
      <c r="AI501" t="s">
        <v>92</v>
      </c>
      <c r="AJ501" t="s">
        <v>131</v>
      </c>
      <c r="AK501" t="s">
        <v>3350</v>
      </c>
      <c r="AL501" t="s">
        <v>95</v>
      </c>
      <c r="AM501" t="s">
        <v>96</v>
      </c>
      <c r="AN501" t="s">
        <v>97</v>
      </c>
      <c r="AO501" t="s">
        <v>98</v>
      </c>
      <c r="AP501" t="s">
        <v>78</v>
      </c>
      <c r="AQ501" t="s">
        <v>99</v>
      </c>
      <c r="AS501" t="s">
        <v>78</v>
      </c>
      <c r="AT501" t="s">
        <v>100</v>
      </c>
      <c r="AU501" t="s">
        <v>100</v>
      </c>
      <c r="AW501" t="s">
        <v>85</v>
      </c>
      <c r="AX501" t="s">
        <v>101</v>
      </c>
      <c r="AY501" t="s">
        <v>102</v>
      </c>
      <c r="AZ501" t="s">
        <v>103</v>
      </c>
      <c r="BA501" t="s">
        <v>133</v>
      </c>
      <c r="BB501" t="s">
        <v>78</v>
      </c>
      <c r="BC501" t="s">
        <v>78</v>
      </c>
      <c r="BE501">
        <v>0</v>
      </c>
      <c r="BF501">
        <v>0</v>
      </c>
      <c r="BG501">
        <v>0</v>
      </c>
      <c r="BH501">
        <v>0</v>
      </c>
      <c r="BJ501" t="s">
        <v>85</v>
      </c>
      <c r="BP501" t="s">
        <v>78</v>
      </c>
      <c r="BQ501" t="s">
        <v>78</v>
      </c>
      <c r="BR501" t="s">
        <v>78</v>
      </c>
    </row>
    <row r="502" customFormat="1" spans="1:70">
      <c r="A502" t="s">
        <v>3351</v>
      </c>
      <c r="B502" t="s">
        <v>3351</v>
      </c>
      <c r="C502" t="s">
        <v>107</v>
      </c>
      <c r="D502" t="s">
        <v>135</v>
      </c>
      <c r="E502">
        <v>1</v>
      </c>
      <c r="F502" t="s">
        <v>109</v>
      </c>
      <c r="G502" t="s">
        <v>136</v>
      </c>
      <c r="H502">
        <v>289</v>
      </c>
      <c r="I502">
        <v>281</v>
      </c>
      <c r="J502">
        <v>0</v>
      </c>
      <c r="K502">
        <v>8</v>
      </c>
      <c r="L502" t="s">
        <v>3352</v>
      </c>
      <c r="M502" t="s">
        <v>78</v>
      </c>
      <c r="N502" t="s">
        <v>78</v>
      </c>
      <c r="O502">
        <v>0</v>
      </c>
      <c r="P502">
        <v>0</v>
      </c>
      <c r="Q502">
        <v>0</v>
      </c>
      <c r="R502" t="s">
        <v>125</v>
      </c>
      <c r="S502">
        <v>0</v>
      </c>
      <c r="T502" t="s">
        <v>80</v>
      </c>
      <c r="U502" t="s">
        <v>80</v>
      </c>
      <c r="V502" t="s">
        <v>2720</v>
      </c>
      <c r="W502" t="s">
        <v>3353</v>
      </c>
      <c r="X502" t="s">
        <v>3353</v>
      </c>
      <c r="Y502" t="s">
        <v>3354</v>
      </c>
      <c r="Z502" t="s">
        <v>80</v>
      </c>
      <c r="AA502" t="s">
        <v>85</v>
      </c>
      <c r="AC502" t="s">
        <v>3355</v>
      </c>
      <c r="AD502" t="s">
        <v>87</v>
      </c>
      <c r="AG502" t="s">
        <v>3356</v>
      </c>
      <c r="AH502" t="s">
        <v>91</v>
      </c>
      <c r="AI502" t="s">
        <v>92</v>
      </c>
      <c r="AJ502" t="s">
        <v>131</v>
      </c>
      <c r="AK502" t="s">
        <v>3357</v>
      </c>
      <c r="AL502" t="s">
        <v>95</v>
      </c>
      <c r="AM502" t="s">
        <v>96</v>
      </c>
      <c r="AN502" t="s">
        <v>97</v>
      </c>
      <c r="AO502" t="s">
        <v>98</v>
      </c>
      <c r="AP502" t="s">
        <v>78</v>
      </c>
      <c r="AQ502" t="s">
        <v>99</v>
      </c>
      <c r="AS502" t="s">
        <v>78</v>
      </c>
      <c r="AT502" t="s">
        <v>100</v>
      </c>
      <c r="AU502" t="s">
        <v>100</v>
      </c>
      <c r="AW502" t="s">
        <v>85</v>
      </c>
      <c r="AX502" t="s">
        <v>101</v>
      </c>
      <c r="AY502" t="s">
        <v>102</v>
      </c>
      <c r="AZ502" t="s">
        <v>103</v>
      </c>
      <c r="BA502" t="s">
        <v>104</v>
      </c>
      <c r="BB502" t="s">
        <v>78</v>
      </c>
      <c r="BC502" t="s">
        <v>78</v>
      </c>
      <c r="BE502">
        <v>0</v>
      </c>
      <c r="BF502">
        <v>8</v>
      </c>
      <c r="BG502">
        <v>0</v>
      </c>
      <c r="BH502">
        <v>0</v>
      </c>
      <c r="BJ502" t="s">
        <v>85</v>
      </c>
      <c r="BP502" t="s">
        <v>78</v>
      </c>
      <c r="BQ502" t="s">
        <v>78</v>
      </c>
      <c r="BR502" t="s">
        <v>78</v>
      </c>
    </row>
    <row r="503" customFormat="1" spans="1:70">
      <c r="A503" t="s">
        <v>3358</v>
      </c>
      <c r="B503" t="s">
        <v>3358</v>
      </c>
      <c r="C503" t="s">
        <v>107</v>
      </c>
      <c r="D503" t="s">
        <v>108</v>
      </c>
      <c r="E503">
        <v>1</v>
      </c>
      <c r="F503" t="s">
        <v>109</v>
      </c>
      <c r="G503" t="s">
        <v>110</v>
      </c>
      <c r="H503">
        <v>289</v>
      </c>
      <c r="I503">
        <v>289</v>
      </c>
      <c r="J503">
        <v>0</v>
      </c>
      <c r="K503">
        <v>0</v>
      </c>
      <c r="L503" t="s">
        <v>78</v>
      </c>
      <c r="M503" t="s">
        <v>78</v>
      </c>
      <c r="N503" t="s">
        <v>78</v>
      </c>
      <c r="O503">
        <v>0</v>
      </c>
      <c r="P503">
        <v>0</v>
      </c>
      <c r="Q503">
        <v>0</v>
      </c>
      <c r="R503" t="s">
        <v>79</v>
      </c>
      <c r="S503">
        <v>0</v>
      </c>
      <c r="T503" t="s">
        <v>80</v>
      </c>
      <c r="U503" t="s">
        <v>80</v>
      </c>
      <c r="V503" t="s">
        <v>464</v>
      </c>
      <c r="W503" t="s">
        <v>1460</v>
      </c>
      <c r="X503" t="s">
        <v>2733</v>
      </c>
      <c r="Y503" t="s">
        <v>2734</v>
      </c>
      <c r="Z503" t="s">
        <v>80</v>
      </c>
      <c r="AA503" t="s">
        <v>85</v>
      </c>
      <c r="AC503" t="s">
        <v>3359</v>
      </c>
      <c r="AD503" t="s">
        <v>87</v>
      </c>
      <c r="AG503" t="s">
        <v>3360</v>
      </c>
      <c r="AH503" t="s">
        <v>91</v>
      </c>
      <c r="AI503" t="s">
        <v>92</v>
      </c>
      <c r="AJ503" t="s">
        <v>131</v>
      </c>
      <c r="AK503" t="s">
        <v>3361</v>
      </c>
      <c r="AL503" t="s">
        <v>95</v>
      </c>
      <c r="AM503" t="s">
        <v>96</v>
      </c>
      <c r="AN503" t="s">
        <v>97</v>
      </c>
      <c r="AO503" t="s">
        <v>98</v>
      </c>
      <c r="AP503" t="s">
        <v>78</v>
      </c>
      <c r="AQ503" t="s">
        <v>99</v>
      </c>
      <c r="AS503" t="s">
        <v>78</v>
      </c>
      <c r="AT503" t="s">
        <v>100</v>
      </c>
      <c r="AU503" t="s">
        <v>100</v>
      </c>
      <c r="AW503" t="s">
        <v>85</v>
      </c>
      <c r="AX503" t="s">
        <v>103</v>
      </c>
      <c r="AY503" t="s">
        <v>159</v>
      </c>
      <c r="AZ503" t="s">
        <v>103</v>
      </c>
      <c r="BA503" t="s">
        <v>104</v>
      </c>
      <c r="BB503" t="s">
        <v>78</v>
      </c>
      <c r="BC503" t="s">
        <v>78</v>
      </c>
      <c r="BE503">
        <v>0</v>
      </c>
      <c r="BF503">
        <v>0</v>
      </c>
      <c r="BG503">
        <v>0</v>
      </c>
      <c r="BH503">
        <v>0</v>
      </c>
      <c r="BJ503" t="s">
        <v>85</v>
      </c>
      <c r="BP503" t="s">
        <v>78</v>
      </c>
      <c r="BQ503" t="s">
        <v>78</v>
      </c>
      <c r="BR503" t="s">
        <v>78</v>
      </c>
    </row>
    <row r="504" customFormat="1" spans="1:70">
      <c r="A504" t="s">
        <v>3362</v>
      </c>
      <c r="B504" t="s">
        <v>3362</v>
      </c>
      <c r="C504" t="s">
        <v>1050</v>
      </c>
      <c r="D504" t="s">
        <v>1377</v>
      </c>
      <c r="E504">
        <v>1</v>
      </c>
      <c r="F504" t="s">
        <v>1052</v>
      </c>
      <c r="G504" t="s">
        <v>1378</v>
      </c>
      <c r="H504">
        <v>129</v>
      </c>
      <c r="I504">
        <v>129</v>
      </c>
      <c r="J504">
        <v>0</v>
      </c>
      <c r="K504">
        <v>0</v>
      </c>
      <c r="L504" t="s">
        <v>78</v>
      </c>
      <c r="M504" t="s">
        <v>78</v>
      </c>
      <c r="N504" t="s">
        <v>78</v>
      </c>
      <c r="O504">
        <v>0</v>
      </c>
      <c r="P504">
        <v>0</v>
      </c>
      <c r="Q504">
        <v>0</v>
      </c>
      <c r="R504" t="s">
        <v>79</v>
      </c>
      <c r="S504">
        <v>0</v>
      </c>
      <c r="T504" t="s">
        <v>80</v>
      </c>
      <c r="U504" t="s">
        <v>80</v>
      </c>
      <c r="V504" t="s">
        <v>302</v>
      </c>
      <c r="W504" t="s">
        <v>2833</v>
      </c>
      <c r="X504" t="s">
        <v>3363</v>
      </c>
      <c r="Y504" t="s">
        <v>84</v>
      </c>
      <c r="Z504" t="s">
        <v>80</v>
      </c>
      <c r="AA504" t="s">
        <v>85</v>
      </c>
      <c r="AC504" t="s">
        <v>3364</v>
      </c>
      <c r="AD504" t="s">
        <v>202</v>
      </c>
      <c r="AE504" t="s">
        <v>3365</v>
      </c>
      <c r="AG504" t="s">
        <v>3366</v>
      </c>
      <c r="AH504" t="s">
        <v>91</v>
      </c>
      <c r="AI504" t="s">
        <v>92</v>
      </c>
      <c r="AJ504" t="s">
        <v>131</v>
      </c>
      <c r="AK504" t="s">
        <v>3367</v>
      </c>
      <c r="AL504" t="s">
        <v>95</v>
      </c>
      <c r="AM504" t="s">
        <v>96</v>
      </c>
      <c r="AN504" t="s">
        <v>97</v>
      </c>
      <c r="AO504" t="s">
        <v>98</v>
      </c>
      <c r="AP504" t="s">
        <v>78</v>
      </c>
      <c r="AQ504" t="s">
        <v>99</v>
      </c>
      <c r="AS504" t="s">
        <v>78</v>
      </c>
      <c r="AT504" t="s">
        <v>100</v>
      </c>
      <c r="AU504" t="s">
        <v>100</v>
      </c>
      <c r="AW504" t="s">
        <v>85</v>
      </c>
      <c r="AX504" t="s">
        <v>101</v>
      </c>
      <c r="AY504" t="s">
        <v>102</v>
      </c>
      <c r="AZ504" t="s">
        <v>103</v>
      </c>
      <c r="BA504" t="s">
        <v>133</v>
      </c>
      <c r="BB504" t="s">
        <v>78</v>
      </c>
      <c r="BC504" t="s">
        <v>78</v>
      </c>
      <c r="BD504" t="s">
        <v>3345</v>
      </c>
      <c r="BE504">
        <v>0</v>
      </c>
      <c r="BF504">
        <v>0</v>
      </c>
      <c r="BG504">
        <v>0</v>
      </c>
      <c r="BH504">
        <v>0</v>
      </c>
      <c r="BJ504" t="s">
        <v>85</v>
      </c>
      <c r="BP504" t="s">
        <v>78</v>
      </c>
      <c r="BQ504" t="s">
        <v>78</v>
      </c>
      <c r="BR504" t="s">
        <v>78</v>
      </c>
    </row>
    <row r="505" customFormat="1" spans="1:70">
      <c r="A505" t="s">
        <v>3368</v>
      </c>
      <c r="B505" t="s">
        <v>3368</v>
      </c>
      <c r="C505" t="s">
        <v>3369</v>
      </c>
      <c r="D505" t="s">
        <v>3370</v>
      </c>
      <c r="E505">
        <v>1</v>
      </c>
      <c r="F505" t="s">
        <v>3371</v>
      </c>
      <c r="G505" t="s">
        <v>3372</v>
      </c>
      <c r="H505">
        <v>239</v>
      </c>
      <c r="I505">
        <v>239</v>
      </c>
      <c r="J505">
        <v>0</v>
      </c>
      <c r="K505">
        <v>0</v>
      </c>
      <c r="L505" t="s">
        <v>78</v>
      </c>
      <c r="M505" t="s">
        <v>78</v>
      </c>
      <c r="N505" t="s">
        <v>78</v>
      </c>
      <c r="O505">
        <v>0</v>
      </c>
      <c r="P505">
        <v>0</v>
      </c>
      <c r="Q505">
        <v>0</v>
      </c>
      <c r="R505" t="s">
        <v>79</v>
      </c>
      <c r="S505">
        <v>0</v>
      </c>
      <c r="T505" t="s">
        <v>80</v>
      </c>
      <c r="U505" t="s">
        <v>80</v>
      </c>
      <c r="V505" t="s">
        <v>894</v>
      </c>
      <c r="W505" t="s">
        <v>1567</v>
      </c>
      <c r="X505" t="s">
        <v>3373</v>
      </c>
      <c r="Y505" t="s">
        <v>3374</v>
      </c>
      <c r="Z505" t="s">
        <v>80</v>
      </c>
      <c r="AA505" t="s">
        <v>85</v>
      </c>
      <c r="AC505" t="s">
        <v>3375</v>
      </c>
      <c r="AD505" t="s">
        <v>87</v>
      </c>
      <c r="AF505" t="s">
        <v>3376</v>
      </c>
      <c r="AG505" t="s">
        <v>3377</v>
      </c>
      <c r="AH505" t="s">
        <v>91</v>
      </c>
      <c r="AI505" t="s">
        <v>216</v>
      </c>
      <c r="AJ505" t="s">
        <v>93</v>
      </c>
      <c r="AK505" t="s">
        <v>3378</v>
      </c>
      <c r="AL505" t="s">
        <v>95</v>
      </c>
      <c r="AM505" t="s">
        <v>96</v>
      </c>
      <c r="AN505" t="s">
        <v>96</v>
      </c>
      <c r="AP505" t="s">
        <v>78</v>
      </c>
      <c r="AQ505" t="s">
        <v>78</v>
      </c>
      <c r="AS505" t="s">
        <v>78</v>
      </c>
      <c r="AT505" t="s">
        <v>100</v>
      </c>
      <c r="AU505" t="s">
        <v>100</v>
      </c>
      <c r="AW505" t="s">
        <v>85</v>
      </c>
      <c r="AX505" t="s">
        <v>101</v>
      </c>
      <c r="AY505" t="s">
        <v>102</v>
      </c>
      <c r="AZ505" t="s">
        <v>145</v>
      </c>
      <c r="BA505" t="s">
        <v>218</v>
      </c>
      <c r="BB505" t="s">
        <v>78</v>
      </c>
      <c r="BC505" t="s">
        <v>78</v>
      </c>
      <c r="BD505" t="s">
        <v>3379</v>
      </c>
      <c r="BE505">
        <v>0</v>
      </c>
      <c r="BF505">
        <v>0</v>
      </c>
      <c r="BG505">
        <v>0</v>
      </c>
      <c r="BH505">
        <v>0</v>
      </c>
      <c r="BJ505" t="s">
        <v>85</v>
      </c>
      <c r="BP505" t="s">
        <v>78</v>
      </c>
      <c r="BQ505" t="s">
        <v>78</v>
      </c>
      <c r="BR505" t="s">
        <v>78</v>
      </c>
    </row>
    <row r="506" customFormat="1" spans="1:70">
      <c r="A506" t="s">
        <v>3380</v>
      </c>
      <c r="B506" t="s">
        <v>3380</v>
      </c>
      <c r="C506" t="s">
        <v>1050</v>
      </c>
      <c r="D506" t="s">
        <v>1189</v>
      </c>
      <c r="E506">
        <v>1</v>
      </c>
      <c r="F506" t="s">
        <v>1052</v>
      </c>
      <c r="G506" t="s">
        <v>1190</v>
      </c>
      <c r="H506">
        <v>129</v>
      </c>
      <c r="I506">
        <v>117</v>
      </c>
      <c r="J506">
        <v>0</v>
      </c>
      <c r="K506">
        <v>12</v>
      </c>
      <c r="L506" t="s">
        <v>3381</v>
      </c>
      <c r="M506" t="s">
        <v>78</v>
      </c>
      <c r="N506" t="s">
        <v>78</v>
      </c>
      <c r="O506">
        <v>0</v>
      </c>
      <c r="P506">
        <v>0</v>
      </c>
      <c r="Q506">
        <v>0</v>
      </c>
      <c r="R506" t="s">
        <v>111</v>
      </c>
      <c r="S506">
        <v>0</v>
      </c>
      <c r="T506" t="s">
        <v>80</v>
      </c>
      <c r="U506" t="s">
        <v>80</v>
      </c>
      <c r="V506" t="s">
        <v>509</v>
      </c>
      <c r="W506" t="s">
        <v>510</v>
      </c>
      <c r="X506" t="s">
        <v>511</v>
      </c>
      <c r="Y506" t="s">
        <v>1257</v>
      </c>
      <c r="Z506" t="s">
        <v>80</v>
      </c>
      <c r="AA506" t="s">
        <v>85</v>
      </c>
      <c r="AC506" t="s">
        <v>3382</v>
      </c>
      <c r="AD506" t="s">
        <v>87</v>
      </c>
      <c r="AG506" t="s">
        <v>3383</v>
      </c>
      <c r="AH506" t="s">
        <v>91</v>
      </c>
      <c r="AI506" t="s">
        <v>92</v>
      </c>
      <c r="AJ506" t="s">
        <v>131</v>
      </c>
      <c r="AK506" t="s">
        <v>3384</v>
      </c>
      <c r="AL506" t="s">
        <v>95</v>
      </c>
      <c r="AM506" t="s">
        <v>96</v>
      </c>
      <c r="AN506" t="s">
        <v>97</v>
      </c>
      <c r="AO506" t="s">
        <v>98</v>
      </c>
      <c r="AP506" t="s">
        <v>78</v>
      </c>
      <c r="AQ506" t="s">
        <v>99</v>
      </c>
      <c r="AS506" t="s">
        <v>78</v>
      </c>
      <c r="AT506" t="s">
        <v>100</v>
      </c>
      <c r="AU506" t="s">
        <v>100</v>
      </c>
      <c r="AW506" t="s">
        <v>85</v>
      </c>
      <c r="AX506" t="s">
        <v>103</v>
      </c>
      <c r="AY506" t="s">
        <v>159</v>
      </c>
      <c r="AZ506" t="s">
        <v>103</v>
      </c>
      <c r="BA506" t="s">
        <v>104</v>
      </c>
      <c r="BB506" t="s">
        <v>78</v>
      </c>
      <c r="BC506" t="s">
        <v>78</v>
      </c>
      <c r="BE506">
        <v>0</v>
      </c>
      <c r="BF506">
        <v>12</v>
      </c>
      <c r="BG506">
        <v>0</v>
      </c>
      <c r="BH506">
        <v>0</v>
      </c>
      <c r="BJ506" t="s">
        <v>85</v>
      </c>
      <c r="BP506" t="s">
        <v>78</v>
      </c>
      <c r="BQ506" t="s">
        <v>78</v>
      </c>
      <c r="BR506" t="s">
        <v>78</v>
      </c>
    </row>
    <row r="507" customFormat="1" spans="1:70">
      <c r="A507" t="s">
        <v>3385</v>
      </c>
      <c r="B507" t="s">
        <v>3385</v>
      </c>
      <c r="C507" t="s">
        <v>1050</v>
      </c>
      <c r="D507" t="s">
        <v>1153</v>
      </c>
      <c r="E507">
        <v>1</v>
      </c>
      <c r="F507" t="s">
        <v>1052</v>
      </c>
      <c r="G507" t="s">
        <v>1154</v>
      </c>
      <c r="H507">
        <v>129</v>
      </c>
      <c r="I507">
        <v>129</v>
      </c>
      <c r="J507">
        <v>0</v>
      </c>
      <c r="K507">
        <v>0</v>
      </c>
      <c r="L507" t="s">
        <v>78</v>
      </c>
      <c r="M507" t="s">
        <v>78</v>
      </c>
      <c r="N507" t="s">
        <v>78</v>
      </c>
      <c r="O507">
        <v>0</v>
      </c>
      <c r="P507">
        <v>0</v>
      </c>
      <c r="Q507">
        <v>0</v>
      </c>
      <c r="R507" t="s">
        <v>125</v>
      </c>
      <c r="S507">
        <v>0</v>
      </c>
      <c r="T507" t="s">
        <v>80</v>
      </c>
      <c r="U507" t="s">
        <v>80</v>
      </c>
      <c r="V507" t="s">
        <v>302</v>
      </c>
      <c r="W507" t="s">
        <v>1394</v>
      </c>
      <c r="X507" t="s">
        <v>2346</v>
      </c>
      <c r="Y507" t="s">
        <v>2347</v>
      </c>
      <c r="Z507" t="s">
        <v>80</v>
      </c>
      <c r="AA507" t="s">
        <v>85</v>
      </c>
      <c r="AC507" t="s">
        <v>3386</v>
      </c>
      <c r="AD507" t="s">
        <v>87</v>
      </c>
      <c r="AF507" t="s">
        <v>3387</v>
      </c>
      <c r="AG507" t="s">
        <v>3388</v>
      </c>
      <c r="AH507" t="s">
        <v>91</v>
      </c>
      <c r="AI507" t="s">
        <v>92</v>
      </c>
      <c r="AJ507" t="s">
        <v>93</v>
      </c>
      <c r="AK507" t="s">
        <v>3389</v>
      </c>
      <c r="AL507" t="s">
        <v>95</v>
      </c>
      <c r="AM507" t="s">
        <v>96</v>
      </c>
      <c r="AN507" t="s">
        <v>97</v>
      </c>
      <c r="AO507" t="s">
        <v>98</v>
      </c>
      <c r="AP507" t="s">
        <v>78</v>
      </c>
      <c r="AQ507" t="s">
        <v>78</v>
      </c>
      <c r="AS507" t="s">
        <v>78</v>
      </c>
      <c r="AT507" t="s">
        <v>100</v>
      </c>
      <c r="AU507" t="s">
        <v>100</v>
      </c>
      <c r="AW507" t="s">
        <v>85</v>
      </c>
      <c r="AX507" t="s">
        <v>101</v>
      </c>
      <c r="AY507" t="s">
        <v>102</v>
      </c>
      <c r="AZ507" t="s">
        <v>103</v>
      </c>
      <c r="BA507" t="s">
        <v>120</v>
      </c>
      <c r="BB507" t="s">
        <v>78</v>
      </c>
      <c r="BC507" t="s">
        <v>78</v>
      </c>
      <c r="BD507" t="s">
        <v>3390</v>
      </c>
      <c r="BE507">
        <v>0</v>
      </c>
      <c r="BF507">
        <v>0</v>
      </c>
      <c r="BG507">
        <v>0</v>
      </c>
      <c r="BH507">
        <v>0</v>
      </c>
      <c r="BJ507" t="s">
        <v>85</v>
      </c>
      <c r="BP507" t="s">
        <v>78</v>
      </c>
      <c r="BQ507" t="s">
        <v>78</v>
      </c>
      <c r="BR507" t="s">
        <v>78</v>
      </c>
    </row>
    <row r="508" customFormat="1" spans="1:70">
      <c r="A508" t="s">
        <v>3391</v>
      </c>
      <c r="B508" t="s">
        <v>3391</v>
      </c>
      <c r="C508" t="s">
        <v>1050</v>
      </c>
      <c r="D508" t="s">
        <v>1377</v>
      </c>
      <c r="E508">
        <v>1</v>
      </c>
      <c r="F508" t="s">
        <v>1052</v>
      </c>
      <c r="G508" t="s">
        <v>1378</v>
      </c>
      <c r="H508">
        <v>129</v>
      </c>
      <c r="I508">
        <v>129</v>
      </c>
      <c r="J508">
        <v>0</v>
      </c>
      <c r="K508">
        <v>0</v>
      </c>
      <c r="L508" t="s">
        <v>78</v>
      </c>
      <c r="M508" t="s">
        <v>78</v>
      </c>
      <c r="N508" t="s">
        <v>78</v>
      </c>
      <c r="O508">
        <v>0</v>
      </c>
      <c r="P508">
        <v>0</v>
      </c>
      <c r="Q508">
        <v>0</v>
      </c>
      <c r="R508" t="s">
        <v>79</v>
      </c>
      <c r="S508">
        <v>0</v>
      </c>
      <c r="T508" t="s">
        <v>80</v>
      </c>
      <c r="U508" t="s">
        <v>80</v>
      </c>
      <c r="V508" t="s">
        <v>500</v>
      </c>
      <c r="W508" t="s">
        <v>3392</v>
      </c>
      <c r="X508" t="s">
        <v>3393</v>
      </c>
      <c r="Y508" t="s">
        <v>78</v>
      </c>
      <c r="Z508" t="s">
        <v>80</v>
      </c>
      <c r="AA508" t="s">
        <v>85</v>
      </c>
      <c r="AC508" t="s">
        <v>3394</v>
      </c>
      <c r="AD508" t="s">
        <v>87</v>
      </c>
      <c r="AG508" t="s">
        <v>3395</v>
      </c>
      <c r="AH508" t="s">
        <v>227</v>
      </c>
      <c r="AI508" t="s">
        <v>92</v>
      </c>
      <c r="AJ508" t="s">
        <v>131</v>
      </c>
      <c r="AK508" t="s">
        <v>3396</v>
      </c>
      <c r="AL508" t="s">
        <v>95</v>
      </c>
      <c r="AM508" t="s">
        <v>96</v>
      </c>
      <c r="AN508" t="s">
        <v>97</v>
      </c>
      <c r="AO508" t="s">
        <v>98</v>
      </c>
      <c r="AP508" t="s">
        <v>78</v>
      </c>
      <c r="AQ508" t="s">
        <v>99</v>
      </c>
      <c r="AS508" t="s">
        <v>78</v>
      </c>
      <c r="AT508" t="s">
        <v>100</v>
      </c>
      <c r="AU508" t="s">
        <v>100</v>
      </c>
      <c r="AW508" t="s">
        <v>85</v>
      </c>
      <c r="AX508" t="s">
        <v>103</v>
      </c>
      <c r="AY508" t="s">
        <v>159</v>
      </c>
      <c r="AZ508" t="s">
        <v>103</v>
      </c>
      <c r="BA508" t="s">
        <v>133</v>
      </c>
      <c r="BB508" t="s">
        <v>78</v>
      </c>
      <c r="BC508" t="s">
        <v>78</v>
      </c>
      <c r="BE508">
        <v>0</v>
      </c>
      <c r="BF508">
        <v>0</v>
      </c>
      <c r="BG508">
        <v>0</v>
      </c>
      <c r="BH508">
        <v>0</v>
      </c>
      <c r="BJ508" t="s">
        <v>85</v>
      </c>
      <c r="BP508" t="s">
        <v>78</v>
      </c>
      <c r="BQ508" t="s">
        <v>78</v>
      </c>
      <c r="BR508" t="s">
        <v>78</v>
      </c>
    </row>
    <row r="509" customFormat="1" spans="1:70">
      <c r="A509" t="s">
        <v>3397</v>
      </c>
      <c r="B509" t="s">
        <v>3397</v>
      </c>
      <c r="C509" t="s">
        <v>1050</v>
      </c>
      <c r="D509" t="s">
        <v>1189</v>
      </c>
      <c r="E509">
        <v>1</v>
      </c>
      <c r="F509" t="s">
        <v>1052</v>
      </c>
      <c r="G509" t="s">
        <v>1190</v>
      </c>
      <c r="H509">
        <v>129</v>
      </c>
      <c r="I509">
        <v>129</v>
      </c>
      <c r="J509">
        <v>0</v>
      </c>
      <c r="K509">
        <v>0</v>
      </c>
      <c r="L509" t="s">
        <v>78</v>
      </c>
      <c r="M509" t="s">
        <v>78</v>
      </c>
      <c r="N509" t="s">
        <v>78</v>
      </c>
      <c r="O509">
        <v>0</v>
      </c>
      <c r="P509">
        <v>0</v>
      </c>
      <c r="Q509">
        <v>0</v>
      </c>
      <c r="R509" t="s">
        <v>111</v>
      </c>
      <c r="S509">
        <v>0</v>
      </c>
      <c r="T509" t="s">
        <v>80</v>
      </c>
      <c r="U509" t="s">
        <v>80</v>
      </c>
      <c r="V509" t="s">
        <v>112</v>
      </c>
      <c r="W509" t="s">
        <v>906</v>
      </c>
      <c r="X509" t="s">
        <v>907</v>
      </c>
      <c r="Y509" t="s">
        <v>1448</v>
      </c>
      <c r="Z509" t="s">
        <v>80</v>
      </c>
      <c r="AA509" t="s">
        <v>85</v>
      </c>
      <c r="AC509" t="s">
        <v>3398</v>
      </c>
      <c r="AD509" t="s">
        <v>87</v>
      </c>
      <c r="AH509" t="s">
        <v>91</v>
      </c>
      <c r="AI509" t="s">
        <v>92</v>
      </c>
      <c r="AJ509" t="s">
        <v>131</v>
      </c>
      <c r="AK509" t="s">
        <v>3399</v>
      </c>
      <c r="AL509" t="s">
        <v>95</v>
      </c>
      <c r="AM509" t="s">
        <v>96</v>
      </c>
      <c r="AN509" t="s">
        <v>97</v>
      </c>
      <c r="AO509" t="s">
        <v>98</v>
      </c>
      <c r="AP509" t="s">
        <v>78</v>
      </c>
      <c r="AQ509" t="s">
        <v>78</v>
      </c>
      <c r="AR509" t="s">
        <v>353</v>
      </c>
      <c r="AS509" t="s">
        <v>78</v>
      </c>
      <c r="AT509" t="s">
        <v>100</v>
      </c>
      <c r="AU509" t="s">
        <v>100</v>
      </c>
      <c r="AW509" t="s">
        <v>85</v>
      </c>
      <c r="AX509" t="s">
        <v>101</v>
      </c>
      <c r="AY509" t="s">
        <v>102</v>
      </c>
      <c r="AZ509" t="s">
        <v>103</v>
      </c>
      <c r="BA509" t="s">
        <v>120</v>
      </c>
      <c r="BB509" t="s">
        <v>78</v>
      </c>
      <c r="BC509" t="s">
        <v>78</v>
      </c>
      <c r="BE509">
        <v>0</v>
      </c>
      <c r="BF509">
        <v>0</v>
      </c>
      <c r="BG509">
        <v>0</v>
      </c>
      <c r="BH509">
        <v>0</v>
      </c>
      <c r="BJ509" t="s">
        <v>85</v>
      </c>
      <c r="BP509" t="s">
        <v>78</v>
      </c>
      <c r="BQ509" t="s">
        <v>78</v>
      </c>
      <c r="BR509" t="s">
        <v>78</v>
      </c>
    </row>
    <row r="510" customFormat="1" spans="1:70">
      <c r="A510" t="s">
        <v>3400</v>
      </c>
      <c r="B510" t="s">
        <v>3400</v>
      </c>
      <c r="C510" t="s">
        <v>1050</v>
      </c>
      <c r="D510" t="s">
        <v>2255</v>
      </c>
      <c r="E510">
        <v>1</v>
      </c>
      <c r="F510" t="s">
        <v>1052</v>
      </c>
      <c r="G510" t="s">
        <v>2256</v>
      </c>
      <c r="H510">
        <v>129</v>
      </c>
      <c r="I510">
        <v>129</v>
      </c>
      <c r="J510">
        <v>0</v>
      </c>
      <c r="K510">
        <v>0</v>
      </c>
      <c r="L510" t="s">
        <v>78</v>
      </c>
      <c r="M510" t="s">
        <v>78</v>
      </c>
      <c r="N510" t="s">
        <v>78</v>
      </c>
      <c r="O510">
        <v>0</v>
      </c>
      <c r="P510">
        <v>0</v>
      </c>
      <c r="Q510">
        <v>0</v>
      </c>
      <c r="R510" t="s">
        <v>125</v>
      </c>
      <c r="S510">
        <v>0</v>
      </c>
      <c r="T510" t="s">
        <v>80</v>
      </c>
      <c r="U510" t="s">
        <v>80</v>
      </c>
      <c r="V510" t="s">
        <v>509</v>
      </c>
      <c r="W510" t="s">
        <v>3401</v>
      </c>
      <c r="X510" t="s">
        <v>3402</v>
      </c>
      <c r="Y510" t="s">
        <v>3403</v>
      </c>
      <c r="Z510" t="s">
        <v>80</v>
      </c>
      <c r="AA510" t="s">
        <v>85</v>
      </c>
      <c r="AC510" t="s">
        <v>3404</v>
      </c>
      <c r="AD510" t="s">
        <v>202</v>
      </c>
      <c r="AE510" t="s">
        <v>3405</v>
      </c>
      <c r="AG510" t="s">
        <v>3406</v>
      </c>
      <c r="AH510" t="s">
        <v>91</v>
      </c>
      <c r="AI510" t="s">
        <v>92</v>
      </c>
      <c r="AJ510" t="s">
        <v>131</v>
      </c>
      <c r="AK510" t="s">
        <v>3407</v>
      </c>
      <c r="AL510" t="s">
        <v>95</v>
      </c>
      <c r="AM510" t="s">
        <v>96</v>
      </c>
      <c r="AN510" t="s">
        <v>97</v>
      </c>
      <c r="AO510" t="s">
        <v>98</v>
      </c>
      <c r="AP510" t="s">
        <v>78</v>
      </c>
      <c r="AQ510" t="s">
        <v>99</v>
      </c>
      <c r="AS510" t="s">
        <v>78</v>
      </c>
      <c r="AT510" t="s">
        <v>100</v>
      </c>
      <c r="AU510" t="s">
        <v>100</v>
      </c>
      <c r="AW510" t="s">
        <v>85</v>
      </c>
      <c r="AX510" t="s">
        <v>101</v>
      </c>
      <c r="AY510" t="s">
        <v>102</v>
      </c>
      <c r="AZ510" t="s">
        <v>103</v>
      </c>
      <c r="BA510" t="s">
        <v>120</v>
      </c>
      <c r="BB510" t="s">
        <v>78</v>
      </c>
      <c r="BC510" t="s">
        <v>78</v>
      </c>
      <c r="BD510" t="s">
        <v>3408</v>
      </c>
      <c r="BE510">
        <v>0</v>
      </c>
      <c r="BF510">
        <v>0</v>
      </c>
      <c r="BG510">
        <v>0</v>
      </c>
      <c r="BH510">
        <v>0</v>
      </c>
      <c r="BJ510" t="s">
        <v>85</v>
      </c>
      <c r="BP510" t="s">
        <v>78</v>
      </c>
      <c r="BQ510" t="s">
        <v>78</v>
      </c>
      <c r="BR510" t="s">
        <v>78</v>
      </c>
    </row>
    <row r="511" customFormat="1" spans="1:70">
      <c r="A511" t="s">
        <v>3409</v>
      </c>
      <c r="B511" t="s">
        <v>3409</v>
      </c>
      <c r="C511" t="s">
        <v>1050</v>
      </c>
      <c r="D511" t="s">
        <v>1153</v>
      </c>
      <c r="E511">
        <v>1</v>
      </c>
      <c r="F511" t="s">
        <v>1052</v>
      </c>
      <c r="G511" t="s">
        <v>1154</v>
      </c>
      <c r="H511">
        <v>129</v>
      </c>
      <c r="I511">
        <v>129</v>
      </c>
      <c r="J511">
        <v>0</v>
      </c>
      <c r="K511">
        <v>0</v>
      </c>
      <c r="L511" t="s">
        <v>78</v>
      </c>
      <c r="M511" t="s">
        <v>78</v>
      </c>
      <c r="N511" t="s">
        <v>78</v>
      </c>
      <c r="O511">
        <v>0</v>
      </c>
      <c r="P511">
        <v>0</v>
      </c>
      <c r="Q511">
        <v>0</v>
      </c>
      <c r="R511" t="s">
        <v>79</v>
      </c>
      <c r="S511">
        <v>0</v>
      </c>
      <c r="T511" t="s">
        <v>80</v>
      </c>
      <c r="U511" t="s">
        <v>80</v>
      </c>
      <c r="V511" t="s">
        <v>178</v>
      </c>
      <c r="W511" t="s">
        <v>178</v>
      </c>
      <c r="X511" t="s">
        <v>3410</v>
      </c>
      <c r="Y511" t="s">
        <v>78</v>
      </c>
      <c r="Z511" t="s">
        <v>80</v>
      </c>
      <c r="AA511" t="s">
        <v>85</v>
      </c>
      <c r="AC511" t="s">
        <v>3411</v>
      </c>
      <c r="AD511" t="s">
        <v>87</v>
      </c>
      <c r="AG511" t="s">
        <v>3412</v>
      </c>
      <c r="AH511" t="s">
        <v>254</v>
      </c>
      <c r="AI511" t="s">
        <v>92</v>
      </c>
      <c r="AJ511" t="s">
        <v>131</v>
      </c>
      <c r="AK511" t="s">
        <v>3413</v>
      </c>
      <c r="AL511" t="s">
        <v>95</v>
      </c>
      <c r="AM511" t="s">
        <v>96</v>
      </c>
      <c r="AN511" t="s">
        <v>97</v>
      </c>
      <c r="AO511" t="s">
        <v>98</v>
      </c>
      <c r="AP511" t="s">
        <v>78</v>
      </c>
      <c r="AQ511" t="s">
        <v>99</v>
      </c>
      <c r="AS511" t="s">
        <v>78</v>
      </c>
      <c r="AT511" t="s">
        <v>100</v>
      </c>
      <c r="AU511" t="s">
        <v>100</v>
      </c>
      <c r="AW511" t="s">
        <v>85</v>
      </c>
      <c r="AX511" t="s">
        <v>103</v>
      </c>
      <c r="AY511" t="s">
        <v>159</v>
      </c>
      <c r="AZ511" t="s">
        <v>103</v>
      </c>
      <c r="BA511" t="s">
        <v>102</v>
      </c>
      <c r="BB511" t="s">
        <v>78</v>
      </c>
      <c r="BC511" t="s">
        <v>78</v>
      </c>
      <c r="BE511">
        <v>0</v>
      </c>
      <c r="BF511">
        <v>0</v>
      </c>
      <c r="BG511">
        <v>0</v>
      </c>
      <c r="BH511">
        <v>0</v>
      </c>
      <c r="BJ511" t="s">
        <v>85</v>
      </c>
      <c r="BP511" t="s">
        <v>78</v>
      </c>
      <c r="BQ511" t="s">
        <v>78</v>
      </c>
      <c r="BR511" t="s">
        <v>78</v>
      </c>
    </row>
    <row r="512" customFormat="1" spans="1:70">
      <c r="A512" t="s">
        <v>3414</v>
      </c>
      <c r="B512" t="s">
        <v>3414</v>
      </c>
      <c r="C512" t="s">
        <v>1050</v>
      </c>
      <c r="D512" t="s">
        <v>1051</v>
      </c>
      <c r="E512">
        <v>1</v>
      </c>
      <c r="F512" t="s">
        <v>1052</v>
      </c>
      <c r="G512" t="s">
        <v>1053</v>
      </c>
      <c r="H512">
        <v>129</v>
      </c>
      <c r="I512">
        <v>129</v>
      </c>
      <c r="J512">
        <v>0</v>
      </c>
      <c r="K512">
        <v>0</v>
      </c>
      <c r="L512" t="s">
        <v>78</v>
      </c>
      <c r="M512" t="s">
        <v>78</v>
      </c>
      <c r="N512" t="s">
        <v>78</v>
      </c>
      <c r="O512">
        <v>0</v>
      </c>
      <c r="P512">
        <v>0</v>
      </c>
      <c r="Q512">
        <v>0</v>
      </c>
      <c r="R512" t="s">
        <v>79</v>
      </c>
      <c r="S512">
        <v>0</v>
      </c>
      <c r="T512" t="s">
        <v>80</v>
      </c>
      <c r="U512" t="s">
        <v>80</v>
      </c>
      <c r="V512" t="s">
        <v>676</v>
      </c>
      <c r="W512" t="s">
        <v>3415</v>
      </c>
      <c r="X512" t="s">
        <v>3416</v>
      </c>
      <c r="Y512" t="s">
        <v>3417</v>
      </c>
      <c r="Z512" t="s">
        <v>80</v>
      </c>
      <c r="AA512" t="s">
        <v>85</v>
      </c>
      <c r="AC512" t="s">
        <v>3418</v>
      </c>
      <c r="AD512" t="s">
        <v>87</v>
      </c>
      <c r="AG512" t="s">
        <v>3419</v>
      </c>
      <c r="AH512" t="s">
        <v>91</v>
      </c>
      <c r="AI512" t="s">
        <v>92</v>
      </c>
      <c r="AJ512" t="s">
        <v>131</v>
      </c>
      <c r="AK512" t="s">
        <v>3420</v>
      </c>
      <c r="AL512" t="s">
        <v>95</v>
      </c>
      <c r="AM512" t="s">
        <v>96</v>
      </c>
      <c r="AN512" t="s">
        <v>97</v>
      </c>
      <c r="AO512" t="s">
        <v>98</v>
      </c>
      <c r="AP512" t="s">
        <v>78</v>
      </c>
      <c r="AQ512" t="s">
        <v>99</v>
      </c>
      <c r="AS512" t="s">
        <v>78</v>
      </c>
      <c r="AT512" t="s">
        <v>100</v>
      </c>
      <c r="AU512" t="s">
        <v>100</v>
      </c>
      <c r="AW512" t="s">
        <v>85</v>
      </c>
      <c r="AX512" t="s">
        <v>101</v>
      </c>
      <c r="AY512" t="s">
        <v>102</v>
      </c>
      <c r="AZ512" t="s">
        <v>103</v>
      </c>
      <c r="BA512" t="s">
        <v>120</v>
      </c>
      <c r="BB512" t="s">
        <v>78</v>
      </c>
      <c r="BC512" t="s">
        <v>78</v>
      </c>
      <c r="BE512">
        <v>0</v>
      </c>
      <c r="BF512">
        <v>0</v>
      </c>
      <c r="BG512">
        <v>0</v>
      </c>
      <c r="BH512">
        <v>0</v>
      </c>
      <c r="BJ512" t="s">
        <v>85</v>
      </c>
      <c r="BP512" t="s">
        <v>78</v>
      </c>
      <c r="BQ512" t="s">
        <v>78</v>
      </c>
      <c r="BR512" t="s">
        <v>78</v>
      </c>
    </row>
    <row r="513" customFormat="1" spans="1:70">
      <c r="A513" t="s">
        <v>3421</v>
      </c>
      <c r="B513" t="s">
        <v>3421</v>
      </c>
      <c r="C513" t="s">
        <v>1050</v>
      </c>
      <c r="D513" t="s">
        <v>1189</v>
      </c>
      <c r="E513">
        <v>1</v>
      </c>
      <c r="F513" t="s">
        <v>1052</v>
      </c>
      <c r="G513" t="s">
        <v>1190</v>
      </c>
      <c r="H513">
        <v>129</v>
      </c>
      <c r="I513">
        <v>129</v>
      </c>
      <c r="J513">
        <v>0</v>
      </c>
      <c r="K513">
        <v>0</v>
      </c>
      <c r="L513" t="s">
        <v>78</v>
      </c>
      <c r="M513" t="s">
        <v>78</v>
      </c>
      <c r="N513" t="s">
        <v>78</v>
      </c>
      <c r="O513">
        <v>0</v>
      </c>
      <c r="P513">
        <v>0</v>
      </c>
      <c r="Q513">
        <v>0</v>
      </c>
      <c r="R513" t="s">
        <v>79</v>
      </c>
      <c r="S513">
        <v>0</v>
      </c>
      <c r="T513" t="s">
        <v>80</v>
      </c>
      <c r="U513" t="s">
        <v>80</v>
      </c>
      <c r="V513" t="s">
        <v>583</v>
      </c>
      <c r="W513" t="s">
        <v>920</v>
      </c>
      <c r="X513" t="s">
        <v>921</v>
      </c>
      <c r="Y513" t="s">
        <v>3422</v>
      </c>
      <c r="Z513" t="s">
        <v>80</v>
      </c>
      <c r="AA513" t="s">
        <v>85</v>
      </c>
      <c r="AC513" t="s">
        <v>3423</v>
      </c>
      <c r="AD513" t="s">
        <v>87</v>
      </c>
      <c r="AF513" t="s">
        <v>3424</v>
      </c>
      <c r="AG513" t="s">
        <v>3425</v>
      </c>
      <c r="AH513" t="s">
        <v>91</v>
      </c>
      <c r="AI513" t="s">
        <v>92</v>
      </c>
      <c r="AJ513" t="s">
        <v>93</v>
      </c>
      <c r="AK513" t="s">
        <v>3426</v>
      </c>
      <c r="AL513" t="s">
        <v>95</v>
      </c>
      <c r="AM513" t="s">
        <v>96</v>
      </c>
      <c r="AN513" t="s">
        <v>97</v>
      </c>
      <c r="AO513" t="s">
        <v>98</v>
      </c>
      <c r="AP513" t="s">
        <v>78</v>
      </c>
      <c r="AQ513" t="s">
        <v>78</v>
      </c>
      <c r="AS513" t="s">
        <v>78</v>
      </c>
      <c r="AT513" t="s">
        <v>100</v>
      </c>
      <c r="AU513" t="s">
        <v>100</v>
      </c>
      <c r="AW513" t="s">
        <v>85</v>
      </c>
      <c r="AX513" t="s">
        <v>101</v>
      </c>
      <c r="AY513" t="s">
        <v>102</v>
      </c>
      <c r="AZ513" t="s">
        <v>103</v>
      </c>
      <c r="BA513" t="s">
        <v>120</v>
      </c>
      <c r="BB513" t="s">
        <v>78</v>
      </c>
      <c r="BC513" t="s">
        <v>78</v>
      </c>
      <c r="BD513" t="s">
        <v>3427</v>
      </c>
      <c r="BE513">
        <v>0</v>
      </c>
      <c r="BF513">
        <v>0</v>
      </c>
      <c r="BG513">
        <v>0</v>
      </c>
      <c r="BH513">
        <v>0</v>
      </c>
      <c r="BJ513" t="s">
        <v>85</v>
      </c>
      <c r="BP513" t="s">
        <v>78</v>
      </c>
      <c r="BQ513" t="s">
        <v>78</v>
      </c>
      <c r="BR513" t="s">
        <v>78</v>
      </c>
    </row>
    <row r="514" customFormat="1" spans="1:70">
      <c r="A514" t="s">
        <v>3428</v>
      </c>
      <c r="B514" t="s">
        <v>3428</v>
      </c>
      <c r="C514" t="s">
        <v>1050</v>
      </c>
      <c r="D514" t="s">
        <v>1377</v>
      </c>
      <c r="E514">
        <v>1</v>
      </c>
      <c r="F514" t="s">
        <v>1052</v>
      </c>
      <c r="G514" t="s">
        <v>1378</v>
      </c>
      <c r="H514">
        <v>129</v>
      </c>
      <c r="I514">
        <v>129</v>
      </c>
      <c r="J514">
        <v>0</v>
      </c>
      <c r="K514">
        <v>0</v>
      </c>
      <c r="L514" t="s">
        <v>78</v>
      </c>
      <c r="M514" t="s">
        <v>78</v>
      </c>
      <c r="N514" t="s">
        <v>78</v>
      </c>
      <c r="O514">
        <v>0</v>
      </c>
      <c r="P514">
        <v>0</v>
      </c>
      <c r="Q514">
        <v>0</v>
      </c>
      <c r="R514" t="s">
        <v>79</v>
      </c>
      <c r="S514">
        <v>0</v>
      </c>
      <c r="T514" t="s">
        <v>80</v>
      </c>
      <c r="U514" t="s">
        <v>80</v>
      </c>
      <c r="V514" t="s">
        <v>167</v>
      </c>
      <c r="W514" t="s">
        <v>1313</v>
      </c>
      <c r="X514" t="s">
        <v>3429</v>
      </c>
      <c r="Y514" t="s">
        <v>3430</v>
      </c>
      <c r="Z514" t="s">
        <v>80</v>
      </c>
      <c r="AA514" t="s">
        <v>85</v>
      </c>
      <c r="AC514" t="s">
        <v>3431</v>
      </c>
      <c r="AD514" t="s">
        <v>202</v>
      </c>
      <c r="AE514" t="s">
        <v>3432</v>
      </c>
      <c r="AG514" t="s">
        <v>3433</v>
      </c>
      <c r="AH514" t="s">
        <v>91</v>
      </c>
      <c r="AI514" t="s">
        <v>92</v>
      </c>
      <c r="AJ514" t="s">
        <v>131</v>
      </c>
      <c r="AK514" t="s">
        <v>3434</v>
      </c>
      <c r="AL514" t="s">
        <v>95</v>
      </c>
      <c r="AM514" t="s">
        <v>96</v>
      </c>
      <c r="AN514" t="s">
        <v>97</v>
      </c>
      <c r="AO514" t="s">
        <v>98</v>
      </c>
      <c r="AP514" t="s">
        <v>78</v>
      </c>
      <c r="AQ514" t="s">
        <v>99</v>
      </c>
      <c r="AS514" t="s">
        <v>78</v>
      </c>
      <c r="AT514" t="s">
        <v>100</v>
      </c>
      <c r="AU514" t="s">
        <v>100</v>
      </c>
      <c r="AW514" t="s">
        <v>85</v>
      </c>
      <c r="AX514" t="s">
        <v>101</v>
      </c>
      <c r="AY514" t="s">
        <v>102</v>
      </c>
      <c r="AZ514" t="s">
        <v>103</v>
      </c>
      <c r="BA514" t="s">
        <v>133</v>
      </c>
      <c r="BB514" t="s">
        <v>78</v>
      </c>
      <c r="BC514" t="s">
        <v>78</v>
      </c>
      <c r="BD514" t="s">
        <v>3435</v>
      </c>
      <c r="BE514">
        <v>0</v>
      </c>
      <c r="BF514">
        <v>0</v>
      </c>
      <c r="BG514">
        <v>0</v>
      </c>
      <c r="BH514">
        <v>0</v>
      </c>
      <c r="BJ514" t="s">
        <v>85</v>
      </c>
      <c r="BP514" t="s">
        <v>78</v>
      </c>
      <c r="BQ514" t="s">
        <v>78</v>
      </c>
      <c r="BR514" t="s">
        <v>78</v>
      </c>
    </row>
    <row r="515" customFormat="1" spans="1:70">
      <c r="A515" t="s">
        <v>3436</v>
      </c>
      <c r="B515" t="s">
        <v>3436</v>
      </c>
      <c r="C515" t="s">
        <v>1050</v>
      </c>
      <c r="D515" t="s">
        <v>1142</v>
      </c>
      <c r="E515">
        <v>1</v>
      </c>
      <c r="F515" t="s">
        <v>1052</v>
      </c>
      <c r="G515" t="s">
        <v>1143</v>
      </c>
      <c r="H515">
        <v>129</v>
      </c>
      <c r="I515">
        <v>129</v>
      </c>
      <c r="J515">
        <v>0</v>
      </c>
      <c r="K515">
        <v>0</v>
      </c>
      <c r="L515" t="s">
        <v>78</v>
      </c>
      <c r="M515" t="s">
        <v>78</v>
      </c>
      <c r="N515" t="s">
        <v>78</v>
      </c>
      <c r="O515">
        <v>0</v>
      </c>
      <c r="P515">
        <v>0</v>
      </c>
      <c r="Q515">
        <v>0</v>
      </c>
      <c r="R515" t="s">
        <v>79</v>
      </c>
      <c r="S515">
        <v>0</v>
      </c>
      <c r="T515" t="s">
        <v>80</v>
      </c>
      <c r="U515" t="s">
        <v>80</v>
      </c>
      <c r="V515" t="s">
        <v>239</v>
      </c>
      <c r="W515" t="s">
        <v>2439</v>
      </c>
      <c r="X515" t="s">
        <v>2440</v>
      </c>
      <c r="Y515" t="s">
        <v>2441</v>
      </c>
      <c r="Z515" t="s">
        <v>80</v>
      </c>
      <c r="AA515" t="s">
        <v>85</v>
      </c>
      <c r="AC515" t="s">
        <v>3437</v>
      </c>
      <c r="AD515" t="s">
        <v>202</v>
      </c>
      <c r="AE515" t="s">
        <v>3438</v>
      </c>
      <c r="AG515" t="s">
        <v>3439</v>
      </c>
      <c r="AH515" t="s">
        <v>91</v>
      </c>
      <c r="AI515" t="s">
        <v>92</v>
      </c>
      <c r="AJ515" t="s">
        <v>131</v>
      </c>
      <c r="AK515" t="s">
        <v>3440</v>
      </c>
      <c r="AL515" t="s">
        <v>95</v>
      </c>
      <c r="AM515" t="s">
        <v>96</v>
      </c>
      <c r="AN515" t="s">
        <v>97</v>
      </c>
      <c r="AO515" t="s">
        <v>98</v>
      </c>
      <c r="AP515" t="s">
        <v>78</v>
      </c>
      <c r="AQ515" t="s">
        <v>99</v>
      </c>
      <c r="AS515" t="s">
        <v>78</v>
      </c>
      <c r="AT515" t="s">
        <v>100</v>
      </c>
      <c r="AU515" t="s">
        <v>100</v>
      </c>
      <c r="AW515" t="s">
        <v>85</v>
      </c>
      <c r="AX515" t="s">
        <v>101</v>
      </c>
      <c r="AY515" t="s">
        <v>102</v>
      </c>
      <c r="AZ515" t="s">
        <v>103</v>
      </c>
      <c r="BA515" t="s">
        <v>419</v>
      </c>
      <c r="BB515" t="s">
        <v>78</v>
      </c>
      <c r="BC515" t="s">
        <v>78</v>
      </c>
      <c r="BD515" t="s">
        <v>3441</v>
      </c>
      <c r="BE515">
        <v>0</v>
      </c>
      <c r="BF515">
        <v>0</v>
      </c>
      <c r="BG515">
        <v>0</v>
      </c>
      <c r="BH515">
        <v>0</v>
      </c>
      <c r="BJ515" t="s">
        <v>85</v>
      </c>
      <c r="BP515" t="s">
        <v>78</v>
      </c>
      <c r="BQ515" t="s">
        <v>78</v>
      </c>
      <c r="BR515" t="s">
        <v>78</v>
      </c>
    </row>
    <row r="516" customFormat="1" spans="1:70">
      <c r="A516" t="s">
        <v>3442</v>
      </c>
      <c r="B516" t="s">
        <v>3442</v>
      </c>
      <c r="C516" t="s">
        <v>107</v>
      </c>
      <c r="D516" t="s">
        <v>108</v>
      </c>
      <c r="E516">
        <v>1</v>
      </c>
      <c r="F516" t="s">
        <v>109</v>
      </c>
      <c r="G516" t="s">
        <v>110</v>
      </c>
      <c r="H516">
        <v>289</v>
      </c>
      <c r="I516">
        <v>289</v>
      </c>
      <c r="J516">
        <v>0</v>
      </c>
      <c r="K516">
        <v>0</v>
      </c>
      <c r="L516" t="s">
        <v>78</v>
      </c>
      <c r="M516" t="s">
        <v>78</v>
      </c>
      <c r="N516" t="s">
        <v>78</v>
      </c>
      <c r="O516">
        <v>0</v>
      </c>
      <c r="P516">
        <v>0</v>
      </c>
      <c r="Q516">
        <v>0</v>
      </c>
      <c r="R516" t="s">
        <v>79</v>
      </c>
      <c r="S516">
        <v>0</v>
      </c>
      <c r="T516" t="s">
        <v>80</v>
      </c>
      <c r="U516" t="s">
        <v>80</v>
      </c>
      <c r="V516" t="s">
        <v>347</v>
      </c>
      <c r="W516" t="s">
        <v>727</v>
      </c>
      <c r="X516" t="s">
        <v>728</v>
      </c>
      <c r="Y516" t="s">
        <v>729</v>
      </c>
      <c r="Z516" t="s">
        <v>80</v>
      </c>
      <c r="AA516" t="s">
        <v>85</v>
      </c>
      <c r="AC516" t="s">
        <v>3443</v>
      </c>
      <c r="AD516" t="s">
        <v>87</v>
      </c>
      <c r="AF516" t="s">
        <v>3444</v>
      </c>
      <c r="AG516" t="s">
        <v>3445</v>
      </c>
      <c r="AH516" t="s">
        <v>227</v>
      </c>
      <c r="AI516" t="s">
        <v>92</v>
      </c>
      <c r="AJ516" t="s">
        <v>93</v>
      </c>
      <c r="AK516" t="s">
        <v>3446</v>
      </c>
      <c r="AL516" t="s">
        <v>95</v>
      </c>
      <c r="AM516" t="s">
        <v>96</v>
      </c>
      <c r="AN516" t="s">
        <v>97</v>
      </c>
      <c r="AO516" t="s">
        <v>98</v>
      </c>
      <c r="AP516" t="s">
        <v>78</v>
      </c>
      <c r="AQ516" t="s">
        <v>3447</v>
      </c>
      <c r="AS516" t="s">
        <v>78</v>
      </c>
      <c r="AT516" t="s">
        <v>100</v>
      </c>
      <c r="AU516" t="s">
        <v>100</v>
      </c>
      <c r="AW516" t="s">
        <v>85</v>
      </c>
      <c r="AX516" t="s">
        <v>101</v>
      </c>
      <c r="AY516" t="s">
        <v>102</v>
      </c>
      <c r="AZ516" t="s">
        <v>103</v>
      </c>
      <c r="BA516" t="s">
        <v>120</v>
      </c>
      <c r="BB516" t="s">
        <v>78</v>
      </c>
      <c r="BC516" t="s">
        <v>78</v>
      </c>
      <c r="BD516" t="s">
        <v>3448</v>
      </c>
      <c r="BE516">
        <v>0</v>
      </c>
      <c r="BF516">
        <v>0</v>
      </c>
      <c r="BG516">
        <v>0</v>
      </c>
      <c r="BH516">
        <v>0</v>
      </c>
      <c r="BJ516" t="s">
        <v>85</v>
      </c>
      <c r="BP516" t="s">
        <v>78</v>
      </c>
      <c r="BQ516" t="s">
        <v>78</v>
      </c>
      <c r="BR516" t="s">
        <v>78</v>
      </c>
    </row>
    <row r="517" customFormat="1" spans="1:70">
      <c r="A517" t="s">
        <v>3449</v>
      </c>
      <c r="B517" t="s">
        <v>3449</v>
      </c>
      <c r="C517" t="s">
        <v>107</v>
      </c>
      <c r="D517" t="s">
        <v>135</v>
      </c>
      <c r="E517">
        <v>1</v>
      </c>
      <c r="F517" t="s">
        <v>109</v>
      </c>
      <c r="G517" t="s">
        <v>136</v>
      </c>
      <c r="H517">
        <v>289</v>
      </c>
      <c r="I517">
        <v>289</v>
      </c>
      <c r="J517">
        <v>0</v>
      </c>
      <c r="K517">
        <v>0</v>
      </c>
      <c r="L517" t="s">
        <v>78</v>
      </c>
      <c r="M517" t="s">
        <v>78</v>
      </c>
      <c r="N517" t="s">
        <v>78</v>
      </c>
      <c r="O517">
        <v>0</v>
      </c>
      <c r="P517">
        <v>0</v>
      </c>
      <c r="Q517">
        <v>0</v>
      </c>
      <c r="R517" t="s">
        <v>79</v>
      </c>
      <c r="S517">
        <v>0</v>
      </c>
      <c r="T517" t="s">
        <v>80</v>
      </c>
      <c r="U517" t="s">
        <v>80</v>
      </c>
      <c r="V517" t="s">
        <v>302</v>
      </c>
      <c r="W517" t="s">
        <v>1358</v>
      </c>
      <c r="X517" t="s">
        <v>1359</v>
      </c>
      <c r="Y517" t="s">
        <v>1360</v>
      </c>
      <c r="Z517" t="s">
        <v>80</v>
      </c>
      <c r="AA517" t="s">
        <v>85</v>
      </c>
      <c r="AC517" t="s">
        <v>3450</v>
      </c>
      <c r="AD517" t="s">
        <v>87</v>
      </c>
      <c r="AG517" t="s">
        <v>3451</v>
      </c>
      <c r="AH517" t="s">
        <v>91</v>
      </c>
      <c r="AI517" t="s">
        <v>92</v>
      </c>
      <c r="AJ517" t="s">
        <v>131</v>
      </c>
      <c r="AK517" t="s">
        <v>3452</v>
      </c>
      <c r="AL517" t="s">
        <v>95</v>
      </c>
      <c r="AM517" t="s">
        <v>96</v>
      </c>
      <c r="AN517" t="s">
        <v>97</v>
      </c>
      <c r="AO517" t="s">
        <v>98</v>
      </c>
      <c r="AP517" t="s">
        <v>78</v>
      </c>
      <c r="AQ517" t="s">
        <v>99</v>
      </c>
      <c r="AS517" t="s">
        <v>78</v>
      </c>
      <c r="AT517" t="s">
        <v>100</v>
      </c>
      <c r="AU517" t="s">
        <v>100</v>
      </c>
      <c r="AW517" t="s">
        <v>85</v>
      </c>
      <c r="AX517" t="s">
        <v>101</v>
      </c>
      <c r="AY517" t="s">
        <v>102</v>
      </c>
      <c r="AZ517" t="s">
        <v>103</v>
      </c>
      <c r="BA517" t="s">
        <v>133</v>
      </c>
      <c r="BB517" t="s">
        <v>78</v>
      </c>
      <c r="BC517" t="s">
        <v>78</v>
      </c>
      <c r="BE517">
        <v>0</v>
      </c>
      <c r="BF517">
        <v>0</v>
      </c>
      <c r="BG517">
        <v>0</v>
      </c>
      <c r="BH517">
        <v>0</v>
      </c>
      <c r="BJ517" t="s">
        <v>85</v>
      </c>
      <c r="BP517" t="s">
        <v>78</v>
      </c>
      <c r="BQ517" t="s">
        <v>78</v>
      </c>
      <c r="BR517" t="s">
        <v>78</v>
      </c>
    </row>
    <row r="518" customFormat="1" spans="1:70">
      <c r="A518" t="s">
        <v>3453</v>
      </c>
      <c r="B518" t="s">
        <v>3453</v>
      </c>
      <c r="C518" t="s">
        <v>107</v>
      </c>
      <c r="D518" t="s">
        <v>108</v>
      </c>
      <c r="E518">
        <v>1</v>
      </c>
      <c r="F518" t="s">
        <v>109</v>
      </c>
      <c r="G518" t="s">
        <v>110</v>
      </c>
      <c r="H518">
        <v>289</v>
      </c>
      <c r="I518">
        <v>289</v>
      </c>
      <c r="J518">
        <v>0</v>
      </c>
      <c r="K518">
        <v>0</v>
      </c>
      <c r="L518" t="s">
        <v>78</v>
      </c>
      <c r="M518" t="s">
        <v>78</v>
      </c>
      <c r="N518" t="s">
        <v>78</v>
      </c>
      <c r="O518">
        <v>0</v>
      </c>
      <c r="P518">
        <v>0</v>
      </c>
      <c r="Q518">
        <v>0</v>
      </c>
      <c r="R518" t="s">
        <v>111</v>
      </c>
      <c r="S518">
        <v>0</v>
      </c>
      <c r="T518" t="s">
        <v>80</v>
      </c>
      <c r="U518" t="s">
        <v>80</v>
      </c>
      <c r="V518" t="s">
        <v>161</v>
      </c>
      <c r="W518" t="s">
        <v>161</v>
      </c>
      <c r="X518" t="s">
        <v>2131</v>
      </c>
      <c r="Y518" t="s">
        <v>2132</v>
      </c>
      <c r="Z518" t="s">
        <v>80</v>
      </c>
      <c r="AA518" t="s">
        <v>85</v>
      </c>
      <c r="AC518" t="s">
        <v>3454</v>
      </c>
      <c r="AD518" t="s">
        <v>87</v>
      </c>
      <c r="AG518" t="s">
        <v>3455</v>
      </c>
      <c r="AH518" t="s">
        <v>91</v>
      </c>
      <c r="AI518" t="s">
        <v>92</v>
      </c>
      <c r="AJ518" t="s">
        <v>131</v>
      </c>
      <c r="AK518" t="s">
        <v>3456</v>
      </c>
      <c r="AL518" t="s">
        <v>95</v>
      </c>
      <c r="AM518" t="s">
        <v>96</v>
      </c>
      <c r="AN518" t="s">
        <v>97</v>
      </c>
      <c r="AO518" t="s">
        <v>98</v>
      </c>
      <c r="AP518" t="s">
        <v>78</v>
      </c>
      <c r="AQ518" t="s">
        <v>99</v>
      </c>
      <c r="AS518" t="s">
        <v>78</v>
      </c>
      <c r="AT518" t="s">
        <v>100</v>
      </c>
      <c r="AU518" t="s">
        <v>100</v>
      </c>
      <c r="AW518" t="s">
        <v>85</v>
      </c>
      <c r="AX518" t="s">
        <v>101</v>
      </c>
      <c r="AY518" t="s">
        <v>102</v>
      </c>
      <c r="AZ518" t="s">
        <v>103</v>
      </c>
      <c r="BA518" t="s">
        <v>120</v>
      </c>
      <c r="BB518" t="s">
        <v>78</v>
      </c>
      <c r="BC518" t="s">
        <v>78</v>
      </c>
      <c r="BE518">
        <v>0</v>
      </c>
      <c r="BF518">
        <v>0</v>
      </c>
      <c r="BG518">
        <v>0</v>
      </c>
      <c r="BH518">
        <v>0</v>
      </c>
      <c r="BJ518" t="s">
        <v>85</v>
      </c>
      <c r="BP518" t="s">
        <v>78</v>
      </c>
      <c r="BQ518" t="s">
        <v>78</v>
      </c>
      <c r="BR518" t="s">
        <v>78</v>
      </c>
    </row>
    <row r="519" customFormat="1" spans="1:70">
      <c r="A519" t="s">
        <v>3457</v>
      </c>
      <c r="B519" t="s">
        <v>3457</v>
      </c>
      <c r="C519" t="s">
        <v>107</v>
      </c>
      <c r="D519" t="s">
        <v>108</v>
      </c>
      <c r="E519">
        <v>1</v>
      </c>
      <c r="F519" t="s">
        <v>109</v>
      </c>
      <c r="G519" t="s">
        <v>110</v>
      </c>
      <c r="H519">
        <v>289</v>
      </c>
      <c r="I519">
        <v>289</v>
      </c>
      <c r="J519">
        <v>0</v>
      </c>
      <c r="K519">
        <v>0</v>
      </c>
      <c r="L519" t="s">
        <v>78</v>
      </c>
      <c r="M519" t="s">
        <v>78</v>
      </c>
      <c r="N519" t="s">
        <v>78</v>
      </c>
      <c r="O519">
        <v>0</v>
      </c>
      <c r="P519">
        <v>0</v>
      </c>
      <c r="Q519">
        <v>0</v>
      </c>
      <c r="R519" t="s">
        <v>125</v>
      </c>
      <c r="S519">
        <v>0</v>
      </c>
      <c r="T519" t="s">
        <v>80</v>
      </c>
      <c r="U519" t="s">
        <v>80</v>
      </c>
      <c r="V519" t="s">
        <v>583</v>
      </c>
      <c r="W519" t="s">
        <v>584</v>
      </c>
      <c r="X519" t="s">
        <v>3458</v>
      </c>
      <c r="Y519" t="s">
        <v>3459</v>
      </c>
      <c r="Z519" t="s">
        <v>80</v>
      </c>
      <c r="AA519" t="s">
        <v>85</v>
      </c>
      <c r="AC519" t="s">
        <v>3460</v>
      </c>
      <c r="AD519" t="s">
        <v>87</v>
      </c>
      <c r="AF519" t="s">
        <v>3444</v>
      </c>
      <c r="AG519" t="s">
        <v>3455</v>
      </c>
      <c r="AH519" t="s">
        <v>91</v>
      </c>
      <c r="AI519" t="s">
        <v>92</v>
      </c>
      <c r="AJ519" t="s">
        <v>93</v>
      </c>
      <c r="AK519" t="s">
        <v>3456</v>
      </c>
      <c r="AL519" t="s">
        <v>95</v>
      </c>
      <c r="AM519" t="s">
        <v>96</v>
      </c>
      <c r="AN519" t="s">
        <v>97</v>
      </c>
      <c r="AO519" t="s">
        <v>98</v>
      </c>
      <c r="AP519" t="s">
        <v>78</v>
      </c>
      <c r="AQ519" t="s">
        <v>78</v>
      </c>
      <c r="AS519" t="s">
        <v>78</v>
      </c>
      <c r="AT519" t="s">
        <v>100</v>
      </c>
      <c r="AU519" t="s">
        <v>100</v>
      </c>
      <c r="AW519" t="s">
        <v>85</v>
      </c>
      <c r="AX519" t="s">
        <v>103</v>
      </c>
      <c r="AY519" t="s">
        <v>159</v>
      </c>
      <c r="AZ519" t="s">
        <v>103</v>
      </c>
      <c r="BA519" t="s">
        <v>104</v>
      </c>
      <c r="BB519" t="s">
        <v>78</v>
      </c>
      <c r="BC519" t="s">
        <v>78</v>
      </c>
      <c r="BD519" t="s">
        <v>3448</v>
      </c>
      <c r="BE519">
        <v>0</v>
      </c>
      <c r="BF519">
        <v>0</v>
      </c>
      <c r="BG519">
        <v>0</v>
      </c>
      <c r="BH519">
        <v>0</v>
      </c>
      <c r="BJ519" t="s">
        <v>85</v>
      </c>
      <c r="BP519" t="s">
        <v>78</v>
      </c>
      <c r="BQ519" t="s">
        <v>78</v>
      </c>
      <c r="BR519" t="s">
        <v>78</v>
      </c>
    </row>
    <row r="520" customFormat="1" spans="1:70">
      <c r="A520" t="s">
        <v>3461</v>
      </c>
      <c r="B520" t="s">
        <v>3461</v>
      </c>
      <c r="C520" t="s">
        <v>107</v>
      </c>
      <c r="D520" t="s">
        <v>135</v>
      </c>
      <c r="E520">
        <v>1</v>
      </c>
      <c r="F520" t="s">
        <v>109</v>
      </c>
      <c r="G520" t="s">
        <v>136</v>
      </c>
      <c r="H520">
        <v>289</v>
      </c>
      <c r="I520">
        <v>289</v>
      </c>
      <c r="J520">
        <v>0</v>
      </c>
      <c r="K520">
        <v>0</v>
      </c>
      <c r="L520" t="s">
        <v>78</v>
      </c>
      <c r="M520" t="s">
        <v>78</v>
      </c>
      <c r="N520" t="s">
        <v>78</v>
      </c>
      <c r="O520">
        <v>0</v>
      </c>
      <c r="P520">
        <v>0</v>
      </c>
      <c r="Q520">
        <v>0</v>
      </c>
      <c r="R520" t="s">
        <v>79</v>
      </c>
      <c r="S520">
        <v>0</v>
      </c>
      <c r="T520" t="s">
        <v>80</v>
      </c>
      <c r="U520" t="s">
        <v>80</v>
      </c>
      <c r="V520" t="s">
        <v>167</v>
      </c>
      <c r="W520" t="s">
        <v>168</v>
      </c>
      <c r="X520" t="s">
        <v>973</v>
      </c>
      <c r="Y520" t="s">
        <v>974</v>
      </c>
      <c r="Z520" t="s">
        <v>80</v>
      </c>
      <c r="AA520" t="s">
        <v>85</v>
      </c>
      <c r="AC520" t="s">
        <v>3462</v>
      </c>
      <c r="AD520" t="s">
        <v>87</v>
      </c>
      <c r="AG520" t="s">
        <v>3463</v>
      </c>
      <c r="AH520" t="s">
        <v>91</v>
      </c>
      <c r="AI520" t="s">
        <v>92</v>
      </c>
      <c r="AJ520" t="s">
        <v>131</v>
      </c>
      <c r="AK520" t="s">
        <v>3464</v>
      </c>
      <c r="AL520" t="s">
        <v>95</v>
      </c>
      <c r="AM520" t="s">
        <v>96</v>
      </c>
      <c r="AN520" t="s">
        <v>97</v>
      </c>
      <c r="AO520" t="s">
        <v>98</v>
      </c>
      <c r="AP520" t="s">
        <v>78</v>
      </c>
      <c r="AQ520" t="s">
        <v>99</v>
      </c>
      <c r="AS520" t="s">
        <v>78</v>
      </c>
      <c r="AT520" t="s">
        <v>100</v>
      </c>
      <c r="AU520" t="s">
        <v>100</v>
      </c>
      <c r="AW520" t="s">
        <v>85</v>
      </c>
      <c r="AX520" t="s">
        <v>103</v>
      </c>
      <c r="AY520" t="s">
        <v>159</v>
      </c>
      <c r="AZ520" t="s">
        <v>103</v>
      </c>
      <c r="BA520" t="s">
        <v>104</v>
      </c>
      <c r="BB520" t="s">
        <v>78</v>
      </c>
      <c r="BC520" t="s">
        <v>78</v>
      </c>
      <c r="BE520">
        <v>0</v>
      </c>
      <c r="BF520">
        <v>0</v>
      </c>
      <c r="BG520">
        <v>0</v>
      </c>
      <c r="BH520">
        <v>0</v>
      </c>
      <c r="BJ520" t="s">
        <v>85</v>
      </c>
      <c r="BP520" t="s">
        <v>78</v>
      </c>
      <c r="BQ520" t="s">
        <v>78</v>
      </c>
      <c r="BR520" t="s">
        <v>78</v>
      </c>
    </row>
    <row r="521" customFormat="1" spans="1:70">
      <c r="A521" t="s">
        <v>3465</v>
      </c>
      <c r="B521" t="s">
        <v>3465</v>
      </c>
      <c r="C521" t="s">
        <v>1050</v>
      </c>
      <c r="D521" t="s">
        <v>1051</v>
      </c>
      <c r="E521">
        <v>1</v>
      </c>
      <c r="F521" t="s">
        <v>1052</v>
      </c>
      <c r="G521" t="s">
        <v>1053</v>
      </c>
      <c r="H521">
        <v>129</v>
      </c>
      <c r="I521">
        <v>129</v>
      </c>
      <c r="J521">
        <v>0</v>
      </c>
      <c r="K521">
        <v>0</v>
      </c>
      <c r="L521" t="s">
        <v>78</v>
      </c>
      <c r="M521" t="s">
        <v>78</v>
      </c>
      <c r="N521" t="s">
        <v>78</v>
      </c>
      <c r="O521">
        <v>0</v>
      </c>
      <c r="P521">
        <v>0</v>
      </c>
      <c r="Q521">
        <v>0</v>
      </c>
      <c r="R521" t="s">
        <v>79</v>
      </c>
      <c r="S521">
        <v>0</v>
      </c>
      <c r="T521" t="s">
        <v>80</v>
      </c>
      <c r="U521" t="s">
        <v>80</v>
      </c>
      <c r="V521" t="s">
        <v>676</v>
      </c>
      <c r="W521" t="s">
        <v>1083</v>
      </c>
      <c r="X521" t="s">
        <v>3466</v>
      </c>
      <c r="Y521" t="s">
        <v>3467</v>
      </c>
      <c r="Z521" t="s">
        <v>80</v>
      </c>
      <c r="AA521" t="s">
        <v>85</v>
      </c>
      <c r="AC521" t="s">
        <v>3468</v>
      </c>
      <c r="AD521" t="s">
        <v>87</v>
      </c>
      <c r="AF521" t="s">
        <v>3469</v>
      </c>
      <c r="AG521" t="s">
        <v>3470</v>
      </c>
      <c r="AH521" t="s">
        <v>91</v>
      </c>
      <c r="AI521" t="s">
        <v>92</v>
      </c>
      <c r="AJ521" t="s">
        <v>93</v>
      </c>
      <c r="AK521" t="s">
        <v>3471</v>
      </c>
      <c r="AL521" t="s">
        <v>95</v>
      </c>
      <c r="AM521" t="s">
        <v>96</v>
      </c>
      <c r="AN521" t="s">
        <v>97</v>
      </c>
      <c r="AO521" t="s">
        <v>98</v>
      </c>
      <c r="AP521" t="s">
        <v>78</v>
      </c>
      <c r="AQ521" t="s">
        <v>78</v>
      </c>
      <c r="AS521" t="s">
        <v>78</v>
      </c>
      <c r="AT521" t="s">
        <v>100</v>
      </c>
      <c r="AU521" t="s">
        <v>100</v>
      </c>
      <c r="AW521" t="s">
        <v>85</v>
      </c>
      <c r="AX521" t="s">
        <v>101</v>
      </c>
      <c r="AY521" t="s">
        <v>102</v>
      </c>
      <c r="AZ521" t="s">
        <v>103</v>
      </c>
      <c r="BA521" t="s">
        <v>120</v>
      </c>
      <c r="BB521" t="s">
        <v>78</v>
      </c>
      <c r="BC521" t="s">
        <v>78</v>
      </c>
      <c r="BD521" t="s">
        <v>3472</v>
      </c>
      <c r="BE521">
        <v>0</v>
      </c>
      <c r="BF521">
        <v>0</v>
      </c>
      <c r="BG521">
        <v>0</v>
      </c>
      <c r="BH521">
        <v>0</v>
      </c>
      <c r="BJ521" t="s">
        <v>85</v>
      </c>
      <c r="BP521" t="s">
        <v>78</v>
      </c>
      <c r="BQ521" t="s">
        <v>78</v>
      </c>
      <c r="BR521" t="s">
        <v>78</v>
      </c>
    </row>
    <row r="522" customFormat="1" spans="1:70">
      <c r="A522" t="s">
        <v>3473</v>
      </c>
      <c r="B522" t="s">
        <v>3473</v>
      </c>
      <c r="C522" t="s">
        <v>1050</v>
      </c>
      <c r="D522" t="s">
        <v>1377</v>
      </c>
      <c r="E522">
        <v>1</v>
      </c>
      <c r="F522" t="s">
        <v>1052</v>
      </c>
      <c r="G522" t="s">
        <v>1378</v>
      </c>
      <c r="H522">
        <v>129</v>
      </c>
      <c r="I522">
        <v>129</v>
      </c>
      <c r="J522">
        <v>0</v>
      </c>
      <c r="K522">
        <v>0</v>
      </c>
      <c r="L522" t="s">
        <v>78</v>
      </c>
      <c r="M522" t="s">
        <v>78</v>
      </c>
      <c r="N522" t="s">
        <v>78</v>
      </c>
      <c r="O522">
        <v>0</v>
      </c>
      <c r="P522">
        <v>0</v>
      </c>
      <c r="Q522">
        <v>0</v>
      </c>
      <c r="R522" t="s">
        <v>125</v>
      </c>
      <c r="S522">
        <v>0</v>
      </c>
      <c r="T522" t="s">
        <v>80</v>
      </c>
      <c r="U522" t="s">
        <v>80</v>
      </c>
      <c r="V522" t="s">
        <v>509</v>
      </c>
      <c r="W522" t="s">
        <v>3474</v>
      </c>
      <c r="X522" t="s">
        <v>3475</v>
      </c>
      <c r="Y522" t="s">
        <v>3476</v>
      </c>
      <c r="Z522" t="s">
        <v>80</v>
      </c>
      <c r="AA522" t="s">
        <v>85</v>
      </c>
      <c r="AC522" t="s">
        <v>3477</v>
      </c>
      <c r="AD522" t="s">
        <v>87</v>
      </c>
      <c r="AH522" t="s">
        <v>227</v>
      </c>
      <c r="AI522" t="s">
        <v>92</v>
      </c>
      <c r="AJ522" t="s">
        <v>131</v>
      </c>
      <c r="AK522" t="s">
        <v>3478</v>
      </c>
      <c r="AL522" t="s">
        <v>95</v>
      </c>
      <c r="AM522" t="s">
        <v>96</v>
      </c>
      <c r="AN522" t="s">
        <v>97</v>
      </c>
      <c r="AO522" t="s">
        <v>98</v>
      </c>
      <c r="AP522" t="s">
        <v>78</v>
      </c>
      <c r="AQ522" t="s">
        <v>78</v>
      </c>
      <c r="AR522" t="s">
        <v>353</v>
      </c>
      <c r="AS522" t="s">
        <v>78</v>
      </c>
      <c r="AT522" t="s">
        <v>100</v>
      </c>
      <c r="AU522" t="s">
        <v>100</v>
      </c>
      <c r="AW522" t="s">
        <v>85</v>
      </c>
      <c r="AX522" t="s">
        <v>103</v>
      </c>
      <c r="AY522" t="s">
        <v>159</v>
      </c>
      <c r="AZ522" t="s">
        <v>103</v>
      </c>
      <c r="BA522" t="s">
        <v>133</v>
      </c>
      <c r="BB522" t="s">
        <v>78</v>
      </c>
      <c r="BC522" t="s">
        <v>78</v>
      </c>
      <c r="BE522">
        <v>0</v>
      </c>
      <c r="BF522">
        <v>0</v>
      </c>
      <c r="BG522">
        <v>0</v>
      </c>
      <c r="BH522">
        <v>0</v>
      </c>
      <c r="BJ522" t="s">
        <v>85</v>
      </c>
      <c r="BP522" t="s">
        <v>78</v>
      </c>
      <c r="BQ522" t="s">
        <v>78</v>
      </c>
      <c r="BR522" t="s">
        <v>78</v>
      </c>
    </row>
    <row r="523" customFormat="1" spans="1:70">
      <c r="A523" t="s">
        <v>3479</v>
      </c>
      <c r="B523" t="s">
        <v>3479</v>
      </c>
      <c r="C523" t="s">
        <v>107</v>
      </c>
      <c r="D523" t="s">
        <v>108</v>
      </c>
      <c r="E523">
        <v>1</v>
      </c>
      <c r="F523" t="s">
        <v>109</v>
      </c>
      <c r="G523" t="s">
        <v>110</v>
      </c>
      <c r="H523">
        <v>289</v>
      </c>
      <c r="I523">
        <v>289</v>
      </c>
      <c r="J523">
        <v>0</v>
      </c>
      <c r="K523">
        <v>0</v>
      </c>
      <c r="L523" t="s">
        <v>78</v>
      </c>
      <c r="M523" t="s">
        <v>78</v>
      </c>
      <c r="N523" t="s">
        <v>78</v>
      </c>
      <c r="O523">
        <v>0</v>
      </c>
      <c r="P523">
        <v>0</v>
      </c>
      <c r="Q523">
        <v>0</v>
      </c>
      <c r="R523" t="s">
        <v>111</v>
      </c>
      <c r="S523">
        <v>0</v>
      </c>
      <c r="T523" t="s">
        <v>80</v>
      </c>
      <c r="U523" t="s">
        <v>80</v>
      </c>
      <c r="V523" t="s">
        <v>239</v>
      </c>
      <c r="W523" t="s">
        <v>1105</v>
      </c>
      <c r="X523" t="s">
        <v>3480</v>
      </c>
      <c r="Y523" t="s">
        <v>3481</v>
      </c>
      <c r="Z523" t="s">
        <v>80</v>
      </c>
      <c r="AA523" t="s">
        <v>85</v>
      </c>
      <c r="AC523" t="s">
        <v>3482</v>
      </c>
      <c r="AD523" t="s">
        <v>87</v>
      </c>
      <c r="AF523" t="s">
        <v>3483</v>
      </c>
      <c r="AG523" t="s">
        <v>3484</v>
      </c>
      <c r="AH523" t="s">
        <v>91</v>
      </c>
      <c r="AI523" t="s">
        <v>92</v>
      </c>
      <c r="AJ523" t="s">
        <v>93</v>
      </c>
      <c r="AK523" t="s">
        <v>3485</v>
      </c>
      <c r="AL523" t="s">
        <v>95</v>
      </c>
      <c r="AM523" t="s">
        <v>96</v>
      </c>
      <c r="AN523" t="s">
        <v>97</v>
      </c>
      <c r="AO523" t="s">
        <v>98</v>
      </c>
      <c r="AP523" t="s">
        <v>78</v>
      </c>
      <c r="AQ523" t="s">
        <v>78</v>
      </c>
      <c r="AS523" t="s">
        <v>78</v>
      </c>
      <c r="AT523" t="s">
        <v>100</v>
      </c>
      <c r="AU523" t="s">
        <v>100</v>
      </c>
      <c r="AW523" t="s">
        <v>85</v>
      </c>
      <c r="AX523" t="s">
        <v>101</v>
      </c>
      <c r="AY523" t="s">
        <v>102</v>
      </c>
      <c r="AZ523" t="s">
        <v>103</v>
      </c>
      <c r="BA523" t="s">
        <v>133</v>
      </c>
      <c r="BB523" t="s">
        <v>78</v>
      </c>
      <c r="BC523" t="s">
        <v>78</v>
      </c>
      <c r="BD523" t="s">
        <v>3448</v>
      </c>
      <c r="BE523">
        <v>0</v>
      </c>
      <c r="BF523">
        <v>0</v>
      </c>
      <c r="BG523">
        <v>0</v>
      </c>
      <c r="BH523">
        <v>0</v>
      </c>
      <c r="BJ523" t="s">
        <v>85</v>
      </c>
      <c r="BP523" t="s">
        <v>78</v>
      </c>
      <c r="BQ523" t="s">
        <v>78</v>
      </c>
      <c r="BR523" t="s">
        <v>78</v>
      </c>
    </row>
    <row r="524" customFormat="1" spans="1:70">
      <c r="A524" t="s">
        <v>3486</v>
      </c>
      <c r="B524" t="s">
        <v>3486</v>
      </c>
      <c r="C524" t="s">
        <v>107</v>
      </c>
      <c r="D524" t="s">
        <v>123</v>
      </c>
      <c r="E524">
        <v>1</v>
      </c>
      <c r="F524" t="s">
        <v>109</v>
      </c>
      <c r="G524" t="s">
        <v>124</v>
      </c>
      <c r="H524">
        <v>289</v>
      </c>
      <c r="I524">
        <v>289</v>
      </c>
      <c r="J524">
        <v>0</v>
      </c>
      <c r="K524">
        <v>0</v>
      </c>
      <c r="L524" t="s">
        <v>78</v>
      </c>
      <c r="M524" t="s">
        <v>78</v>
      </c>
      <c r="N524" t="s">
        <v>78</v>
      </c>
      <c r="O524">
        <v>0</v>
      </c>
      <c r="P524">
        <v>0</v>
      </c>
      <c r="Q524">
        <v>0</v>
      </c>
      <c r="R524" t="s">
        <v>111</v>
      </c>
      <c r="S524">
        <v>0</v>
      </c>
      <c r="T524" t="s">
        <v>80</v>
      </c>
      <c r="U524" t="s">
        <v>80</v>
      </c>
      <c r="V524" t="s">
        <v>161</v>
      </c>
      <c r="W524" t="s">
        <v>161</v>
      </c>
      <c r="X524" t="s">
        <v>1243</v>
      </c>
      <c r="Y524" t="s">
        <v>1580</v>
      </c>
      <c r="Z524" t="s">
        <v>80</v>
      </c>
      <c r="AA524" t="s">
        <v>85</v>
      </c>
      <c r="AC524" t="s">
        <v>3487</v>
      </c>
      <c r="AD524" t="s">
        <v>202</v>
      </c>
      <c r="AE524" t="s">
        <v>3488</v>
      </c>
      <c r="AG524" t="s">
        <v>3489</v>
      </c>
      <c r="AH524" t="s">
        <v>91</v>
      </c>
      <c r="AI524" t="s">
        <v>92</v>
      </c>
      <c r="AJ524" t="s">
        <v>131</v>
      </c>
      <c r="AK524" t="s">
        <v>3490</v>
      </c>
      <c r="AL524" t="s">
        <v>95</v>
      </c>
      <c r="AM524" t="s">
        <v>96</v>
      </c>
      <c r="AN524" t="s">
        <v>97</v>
      </c>
      <c r="AO524" t="s">
        <v>98</v>
      </c>
      <c r="AP524" t="s">
        <v>78</v>
      </c>
      <c r="AQ524" t="s">
        <v>99</v>
      </c>
      <c r="AS524" t="s">
        <v>78</v>
      </c>
      <c r="AT524" t="s">
        <v>100</v>
      </c>
      <c r="AU524" t="s">
        <v>100</v>
      </c>
      <c r="AW524" t="s">
        <v>85</v>
      </c>
      <c r="AX524" t="s">
        <v>101</v>
      </c>
      <c r="AY524" t="s">
        <v>102</v>
      </c>
      <c r="AZ524" t="s">
        <v>103</v>
      </c>
      <c r="BA524" t="s">
        <v>245</v>
      </c>
      <c r="BB524" t="s">
        <v>78</v>
      </c>
      <c r="BC524" t="s">
        <v>78</v>
      </c>
      <c r="BD524" t="s">
        <v>3491</v>
      </c>
      <c r="BE524">
        <v>0</v>
      </c>
      <c r="BF524">
        <v>0</v>
      </c>
      <c r="BG524">
        <v>0</v>
      </c>
      <c r="BH524">
        <v>0</v>
      </c>
      <c r="BJ524" t="s">
        <v>85</v>
      </c>
      <c r="BP524" t="s">
        <v>78</v>
      </c>
      <c r="BQ524" t="s">
        <v>78</v>
      </c>
      <c r="BR524" t="s">
        <v>78</v>
      </c>
    </row>
    <row r="525" customFormat="1" spans="1:70">
      <c r="A525" t="s">
        <v>3492</v>
      </c>
      <c r="B525" t="s">
        <v>3492</v>
      </c>
      <c r="C525" t="s">
        <v>107</v>
      </c>
      <c r="D525" t="s">
        <v>123</v>
      </c>
      <c r="E525">
        <v>1</v>
      </c>
      <c r="F525" t="s">
        <v>109</v>
      </c>
      <c r="G525" t="s">
        <v>124</v>
      </c>
      <c r="H525">
        <v>289</v>
      </c>
      <c r="I525">
        <v>289</v>
      </c>
      <c r="J525">
        <v>0</v>
      </c>
      <c r="K525">
        <v>0</v>
      </c>
      <c r="L525" t="s">
        <v>78</v>
      </c>
      <c r="M525" t="s">
        <v>78</v>
      </c>
      <c r="N525" t="s">
        <v>78</v>
      </c>
      <c r="O525">
        <v>0</v>
      </c>
      <c r="P525">
        <v>0</v>
      </c>
      <c r="Q525">
        <v>0</v>
      </c>
      <c r="R525" t="s">
        <v>79</v>
      </c>
      <c r="S525">
        <v>0</v>
      </c>
      <c r="T525" t="s">
        <v>80</v>
      </c>
      <c r="U525" t="s">
        <v>80</v>
      </c>
      <c r="V525" t="s">
        <v>126</v>
      </c>
      <c r="W525" t="s">
        <v>377</v>
      </c>
      <c r="X525" t="s">
        <v>3493</v>
      </c>
      <c r="Y525" t="s">
        <v>392</v>
      </c>
      <c r="Z525" t="s">
        <v>80</v>
      </c>
      <c r="AA525" t="s">
        <v>85</v>
      </c>
      <c r="AC525" t="s">
        <v>3494</v>
      </c>
      <c r="AD525" t="s">
        <v>202</v>
      </c>
      <c r="AE525" t="s">
        <v>3495</v>
      </c>
      <c r="AG525" t="s">
        <v>3496</v>
      </c>
      <c r="AH525" t="s">
        <v>91</v>
      </c>
      <c r="AI525" t="s">
        <v>92</v>
      </c>
      <c r="AJ525" t="s">
        <v>131</v>
      </c>
      <c r="AK525" t="s">
        <v>3497</v>
      </c>
      <c r="AL525" t="s">
        <v>95</v>
      </c>
      <c r="AM525" t="s">
        <v>96</v>
      </c>
      <c r="AN525" t="s">
        <v>97</v>
      </c>
      <c r="AO525" t="s">
        <v>98</v>
      </c>
      <c r="AP525" t="s">
        <v>78</v>
      </c>
      <c r="AQ525" t="s">
        <v>99</v>
      </c>
      <c r="AS525" t="s">
        <v>78</v>
      </c>
      <c r="AT525" t="s">
        <v>100</v>
      </c>
      <c r="AU525" t="s">
        <v>100</v>
      </c>
      <c r="AW525" t="s">
        <v>85</v>
      </c>
      <c r="AX525" t="s">
        <v>101</v>
      </c>
      <c r="AY525" t="s">
        <v>102</v>
      </c>
      <c r="AZ525" t="s">
        <v>103</v>
      </c>
      <c r="BA525" t="s">
        <v>120</v>
      </c>
      <c r="BB525" t="s">
        <v>78</v>
      </c>
      <c r="BC525" t="s">
        <v>78</v>
      </c>
      <c r="BD525" t="s">
        <v>3491</v>
      </c>
      <c r="BE525">
        <v>0</v>
      </c>
      <c r="BF525">
        <v>0</v>
      </c>
      <c r="BG525">
        <v>0</v>
      </c>
      <c r="BH525">
        <v>0</v>
      </c>
      <c r="BJ525" t="s">
        <v>85</v>
      </c>
      <c r="BP525" t="s">
        <v>78</v>
      </c>
      <c r="BQ525" t="s">
        <v>78</v>
      </c>
      <c r="BR525" t="s">
        <v>78</v>
      </c>
    </row>
    <row r="526" customFormat="1" spans="1:70">
      <c r="A526" t="s">
        <v>3498</v>
      </c>
      <c r="B526" t="s">
        <v>3498</v>
      </c>
      <c r="C526" t="s">
        <v>107</v>
      </c>
      <c r="D526" t="s">
        <v>108</v>
      </c>
      <c r="E526">
        <v>1</v>
      </c>
      <c r="F526" t="s">
        <v>109</v>
      </c>
      <c r="G526" t="s">
        <v>110</v>
      </c>
      <c r="H526">
        <v>289</v>
      </c>
      <c r="I526">
        <v>289</v>
      </c>
      <c r="J526">
        <v>0</v>
      </c>
      <c r="K526">
        <v>0</v>
      </c>
      <c r="L526" t="s">
        <v>78</v>
      </c>
      <c r="M526" t="s">
        <v>78</v>
      </c>
      <c r="N526" t="s">
        <v>78</v>
      </c>
      <c r="O526">
        <v>0</v>
      </c>
      <c r="P526">
        <v>0</v>
      </c>
      <c r="Q526">
        <v>0</v>
      </c>
      <c r="R526" t="s">
        <v>125</v>
      </c>
      <c r="S526">
        <v>0</v>
      </c>
      <c r="T526" t="s">
        <v>80</v>
      </c>
      <c r="U526" t="s">
        <v>80</v>
      </c>
      <c r="V526" t="s">
        <v>152</v>
      </c>
      <c r="W526" t="s">
        <v>2101</v>
      </c>
      <c r="X526" t="s">
        <v>3499</v>
      </c>
      <c r="Y526" t="s">
        <v>3500</v>
      </c>
      <c r="Z526" t="s">
        <v>80</v>
      </c>
      <c r="AA526" t="s">
        <v>85</v>
      </c>
      <c r="AC526" t="s">
        <v>3501</v>
      </c>
      <c r="AD526" t="s">
        <v>87</v>
      </c>
      <c r="AG526" t="s">
        <v>3502</v>
      </c>
      <c r="AH526" t="s">
        <v>91</v>
      </c>
      <c r="AI526" t="s">
        <v>92</v>
      </c>
      <c r="AJ526" t="s">
        <v>131</v>
      </c>
      <c r="AK526" t="s">
        <v>3503</v>
      </c>
      <c r="AL526" t="s">
        <v>95</v>
      </c>
      <c r="AM526" t="s">
        <v>96</v>
      </c>
      <c r="AN526" t="s">
        <v>97</v>
      </c>
      <c r="AO526" t="s">
        <v>98</v>
      </c>
      <c r="AP526" t="s">
        <v>78</v>
      </c>
      <c r="AQ526" t="s">
        <v>99</v>
      </c>
      <c r="AS526" t="s">
        <v>78</v>
      </c>
      <c r="AT526" t="s">
        <v>100</v>
      </c>
      <c r="AU526" t="s">
        <v>100</v>
      </c>
      <c r="AW526" t="s">
        <v>85</v>
      </c>
      <c r="AX526" t="s">
        <v>101</v>
      </c>
      <c r="AY526" t="s">
        <v>102</v>
      </c>
      <c r="AZ526" t="s">
        <v>103</v>
      </c>
      <c r="BA526" t="s">
        <v>120</v>
      </c>
      <c r="BB526" t="s">
        <v>78</v>
      </c>
      <c r="BC526" t="s">
        <v>78</v>
      </c>
      <c r="BE526">
        <v>0</v>
      </c>
      <c r="BF526">
        <v>0</v>
      </c>
      <c r="BG526">
        <v>0</v>
      </c>
      <c r="BH526">
        <v>0</v>
      </c>
      <c r="BJ526" t="s">
        <v>85</v>
      </c>
      <c r="BP526" t="s">
        <v>78</v>
      </c>
      <c r="BQ526" t="s">
        <v>78</v>
      </c>
      <c r="BR526" t="s">
        <v>78</v>
      </c>
    </row>
    <row r="527" customFormat="1" spans="1:70">
      <c r="A527" t="s">
        <v>3504</v>
      </c>
      <c r="B527" t="s">
        <v>3504</v>
      </c>
      <c r="C527" t="s">
        <v>107</v>
      </c>
      <c r="D527" t="s">
        <v>108</v>
      </c>
      <c r="E527">
        <v>1</v>
      </c>
      <c r="F527" t="s">
        <v>109</v>
      </c>
      <c r="G527" t="s">
        <v>110</v>
      </c>
      <c r="H527">
        <v>289</v>
      </c>
      <c r="I527">
        <v>287.98</v>
      </c>
      <c r="J527">
        <v>0</v>
      </c>
      <c r="K527">
        <v>1.02</v>
      </c>
      <c r="L527" t="s">
        <v>3505</v>
      </c>
      <c r="M527" t="s">
        <v>78</v>
      </c>
      <c r="N527" t="s">
        <v>78</v>
      </c>
      <c r="O527">
        <v>0</v>
      </c>
      <c r="P527">
        <v>0</v>
      </c>
      <c r="Q527">
        <v>0</v>
      </c>
      <c r="R527" t="s">
        <v>125</v>
      </c>
      <c r="S527">
        <v>0</v>
      </c>
      <c r="T527" t="s">
        <v>80</v>
      </c>
      <c r="U527" t="s">
        <v>80</v>
      </c>
      <c r="V527" t="s">
        <v>1261</v>
      </c>
      <c r="W527" t="s">
        <v>2307</v>
      </c>
      <c r="X527" t="s">
        <v>3506</v>
      </c>
      <c r="Y527" t="s">
        <v>3507</v>
      </c>
      <c r="Z527" t="s">
        <v>80</v>
      </c>
      <c r="AA527" t="s">
        <v>85</v>
      </c>
      <c r="AC527" t="s">
        <v>3508</v>
      </c>
      <c r="AD527" t="s">
        <v>87</v>
      </c>
      <c r="AG527" t="s">
        <v>3509</v>
      </c>
      <c r="AH527" t="s">
        <v>91</v>
      </c>
      <c r="AI527" t="s">
        <v>92</v>
      </c>
      <c r="AJ527" t="s">
        <v>131</v>
      </c>
      <c r="AK527" t="s">
        <v>3510</v>
      </c>
      <c r="AL527" t="s">
        <v>95</v>
      </c>
      <c r="AM527" t="s">
        <v>96</v>
      </c>
      <c r="AN527" t="s">
        <v>97</v>
      </c>
      <c r="AO527" t="s">
        <v>98</v>
      </c>
      <c r="AP527" t="s">
        <v>78</v>
      </c>
      <c r="AQ527" t="s">
        <v>99</v>
      </c>
      <c r="AS527" t="s">
        <v>78</v>
      </c>
      <c r="AT527" t="s">
        <v>100</v>
      </c>
      <c r="AU527" t="s">
        <v>100</v>
      </c>
      <c r="AW527" t="s">
        <v>85</v>
      </c>
      <c r="AX527" t="s">
        <v>101</v>
      </c>
      <c r="AY527" t="s">
        <v>102</v>
      </c>
      <c r="AZ527" t="s">
        <v>103</v>
      </c>
      <c r="BA527" t="s">
        <v>133</v>
      </c>
      <c r="BB527" t="s">
        <v>78</v>
      </c>
      <c r="BC527" t="s">
        <v>78</v>
      </c>
      <c r="BE527">
        <v>0</v>
      </c>
      <c r="BF527">
        <v>1.02</v>
      </c>
      <c r="BG527">
        <v>0</v>
      </c>
      <c r="BH527">
        <v>0</v>
      </c>
      <c r="BJ527" t="s">
        <v>85</v>
      </c>
      <c r="BP527" t="s">
        <v>78</v>
      </c>
      <c r="BQ527" t="s">
        <v>78</v>
      </c>
      <c r="BR527" t="s">
        <v>78</v>
      </c>
    </row>
    <row r="528" customFormat="1" spans="1:70">
      <c r="A528" t="s">
        <v>3511</v>
      </c>
      <c r="B528" t="s">
        <v>3511</v>
      </c>
      <c r="C528" t="s">
        <v>107</v>
      </c>
      <c r="D528" t="s">
        <v>123</v>
      </c>
      <c r="E528">
        <v>1</v>
      </c>
      <c r="F528" t="s">
        <v>109</v>
      </c>
      <c r="G528" t="s">
        <v>124</v>
      </c>
      <c r="H528">
        <v>289</v>
      </c>
      <c r="I528">
        <v>289</v>
      </c>
      <c r="J528">
        <v>0</v>
      </c>
      <c r="K528">
        <v>0</v>
      </c>
      <c r="L528" t="s">
        <v>78</v>
      </c>
      <c r="M528" t="s">
        <v>78</v>
      </c>
      <c r="N528" t="s">
        <v>78</v>
      </c>
      <c r="O528">
        <v>0</v>
      </c>
      <c r="P528">
        <v>0</v>
      </c>
      <c r="Q528">
        <v>0</v>
      </c>
      <c r="R528" t="s">
        <v>79</v>
      </c>
      <c r="S528">
        <v>0</v>
      </c>
      <c r="T528" t="s">
        <v>80</v>
      </c>
      <c r="U528" t="s">
        <v>80</v>
      </c>
      <c r="V528" t="s">
        <v>509</v>
      </c>
      <c r="W528" t="s">
        <v>3512</v>
      </c>
      <c r="X528" t="s">
        <v>3513</v>
      </c>
      <c r="Y528" t="s">
        <v>3514</v>
      </c>
      <c r="Z528" t="s">
        <v>80</v>
      </c>
      <c r="AA528" t="s">
        <v>85</v>
      </c>
      <c r="AC528" t="s">
        <v>3515</v>
      </c>
      <c r="AD528" t="s">
        <v>87</v>
      </c>
      <c r="AF528" t="s">
        <v>3516</v>
      </c>
      <c r="AG528" t="s">
        <v>3517</v>
      </c>
      <c r="AH528" t="s">
        <v>91</v>
      </c>
      <c r="AI528" t="s">
        <v>92</v>
      </c>
      <c r="AJ528" t="s">
        <v>93</v>
      </c>
      <c r="AK528" t="s">
        <v>3518</v>
      </c>
      <c r="AL528" t="s">
        <v>95</v>
      </c>
      <c r="AM528" t="s">
        <v>96</v>
      </c>
      <c r="AN528" t="s">
        <v>97</v>
      </c>
      <c r="AO528" t="s">
        <v>98</v>
      </c>
      <c r="AP528" t="s">
        <v>78</v>
      </c>
      <c r="AQ528" t="s">
        <v>78</v>
      </c>
      <c r="AS528" t="s">
        <v>78</v>
      </c>
      <c r="AT528" t="s">
        <v>100</v>
      </c>
      <c r="AU528" t="s">
        <v>100</v>
      </c>
      <c r="AW528" t="s">
        <v>85</v>
      </c>
      <c r="AX528" t="s">
        <v>101</v>
      </c>
      <c r="AY528" t="s">
        <v>102</v>
      </c>
      <c r="AZ528" t="s">
        <v>103</v>
      </c>
      <c r="BA528" t="s">
        <v>104</v>
      </c>
      <c r="BB528" t="s">
        <v>78</v>
      </c>
      <c r="BC528" t="s">
        <v>78</v>
      </c>
      <c r="BD528" t="s">
        <v>3519</v>
      </c>
      <c r="BE528">
        <v>0</v>
      </c>
      <c r="BF528">
        <v>0</v>
      </c>
      <c r="BG528">
        <v>0</v>
      </c>
      <c r="BH528">
        <v>0</v>
      </c>
      <c r="BJ528" t="s">
        <v>85</v>
      </c>
      <c r="BP528" t="s">
        <v>78</v>
      </c>
      <c r="BQ528" t="s">
        <v>78</v>
      </c>
      <c r="BR528" t="s">
        <v>78</v>
      </c>
    </row>
    <row r="529" customFormat="1" spans="1:70">
      <c r="A529" t="s">
        <v>3520</v>
      </c>
      <c r="B529" t="s">
        <v>3520</v>
      </c>
      <c r="C529" t="s">
        <v>107</v>
      </c>
      <c r="D529" t="s">
        <v>108</v>
      </c>
      <c r="E529">
        <v>1</v>
      </c>
      <c r="F529" t="s">
        <v>109</v>
      </c>
      <c r="G529" t="s">
        <v>110</v>
      </c>
      <c r="H529">
        <v>289</v>
      </c>
      <c r="I529">
        <v>289</v>
      </c>
      <c r="J529">
        <v>0</v>
      </c>
      <c r="K529">
        <v>0</v>
      </c>
      <c r="L529" t="s">
        <v>78</v>
      </c>
      <c r="M529" t="s">
        <v>78</v>
      </c>
      <c r="N529" t="s">
        <v>78</v>
      </c>
      <c r="O529">
        <v>0</v>
      </c>
      <c r="P529">
        <v>0</v>
      </c>
      <c r="Q529">
        <v>0</v>
      </c>
      <c r="R529" t="s">
        <v>79</v>
      </c>
      <c r="S529">
        <v>0</v>
      </c>
      <c r="T529" t="s">
        <v>80</v>
      </c>
      <c r="U529" t="s">
        <v>80</v>
      </c>
      <c r="V529" t="s">
        <v>447</v>
      </c>
      <c r="W529" t="s">
        <v>3322</v>
      </c>
      <c r="X529" t="s">
        <v>3323</v>
      </c>
      <c r="Y529" t="s">
        <v>3324</v>
      </c>
      <c r="Z529" t="s">
        <v>80</v>
      </c>
      <c r="AA529" t="s">
        <v>85</v>
      </c>
      <c r="AC529" t="s">
        <v>3521</v>
      </c>
      <c r="AD529" t="s">
        <v>362</v>
      </c>
      <c r="AE529" t="s">
        <v>3522</v>
      </c>
      <c r="AF529" t="s">
        <v>3523</v>
      </c>
      <c r="AG529" t="s">
        <v>3524</v>
      </c>
      <c r="AH529" t="s">
        <v>91</v>
      </c>
      <c r="AI529" t="s">
        <v>92</v>
      </c>
      <c r="AJ529" t="s">
        <v>93</v>
      </c>
      <c r="AK529" t="s">
        <v>3525</v>
      </c>
      <c r="AL529" t="s">
        <v>95</v>
      </c>
      <c r="AM529" t="s">
        <v>96</v>
      </c>
      <c r="AN529" t="s">
        <v>97</v>
      </c>
      <c r="AO529" t="s">
        <v>98</v>
      </c>
      <c r="AP529" t="s">
        <v>78</v>
      </c>
      <c r="AQ529" t="s">
        <v>99</v>
      </c>
      <c r="AS529" t="s">
        <v>78</v>
      </c>
      <c r="AT529" t="s">
        <v>100</v>
      </c>
      <c r="AU529" t="s">
        <v>100</v>
      </c>
      <c r="AW529" t="s">
        <v>85</v>
      </c>
      <c r="AX529" t="s">
        <v>101</v>
      </c>
      <c r="AY529" t="s">
        <v>102</v>
      </c>
      <c r="AZ529" t="s">
        <v>103</v>
      </c>
      <c r="BA529" t="s">
        <v>120</v>
      </c>
      <c r="BB529" t="s">
        <v>78</v>
      </c>
      <c r="BC529" t="s">
        <v>78</v>
      </c>
      <c r="BD529" t="s">
        <v>3491</v>
      </c>
      <c r="BE529">
        <v>0</v>
      </c>
      <c r="BF529">
        <v>0</v>
      </c>
      <c r="BG529">
        <v>0</v>
      </c>
      <c r="BH529">
        <v>0</v>
      </c>
      <c r="BJ529" t="s">
        <v>85</v>
      </c>
      <c r="BP529" t="s">
        <v>78</v>
      </c>
      <c r="BQ529" t="s">
        <v>78</v>
      </c>
      <c r="BR529" t="s">
        <v>78</v>
      </c>
    </row>
    <row r="530" customFormat="1" spans="1:70">
      <c r="A530" t="s">
        <v>3526</v>
      </c>
      <c r="B530" t="s">
        <v>3526</v>
      </c>
      <c r="C530" t="s">
        <v>107</v>
      </c>
      <c r="D530" t="s">
        <v>123</v>
      </c>
      <c r="E530">
        <v>1</v>
      </c>
      <c r="F530" t="s">
        <v>109</v>
      </c>
      <c r="G530" t="s">
        <v>124</v>
      </c>
      <c r="H530">
        <v>289</v>
      </c>
      <c r="I530">
        <v>289</v>
      </c>
      <c r="J530">
        <v>0</v>
      </c>
      <c r="K530">
        <v>0</v>
      </c>
      <c r="L530" t="s">
        <v>78</v>
      </c>
      <c r="M530" t="s">
        <v>78</v>
      </c>
      <c r="N530" t="s">
        <v>78</v>
      </c>
      <c r="O530">
        <v>0</v>
      </c>
      <c r="P530">
        <v>0</v>
      </c>
      <c r="Q530">
        <v>0</v>
      </c>
      <c r="R530" t="s">
        <v>79</v>
      </c>
      <c r="S530">
        <v>0</v>
      </c>
      <c r="T530" t="s">
        <v>80</v>
      </c>
      <c r="U530" t="s">
        <v>80</v>
      </c>
      <c r="V530" t="s">
        <v>271</v>
      </c>
      <c r="W530" t="s">
        <v>3527</v>
      </c>
      <c r="X530" t="s">
        <v>3528</v>
      </c>
      <c r="Y530" t="s">
        <v>3529</v>
      </c>
      <c r="Z530" t="s">
        <v>80</v>
      </c>
      <c r="AA530" t="s">
        <v>85</v>
      </c>
      <c r="AC530" t="s">
        <v>3530</v>
      </c>
      <c r="AD530" t="s">
        <v>202</v>
      </c>
      <c r="AE530" t="s">
        <v>3531</v>
      </c>
      <c r="AG530" t="s">
        <v>3532</v>
      </c>
      <c r="AH530" t="s">
        <v>227</v>
      </c>
      <c r="AI530" t="s">
        <v>92</v>
      </c>
      <c r="AJ530" t="s">
        <v>131</v>
      </c>
      <c r="AK530" t="s">
        <v>3533</v>
      </c>
      <c r="AL530" t="s">
        <v>95</v>
      </c>
      <c r="AM530" t="s">
        <v>96</v>
      </c>
      <c r="AN530" t="s">
        <v>97</v>
      </c>
      <c r="AO530" t="s">
        <v>98</v>
      </c>
      <c r="AP530" t="s">
        <v>78</v>
      </c>
      <c r="AQ530" t="s">
        <v>99</v>
      </c>
      <c r="AS530" t="s">
        <v>78</v>
      </c>
      <c r="AT530" t="s">
        <v>100</v>
      </c>
      <c r="AU530" t="s">
        <v>100</v>
      </c>
      <c r="AW530" t="s">
        <v>85</v>
      </c>
      <c r="AX530" t="s">
        <v>103</v>
      </c>
      <c r="AY530" t="s">
        <v>159</v>
      </c>
      <c r="AZ530" t="s">
        <v>103</v>
      </c>
      <c r="BA530" t="s">
        <v>133</v>
      </c>
      <c r="BB530" t="s">
        <v>78</v>
      </c>
      <c r="BC530" t="s">
        <v>78</v>
      </c>
      <c r="BD530" t="s">
        <v>3519</v>
      </c>
      <c r="BE530">
        <v>0</v>
      </c>
      <c r="BF530">
        <v>0</v>
      </c>
      <c r="BG530">
        <v>0</v>
      </c>
      <c r="BH530">
        <v>0</v>
      </c>
      <c r="BJ530" t="s">
        <v>85</v>
      </c>
      <c r="BP530" t="s">
        <v>78</v>
      </c>
      <c r="BQ530" t="s">
        <v>78</v>
      </c>
      <c r="BR530" t="s">
        <v>78</v>
      </c>
    </row>
    <row r="531" customFormat="1" spans="1:70">
      <c r="A531" t="s">
        <v>3534</v>
      </c>
      <c r="B531" t="s">
        <v>3534</v>
      </c>
      <c r="C531" t="s">
        <v>107</v>
      </c>
      <c r="D531" t="s">
        <v>123</v>
      </c>
      <c r="E531">
        <v>1</v>
      </c>
      <c r="F531" t="s">
        <v>109</v>
      </c>
      <c r="G531" t="s">
        <v>124</v>
      </c>
      <c r="H531">
        <v>289</v>
      </c>
      <c r="I531">
        <v>289</v>
      </c>
      <c r="J531">
        <v>0</v>
      </c>
      <c r="K531">
        <v>0</v>
      </c>
      <c r="L531" t="s">
        <v>78</v>
      </c>
      <c r="M531" t="s">
        <v>78</v>
      </c>
      <c r="N531" t="s">
        <v>78</v>
      </c>
      <c r="O531">
        <v>0</v>
      </c>
      <c r="P531">
        <v>0</v>
      </c>
      <c r="Q531">
        <v>0</v>
      </c>
      <c r="R531" t="s">
        <v>79</v>
      </c>
      <c r="S531">
        <v>0</v>
      </c>
      <c r="T531" t="s">
        <v>80</v>
      </c>
      <c r="U531" t="s">
        <v>80</v>
      </c>
      <c r="V531" t="s">
        <v>221</v>
      </c>
      <c r="W531" t="s">
        <v>3535</v>
      </c>
      <c r="X531" t="s">
        <v>3536</v>
      </c>
      <c r="Y531" t="s">
        <v>3537</v>
      </c>
      <c r="Z531" t="s">
        <v>80</v>
      </c>
      <c r="AA531" t="s">
        <v>85</v>
      </c>
      <c r="AC531" t="s">
        <v>3538</v>
      </c>
      <c r="AD531" t="s">
        <v>87</v>
      </c>
      <c r="AG531" t="s">
        <v>3539</v>
      </c>
      <c r="AH531" t="s">
        <v>91</v>
      </c>
      <c r="AI531" t="s">
        <v>92</v>
      </c>
      <c r="AJ531" t="s">
        <v>131</v>
      </c>
      <c r="AK531" t="s">
        <v>3540</v>
      </c>
      <c r="AL531" t="s">
        <v>95</v>
      </c>
      <c r="AM531" t="s">
        <v>96</v>
      </c>
      <c r="AN531" t="s">
        <v>97</v>
      </c>
      <c r="AO531" t="s">
        <v>98</v>
      </c>
      <c r="AP531" t="s">
        <v>78</v>
      </c>
      <c r="AQ531" t="s">
        <v>99</v>
      </c>
      <c r="AS531" t="s">
        <v>78</v>
      </c>
      <c r="AT531" t="s">
        <v>100</v>
      </c>
      <c r="AU531" t="s">
        <v>100</v>
      </c>
      <c r="AW531" t="s">
        <v>85</v>
      </c>
      <c r="AX531" t="s">
        <v>101</v>
      </c>
      <c r="AY531" t="s">
        <v>102</v>
      </c>
      <c r="AZ531" t="s">
        <v>103</v>
      </c>
      <c r="BA531" t="s">
        <v>133</v>
      </c>
      <c r="BB531" t="s">
        <v>78</v>
      </c>
      <c r="BC531" t="s">
        <v>78</v>
      </c>
      <c r="BE531">
        <v>0</v>
      </c>
      <c r="BF531">
        <v>0</v>
      </c>
      <c r="BG531">
        <v>0</v>
      </c>
      <c r="BH531">
        <v>0</v>
      </c>
      <c r="BJ531" t="s">
        <v>85</v>
      </c>
      <c r="BP531" t="s">
        <v>78</v>
      </c>
      <c r="BQ531" t="s">
        <v>78</v>
      </c>
      <c r="BR531" t="s">
        <v>78</v>
      </c>
    </row>
    <row r="532" customFormat="1" spans="1:70">
      <c r="A532" t="s">
        <v>3541</v>
      </c>
      <c r="B532" t="s">
        <v>3541</v>
      </c>
      <c r="C532" t="s">
        <v>107</v>
      </c>
      <c r="D532" t="s">
        <v>108</v>
      </c>
      <c r="E532">
        <v>1</v>
      </c>
      <c r="F532" t="s">
        <v>109</v>
      </c>
      <c r="G532" t="s">
        <v>110</v>
      </c>
      <c r="H532">
        <v>289</v>
      </c>
      <c r="I532">
        <v>289</v>
      </c>
      <c r="J532">
        <v>0</v>
      </c>
      <c r="K532">
        <v>0</v>
      </c>
      <c r="L532" t="s">
        <v>78</v>
      </c>
      <c r="M532" t="s">
        <v>78</v>
      </c>
      <c r="N532" t="s">
        <v>78</v>
      </c>
      <c r="O532">
        <v>0</v>
      </c>
      <c r="P532">
        <v>0</v>
      </c>
      <c r="Q532">
        <v>0</v>
      </c>
      <c r="R532" t="s">
        <v>125</v>
      </c>
      <c r="S532">
        <v>0</v>
      </c>
      <c r="T532" t="s">
        <v>80</v>
      </c>
      <c r="U532" t="s">
        <v>80</v>
      </c>
      <c r="V532" t="s">
        <v>1665</v>
      </c>
      <c r="W532" t="s">
        <v>1666</v>
      </c>
      <c r="X532" t="s">
        <v>3542</v>
      </c>
      <c r="Y532" t="s">
        <v>3543</v>
      </c>
      <c r="Z532" t="s">
        <v>80</v>
      </c>
      <c r="AA532" t="s">
        <v>85</v>
      </c>
      <c r="AC532" t="s">
        <v>3544</v>
      </c>
      <c r="AD532" t="s">
        <v>87</v>
      </c>
      <c r="AG532" t="s">
        <v>3545</v>
      </c>
      <c r="AH532" t="s">
        <v>91</v>
      </c>
      <c r="AI532" t="s">
        <v>92</v>
      </c>
      <c r="AJ532" t="s">
        <v>131</v>
      </c>
      <c r="AK532" t="s">
        <v>3546</v>
      </c>
      <c r="AL532" t="s">
        <v>95</v>
      </c>
      <c r="AM532" t="s">
        <v>96</v>
      </c>
      <c r="AN532" t="s">
        <v>97</v>
      </c>
      <c r="AO532" t="s">
        <v>98</v>
      </c>
      <c r="AP532" t="s">
        <v>78</v>
      </c>
      <c r="AQ532" t="s">
        <v>99</v>
      </c>
      <c r="AS532" t="s">
        <v>78</v>
      </c>
      <c r="AT532" t="s">
        <v>100</v>
      </c>
      <c r="AU532" t="s">
        <v>100</v>
      </c>
      <c r="AW532" t="s">
        <v>85</v>
      </c>
      <c r="AX532" t="s">
        <v>103</v>
      </c>
      <c r="AY532" t="s">
        <v>159</v>
      </c>
      <c r="AZ532" t="s">
        <v>103</v>
      </c>
      <c r="BA532" t="s">
        <v>419</v>
      </c>
      <c r="BB532" t="s">
        <v>78</v>
      </c>
      <c r="BC532" t="s">
        <v>78</v>
      </c>
      <c r="BE532">
        <v>0</v>
      </c>
      <c r="BF532">
        <v>0</v>
      </c>
      <c r="BG532">
        <v>0</v>
      </c>
      <c r="BH532">
        <v>0</v>
      </c>
      <c r="BJ532" t="s">
        <v>85</v>
      </c>
      <c r="BP532" t="s">
        <v>78</v>
      </c>
      <c r="BQ532" t="s">
        <v>78</v>
      </c>
      <c r="BR532" t="s">
        <v>78</v>
      </c>
    </row>
    <row r="533" customFormat="1" spans="1:70">
      <c r="A533" t="s">
        <v>3547</v>
      </c>
      <c r="B533" t="s">
        <v>3547</v>
      </c>
      <c r="C533" t="s">
        <v>107</v>
      </c>
      <c r="D533" t="s">
        <v>123</v>
      </c>
      <c r="E533">
        <v>1</v>
      </c>
      <c r="F533" t="s">
        <v>109</v>
      </c>
      <c r="G533" t="s">
        <v>124</v>
      </c>
      <c r="H533">
        <v>289</v>
      </c>
      <c r="I533">
        <v>289</v>
      </c>
      <c r="J533">
        <v>0</v>
      </c>
      <c r="K533">
        <v>0</v>
      </c>
      <c r="L533" t="s">
        <v>78</v>
      </c>
      <c r="M533" t="s">
        <v>78</v>
      </c>
      <c r="N533" t="s">
        <v>78</v>
      </c>
      <c r="O533">
        <v>0</v>
      </c>
      <c r="P533">
        <v>0</v>
      </c>
      <c r="Q533">
        <v>0</v>
      </c>
      <c r="R533" t="s">
        <v>125</v>
      </c>
      <c r="S533">
        <v>0</v>
      </c>
      <c r="T533" t="s">
        <v>80</v>
      </c>
      <c r="U533" t="s">
        <v>80</v>
      </c>
      <c r="V533" t="s">
        <v>126</v>
      </c>
      <c r="W533" t="s">
        <v>3548</v>
      </c>
      <c r="X533" t="s">
        <v>3549</v>
      </c>
      <c r="Y533" t="s">
        <v>3550</v>
      </c>
      <c r="Z533" t="s">
        <v>80</v>
      </c>
      <c r="AA533" t="s">
        <v>85</v>
      </c>
      <c r="AC533" t="s">
        <v>3551</v>
      </c>
      <c r="AD533" t="s">
        <v>202</v>
      </c>
      <c r="AE533" t="s">
        <v>3552</v>
      </c>
      <c r="AF533" t="s">
        <v>3516</v>
      </c>
      <c r="AG533" t="s">
        <v>3553</v>
      </c>
      <c r="AH533" t="s">
        <v>227</v>
      </c>
      <c r="AI533" t="s">
        <v>216</v>
      </c>
      <c r="AJ533" t="s">
        <v>93</v>
      </c>
      <c r="AK533" t="s">
        <v>3554</v>
      </c>
      <c r="AL533" t="s">
        <v>95</v>
      </c>
      <c r="AM533" t="s">
        <v>96</v>
      </c>
      <c r="AN533" t="s">
        <v>96</v>
      </c>
      <c r="AP533" t="s">
        <v>78</v>
      </c>
      <c r="AQ533" t="s">
        <v>99</v>
      </c>
      <c r="AS533" t="s">
        <v>78</v>
      </c>
      <c r="AT533" t="s">
        <v>100</v>
      </c>
      <c r="AU533" t="s">
        <v>100</v>
      </c>
      <c r="AW533" t="s">
        <v>85</v>
      </c>
      <c r="AX533" t="s">
        <v>101</v>
      </c>
      <c r="AY533" t="s">
        <v>102</v>
      </c>
      <c r="AZ533" t="s">
        <v>145</v>
      </c>
      <c r="BA533" t="s">
        <v>525</v>
      </c>
      <c r="BB533" t="s">
        <v>78</v>
      </c>
      <c r="BC533" t="s">
        <v>78</v>
      </c>
      <c r="BD533" t="s">
        <v>3519</v>
      </c>
      <c r="BE533">
        <v>0</v>
      </c>
      <c r="BF533">
        <v>0</v>
      </c>
      <c r="BG533">
        <v>0</v>
      </c>
      <c r="BH533">
        <v>0</v>
      </c>
      <c r="BJ533" t="s">
        <v>85</v>
      </c>
      <c r="BP533" t="s">
        <v>78</v>
      </c>
      <c r="BQ533" t="s">
        <v>78</v>
      </c>
      <c r="BR533" t="s">
        <v>78</v>
      </c>
    </row>
    <row r="534" customFormat="1" spans="1:70">
      <c r="A534" t="s">
        <v>3555</v>
      </c>
      <c r="B534" t="s">
        <v>3555</v>
      </c>
      <c r="C534" t="s">
        <v>107</v>
      </c>
      <c r="D534" t="s">
        <v>123</v>
      </c>
      <c r="E534">
        <v>1</v>
      </c>
      <c r="F534" t="s">
        <v>109</v>
      </c>
      <c r="G534" t="s">
        <v>124</v>
      </c>
      <c r="H534">
        <v>289</v>
      </c>
      <c r="I534">
        <v>289</v>
      </c>
      <c r="J534">
        <v>0</v>
      </c>
      <c r="K534">
        <v>0</v>
      </c>
      <c r="L534" t="s">
        <v>78</v>
      </c>
      <c r="M534" t="s">
        <v>78</v>
      </c>
      <c r="N534" t="s">
        <v>78</v>
      </c>
      <c r="O534">
        <v>0</v>
      </c>
      <c r="P534">
        <v>0</v>
      </c>
      <c r="Q534">
        <v>0</v>
      </c>
      <c r="R534" t="s">
        <v>125</v>
      </c>
      <c r="S534">
        <v>0</v>
      </c>
      <c r="T534" t="s">
        <v>80</v>
      </c>
      <c r="U534" t="s">
        <v>80</v>
      </c>
      <c r="V534" t="s">
        <v>126</v>
      </c>
      <c r="W534" t="s">
        <v>3548</v>
      </c>
      <c r="X534" t="s">
        <v>3549</v>
      </c>
      <c r="Y534" t="s">
        <v>3550</v>
      </c>
      <c r="Z534" t="s">
        <v>80</v>
      </c>
      <c r="AA534" t="s">
        <v>85</v>
      </c>
      <c r="AC534" t="s">
        <v>3556</v>
      </c>
      <c r="AD534" t="s">
        <v>87</v>
      </c>
      <c r="AH534" t="s">
        <v>227</v>
      </c>
      <c r="AI534" t="s">
        <v>92</v>
      </c>
      <c r="AJ534" t="s">
        <v>131</v>
      </c>
      <c r="AK534" t="s">
        <v>3557</v>
      </c>
      <c r="AL534" t="s">
        <v>95</v>
      </c>
      <c r="AM534" t="s">
        <v>96</v>
      </c>
      <c r="AN534" t="s">
        <v>97</v>
      </c>
      <c r="AO534" t="s">
        <v>98</v>
      </c>
      <c r="AP534" t="s">
        <v>78</v>
      </c>
      <c r="AQ534" t="s">
        <v>78</v>
      </c>
      <c r="AR534" t="s">
        <v>195</v>
      </c>
      <c r="AS534" t="s">
        <v>78</v>
      </c>
      <c r="AT534" t="s">
        <v>100</v>
      </c>
      <c r="AU534" t="s">
        <v>100</v>
      </c>
      <c r="AW534" t="s">
        <v>85</v>
      </c>
      <c r="AX534" t="s">
        <v>101</v>
      </c>
      <c r="AY534" t="s">
        <v>102</v>
      </c>
      <c r="AZ534" t="s">
        <v>103</v>
      </c>
      <c r="BA534" t="s">
        <v>133</v>
      </c>
      <c r="BB534" t="s">
        <v>78</v>
      </c>
      <c r="BC534" t="s">
        <v>78</v>
      </c>
      <c r="BE534">
        <v>0</v>
      </c>
      <c r="BF534">
        <v>0</v>
      </c>
      <c r="BG534">
        <v>0</v>
      </c>
      <c r="BH534">
        <v>0</v>
      </c>
      <c r="BJ534" t="s">
        <v>85</v>
      </c>
      <c r="BP534" t="s">
        <v>78</v>
      </c>
      <c r="BQ534" t="s">
        <v>78</v>
      </c>
      <c r="BR534" t="s">
        <v>78</v>
      </c>
    </row>
    <row r="535" customFormat="1" spans="1:70">
      <c r="A535" t="s">
        <v>3558</v>
      </c>
      <c r="B535" t="s">
        <v>3558</v>
      </c>
      <c r="C535" t="s">
        <v>1050</v>
      </c>
      <c r="D535" t="s">
        <v>2255</v>
      </c>
      <c r="E535">
        <v>1</v>
      </c>
      <c r="F535" t="s">
        <v>1052</v>
      </c>
      <c r="G535" t="s">
        <v>2256</v>
      </c>
      <c r="H535">
        <v>129</v>
      </c>
      <c r="I535">
        <v>129</v>
      </c>
      <c r="J535">
        <v>0</v>
      </c>
      <c r="K535">
        <v>0</v>
      </c>
      <c r="L535" t="s">
        <v>78</v>
      </c>
      <c r="M535" t="s">
        <v>78</v>
      </c>
      <c r="N535" t="s">
        <v>78</v>
      </c>
      <c r="O535">
        <v>0</v>
      </c>
      <c r="P535">
        <v>0</v>
      </c>
      <c r="Q535">
        <v>0</v>
      </c>
      <c r="R535" t="s">
        <v>876</v>
      </c>
      <c r="S535">
        <v>0</v>
      </c>
      <c r="T535" t="s">
        <v>80</v>
      </c>
      <c r="U535" t="s">
        <v>80</v>
      </c>
      <c r="V535" t="s">
        <v>887</v>
      </c>
      <c r="W535" t="s">
        <v>3559</v>
      </c>
      <c r="X535" t="s">
        <v>3560</v>
      </c>
      <c r="Y535" t="s">
        <v>3561</v>
      </c>
      <c r="Z535" t="s">
        <v>80</v>
      </c>
      <c r="AA535" t="s">
        <v>85</v>
      </c>
      <c r="AC535" t="s">
        <v>3562</v>
      </c>
      <c r="AD535" t="s">
        <v>87</v>
      </c>
      <c r="AH535" t="s">
        <v>227</v>
      </c>
      <c r="AI535" t="s">
        <v>92</v>
      </c>
      <c r="AJ535" t="s">
        <v>131</v>
      </c>
      <c r="AK535" t="s">
        <v>3563</v>
      </c>
      <c r="AL535" t="s">
        <v>95</v>
      </c>
      <c r="AM535" t="s">
        <v>96</v>
      </c>
      <c r="AN535" t="s">
        <v>97</v>
      </c>
      <c r="AO535" t="s">
        <v>98</v>
      </c>
      <c r="AP535" t="s">
        <v>78</v>
      </c>
      <c r="AQ535" t="s">
        <v>78</v>
      </c>
      <c r="AR535" t="s">
        <v>353</v>
      </c>
      <c r="AS535" t="s">
        <v>78</v>
      </c>
      <c r="AT535" t="s">
        <v>100</v>
      </c>
      <c r="AU535" t="s">
        <v>100</v>
      </c>
      <c r="AW535" t="s">
        <v>85</v>
      </c>
      <c r="AX535" t="s">
        <v>103</v>
      </c>
      <c r="AY535" t="s">
        <v>159</v>
      </c>
      <c r="AZ535" t="s">
        <v>103</v>
      </c>
      <c r="BA535" t="s">
        <v>133</v>
      </c>
      <c r="BB535" t="s">
        <v>78</v>
      </c>
      <c r="BC535" t="s">
        <v>78</v>
      </c>
      <c r="BE535">
        <v>0</v>
      </c>
      <c r="BF535">
        <v>0</v>
      </c>
      <c r="BG535">
        <v>0</v>
      </c>
      <c r="BH535">
        <v>0</v>
      </c>
      <c r="BJ535" t="s">
        <v>85</v>
      </c>
      <c r="BP535" t="s">
        <v>78</v>
      </c>
      <c r="BQ535" t="s">
        <v>78</v>
      </c>
      <c r="BR535" t="s">
        <v>78</v>
      </c>
    </row>
    <row r="536" customFormat="1" spans="1:70">
      <c r="A536" t="s">
        <v>3564</v>
      </c>
      <c r="B536" t="s">
        <v>3564</v>
      </c>
      <c r="C536" t="s">
        <v>1050</v>
      </c>
      <c r="D536" t="s">
        <v>1051</v>
      </c>
      <c r="E536">
        <v>1</v>
      </c>
      <c r="F536" t="s">
        <v>1052</v>
      </c>
      <c r="G536" t="s">
        <v>1053</v>
      </c>
      <c r="H536">
        <v>129</v>
      </c>
      <c r="I536">
        <v>129</v>
      </c>
      <c r="J536">
        <v>0</v>
      </c>
      <c r="K536">
        <v>0</v>
      </c>
      <c r="L536" t="s">
        <v>78</v>
      </c>
      <c r="M536" t="s">
        <v>78</v>
      </c>
      <c r="N536" t="s">
        <v>78</v>
      </c>
      <c r="O536">
        <v>0</v>
      </c>
      <c r="P536">
        <v>0</v>
      </c>
      <c r="Q536">
        <v>0</v>
      </c>
      <c r="R536" t="s">
        <v>111</v>
      </c>
      <c r="S536">
        <v>0</v>
      </c>
      <c r="T536" t="s">
        <v>80</v>
      </c>
      <c r="U536" t="s">
        <v>80</v>
      </c>
      <c r="V536" t="s">
        <v>178</v>
      </c>
      <c r="W536" t="s">
        <v>178</v>
      </c>
      <c r="X536" t="s">
        <v>1145</v>
      </c>
      <c r="Y536" t="s">
        <v>3565</v>
      </c>
      <c r="Z536" t="s">
        <v>80</v>
      </c>
      <c r="AA536" t="s">
        <v>85</v>
      </c>
      <c r="AC536" t="s">
        <v>3566</v>
      </c>
      <c r="AD536" t="s">
        <v>87</v>
      </c>
      <c r="AF536" t="s">
        <v>3567</v>
      </c>
      <c r="AG536" t="s">
        <v>3568</v>
      </c>
      <c r="AH536" t="s">
        <v>91</v>
      </c>
      <c r="AI536" t="s">
        <v>92</v>
      </c>
      <c r="AJ536" t="s">
        <v>93</v>
      </c>
      <c r="AK536" t="s">
        <v>3569</v>
      </c>
      <c r="AL536" t="s">
        <v>95</v>
      </c>
      <c r="AM536" t="s">
        <v>96</v>
      </c>
      <c r="AN536" t="s">
        <v>97</v>
      </c>
      <c r="AO536" t="s">
        <v>98</v>
      </c>
      <c r="AP536" t="s">
        <v>78</v>
      </c>
      <c r="AQ536" t="s">
        <v>78</v>
      </c>
      <c r="AS536" t="s">
        <v>78</v>
      </c>
      <c r="AT536" t="s">
        <v>100</v>
      </c>
      <c r="AU536" t="s">
        <v>100</v>
      </c>
      <c r="AW536" t="s">
        <v>85</v>
      </c>
      <c r="AX536" t="s">
        <v>101</v>
      </c>
      <c r="AY536" t="s">
        <v>102</v>
      </c>
      <c r="AZ536" t="s">
        <v>103</v>
      </c>
      <c r="BA536" t="s">
        <v>133</v>
      </c>
      <c r="BB536" t="s">
        <v>78</v>
      </c>
      <c r="BC536" t="s">
        <v>78</v>
      </c>
      <c r="BD536" t="s">
        <v>3472</v>
      </c>
      <c r="BE536">
        <v>0</v>
      </c>
      <c r="BF536">
        <v>0</v>
      </c>
      <c r="BG536">
        <v>0</v>
      </c>
      <c r="BH536">
        <v>0</v>
      </c>
      <c r="BJ536" t="s">
        <v>85</v>
      </c>
      <c r="BP536" t="s">
        <v>78</v>
      </c>
      <c r="BQ536" t="s">
        <v>78</v>
      </c>
      <c r="BR536" t="s">
        <v>78</v>
      </c>
    </row>
    <row r="537" customFormat="1" spans="1:70">
      <c r="A537" t="s">
        <v>3570</v>
      </c>
      <c r="B537" t="s">
        <v>3570</v>
      </c>
      <c r="C537" t="s">
        <v>107</v>
      </c>
      <c r="D537" t="s">
        <v>108</v>
      </c>
      <c r="E537">
        <v>1</v>
      </c>
      <c r="F537" t="s">
        <v>109</v>
      </c>
      <c r="G537" t="s">
        <v>110</v>
      </c>
      <c r="H537">
        <v>289</v>
      </c>
      <c r="I537">
        <v>284</v>
      </c>
      <c r="J537">
        <v>0</v>
      </c>
      <c r="K537">
        <v>5</v>
      </c>
      <c r="L537" t="s">
        <v>3571</v>
      </c>
      <c r="M537" t="s">
        <v>78</v>
      </c>
      <c r="N537" t="s">
        <v>78</v>
      </c>
      <c r="O537">
        <v>0</v>
      </c>
      <c r="P537">
        <v>0</v>
      </c>
      <c r="Q537">
        <v>0</v>
      </c>
      <c r="R537" t="s">
        <v>125</v>
      </c>
      <c r="S537">
        <v>0</v>
      </c>
      <c r="T537" t="s">
        <v>80</v>
      </c>
      <c r="U537" t="s">
        <v>80</v>
      </c>
      <c r="V537" t="s">
        <v>138</v>
      </c>
      <c r="W537" t="s">
        <v>2228</v>
      </c>
      <c r="X537" t="s">
        <v>3572</v>
      </c>
      <c r="Y537" t="s">
        <v>3573</v>
      </c>
      <c r="Z537" t="s">
        <v>80</v>
      </c>
      <c r="AA537" t="s">
        <v>85</v>
      </c>
      <c r="AC537" t="s">
        <v>3574</v>
      </c>
      <c r="AD537" t="s">
        <v>202</v>
      </c>
      <c r="AE537" t="s">
        <v>3575</v>
      </c>
      <c r="AG537" t="s">
        <v>3576</v>
      </c>
      <c r="AH537" t="s">
        <v>183</v>
      </c>
      <c r="AI537" t="s">
        <v>92</v>
      </c>
      <c r="AJ537" t="s">
        <v>131</v>
      </c>
      <c r="AK537" t="s">
        <v>3577</v>
      </c>
      <c r="AL537" t="s">
        <v>95</v>
      </c>
      <c r="AM537" t="s">
        <v>96</v>
      </c>
      <c r="AN537" t="s">
        <v>97</v>
      </c>
      <c r="AO537" t="s">
        <v>98</v>
      </c>
      <c r="AP537" t="s">
        <v>78</v>
      </c>
      <c r="AQ537" t="s">
        <v>99</v>
      </c>
      <c r="AS537" t="s">
        <v>78</v>
      </c>
      <c r="AT537" t="s">
        <v>100</v>
      </c>
      <c r="AU537" t="s">
        <v>100</v>
      </c>
      <c r="AW537" t="s">
        <v>85</v>
      </c>
      <c r="AX537" t="s">
        <v>103</v>
      </c>
      <c r="AY537" t="s">
        <v>159</v>
      </c>
      <c r="AZ537" t="s">
        <v>103</v>
      </c>
      <c r="BA537" t="s">
        <v>185</v>
      </c>
      <c r="BB537" t="s">
        <v>78</v>
      </c>
      <c r="BC537" t="s">
        <v>78</v>
      </c>
      <c r="BD537" t="s">
        <v>3519</v>
      </c>
      <c r="BE537">
        <v>0</v>
      </c>
      <c r="BF537">
        <v>5</v>
      </c>
      <c r="BG537">
        <v>0</v>
      </c>
      <c r="BH537">
        <v>0</v>
      </c>
      <c r="BJ537" t="s">
        <v>85</v>
      </c>
      <c r="BP537" t="s">
        <v>78</v>
      </c>
      <c r="BQ537" t="s">
        <v>78</v>
      </c>
      <c r="BR537" t="s">
        <v>78</v>
      </c>
    </row>
    <row r="538" customFormat="1" spans="1:70">
      <c r="A538" t="s">
        <v>3578</v>
      </c>
      <c r="B538" t="s">
        <v>3578</v>
      </c>
      <c r="C538" t="s">
        <v>107</v>
      </c>
      <c r="D538" t="s">
        <v>123</v>
      </c>
      <c r="E538">
        <v>1</v>
      </c>
      <c r="F538" t="s">
        <v>109</v>
      </c>
      <c r="G538" t="s">
        <v>124</v>
      </c>
      <c r="H538">
        <v>289</v>
      </c>
      <c r="I538">
        <v>289</v>
      </c>
      <c r="J538">
        <v>0</v>
      </c>
      <c r="K538">
        <v>0</v>
      </c>
      <c r="L538" t="s">
        <v>78</v>
      </c>
      <c r="M538" t="s">
        <v>78</v>
      </c>
      <c r="N538" t="s">
        <v>78</v>
      </c>
      <c r="O538">
        <v>0</v>
      </c>
      <c r="P538">
        <v>0</v>
      </c>
      <c r="Q538">
        <v>0</v>
      </c>
      <c r="R538" t="s">
        <v>111</v>
      </c>
      <c r="S538">
        <v>0</v>
      </c>
      <c r="T538" t="s">
        <v>80</v>
      </c>
      <c r="U538" t="s">
        <v>80</v>
      </c>
      <c r="V538" t="s">
        <v>81</v>
      </c>
      <c r="W538" t="s">
        <v>1321</v>
      </c>
      <c r="X538" t="s">
        <v>1322</v>
      </c>
      <c r="Y538" t="s">
        <v>1323</v>
      </c>
      <c r="Z538" t="s">
        <v>80</v>
      </c>
      <c r="AA538" t="s">
        <v>85</v>
      </c>
      <c r="AC538" t="s">
        <v>3579</v>
      </c>
      <c r="AD538" t="s">
        <v>87</v>
      </c>
      <c r="AF538" t="s">
        <v>3516</v>
      </c>
      <c r="AG538" t="s">
        <v>3580</v>
      </c>
      <c r="AH538" t="s">
        <v>91</v>
      </c>
      <c r="AI538" t="s">
        <v>92</v>
      </c>
      <c r="AJ538" t="s">
        <v>93</v>
      </c>
      <c r="AK538" t="s">
        <v>3581</v>
      </c>
      <c r="AL538" t="s">
        <v>95</v>
      </c>
      <c r="AM538" t="s">
        <v>96</v>
      </c>
      <c r="AN538" t="s">
        <v>97</v>
      </c>
      <c r="AO538" t="s">
        <v>98</v>
      </c>
      <c r="AP538" t="s">
        <v>78</v>
      </c>
      <c r="AQ538" t="s">
        <v>78</v>
      </c>
      <c r="AS538" t="s">
        <v>78</v>
      </c>
      <c r="AT538" t="s">
        <v>100</v>
      </c>
      <c r="AU538" t="s">
        <v>100</v>
      </c>
      <c r="AW538" t="s">
        <v>85</v>
      </c>
      <c r="AX538" t="s">
        <v>103</v>
      </c>
      <c r="AY538" t="s">
        <v>159</v>
      </c>
      <c r="AZ538" t="s">
        <v>103</v>
      </c>
      <c r="BA538" t="s">
        <v>419</v>
      </c>
      <c r="BB538" t="s">
        <v>78</v>
      </c>
      <c r="BC538" t="s">
        <v>78</v>
      </c>
      <c r="BD538" t="s">
        <v>3519</v>
      </c>
      <c r="BE538">
        <v>0</v>
      </c>
      <c r="BF538">
        <v>0</v>
      </c>
      <c r="BG538">
        <v>0</v>
      </c>
      <c r="BH538">
        <v>0</v>
      </c>
      <c r="BJ538" t="s">
        <v>85</v>
      </c>
      <c r="BP538" t="s">
        <v>78</v>
      </c>
      <c r="BQ538" t="s">
        <v>78</v>
      </c>
      <c r="BR538" t="s">
        <v>78</v>
      </c>
    </row>
    <row r="539" customFormat="1" spans="1:70">
      <c r="A539" t="s">
        <v>3582</v>
      </c>
      <c r="B539" t="s">
        <v>3582</v>
      </c>
      <c r="C539" t="s">
        <v>107</v>
      </c>
      <c r="D539" t="s">
        <v>135</v>
      </c>
      <c r="E539">
        <v>1</v>
      </c>
      <c r="F539" t="s">
        <v>109</v>
      </c>
      <c r="G539" t="s">
        <v>136</v>
      </c>
      <c r="H539">
        <v>289</v>
      </c>
      <c r="I539">
        <v>289</v>
      </c>
      <c r="J539">
        <v>0</v>
      </c>
      <c r="K539">
        <v>0</v>
      </c>
      <c r="L539" t="s">
        <v>78</v>
      </c>
      <c r="M539" t="s">
        <v>78</v>
      </c>
      <c r="N539" t="s">
        <v>78</v>
      </c>
      <c r="O539">
        <v>0</v>
      </c>
      <c r="P539">
        <v>0</v>
      </c>
      <c r="Q539">
        <v>0</v>
      </c>
      <c r="R539" t="s">
        <v>125</v>
      </c>
      <c r="S539">
        <v>0</v>
      </c>
      <c r="T539" t="s">
        <v>80</v>
      </c>
      <c r="U539" t="s">
        <v>80</v>
      </c>
      <c r="V539" t="s">
        <v>556</v>
      </c>
      <c r="W539" t="s">
        <v>953</v>
      </c>
      <c r="X539" t="s">
        <v>954</v>
      </c>
      <c r="Y539" t="s">
        <v>3583</v>
      </c>
      <c r="Z539" t="s">
        <v>80</v>
      </c>
      <c r="AA539" t="s">
        <v>85</v>
      </c>
      <c r="AC539" t="s">
        <v>3584</v>
      </c>
      <c r="AD539" t="s">
        <v>87</v>
      </c>
      <c r="AH539" t="s">
        <v>227</v>
      </c>
      <c r="AI539" t="s">
        <v>92</v>
      </c>
      <c r="AJ539" t="s">
        <v>131</v>
      </c>
      <c r="AK539" t="s">
        <v>3585</v>
      </c>
      <c r="AL539" t="s">
        <v>95</v>
      </c>
      <c r="AM539" t="s">
        <v>96</v>
      </c>
      <c r="AN539" t="s">
        <v>97</v>
      </c>
      <c r="AO539" t="s">
        <v>98</v>
      </c>
      <c r="AP539" t="s">
        <v>78</v>
      </c>
      <c r="AQ539" t="s">
        <v>78</v>
      </c>
      <c r="AR539" t="s">
        <v>3586</v>
      </c>
      <c r="AS539" t="s">
        <v>78</v>
      </c>
      <c r="AT539" t="s">
        <v>100</v>
      </c>
      <c r="AU539" t="s">
        <v>100</v>
      </c>
      <c r="AW539" t="s">
        <v>85</v>
      </c>
      <c r="AX539" t="s">
        <v>101</v>
      </c>
      <c r="AY539" t="s">
        <v>102</v>
      </c>
      <c r="AZ539" t="s">
        <v>103</v>
      </c>
      <c r="BA539" t="s">
        <v>133</v>
      </c>
      <c r="BB539" t="s">
        <v>78</v>
      </c>
      <c r="BC539" t="s">
        <v>78</v>
      </c>
      <c r="BE539">
        <v>0</v>
      </c>
      <c r="BF539">
        <v>0</v>
      </c>
      <c r="BG539">
        <v>0</v>
      </c>
      <c r="BH539">
        <v>0</v>
      </c>
      <c r="BJ539" t="s">
        <v>85</v>
      </c>
      <c r="BP539" t="s">
        <v>78</v>
      </c>
      <c r="BQ539" t="s">
        <v>78</v>
      </c>
      <c r="BR539" t="s">
        <v>78</v>
      </c>
    </row>
    <row r="540" customFormat="1" spans="1:70">
      <c r="A540" t="s">
        <v>3587</v>
      </c>
      <c r="B540" t="s">
        <v>3587</v>
      </c>
      <c r="C540" t="s">
        <v>107</v>
      </c>
      <c r="D540" t="s">
        <v>123</v>
      </c>
      <c r="E540">
        <v>1</v>
      </c>
      <c r="F540" t="s">
        <v>109</v>
      </c>
      <c r="G540" t="s">
        <v>124</v>
      </c>
      <c r="H540">
        <v>289</v>
      </c>
      <c r="I540">
        <v>289</v>
      </c>
      <c r="J540">
        <v>0</v>
      </c>
      <c r="K540">
        <v>0</v>
      </c>
      <c r="L540" t="s">
        <v>78</v>
      </c>
      <c r="M540" t="s">
        <v>78</v>
      </c>
      <c r="N540" t="s">
        <v>78</v>
      </c>
      <c r="O540">
        <v>0</v>
      </c>
      <c r="P540">
        <v>0</v>
      </c>
      <c r="Q540">
        <v>0</v>
      </c>
      <c r="R540" t="s">
        <v>79</v>
      </c>
      <c r="S540">
        <v>0</v>
      </c>
      <c r="T540" t="s">
        <v>80</v>
      </c>
      <c r="U540" t="s">
        <v>80</v>
      </c>
      <c r="V540" t="s">
        <v>271</v>
      </c>
      <c r="W540" t="s">
        <v>1235</v>
      </c>
      <c r="X540" t="s">
        <v>3588</v>
      </c>
      <c r="Y540" t="s">
        <v>3589</v>
      </c>
      <c r="Z540" t="s">
        <v>80</v>
      </c>
      <c r="AA540" t="s">
        <v>85</v>
      </c>
      <c r="AC540" t="s">
        <v>3590</v>
      </c>
      <c r="AD540" t="s">
        <v>87</v>
      </c>
      <c r="AG540" t="s">
        <v>3591</v>
      </c>
      <c r="AH540" t="s">
        <v>91</v>
      </c>
      <c r="AI540" t="s">
        <v>92</v>
      </c>
      <c r="AJ540" t="s">
        <v>131</v>
      </c>
      <c r="AK540" t="s">
        <v>3592</v>
      </c>
      <c r="AL540" t="s">
        <v>95</v>
      </c>
      <c r="AM540" t="s">
        <v>96</v>
      </c>
      <c r="AN540" t="s">
        <v>97</v>
      </c>
      <c r="AO540" t="s">
        <v>98</v>
      </c>
      <c r="AP540" t="s">
        <v>78</v>
      </c>
      <c r="AQ540" t="s">
        <v>99</v>
      </c>
      <c r="AS540" t="s">
        <v>78</v>
      </c>
      <c r="AT540" t="s">
        <v>100</v>
      </c>
      <c r="AU540" t="s">
        <v>100</v>
      </c>
      <c r="AW540" t="s">
        <v>85</v>
      </c>
      <c r="AX540" t="s">
        <v>101</v>
      </c>
      <c r="AY540" t="s">
        <v>102</v>
      </c>
      <c r="AZ540" t="s">
        <v>103</v>
      </c>
      <c r="BA540" t="s">
        <v>133</v>
      </c>
      <c r="BB540" t="s">
        <v>78</v>
      </c>
      <c r="BC540" t="s">
        <v>78</v>
      </c>
      <c r="BE540">
        <v>0</v>
      </c>
      <c r="BF540">
        <v>0</v>
      </c>
      <c r="BG540">
        <v>0</v>
      </c>
      <c r="BH540">
        <v>0</v>
      </c>
      <c r="BJ540" t="s">
        <v>85</v>
      </c>
      <c r="BP540" t="s">
        <v>78</v>
      </c>
      <c r="BQ540" t="s">
        <v>78</v>
      </c>
      <c r="BR540" t="s">
        <v>78</v>
      </c>
    </row>
    <row r="541" customFormat="1" spans="1:70">
      <c r="A541" t="s">
        <v>3593</v>
      </c>
      <c r="B541" t="s">
        <v>3593</v>
      </c>
      <c r="C541" t="s">
        <v>107</v>
      </c>
      <c r="D541" t="s">
        <v>108</v>
      </c>
      <c r="E541">
        <v>1</v>
      </c>
      <c r="F541" t="s">
        <v>109</v>
      </c>
      <c r="G541" t="s">
        <v>110</v>
      </c>
      <c r="H541">
        <v>289</v>
      </c>
      <c r="I541">
        <v>289</v>
      </c>
      <c r="J541">
        <v>0</v>
      </c>
      <c r="K541">
        <v>0</v>
      </c>
      <c r="L541" t="s">
        <v>78</v>
      </c>
      <c r="M541" t="s">
        <v>78</v>
      </c>
      <c r="N541" t="s">
        <v>78</v>
      </c>
      <c r="O541">
        <v>0</v>
      </c>
      <c r="P541">
        <v>0</v>
      </c>
      <c r="Q541">
        <v>0</v>
      </c>
      <c r="R541" t="s">
        <v>125</v>
      </c>
      <c r="S541">
        <v>0</v>
      </c>
      <c r="T541" t="s">
        <v>80</v>
      </c>
      <c r="U541" t="s">
        <v>80</v>
      </c>
      <c r="V541" t="s">
        <v>500</v>
      </c>
      <c r="W541" t="s">
        <v>667</v>
      </c>
      <c r="X541" t="s">
        <v>3594</v>
      </c>
      <c r="Y541" t="s">
        <v>3595</v>
      </c>
      <c r="Z541" t="s">
        <v>80</v>
      </c>
      <c r="AA541" t="s">
        <v>85</v>
      </c>
      <c r="AC541" t="s">
        <v>3596</v>
      </c>
      <c r="AD541" t="s">
        <v>87</v>
      </c>
      <c r="AH541" t="s">
        <v>91</v>
      </c>
      <c r="AI541" t="s">
        <v>92</v>
      </c>
      <c r="AJ541" t="s">
        <v>131</v>
      </c>
      <c r="AK541" t="s">
        <v>3597</v>
      </c>
      <c r="AL541" t="s">
        <v>95</v>
      </c>
      <c r="AM541" t="s">
        <v>96</v>
      </c>
      <c r="AN541" t="s">
        <v>97</v>
      </c>
      <c r="AO541" t="s">
        <v>98</v>
      </c>
      <c r="AP541" t="s">
        <v>78</v>
      </c>
      <c r="AQ541" t="s">
        <v>78</v>
      </c>
      <c r="AR541" t="s">
        <v>353</v>
      </c>
      <c r="AS541" t="s">
        <v>78</v>
      </c>
      <c r="AT541" t="s">
        <v>100</v>
      </c>
      <c r="AU541" t="s">
        <v>100</v>
      </c>
      <c r="AW541" t="s">
        <v>85</v>
      </c>
      <c r="AX541" t="s">
        <v>101</v>
      </c>
      <c r="AY541" t="s">
        <v>102</v>
      </c>
      <c r="AZ541" t="s">
        <v>103</v>
      </c>
      <c r="BA541" t="s">
        <v>120</v>
      </c>
      <c r="BB541" t="s">
        <v>78</v>
      </c>
      <c r="BC541" t="s">
        <v>78</v>
      </c>
      <c r="BE541">
        <v>0</v>
      </c>
      <c r="BF541">
        <v>0</v>
      </c>
      <c r="BG541">
        <v>0</v>
      </c>
      <c r="BH541">
        <v>0</v>
      </c>
      <c r="BJ541" t="s">
        <v>85</v>
      </c>
      <c r="BP541" t="s">
        <v>78</v>
      </c>
      <c r="BQ541" t="s">
        <v>78</v>
      </c>
      <c r="BR541" t="s">
        <v>78</v>
      </c>
    </row>
    <row r="542" customFormat="1" spans="1:70">
      <c r="A542" t="s">
        <v>3598</v>
      </c>
      <c r="B542" t="s">
        <v>3598</v>
      </c>
      <c r="C542" t="s">
        <v>107</v>
      </c>
      <c r="D542" t="s">
        <v>135</v>
      </c>
      <c r="E542">
        <v>1</v>
      </c>
      <c r="F542" t="s">
        <v>109</v>
      </c>
      <c r="G542" t="s">
        <v>136</v>
      </c>
      <c r="H542">
        <v>289</v>
      </c>
      <c r="I542">
        <v>289</v>
      </c>
      <c r="J542">
        <v>0</v>
      </c>
      <c r="K542">
        <v>0</v>
      </c>
      <c r="L542" t="s">
        <v>78</v>
      </c>
      <c r="M542" t="s">
        <v>78</v>
      </c>
      <c r="N542" t="s">
        <v>78</v>
      </c>
      <c r="O542">
        <v>0</v>
      </c>
      <c r="P542">
        <v>0</v>
      </c>
      <c r="Q542">
        <v>0</v>
      </c>
      <c r="R542" t="s">
        <v>125</v>
      </c>
      <c r="S542">
        <v>0</v>
      </c>
      <c r="T542" t="s">
        <v>80</v>
      </c>
      <c r="U542" t="s">
        <v>80</v>
      </c>
      <c r="V542" t="s">
        <v>556</v>
      </c>
      <c r="W542" t="s">
        <v>953</v>
      </c>
      <c r="X542" t="s">
        <v>954</v>
      </c>
      <c r="Y542" t="s">
        <v>3583</v>
      </c>
      <c r="Z542" t="s">
        <v>80</v>
      </c>
      <c r="AA542" t="s">
        <v>85</v>
      </c>
      <c r="AC542" t="s">
        <v>3599</v>
      </c>
      <c r="AD542" t="s">
        <v>87</v>
      </c>
      <c r="AH542" t="s">
        <v>227</v>
      </c>
      <c r="AI542" t="s">
        <v>92</v>
      </c>
      <c r="AJ542" t="s">
        <v>131</v>
      </c>
      <c r="AK542" t="s">
        <v>3600</v>
      </c>
      <c r="AL542" t="s">
        <v>95</v>
      </c>
      <c r="AM542" t="s">
        <v>96</v>
      </c>
      <c r="AN542" t="s">
        <v>97</v>
      </c>
      <c r="AO542" t="s">
        <v>98</v>
      </c>
      <c r="AP542" t="s">
        <v>78</v>
      </c>
      <c r="AQ542" t="s">
        <v>78</v>
      </c>
      <c r="AR542" t="s">
        <v>3586</v>
      </c>
      <c r="AS542" t="s">
        <v>78</v>
      </c>
      <c r="AT542" t="s">
        <v>100</v>
      </c>
      <c r="AU542" t="s">
        <v>100</v>
      </c>
      <c r="AW542" t="s">
        <v>85</v>
      </c>
      <c r="AX542" t="s">
        <v>101</v>
      </c>
      <c r="AY542" t="s">
        <v>102</v>
      </c>
      <c r="AZ542" t="s">
        <v>103</v>
      </c>
      <c r="BA542" t="s">
        <v>133</v>
      </c>
      <c r="BB542" t="s">
        <v>78</v>
      </c>
      <c r="BC542" t="s">
        <v>78</v>
      </c>
      <c r="BE542">
        <v>0</v>
      </c>
      <c r="BF542">
        <v>0</v>
      </c>
      <c r="BG542">
        <v>0</v>
      </c>
      <c r="BH542">
        <v>0</v>
      </c>
      <c r="BJ542" t="s">
        <v>85</v>
      </c>
      <c r="BP542" t="s">
        <v>78</v>
      </c>
      <c r="BQ542" t="s">
        <v>78</v>
      </c>
      <c r="BR542" t="s">
        <v>78</v>
      </c>
    </row>
    <row r="543" customFormat="1" spans="1:70">
      <c r="A543" t="s">
        <v>3601</v>
      </c>
      <c r="B543" t="s">
        <v>3601</v>
      </c>
      <c r="C543" t="s">
        <v>107</v>
      </c>
      <c r="D543" t="s">
        <v>108</v>
      </c>
      <c r="E543">
        <v>1</v>
      </c>
      <c r="F543" t="s">
        <v>109</v>
      </c>
      <c r="G543" t="s">
        <v>110</v>
      </c>
      <c r="H543">
        <v>289</v>
      </c>
      <c r="I543">
        <v>289</v>
      </c>
      <c r="J543">
        <v>0</v>
      </c>
      <c r="K543">
        <v>0</v>
      </c>
      <c r="L543" t="s">
        <v>78</v>
      </c>
      <c r="M543" t="s">
        <v>78</v>
      </c>
      <c r="N543" t="s">
        <v>78</v>
      </c>
      <c r="O543">
        <v>0</v>
      </c>
      <c r="P543">
        <v>0</v>
      </c>
      <c r="Q543">
        <v>0</v>
      </c>
      <c r="R543" t="s">
        <v>125</v>
      </c>
      <c r="S543">
        <v>0</v>
      </c>
      <c r="T543" t="s">
        <v>80</v>
      </c>
      <c r="U543" t="s">
        <v>80</v>
      </c>
      <c r="V543" t="s">
        <v>325</v>
      </c>
      <c r="W543" t="s">
        <v>788</v>
      </c>
      <c r="X543" t="s">
        <v>2108</v>
      </c>
      <c r="Y543" t="s">
        <v>84</v>
      </c>
      <c r="Z543" t="s">
        <v>80</v>
      </c>
      <c r="AA543" t="s">
        <v>85</v>
      </c>
      <c r="AC543" t="s">
        <v>3602</v>
      </c>
      <c r="AD543" t="s">
        <v>87</v>
      </c>
      <c r="AF543" t="s">
        <v>3603</v>
      </c>
      <c r="AG543" t="s">
        <v>3604</v>
      </c>
      <c r="AH543" t="s">
        <v>91</v>
      </c>
      <c r="AI543" t="s">
        <v>92</v>
      </c>
      <c r="AJ543" t="s">
        <v>93</v>
      </c>
      <c r="AK543" t="s">
        <v>3605</v>
      </c>
      <c r="AL543" t="s">
        <v>95</v>
      </c>
      <c r="AM543" t="s">
        <v>96</v>
      </c>
      <c r="AN543" t="s">
        <v>97</v>
      </c>
      <c r="AO543" t="s">
        <v>98</v>
      </c>
      <c r="AP543" t="s">
        <v>78</v>
      </c>
      <c r="AQ543" t="s">
        <v>78</v>
      </c>
      <c r="AS543" t="s">
        <v>78</v>
      </c>
      <c r="AT543" t="s">
        <v>100</v>
      </c>
      <c r="AU543" t="s">
        <v>100</v>
      </c>
      <c r="AW543" t="s">
        <v>85</v>
      </c>
      <c r="AX543" t="s">
        <v>103</v>
      </c>
      <c r="AY543" t="s">
        <v>159</v>
      </c>
      <c r="AZ543" t="s">
        <v>103</v>
      </c>
      <c r="BA543" t="s">
        <v>104</v>
      </c>
      <c r="BB543" t="s">
        <v>78</v>
      </c>
      <c r="BC543" t="s">
        <v>78</v>
      </c>
      <c r="BD543" t="s">
        <v>3606</v>
      </c>
      <c r="BE543">
        <v>0</v>
      </c>
      <c r="BF543">
        <v>0</v>
      </c>
      <c r="BG543">
        <v>0</v>
      </c>
      <c r="BH543">
        <v>0</v>
      </c>
      <c r="BJ543" t="s">
        <v>85</v>
      </c>
      <c r="BP543" t="s">
        <v>78</v>
      </c>
      <c r="BQ543" t="s">
        <v>78</v>
      </c>
      <c r="BR543" t="s">
        <v>78</v>
      </c>
    </row>
    <row r="544" customFormat="1" spans="1:70">
      <c r="A544" t="s">
        <v>3607</v>
      </c>
      <c r="B544" t="s">
        <v>3607</v>
      </c>
      <c r="C544" t="s">
        <v>107</v>
      </c>
      <c r="D544" t="s">
        <v>108</v>
      </c>
      <c r="E544">
        <v>1</v>
      </c>
      <c r="F544" t="s">
        <v>109</v>
      </c>
      <c r="G544" t="s">
        <v>110</v>
      </c>
      <c r="H544">
        <v>289</v>
      </c>
      <c r="I544">
        <v>289</v>
      </c>
      <c r="J544">
        <v>0</v>
      </c>
      <c r="K544">
        <v>0</v>
      </c>
      <c r="L544" t="s">
        <v>78</v>
      </c>
      <c r="M544" t="s">
        <v>78</v>
      </c>
      <c r="N544" t="s">
        <v>78</v>
      </c>
      <c r="O544">
        <v>0</v>
      </c>
      <c r="P544">
        <v>0</v>
      </c>
      <c r="Q544">
        <v>0</v>
      </c>
      <c r="R544" t="s">
        <v>79</v>
      </c>
      <c r="S544">
        <v>0</v>
      </c>
      <c r="T544" t="s">
        <v>80</v>
      </c>
      <c r="U544" t="s">
        <v>80</v>
      </c>
      <c r="V544" t="s">
        <v>1261</v>
      </c>
      <c r="W544" t="s">
        <v>1590</v>
      </c>
      <c r="X544" t="s">
        <v>1733</v>
      </c>
      <c r="Y544" t="s">
        <v>3608</v>
      </c>
      <c r="Z544" t="s">
        <v>80</v>
      </c>
      <c r="AA544" t="s">
        <v>85</v>
      </c>
      <c r="AC544" t="s">
        <v>3602</v>
      </c>
      <c r="AD544" t="s">
        <v>87</v>
      </c>
      <c r="AF544" t="s">
        <v>3609</v>
      </c>
      <c r="AG544" t="s">
        <v>3604</v>
      </c>
      <c r="AH544" t="s">
        <v>91</v>
      </c>
      <c r="AI544" t="s">
        <v>92</v>
      </c>
      <c r="AJ544" t="s">
        <v>93</v>
      </c>
      <c r="AK544" t="s">
        <v>3605</v>
      </c>
      <c r="AL544" t="s">
        <v>95</v>
      </c>
      <c r="AM544" t="s">
        <v>96</v>
      </c>
      <c r="AN544" t="s">
        <v>97</v>
      </c>
      <c r="AO544" t="s">
        <v>98</v>
      </c>
      <c r="AP544" t="s">
        <v>78</v>
      </c>
      <c r="AQ544" t="s">
        <v>78</v>
      </c>
      <c r="AS544" t="s">
        <v>78</v>
      </c>
      <c r="AT544" t="s">
        <v>100</v>
      </c>
      <c r="AU544" t="s">
        <v>100</v>
      </c>
      <c r="AW544" t="s">
        <v>85</v>
      </c>
      <c r="AX544" t="s">
        <v>101</v>
      </c>
      <c r="AY544" t="s">
        <v>102</v>
      </c>
      <c r="AZ544" t="s">
        <v>103</v>
      </c>
      <c r="BA544" t="s">
        <v>133</v>
      </c>
      <c r="BB544" t="s">
        <v>78</v>
      </c>
      <c r="BC544" t="s">
        <v>78</v>
      </c>
      <c r="BD544" t="s">
        <v>3610</v>
      </c>
      <c r="BE544">
        <v>0</v>
      </c>
      <c r="BF544">
        <v>0</v>
      </c>
      <c r="BG544">
        <v>0</v>
      </c>
      <c r="BH544">
        <v>0</v>
      </c>
      <c r="BJ544" t="s">
        <v>85</v>
      </c>
      <c r="BP544" t="s">
        <v>78</v>
      </c>
      <c r="BQ544" t="s">
        <v>78</v>
      </c>
      <c r="BR544" t="s">
        <v>78</v>
      </c>
    </row>
    <row r="545" customFormat="1" spans="1:70">
      <c r="A545" t="s">
        <v>3611</v>
      </c>
      <c r="B545" t="s">
        <v>3611</v>
      </c>
      <c r="C545" t="s">
        <v>107</v>
      </c>
      <c r="D545" t="s">
        <v>108</v>
      </c>
      <c r="E545">
        <v>1</v>
      </c>
      <c r="F545" t="s">
        <v>109</v>
      </c>
      <c r="G545" t="s">
        <v>110</v>
      </c>
      <c r="H545">
        <v>289</v>
      </c>
      <c r="I545">
        <v>289</v>
      </c>
      <c r="J545">
        <v>0</v>
      </c>
      <c r="K545">
        <v>0</v>
      </c>
      <c r="L545" t="s">
        <v>78</v>
      </c>
      <c r="M545" t="s">
        <v>78</v>
      </c>
      <c r="N545" t="s">
        <v>78</v>
      </c>
      <c r="O545">
        <v>0</v>
      </c>
      <c r="P545">
        <v>0</v>
      </c>
      <c r="Q545">
        <v>0</v>
      </c>
      <c r="R545" t="s">
        <v>79</v>
      </c>
      <c r="S545">
        <v>0</v>
      </c>
      <c r="T545" t="s">
        <v>80</v>
      </c>
      <c r="U545" t="s">
        <v>80</v>
      </c>
      <c r="V545" t="s">
        <v>138</v>
      </c>
      <c r="W545" t="s">
        <v>1554</v>
      </c>
      <c r="X545" t="s">
        <v>3612</v>
      </c>
      <c r="Y545" t="s">
        <v>3613</v>
      </c>
      <c r="Z545" t="s">
        <v>80</v>
      </c>
      <c r="AA545" t="s">
        <v>85</v>
      </c>
      <c r="AC545" t="s">
        <v>3602</v>
      </c>
      <c r="AD545" t="s">
        <v>87</v>
      </c>
      <c r="AF545" t="s">
        <v>3614</v>
      </c>
      <c r="AG545" t="s">
        <v>3604</v>
      </c>
      <c r="AH545" t="s">
        <v>91</v>
      </c>
      <c r="AI545" t="s">
        <v>92</v>
      </c>
      <c r="AJ545" t="s">
        <v>93</v>
      </c>
      <c r="AK545" t="s">
        <v>3605</v>
      </c>
      <c r="AL545" t="s">
        <v>95</v>
      </c>
      <c r="AM545" t="s">
        <v>96</v>
      </c>
      <c r="AN545" t="s">
        <v>97</v>
      </c>
      <c r="AO545" t="s">
        <v>98</v>
      </c>
      <c r="AP545" t="s">
        <v>78</v>
      </c>
      <c r="AQ545" t="s">
        <v>78</v>
      </c>
      <c r="AS545" t="s">
        <v>78</v>
      </c>
      <c r="AT545" t="s">
        <v>100</v>
      </c>
      <c r="AU545" t="s">
        <v>100</v>
      </c>
      <c r="AW545" t="s">
        <v>85</v>
      </c>
      <c r="AX545" t="s">
        <v>101</v>
      </c>
      <c r="AY545" t="s">
        <v>102</v>
      </c>
      <c r="AZ545" t="s">
        <v>103</v>
      </c>
      <c r="BA545" t="s">
        <v>133</v>
      </c>
      <c r="BB545" t="s">
        <v>78</v>
      </c>
      <c r="BC545" t="s">
        <v>78</v>
      </c>
      <c r="BD545" t="s">
        <v>3610</v>
      </c>
      <c r="BE545">
        <v>0</v>
      </c>
      <c r="BF545">
        <v>0</v>
      </c>
      <c r="BG545">
        <v>0</v>
      </c>
      <c r="BH545">
        <v>0</v>
      </c>
      <c r="BJ545" t="s">
        <v>85</v>
      </c>
      <c r="BP545" t="s">
        <v>78</v>
      </c>
      <c r="BQ545" t="s">
        <v>78</v>
      </c>
      <c r="BR545" t="s">
        <v>78</v>
      </c>
    </row>
    <row r="546" customFormat="1" spans="1:70">
      <c r="A546" t="s">
        <v>3615</v>
      </c>
      <c r="B546" t="s">
        <v>3615</v>
      </c>
      <c r="C546" t="s">
        <v>107</v>
      </c>
      <c r="D546" t="s">
        <v>108</v>
      </c>
      <c r="E546">
        <v>1</v>
      </c>
      <c r="F546" t="s">
        <v>109</v>
      </c>
      <c r="G546" t="s">
        <v>110</v>
      </c>
      <c r="H546">
        <v>289</v>
      </c>
      <c r="I546">
        <v>289</v>
      </c>
      <c r="J546">
        <v>0</v>
      </c>
      <c r="K546">
        <v>0</v>
      </c>
      <c r="L546" t="s">
        <v>78</v>
      </c>
      <c r="M546" t="s">
        <v>78</v>
      </c>
      <c r="N546" t="s">
        <v>78</v>
      </c>
      <c r="O546">
        <v>0</v>
      </c>
      <c r="P546">
        <v>0</v>
      </c>
      <c r="Q546">
        <v>0</v>
      </c>
      <c r="R546" t="s">
        <v>79</v>
      </c>
      <c r="S546">
        <v>0</v>
      </c>
      <c r="T546" t="s">
        <v>80</v>
      </c>
      <c r="U546" t="s">
        <v>80</v>
      </c>
      <c r="V546" t="s">
        <v>447</v>
      </c>
      <c r="W546" t="s">
        <v>448</v>
      </c>
      <c r="X546" t="s">
        <v>449</v>
      </c>
      <c r="Y546" t="s">
        <v>450</v>
      </c>
      <c r="Z546" t="s">
        <v>80</v>
      </c>
      <c r="AA546" t="s">
        <v>85</v>
      </c>
      <c r="AC546" t="s">
        <v>3602</v>
      </c>
      <c r="AD546" t="s">
        <v>202</v>
      </c>
      <c r="AE546" t="s">
        <v>3616</v>
      </c>
      <c r="AF546" t="s">
        <v>3516</v>
      </c>
      <c r="AG546" t="s">
        <v>3617</v>
      </c>
      <c r="AH546" t="s">
        <v>91</v>
      </c>
      <c r="AI546" t="s">
        <v>92</v>
      </c>
      <c r="AJ546" t="s">
        <v>93</v>
      </c>
      <c r="AK546" t="s">
        <v>3618</v>
      </c>
      <c r="AL546" t="s">
        <v>95</v>
      </c>
      <c r="AM546" t="s">
        <v>96</v>
      </c>
      <c r="AN546" t="s">
        <v>97</v>
      </c>
      <c r="AO546" t="s">
        <v>98</v>
      </c>
      <c r="AP546" t="s">
        <v>78</v>
      </c>
      <c r="AQ546" t="s">
        <v>99</v>
      </c>
      <c r="AS546" t="s">
        <v>78</v>
      </c>
      <c r="AT546" t="s">
        <v>100</v>
      </c>
      <c r="AU546" t="s">
        <v>100</v>
      </c>
      <c r="AW546" t="s">
        <v>85</v>
      </c>
      <c r="AX546" t="s">
        <v>103</v>
      </c>
      <c r="AY546" t="s">
        <v>159</v>
      </c>
      <c r="AZ546" t="s">
        <v>103</v>
      </c>
      <c r="BA546" t="s">
        <v>104</v>
      </c>
      <c r="BB546" t="s">
        <v>78</v>
      </c>
      <c r="BC546" t="s">
        <v>78</v>
      </c>
      <c r="BD546" t="s">
        <v>3519</v>
      </c>
      <c r="BE546">
        <v>0</v>
      </c>
      <c r="BF546">
        <v>0</v>
      </c>
      <c r="BG546">
        <v>0</v>
      </c>
      <c r="BH546">
        <v>0</v>
      </c>
      <c r="BJ546" t="s">
        <v>85</v>
      </c>
      <c r="BP546" t="s">
        <v>78</v>
      </c>
      <c r="BQ546" t="s">
        <v>78</v>
      </c>
      <c r="BR546" t="s">
        <v>78</v>
      </c>
    </row>
    <row r="547" customFormat="1" spans="1:70">
      <c r="A547" t="s">
        <v>3619</v>
      </c>
      <c r="B547" t="s">
        <v>3619</v>
      </c>
      <c r="C547" t="s">
        <v>107</v>
      </c>
      <c r="D547" t="s">
        <v>108</v>
      </c>
      <c r="E547">
        <v>1</v>
      </c>
      <c r="F547" t="s">
        <v>109</v>
      </c>
      <c r="G547" t="s">
        <v>110</v>
      </c>
      <c r="H547">
        <v>289</v>
      </c>
      <c r="I547">
        <v>289</v>
      </c>
      <c r="J547">
        <v>0</v>
      </c>
      <c r="K547">
        <v>0</v>
      </c>
      <c r="L547" t="s">
        <v>78</v>
      </c>
      <c r="M547" t="s">
        <v>78</v>
      </c>
      <c r="N547" t="s">
        <v>78</v>
      </c>
      <c r="O547">
        <v>0</v>
      </c>
      <c r="P547">
        <v>0</v>
      </c>
      <c r="Q547">
        <v>0</v>
      </c>
      <c r="R547" t="s">
        <v>125</v>
      </c>
      <c r="S547">
        <v>0</v>
      </c>
      <c r="T547" t="s">
        <v>80</v>
      </c>
      <c r="U547" t="s">
        <v>80</v>
      </c>
      <c r="V547" t="s">
        <v>257</v>
      </c>
      <c r="W547" t="s">
        <v>257</v>
      </c>
      <c r="X547" t="s">
        <v>258</v>
      </c>
      <c r="Y547" t="s">
        <v>3620</v>
      </c>
      <c r="Z547" t="s">
        <v>80</v>
      </c>
      <c r="AA547" t="s">
        <v>85</v>
      </c>
      <c r="AC547" t="s">
        <v>3621</v>
      </c>
      <c r="AD547" t="s">
        <v>87</v>
      </c>
      <c r="AG547" t="s">
        <v>3622</v>
      </c>
      <c r="AH547" t="s">
        <v>91</v>
      </c>
      <c r="AI547" t="s">
        <v>92</v>
      </c>
      <c r="AJ547" t="s">
        <v>131</v>
      </c>
      <c r="AK547" t="s">
        <v>3623</v>
      </c>
      <c r="AL547" t="s">
        <v>95</v>
      </c>
      <c r="AM547" t="s">
        <v>96</v>
      </c>
      <c r="AN547" t="s">
        <v>97</v>
      </c>
      <c r="AO547" t="s">
        <v>98</v>
      </c>
      <c r="AP547" t="s">
        <v>78</v>
      </c>
      <c r="AQ547" t="s">
        <v>99</v>
      </c>
      <c r="AS547" t="s">
        <v>78</v>
      </c>
      <c r="AT547" t="s">
        <v>100</v>
      </c>
      <c r="AU547" t="s">
        <v>100</v>
      </c>
      <c r="AW547" t="s">
        <v>85</v>
      </c>
      <c r="AX547" t="s">
        <v>103</v>
      </c>
      <c r="AY547" t="s">
        <v>159</v>
      </c>
      <c r="AZ547" t="s">
        <v>103</v>
      </c>
      <c r="BA547" t="s">
        <v>104</v>
      </c>
      <c r="BB547" t="s">
        <v>78</v>
      </c>
      <c r="BC547" t="s">
        <v>78</v>
      </c>
      <c r="BE547">
        <v>0</v>
      </c>
      <c r="BF547">
        <v>0</v>
      </c>
      <c r="BG547">
        <v>0</v>
      </c>
      <c r="BH547">
        <v>0</v>
      </c>
      <c r="BJ547" t="s">
        <v>85</v>
      </c>
      <c r="BP547" t="s">
        <v>78</v>
      </c>
      <c r="BQ547" t="s">
        <v>78</v>
      </c>
      <c r="BR547" t="s">
        <v>78</v>
      </c>
    </row>
    <row r="548" customFormat="1" spans="1:70">
      <c r="A548" t="s">
        <v>3624</v>
      </c>
      <c r="B548" t="s">
        <v>3624</v>
      </c>
      <c r="C548" t="s">
        <v>107</v>
      </c>
      <c r="D548" t="s">
        <v>135</v>
      </c>
      <c r="E548">
        <v>1</v>
      </c>
      <c r="F548" t="s">
        <v>109</v>
      </c>
      <c r="G548" t="s">
        <v>136</v>
      </c>
      <c r="H548">
        <v>289</v>
      </c>
      <c r="I548">
        <v>289</v>
      </c>
      <c r="J548">
        <v>0</v>
      </c>
      <c r="K548">
        <v>0</v>
      </c>
      <c r="L548" t="s">
        <v>78</v>
      </c>
      <c r="M548" t="s">
        <v>78</v>
      </c>
      <c r="N548" t="s">
        <v>78</v>
      </c>
      <c r="O548">
        <v>0</v>
      </c>
      <c r="P548">
        <v>0</v>
      </c>
      <c r="Q548">
        <v>0</v>
      </c>
      <c r="R548" t="s">
        <v>125</v>
      </c>
      <c r="S548">
        <v>0</v>
      </c>
      <c r="T548" t="s">
        <v>80</v>
      </c>
      <c r="U548" t="s">
        <v>80</v>
      </c>
      <c r="V548" t="s">
        <v>447</v>
      </c>
      <c r="W548" t="s">
        <v>448</v>
      </c>
      <c r="X548" t="s">
        <v>449</v>
      </c>
      <c r="Y548" t="s">
        <v>450</v>
      </c>
      <c r="Z548" t="s">
        <v>80</v>
      </c>
      <c r="AA548" t="s">
        <v>85</v>
      </c>
      <c r="AC548" t="s">
        <v>3625</v>
      </c>
      <c r="AD548" t="s">
        <v>87</v>
      </c>
      <c r="AG548" t="s">
        <v>3626</v>
      </c>
      <c r="AH548" t="s">
        <v>91</v>
      </c>
      <c r="AI548" t="s">
        <v>92</v>
      </c>
      <c r="AJ548" t="s">
        <v>131</v>
      </c>
      <c r="AK548" t="s">
        <v>3627</v>
      </c>
      <c r="AL548" t="s">
        <v>95</v>
      </c>
      <c r="AM548" t="s">
        <v>96</v>
      </c>
      <c r="AN548" t="s">
        <v>97</v>
      </c>
      <c r="AO548" t="s">
        <v>98</v>
      </c>
      <c r="AP548" t="s">
        <v>78</v>
      </c>
      <c r="AQ548" t="s">
        <v>99</v>
      </c>
      <c r="AS548" t="s">
        <v>78</v>
      </c>
      <c r="AT548" t="s">
        <v>100</v>
      </c>
      <c r="AU548" t="s">
        <v>100</v>
      </c>
      <c r="AW548" t="s">
        <v>85</v>
      </c>
      <c r="AX548" t="s">
        <v>103</v>
      </c>
      <c r="AY548" t="s">
        <v>159</v>
      </c>
      <c r="AZ548" t="s">
        <v>103</v>
      </c>
      <c r="BA548" t="s">
        <v>104</v>
      </c>
      <c r="BB548" t="s">
        <v>78</v>
      </c>
      <c r="BC548" t="s">
        <v>78</v>
      </c>
      <c r="BE548">
        <v>0</v>
      </c>
      <c r="BF548">
        <v>0</v>
      </c>
      <c r="BG548">
        <v>0</v>
      </c>
      <c r="BH548">
        <v>0</v>
      </c>
      <c r="BJ548" t="s">
        <v>85</v>
      </c>
      <c r="BP548" t="s">
        <v>78</v>
      </c>
      <c r="BQ548" t="s">
        <v>78</v>
      </c>
      <c r="BR548" t="s">
        <v>78</v>
      </c>
    </row>
    <row r="549" customFormat="1" spans="1:70">
      <c r="A549" t="s">
        <v>3628</v>
      </c>
      <c r="B549" t="s">
        <v>3628</v>
      </c>
      <c r="C549" t="s">
        <v>107</v>
      </c>
      <c r="D549" t="s">
        <v>108</v>
      </c>
      <c r="E549">
        <v>1</v>
      </c>
      <c r="F549" t="s">
        <v>109</v>
      </c>
      <c r="G549" t="s">
        <v>110</v>
      </c>
      <c r="H549">
        <v>289</v>
      </c>
      <c r="I549">
        <v>289</v>
      </c>
      <c r="J549">
        <v>0</v>
      </c>
      <c r="K549">
        <v>0</v>
      </c>
      <c r="L549" t="s">
        <v>78</v>
      </c>
      <c r="M549" t="s">
        <v>78</v>
      </c>
      <c r="N549" t="s">
        <v>78</v>
      </c>
      <c r="O549">
        <v>0</v>
      </c>
      <c r="P549">
        <v>0</v>
      </c>
      <c r="Q549">
        <v>0</v>
      </c>
      <c r="R549" t="s">
        <v>111</v>
      </c>
      <c r="S549">
        <v>0</v>
      </c>
      <c r="T549" t="s">
        <v>80</v>
      </c>
      <c r="U549" t="s">
        <v>80</v>
      </c>
      <c r="V549" t="s">
        <v>239</v>
      </c>
      <c r="W549" t="s">
        <v>2881</v>
      </c>
      <c r="X549" t="s">
        <v>3629</v>
      </c>
      <c r="Y549" t="s">
        <v>3630</v>
      </c>
      <c r="Z549" t="s">
        <v>80</v>
      </c>
      <c r="AA549" t="s">
        <v>85</v>
      </c>
      <c r="AC549" t="s">
        <v>3625</v>
      </c>
      <c r="AD549" t="s">
        <v>202</v>
      </c>
      <c r="AE549" t="s">
        <v>3631</v>
      </c>
      <c r="AG549" t="s">
        <v>3604</v>
      </c>
      <c r="AH549" t="s">
        <v>91</v>
      </c>
      <c r="AI549" t="s">
        <v>92</v>
      </c>
      <c r="AJ549" t="s">
        <v>131</v>
      </c>
      <c r="AK549" t="s">
        <v>3605</v>
      </c>
      <c r="AL549" t="s">
        <v>95</v>
      </c>
      <c r="AM549" t="s">
        <v>96</v>
      </c>
      <c r="AN549" t="s">
        <v>97</v>
      </c>
      <c r="AO549" t="s">
        <v>98</v>
      </c>
      <c r="AP549" t="s">
        <v>78</v>
      </c>
      <c r="AQ549" t="s">
        <v>99</v>
      </c>
      <c r="AS549" t="s">
        <v>78</v>
      </c>
      <c r="AT549" t="s">
        <v>100</v>
      </c>
      <c r="AU549" t="s">
        <v>100</v>
      </c>
      <c r="AW549" t="s">
        <v>85</v>
      </c>
      <c r="AX549" t="s">
        <v>101</v>
      </c>
      <c r="AY549" t="s">
        <v>102</v>
      </c>
      <c r="AZ549" t="s">
        <v>103</v>
      </c>
      <c r="BA549" t="s">
        <v>133</v>
      </c>
      <c r="BB549" t="s">
        <v>78</v>
      </c>
      <c r="BC549" t="s">
        <v>78</v>
      </c>
      <c r="BD549" t="s">
        <v>3610</v>
      </c>
      <c r="BE549">
        <v>0</v>
      </c>
      <c r="BF549">
        <v>0</v>
      </c>
      <c r="BG549">
        <v>0</v>
      </c>
      <c r="BH549">
        <v>0</v>
      </c>
      <c r="BJ549" t="s">
        <v>85</v>
      </c>
      <c r="BP549" t="s">
        <v>78</v>
      </c>
      <c r="BQ549" t="s">
        <v>78</v>
      </c>
      <c r="BR549" t="s">
        <v>78</v>
      </c>
    </row>
    <row r="550" customFormat="1" spans="1:70">
      <c r="A550" t="s">
        <v>3632</v>
      </c>
      <c r="B550" t="s">
        <v>3632</v>
      </c>
      <c r="C550" t="s">
        <v>107</v>
      </c>
      <c r="D550" t="s">
        <v>123</v>
      </c>
      <c r="E550">
        <v>1</v>
      </c>
      <c r="F550" t="s">
        <v>109</v>
      </c>
      <c r="G550" t="s">
        <v>124</v>
      </c>
      <c r="H550">
        <v>289</v>
      </c>
      <c r="I550">
        <v>289</v>
      </c>
      <c r="J550">
        <v>0</v>
      </c>
      <c r="K550">
        <v>0</v>
      </c>
      <c r="L550" t="s">
        <v>78</v>
      </c>
      <c r="M550" t="s">
        <v>78</v>
      </c>
      <c r="N550" t="s">
        <v>78</v>
      </c>
      <c r="O550">
        <v>0</v>
      </c>
      <c r="P550">
        <v>0</v>
      </c>
      <c r="Q550">
        <v>0</v>
      </c>
      <c r="R550" t="s">
        <v>125</v>
      </c>
      <c r="S550">
        <v>0</v>
      </c>
      <c r="T550" t="s">
        <v>80</v>
      </c>
      <c r="U550" t="s">
        <v>80</v>
      </c>
      <c r="V550" t="s">
        <v>271</v>
      </c>
      <c r="W550" t="s">
        <v>3527</v>
      </c>
      <c r="X550" t="s">
        <v>3633</v>
      </c>
      <c r="Y550" t="s">
        <v>3634</v>
      </c>
      <c r="Z550" t="s">
        <v>80</v>
      </c>
      <c r="AA550" t="s">
        <v>85</v>
      </c>
      <c r="AC550" t="s">
        <v>3635</v>
      </c>
      <c r="AD550" t="s">
        <v>87</v>
      </c>
      <c r="AF550" t="s">
        <v>3636</v>
      </c>
      <c r="AG550" t="s">
        <v>3621</v>
      </c>
      <c r="AH550" t="s">
        <v>91</v>
      </c>
      <c r="AI550" t="s">
        <v>92</v>
      </c>
      <c r="AJ550" t="s">
        <v>93</v>
      </c>
      <c r="AK550" t="s">
        <v>3637</v>
      </c>
      <c r="AL550" t="s">
        <v>95</v>
      </c>
      <c r="AM550" t="s">
        <v>96</v>
      </c>
      <c r="AN550" t="s">
        <v>97</v>
      </c>
      <c r="AO550" t="s">
        <v>98</v>
      </c>
      <c r="AP550" t="s">
        <v>78</v>
      </c>
      <c r="AQ550" t="s">
        <v>78</v>
      </c>
      <c r="AS550" t="s">
        <v>78</v>
      </c>
      <c r="AT550" t="s">
        <v>100</v>
      </c>
      <c r="AU550" t="s">
        <v>100</v>
      </c>
      <c r="AW550" t="s">
        <v>85</v>
      </c>
      <c r="AX550" t="s">
        <v>103</v>
      </c>
      <c r="AY550" t="s">
        <v>159</v>
      </c>
      <c r="AZ550" t="s">
        <v>103</v>
      </c>
      <c r="BA550" t="s">
        <v>133</v>
      </c>
      <c r="BB550" t="s">
        <v>78</v>
      </c>
      <c r="BC550" t="s">
        <v>78</v>
      </c>
      <c r="BD550" t="s">
        <v>3638</v>
      </c>
      <c r="BE550">
        <v>0</v>
      </c>
      <c r="BF550">
        <v>0</v>
      </c>
      <c r="BG550">
        <v>0</v>
      </c>
      <c r="BH550">
        <v>0</v>
      </c>
      <c r="BJ550" t="s">
        <v>85</v>
      </c>
      <c r="BP550" t="s">
        <v>78</v>
      </c>
      <c r="BQ550" t="s">
        <v>78</v>
      </c>
      <c r="BR550" t="s">
        <v>78</v>
      </c>
    </row>
    <row r="551" customFormat="1" spans="1:70">
      <c r="A551" t="s">
        <v>3639</v>
      </c>
      <c r="B551" t="s">
        <v>3639</v>
      </c>
      <c r="C551" t="s">
        <v>1050</v>
      </c>
      <c r="D551" t="s">
        <v>1051</v>
      </c>
      <c r="E551">
        <v>1</v>
      </c>
      <c r="F551" t="s">
        <v>1052</v>
      </c>
      <c r="G551" t="s">
        <v>1053</v>
      </c>
      <c r="H551">
        <v>129</v>
      </c>
      <c r="I551">
        <v>129</v>
      </c>
      <c r="J551">
        <v>0</v>
      </c>
      <c r="K551">
        <v>0</v>
      </c>
      <c r="L551" t="s">
        <v>78</v>
      </c>
      <c r="M551" t="s">
        <v>78</v>
      </c>
      <c r="N551" t="s">
        <v>78</v>
      </c>
      <c r="O551">
        <v>0</v>
      </c>
      <c r="P551">
        <v>0</v>
      </c>
      <c r="Q551">
        <v>0</v>
      </c>
      <c r="R551" t="s">
        <v>125</v>
      </c>
      <c r="S551">
        <v>0</v>
      </c>
      <c r="T551" t="s">
        <v>80</v>
      </c>
      <c r="U551" t="s">
        <v>80</v>
      </c>
      <c r="V551" t="s">
        <v>178</v>
      </c>
      <c r="W551" t="s">
        <v>178</v>
      </c>
      <c r="X551" t="s">
        <v>3640</v>
      </c>
      <c r="Y551" t="s">
        <v>3641</v>
      </c>
      <c r="Z551" t="s">
        <v>80</v>
      </c>
      <c r="AA551" t="s">
        <v>85</v>
      </c>
      <c r="AC551" t="s">
        <v>3642</v>
      </c>
      <c r="AD551" t="s">
        <v>87</v>
      </c>
      <c r="AH551" t="s">
        <v>227</v>
      </c>
      <c r="AI551" t="s">
        <v>92</v>
      </c>
      <c r="AJ551" t="s">
        <v>131</v>
      </c>
      <c r="AK551" t="s">
        <v>3643</v>
      </c>
      <c r="AL551" t="s">
        <v>95</v>
      </c>
      <c r="AM551" t="s">
        <v>96</v>
      </c>
      <c r="AN551" t="s">
        <v>97</v>
      </c>
      <c r="AO551" t="s">
        <v>98</v>
      </c>
      <c r="AP551" t="s">
        <v>78</v>
      </c>
      <c r="AQ551" t="s">
        <v>78</v>
      </c>
      <c r="AR551" t="s">
        <v>353</v>
      </c>
      <c r="AS551" t="s">
        <v>78</v>
      </c>
      <c r="AT551" t="s">
        <v>100</v>
      </c>
      <c r="AU551" t="s">
        <v>100</v>
      </c>
      <c r="AW551" t="s">
        <v>85</v>
      </c>
      <c r="AX551" t="s">
        <v>103</v>
      </c>
      <c r="AY551" t="s">
        <v>159</v>
      </c>
      <c r="AZ551" t="s">
        <v>103</v>
      </c>
      <c r="BA551" t="s">
        <v>419</v>
      </c>
      <c r="BB551" t="s">
        <v>78</v>
      </c>
      <c r="BC551" t="s">
        <v>78</v>
      </c>
      <c r="BE551">
        <v>0</v>
      </c>
      <c r="BF551">
        <v>0</v>
      </c>
      <c r="BG551">
        <v>0</v>
      </c>
      <c r="BH551">
        <v>0</v>
      </c>
      <c r="BJ551" t="s">
        <v>85</v>
      </c>
      <c r="BP551" t="s">
        <v>78</v>
      </c>
      <c r="BQ551" t="s">
        <v>78</v>
      </c>
      <c r="BR551" t="s">
        <v>78</v>
      </c>
    </row>
    <row r="552" customFormat="1" spans="1:70">
      <c r="A552" t="s">
        <v>3644</v>
      </c>
      <c r="B552" t="s">
        <v>3644</v>
      </c>
      <c r="C552" t="s">
        <v>107</v>
      </c>
      <c r="D552" t="s">
        <v>123</v>
      </c>
      <c r="E552">
        <v>1</v>
      </c>
      <c r="F552" t="s">
        <v>109</v>
      </c>
      <c r="G552" t="s">
        <v>124</v>
      </c>
      <c r="H552">
        <v>289</v>
      </c>
      <c r="I552">
        <v>289</v>
      </c>
      <c r="J552">
        <v>0</v>
      </c>
      <c r="K552">
        <v>0</v>
      </c>
      <c r="L552" t="s">
        <v>78</v>
      </c>
      <c r="M552" t="s">
        <v>78</v>
      </c>
      <c r="N552" t="s">
        <v>78</v>
      </c>
      <c r="O552">
        <v>0</v>
      </c>
      <c r="P552">
        <v>0</v>
      </c>
      <c r="Q552">
        <v>0</v>
      </c>
      <c r="R552" t="s">
        <v>111</v>
      </c>
      <c r="S552">
        <v>0</v>
      </c>
      <c r="T552" t="s">
        <v>80</v>
      </c>
      <c r="U552" t="s">
        <v>80</v>
      </c>
      <c r="V552" t="s">
        <v>138</v>
      </c>
      <c r="W552" t="s">
        <v>2201</v>
      </c>
      <c r="X552" t="s">
        <v>2202</v>
      </c>
      <c r="Y552" t="s">
        <v>78</v>
      </c>
      <c r="Z552" t="s">
        <v>80</v>
      </c>
      <c r="AA552" t="s">
        <v>85</v>
      </c>
      <c r="AC552" t="s">
        <v>3645</v>
      </c>
      <c r="AD552" t="s">
        <v>202</v>
      </c>
      <c r="AE552" t="s">
        <v>3646</v>
      </c>
      <c r="AG552" t="s">
        <v>3647</v>
      </c>
      <c r="AH552" t="s">
        <v>91</v>
      </c>
      <c r="AI552" t="s">
        <v>92</v>
      </c>
      <c r="AJ552" t="s">
        <v>131</v>
      </c>
      <c r="AK552" t="s">
        <v>3648</v>
      </c>
      <c r="AL552" t="s">
        <v>95</v>
      </c>
      <c r="AM552" t="s">
        <v>96</v>
      </c>
      <c r="AN552" t="s">
        <v>97</v>
      </c>
      <c r="AO552" t="s">
        <v>98</v>
      </c>
      <c r="AP552" t="s">
        <v>78</v>
      </c>
      <c r="AQ552" t="s">
        <v>99</v>
      </c>
      <c r="AS552" t="s">
        <v>78</v>
      </c>
      <c r="AT552" t="s">
        <v>100</v>
      </c>
      <c r="AU552" t="s">
        <v>100</v>
      </c>
      <c r="AW552" t="s">
        <v>85</v>
      </c>
      <c r="AX552" t="s">
        <v>103</v>
      </c>
      <c r="AY552" t="s">
        <v>159</v>
      </c>
      <c r="AZ552" t="s">
        <v>103</v>
      </c>
      <c r="BA552" t="s">
        <v>218</v>
      </c>
      <c r="BB552" t="s">
        <v>78</v>
      </c>
      <c r="BC552" t="s">
        <v>78</v>
      </c>
      <c r="BD552" t="s">
        <v>3638</v>
      </c>
      <c r="BE552">
        <v>0</v>
      </c>
      <c r="BF552">
        <v>0</v>
      </c>
      <c r="BG552">
        <v>0</v>
      </c>
      <c r="BH552">
        <v>0</v>
      </c>
      <c r="BJ552" t="s">
        <v>85</v>
      </c>
      <c r="BP552" t="s">
        <v>78</v>
      </c>
      <c r="BQ552" t="s">
        <v>78</v>
      </c>
      <c r="BR552" t="s">
        <v>78</v>
      </c>
    </row>
    <row r="553" customFormat="1" spans="1:70">
      <c r="A553" t="s">
        <v>3649</v>
      </c>
      <c r="B553" t="s">
        <v>3649</v>
      </c>
      <c r="C553" t="s">
        <v>107</v>
      </c>
      <c r="D553" t="s">
        <v>108</v>
      </c>
      <c r="E553">
        <v>1</v>
      </c>
      <c r="F553" t="s">
        <v>109</v>
      </c>
      <c r="G553" t="s">
        <v>110</v>
      </c>
      <c r="H553">
        <v>289</v>
      </c>
      <c r="I553">
        <v>289</v>
      </c>
      <c r="J553">
        <v>0</v>
      </c>
      <c r="K553">
        <v>0</v>
      </c>
      <c r="L553" t="s">
        <v>78</v>
      </c>
      <c r="M553" t="s">
        <v>78</v>
      </c>
      <c r="N553" t="s">
        <v>78</v>
      </c>
      <c r="O553">
        <v>0</v>
      </c>
      <c r="P553">
        <v>0</v>
      </c>
      <c r="Q553">
        <v>0</v>
      </c>
      <c r="R553" t="s">
        <v>111</v>
      </c>
      <c r="S553">
        <v>0</v>
      </c>
      <c r="T553" t="s">
        <v>80</v>
      </c>
      <c r="U553" t="s">
        <v>80</v>
      </c>
      <c r="V553" t="s">
        <v>126</v>
      </c>
      <c r="W553" t="s">
        <v>3548</v>
      </c>
      <c r="X553" t="s">
        <v>3650</v>
      </c>
      <c r="Y553" t="s">
        <v>3651</v>
      </c>
      <c r="Z553" t="s">
        <v>80</v>
      </c>
      <c r="AA553" t="s">
        <v>85</v>
      </c>
      <c r="AC553" t="s">
        <v>3652</v>
      </c>
      <c r="AD553" t="s">
        <v>202</v>
      </c>
      <c r="AE553" t="s">
        <v>3653</v>
      </c>
      <c r="AG553" t="s">
        <v>3654</v>
      </c>
      <c r="AH553" t="s">
        <v>91</v>
      </c>
      <c r="AI553" t="s">
        <v>92</v>
      </c>
      <c r="AJ553" t="s">
        <v>131</v>
      </c>
      <c r="AK553" t="s">
        <v>3655</v>
      </c>
      <c r="AL553" t="s">
        <v>95</v>
      </c>
      <c r="AM553" t="s">
        <v>96</v>
      </c>
      <c r="AN553" t="s">
        <v>97</v>
      </c>
      <c r="AO553" t="s">
        <v>98</v>
      </c>
      <c r="AP553" t="s">
        <v>78</v>
      </c>
      <c r="AQ553" t="s">
        <v>99</v>
      </c>
      <c r="AS553" t="s">
        <v>78</v>
      </c>
      <c r="AT553" t="s">
        <v>100</v>
      </c>
      <c r="AU553" t="s">
        <v>100</v>
      </c>
      <c r="AW553" t="s">
        <v>85</v>
      </c>
      <c r="AX553" t="s">
        <v>101</v>
      </c>
      <c r="AY553" t="s">
        <v>102</v>
      </c>
      <c r="AZ553" t="s">
        <v>103</v>
      </c>
      <c r="BA553" t="s">
        <v>133</v>
      </c>
      <c r="BB553" t="s">
        <v>78</v>
      </c>
      <c r="BC553" t="s">
        <v>78</v>
      </c>
      <c r="BD553" t="s">
        <v>3656</v>
      </c>
      <c r="BE553">
        <v>0</v>
      </c>
      <c r="BF553">
        <v>0</v>
      </c>
      <c r="BG553">
        <v>0</v>
      </c>
      <c r="BH553">
        <v>0</v>
      </c>
      <c r="BJ553" t="s">
        <v>85</v>
      </c>
      <c r="BP553" t="s">
        <v>78</v>
      </c>
      <c r="BQ553" t="s">
        <v>78</v>
      </c>
      <c r="BR553" t="s">
        <v>78</v>
      </c>
    </row>
    <row r="554" customFormat="1" spans="1:70">
      <c r="A554" t="s">
        <v>3657</v>
      </c>
      <c r="B554" t="s">
        <v>3657</v>
      </c>
      <c r="C554" t="s">
        <v>107</v>
      </c>
      <c r="D554" t="s">
        <v>108</v>
      </c>
      <c r="E554">
        <v>1</v>
      </c>
      <c r="F554" t="s">
        <v>109</v>
      </c>
      <c r="G554" t="s">
        <v>110</v>
      </c>
      <c r="H554">
        <v>289</v>
      </c>
      <c r="I554">
        <v>289</v>
      </c>
      <c r="J554">
        <v>0</v>
      </c>
      <c r="K554">
        <v>0</v>
      </c>
      <c r="L554" t="s">
        <v>78</v>
      </c>
      <c r="M554" t="s">
        <v>78</v>
      </c>
      <c r="N554" t="s">
        <v>78</v>
      </c>
      <c r="O554">
        <v>0</v>
      </c>
      <c r="P554">
        <v>0</v>
      </c>
      <c r="Q554">
        <v>0</v>
      </c>
      <c r="R554" t="s">
        <v>79</v>
      </c>
      <c r="S554">
        <v>0</v>
      </c>
      <c r="T554" t="s">
        <v>80</v>
      </c>
      <c r="U554" t="s">
        <v>80</v>
      </c>
      <c r="V554" t="s">
        <v>583</v>
      </c>
      <c r="W554" t="s">
        <v>584</v>
      </c>
      <c r="X554" t="s">
        <v>2553</v>
      </c>
      <c r="Y554" t="s">
        <v>3658</v>
      </c>
      <c r="Z554" t="s">
        <v>80</v>
      </c>
      <c r="AA554" t="s">
        <v>85</v>
      </c>
      <c r="AC554" t="s">
        <v>3659</v>
      </c>
      <c r="AD554" t="s">
        <v>87</v>
      </c>
      <c r="AH554" t="s">
        <v>91</v>
      </c>
      <c r="AI554" t="s">
        <v>92</v>
      </c>
      <c r="AJ554" t="s">
        <v>131</v>
      </c>
      <c r="AK554" t="s">
        <v>3660</v>
      </c>
      <c r="AL554" t="s">
        <v>95</v>
      </c>
      <c r="AM554" t="s">
        <v>96</v>
      </c>
      <c r="AN554" t="s">
        <v>97</v>
      </c>
      <c r="AO554" t="s">
        <v>98</v>
      </c>
      <c r="AP554" t="s">
        <v>78</v>
      </c>
      <c r="AQ554" t="s">
        <v>78</v>
      </c>
      <c r="AR554" t="s">
        <v>353</v>
      </c>
      <c r="AS554" t="s">
        <v>78</v>
      </c>
      <c r="AT554" t="s">
        <v>100</v>
      </c>
      <c r="AU554" t="s">
        <v>100</v>
      </c>
      <c r="AW554" t="s">
        <v>85</v>
      </c>
      <c r="AX554" t="s">
        <v>101</v>
      </c>
      <c r="AY554" t="s">
        <v>102</v>
      </c>
      <c r="AZ554" t="s">
        <v>103</v>
      </c>
      <c r="BA554" t="s">
        <v>133</v>
      </c>
      <c r="BB554" t="s">
        <v>78</v>
      </c>
      <c r="BC554" t="s">
        <v>78</v>
      </c>
      <c r="BE554">
        <v>0</v>
      </c>
      <c r="BF554">
        <v>0</v>
      </c>
      <c r="BG554">
        <v>0</v>
      </c>
      <c r="BH554">
        <v>0</v>
      </c>
      <c r="BJ554" t="s">
        <v>85</v>
      </c>
      <c r="BP554" t="s">
        <v>78</v>
      </c>
      <c r="BQ554" t="s">
        <v>78</v>
      </c>
      <c r="BR554" t="s">
        <v>78</v>
      </c>
    </row>
    <row r="555" customFormat="1" spans="1:70">
      <c r="A555" t="s">
        <v>3661</v>
      </c>
      <c r="B555" t="s">
        <v>3661</v>
      </c>
      <c r="C555" t="s">
        <v>107</v>
      </c>
      <c r="D555" t="s">
        <v>135</v>
      </c>
      <c r="E555">
        <v>1</v>
      </c>
      <c r="F555" t="s">
        <v>109</v>
      </c>
      <c r="G555" t="s">
        <v>136</v>
      </c>
      <c r="H555">
        <v>289</v>
      </c>
      <c r="I555">
        <v>289</v>
      </c>
      <c r="J555">
        <v>0</v>
      </c>
      <c r="K555">
        <v>0</v>
      </c>
      <c r="L555" t="s">
        <v>78</v>
      </c>
      <c r="M555" t="s">
        <v>78</v>
      </c>
      <c r="N555" t="s">
        <v>78</v>
      </c>
      <c r="O555">
        <v>0</v>
      </c>
      <c r="P555">
        <v>0</v>
      </c>
      <c r="Q555">
        <v>0</v>
      </c>
      <c r="R555" t="s">
        <v>111</v>
      </c>
      <c r="S555">
        <v>0</v>
      </c>
      <c r="T555" t="s">
        <v>80</v>
      </c>
      <c r="U555" t="s">
        <v>80</v>
      </c>
      <c r="V555" t="s">
        <v>302</v>
      </c>
      <c r="W555" t="s">
        <v>1394</v>
      </c>
      <c r="X555" t="s">
        <v>2346</v>
      </c>
      <c r="Y555" t="s">
        <v>3662</v>
      </c>
      <c r="Z555" t="s">
        <v>80</v>
      </c>
      <c r="AA555" t="s">
        <v>85</v>
      </c>
      <c r="AC555" t="s">
        <v>3663</v>
      </c>
      <c r="AD555" t="s">
        <v>202</v>
      </c>
      <c r="AE555" t="s">
        <v>3664</v>
      </c>
      <c r="AF555" t="s">
        <v>3665</v>
      </c>
      <c r="AG555" t="s">
        <v>3666</v>
      </c>
      <c r="AH555" t="s">
        <v>227</v>
      </c>
      <c r="AI555" t="s">
        <v>92</v>
      </c>
      <c r="AJ555" t="s">
        <v>93</v>
      </c>
      <c r="AK555" t="s">
        <v>3667</v>
      </c>
      <c r="AL555" t="s">
        <v>95</v>
      </c>
      <c r="AM555" t="s">
        <v>96</v>
      </c>
      <c r="AN555" t="s">
        <v>97</v>
      </c>
      <c r="AO555" t="s">
        <v>98</v>
      </c>
      <c r="AP555" t="s">
        <v>78</v>
      </c>
      <c r="AQ555" t="s">
        <v>99</v>
      </c>
      <c r="AS555" t="s">
        <v>78</v>
      </c>
      <c r="AT555" t="s">
        <v>100</v>
      </c>
      <c r="AU555" t="s">
        <v>100</v>
      </c>
      <c r="AW555" t="s">
        <v>85</v>
      </c>
      <c r="AX555" t="s">
        <v>101</v>
      </c>
      <c r="AY555" t="s">
        <v>102</v>
      </c>
      <c r="AZ555" t="s">
        <v>103</v>
      </c>
      <c r="BA555" t="s">
        <v>133</v>
      </c>
      <c r="BB555" t="s">
        <v>78</v>
      </c>
      <c r="BC555" t="s">
        <v>78</v>
      </c>
      <c r="BD555" t="s">
        <v>3668</v>
      </c>
      <c r="BE555">
        <v>0</v>
      </c>
      <c r="BF555">
        <v>0</v>
      </c>
      <c r="BG555">
        <v>0</v>
      </c>
      <c r="BH555">
        <v>0</v>
      </c>
      <c r="BJ555" t="s">
        <v>85</v>
      </c>
      <c r="BP555" t="s">
        <v>78</v>
      </c>
      <c r="BQ555" t="s">
        <v>78</v>
      </c>
      <c r="BR555" t="s">
        <v>78</v>
      </c>
    </row>
    <row r="556" customFormat="1" spans="1:70">
      <c r="A556" t="s">
        <v>3669</v>
      </c>
      <c r="B556" t="s">
        <v>3669</v>
      </c>
      <c r="C556" t="s">
        <v>107</v>
      </c>
      <c r="D556" t="s">
        <v>108</v>
      </c>
      <c r="E556">
        <v>1</v>
      </c>
      <c r="F556" t="s">
        <v>109</v>
      </c>
      <c r="G556" t="s">
        <v>110</v>
      </c>
      <c r="H556">
        <v>289</v>
      </c>
      <c r="I556">
        <v>289</v>
      </c>
      <c r="J556">
        <v>0</v>
      </c>
      <c r="K556">
        <v>0</v>
      </c>
      <c r="L556" t="s">
        <v>78</v>
      </c>
      <c r="M556" t="s">
        <v>78</v>
      </c>
      <c r="N556" t="s">
        <v>78</v>
      </c>
      <c r="O556">
        <v>0</v>
      </c>
      <c r="P556">
        <v>0</v>
      </c>
      <c r="Q556">
        <v>0</v>
      </c>
      <c r="R556" t="s">
        <v>111</v>
      </c>
      <c r="S556">
        <v>0</v>
      </c>
      <c r="T556" t="s">
        <v>80</v>
      </c>
      <c r="U556" t="s">
        <v>80</v>
      </c>
      <c r="V556" t="s">
        <v>189</v>
      </c>
      <c r="W556" t="s">
        <v>190</v>
      </c>
      <c r="X556" t="s">
        <v>3670</v>
      </c>
      <c r="Y556" t="s">
        <v>1271</v>
      </c>
      <c r="Z556" t="s">
        <v>80</v>
      </c>
      <c r="AA556" t="s">
        <v>85</v>
      </c>
      <c r="AC556" t="s">
        <v>3671</v>
      </c>
      <c r="AD556" t="s">
        <v>87</v>
      </c>
      <c r="AF556" t="s">
        <v>3665</v>
      </c>
      <c r="AG556" t="s">
        <v>3672</v>
      </c>
      <c r="AH556" t="s">
        <v>91</v>
      </c>
      <c r="AI556" t="s">
        <v>92</v>
      </c>
      <c r="AJ556" t="s">
        <v>93</v>
      </c>
      <c r="AK556" t="s">
        <v>3673</v>
      </c>
      <c r="AL556" t="s">
        <v>95</v>
      </c>
      <c r="AM556" t="s">
        <v>96</v>
      </c>
      <c r="AN556" t="s">
        <v>97</v>
      </c>
      <c r="AO556" t="s">
        <v>98</v>
      </c>
      <c r="AP556" t="s">
        <v>78</v>
      </c>
      <c r="AQ556" t="s">
        <v>78</v>
      </c>
      <c r="AS556" t="s">
        <v>78</v>
      </c>
      <c r="AT556" t="s">
        <v>100</v>
      </c>
      <c r="AU556" t="s">
        <v>100</v>
      </c>
      <c r="AW556" t="s">
        <v>85</v>
      </c>
      <c r="AX556" t="s">
        <v>101</v>
      </c>
      <c r="AY556" t="s">
        <v>102</v>
      </c>
      <c r="AZ556" t="s">
        <v>103</v>
      </c>
      <c r="BA556" t="s">
        <v>120</v>
      </c>
      <c r="BB556" t="s">
        <v>78</v>
      </c>
      <c r="BC556" t="s">
        <v>78</v>
      </c>
      <c r="BD556" t="s">
        <v>3668</v>
      </c>
      <c r="BE556">
        <v>0</v>
      </c>
      <c r="BF556">
        <v>0</v>
      </c>
      <c r="BG556">
        <v>0</v>
      </c>
      <c r="BH556">
        <v>0</v>
      </c>
      <c r="BJ556" t="s">
        <v>85</v>
      </c>
      <c r="BP556" t="s">
        <v>78</v>
      </c>
      <c r="BQ556" t="s">
        <v>78</v>
      </c>
      <c r="BR556" t="s">
        <v>78</v>
      </c>
    </row>
    <row r="557" customFormat="1" spans="1:70">
      <c r="A557" t="s">
        <v>3674</v>
      </c>
      <c r="B557" t="s">
        <v>3674</v>
      </c>
      <c r="C557" t="s">
        <v>107</v>
      </c>
      <c r="D557" t="s">
        <v>108</v>
      </c>
      <c r="E557">
        <v>1</v>
      </c>
      <c r="F557" t="s">
        <v>109</v>
      </c>
      <c r="G557" t="s">
        <v>110</v>
      </c>
      <c r="H557">
        <v>289</v>
      </c>
      <c r="I557">
        <v>289</v>
      </c>
      <c r="J557">
        <v>0</v>
      </c>
      <c r="K557">
        <v>0</v>
      </c>
      <c r="L557" t="s">
        <v>78</v>
      </c>
      <c r="M557" t="s">
        <v>78</v>
      </c>
      <c r="N557" t="s">
        <v>78</v>
      </c>
      <c r="O557">
        <v>0</v>
      </c>
      <c r="P557">
        <v>0</v>
      </c>
      <c r="Q557">
        <v>0</v>
      </c>
      <c r="R557" t="s">
        <v>111</v>
      </c>
      <c r="S557">
        <v>0</v>
      </c>
      <c r="T557" t="s">
        <v>80</v>
      </c>
      <c r="U557" t="s">
        <v>80</v>
      </c>
      <c r="V557" t="s">
        <v>138</v>
      </c>
      <c r="W557" t="s">
        <v>1438</v>
      </c>
      <c r="X557" t="s">
        <v>3675</v>
      </c>
      <c r="Y557" t="s">
        <v>78</v>
      </c>
      <c r="Z557" t="s">
        <v>80</v>
      </c>
      <c r="AA557" t="s">
        <v>85</v>
      </c>
      <c r="AC557" t="s">
        <v>3676</v>
      </c>
      <c r="AD557" t="s">
        <v>87</v>
      </c>
      <c r="AF557" t="s">
        <v>3665</v>
      </c>
      <c r="AG557" t="s">
        <v>3677</v>
      </c>
      <c r="AH557" t="s">
        <v>91</v>
      </c>
      <c r="AI557" t="s">
        <v>92</v>
      </c>
      <c r="AJ557" t="s">
        <v>93</v>
      </c>
      <c r="AK557" t="s">
        <v>3678</v>
      </c>
      <c r="AL557" t="s">
        <v>95</v>
      </c>
      <c r="AM557" t="s">
        <v>96</v>
      </c>
      <c r="AN557" t="s">
        <v>97</v>
      </c>
      <c r="AO557" t="s">
        <v>98</v>
      </c>
      <c r="AP557" t="s">
        <v>78</v>
      </c>
      <c r="AQ557" t="s">
        <v>78</v>
      </c>
      <c r="AS557" t="s">
        <v>78</v>
      </c>
      <c r="AT557" t="s">
        <v>100</v>
      </c>
      <c r="AU557" t="s">
        <v>100</v>
      </c>
      <c r="AW557" t="s">
        <v>85</v>
      </c>
      <c r="AX557" t="s">
        <v>101</v>
      </c>
      <c r="AY557" t="s">
        <v>102</v>
      </c>
      <c r="AZ557" t="s">
        <v>103</v>
      </c>
      <c r="BA557" t="s">
        <v>245</v>
      </c>
      <c r="BB557" t="s">
        <v>78</v>
      </c>
      <c r="BC557" t="s">
        <v>78</v>
      </c>
      <c r="BD557" t="s">
        <v>3668</v>
      </c>
      <c r="BE557">
        <v>0</v>
      </c>
      <c r="BF557">
        <v>0</v>
      </c>
      <c r="BG557">
        <v>0</v>
      </c>
      <c r="BH557">
        <v>0</v>
      </c>
      <c r="BJ557" t="s">
        <v>85</v>
      </c>
      <c r="BP557" t="s">
        <v>78</v>
      </c>
      <c r="BQ557" t="s">
        <v>78</v>
      </c>
      <c r="BR557" t="s">
        <v>78</v>
      </c>
    </row>
    <row r="558" customFormat="1" spans="1:70">
      <c r="A558" t="s">
        <v>3679</v>
      </c>
      <c r="B558" t="s">
        <v>3679</v>
      </c>
      <c r="C558" t="s">
        <v>107</v>
      </c>
      <c r="D558" t="s">
        <v>135</v>
      </c>
      <c r="E558">
        <v>1</v>
      </c>
      <c r="F558" t="s">
        <v>109</v>
      </c>
      <c r="G558" t="s">
        <v>136</v>
      </c>
      <c r="H558">
        <v>289</v>
      </c>
      <c r="I558">
        <v>289</v>
      </c>
      <c r="J558">
        <v>0</v>
      </c>
      <c r="K558">
        <v>0</v>
      </c>
      <c r="L558" t="s">
        <v>78</v>
      </c>
      <c r="M558" t="s">
        <v>78</v>
      </c>
      <c r="N558" t="s">
        <v>78</v>
      </c>
      <c r="O558">
        <v>0</v>
      </c>
      <c r="P558">
        <v>0</v>
      </c>
      <c r="Q558">
        <v>0</v>
      </c>
      <c r="R558" t="s">
        <v>125</v>
      </c>
      <c r="S558">
        <v>0</v>
      </c>
      <c r="T558" t="s">
        <v>80</v>
      </c>
      <c r="U558" t="s">
        <v>80</v>
      </c>
      <c r="V558" t="s">
        <v>138</v>
      </c>
      <c r="W558" t="s">
        <v>3680</v>
      </c>
      <c r="X558" t="s">
        <v>3681</v>
      </c>
      <c r="Y558" t="s">
        <v>3682</v>
      </c>
      <c r="Z558" t="s">
        <v>80</v>
      </c>
      <c r="AA558" t="s">
        <v>85</v>
      </c>
      <c r="AC558" t="s">
        <v>3683</v>
      </c>
      <c r="AD558" t="s">
        <v>87</v>
      </c>
      <c r="AF558" t="s">
        <v>3684</v>
      </c>
      <c r="AG558" t="s">
        <v>3659</v>
      </c>
      <c r="AH558" t="s">
        <v>91</v>
      </c>
      <c r="AI558" t="s">
        <v>92</v>
      </c>
      <c r="AJ558" t="s">
        <v>93</v>
      </c>
      <c r="AK558" t="s">
        <v>3660</v>
      </c>
      <c r="AL558" t="s">
        <v>95</v>
      </c>
      <c r="AM558" t="s">
        <v>96</v>
      </c>
      <c r="AN558" t="s">
        <v>97</v>
      </c>
      <c r="AO558" t="s">
        <v>98</v>
      </c>
      <c r="AP558" t="s">
        <v>78</v>
      </c>
      <c r="AQ558" t="s">
        <v>78</v>
      </c>
      <c r="AS558" t="s">
        <v>78</v>
      </c>
      <c r="AT558" t="s">
        <v>100</v>
      </c>
      <c r="AU558" t="s">
        <v>100</v>
      </c>
      <c r="AW558" t="s">
        <v>85</v>
      </c>
      <c r="AX558" t="s">
        <v>103</v>
      </c>
      <c r="AY558" t="s">
        <v>159</v>
      </c>
      <c r="AZ558" t="s">
        <v>103</v>
      </c>
      <c r="BA558" t="s">
        <v>419</v>
      </c>
      <c r="BB558" t="s">
        <v>78</v>
      </c>
      <c r="BC558" t="s">
        <v>78</v>
      </c>
      <c r="BD558" t="s">
        <v>3668</v>
      </c>
      <c r="BE558">
        <v>0</v>
      </c>
      <c r="BF558">
        <v>0</v>
      </c>
      <c r="BG558">
        <v>0</v>
      </c>
      <c r="BH558">
        <v>0</v>
      </c>
      <c r="BJ558" t="s">
        <v>85</v>
      </c>
      <c r="BP558" t="s">
        <v>78</v>
      </c>
      <c r="BQ558" t="s">
        <v>78</v>
      </c>
      <c r="BR558" t="s">
        <v>78</v>
      </c>
    </row>
    <row r="559" customFormat="1" spans="1:70">
      <c r="A559" t="s">
        <v>3685</v>
      </c>
      <c r="B559" t="s">
        <v>3685</v>
      </c>
      <c r="C559" t="s">
        <v>107</v>
      </c>
      <c r="D559" t="s">
        <v>108</v>
      </c>
      <c r="E559">
        <v>1</v>
      </c>
      <c r="F559" t="s">
        <v>109</v>
      </c>
      <c r="G559" t="s">
        <v>110</v>
      </c>
      <c r="H559">
        <v>289</v>
      </c>
      <c r="I559">
        <v>289</v>
      </c>
      <c r="J559">
        <v>0</v>
      </c>
      <c r="K559">
        <v>0</v>
      </c>
      <c r="L559" t="s">
        <v>78</v>
      </c>
      <c r="M559" t="s">
        <v>78</v>
      </c>
      <c r="N559" t="s">
        <v>78</v>
      </c>
      <c r="O559">
        <v>0</v>
      </c>
      <c r="P559">
        <v>0</v>
      </c>
      <c r="Q559">
        <v>0</v>
      </c>
      <c r="R559" t="s">
        <v>79</v>
      </c>
      <c r="S559">
        <v>0</v>
      </c>
      <c r="T559" t="s">
        <v>80</v>
      </c>
      <c r="U559" t="s">
        <v>80</v>
      </c>
      <c r="V559" t="s">
        <v>161</v>
      </c>
      <c r="W559" t="s">
        <v>161</v>
      </c>
      <c r="X559" t="s">
        <v>162</v>
      </c>
      <c r="Y559" t="s">
        <v>3686</v>
      </c>
      <c r="Z559" t="s">
        <v>80</v>
      </c>
      <c r="AA559" t="s">
        <v>85</v>
      </c>
      <c r="AC559" t="s">
        <v>3687</v>
      </c>
      <c r="AD559" t="s">
        <v>202</v>
      </c>
      <c r="AE559" t="s">
        <v>3688</v>
      </c>
      <c r="AG559" t="s">
        <v>3683</v>
      </c>
      <c r="AH559" t="s">
        <v>91</v>
      </c>
      <c r="AI559" t="s">
        <v>92</v>
      </c>
      <c r="AJ559" t="s">
        <v>131</v>
      </c>
      <c r="AK559" t="s">
        <v>3689</v>
      </c>
      <c r="AL559" t="s">
        <v>95</v>
      </c>
      <c r="AM559" t="s">
        <v>96</v>
      </c>
      <c r="AN559" t="s">
        <v>97</v>
      </c>
      <c r="AO559" t="s">
        <v>98</v>
      </c>
      <c r="AP559" t="s">
        <v>78</v>
      </c>
      <c r="AQ559" t="s">
        <v>99</v>
      </c>
      <c r="AS559" t="s">
        <v>78</v>
      </c>
      <c r="AT559" t="s">
        <v>100</v>
      </c>
      <c r="AU559" t="s">
        <v>100</v>
      </c>
      <c r="AW559" t="s">
        <v>85</v>
      </c>
      <c r="AX559" t="s">
        <v>101</v>
      </c>
      <c r="AY559" t="s">
        <v>102</v>
      </c>
      <c r="AZ559" t="s">
        <v>103</v>
      </c>
      <c r="BA559" t="s">
        <v>133</v>
      </c>
      <c r="BB559" t="s">
        <v>78</v>
      </c>
      <c r="BC559" t="s">
        <v>78</v>
      </c>
      <c r="BD559" t="s">
        <v>3668</v>
      </c>
      <c r="BE559">
        <v>0</v>
      </c>
      <c r="BF559">
        <v>0</v>
      </c>
      <c r="BG559">
        <v>0</v>
      </c>
      <c r="BH559">
        <v>0</v>
      </c>
      <c r="BJ559" t="s">
        <v>85</v>
      </c>
      <c r="BP559" t="s">
        <v>78</v>
      </c>
      <c r="BQ559" t="s">
        <v>78</v>
      </c>
      <c r="BR559" t="s">
        <v>78</v>
      </c>
    </row>
    <row r="560" customFormat="1" spans="1:70">
      <c r="A560" t="s">
        <v>3690</v>
      </c>
      <c r="B560" t="s">
        <v>3690</v>
      </c>
      <c r="C560" t="s">
        <v>107</v>
      </c>
      <c r="D560" t="s">
        <v>108</v>
      </c>
      <c r="E560">
        <v>1</v>
      </c>
      <c r="F560" t="s">
        <v>109</v>
      </c>
      <c r="G560" t="s">
        <v>110</v>
      </c>
      <c r="H560">
        <v>289</v>
      </c>
      <c r="I560">
        <v>289</v>
      </c>
      <c r="J560">
        <v>0</v>
      </c>
      <c r="K560">
        <v>0</v>
      </c>
      <c r="L560" t="s">
        <v>78</v>
      </c>
      <c r="M560" t="s">
        <v>78</v>
      </c>
      <c r="N560" t="s">
        <v>78</v>
      </c>
      <c r="O560">
        <v>0</v>
      </c>
      <c r="P560">
        <v>0</v>
      </c>
      <c r="Q560">
        <v>0</v>
      </c>
      <c r="R560" t="s">
        <v>125</v>
      </c>
      <c r="S560">
        <v>0</v>
      </c>
      <c r="T560" t="s">
        <v>80</v>
      </c>
      <c r="U560" t="s">
        <v>80</v>
      </c>
      <c r="V560" t="s">
        <v>81</v>
      </c>
      <c r="W560" t="s">
        <v>481</v>
      </c>
      <c r="X560" t="s">
        <v>3691</v>
      </c>
      <c r="Y560" t="s">
        <v>3692</v>
      </c>
      <c r="Z560" t="s">
        <v>80</v>
      </c>
      <c r="AA560" t="s">
        <v>85</v>
      </c>
      <c r="AC560" t="s">
        <v>3693</v>
      </c>
      <c r="AD560" t="s">
        <v>202</v>
      </c>
      <c r="AE560" t="s">
        <v>3694</v>
      </c>
      <c r="AG560" t="s">
        <v>3695</v>
      </c>
      <c r="AH560" t="s">
        <v>91</v>
      </c>
      <c r="AI560" t="s">
        <v>92</v>
      </c>
      <c r="AJ560" t="s">
        <v>131</v>
      </c>
      <c r="AK560" t="s">
        <v>3696</v>
      </c>
      <c r="AL560" t="s">
        <v>95</v>
      </c>
      <c r="AM560" t="s">
        <v>96</v>
      </c>
      <c r="AN560" t="s">
        <v>97</v>
      </c>
      <c r="AO560" t="s">
        <v>98</v>
      </c>
      <c r="AP560" t="s">
        <v>78</v>
      </c>
      <c r="AQ560" t="s">
        <v>99</v>
      </c>
      <c r="AS560" t="s">
        <v>78</v>
      </c>
      <c r="AT560" t="s">
        <v>100</v>
      </c>
      <c r="AU560" t="s">
        <v>100</v>
      </c>
      <c r="AW560" t="s">
        <v>85</v>
      </c>
      <c r="AX560" t="s">
        <v>103</v>
      </c>
      <c r="AY560" t="s">
        <v>159</v>
      </c>
      <c r="AZ560" t="s">
        <v>103</v>
      </c>
      <c r="BA560" t="s">
        <v>104</v>
      </c>
      <c r="BB560" t="s">
        <v>78</v>
      </c>
      <c r="BC560" t="s">
        <v>78</v>
      </c>
      <c r="BD560" t="s">
        <v>3668</v>
      </c>
      <c r="BE560">
        <v>0</v>
      </c>
      <c r="BF560">
        <v>0</v>
      </c>
      <c r="BG560">
        <v>0</v>
      </c>
      <c r="BH560">
        <v>0</v>
      </c>
      <c r="BJ560" t="s">
        <v>85</v>
      </c>
      <c r="BP560" t="s">
        <v>78</v>
      </c>
      <c r="BQ560" t="s">
        <v>78</v>
      </c>
      <c r="BR560" t="s">
        <v>78</v>
      </c>
    </row>
    <row r="561" customFormat="1" spans="1:70">
      <c r="A561" t="s">
        <v>3697</v>
      </c>
      <c r="B561" t="s">
        <v>3697</v>
      </c>
      <c r="C561" t="s">
        <v>107</v>
      </c>
      <c r="D561" t="s">
        <v>123</v>
      </c>
      <c r="E561">
        <v>1</v>
      </c>
      <c r="F561" t="s">
        <v>109</v>
      </c>
      <c r="G561" t="s">
        <v>124</v>
      </c>
      <c r="H561">
        <v>289</v>
      </c>
      <c r="I561">
        <v>289</v>
      </c>
      <c r="J561">
        <v>0</v>
      </c>
      <c r="K561">
        <v>0</v>
      </c>
      <c r="L561" t="s">
        <v>78</v>
      </c>
      <c r="M561" t="s">
        <v>78</v>
      </c>
      <c r="N561" t="s">
        <v>78</v>
      </c>
      <c r="O561">
        <v>0</v>
      </c>
      <c r="P561">
        <v>0</v>
      </c>
      <c r="Q561">
        <v>0</v>
      </c>
      <c r="R561" t="s">
        <v>125</v>
      </c>
      <c r="S561">
        <v>0</v>
      </c>
      <c r="T561" t="s">
        <v>80</v>
      </c>
      <c r="U561" t="s">
        <v>80</v>
      </c>
      <c r="V561" t="s">
        <v>112</v>
      </c>
      <c r="W561" t="s">
        <v>113</v>
      </c>
      <c r="X561" t="s">
        <v>881</v>
      </c>
      <c r="Y561" t="s">
        <v>3315</v>
      </c>
      <c r="Z561" t="s">
        <v>80</v>
      </c>
      <c r="AA561" t="s">
        <v>85</v>
      </c>
      <c r="AC561" t="s">
        <v>3693</v>
      </c>
      <c r="AD561" t="s">
        <v>202</v>
      </c>
      <c r="AE561" t="s">
        <v>3698</v>
      </c>
      <c r="AG561" t="s">
        <v>3695</v>
      </c>
      <c r="AH561" t="s">
        <v>91</v>
      </c>
      <c r="AI561" t="s">
        <v>92</v>
      </c>
      <c r="AJ561" t="s">
        <v>131</v>
      </c>
      <c r="AK561" t="s">
        <v>3696</v>
      </c>
      <c r="AL561" t="s">
        <v>95</v>
      </c>
      <c r="AM561" t="s">
        <v>96</v>
      </c>
      <c r="AN561" t="s">
        <v>97</v>
      </c>
      <c r="AO561" t="s">
        <v>98</v>
      </c>
      <c r="AP561" t="s">
        <v>78</v>
      </c>
      <c r="AQ561" t="s">
        <v>99</v>
      </c>
      <c r="AS561" t="s">
        <v>78</v>
      </c>
      <c r="AT561" t="s">
        <v>100</v>
      </c>
      <c r="AU561" t="s">
        <v>100</v>
      </c>
      <c r="AW561" t="s">
        <v>85</v>
      </c>
      <c r="AX561" t="s">
        <v>101</v>
      </c>
      <c r="AY561" t="s">
        <v>102</v>
      </c>
      <c r="AZ561" t="s">
        <v>103</v>
      </c>
      <c r="BA561" t="s">
        <v>120</v>
      </c>
      <c r="BB561" t="s">
        <v>78</v>
      </c>
      <c r="BC561" t="s">
        <v>78</v>
      </c>
      <c r="BD561" t="s">
        <v>3668</v>
      </c>
      <c r="BE561">
        <v>0</v>
      </c>
      <c r="BF561">
        <v>0</v>
      </c>
      <c r="BG561">
        <v>0</v>
      </c>
      <c r="BH561">
        <v>0</v>
      </c>
      <c r="BJ561" t="s">
        <v>85</v>
      </c>
      <c r="BP561" t="s">
        <v>78</v>
      </c>
      <c r="BQ561" t="s">
        <v>78</v>
      </c>
      <c r="BR561" t="s">
        <v>78</v>
      </c>
    </row>
    <row r="562" customFormat="1" spans="1:70">
      <c r="A562" t="s">
        <v>3699</v>
      </c>
      <c r="B562" t="s">
        <v>3699</v>
      </c>
      <c r="C562" t="s">
        <v>107</v>
      </c>
      <c r="D562" t="s">
        <v>123</v>
      </c>
      <c r="E562">
        <v>1</v>
      </c>
      <c r="F562" t="s">
        <v>109</v>
      </c>
      <c r="G562" t="s">
        <v>124</v>
      </c>
      <c r="H562">
        <v>289</v>
      </c>
      <c r="I562">
        <v>289</v>
      </c>
      <c r="J562">
        <v>0</v>
      </c>
      <c r="K562">
        <v>0</v>
      </c>
      <c r="L562" t="s">
        <v>78</v>
      </c>
      <c r="M562" t="s">
        <v>78</v>
      </c>
      <c r="N562" t="s">
        <v>78</v>
      </c>
      <c r="O562">
        <v>0</v>
      </c>
      <c r="P562">
        <v>0</v>
      </c>
      <c r="Q562">
        <v>0</v>
      </c>
      <c r="R562" t="s">
        <v>79</v>
      </c>
      <c r="S562">
        <v>0</v>
      </c>
      <c r="T562" t="s">
        <v>80</v>
      </c>
      <c r="U562" t="s">
        <v>80</v>
      </c>
      <c r="V562" t="s">
        <v>574</v>
      </c>
      <c r="W562" t="s">
        <v>574</v>
      </c>
      <c r="X562" t="s">
        <v>575</v>
      </c>
      <c r="Y562" t="s">
        <v>3700</v>
      </c>
      <c r="Z562" t="s">
        <v>80</v>
      </c>
      <c r="AA562" t="s">
        <v>85</v>
      </c>
      <c r="AC562" t="s">
        <v>3693</v>
      </c>
      <c r="AD562" t="s">
        <v>87</v>
      </c>
      <c r="AF562" t="s">
        <v>3665</v>
      </c>
      <c r="AG562" t="s">
        <v>3701</v>
      </c>
      <c r="AH562" t="s">
        <v>227</v>
      </c>
      <c r="AI562" t="s">
        <v>92</v>
      </c>
      <c r="AJ562" t="s">
        <v>93</v>
      </c>
      <c r="AK562" t="s">
        <v>3702</v>
      </c>
      <c r="AL562" t="s">
        <v>95</v>
      </c>
      <c r="AM562" t="s">
        <v>96</v>
      </c>
      <c r="AN562" t="s">
        <v>97</v>
      </c>
      <c r="AO562" t="s">
        <v>98</v>
      </c>
      <c r="AP562" t="s">
        <v>78</v>
      </c>
      <c r="AQ562" t="s">
        <v>78</v>
      </c>
      <c r="AS562" t="s">
        <v>78</v>
      </c>
      <c r="AT562" t="s">
        <v>100</v>
      </c>
      <c r="AU562" t="s">
        <v>100</v>
      </c>
      <c r="AW562" t="s">
        <v>85</v>
      </c>
      <c r="AX562" t="s">
        <v>101</v>
      </c>
      <c r="AY562" t="s">
        <v>102</v>
      </c>
      <c r="AZ562" t="s">
        <v>103</v>
      </c>
      <c r="BA562" t="s">
        <v>133</v>
      </c>
      <c r="BB562" t="s">
        <v>78</v>
      </c>
      <c r="BC562" t="s">
        <v>78</v>
      </c>
      <c r="BD562" t="s">
        <v>3668</v>
      </c>
      <c r="BE562">
        <v>0</v>
      </c>
      <c r="BF562">
        <v>0</v>
      </c>
      <c r="BG562">
        <v>0</v>
      </c>
      <c r="BH562">
        <v>0</v>
      </c>
      <c r="BJ562" t="s">
        <v>85</v>
      </c>
      <c r="BP562" t="s">
        <v>78</v>
      </c>
      <c r="BQ562" t="s">
        <v>78</v>
      </c>
      <c r="BR562" t="s">
        <v>78</v>
      </c>
    </row>
    <row r="563" customFormat="1" spans="1:70">
      <c r="A563" t="s">
        <v>3703</v>
      </c>
      <c r="B563" t="s">
        <v>3703</v>
      </c>
      <c r="C563" t="s">
        <v>107</v>
      </c>
      <c r="D563" t="s">
        <v>123</v>
      </c>
      <c r="E563">
        <v>1</v>
      </c>
      <c r="F563" t="s">
        <v>109</v>
      </c>
      <c r="G563" t="s">
        <v>124</v>
      </c>
      <c r="H563">
        <v>289</v>
      </c>
      <c r="I563">
        <v>289</v>
      </c>
      <c r="J563">
        <v>0</v>
      </c>
      <c r="K563">
        <v>0</v>
      </c>
      <c r="L563" t="s">
        <v>78</v>
      </c>
      <c r="M563" t="s">
        <v>78</v>
      </c>
      <c r="N563" t="s">
        <v>78</v>
      </c>
      <c r="O563">
        <v>0</v>
      </c>
      <c r="P563">
        <v>0</v>
      </c>
      <c r="Q563">
        <v>0</v>
      </c>
      <c r="R563" t="s">
        <v>125</v>
      </c>
      <c r="S563">
        <v>0</v>
      </c>
      <c r="T563" t="s">
        <v>80</v>
      </c>
      <c r="U563" t="s">
        <v>80</v>
      </c>
      <c r="V563" t="s">
        <v>887</v>
      </c>
      <c r="W563" t="s">
        <v>1927</v>
      </c>
      <c r="X563" t="s">
        <v>1928</v>
      </c>
      <c r="Y563" t="s">
        <v>1929</v>
      </c>
      <c r="Z563" t="s">
        <v>80</v>
      </c>
      <c r="AA563" t="s">
        <v>85</v>
      </c>
      <c r="AC563" t="s">
        <v>3693</v>
      </c>
      <c r="AD563" t="s">
        <v>87</v>
      </c>
      <c r="AF563" t="s">
        <v>3665</v>
      </c>
      <c r="AG563" t="s">
        <v>3704</v>
      </c>
      <c r="AH563" t="s">
        <v>91</v>
      </c>
      <c r="AI563" t="s">
        <v>92</v>
      </c>
      <c r="AJ563" t="s">
        <v>93</v>
      </c>
      <c r="AK563" t="s">
        <v>3705</v>
      </c>
      <c r="AL563" t="s">
        <v>95</v>
      </c>
      <c r="AM563" t="s">
        <v>96</v>
      </c>
      <c r="AN563" t="s">
        <v>97</v>
      </c>
      <c r="AO563" t="s">
        <v>98</v>
      </c>
      <c r="AP563" t="s">
        <v>78</v>
      </c>
      <c r="AQ563" t="s">
        <v>78</v>
      </c>
      <c r="AS563" t="s">
        <v>78</v>
      </c>
      <c r="AT563" t="s">
        <v>100</v>
      </c>
      <c r="AU563" t="s">
        <v>100</v>
      </c>
      <c r="AW563" t="s">
        <v>85</v>
      </c>
      <c r="AX563" t="s">
        <v>101</v>
      </c>
      <c r="AY563" t="s">
        <v>102</v>
      </c>
      <c r="AZ563" t="s">
        <v>103</v>
      </c>
      <c r="BA563" t="s">
        <v>133</v>
      </c>
      <c r="BB563" t="s">
        <v>78</v>
      </c>
      <c r="BC563" t="s">
        <v>78</v>
      </c>
      <c r="BD563" t="s">
        <v>3668</v>
      </c>
      <c r="BE563">
        <v>0</v>
      </c>
      <c r="BF563">
        <v>0</v>
      </c>
      <c r="BG563">
        <v>0</v>
      </c>
      <c r="BH563">
        <v>0</v>
      </c>
      <c r="BJ563" t="s">
        <v>85</v>
      </c>
      <c r="BP563" t="s">
        <v>78</v>
      </c>
      <c r="BQ563" t="s">
        <v>78</v>
      </c>
      <c r="BR563" t="s">
        <v>78</v>
      </c>
    </row>
    <row r="564" customFormat="1" spans="1:70">
      <c r="A564" t="s">
        <v>3706</v>
      </c>
      <c r="B564" t="s">
        <v>3706</v>
      </c>
      <c r="C564" t="s">
        <v>107</v>
      </c>
      <c r="D564" t="s">
        <v>135</v>
      </c>
      <c r="E564">
        <v>1</v>
      </c>
      <c r="F564" t="s">
        <v>109</v>
      </c>
      <c r="G564" t="s">
        <v>136</v>
      </c>
      <c r="H564">
        <v>289</v>
      </c>
      <c r="I564">
        <v>289</v>
      </c>
      <c r="J564">
        <v>0</v>
      </c>
      <c r="K564">
        <v>0</v>
      </c>
      <c r="L564" t="s">
        <v>78</v>
      </c>
      <c r="M564" t="s">
        <v>78</v>
      </c>
      <c r="N564" t="s">
        <v>78</v>
      </c>
      <c r="O564">
        <v>0</v>
      </c>
      <c r="P564">
        <v>0</v>
      </c>
      <c r="Q564">
        <v>0</v>
      </c>
      <c r="R564" t="s">
        <v>111</v>
      </c>
      <c r="S564">
        <v>0</v>
      </c>
      <c r="T564" t="s">
        <v>80</v>
      </c>
      <c r="U564" t="s">
        <v>80</v>
      </c>
      <c r="V564" t="s">
        <v>583</v>
      </c>
      <c r="W564" t="s">
        <v>920</v>
      </c>
      <c r="X564" t="s">
        <v>3707</v>
      </c>
      <c r="Y564" t="s">
        <v>3708</v>
      </c>
      <c r="Z564" t="s">
        <v>80</v>
      </c>
      <c r="AA564" t="s">
        <v>85</v>
      </c>
      <c r="AC564" t="s">
        <v>3709</v>
      </c>
      <c r="AD564" t="s">
        <v>87</v>
      </c>
      <c r="AF564" t="s">
        <v>3665</v>
      </c>
      <c r="AG564" t="s">
        <v>3676</v>
      </c>
      <c r="AH564" t="s">
        <v>91</v>
      </c>
      <c r="AI564" t="s">
        <v>92</v>
      </c>
      <c r="AJ564" t="s">
        <v>93</v>
      </c>
      <c r="AK564" t="s">
        <v>3705</v>
      </c>
      <c r="AL564" t="s">
        <v>95</v>
      </c>
      <c r="AM564" t="s">
        <v>96</v>
      </c>
      <c r="AN564" t="s">
        <v>97</v>
      </c>
      <c r="AO564" t="s">
        <v>98</v>
      </c>
      <c r="AP564" t="s">
        <v>78</v>
      </c>
      <c r="AQ564" t="s">
        <v>78</v>
      </c>
      <c r="AS564" t="s">
        <v>78</v>
      </c>
      <c r="AT564" t="s">
        <v>100</v>
      </c>
      <c r="AU564" t="s">
        <v>100</v>
      </c>
      <c r="AW564" t="s">
        <v>85</v>
      </c>
      <c r="AX564" t="s">
        <v>103</v>
      </c>
      <c r="AY564" t="s">
        <v>159</v>
      </c>
      <c r="AZ564" t="s">
        <v>103</v>
      </c>
      <c r="BA564" t="s">
        <v>419</v>
      </c>
      <c r="BB564" t="s">
        <v>78</v>
      </c>
      <c r="BC564" t="s">
        <v>78</v>
      </c>
      <c r="BD564" t="s">
        <v>3668</v>
      </c>
      <c r="BE564">
        <v>0</v>
      </c>
      <c r="BF564">
        <v>0</v>
      </c>
      <c r="BG564">
        <v>0</v>
      </c>
      <c r="BH564">
        <v>0</v>
      </c>
      <c r="BJ564" t="s">
        <v>85</v>
      </c>
      <c r="BP564" t="s">
        <v>78</v>
      </c>
      <c r="BQ564" t="s">
        <v>78</v>
      </c>
      <c r="BR564" t="s">
        <v>78</v>
      </c>
    </row>
    <row r="565" customFormat="1" spans="1:70">
      <c r="A565" t="s">
        <v>3710</v>
      </c>
      <c r="B565" t="s">
        <v>3710</v>
      </c>
      <c r="C565" t="s">
        <v>1050</v>
      </c>
      <c r="D565" t="s">
        <v>2255</v>
      </c>
      <c r="E565">
        <v>1</v>
      </c>
      <c r="F565" t="s">
        <v>1052</v>
      </c>
      <c r="G565" t="s">
        <v>2256</v>
      </c>
      <c r="H565">
        <v>129</v>
      </c>
      <c r="I565">
        <v>129</v>
      </c>
      <c r="J565">
        <v>0</v>
      </c>
      <c r="K565">
        <v>0</v>
      </c>
      <c r="L565" t="s">
        <v>78</v>
      </c>
      <c r="M565" t="s">
        <v>78</v>
      </c>
      <c r="N565" t="s">
        <v>78</v>
      </c>
      <c r="O565">
        <v>0</v>
      </c>
      <c r="P565">
        <v>0</v>
      </c>
      <c r="Q565">
        <v>0</v>
      </c>
      <c r="R565" t="s">
        <v>111</v>
      </c>
      <c r="S565">
        <v>0</v>
      </c>
      <c r="T565" t="s">
        <v>80</v>
      </c>
      <c r="U565" t="s">
        <v>80</v>
      </c>
      <c r="V565" t="s">
        <v>583</v>
      </c>
      <c r="W565" t="s">
        <v>920</v>
      </c>
      <c r="X565" t="s">
        <v>3707</v>
      </c>
      <c r="Y565" t="s">
        <v>3708</v>
      </c>
      <c r="Z565" t="s">
        <v>80</v>
      </c>
      <c r="AA565" t="s">
        <v>85</v>
      </c>
      <c r="AC565" t="s">
        <v>3711</v>
      </c>
      <c r="AD565" t="s">
        <v>87</v>
      </c>
      <c r="AH565" t="s">
        <v>91</v>
      </c>
      <c r="AI565" t="s">
        <v>92</v>
      </c>
      <c r="AJ565" t="s">
        <v>131</v>
      </c>
      <c r="AK565" t="s">
        <v>3712</v>
      </c>
      <c r="AL565" t="s">
        <v>95</v>
      </c>
      <c r="AM565" t="s">
        <v>96</v>
      </c>
      <c r="AN565" t="s">
        <v>97</v>
      </c>
      <c r="AO565" t="s">
        <v>98</v>
      </c>
      <c r="AP565" t="s">
        <v>78</v>
      </c>
      <c r="AQ565" t="s">
        <v>78</v>
      </c>
      <c r="AR565" t="s">
        <v>353</v>
      </c>
      <c r="AS565" t="s">
        <v>78</v>
      </c>
      <c r="AT565" t="s">
        <v>100</v>
      </c>
      <c r="AU565" t="s">
        <v>100</v>
      </c>
      <c r="AW565" t="s">
        <v>85</v>
      </c>
      <c r="AX565" t="s">
        <v>103</v>
      </c>
      <c r="AY565" t="s">
        <v>159</v>
      </c>
      <c r="AZ565" t="s">
        <v>103</v>
      </c>
      <c r="BA565" t="s">
        <v>419</v>
      </c>
      <c r="BB565" t="s">
        <v>78</v>
      </c>
      <c r="BC565" t="s">
        <v>78</v>
      </c>
      <c r="BE565">
        <v>0</v>
      </c>
      <c r="BF565">
        <v>0</v>
      </c>
      <c r="BG565">
        <v>0</v>
      </c>
      <c r="BH565">
        <v>0</v>
      </c>
      <c r="BJ565" t="s">
        <v>85</v>
      </c>
      <c r="BP565" t="s">
        <v>78</v>
      </c>
      <c r="BQ565" t="s">
        <v>78</v>
      </c>
      <c r="BR565" t="s">
        <v>78</v>
      </c>
    </row>
    <row r="566" customFormat="1" spans="1:70">
      <c r="A566" t="s">
        <v>3713</v>
      </c>
      <c r="B566" t="s">
        <v>3713</v>
      </c>
      <c r="C566" t="s">
        <v>107</v>
      </c>
      <c r="D566" t="s">
        <v>108</v>
      </c>
      <c r="E566">
        <v>1</v>
      </c>
      <c r="F566" t="s">
        <v>109</v>
      </c>
      <c r="G566" t="s">
        <v>110</v>
      </c>
      <c r="H566">
        <v>289</v>
      </c>
      <c r="I566">
        <v>289</v>
      </c>
      <c r="J566">
        <v>0</v>
      </c>
      <c r="K566">
        <v>0</v>
      </c>
      <c r="L566" t="s">
        <v>78</v>
      </c>
      <c r="M566" t="s">
        <v>78</v>
      </c>
      <c r="N566" t="s">
        <v>78</v>
      </c>
      <c r="O566">
        <v>0</v>
      </c>
      <c r="P566">
        <v>0</v>
      </c>
      <c r="Q566">
        <v>0</v>
      </c>
      <c r="R566" t="s">
        <v>125</v>
      </c>
      <c r="S566">
        <v>0</v>
      </c>
      <c r="T566" t="s">
        <v>80</v>
      </c>
      <c r="U566" t="s">
        <v>80</v>
      </c>
      <c r="V566" t="s">
        <v>221</v>
      </c>
      <c r="W566" t="s">
        <v>2406</v>
      </c>
      <c r="X566" t="s">
        <v>3714</v>
      </c>
      <c r="Y566" t="s">
        <v>3715</v>
      </c>
      <c r="Z566" t="s">
        <v>80</v>
      </c>
      <c r="AA566" t="s">
        <v>85</v>
      </c>
      <c r="AC566" t="s">
        <v>3716</v>
      </c>
      <c r="AD566" t="s">
        <v>202</v>
      </c>
      <c r="AE566" t="s">
        <v>3717</v>
      </c>
      <c r="AG566" t="s">
        <v>3718</v>
      </c>
      <c r="AH566" t="s">
        <v>227</v>
      </c>
      <c r="AI566" t="s">
        <v>92</v>
      </c>
      <c r="AJ566" t="s">
        <v>131</v>
      </c>
      <c r="AK566" t="s">
        <v>3719</v>
      </c>
      <c r="AL566" t="s">
        <v>95</v>
      </c>
      <c r="AM566" t="s">
        <v>96</v>
      </c>
      <c r="AN566" t="s">
        <v>97</v>
      </c>
      <c r="AO566" t="s">
        <v>98</v>
      </c>
      <c r="AP566" t="s">
        <v>78</v>
      </c>
      <c r="AQ566" t="s">
        <v>99</v>
      </c>
      <c r="AS566" t="s">
        <v>78</v>
      </c>
      <c r="AT566" t="s">
        <v>100</v>
      </c>
      <c r="AU566" t="s">
        <v>100</v>
      </c>
      <c r="AW566" t="s">
        <v>85</v>
      </c>
      <c r="AX566" t="s">
        <v>101</v>
      </c>
      <c r="AY566" t="s">
        <v>102</v>
      </c>
      <c r="AZ566" t="s">
        <v>103</v>
      </c>
      <c r="BA566" t="s">
        <v>133</v>
      </c>
      <c r="BB566" t="s">
        <v>78</v>
      </c>
      <c r="BC566" t="s">
        <v>78</v>
      </c>
      <c r="BD566" t="s">
        <v>3720</v>
      </c>
      <c r="BE566">
        <v>0</v>
      </c>
      <c r="BF566">
        <v>0</v>
      </c>
      <c r="BG566">
        <v>0</v>
      </c>
      <c r="BH566">
        <v>0</v>
      </c>
      <c r="BJ566" t="s">
        <v>85</v>
      </c>
      <c r="BP566" t="s">
        <v>78</v>
      </c>
      <c r="BQ566" t="s">
        <v>78</v>
      </c>
      <c r="BR566" t="s">
        <v>78</v>
      </c>
    </row>
    <row r="567" customFormat="1" spans="1:70">
      <c r="A567" t="s">
        <v>3721</v>
      </c>
      <c r="B567" t="s">
        <v>3721</v>
      </c>
      <c r="C567" t="s">
        <v>107</v>
      </c>
      <c r="D567" t="s">
        <v>108</v>
      </c>
      <c r="E567">
        <v>1</v>
      </c>
      <c r="F567" t="s">
        <v>109</v>
      </c>
      <c r="G567" t="s">
        <v>110</v>
      </c>
      <c r="H567">
        <v>289</v>
      </c>
      <c r="I567">
        <v>289</v>
      </c>
      <c r="J567">
        <v>0</v>
      </c>
      <c r="K567">
        <v>0</v>
      </c>
      <c r="L567" t="s">
        <v>78</v>
      </c>
      <c r="M567" t="s">
        <v>78</v>
      </c>
      <c r="N567" t="s">
        <v>78</v>
      </c>
      <c r="O567">
        <v>0</v>
      </c>
      <c r="P567">
        <v>0</v>
      </c>
      <c r="Q567">
        <v>0</v>
      </c>
      <c r="R567" t="s">
        <v>111</v>
      </c>
      <c r="S567">
        <v>0</v>
      </c>
      <c r="T567" t="s">
        <v>80</v>
      </c>
      <c r="U567" t="s">
        <v>80</v>
      </c>
      <c r="V567" t="s">
        <v>112</v>
      </c>
      <c r="W567" t="s">
        <v>113</v>
      </c>
      <c r="X567" t="s">
        <v>816</v>
      </c>
      <c r="Y567" t="s">
        <v>817</v>
      </c>
      <c r="Z567" t="s">
        <v>80</v>
      </c>
      <c r="AA567" t="s">
        <v>85</v>
      </c>
      <c r="AC567" t="s">
        <v>3722</v>
      </c>
      <c r="AD567" t="s">
        <v>87</v>
      </c>
      <c r="AF567" t="s">
        <v>3665</v>
      </c>
      <c r="AG567" t="s">
        <v>3723</v>
      </c>
      <c r="AH567" t="s">
        <v>91</v>
      </c>
      <c r="AI567" t="s">
        <v>92</v>
      </c>
      <c r="AJ567" t="s">
        <v>93</v>
      </c>
      <c r="AK567" t="s">
        <v>3724</v>
      </c>
      <c r="AL567" t="s">
        <v>95</v>
      </c>
      <c r="AM567" t="s">
        <v>96</v>
      </c>
      <c r="AN567" t="s">
        <v>97</v>
      </c>
      <c r="AO567" t="s">
        <v>98</v>
      </c>
      <c r="AP567" t="s">
        <v>78</v>
      </c>
      <c r="AQ567" t="s">
        <v>78</v>
      </c>
      <c r="AS567" t="s">
        <v>78</v>
      </c>
      <c r="AT567" t="s">
        <v>100</v>
      </c>
      <c r="AU567" t="s">
        <v>100</v>
      </c>
      <c r="AW567" t="s">
        <v>85</v>
      </c>
      <c r="AX567" t="s">
        <v>101</v>
      </c>
      <c r="AY567" t="s">
        <v>102</v>
      </c>
      <c r="AZ567" t="s">
        <v>103</v>
      </c>
      <c r="BA567" t="s">
        <v>133</v>
      </c>
      <c r="BB567" t="s">
        <v>78</v>
      </c>
      <c r="BC567" t="s">
        <v>78</v>
      </c>
      <c r="BD567" t="s">
        <v>3668</v>
      </c>
      <c r="BE567">
        <v>0</v>
      </c>
      <c r="BF567">
        <v>0</v>
      </c>
      <c r="BG567">
        <v>0</v>
      </c>
      <c r="BH567">
        <v>0</v>
      </c>
      <c r="BJ567" t="s">
        <v>85</v>
      </c>
      <c r="BP567" t="s">
        <v>78</v>
      </c>
      <c r="BQ567" t="s">
        <v>78</v>
      </c>
      <c r="BR567" t="s">
        <v>78</v>
      </c>
    </row>
    <row r="568" customFormat="1" spans="1:70">
      <c r="A568" t="s">
        <v>3725</v>
      </c>
      <c r="B568" t="s">
        <v>3725</v>
      </c>
      <c r="C568" t="s">
        <v>107</v>
      </c>
      <c r="D568" t="s">
        <v>123</v>
      </c>
      <c r="E568">
        <v>1</v>
      </c>
      <c r="F568" t="s">
        <v>109</v>
      </c>
      <c r="G568" t="s">
        <v>124</v>
      </c>
      <c r="H568">
        <v>289</v>
      </c>
      <c r="I568">
        <v>289</v>
      </c>
      <c r="J568">
        <v>0</v>
      </c>
      <c r="K568">
        <v>0</v>
      </c>
      <c r="L568" t="s">
        <v>78</v>
      </c>
      <c r="M568" t="s">
        <v>78</v>
      </c>
      <c r="N568" t="s">
        <v>78</v>
      </c>
      <c r="O568">
        <v>0</v>
      </c>
      <c r="P568">
        <v>0</v>
      </c>
      <c r="Q568">
        <v>0</v>
      </c>
      <c r="R568" t="s">
        <v>79</v>
      </c>
      <c r="S568">
        <v>0</v>
      </c>
      <c r="T568" t="s">
        <v>80</v>
      </c>
      <c r="U568" t="s">
        <v>80</v>
      </c>
      <c r="V568" t="s">
        <v>1261</v>
      </c>
      <c r="W568" t="s">
        <v>1262</v>
      </c>
      <c r="X568" t="s">
        <v>1484</v>
      </c>
      <c r="Y568" t="s">
        <v>3726</v>
      </c>
      <c r="Z568" t="s">
        <v>80</v>
      </c>
      <c r="AA568" t="s">
        <v>85</v>
      </c>
      <c r="AC568" t="s">
        <v>3727</v>
      </c>
      <c r="AD568" t="s">
        <v>87</v>
      </c>
      <c r="AF568" t="s">
        <v>3728</v>
      </c>
      <c r="AG568" t="s">
        <v>3729</v>
      </c>
      <c r="AH568" t="s">
        <v>91</v>
      </c>
      <c r="AI568" t="s">
        <v>92</v>
      </c>
      <c r="AJ568" t="s">
        <v>93</v>
      </c>
      <c r="AK568" t="s">
        <v>3730</v>
      </c>
      <c r="AL568" t="s">
        <v>95</v>
      </c>
      <c r="AM568" t="s">
        <v>96</v>
      </c>
      <c r="AN568" t="s">
        <v>97</v>
      </c>
      <c r="AO568" t="s">
        <v>98</v>
      </c>
      <c r="AP568" t="s">
        <v>78</v>
      </c>
      <c r="AQ568" t="s">
        <v>78</v>
      </c>
      <c r="AS568" t="s">
        <v>78</v>
      </c>
      <c r="AT568" t="s">
        <v>100</v>
      </c>
      <c r="AU568" t="s">
        <v>100</v>
      </c>
      <c r="AW568" t="s">
        <v>85</v>
      </c>
      <c r="AX568" t="s">
        <v>101</v>
      </c>
      <c r="AY568" t="s">
        <v>102</v>
      </c>
      <c r="AZ568" t="s">
        <v>103</v>
      </c>
      <c r="BA568" t="s">
        <v>133</v>
      </c>
      <c r="BB568" t="s">
        <v>78</v>
      </c>
      <c r="BC568" t="s">
        <v>78</v>
      </c>
      <c r="BD568" t="s">
        <v>3668</v>
      </c>
      <c r="BE568">
        <v>0</v>
      </c>
      <c r="BF568">
        <v>0</v>
      </c>
      <c r="BG568">
        <v>0</v>
      </c>
      <c r="BH568">
        <v>0</v>
      </c>
      <c r="BJ568" t="s">
        <v>85</v>
      </c>
      <c r="BP568" t="s">
        <v>78</v>
      </c>
      <c r="BQ568" t="s">
        <v>78</v>
      </c>
      <c r="BR568" t="s">
        <v>78</v>
      </c>
    </row>
    <row r="569" customFormat="1" spans="1:70">
      <c r="A569" t="s">
        <v>3731</v>
      </c>
      <c r="B569" t="s">
        <v>3731</v>
      </c>
      <c r="C569" t="s">
        <v>107</v>
      </c>
      <c r="D569" t="s">
        <v>135</v>
      </c>
      <c r="E569">
        <v>1</v>
      </c>
      <c r="F569" t="s">
        <v>109</v>
      </c>
      <c r="G569" t="s">
        <v>136</v>
      </c>
      <c r="H569">
        <v>289</v>
      </c>
      <c r="I569">
        <v>289</v>
      </c>
      <c r="J569">
        <v>0</v>
      </c>
      <c r="K569">
        <v>0</v>
      </c>
      <c r="L569" t="s">
        <v>78</v>
      </c>
      <c r="M569" t="s">
        <v>78</v>
      </c>
      <c r="N569" t="s">
        <v>78</v>
      </c>
      <c r="O569">
        <v>0</v>
      </c>
      <c r="P569">
        <v>0</v>
      </c>
      <c r="Q569">
        <v>0</v>
      </c>
      <c r="R569" t="s">
        <v>125</v>
      </c>
      <c r="S569">
        <v>0</v>
      </c>
      <c r="T569" t="s">
        <v>80</v>
      </c>
      <c r="U569" t="s">
        <v>80</v>
      </c>
      <c r="V569" t="s">
        <v>574</v>
      </c>
      <c r="W569" t="s">
        <v>574</v>
      </c>
      <c r="X569" t="s">
        <v>2896</v>
      </c>
      <c r="Y569" t="s">
        <v>2897</v>
      </c>
      <c r="Z569" t="s">
        <v>80</v>
      </c>
      <c r="AA569" t="s">
        <v>85</v>
      </c>
      <c r="AC569" t="s">
        <v>3727</v>
      </c>
      <c r="AD569" t="s">
        <v>202</v>
      </c>
      <c r="AE569" t="s">
        <v>3732</v>
      </c>
      <c r="AF569" t="s">
        <v>3733</v>
      </c>
      <c r="AG569" t="s">
        <v>3734</v>
      </c>
      <c r="AH569" t="s">
        <v>91</v>
      </c>
      <c r="AI569" t="s">
        <v>92</v>
      </c>
      <c r="AJ569" t="s">
        <v>93</v>
      </c>
      <c r="AK569" t="s">
        <v>3735</v>
      </c>
      <c r="AL569" t="s">
        <v>95</v>
      </c>
      <c r="AM569" t="s">
        <v>96</v>
      </c>
      <c r="AN569" t="s">
        <v>97</v>
      </c>
      <c r="AO569" t="s">
        <v>98</v>
      </c>
      <c r="AP569" t="s">
        <v>78</v>
      </c>
      <c r="AQ569" t="s">
        <v>99</v>
      </c>
      <c r="AS569" t="s">
        <v>78</v>
      </c>
      <c r="AT569" t="s">
        <v>100</v>
      </c>
      <c r="AU569" t="s">
        <v>100</v>
      </c>
      <c r="AW569" t="s">
        <v>85</v>
      </c>
      <c r="AX569" t="s">
        <v>103</v>
      </c>
      <c r="AY569" t="s">
        <v>159</v>
      </c>
      <c r="AZ569" t="s">
        <v>103</v>
      </c>
      <c r="BA569" t="s">
        <v>419</v>
      </c>
      <c r="BB569" t="s">
        <v>78</v>
      </c>
      <c r="BC569" t="s">
        <v>78</v>
      </c>
      <c r="BD569" t="s">
        <v>3720</v>
      </c>
      <c r="BE569">
        <v>0</v>
      </c>
      <c r="BF569">
        <v>0</v>
      </c>
      <c r="BG569">
        <v>0</v>
      </c>
      <c r="BH569">
        <v>0</v>
      </c>
      <c r="BJ569" t="s">
        <v>85</v>
      </c>
      <c r="BP569" t="s">
        <v>78</v>
      </c>
      <c r="BQ569" t="s">
        <v>78</v>
      </c>
      <c r="BR569" t="s">
        <v>78</v>
      </c>
    </row>
    <row r="570" customFormat="1" spans="1:70">
      <c r="A570" t="s">
        <v>3736</v>
      </c>
      <c r="B570" t="s">
        <v>3736</v>
      </c>
      <c r="C570" t="s">
        <v>107</v>
      </c>
      <c r="D570" t="s">
        <v>123</v>
      </c>
      <c r="E570">
        <v>1</v>
      </c>
      <c r="F570" t="s">
        <v>109</v>
      </c>
      <c r="G570" t="s">
        <v>124</v>
      </c>
      <c r="H570">
        <v>289</v>
      </c>
      <c r="I570">
        <v>289</v>
      </c>
      <c r="J570">
        <v>0</v>
      </c>
      <c r="K570">
        <v>0</v>
      </c>
      <c r="L570" t="s">
        <v>78</v>
      </c>
      <c r="M570" t="s">
        <v>78</v>
      </c>
      <c r="N570" t="s">
        <v>78</v>
      </c>
      <c r="O570">
        <v>0</v>
      </c>
      <c r="P570">
        <v>0</v>
      </c>
      <c r="Q570">
        <v>0</v>
      </c>
      <c r="R570" t="s">
        <v>111</v>
      </c>
      <c r="S570">
        <v>0</v>
      </c>
      <c r="T570" t="s">
        <v>80</v>
      </c>
      <c r="U570" t="s">
        <v>80</v>
      </c>
      <c r="V570" t="s">
        <v>152</v>
      </c>
      <c r="W570" t="s">
        <v>2101</v>
      </c>
      <c r="X570" t="s">
        <v>2102</v>
      </c>
      <c r="Y570" t="s">
        <v>2103</v>
      </c>
      <c r="Z570" t="s">
        <v>80</v>
      </c>
      <c r="AA570" t="s">
        <v>85</v>
      </c>
      <c r="AC570" t="s">
        <v>3737</v>
      </c>
      <c r="AD570" t="s">
        <v>202</v>
      </c>
      <c r="AE570" t="s">
        <v>3738</v>
      </c>
      <c r="AG570" t="s">
        <v>3734</v>
      </c>
      <c r="AH570" t="s">
        <v>91</v>
      </c>
      <c r="AI570" t="s">
        <v>92</v>
      </c>
      <c r="AJ570" t="s">
        <v>131</v>
      </c>
      <c r="AK570" t="s">
        <v>3730</v>
      </c>
      <c r="AL570" t="s">
        <v>95</v>
      </c>
      <c r="AM570" t="s">
        <v>96</v>
      </c>
      <c r="AN570" t="s">
        <v>97</v>
      </c>
      <c r="AO570" t="s">
        <v>98</v>
      </c>
      <c r="AP570" t="s">
        <v>78</v>
      </c>
      <c r="AQ570" t="s">
        <v>99</v>
      </c>
      <c r="AS570" t="s">
        <v>78</v>
      </c>
      <c r="AT570" t="s">
        <v>100</v>
      </c>
      <c r="AU570" t="s">
        <v>100</v>
      </c>
      <c r="AW570" t="s">
        <v>85</v>
      </c>
      <c r="AX570" t="s">
        <v>101</v>
      </c>
      <c r="AY570" t="s">
        <v>102</v>
      </c>
      <c r="AZ570" t="s">
        <v>103</v>
      </c>
      <c r="BA570" t="s">
        <v>133</v>
      </c>
      <c r="BB570" t="s">
        <v>78</v>
      </c>
      <c r="BC570" t="s">
        <v>78</v>
      </c>
      <c r="BD570" t="s">
        <v>3668</v>
      </c>
      <c r="BE570">
        <v>0</v>
      </c>
      <c r="BF570">
        <v>0</v>
      </c>
      <c r="BG570">
        <v>0</v>
      </c>
      <c r="BH570">
        <v>0</v>
      </c>
      <c r="BJ570" t="s">
        <v>85</v>
      </c>
      <c r="BP570" t="s">
        <v>78</v>
      </c>
      <c r="BQ570" t="s">
        <v>78</v>
      </c>
      <c r="BR570" t="s">
        <v>78</v>
      </c>
    </row>
    <row r="571" customFormat="1" spans="1:70">
      <c r="A571" t="s">
        <v>3739</v>
      </c>
      <c r="B571" t="s">
        <v>3739</v>
      </c>
      <c r="C571" t="s">
        <v>107</v>
      </c>
      <c r="D571" t="s">
        <v>108</v>
      </c>
      <c r="E571">
        <v>1</v>
      </c>
      <c r="F571" t="s">
        <v>109</v>
      </c>
      <c r="G571" t="s">
        <v>110</v>
      </c>
      <c r="H571">
        <v>289</v>
      </c>
      <c r="I571">
        <v>289</v>
      </c>
      <c r="J571">
        <v>0</v>
      </c>
      <c r="K571">
        <v>0.12</v>
      </c>
      <c r="L571" t="s">
        <v>78</v>
      </c>
      <c r="M571" t="s">
        <v>78</v>
      </c>
      <c r="N571" t="s">
        <v>78</v>
      </c>
      <c r="O571">
        <v>0</v>
      </c>
      <c r="P571">
        <v>0.12</v>
      </c>
      <c r="Q571">
        <v>0</v>
      </c>
      <c r="R571" t="s">
        <v>125</v>
      </c>
      <c r="S571">
        <v>0</v>
      </c>
      <c r="T571" t="s">
        <v>80</v>
      </c>
      <c r="U571" t="s">
        <v>80</v>
      </c>
      <c r="V571" t="s">
        <v>257</v>
      </c>
      <c r="W571" t="s">
        <v>257</v>
      </c>
      <c r="X571" t="s">
        <v>3740</v>
      </c>
      <c r="Y571" t="s">
        <v>3741</v>
      </c>
      <c r="Z571" t="s">
        <v>80</v>
      </c>
      <c r="AA571" t="s">
        <v>85</v>
      </c>
      <c r="AC571" t="s">
        <v>3737</v>
      </c>
      <c r="AD571" t="s">
        <v>202</v>
      </c>
      <c r="AE571" t="s">
        <v>3742</v>
      </c>
      <c r="AG571" t="s">
        <v>3743</v>
      </c>
      <c r="AH571" t="s">
        <v>227</v>
      </c>
      <c r="AI571" t="s">
        <v>92</v>
      </c>
      <c r="AJ571" t="s">
        <v>131</v>
      </c>
      <c r="AK571" t="s">
        <v>3744</v>
      </c>
      <c r="AL571" t="s">
        <v>95</v>
      </c>
      <c r="AM571" t="s">
        <v>96</v>
      </c>
      <c r="AN571" t="s">
        <v>97</v>
      </c>
      <c r="AO571" t="s">
        <v>98</v>
      </c>
      <c r="AP571" t="s">
        <v>78</v>
      </c>
      <c r="AQ571" t="s">
        <v>99</v>
      </c>
      <c r="AS571" t="s">
        <v>78</v>
      </c>
      <c r="AT571" t="s">
        <v>100</v>
      </c>
      <c r="AU571" t="s">
        <v>100</v>
      </c>
      <c r="AW571" t="s">
        <v>85</v>
      </c>
      <c r="AX571" t="s">
        <v>101</v>
      </c>
      <c r="AY571" t="s">
        <v>102</v>
      </c>
      <c r="AZ571" t="s">
        <v>103</v>
      </c>
      <c r="BA571" t="s">
        <v>133</v>
      </c>
      <c r="BB571" t="s">
        <v>78</v>
      </c>
      <c r="BC571" t="s">
        <v>78</v>
      </c>
      <c r="BD571" t="s">
        <v>3668</v>
      </c>
      <c r="BE571">
        <v>0</v>
      </c>
      <c r="BF571">
        <v>0</v>
      </c>
      <c r="BG571">
        <v>0</v>
      </c>
      <c r="BH571">
        <v>0</v>
      </c>
      <c r="BJ571" t="s">
        <v>85</v>
      </c>
      <c r="BP571" t="s">
        <v>78</v>
      </c>
      <c r="BQ571" t="s">
        <v>78</v>
      </c>
      <c r="BR571" t="s">
        <v>78</v>
      </c>
    </row>
    <row r="572" customFormat="1" spans="1:70">
      <c r="A572" t="s">
        <v>3745</v>
      </c>
      <c r="B572" t="s">
        <v>3745</v>
      </c>
      <c r="C572" t="s">
        <v>107</v>
      </c>
      <c r="D572" t="s">
        <v>123</v>
      </c>
      <c r="E572">
        <v>1</v>
      </c>
      <c r="F572" t="s">
        <v>109</v>
      </c>
      <c r="G572" t="s">
        <v>124</v>
      </c>
      <c r="H572">
        <v>289</v>
      </c>
      <c r="I572">
        <v>289</v>
      </c>
      <c r="J572">
        <v>0</v>
      </c>
      <c r="K572">
        <v>0</v>
      </c>
      <c r="L572" t="s">
        <v>78</v>
      </c>
      <c r="M572" t="s">
        <v>78</v>
      </c>
      <c r="N572" t="s">
        <v>78</v>
      </c>
      <c r="O572">
        <v>0</v>
      </c>
      <c r="P572">
        <v>0</v>
      </c>
      <c r="Q572">
        <v>0</v>
      </c>
      <c r="R572" t="s">
        <v>111</v>
      </c>
      <c r="S572">
        <v>0</v>
      </c>
      <c r="T572" t="s">
        <v>80</v>
      </c>
      <c r="U572" t="s">
        <v>80</v>
      </c>
      <c r="V572" t="s">
        <v>112</v>
      </c>
      <c r="W572" t="s">
        <v>906</v>
      </c>
      <c r="X572" t="s">
        <v>3746</v>
      </c>
      <c r="Y572" t="s">
        <v>3064</v>
      </c>
      <c r="Z572" t="s">
        <v>80</v>
      </c>
      <c r="AA572" t="s">
        <v>85</v>
      </c>
      <c r="AC572" t="s">
        <v>3737</v>
      </c>
      <c r="AD572" t="s">
        <v>87</v>
      </c>
      <c r="AF572" t="s">
        <v>3665</v>
      </c>
      <c r="AG572" t="s">
        <v>3747</v>
      </c>
      <c r="AH572" t="s">
        <v>873</v>
      </c>
      <c r="AI572" t="s">
        <v>92</v>
      </c>
      <c r="AJ572" t="s">
        <v>93</v>
      </c>
      <c r="AK572" t="s">
        <v>3748</v>
      </c>
      <c r="AL572" t="s">
        <v>95</v>
      </c>
      <c r="AM572" t="s">
        <v>96</v>
      </c>
      <c r="AN572" t="s">
        <v>97</v>
      </c>
      <c r="AO572" t="s">
        <v>98</v>
      </c>
      <c r="AP572" t="s">
        <v>78</v>
      </c>
      <c r="AQ572" t="s">
        <v>78</v>
      </c>
      <c r="AS572" t="s">
        <v>78</v>
      </c>
      <c r="AT572" t="s">
        <v>100</v>
      </c>
      <c r="AU572" t="s">
        <v>100</v>
      </c>
      <c r="AW572" t="s">
        <v>85</v>
      </c>
      <c r="AX572" t="s">
        <v>101</v>
      </c>
      <c r="AY572" t="s">
        <v>102</v>
      </c>
      <c r="AZ572" t="s">
        <v>103</v>
      </c>
      <c r="BA572" t="s">
        <v>185</v>
      </c>
      <c r="BB572" t="s">
        <v>78</v>
      </c>
      <c r="BC572" t="s">
        <v>78</v>
      </c>
      <c r="BD572" t="s">
        <v>3668</v>
      </c>
      <c r="BE572">
        <v>0</v>
      </c>
      <c r="BF572">
        <v>0</v>
      </c>
      <c r="BG572">
        <v>0</v>
      </c>
      <c r="BH572">
        <v>0</v>
      </c>
      <c r="BJ572" t="s">
        <v>85</v>
      </c>
      <c r="BP572" t="s">
        <v>78</v>
      </c>
      <c r="BQ572" t="s">
        <v>78</v>
      </c>
      <c r="BR572" t="s">
        <v>78</v>
      </c>
    </row>
    <row r="573" customFormat="1" spans="1:70">
      <c r="A573" t="s">
        <v>3749</v>
      </c>
      <c r="B573" t="s">
        <v>3749</v>
      </c>
      <c r="C573" t="s">
        <v>107</v>
      </c>
      <c r="D573" t="s">
        <v>108</v>
      </c>
      <c r="E573">
        <v>1</v>
      </c>
      <c r="F573" t="s">
        <v>109</v>
      </c>
      <c r="G573" t="s">
        <v>110</v>
      </c>
      <c r="H573">
        <v>289</v>
      </c>
      <c r="I573">
        <v>289</v>
      </c>
      <c r="J573">
        <v>0</v>
      </c>
      <c r="K573">
        <v>0</v>
      </c>
      <c r="L573" t="s">
        <v>78</v>
      </c>
      <c r="M573" t="s">
        <v>78</v>
      </c>
      <c r="N573" t="s">
        <v>78</v>
      </c>
      <c r="O573">
        <v>0</v>
      </c>
      <c r="P573">
        <v>0</v>
      </c>
      <c r="Q573">
        <v>0</v>
      </c>
      <c r="R573" t="s">
        <v>125</v>
      </c>
      <c r="S573">
        <v>0</v>
      </c>
      <c r="T573" t="s">
        <v>80</v>
      </c>
      <c r="U573" t="s">
        <v>80</v>
      </c>
      <c r="V573" t="s">
        <v>302</v>
      </c>
      <c r="W573" t="s">
        <v>412</v>
      </c>
      <c r="X573" t="s">
        <v>3750</v>
      </c>
      <c r="Y573" t="s">
        <v>3751</v>
      </c>
      <c r="Z573" t="s">
        <v>80</v>
      </c>
      <c r="AA573" t="s">
        <v>85</v>
      </c>
      <c r="AC573" t="s">
        <v>3737</v>
      </c>
      <c r="AD573" t="s">
        <v>362</v>
      </c>
      <c r="AE573" t="s">
        <v>3752</v>
      </c>
      <c r="AF573" t="s">
        <v>3665</v>
      </c>
      <c r="AG573" t="s">
        <v>3727</v>
      </c>
      <c r="AH573" t="s">
        <v>91</v>
      </c>
      <c r="AI573" t="s">
        <v>92</v>
      </c>
      <c r="AJ573" t="s">
        <v>93</v>
      </c>
      <c r="AK573" t="s">
        <v>3753</v>
      </c>
      <c r="AL573" t="s">
        <v>95</v>
      </c>
      <c r="AM573" t="s">
        <v>96</v>
      </c>
      <c r="AN573" t="s">
        <v>97</v>
      </c>
      <c r="AO573" t="s">
        <v>98</v>
      </c>
      <c r="AP573" t="s">
        <v>78</v>
      </c>
      <c r="AQ573" t="s">
        <v>428</v>
      </c>
      <c r="AS573" t="s">
        <v>78</v>
      </c>
      <c r="AT573" t="s">
        <v>100</v>
      </c>
      <c r="AU573" t="s">
        <v>100</v>
      </c>
      <c r="AW573" t="s">
        <v>85</v>
      </c>
      <c r="AX573" t="s">
        <v>101</v>
      </c>
      <c r="AY573" t="s">
        <v>102</v>
      </c>
      <c r="AZ573" t="s">
        <v>103</v>
      </c>
      <c r="BA573" t="s">
        <v>133</v>
      </c>
      <c r="BB573" t="s">
        <v>78</v>
      </c>
      <c r="BC573" t="s">
        <v>78</v>
      </c>
      <c r="BD573" t="s">
        <v>3668</v>
      </c>
      <c r="BE573">
        <v>0</v>
      </c>
      <c r="BF573">
        <v>0</v>
      </c>
      <c r="BG573">
        <v>0</v>
      </c>
      <c r="BH573">
        <v>0</v>
      </c>
      <c r="BJ573" t="s">
        <v>85</v>
      </c>
      <c r="BP573" t="s">
        <v>78</v>
      </c>
      <c r="BQ573" t="s">
        <v>78</v>
      </c>
      <c r="BR573" t="s">
        <v>78</v>
      </c>
    </row>
    <row r="574" customFormat="1" spans="1:70">
      <c r="A574" t="s">
        <v>3754</v>
      </c>
      <c r="B574" t="s">
        <v>3754</v>
      </c>
      <c r="C574" t="s">
        <v>107</v>
      </c>
      <c r="D574" t="s">
        <v>108</v>
      </c>
      <c r="E574">
        <v>1</v>
      </c>
      <c r="F574" t="s">
        <v>109</v>
      </c>
      <c r="G574" t="s">
        <v>110</v>
      </c>
      <c r="H574">
        <v>289</v>
      </c>
      <c r="I574">
        <v>289</v>
      </c>
      <c r="J574">
        <v>0</v>
      </c>
      <c r="K574">
        <v>0</v>
      </c>
      <c r="L574" t="s">
        <v>78</v>
      </c>
      <c r="M574" t="s">
        <v>78</v>
      </c>
      <c r="N574" t="s">
        <v>78</v>
      </c>
      <c r="O574">
        <v>0</v>
      </c>
      <c r="P574">
        <v>0</v>
      </c>
      <c r="Q574">
        <v>0</v>
      </c>
      <c r="R574" t="s">
        <v>111</v>
      </c>
      <c r="S574">
        <v>0</v>
      </c>
      <c r="T574" t="s">
        <v>80</v>
      </c>
      <c r="U574" t="s">
        <v>80</v>
      </c>
      <c r="V574" t="s">
        <v>161</v>
      </c>
      <c r="W574" t="s">
        <v>161</v>
      </c>
      <c r="X574" t="s">
        <v>162</v>
      </c>
      <c r="Y574" t="s">
        <v>700</v>
      </c>
      <c r="Z574" t="s">
        <v>80</v>
      </c>
      <c r="AA574" t="s">
        <v>85</v>
      </c>
      <c r="AC574" t="s">
        <v>3755</v>
      </c>
      <c r="AD574" t="s">
        <v>87</v>
      </c>
      <c r="AF574" t="s">
        <v>3756</v>
      </c>
      <c r="AG574" t="s">
        <v>3716</v>
      </c>
      <c r="AH574" t="s">
        <v>91</v>
      </c>
      <c r="AI574" t="s">
        <v>92</v>
      </c>
      <c r="AJ574" t="s">
        <v>93</v>
      </c>
      <c r="AK574" t="s">
        <v>3744</v>
      </c>
      <c r="AL574" t="s">
        <v>95</v>
      </c>
      <c r="AM574" t="s">
        <v>96</v>
      </c>
      <c r="AN574" t="s">
        <v>97</v>
      </c>
      <c r="AO574" t="s">
        <v>98</v>
      </c>
      <c r="AP574" t="s">
        <v>78</v>
      </c>
      <c r="AQ574" t="s">
        <v>78</v>
      </c>
      <c r="AS574" t="s">
        <v>78</v>
      </c>
      <c r="AT574" t="s">
        <v>100</v>
      </c>
      <c r="AU574" t="s">
        <v>100</v>
      </c>
      <c r="AW574" t="s">
        <v>85</v>
      </c>
      <c r="AX574" t="s">
        <v>103</v>
      </c>
      <c r="AY574" t="s">
        <v>159</v>
      </c>
      <c r="AZ574" t="s">
        <v>103</v>
      </c>
      <c r="BA574" t="s">
        <v>133</v>
      </c>
      <c r="BB574" t="s">
        <v>78</v>
      </c>
      <c r="BC574" t="s">
        <v>78</v>
      </c>
      <c r="BD574" t="s">
        <v>3720</v>
      </c>
      <c r="BE574">
        <v>0</v>
      </c>
      <c r="BF574">
        <v>0</v>
      </c>
      <c r="BG574">
        <v>0</v>
      </c>
      <c r="BH574">
        <v>0</v>
      </c>
      <c r="BJ574" t="s">
        <v>85</v>
      </c>
      <c r="BP574" t="s">
        <v>78</v>
      </c>
      <c r="BQ574" t="s">
        <v>78</v>
      </c>
      <c r="BR574" t="s">
        <v>78</v>
      </c>
    </row>
    <row r="575" customFormat="1" spans="1:70">
      <c r="A575" t="s">
        <v>3757</v>
      </c>
      <c r="B575" t="s">
        <v>3757</v>
      </c>
      <c r="C575" t="s">
        <v>107</v>
      </c>
      <c r="D575" t="s">
        <v>108</v>
      </c>
      <c r="E575">
        <v>1</v>
      </c>
      <c r="F575" t="s">
        <v>109</v>
      </c>
      <c r="G575" t="s">
        <v>110</v>
      </c>
      <c r="H575">
        <v>289</v>
      </c>
      <c r="I575">
        <v>289</v>
      </c>
      <c r="J575">
        <v>0</v>
      </c>
      <c r="K575">
        <v>0</v>
      </c>
      <c r="L575" t="s">
        <v>78</v>
      </c>
      <c r="M575" t="s">
        <v>78</v>
      </c>
      <c r="N575" t="s">
        <v>78</v>
      </c>
      <c r="O575">
        <v>0</v>
      </c>
      <c r="P575">
        <v>0</v>
      </c>
      <c r="Q575">
        <v>0</v>
      </c>
      <c r="R575" t="s">
        <v>125</v>
      </c>
      <c r="S575">
        <v>0</v>
      </c>
      <c r="T575" t="s">
        <v>80</v>
      </c>
      <c r="U575" t="s">
        <v>80</v>
      </c>
      <c r="V575" t="s">
        <v>271</v>
      </c>
      <c r="W575" t="s">
        <v>1506</v>
      </c>
      <c r="X575" t="s">
        <v>1507</v>
      </c>
      <c r="Y575" t="s">
        <v>3306</v>
      </c>
      <c r="Z575" t="s">
        <v>80</v>
      </c>
      <c r="AA575" t="s">
        <v>85</v>
      </c>
      <c r="AC575" t="s">
        <v>3755</v>
      </c>
      <c r="AD575" t="s">
        <v>87</v>
      </c>
      <c r="AF575" t="s">
        <v>3665</v>
      </c>
      <c r="AG575" t="s">
        <v>3758</v>
      </c>
      <c r="AH575" t="s">
        <v>227</v>
      </c>
      <c r="AI575" t="s">
        <v>92</v>
      </c>
      <c r="AJ575" t="s">
        <v>93</v>
      </c>
      <c r="AK575" t="s">
        <v>3759</v>
      </c>
      <c r="AL575" t="s">
        <v>95</v>
      </c>
      <c r="AM575" t="s">
        <v>96</v>
      </c>
      <c r="AN575" t="s">
        <v>97</v>
      </c>
      <c r="AO575" t="s">
        <v>98</v>
      </c>
      <c r="AP575" t="s">
        <v>78</v>
      </c>
      <c r="AQ575" t="s">
        <v>78</v>
      </c>
      <c r="AS575" t="s">
        <v>78</v>
      </c>
      <c r="AT575" t="s">
        <v>100</v>
      </c>
      <c r="AU575" t="s">
        <v>100</v>
      </c>
      <c r="AW575" t="s">
        <v>85</v>
      </c>
      <c r="AX575" t="s">
        <v>103</v>
      </c>
      <c r="AY575" t="s">
        <v>159</v>
      </c>
      <c r="AZ575" t="s">
        <v>103</v>
      </c>
      <c r="BA575" t="s">
        <v>104</v>
      </c>
      <c r="BB575" t="s">
        <v>78</v>
      </c>
      <c r="BC575" t="s">
        <v>78</v>
      </c>
      <c r="BD575" t="s">
        <v>3668</v>
      </c>
      <c r="BE575">
        <v>0</v>
      </c>
      <c r="BF575">
        <v>0</v>
      </c>
      <c r="BG575">
        <v>0</v>
      </c>
      <c r="BH575">
        <v>0</v>
      </c>
      <c r="BJ575" t="s">
        <v>85</v>
      </c>
      <c r="BP575" t="s">
        <v>78</v>
      </c>
      <c r="BQ575" t="s">
        <v>78</v>
      </c>
      <c r="BR575" t="s">
        <v>78</v>
      </c>
    </row>
    <row r="576" customFormat="1" spans="1:70">
      <c r="A576" t="s">
        <v>3760</v>
      </c>
      <c r="B576" t="s">
        <v>3760</v>
      </c>
      <c r="C576" t="s">
        <v>107</v>
      </c>
      <c r="D576" t="s">
        <v>135</v>
      </c>
      <c r="E576">
        <v>1</v>
      </c>
      <c r="F576" t="s">
        <v>109</v>
      </c>
      <c r="G576" t="s">
        <v>136</v>
      </c>
      <c r="H576">
        <v>289</v>
      </c>
      <c r="I576">
        <v>289</v>
      </c>
      <c r="J576">
        <v>0</v>
      </c>
      <c r="K576">
        <v>0</v>
      </c>
      <c r="L576" t="s">
        <v>78</v>
      </c>
      <c r="M576" t="s">
        <v>78</v>
      </c>
      <c r="N576" t="s">
        <v>78</v>
      </c>
      <c r="O576">
        <v>0</v>
      </c>
      <c r="P576">
        <v>0</v>
      </c>
      <c r="Q576">
        <v>0</v>
      </c>
      <c r="R576" t="s">
        <v>79</v>
      </c>
      <c r="S576">
        <v>0</v>
      </c>
      <c r="T576" t="s">
        <v>80</v>
      </c>
      <c r="U576" t="s">
        <v>80</v>
      </c>
      <c r="V576" t="s">
        <v>271</v>
      </c>
      <c r="W576" t="s">
        <v>404</v>
      </c>
      <c r="X576" t="s">
        <v>3761</v>
      </c>
      <c r="Y576" t="s">
        <v>3762</v>
      </c>
      <c r="Z576" t="s">
        <v>80</v>
      </c>
      <c r="AA576" t="s">
        <v>85</v>
      </c>
      <c r="AC576" t="s">
        <v>3763</v>
      </c>
      <c r="AD576" t="s">
        <v>87</v>
      </c>
      <c r="AF576" t="s">
        <v>3756</v>
      </c>
      <c r="AG576" t="s">
        <v>3737</v>
      </c>
      <c r="AH576" t="s">
        <v>227</v>
      </c>
      <c r="AI576" t="s">
        <v>92</v>
      </c>
      <c r="AJ576" t="s">
        <v>93</v>
      </c>
      <c r="AK576" t="s">
        <v>3764</v>
      </c>
      <c r="AL576" t="s">
        <v>95</v>
      </c>
      <c r="AM576" t="s">
        <v>96</v>
      </c>
      <c r="AN576" t="s">
        <v>97</v>
      </c>
      <c r="AO576" t="s">
        <v>98</v>
      </c>
      <c r="AP576" t="s">
        <v>78</v>
      </c>
      <c r="AQ576" t="s">
        <v>78</v>
      </c>
      <c r="AS576" t="s">
        <v>78</v>
      </c>
      <c r="AT576" t="s">
        <v>100</v>
      </c>
      <c r="AU576" t="s">
        <v>100</v>
      </c>
      <c r="AW576" t="s">
        <v>85</v>
      </c>
      <c r="AX576" t="s">
        <v>103</v>
      </c>
      <c r="AY576" t="s">
        <v>159</v>
      </c>
      <c r="AZ576" t="s">
        <v>103</v>
      </c>
      <c r="BA576" t="s">
        <v>133</v>
      </c>
      <c r="BB576" t="s">
        <v>78</v>
      </c>
      <c r="BC576" t="s">
        <v>78</v>
      </c>
      <c r="BD576" t="s">
        <v>3720</v>
      </c>
      <c r="BE576">
        <v>0</v>
      </c>
      <c r="BF576">
        <v>0</v>
      </c>
      <c r="BG576">
        <v>0</v>
      </c>
      <c r="BH576">
        <v>0</v>
      </c>
      <c r="BJ576" t="s">
        <v>85</v>
      </c>
      <c r="BP576" t="s">
        <v>78</v>
      </c>
      <c r="BQ576" t="s">
        <v>78</v>
      </c>
      <c r="BR576" t="s">
        <v>78</v>
      </c>
    </row>
    <row r="577" customFormat="1" spans="1:70">
      <c r="A577" t="s">
        <v>3765</v>
      </c>
      <c r="B577" t="s">
        <v>3765</v>
      </c>
      <c r="C577" t="s">
        <v>107</v>
      </c>
      <c r="D577" t="s">
        <v>108</v>
      </c>
      <c r="E577">
        <v>1</v>
      </c>
      <c r="F577" t="s">
        <v>109</v>
      </c>
      <c r="G577" t="s">
        <v>110</v>
      </c>
      <c r="H577">
        <v>289</v>
      </c>
      <c r="I577">
        <v>289</v>
      </c>
      <c r="J577">
        <v>0</v>
      </c>
      <c r="K577">
        <v>0</v>
      </c>
      <c r="L577" t="s">
        <v>78</v>
      </c>
      <c r="M577" t="s">
        <v>78</v>
      </c>
      <c r="N577" t="s">
        <v>78</v>
      </c>
      <c r="O577">
        <v>0</v>
      </c>
      <c r="P577">
        <v>0</v>
      </c>
      <c r="Q577">
        <v>0</v>
      </c>
      <c r="R577" t="s">
        <v>125</v>
      </c>
      <c r="S577">
        <v>0</v>
      </c>
      <c r="T577" t="s">
        <v>80</v>
      </c>
      <c r="U577" t="s">
        <v>80</v>
      </c>
      <c r="V577" t="s">
        <v>302</v>
      </c>
      <c r="W577" t="s">
        <v>1394</v>
      </c>
      <c r="X577" t="s">
        <v>2865</v>
      </c>
      <c r="Y577" t="s">
        <v>3766</v>
      </c>
      <c r="Z577" t="s">
        <v>80</v>
      </c>
      <c r="AA577" t="s">
        <v>85</v>
      </c>
      <c r="AC577" t="s">
        <v>3767</v>
      </c>
      <c r="AD577" t="s">
        <v>87</v>
      </c>
      <c r="AF577" t="s">
        <v>3665</v>
      </c>
      <c r="AG577" t="s">
        <v>3763</v>
      </c>
      <c r="AH577" t="s">
        <v>91</v>
      </c>
      <c r="AI577" t="s">
        <v>92</v>
      </c>
      <c r="AJ577" t="s">
        <v>93</v>
      </c>
      <c r="AK577" t="s">
        <v>3768</v>
      </c>
      <c r="AL577" t="s">
        <v>95</v>
      </c>
      <c r="AM577" t="s">
        <v>96</v>
      </c>
      <c r="AN577" t="s">
        <v>97</v>
      </c>
      <c r="AO577" t="s">
        <v>98</v>
      </c>
      <c r="AP577" t="s">
        <v>78</v>
      </c>
      <c r="AQ577" t="s">
        <v>78</v>
      </c>
      <c r="AS577" t="s">
        <v>78</v>
      </c>
      <c r="AT577" t="s">
        <v>100</v>
      </c>
      <c r="AU577" t="s">
        <v>100</v>
      </c>
      <c r="AW577" t="s">
        <v>85</v>
      </c>
      <c r="AX577" t="s">
        <v>101</v>
      </c>
      <c r="AY577" t="s">
        <v>102</v>
      </c>
      <c r="AZ577" t="s">
        <v>103</v>
      </c>
      <c r="BA577" t="s">
        <v>218</v>
      </c>
      <c r="BB577" t="s">
        <v>78</v>
      </c>
      <c r="BC577" t="s">
        <v>78</v>
      </c>
      <c r="BD577" t="s">
        <v>3668</v>
      </c>
      <c r="BE577">
        <v>0</v>
      </c>
      <c r="BF577">
        <v>0</v>
      </c>
      <c r="BG577">
        <v>0</v>
      </c>
      <c r="BH577">
        <v>0</v>
      </c>
      <c r="BJ577" t="s">
        <v>85</v>
      </c>
      <c r="BP577" t="s">
        <v>78</v>
      </c>
      <c r="BQ577" t="s">
        <v>78</v>
      </c>
      <c r="BR577" t="s">
        <v>78</v>
      </c>
    </row>
    <row r="578" customFormat="1" spans="1:70">
      <c r="A578" t="s">
        <v>3769</v>
      </c>
      <c r="B578" t="s">
        <v>3769</v>
      </c>
      <c r="C578" t="s">
        <v>107</v>
      </c>
      <c r="D578" t="s">
        <v>108</v>
      </c>
      <c r="E578">
        <v>1</v>
      </c>
      <c r="F578" t="s">
        <v>109</v>
      </c>
      <c r="G578" t="s">
        <v>110</v>
      </c>
      <c r="H578">
        <v>289</v>
      </c>
      <c r="I578">
        <v>289</v>
      </c>
      <c r="J578">
        <v>0</v>
      </c>
      <c r="K578">
        <v>0</v>
      </c>
      <c r="L578" t="s">
        <v>78</v>
      </c>
      <c r="M578" t="s">
        <v>78</v>
      </c>
      <c r="N578" t="s">
        <v>78</v>
      </c>
      <c r="O578">
        <v>0</v>
      </c>
      <c r="P578">
        <v>0</v>
      </c>
      <c r="Q578">
        <v>0</v>
      </c>
      <c r="R578" t="s">
        <v>125</v>
      </c>
      <c r="S578">
        <v>0</v>
      </c>
      <c r="T578" t="s">
        <v>80</v>
      </c>
      <c r="U578" t="s">
        <v>80</v>
      </c>
      <c r="V578" t="s">
        <v>302</v>
      </c>
      <c r="W578" t="s">
        <v>412</v>
      </c>
      <c r="X578" t="s">
        <v>2827</v>
      </c>
      <c r="Y578" t="s">
        <v>3770</v>
      </c>
      <c r="Z578" t="s">
        <v>80</v>
      </c>
      <c r="AA578" t="s">
        <v>85</v>
      </c>
      <c r="AC578" t="s">
        <v>3771</v>
      </c>
      <c r="AD578" t="s">
        <v>202</v>
      </c>
      <c r="AE578" t="s">
        <v>3772</v>
      </c>
      <c r="AG578" t="s">
        <v>3763</v>
      </c>
      <c r="AH578" t="s">
        <v>91</v>
      </c>
      <c r="AI578" t="s">
        <v>92</v>
      </c>
      <c r="AJ578" t="s">
        <v>131</v>
      </c>
      <c r="AK578" t="s">
        <v>3773</v>
      </c>
      <c r="AL578" t="s">
        <v>95</v>
      </c>
      <c r="AM578" t="s">
        <v>96</v>
      </c>
      <c r="AN578" t="s">
        <v>97</v>
      </c>
      <c r="AO578" t="s">
        <v>98</v>
      </c>
      <c r="AP578" t="s">
        <v>78</v>
      </c>
      <c r="AQ578" t="s">
        <v>99</v>
      </c>
      <c r="AS578" t="s">
        <v>78</v>
      </c>
      <c r="AT578" t="s">
        <v>100</v>
      </c>
      <c r="AU578" t="s">
        <v>100</v>
      </c>
      <c r="AW578" t="s">
        <v>85</v>
      </c>
      <c r="AX578" t="s">
        <v>103</v>
      </c>
      <c r="AY578" t="s">
        <v>159</v>
      </c>
      <c r="AZ578" t="s">
        <v>103</v>
      </c>
      <c r="BA578" t="s">
        <v>104</v>
      </c>
      <c r="BB578" t="s">
        <v>78</v>
      </c>
      <c r="BC578" t="s">
        <v>78</v>
      </c>
      <c r="BD578" t="s">
        <v>3668</v>
      </c>
      <c r="BE578">
        <v>0</v>
      </c>
      <c r="BF578">
        <v>0</v>
      </c>
      <c r="BG578">
        <v>0</v>
      </c>
      <c r="BH578">
        <v>0</v>
      </c>
      <c r="BJ578" t="s">
        <v>85</v>
      </c>
      <c r="BP578" t="s">
        <v>78</v>
      </c>
      <c r="BQ578" t="s">
        <v>78</v>
      </c>
      <c r="BR578" t="s">
        <v>78</v>
      </c>
    </row>
    <row r="579" customFormat="1" spans="1:70">
      <c r="A579" t="s">
        <v>3774</v>
      </c>
      <c r="B579" t="s">
        <v>3774</v>
      </c>
      <c r="C579" t="s">
        <v>107</v>
      </c>
      <c r="D579" t="s">
        <v>123</v>
      </c>
      <c r="E579">
        <v>1</v>
      </c>
      <c r="F579" t="s">
        <v>109</v>
      </c>
      <c r="G579" t="s">
        <v>124</v>
      </c>
      <c r="H579">
        <v>289</v>
      </c>
      <c r="I579">
        <v>289</v>
      </c>
      <c r="J579">
        <v>0</v>
      </c>
      <c r="K579">
        <v>0</v>
      </c>
      <c r="L579" t="s">
        <v>78</v>
      </c>
      <c r="M579" t="s">
        <v>78</v>
      </c>
      <c r="N579" t="s">
        <v>78</v>
      </c>
      <c r="O579">
        <v>0</v>
      </c>
      <c r="P579">
        <v>0</v>
      </c>
      <c r="Q579">
        <v>0</v>
      </c>
      <c r="R579" t="s">
        <v>125</v>
      </c>
      <c r="S579">
        <v>0</v>
      </c>
      <c r="T579" t="s">
        <v>80</v>
      </c>
      <c r="U579" t="s">
        <v>80</v>
      </c>
      <c r="V579" t="s">
        <v>1261</v>
      </c>
      <c r="W579" t="s">
        <v>1996</v>
      </c>
      <c r="X579" t="s">
        <v>3775</v>
      </c>
      <c r="Y579" t="s">
        <v>3776</v>
      </c>
      <c r="Z579" t="s">
        <v>80</v>
      </c>
      <c r="AA579" t="s">
        <v>85</v>
      </c>
      <c r="AC579" t="s">
        <v>3771</v>
      </c>
      <c r="AD579" t="s">
        <v>87</v>
      </c>
      <c r="AF579" t="s">
        <v>3756</v>
      </c>
      <c r="AG579" t="s">
        <v>3737</v>
      </c>
      <c r="AH579" t="s">
        <v>91</v>
      </c>
      <c r="AI579" t="s">
        <v>92</v>
      </c>
      <c r="AJ579" t="s">
        <v>93</v>
      </c>
      <c r="AK579" t="s">
        <v>3764</v>
      </c>
      <c r="AL579" t="s">
        <v>95</v>
      </c>
      <c r="AM579" t="s">
        <v>96</v>
      </c>
      <c r="AN579" t="s">
        <v>97</v>
      </c>
      <c r="AO579" t="s">
        <v>98</v>
      </c>
      <c r="AP579" t="s">
        <v>78</v>
      </c>
      <c r="AQ579" t="s">
        <v>78</v>
      </c>
      <c r="AS579" t="s">
        <v>78</v>
      </c>
      <c r="AT579" t="s">
        <v>100</v>
      </c>
      <c r="AU579" t="s">
        <v>100</v>
      </c>
      <c r="AW579" t="s">
        <v>85</v>
      </c>
      <c r="AX579" t="s">
        <v>101</v>
      </c>
      <c r="AY579" t="s">
        <v>102</v>
      </c>
      <c r="AZ579" t="s">
        <v>103</v>
      </c>
      <c r="BA579" t="s">
        <v>104</v>
      </c>
      <c r="BB579" t="s">
        <v>78</v>
      </c>
      <c r="BC579" t="s">
        <v>78</v>
      </c>
      <c r="BD579" t="s">
        <v>3720</v>
      </c>
      <c r="BE579">
        <v>0</v>
      </c>
      <c r="BF579">
        <v>0</v>
      </c>
      <c r="BG579">
        <v>0</v>
      </c>
      <c r="BH579">
        <v>0</v>
      </c>
      <c r="BJ579" t="s">
        <v>85</v>
      </c>
      <c r="BP579" t="s">
        <v>78</v>
      </c>
      <c r="BQ579" t="s">
        <v>78</v>
      </c>
      <c r="BR579" t="s">
        <v>78</v>
      </c>
    </row>
    <row r="580" customFormat="1" spans="1:70">
      <c r="A580" t="s">
        <v>3777</v>
      </c>
      <c r="B580" t="s">
        <v>3777</v>
      </c>
      <c r="C580" t="s">
        <v>107</v>
      </c>
      <c r="D580" t="s">
        <v>135</v>
      </c>
      <c r="E580">
        <v>1</v>
      </c>
      <c r="F580" t="s">
        <v>109</v>
      </c>
      <c r="G580" t="s">
        <v>136</v>
      </c>
      <c r="H580">
        <v>289</v>
      </c>
      <c r="I580">
        <v>289</v>
      </c>
      <c r="J580">
        <v>0</v>
      </c>
      <c r="K580">
        <v>0</v>
      </c>
      <c r="L580" t="s">
        <v>78</v>
      </c>
      <c r="M580" t="s">
        <v>78</v>
      </c>
      <c r="N580" t="s">
        <v>78</v>
      </c>
      <c r="O580">
        <v>0</v>
      </c>
      <c r="P580">
        <v>0</v>
      </c>
      <c r="Q580">
        <v>0</v>
      </c>
      <c r="R580" t="s">
        <v>79</v>
      </c>
      <c r="S580">
        <v>0</v>
      </c>
      <c r="T580" t="s">
        <v>80</v>
      </c>
      <c r="U580" t="s">
        <v>80</v>
      </c>
      <c r="V580" t="s">
        <v>178</v>
      </c>
      <c r="W580" t="s">
        <v>178</v>
      </c>
      <c r="X580" t="s">
        <v>293</v>
      </c>
      <c r="Y580" t="s">
        <v>294</v>
      </c>
      <c r="Z580" t="s">
        <v>80</v>
      </c>
      <c r="AA580" t="s">
        <v>85</v>
      </c>
      <c r="AC580" t="s">
        <v>3778</v>
      </c>
      <c r="AD580" t="s">
        <v>202</v>
      </c>
      <c r="AE580" t="s">
        <v>3779</v>
      </c>
      <c r="AG580" t="s">
        <v>3767</v>
      </c>
      <c r="AH580" t="s">
        <v>298</v>
      </c>
      <c r="AI580" t="s">
        <v>92</v>
      </c>
      <c r="AJ580" t="s">
        <v>131</v>
      </c>
      <c r="AK580" t="s">
        <v>3780</v>
      </c>
      <c r="AL580" t="s">
        <v>95</v>
      </c>
      <c r="AM580" t="s">
        <v>96</v>
      </c>
      <c r="AN580" t="s">
        <v>97</v>
      </c>
      <c r="AO580" t="s">
        <v>98</v>
      </c>
      <c r="AP580" t="s">
        <v>78</v>
      </c>
      <c r="AQ580" t="s">
        <v>99</v>
      </c>
      <c r="AS580" t="s">
        <v>78</v>
      </c>
      <c r="AT580" t="s">
        <v>100</v>
      </c>
      <c r="AU580" t="s">
        <v>100</v>
      </c>
      <c r="AW580" t="s">
        <v>85</v>
      </c>
      <c r="AX580" t="s">
        <v>101</v>
      </c>
      <c r="AY580" t="s">
        <v>102</v>
      </c>
      <c r="AZ580" t="s">
        <v>103</v>
      </c>
      <c r="BA580" t="s">
        <v>245</v>
      </c>
      <c r="BB580" t="s">
        <v>78</v>
      </c>
      <c r="BC580" t="s">
        <v>78</v>
      </c>
      <c r="BD580" t="s">
        <v>3668</v>
      </c>
      <c r="BE580">
        <v>0</v>
      </c>
      <c r="BF580">
        <v>0</v>
      </c>
      <c r="BG580">
        <v>0</v>
      </c>
      <c r="BH580">
        <v>0</v>
      </c>
      <c r="BJ580" t="s">
        <v>85</v>
      </c>
      <c r="BP580" t="s">
        <v>78</v>
      </c>
      <c r="BQ580" t="s">
        <v>78</v>
      </c>
      <c r="BR580" t="s">
        <v>78</v>
      </c>
    </row>
    <row r="581" customFormat="1" spans="1:70">
      <c r="A581" t="s">
        <v>3781</v>
      </c>
      <c r="B581" t="s">
        <v>3781</v>
      </c>
      <c r="C581" t="s">
        <v>107</v>
      </c>
      <c r="D581" t="s">
        <v>108</v>
      </c>
      <c r="E581">
        <v>1</v>
      </c>
      <c r="F581" t="s">
        <v>109</v>
      </c>
      <c r="G581" t="s">
        <v>110</v>
      </c>
      <c r="H581">
        <v>289</v>
      </c>
      <c r="I581">
        <v>289</v>
      </c>
      <c r="J581">
        <v>0</v>
      </c>
      <c r="K581">
        <v>0</v>
      </c>
      <c r="L581" t="s">
        <v>78</v>
      </c>
      <c r="M581" t="s">
        <v>78</v>
      </c>
      <c r="N581" t="s">
        <v>78</v>
      </c>
      <c r="O581">
        <v>0</v>
      </c>
      <c r="P581">
        <v>0</v>
      </c>
      <c r="Q581">
        <v>0</v>
      </c>
      <c r="R581" t="s">
        <v>125</v>
      </c>
      <c r="S581">
        <v>0</v>
      </c>
      <c r="T581" t="s">
        <v>80</v>
      </c>
      <c r="U581" t="s">
        <v>80</v>
      </c>
      <c r="V581" t="s">
        <v>271</v>
      </c>
      <c r="W581" t="s">
        <v>939</v>
      </c>
      <c r="X581" t="s">
        <v>3782</v>
      </c>
      <c r="Y581" t="s">
        <v>3783</v>
      </c>
      <c r="Z581" t="s">
        <v>80</v>
      </c>
      <c r="AA581" t="s">
        <v>85</v>
      </c>
      <c r="AC581" t="s">
        <v>3778</v>
      </c>
      <c r="AD581" t="s">
        <v>202</v>
      </c>
      <c r="AE581" t="s">
        <v>3784</v>
      </c>
      <c r="AG581" t="s">
        <v>3722</v>
      </c>
      <c r="AH581" t="s">
        <v>91</v>
      </c>
      <c r="AI581" t="s">
        <v>92</v>
      </c>
      <c r="AJ581" t="s">
        <v>131</v>
      </c>
      <c r="AK581" t="s">
        <v>3785</v>
      </c>
      <c r="AL581" t="s">
        <v>95</v>
      </c>
      <c r="AM581" t="s">
        <v>96</v>
      </c>
      <c r="AN581" t="s">
        <v>97</v>
      </c>
      <c r="AO581" t="s">
        <v>98</v>
      </c>
      <c r="AP581" t="s">
        <v>78</v>
      </c>
      <c r="AQ581" t="s">
        <v>99</v>
      </c>
      <c r="AS581" t="s">
        <v>78</v>
      </c>
      <c r="AT581" t="s">
        <v>100</v>
      </c>
      <c r="AU581" t="s">
        <v>100</v>
      </c>
      <c r="AW581" t="s">
        <v>85</v>
      </c>
      <c r="AX581" t="s">
        <v>101</v>
      </c>
      <c r="AY581" t="s">
        <v>102</v>
      </c>
      <c r="AZ581" t="s">
        <v>103</v>
      </c>
      <c r="BA581" t="s">
        <v>133</v>
      </c>
      <c r="BB581" t="s">
        <v>78</v>
      </c>
      <c r="BC581" t="s">
        <v>78</v>
      </c>
      <c r="BD581" t="s">
        <v>3668</v>
      </c>
      <c r="BE581">
        <v>0</v>
      </c>
      <c r="BF581">
        <v>0</v>
      </c>
      <c r="BG581">
        <v>0</v>
      </c>
      <c r="BH581">
        <v>0</v>
      </c>
      <c r="BJ581" t="s">
        <v>85</v>
      </c>
      <c r="BP581" t="s">
        <v>78</v>
      </c>
      <c r="BQ581" t="s">
        <v>78</v>
      </c>
      <c r="BR581" t="s">
        <v>78</v>
      </c>
    </row>
    <row r="582" customFormat="1" spans="1:70">
      <c r="A582" t="s">
        <v>3786</v>
      </c>
      <c r="B582" t="s">
        <v>3786</v>
      </c>
      <c r="C582" t="s">
        <v>107</v>
      </c>
      <c r="D582" t="s">
        <v>123</v>
      </c>
      <c r="E582">
        <v>1</v>
      </c>
      <c r="F582" t="s">
        <v>109</v>
      </c>
      <c r="G582" t="s">
        <v>124</v>
      </c>
      <c r="H582">
        <v>289</v>
      </c>
      <c r="I582">
        <v>289</v>
      </c>
      <c r="J582">
        <v>0</v>
      </c>
      <c r="K582">
        <v>0</v>
      </c>
      <c r="L582" t="s">
        <v>78</v>
      </c>
      <c r="M582" t="s">
        <v>78</v>
      </c>
      <c r="N582" t="s">
        <v>78</v>
      </c>
      <c r="O582">
        <v>0</v>
      </c>
      <c r="P582">
        <v>0</v>
      </c>
      <c r="Q582">
        <v>0</v>
      </c>
      <c r="R582" t="s">
        <v>79</v>
      </c>
      <c r="S582">
        <v>0</v>
      </c>
      <c r="T582" t="s">
        <v>80</v>
      </c>
      <c r="U582" t="s">
        <v>80</v>
      </c>
      <c r="V582" t="s">
        <v>464</v>
      </c>
      <c r="W582" t="s">
        <v>1460</v>
      </c>
      <c r="X582" t="s">
        <v>2167</v>
      </c>
      <c r="Y582" t="s">
        <v>2168</v>
      </c>
      <c r="Z582" t="s">
        <v>80</v>
      </c>
      <c r="AA582" t="s">
        <v>85</v>
      </c>
      <c r="AC582" t="s">
        <v>3787</v>
      </c>
      <c r="AD582" t="s">
        <v>202</v>
      </c>
      <c r="AE582" t="s">
        <v>3788</v>
      </c>
      <c r="AF582" t="s">
        <v>3789</v>
      </c>
      <c r="AG582" t="s">
        <v>3778</v>
      </c>
      <c r="AH582" t="s">
        <v>227</v>
      </c>
      <c r="AI582" t="s">
        <v>92</v>
      </c>
      <c r="AJ582" t="s">
        <v>93</v>
      </c>
      <c r="AK582" t="s">
        <v>3790</v>
      </c>
      <c r="AL582" t="s">
        <v>95</v>
      </c>
      <c r="AM582" t="s">
        <v>96</v>
      </c>
      <c r="AN582" t="s">
        <v>97</v>
      </c>
      <c r="AO582" t="s">
        <v>98</v>
      </c>
      <c r="AP582" t="s">
        <v>78</v>
      </c>
      <c r="AQ582" t="s">
        <v>99</v>
      </c>
      <c r="AS582" t="s">
        <v>78</v>
      </c>
      <c r="AT582" t="s">
        <v>100</v>
      </c>
      <c r="AU582" t="s">
        <v>100</v>
      </c>
      <c r="AW582" t="s">
        <v>85</v>
      </c>
      <c r="AX582" t="s">
        <v>103</v>
      </c>
      <c r="AY582" t="s">
        <v>159</v>
      </c>
      <c r="AZ582" t="s">
        <v>103</v>
      </c>
      <c r="BA582" t="s">
        <v>104</v>
      </c>
      <c r="BB582" t="s">
        <v>78</v>
      </c>
      <c r="BC582" t="s">
        <v>78</v>
      </c>
      <c r="BD582" t="s">
        <v>3668</v>
      </c>
      <c r="BE582">
        <v>0</v>
      </c>
      <c r="BF582">
        <v>0</v>
      </c>
      <c r="BG582">
        <v>0</v>
      </c>
      <c r="BH582">
        <v>0</v>
      </c>
      <c r="BJ582" t="s">
        <v>85</v>
      </c>
      <c r="BP582" t="s">
        <v>78</v>
      </c>
      <c r="BQ582" t="s">
        <v>78</v>
      </c>
      <c r="BR582" t="s">
        <v>78</v>
      </c>
    </row>
    <row r="583" customFormat="1" spans="1:70">
      <c r="A583" t="s">
        <v>3791</v>
      </c>
      <c r="B583" t="s">
        <v>3791</v>
      </c>
      <c r="C583" t="s">
        <v>107</v>
      </c>
      <c r="D583" t="s">
        <v>108</v>
      </c>
      <c r="E583">
        <v>1</v>
      </c>
      <c r="F583" t="s">
        <v>109</v>
      </c>
      <c r="G583" t="s">
        <v>110</v>
      </c>
      <c r="H583">
        <v>289</v>
      </c>
      <c r="I583">
        <v>289</v>
      </c>
      <c r="J583">
        <v>0</v>
      </c>
      <c r="K583">
        <v>0</v>
      </c>
      <c r="L583" t="s">
        <v>78</v>
      </c>
      <c r="M583" t="s">
        <v>78</v>
      </c>
      <c r="N583" t="s">
        <v>78</v>
      </c>
      <c r="O583">
        <v>0</v>
      </c>
      <c r="P583">
        <v>0</v>
      </c>
      <c r="Q583">
        <v>0</v>
      </c>
      <c r="R583" t="s">
        <v>79</v>
      </c>
      <c r="S583">
        <v>0</v>
      </c>
      <c r="T583" t="s">
        <v>80</v>
      </c>
      <c r="U583" t="s">
        <v>80</v>
      </c>
      <c r="V583" t="s">
        <v>138</v>
      </c>
      <c r="W583" t="s">
        <v>3792</v>
      </c>
      <c r="X583" t="s">
        <v>3793</v>
      </c>
      <c r="Y583" t="s">
        <v>1575</v>
      </c>
      <c r="Z583" t="s">
        <v>80</v>
      </c>
      <c r="AA583" t="s">
        <v>85</v>
      </c>
      <c r="AC583" t="s">
        <v>3787</v>
      </c>
      <c r="AD583" t="s">
        <v>202</v>
      </c>
      <c r="AE583" t="s">
        <v>3794</v>
      </c>
      <c r="AF583" t="s">
        <v>3795</v>
      </c>
      <c r="AG583" t="s">
        <v>3771</v>
      </c>
      <c r="AH583" t="s">
        <v>91</v>
      </c>
      <c r="AI583" t="s">
        <v>92</v>
      </c>
      <c r="AJ583" t="s">
        <v>93</v>
      </c>
      <c r="AK583" t="s">
        <v>3796</v>
      </c>
      <c r="AL583" t="s">
        <v>95</v>
      </c>
      <c r="AM583" t="s">
        <v>96</v>
      </c>
      <c r="AN583" t="s">
        <v>97</v>
      </c>
      <c r="AO583" t="s">
        <v>98</v>
      </c>
      <c r="AP583" t="s">
        <v>78</v>
      </c>
      <c r="AQ583" t="s">
        <v>99</v>
      </c>
      <c r="AS583" t="s">
        <v>78</v>
      </c>
      <c r="AT583" t="s">
        <v>100</v>
      </c>
      <c r="AU583" t="s">
        <v>100</v>
      </c>
      <c r="AW583" t="s">
        <v>85</v>
      </c>
      <c r="AX583" t="s">
        <v>101</v>
      </c>
      <c r="AY583" t="s">
        <v>102</v>
      </c>
      <c r="AZ583" t="s">
        <v>103</v>
      </c>
      <c r="BA583" t="s">
        <v>133</v>
      </c>
      <c r="BB583" t="s">
        <v>78</v>
      </c>
      <c r="BC583" t="s">
        <v>78</v>
      </c>
      <c r="BD583" t="s">
        <v>3668</v>
      </c>
      <c r="BE583">
        <v>0</v>
      </c>
      <c r="BF583">
        <v>0</v>
      </c>
      <c r="BG583">
        <v>0</v>
      </c>
      <c r="BH583">
        <v>0</v>
      </c>
      <c r="BJ583" t="s">
        <v>85</v>
      </c>
      <c r="BP583" t="s">
        <v>78</v>
      </c>
      <c r="BQ583" t="s">
        <v>78</v>
      </c>
      <c r="BR583" t="s">
        <v>78</v>
      </c>
    </row>
    <row r="584" customFormat="1" spans="1:70">
      <c r="A584" t="s">
        <v>3797</v>
      </c>
      <c r="B584" t="s">
        <v>3797</v>
      </c>
      <c r="C584" t="s">
        <v>107</v>
      </c>
      <c r="D584" t="s">
        <v>135</v>
      </c>
      <c r="E584">
        <v>1</v>
      </c>
      <c r="F584" t="s">
        <v>109</v>
      </c>
      <c r="G584" t="s">
        <v>136</v>
      </c>
      <c r="H584">
        <v>289</v>
      </c>
      <c r="I584">
        <v>289</v>
      </c>
      <c r="J584">
        <v>0</v>
      </c>
      <c r="K584">
        <v>0</v>
      </c>
      <c r="L584" t="s">
        <v>78</v>
      </c>
      <c r="M584" t="s">
        <v>78</v>
      </c>
      <c r="N584" t="s">
        <v>78</v>
      </c>
      <c r="O584">
        <v>0</v>
      </c>
      <c r="P584">
        <v>0</v>
      </c>
      <c r="Q584">
        <v>0</v>
      </c>
      <c r="R584" t="s">
        <v>125</v>
      </c>
      <c r="S584">
        <v>0</v>
      </c>
      <c r="T584" t="s">
        <v>80</v>
      </c>
      <c r="U584" t="s">
        <v>80</v>
      </c>
      <c r="V584" t="s">
        <v>161</v>
      </c>
      <c r="W584" t="s">
        <v>161</v>
      </c>
      <c r="X584" t="s">
        <v>822</v>
      </c>
      <c r="Y584" t="s">
        <v>3798</v>
      </c>
      <c r="Z584" t="s">
        <v>80</v>
      </c>
      <c r="AA584" t="s">
        <v>85</v>
      </c>
      <c r="AC584" t="s">
        <v>3799</v>
      </c>
      <c r="AD584" t="s">
        <v>87</v>
      </c>
      <c r="AF584" t="s">
        <v>3800</v>
      </c>
      <c r="AG584" t="s">
        <v>3787</v>
      </c>
      <c r="AH584" t="s">
        <v>91</v>
      </c>
      <c r="AI584" t="s">
        <v>92</v>
      </c>
      <c r="AJ584" t="s">
        <v>93</v>
      </c>
      <c r="AK584" t="s">
        <v>3801</v>
      </c>
      <c r="AL584" t="s">
        <v>95</v>
      </c>
      <c r="AM584" t="s">
        <v>96</v>
      </c>
      <c r="AN584" t="s">
        <v>97</v>
      </c>
      <c r="AO584" t="s">
        <v>98</v>
      </c>
      <c r="AP584" t="s">
        <v>78</v>
      </c>
      <c r="AQ584" t="s">
        <v>78</v>
      </c>
      <c r="AS584" t="s">
        <v>78</v>
      </c>
      <c r="AT584" t="s">
        <v>100</v>
      </c>
      <c r="AU584" t="s">
        <v>100</v>
      </c>
      <c r="AW584" t="s">
        <v>85</v>
      </c>
      <c r="AX584" t="s">
        <v>101</v>
      </c>
      <c r="AY584" t="s">
        <v>102</v>
      </c>
      <c r="AZ584" t="s">
        <v>103</v>
      </c>
      <c r="BA584" t="s">
        <v>104</v>
      </c>
      <c r="BB584" t="s">
        <v>78</v>
      </c>
      <c r="BC584" t="s">
        <v>78</v>
      </c>
      <c r="BD584" t="s">
        <v>3668</v>
      </c>
      <c r="BE584">
        <v>0</v>
      </c>
      <c r="BF584">
        <v>0</v>
      </c>
      <c r="BG584">
        <v>0</v>
      </c>
      <c r="BH584">
        <v>0</v>
      </c>
      <c r="BJ584" t="s">
        <v>85</v>
      </c>
      <c r="BP584" t="s">
        <v>78</v>
      </c>
      <c r="BQ584" t="s">
        <v>78</v>
      </c>
      <c r="BR584" t="s">
        <v>78</v>
      </c>
    </row>
    <row r="585" customFormat="1" spans="1:70">
      <c r="A585" t="s">
        <v>3802</v>
      </c>
      <c r="B585" t="s">
        <v>3802</v>
      </c>
      <c r="C585" t="s">
        <v>1050</v>
      </c>
      <c r="D585" t="s">
        <v>2255</v>
      </c>
      <c r="E585">
        <v>1</v>
      </c>
      <c r="F585" t="s">
        <v>1052</v>
      </c>
      <c r="G585" t="s">
        <v>2256</v>
      </c>
      <c r="H585">
        <v>129</v>
      </c>
      <c r="I585">
        <v>129</v>
      </c>
      <c r="J585">
        <v>0</v>
      </c>
      <c r="K585">
        <v>0</v>
      </c>
      <c r="L585" t="s">
        <v>78</v>
      </c>
      <c r="M585" t="s">
        <v>78</v>
      </c>
      <c r="N585" t="s">
        <v>78</v>
      </c>
      <c r="O585">
        <v>0</v>
      </c>
      <c r="P585">
        <v>0</v>
      </c>
      <c r="Q585">
        <v>0</v>
      </c>
      <c r="R585" t="s">
        <v>125</v>
      </c>
      <c r="S585">
        <v>0</v>
      </c>
      <c r="T585" t="s">
        <v>80</v>
      </c>
      <c r="U585" t="s">
        <v>80</v>
      </c>
      <c r="V585" t="s">
        <v>271</v>
      </c>
      <c r="W585" t="s">
        <v>3803</v>
      </c>
      <c r="X585" t="s">
        <v>3804</v>
      </c>
      <c r="Y585" t="s">
        <v>3805</v>
      </c>
      <c r="Z585" t="s">
        <v>80</v>
      </c>
      <c r="AA585" t="s">
        <v>85</v>
      </c>
      <c r="AC585" t="s">
        <v>3806</v>
      </c>
      <c r="AD585" t="s">
        <v>87</v>
      </c>
      <c r="AG585" t="s">
        <v>3807</v>
      </c>
      <c r="AH585" t="s">
        <v>91</v>
      </c>
      <c r="AI585" t="s">
        <v>92</v>
      </c>
      <c r="AJ585" t="s">
        <v>131</v>
      </c>
      <c r="AK585" t="s">
        <v>3808</v>
      </c>
      <c r="AL585" t="s">
        <v>95</v>
      </c>
      <c r="AM585" t="s">
        <v>96</v>
      </c>
      <c r="AN585" t="s">
        <v>97</v>
      </c>
      <c r="AO585" t="s">
        <v>98</v>
      </c>
      <c r="AP585" t="s">
        <v>78</v>
      </c>
      <c r="AQ585" t="s">
        <v>99</v>
      </c>
      <c r="AS585" t="s">
        <v>78</v>
      </c>
      <c r="AT585" t="s">
        <v>100</v>
      </c>
      <c r="AU585" t="s">
        <v>100</v>
      </c>
      <c r="AW585" t="s">
        <v>85</v>
      </c>
      <c r="AX585" t="s">
        <v>101</v>
      </c>
      <c r="AY585" t="s">
        <v>102</v>
      </c>
      <c r="AZ585" t="s">
        <v>103</v>
      </c>
      <c r="BA585" t="s">
        <v>120</v>
      </c>
      <c r="BB585" t="s">
        <v>78</v>
      </c>
      <c r="BC585" t="s">
        <v>78</v>
      </c>
      <c r="BE585">
        <v>0</v>
      </c>
      <c r="BF585">
        <v>0</v>
      </c>
      <c r="BG585">
        <v>0</v>
      </c>
      <c r="BH585">
        <v>0</v>
      </c>
      <c r="BJ585" t="s">
        <v>85</v>
      </c>
      <c r="BP585" t="s">
        <v>78</v>
      </c>
      <c r="BQ585" t="s">
        <v>78</v>
      </c>
      <c r="BR585" t="s">
        <v>78</v>
      </c>
    </row>
    <row r="586" customFormat="1" spans="1:70">
      <c r="A586" t="s">
        <v>3809</v>
      </c>
      <c r="B586" t="s">
        <v>3809</v>
      </c>
      <c r="C586" t="s">
        <v>1050</v>
      </c>
      <c r="D586" t="s">
        <v>1051</v>
      </c>
      <c r="E586">
        <v>1</v>
      </c>
      <c r="F586" t="s">
        <v>1052</v>
      </c>
      <c r="G586" t="s">
        <v>1053</v>
      </c>
      <c r="H586">
        <v>129</v>
      </c>
      <c r="I586">
        <v>129</v>
      </c>
      <c r="J586">
        <v>0</v>
      </c>
      <c r="K586">
        <v>0</v>
      </c>
      <c r="L586" t="s">
        <v>78</v>
      </c>
      <c r="M586" t="s">
        <v>78</v>
      </c>
      <c r="N586" t="s">
        <v>78</v>
      </c>
      <c r="O586">
        <v>0</v>
      </c>
      <c r="P586">
        <v>0</v>
      </c>
      <c r="Q586">
        <v>0</v>
      </c>
      <c r="R586" t="s">
        <v>125</v>
      </c>
      <c r="S586">
        <v>0</v>
      </c>
      <c r="T586" t="s">
        <v>80</v>
      </c>
      <c r="U586" t="s">
        <v>80</v>
      </c>
      <c r="V586" t="s">
        <v>138</v>
      </c>
      <c r="W586" t="s">
        <v>1438</v>
      </c>
      <c r="X586" t="s">
        <v>3810</v>
      </c>
      <c r="Y586" t="s">
        <v>3811</v>
      </c>
      <c r="Z586" t="s">
        <v>80</v>
      </c>
      <c r="AA586" t="s">
        <v>85</v>
      </c>
      <c r="AC586" t="s">
        <v>3812</v>
      </c>
      <c r="AD586" t="s">
        <v>87</v>
      </c>
      <c r="AH586" t="s">
        <v>2699</v>
      </c>
      <c r="AI586" t="s">
        <v>92</v>
      </c>
      <c r="AJ586" t="s">
        <v>131</v>
      </c>
      <c r="AK586" t="s">
        <v>3813</v>
      </c>
      <c r="AL586" t="s">
        <v>95</v>
      </c>
      <c r="AM586" t="s">
        <v>96</v>
      </c>
      <c r="AN586" t="s">
        <v>97</v>
      </c>
      <c r="AO586" t="s">
        <v>98</v>
      </c>
      <c r="AP586" t="s">
        <v>78</v>
      </c>
      <c r="AQ586" t="s">
        <v>78</v>
      </c>
      <c r="AR586" t="s">
        <v>353</v>
      </c>
      <c r="AS586" t="s">
        <v>78</v>
      </c>
      <c r="AT586" t="s">
        <v>100</v>
      </c>
      <c r="AU586" t="s">
        <v>100</v>
      </c>
      <c r="AW586" t="s">
        <v>85</v>
      </c>
      <c r="AX586" t="s">
        <v>101</v>
      </c>
      <c r="AY586" t="s">
        <v>102</v>
      </c>
      <c r="AZ586" t="s">
        <v>103</v>
      </c>
      <c r="BA586" t="s">
        <v>102</v>
      </c>
      <c r="BB586" t="s">
        <v>78</v>
      </c>
      <c r="BC586" t="s">
        <v>78</v>
      </c>
      <c r="BE586">
        <v>0</v>
      </c>
      <c r="BF586">
        <v>0</v>
      </c>
      <c r="BG586">
        <v>0</v>
      </c>
      <c r="BH586">
        <v>0</v>
      </c>
      <c r="BJ586" t="s">
        <v>85</v>
      </c>
      <c r="BP586" t="s">
        <v>78</v>
      </c>
      <c r="BQ586" t="s">
        <v>78</v>
      </c>
      <c r="BR586" t="s">
        <v>78</v>
      </c>
    </row>
    <row r="587" customFormat="1" spans="1:70">
      <c r="A587" t="s">
        <v>3814</v>
      </c>
      <c r="B587" t="s">
        <v>3814</v>
      </c>
      <c r="C587" t="s">
        <v>1050</v>
      </c>
      <c r="D587" t="s">
        <v>2255</v>
      </c>
      <c r="E587">
        <v>1</v>
      </c>
      <c r="F587" t="s">
        <v>1052</v>
      </c>
      <c r="G587" t="s">
        <v>2256</v>
      </c>
      <c r="H587">
        <v>129</v>
      </c>
      <c r="I587">
        <v>129</v>
      </c>
      <c r="J587">
        <v>0</v>
      </c>
      <c r="K587">
        <v>0</v>
      </c>
      <c r="L587" t="s">
        <v>78</v>
      </c>
      <c r="M587" t="s">
        <v>78</v>
      </c>
      <c r="N587" t="s">
        <v>78</v>
      </c>
      <c r="O587">
        <v>0</v>
      </c>
      <c r="P587">
        <v>0</v>
      </c>
      <c r="Q587">
        <v>0</v>
      </c>
      <c r="R587" t="s">
        <v>125</v>
      </c>
      <c r="S587">
        <v>0</v>
      </c>
      <c r="T587" t="s">
        <v>80</v>
      </c>
      <c r="U587" t="s">
        <v>80</v>
      </c>
      <c r="V587" t="s">
        <v>509</v>
      </c>
      <c r="W587" t="s">
        <v>3512</v>
      </c>
      <c r="X587" t="s">
        <v>3815</v>
      </c>
      <c r="Y587" t="s">
        <v>3816</v>
      </c>
      <c r="Z587" t="s">
        <v>80</v>
      </c>
      <c r="AA587" t="s">
        <v>85</v>
      </c>
      <c r="AC587" t="s">
        <v>3817</v>
      </c>
      <c r="AD587" t="s">
        <v>87</v>
      </c>
      <c r="AH587" t="s">
        <v>227</v>
      </c>
      <c r="AI587" t="s">
        <v>92</v>
      </c>
      <c r="AJ587" t="s">
        <v>131</v>
      </c>
      <c r="AK587" t="s">
        <v>3818</v>
      </c>
      <c r="AL587" t="s">
        <v>95</v>
      </c>
      <c r="AM587" t="s">
        <v>96</v>
      </c>
      <c r="AN587" t="s">
        <v>97</v>
      </c>
      <c r="AO587" t="s">
        <v>98</v>
      </c>
      <c r="AP587" t="s">
        <v>78</v>
      </c>
      <c r="AQ587" t="s">
        <v>78</v>
      </c>
      <c r="AR587" t="s">
        <v>353</v>
      </c>
      <c r="AS587" t="s">
        <v>78</v>
      </c>
      <c r="AT587" t="s">
        <v>100</v>
      </c>
      <c r="AU587" t="s">
        <v>100</v>
      </c>
      <c r="AW587" t="s">
        <v>85</v>
      </c>
      <c r="AX587" t="s">
        <v>103</v>
      </c>
      <c r="AY587" t="s">
        <v>159</v>
      </c>
      <c r="AZ587" t="s">
        <v>103</v>
      </c>
      <c r="BA587" t="s">
        <v>419</v>
      </c>
      <c r="BB587" t="s">
        <v>78</v>
      </c>
      <c r="BC587" t="s">
        <v>78</v>
      </c>
      <c r="BE587">
        <v>0</v>
      </c>
      <c r="BF587">
        <v>0</v>
      </c>
      <c r="BG587">
        <v>0</v>
      </c>
      <c r="BH587">
        <v>0</v>
      </c>
      <c r="BJ587" t="s">
        <v>85</v>
      </c>
      <c r="BP587" t="s">
        <v>78</v>
      </c>
      <c r="BQ587" t="s">
        <v>78</v>
      </c>
      <c r="BR587" t="s">
        <v>78</v>
      </c>
    </row>
    <row r="588" customFormat="1" spans="1:70">
      <c r="A588" t="s">
        <v>3819</v>
      </c>
      <c r="B588" t="s">
        <v>3819</v>
      </c>
      <c r="C588" t="s">
        <v>1050</v>
      </c>
      <c r="D588" t="s">
        <v>1051</v>
      </c>
      <c r="E588">
        <v>1</v>
      </c>
      <c r="F588" t="s">
        <v>1052</v>
      </c>
      <c r="G588" t="s">
        <v>1053</v>
      </c>
      <c r="H588">
        <v>129</v>
      </c>
      <c r="I588">
        <v>129</v>
      </c>
      <c r="J588">
        <v>0</v>
      </c>
      <c r="K588">
        <v>0</v>
      </c>
      <c r="L588" t="s">
        <v>78</v>
      </c>
      <c r="M588" t="s">
        <v>78</v>
      </c>
      <c r="N588" t="s">
        <v>78</v>
      </c>
      <c r="O588">
        <v>0</v>
      </c>
      <c r="P588">
        <v>0</v>
      </c>
      <c r="Q588">
        <v>0</v>
      </c>
      <c r="R588" t="s">
        <v>125</v>
      </c>
      <c r="S588">
        <v>0</v>
      </c>
      <c r="T588" t="s">
        <v>80</v>
      </c>
      <c r="U588" t="s">
        <v>80</v>
      </c>
      <c r="V588" t="s">
        <v>178</v>
      </c>
      <c r="W588" t="s">
        <v>178</v>
      </c>
      <c r="X588" t="s">
        <v>3820</v>
      </c>
      <c r="Y588" t="s">
        <v>3821</v>
      </c>
      <c r="Z588" t="s">
        <v>80</v>
      </c>
      <c r="AA588" t="s">
        <v>85</v>
      </c>
      <c r="AC588" t="s">
        <v>3822</v>
      </c>
      <c r="AD588" t="s">
        <v>87</v>
      </c>
      <c r="AH588" t="s">
        <v>2711</v>
      </c>
      <c r="AI588" t="s">
        <v>92</v>
      </c>
      <c r="AJ588" t="s">
        <v>131</v>
      </c>
      <c r="AK588" t="s">
        <v>3823</v>
      </c>
      <c r="AL588" t="s">
        <v>95</v>
      </c>
      <c r="AM588" t="s">
        <v>96</v>
      </c>
      <c r="AN588" t="s">
        <v>97</v>
      </c>
      <c r="AO588" t="s">
        <v>98</v>
      </c>
      <c r="AP588" t="s">
        <v>78</v>
      </c>
      <c r="AQ588" t="s">
        <v>78</v>
      </c>
      <c r="AR588" t="s">
        <v>353</v>
      </c>
      <c r="AS588" t="s">
        <v>78</v>
      </c>
      <c r="AT588" t="s">
        <v>100</v>
      </c>
      <c r="AU588" t="s">
        <v>100</v>
      </c>
      <c r="AW588" t="s">
        <v>85</v>
      </c>
      <c r="AX588" t="s">
        <v>103</v>
      </c>
      <c r="AY588" t="s">
        <v>159</v>
      </c>
      <c r="AZ588" t="s">
        <v>103</v>
      </c>
      <c r="BA588" t="s">
        <v>102</v>
      </c>
      <c r="BB588" t="s">
        <v>78</v>
      </c>
      <c r="BC588" t="s">
        <v>78</v>
      </c>
      <c r="BE588">
        <v>0</v>
      </c>
      <c r="BF588">
        <v>0</v>
      </c>
      <c r="BG588">
        <v>0</v>
      </c>
      <c r="BH588">
        <v>0</v>
      </c>
      <c r="BJ588" t="s">
        <v>85</v>
      </c>
      <c r="BP588" t="s">
        <v>78</v>
      </c>
      <c r="BQ588" t="s">
        <v>78</v>
      </c>
      <c r="BR588" t="s">
        <v>78</v>
      </c>
    </row>
    <row r="589" customFormat="1" spans="1:70">
      <c r="A589" t="s">
        <v>3824</v>
      </c>
      <c r="B589" t="s">
        <v>3824</v>
      </c>
      <c r="C589" t="s">
        <v>1050</v>
      </c>
      <c r="D589" t="s">
        <v>1377</v>
      </c>
      <c r="E589">
        <v>1</v>
      </c>
      <c r="F589" t="s">
        <v>1052</v>
      </c>
      <c r="G589" t="s">
        <v>1378</v>
      </c>
      <c r="H589">
        <v>129</v>
      </c>
      <c r="I589">
        <v>129</v>
      </c>
      <c r="J589">
        <v>0</v>
      </c>
      <c r="K589">
        <v>0</v>
      </c>
      <c r="L589" t="s">
        <v>78</v>
      </c>
      <c r="M589" t="s">
        <v>78</v>
      </c>
      <c r="N589" t="s">
        <v>78</v>
      </c>
      <c r="O589">
        <v>0</v>
      </c>
      <c r="P589">
        <v>0</v>
      </c>
      <c r="Q589">
        <v>0</v>
      </c>
      <c r="R589" t="s">
        <v>125</v>
      </c>
      <c r="S589">
        <v>0</v>
      </c>
      <c r="T589" t="s">
        <v>80</v>
      </c>
      <c r="U589" t="s">
        <v>80</v>
      </c>
      <c r="V589" t="s">
        <v>81</v>
      </c>
      <c r="W589" t="s">
        <v>82</v>
      </c>
      <c r="X589" t="s">
        <v>3825</v>
      </c>
      <c r="Y589" t="s">
        <v>3826</v>
      </c>
      <c r="Z589" t="s">
        <v>80</v>
      </c>
      <c r="AA589" t="s">
        <v>85</v>
      </c>
      <c r="AC589" t="s">
        <v>3827</v>
      </c>
      <c r="AD589" t="s">
        <v>202</v>
      </c>
      <c r="AE589" t="s">
        <v>3828</v>
      </c>
      <c r="AG589" t="s">
        <v>3829</v>
      </c>
      <c r="AH589" t="s">
        <v>91</v>
      </c>
      <c r="AI589" t="s">
        <v>92</v>
      </c>
      <c r="AJ589" t="s">
        <v>131</v>
      </c>
      <c r="AK589" t="s">
        <v>3830</v>
      </c>
      <c r="AL589" t="s">
        <v>95</v>
      </c>
      <c r="AM589" t="s">
        <v>96</v>
      </c>
      <c r="AN589" t="s">
        <v>97</v>
      </c>
      <c r="AO589" t="s">
        <v>98</v>
      </c>
      <c r="AP589" t="s">
        <v>78</v>
      </c>
      <c r="AQ589" t="s">
        <v>99</v>
      </c>
      <c r="AS589" t="s">
        <v>78</v>
      </c>
      <c r="AT589" t="s">
        <v>100</v>
      </c>
      <c r="AU589" t="s">
        <v>100</v>
      </c>
      <c r="AW589" t="s">
        <v>85</v>
      </c>
      <c r="AX589" t="s">
        <v>103</v>
      </c>
      <c r="AY589" t="s">
        <v>159</v>
      </c>
      <c r="AZ589" t="s">
        <v>103</v>
      </c>
      <c r="BA589" t="s">
        <v>102</v>
      </c>
      <c r="BB589" t="s">
        <v>78</v>
      </c>
      <c r="BC589" t="s">
        <v>78</v>
      </c>
      <c r="BD589" t="s">
        <v>3831</v>
      </c>
      <c r="BE589">
        <v>0</v>
      </c>
      <c r="BF589">
        <v>0</v>
      </c>
      <c r="BG589">
        <v>0</v>
      </c>
      <c r="BH589">
        <v>0</v>
      </c>
      <c r="BJ589" t="s">
        <v>85</v>
      </c>
      <c r="BP589" t="s">
        <v>78</v>
      </c>
      <c r="BQ589" t="s">
        <v>78</v>
      </c>
      <c r="BR589" t="s">
        <v>78</v>
      </c>
    </row>
    <row r="590" customFormat="1" spans="1:70">
      <c r="A590" t="s">
        <v>3832</v>
      </c>
      <c r="B590" t="s">
        <v>3832</v>
      </c>
      <c r="C590" t="s">
        <v>1050</v>
      </c>
      <c r="D590" t="s">
        <v>2255</v>
      </c>
      <c r="E590">
        <v>1</v>
      </c>
      <c r="F590" t="s">
        <v>1052</v>
      </c>
      <c r="G590" t="s">
        <v>2256</v>
      </c>
      <c r="H590">
        <v>129</v>
      </c>
      <c r="I590">
        <v>129</v>
      </c>
      <c r="J590">
        <v>0</v>
      </c>
      <c r="K590">
        <v>0</v>
      </c>
      <c r="L590" t="s">
        <v>78</v>
      </c>
      <c r="M590" t="s">
        <v>78</v>
      </c>
      <c r="N590" t="s">
        <v>78</v>
      </c>
      <c r="O590">
        <v>0</v>
      </c>
      <c r="P590">
        <v>0</v>
      </c>
      <c r="Q590">
        <v>0</v>
      </c>
      <c r="R590" t="s">
        <v>125</v>
      </c>
      <c r="S590">
        <v>0</v>
      </c>
      <c r="T590" t="s">
        <v>80</v>
      </c>
      <c r="U590" t="s">
        <v>80</v>
      </c>
      <c r="V590" t="s">
        <v>556</v>
      </c>
      <c r="W590" t="s">
        <v>3833</v>
      </c>
      <c r="X590" t="s">
        <v>3834</v>
      </c>
      <c r="Y590" t="s">
        <v>3835</v>
      </c>
      <c r="Z590" t="s">
        <v>80</v>
      </c>
      <c r="AA590" t="s">
        <v>85</v>
      </c>
      <c r="AC590" t="s">
        <v>3836</v>
      </c>
      <c r="AD590" t="s">
        <v>87</v>
      </c>
      <c r="AF590" t="s">
        <v>3837</v>
      </c>
      <c r="AG590" t="s">
        <v>3838</v>
      </c>
      <c r="AH590" t="s">
        <v>227</v>
      </c>
      <c r="AI590" t="s">
        <v>92</v>
      </c>
      <c r="AJ590" t="s">
        <v>93</v>
      </c>
      <c r="AK590" t="s">
        <v>3839</v>
      </c>
      <c r="AL590" t="s">
        <v>95</v>
      </c>
      <c r="AM590" t="s">
        <v>96</v>
      </c>
      <c r="AN590" t="s">
        <v>97</v>
      </c>
      <c r="AO590" t="s">
        <v>98</v>
      </c>
      <c r="AP590" t="s">
        <v>78</v>
      </c>
      <c r="AQ590" t="s">
        <v>78</v>
      </c>
      <c r="AS590" t="s">
        <v>78</v>
      </c>
      <c r="AT590" t="s">
        <v>100</v>
      </c>
      <c r="AU590" t="s">
        <v>100</v>
      </c>
      <c r="AW590" t="s">
        <v>85</v>
      </c>
      <c r="AX590" t="s">
        <v>101</v>
      </c>
      <c r="AY590" t="s">
        <v>102</v>
      </c>
      <c r="AZ590" t="s">
        <v>103</v>
      </c>
      <c r="BA590" t="s">
        <v>133</v>
      </c>
      <c r="BB590" t="s">
        <v>78</v>
      </c>
      <c r="BC590" t="s">
        <v>78</v>
      </c>
      <c r="BD590" t="s">
        <v>3840</v>
      </c>
      <c r="BE590">
        <v>0</v>
      </c>
      <c r="BF590">
        <v>0</v>
      </c>
      <c r="BG590">
        <v>0</v>
      </c>
      <c r="BH590">
        <v>0</v>
      </c>
      <c r="BJ590" t="s">
        <v>85</v>
      </c>
      <c r="BP590" t="s">
        <v>78</v>
      </c>
      <c r="BQ590" t="s">
        <v>78</v>
      </c>
      <c r="BR590" t="s">
        <v>78</v>
      </c>
    </row>
    <row r="591" customFormat="1" spans="1:70">
      <c r="A591" t="s">
        <v>3841</v>
      </c>
      <c r="B591" t="s">
        <v>3841</v>
      </c>
      <c r="C591" t="s">
        <v>1050</v>
      </c>
      <c r="D591" t="s">
        <v>1377</v>
      </c>
      <c r="E591">
        <v>1</v>
      </c>
      <c r="F591" t="s">
        <v>1052</v>
      </c>
      <c r="G591" t="s">
        <v>1378</v>
      </c>
      <c r="H591">
        <v>129</v>
      </c>
      <c r="I591">
        <v>129</v>
      </c>
      <c r="J591">
        <v>0</v>
      </c>
      <c r="K591">
        <v>0</v>
      </c>
      <c r="L591" t="s">
        <v>78</v>
      </c>
      <c r="M591" t="s">
        <v>78</v>
      </c>
      <c r="N591" t="s">
        <v>78</v>
      </c>
      <c r="O591">
        <v>0</v>
      </c>
      <c r="P591">
        <v>0</v>
      </c>
      <c r="Q591">
        <v>0</v>
      </c>
      <c r="R591" t="s">
        <v>79</v>
      </c>
      <c r="S591">
        <v>0</v>
      </c>
      <c r="T591" t="s">
        <v>80</v>
      </c>
      <c r="U591" t="s">
        <v>80</v>
      </c>
      <c r="V591" t="s">
        <v>325</v>
      </c>
      <c r="W591" t="s">
        <v>767</v>
      </c>
      <c r="X591" t="s">
        <v>3842</v>
      </c>
      <c r="Y591" t="s">
        <v>3843</v>
      </c>
      <c r="Z591" t="s">
        <v>80</v>
      </c>
      <c r="AA591" t="s">
        <v>85</v>
      </c>
      <c r="AC591" t="s">
        <v>3844</v>
      </c>
      <c r="AD591" t="s">
        <v>87</v>
      </c>
      <c r="AG591" t="s">
        <v>3845</v>
      </c>
      <c r="AH591" t="s">
        <v>91</v>
      </c>
      <c r="AI591" t="s">
        <v>92</v>
      </c>
      <c r="AJ591" t="s">
        <v>131</v>
      </c>
      <c r="AK591" t="s">
        <v>3846</v>
      </c>
      <c r="AL591" t="s">
        <v>95</v>
      </c>
      <c r="AM591" t="s">
        <v>96</v>
      </c>
      <c r="AN591" t="s">
        <v>97</v>
      </c>
      <c r="AO591" t="s">
        <v>98</v>
      </c>
      <c r="AP591" t="s">
        <v>78</v>
      </c>
      <c r="AQ591" t="s">
        <v>99</v>
      </c>
      <c r="AS591" t="s">
        <v>78</v>
      </c>
      <c r="AT591" t="s">
        <v>100</v>
      </c>
      <c r="AU591" t="s">
        <v>100</v>
      </c>
      <c r="AW591" t="s">
        <v>85</v>
      </c>
      <c r="AX591" t="s">
        <v>103</v>
      </c>
      <c r="AY591" t="s">
        <v>159</v>
      </c>
      <c r="AZ591" t="s">
        <v>103</v>
      </c>
      <c r="BA591" t="s">
        <v>419</v>
      </c>
      <c r="BB591" t="s">
        <v>78</v>
      </c>
      <c r="BC591" t="s">
        <v>78</v>
      </c>
      <c r="BE591">
        <v>0</v>
      </c>
      <c r="BF591">
        <v>0</v>
      </c>
      <c r="BG591">
        <v>0</v>
      </c>
      <c r="BH591">
        <v>0</v>
      </c>
      <c r="BJ591" t="s">
        <v>85</v>
      </c>
      <c r="BP591" t="s">
        <v>78</v>
      </c>
      <c r="BQ591" t="s">
        <v>78</v>
      </c>
      <c r="BR591" t="s">
        <v>78</v>
      </c>
    </row>
    <row r="592" customFormat="1" spans="1:70">
      <c r="A592" t="s">
        <v>3847</v>
      </c>
      <c r="B592" t="s">
        <v>3847</v>
      </c>
      <c r="C592" t="s">
        <v>1050</v>
      </c>
      <c r="D592" t="s">
        <v>1189</v>
      </c>
      <c r="E592">
        <v>1</v>
      </c>
      <c r="F592" t="s">
        <v>1052</v>
      </c>
      <c r="G592" t="s">
        <v>1190</v>
      </c>
      <c r="H592">
        <v>129</v>
      </c>
      <c r="I592">
        <v>129</v>
      </c>
      <c r="J592">
        <v>0</v>
      </c>
      <c r="K592">
        <v>0</v>
      </c>
      <c r="L592" t="s">
        <v>78</v>
      </c>
      <c r="M592" t="s">
        <v>78</v>
      </c>
      <c r="N592" t="s">
        <v>78</v>
      </c>
      <c r="O592">
        <v>0</v>
      </c>
      <c r="P592">
        <v>0</v>
      </c>
      <c r="Q592">
        <v>0</v>
      </c>
      <c r="R592" t="s">
        <v>79</v>
      </c>
      <c r="S592">
        <v>0</v>
      </c>
      <c r="T592" t="s">
        <v>80</v>
      </c>
      <c r="U592" t="s">
        <v>80</v>
      </c>
      <c r="V592" t="s">
        <v>325</v>
      </c>
      <c r="W592" t="s">
        <v>796</v>
      </c>
      <c r="X592" t="s">
        <v>797</v>
      </c>
      <c r="Y592" t="s">
        <v>798</v>
      </c>
      <c r="Z592" t="s">
        <v>80</v>
      </c>
      <c r="AA592" t="s">
        <v>85</v>
      </c>
      <c r="AC592" t="s">
        <v>3848</v>
      </c>
      <c r="AD592" t="s">
        <v>87</v>
      </c>
      <c r="AG592" t="s">
        <v>3844</v>
      </c>
      <c r="AH592" t="s">
        <v>91</v>
      </c>
      <c r="AI592" t="s">
        <v>92</v>
      </c>
      <c r="AJ592" t="s">
        <v>131</v>
      </c>
      <c r="AK592" t="s">
        <v>3849</v>
      </c>
      <c r="AL592" t="s">
        <v>95</v>
      </c>
      <c r="AM592" t="s">
        <v>96</v>
      </c>
      <c r="AN592" t="s">
        <v>97</v>
      </c>
      <c r="AO592" t="s">
        <v>98</v>
      </c>
      <c r="AP592" t="s">
        <v>78</v>
      </c>
      <c r="AQ592" t="s">
        <v>99</v>
      </c>
      <c r="AS592" t="s">
        <v>78</v>
      </c>
      <c r="AT592" t="s">
        <v>100</v>
      </c>
      <c r="AU592" t="s">
        <v>100</v>
      </c>
      <c r="AW592" t="s">
        <v>85</v>
      </c>
      <c r="AX592" t="s">
        <v>103</v>
      </c>
      <c r="AY592" t="s">
        <v>159</v>
      </c>
      <c r="AZ592" t="s">
        <v>103</v>
      </c>
      <c r="BA592" t="s">
        <v>104</v>
      </c>
      <c r="BB592" t="s">
        <v>78</v>
      </c>
      <c r="BC592" t="s">
        <v>78</v>
      </c>
      <c r="BE592">
        <v>0</v>
      </c>
      <c r="BF592">
        <v>0</v>
      </c>
      <c r="BG592">
        <v>0</v>
      </c>
      <c r="BH592">
        <v>0</v>
      </c>
      <c r="BJ592" t="s">
        <v>85</v>
      </c>
      <c r="BP592" t="s">
        <v>78</v>
      </c>
      <c r="BQ592" t="s">
        <v>78</v>
      </c>
      <c r="BR592" t="s">
        <v>78</v>
      </c>
    </row>
    <row r="593" customFormat="1" spans="1:70">
      <c r="A593" t="s">
        <v>3850</v>
      </c>
      <c r="B593" t="s">
        <v>3850</v>
      </c>
      <c r="C593" t="s">
        <v>1050</v>
      </c>
      <c r="D593" t="s">
        <v>1377</v>
      </c>
      <c r="E593">
        <v>1</v>
      </c>
      <c r="F593" t="s">
        <v>1052</v>
      </c>
      <c r="G593" t="s">
        <v>1378</v>
      </c>
      <c r="H593">
        <v>129</v>
      </c>
      <c r="I593">
        <v>129</v>
      </c>
      <c r="J593">
        <v>0</v>
      </c>
      <c r="K593">
        <v>0</v>
      </c>
      <c r="L593" t="s">
        <v>78</v>
      </c>
      <c r="M593" t="s">
        <v>78</v>
      </c>
      <c r="N593" t="s">
        <v>78</v>
      </c>
      <c r="O593">
        <v>0</v>
      </c>
      <c r="P593">
        <v>0</v>
      </c>
      <c r="Q593">
        <v>0</v>
      </c>
      <c r="R593" t="s">
        <v>125</v>
      </c>
      <c r="S593">
        <v>0</v>
      </c>
      <c r="T593" t="s">
        <v>80</v>
      </c>
      <c r="U593" t="s">
        <v>80</v>
      </c>
      <c r="V593" t="s">
        <v>189</v>
      </c>
      <c r="W593" t="s">
        <v>3130</v>
      </c>
      <c r="X593" t="s">
        <v>3131</v>
      </c>
      <c r="Y593" t="s">
        <v>3132</v>
      </c>
      <c r="Z593" t="s">
        <v>80</v>
      </c>
      <c r="AA593" t="s">
        <v>85</v>
      </c>
      <c r="AC593" t="s">
        <v>3851</v>
      </c>
      <c r="AD593" t="s">
        <v>87</v>
      </c>
      <c r="AG593" t="s">
        <v>3852</v>
      </c>
      <c r="AH593" t="s">
        <v>91</v>
      </c>
      <c r="AI593" t="s">
        <v>92</v>
      </c>
      <c r="AJ593" t="s">
        <v>131</v>
      </c>
      <c r="AK593" t="s">
        <v>3853</v>
      </c>
      <c r="AL593" t="s">
        <v>95</v>
      </c>
      <c r="AM593" t="s">
        <v>96</v>
      </c>
      <c r="AN593" t="s">
        <v>97</v>
      </c>
      <c r="AO593" t="s">
        <v>98</v>
      </c>
      <c r="AP593" t="s">
        <v>78</v>
      </c>
      <c r="AQ593" t="s">
        <v>99</v>
      </c>
      <c r="AS593" t="s">
        <v>78</v>
      </c>
      <c r="AT593" t="s">
        <v>100</v>
      </c>
      <c r="AU593" t="s">
        <v>100</v>
      </c>
      <c r="AW593" t="s">
        <v>85</v>
      </c>
      <c r="AX593" t="s">
        <v>101</v>
      </c>
      <c r="AY593" t="s">
        <v>102</v>
      </c>
      <c r="AZ593" t="s">
        <v>103</v>
      </c>
      <c r="BA593" t="s">
        <v>245</v>
      </c>
      <c r="BB593" t="s">
        <v>78</v>
      </c>
      <c r="BC593" t="s">
        <v>78</v>
      </c>
      <c r="BE593">
        <v>0</v>
      </c>
      <c r="BF593">
        <v>0</v>
      </c>
      <c r="BG593">
        <v>0</v>
      </c>
      <c r="BH593">
        <v>0</v>
      </c>
      <c r="BJ593" t="s">
        <v>85</v>
      </c>
      <c r="BP593" t="s">
        <v>78</v>
      </c>
      <c r="BQ593" t="s">
        <v>78</v>
      </c>
      <c r="BR593" t="s">
        <v>78</v>
      </c>
    </row>
  </sheetData>
  <autoFilter xmlns:etc="http://www.wps.cn/officeDocument/2017/etCustomData" ref="A1:BU59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BU593"/>
  <sheetViews>
    <sheetView zoomScale="80" zoomScaleNormal="80" workbookViewId="0">
      <pane xSplit="4" ySplit="1" topLeftCell="F2" activePane="bottomRight" state="frozen"/>
      <selection/>
      <selection pane="topRight"/>
      <selection pane="bottomLeft"/>
      <selection pane="bottomRight" activeCell="A1" sqref="A$1:A$1048576"/>
    </sheetView>
  </sheetViews>
  <sheetFormatPr defaultColWidth="9.47115384615385" defaultRowHeight="16.8"/>
  <cols>
    <col min="1" max="2" width="21.7884615384615" customWidth="1"/>
    <col min="3" max="3" width="61.375" customWidth="1"/>
    <col min="4" max="4" width="35.5192307692308" customWidth="1"/>
    <col min="6" max="6" width="21.7884615384615" customWidth="1"/>
    <col min="7" max="7" width="24.6826923076923" customWidth="1"/>
    <col min="29" max="29" width="20.2307692307692" customWidth="1"/>
    <col min="32" max="32" width="24.0384615384615" customWidth="1"/>
    <col min="33" max="33" width="20.0288461538462" customWidth="1"/>
  </cols>
  <sheetData>
    <row r="1" ht="51" spans="1:7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</row>
    <row r="2" customFormat="1" spans="1:73">
      <c r="A2" t="s">
        <v>3854</v>
      </c>
      <c r="B2" t="s">
        <v>3854</v>
      </c>
      <c r="C2" t="s">
        <v>74</v>
      </c>
      <c r="D2" t="s">
        <v>75</v>
      </c>
      <c r="E2">
        <v>1</v>
      </c>
      <c r="F2" t="s">
        <v>3855</v>
      </c>
      <c r="G2" t="s">
        <v>77</v>
      </c>
      <c r="H2">
        <v>329</v>
      </c>
      <c r="I2">
        <v>329</v>
      </c>
      <c r="J2">
        <v>0</v>
      </c>
      <c r="K2">
        <v>0</v>
      </c>
      <c r="L2" t="s">
        <v>78</v>
      </c>
      <c r="M2" t="s">
        <v>78</v>
      </c>
      <c r="N2" t="s">
        <v>78</v>
      </c>
      <c r="O2">
        <v>0</v>
      </c>
      <c r="P2">
        <v>0</v>
      </c>
      <c r="Q2">
        <v>0</v>
      </c>
      <c r="R2" t="s">
        <v>79</v>
      </c>
      <c r="S2">
        <v>0</v>
      </c>
      <c r="T2" t="s">
        <v>80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80</v>
      </c>
      <c r="AA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78</v>
      </c>
      <c r="AQ2" t="s">
        <v>99</v>
      </c>
      <c r="AS2" t="s">
        <v>78</v>
      </c>
      <c r="AT2" t="s">
        <v>100</v>
      </c>
      <c r="AU2" t="s">
        <v>100</v>
      </c>
      <c r="AW2" t="s">
        <v>85</v>
      </c>
      <c r="AX2" t="s">
        <v>101</v>
      </c>
      <c r="AY2" t="s">
        <v>102</v>
      </c>
      <c r="AZ2" t="s">
        <v>103</v>
      </c>
      <c r="BA2" t="s">
        <v>104</v>
      </c>
      <c r="BB2" t="s">
        <v>78</v>
      </c>
      <c r="BC2" t="s">
        <v>78</v>
      </c>
      <c r="BD2" t="s">
        <v>105</v>
      </c>
      <c r="BE2">
        <v>0</v>
      </c>
      <c r="BF2">
        <v>0</v>
      </c>
      <c r="BG2">
        <v>0</v>
      </c>
      <c r="BH2">
        <v>0</v>
      </c>
      <c r="BJ2" t="s">
        <v>85</v>
      </c>
      <c r="BP2" t="s">
        <v>78</v>
      </c>
      <c r="BQ2" t="s">
        <v>78</v>
      </c>
      <c r="BR2" t="s">
        <v>78</v>
      </c>
    </row>
    <row r="3" customFormat="1" spans="1:73">
      <c r="A3" t="s">
        <v>3856</v>
      </c>
      <c r="B3" t="s">
        <v>3856</v>
      </c>
      <c r="C3" t="s">
        <v>107</v>
      </c>
      <c r="D3" t="s">
        <v>108</v>
      </c>
      <c r="E3">
        <v>1</v>
      </c>
      <c r="F3" t="s">
        <v>3857</v>
      </c>
      <c r="G3" t="s">
        <v>110</v>
      </c>
      <c r="H3">
        <v>289</v>
      </c>
      <c r="I3">
        <v>289</v>
      </c>
      <c r="J3">
        <v>0</v>
      </c>
      <c r="K3">
        <v>0</v>
      </c>
      <c r="L3" t="s">
        <v>78</v>
      </c>
      <c r="M3" t="s">
        <v>78</v>
      </c>
      <c r="N3" t="s">
        <v>78</v>
      </c>
      <c r="O3">
        <v>0</v>
      </c>
      <c r="P3">
        <v>0</v>
      </c>
      <c r="Q3">
        <v>0</v>
      </c>
      <c r="R3" t="s">
        <v>111</v>
      </c>
      <c r="S3">
        <v>0</v>
      </c>
      <c r="T3" t="s">
        <v>80</v>
      </c>
      <c r="U3" t="s">
        <v>80</v>
      </c>
      <c r="V3" t="s">
        <v>112</v>
      </c>
      <c r="W3" t="s">
        <v>113</v>
      </c>
      <c r="X3" t="s">
        <v>114</v>
      </c>
      <c r="Y3" t="s">
        <v>115</v>
      </c>
      <c r="Z3" t="s">
        <v>80</v>
      </c>
      <c r="AA3" t="s">
        <v>85</v>
      </c>
      <c r="AC3" t="s">
        <v>116</v>
      </c>
      <c r="AD3" t="s">
        <v>87</v>
      </c>
      <c r="AF3" t="s">
        <v>117</v>
      </c>
      <c r="AG3" t="s">
        <v>118</v>
      </c>
      <c r="AH3" t="s">
        <v>91</v>
      </c>
      <c r="AI3" t="s">
        <v>92</v>
      </c>
      <c r="AJ3" t="s">
        <v>93</v>
      </c>
      <c r="AK3" t="s">
        <v>119</v>
      </c>
      <c r="AL3" t="s">
        <v>95</v>
      </c>
      <c r="AM3" t="s">
        <v>96</v>
      </c>
      <c r="AN3" t="s">
        <v>97</v>
      </c>
      <c r="AO3" t="s">
        <v>98</v>
      </c>
      <c r="AP3" t="s">
        <v>78</v>
      </c>
      <c r="AQ3" t="s">
        <v>78</v>
      </c>
      <c r="AS3" t="s">
        <v>78</v>
      </c>
      <c r="AT3" t="s">
        <v>100</v>
      </c>
      <c r="AU3" t="s">
        <v>100</v>
      </c>
      <c r="AW3" t="s">
        <v>85</v>
      </c>
      <c r="AX3" t="s">
        <v>101</v>
      </c>
      <c r="AY3" t="s">
        <v>102</v>
      </c>
      <c r="AZ3" t="s">
        <v>103</v>
      </c>
      <c r="BA3" t="s">
        <v>120</v>
      </c>
      <c r="BB3" t="s">
        <v>78</v>
      </c>
      <c r="BC3" t="s">
        <v>78</v>
      </c>
      <c r="BD3" t="s">
        <v>121</v>
      </c>
      <c r="BE3">
        <v>0</v>
      </c>
      <c r="BF3">
        <v>0</v>
      </c>
      <c r="BG3">
        <v>0</v>
      </c>
      <c r="BH3">
        <v>0</v>
      </c>
      <c r="BJ3" t="s">
        <v>85</v>
      </c>
      <c r="BP3" t="s">
        <v>78</v>
      </c>
      <c r="BQ3" t="s">
        <v>78</v>
      </c>
      <c r="BR3" t="s">
        <v>78</v>
      </c>
    </row>
    <row r="4" customFormat="1" spans="1:73">
      <c r="A4" t="s">
        <v>3858</v>
      </c>
      <c r="B4" t="s">
        <v>3858</v>
      </c>
      <c r="C4" t="s">
        <v>107</v>
      </c>
      <c r="D4" t="s">
        <v>123</v>
      </c>
      <c r="E4">
        <v>1</v>
      </c>
      <c r="F4" t="s">
        <v>3857</v>
      </c>
      <c r="G4" t="s">
        <v>124</v>
      </c>
      <c r="H4">
        <v>289</v>
      </c>
      <c r="I4">
        <v>289</v>
      </c>
      <c r="J4">
        <v>0</v>
      </c>
      <c r="K4">
        <v>0</v>
      </c>
      <c r="L4" t="s">
        <v>78</v>
      </c>
      <c r="M4" t="s">
        <v>78</v>
      </c>
      <c r="N4" t="s">
        <v>78</v>
      </c>
      <c r="O4">
        <v>0</v>
      </c>
      <c r="P4">
        <v>0</v>
      </c>
      <c r="Q4">
        <v>0</v>
      </c>
      <c r="R4" t="s">
        <v>125</v>
      </c>
      <c r="S4">
        <v>0</v>
      </c>
      <c r="T4" t="s">
        <v>80</v>
      </c>
      <c r="U4" t="s">
        <v>80</v>
      </c>
      <c r="V4" t="s">
        <v>126</v>
      </c>
      <c r="W4" t="s">
        <v>127</v>
      </c>
      <c r="X4" t="s">
        <v>128</v>
      </c>
      <c r="Y4" t="s">
        <v>78</v>
      </c>
      <c r="Z4" t="s">
        <v>80</v>
      </c>
      <c r="AA4" t="s">
        <v>85</v>
      </c>
      <c r="AC4" t="s">
        <v>129</v>
      </c>
      <c r="AD4" t="s">
        <v>87</v>
      </c>
      <c r="AG4" t="s">
        <v>130</v>
      </c>
      <c r="AH4" t="s">
        <v>91</v>
      </c>
      <c r="AI4" t="s">
        <v>92</v>
      </c>
      <c r="AJ4" t="s">
        <v>131</v>
      </c>
      <c r="AK4" t="s">
        <v>132</v>
      </c>
      <c r="AL4" t="s">
        <v>95</v>
      </c>
      <c r="AM4" t="s">
        <v>96</v>
      </c>
      <c r="AN4" t="s">
        <v>97</v>
      </c>
      <c r="AO4" t="s">
        <v>98</v>
      </c>
      <c r="AP4" t="s">
        <v>78</v>
      </c>
      <c r="AQ4" t="s">
        <v>99</v>
      </c>
      <c r="AS4" t="s">
        <v>78</v>
      </c>
      <c r="AT4" t="s">
        <v>100</v>
      </c>
      <c r="AU4" t="s">
        <v>100</v>
      </c>
      <c r="AW4" t="s">
        <v>85</v>
      </c>
      <c r="AX4" t="s">
        <v>101</v>
      </c>
      <c r="AY4" t="s">
        <v>102</v>
      </c>
      <c r="AZ4" t="s">
        <v>103</v>
      </c>
      <c r="BA4" t="s">
        <v>133</v>
      </c>
      <c r="BB4" t="s">
        <v>78</v>
      </c>
      <c r="BC4" t="s">
        <v>78</v>
      </c>
      <c r="BE4">
        <v>0</v>
      </c>
      <c r="BF4">
        <v>0</v>
      </c>
      <c r="BG4">
        <v>0</v>
      </c>
      <c r="BH4">
        <v>0</v>
      </c>
      <c r="BJ4" t="s">
        <v>85</v>
      </c>
      <c r="BP4" t="s">
        <v>78</v>
      </c>
      <c r="BQ4" t="s">
        <v>78</v>
      </c>
      <c r="BR4" t="s">
        <v>78</v>
      </c>
    </row>
    <row r="5" customFormat="1" spans="1:73">
      <c r="A5" t="s">
        <v>3859</v>
      </c>
      <c r="B5" t="s">
        <v>3859</v>
      </c>
      <c r="C5" t="s">
        <v>107</v>
      </c>
      <c r="D5" t="s">
        <v>135</v>
      </c>
      <c r="E5">
        <v>1</v>
      </c>
      <c r="F5" t="s">
        <v>3857</v>
      </c>
      <c r="G5" t="s">
        <v>136</v>
      </c>
      <c r="H5">
        <v>289</v>
      </c>
      <c r="I5">
        <v>286</v>
      </c>
      <c r="J5">
        <v>0</v>
      </c>
      <c r="K5">
        <v>4</v>
      </c>
      <c r="L5" t="s">
        <v>137</v>
      </c>
      <c r="M5" t="s">
        <v>78</v>
      </c>
      <c r="N5" t="s">
        <v>78</v>
      </c>
      <c r="O5">
        <v>0</v>
      </c>
      <c r="P5">
        <v>1</v>
      </c>
      <c r="Q5">
        <v>0</v>
      </c>
      <c r="R5" t="s">
        <v>125</v>
      </c>
      <c r="S5">
        <v>0</v>
      </c>
      <c r="T5" t="s">
        <v>80</v>
      </c>
      <c r="U5" t="s">
        <v>80</v>
      </c>
      <c r="V5" t="s">
        <v>138</v>
      </c>
      <c r="W5" t="s">
        <v>139</v>
      </c>
      <c r="X5" t="s">
        <v>140</v>
      </c>
      <c r="Y5" t="s">
        <v>141</v>
      </c>
      <c r="Z5" t="s">
        <v>80</v>
      </c>
      <c r="AA5" t="s">
        <v>85</v>
      </c>
      <c r="AC5" t="s">
        <v>142</v>
      </c>
      <c r="AD5" t="s">
        <v>87</v>
      </c>
      <c r="AG5" t="s">
        <v>143</v>
      </c>
      <c r="AH5" t="s">
        <v>91</v>
      </c>
      <c r="AI5" t="s">
        <v>92</v>
      </c>
      <c r="AJ5" t="s">
        <v>131</v>
      </c>
      <c r="AK5" t="s">
        <v>144</v>
      </c>
      <c r="AL5" t="s">
        <v>95</v>
      </c>
      <c r="AM5" t="s">
        <v>96</v>
      </c>
      <c r="AN5" t="s">
        <v>97</v>
      </c>
      <c r="AO5" t="s">
        <v>98</v>
      </c>
      <c r="AP5" t="s">
        <v>78</v>
      </c>
      <c r="AQ5" t="s">
        <v>99</v>
      </c>
      <c r="AS5" t="s">
        <v>78</v>
      </c>
      <c r="AT5" t="s">
        <v>100</v>
      </c>
      <c r="AU5" t="s">
        <v>100</v>
      </c>
      <c r="AW5" t="s">
        <v>85</v>
      </c>
      <c r="AX5" t="s">
        <v>101</v>
      </c>
      <c r="AY5" t="s">
        <v>102</v>
      </c>
      <c r="AZ5" t="s">
        <v>145</v>
      </c>
      <c r="BA5" t="s">
        <v>146</v>
      </c>
      <c r="BB5" t="s">
        <v>78</v>
      </c>
      <c r="BC5" t="s">
        <v>78</v>
      </c>
      <c r="BE5">
        <v>0</v>
      </c>
      <c r="BF5">
        <v>3</v>
      </c>
      <c r="BG5">
        <v>0</v>
      </c>
      <c r="BH5">
        <v>0</v>
      </c>
      <c r="BJ5" t="s">
        <v>85</v>
      </c>
      <c r="BP5" t="s">
        <v>78</v>
      </c>
      <c r="BQ5" t="s">
        <v>78</v>
      </c>
      <c r="BR5" t="s">
        <v>78</v>
      </c>
    </row>
    <row r="6" customFormat="1" spans="1:73">
      <c r="A6" t="s">
        <v>3860</v>
      </c>
      <c r="B6" t="s">
        <v>3860</v>
      </c>
      <c r="C6" t="s">
        <v>148</v>
      </c>
      <c r="D6" t="s">
        <v>149</v>
      </c>
      <c r="E6">
        <v>1</v>
      </c>
      <c r="F6" t="s">
        <v>3861</v>
      </c>
      <c r="G6" t="s">
        <v>151</v>
      </c>
      <c r="H6">
        <v>289</v>
      </c>
      <c r="I6">
        <v>289</v>
      </c>
      <c r="J6">
        <v>0</v>
      </c>
      <c r="K6">
        <v>0</v>
      </c>
      <c r="L6" t="s">
        <v>78</v>
      </c>
      <c r="M6" t="s">
        <v>78</v>
      </c>
      <c r="N6" t="s">
        <v>78</v>
      </c>
      <c r="O6">
        <v>0</v>
      </c>
      <c r="P6">
        <v>0</v>
      </c>
      <c r="Q6">
        <v>0</v>
      </c>
      <c r="R6" t="s">
        <v>125</v>
      </c>
      <c r="S6">
        <v>0</v>
      </c>
      <c r="T6" t="s">
        <v>80</v>
      </c>
      <c r="U6" t="s">
        <v>80</v>
      </c>
      <c r="V6" t="s">
        <v>152</v>
      </c>
      <c r="W6" t="s">
        <v>153</v>
      </c>
      <c r="X6" t="s">
        <v>154</v>
      </c>
      <c r="Y6" t="s">
        <v>155</v>
      </c>
      <c r="Z6" t="s">
        <v>80</v>
      </c>
      <c r="AA6" t="s">
        <v>85</v>
      </c>
      <c r="AC6" t="s">
        <v>156</v>
      </c>
      <c r="AD6" t="s">
        <v>87</v>
      </c>
      <c r="AG6" t="s">
        <v>157</v>
      </c>
      <c r="AH6" t="s">
        <v>91</v>
      </c>
      <c r="AI6" t="s">
        <v>92</v>
      </c>
      <c r="AJ6" t="s">
        <v>131</v>
      </c>
      <c r="AK6" t="s">
        <v>158</v>
      </c>
      <c r="AL6" t="s">
        <v>95</v>
      </c>
      <c r="AM6" t="s">
        <v>96</v>
      </c>
      <c r="AN6" t="s">
        <v>97</v>
      </c>
      <c r="AO6" t="s">
        <v>98</v>
      </c>
      <c r="AP6" t="s">
        <v>78</v>
      </c>
      <c r="AQ6" t="s">
        <v>99</v>
      </c>
      <c r="AS6" t="s">
        <v>78</v>
      </c>
      <c r="AT6" t="s">
        <v>100</v>
      </c>
      <c r="AU6" t="s">
        <v>100</v>
      </c>
      <c r="AW6" t="s">
        <v>85</v>
      </c>
      <c r="AX6" t="s">
        <v>103</v>
      </c>
      <c r="AY6" t="s">
        <v>159</v>
      </c>
      <c r="AZ6" t="s">
        <v>103</v>
      </c>
      <c r="BA6" t="s">
        <v>104</v>
      </c>
      <c r="BB6" t="s">
        <v>78</v>
      </c>
      <c r="BC6" t="s">
        <v>78</v>
      </c>
      <c r="BE6">
        <v>0</v>
      </c>
      <c r="BF6">
        <v>0</v>
      </c>
      <c r="BG6">
        <v>0</v>
      </c>
      <c r="BH6">
        <v>0</v>
      </c>
      <c r="BJ6" t="s">
        <v>85</v>
      </c>
      <c r="BP6" t="s">
        <v>78</v>
      </c>
      <c r="BQ6" t="s">
        <v>78</v>
      </c>
      <c r="BR6" t="s">
        <v>78</v>
      </c>
    </row>
    <row r="7" customFormat="1" spans="1:73">
      <c r="A7" t="s">
        <v>3862</v>
      </c>
      <c r="B7" t="s">
        <v>3862</v>
      </c>
      <c r="C7" t="s">
        <v>107</v>
      </c>
      <c r="D7" t="s">
        <v>108</v>
      </c>
      <c r="E7">
        <v>1</v>
      </c>
      <c r="F7" t="s">
        <v>3857</v>
      </c>
      <c r="G7" t="s">
        <v>110</v>
      </c>
      <c r="H7">
        <v>289</v>
      </c>
      <c r="I7">
        <v>289</v>
      </c>
      <c r="J7">
        <v>0</v>
      </c>
      <c r="K7">
        <v>0</v>
      </c>
      <c r="L7" t="s">
        <v>78</v>
      </c>
      <c r="M7" t="s">
        <v>78</v>
      </c>
      <c r="N7" t="s">
        <v>78</v>
      </c>
      <c r="O7">
        <v>0</v>
      </c>
      <c r="P7">
        <v>0</v>
      </c>
      <c r="Q7">
        <v>0</v>
      </c>
      <c r="R7" t="s">
        <v>111</v>
      </c>
      <c r="S7">
        <v>0</v>
      </c>
      <c r="T7" t="s">
        <v>80</v>
      </c>
      <c r="U7" t="s">
        <v>80</v>
      </c>
      <c r="V7" t="s">
        <v>161</v>
      </c>
      <c r="W7" t="s">
        <v>161</v>
      </c>
      <c r="X7" t="s">
        <v>162</v>
      </c>
      <c r="Y7" t="s">
        <v>78</v>
      </c>
      <c r="Z7" t="s">
        <v>80</v>
      </c>
      <c r="AA7" t="s">
        <v>85</v>
      </c>
      <c r="AC7" t="s">
        <v>163</v>
      </c>
      <c r="AD7" t="s">
        <v>87</v>
      </c>
      <c r="AF7" t="s">
        <v>117</v>
      </c>
      <c r="AG7" t="s">
        <v>164</v>
      </c>
      <c r="AH7" t="s">
        <v>91</v>
      </c>
      <c r="AI7" t="s">
        <v>92</v>
      </c>
      <c r="AJ7" t="s">
        <v>93</v>
      </c>
      <c r="AK7" t="s">
        <v>165</v>
      </c>
      <c r="AL7" t="s">
        <v>95</v>
      </c>
      <c r="AM7" t="s">
        <v>96</v>
      </c>
      <c r="AN7" t="s">
        <v>97</v>
      </c>
      <c r="AO7" t="s">
        <v>98</v>
      </c>
      <c r="AP7" t="s">
        <v>78</v>
      </c>
      <c r="AQ7" t="s">
        <v>78</v>
      </c>
      <c r="AS7" t="s">
        <v>78</v>
      </c>
      <c r="AT7" t="s">
        <v>100</v>
      </c>
      <c r="AU7" t="s">
        <v>100</v>
      </c>
      <c r="AW7" t="s">
        <v>85</v>
      </c>
      <c r="AX7" t="s">
        <v>101</v>
      </c>
      <c r="AY7" t="s">
        <v>102</v>
      </c>
      <c r="AZ7" t="s">
        <v>103</v>
      </c>
      <c r="BA7" t="s">
        <v>133</v>
      </c>
      <c r="BB7" t="s">
        <v>78</v>
      </c>
      <c r="BC7" t="s">
        <v>78</v>
      </c>
      <c r="BD7" t="s">
        <v>121</v>
      </c>
      <c r="BE7">
        <v>0</v>
      </c>
      <c r="BF7">
        <v>0</v>
      </c>
      <c r="BG7">
        <v>0</v>
      </c>
      <c r="BH7">
        <v>0</v>
      </c>
      <c r="BJ7" t="s">
        <v>85</v>
      </c>
      <c r="BP7" t="s">
        <v>78</v>
      </c>
      <c r="BQ7" t="s">
        <v>78</v>
      </c>
      <c r="BR7" t="s">
        <v>78</v>
      </c>
    </row>
    <row r="8" customFormat="1" spans="1:73">
      <c r="A8" t="s">
        <v>3863</v>
      </c>
      <c r="B8" t="s">
        <v>3863</v>
      </c>
      <c r="C8" t="s">
        <v>107</v>
      </c>
      <c r="D8" t="s">
        <v>108</v>
      </c>
      <c r="E8">
        <v>1</v>
      </c>
      <c r="F8" t="s">
        <v>3857</v>
      </c>
      <c r="G8" t="s">
        <v>110</v>
      </c>
      <c r="H8">
        <v>289</v>
      </c>
      <c r="I8">
        <v>289</v>
      </c>
      <c r="J8">
        <v>0</v>
      </c>
      <c r="K8">
        <v>0</v>
      </c>
      <c r="L8" t="s">
        <v>78</v>
      </c>
      <c r="M8" t="s">
        <v>78</v>
      </c>
      <c r="N8" t="s">
        <v>78</v>
      </c>
      <c r="O8">
        <v>0</v>
      </c>
      <c r="P8">
        <v>0</v>
      </c>
      <c r="Q8">
        <v>0</v>
      </c>
      <c r="R8" t="s">
        <v>79</v>
      </c>
      <c r="S8">
        <v>0</v>
      </c>
      <c r="T8" t="s">
        <v>80</v>
      </c>
      <c r="U8" t="s">
        <v>80</v>
      </c>
      <c r="V8" t="s">
        <v>167</v>
      </c>
      <c r="W8" t="s">
        <v>168</v>
      </c>
      <c r="X8" t="s">
        <v>169</v>
      </c>
      <c r="Y8" t="s">
        <v>170</v>
      </c>
      <c r="Z8" t="s">
        <v>80</v>
      </c>
      <c r="AA8" t="s">
        <v>85</v>
      </c>
      <c r="AC8" t="s">
        <v>171</v>
      </c>
      <c r="AD8" t="s">
        <v>87</v>
      </c>
      <c r="AF8" t="s">
        <v>117</v>
      </c>
      <c r="AG8" t="s">
        <v>172</v>
      </c>
      <c r="AH8" t="s">
        <v>91</v>
      </c>
      <c r="AI8" t="s">
        <v>92</v>
      </c>
      <c r="AJ8" t="s">
        <v>93</v>
      </c>
      <c r="AK8" t="s">
        <v>173</v>
      </c>
      <c r="AL8" t="s">
        <v>95</v>
      </c>
      <c r="AM8" t="s">
        <v>96</v>
      </c>
      <c r="AN8" t="s">
        <v>97</v>
      </c>
      <c r="AO8" t="s">
        <v>98</v>
      </c>
      <c r="AP8" t="s">
        <v>78</v>
      </c>
      <c r="AQ8" t="s">
        <v>99</v>
      </c>
      <c r="AS8" t="s">
        <v>78</v>
      </c>
      <c r="AT8" t="s">
        <v>100</v>
      </c>
      <c r="AU8" t="s">
        <v>100</v>
      </c>
      <c r="AW8" t="s">
        <v>85</v>
      </c>
      <c r="AX8" t="s">
        <v>101</v>
      </c>
      <c r="AY8" t="s">
        <v>102</v>
      </c>
      <c r="AZ8" t="s">
        <v>103</v>
      </c>
      <c r="BA8" t="s">
        <v>133</v>
      </c>
      <c r="BB8" t="s">
        <v>78</v>
      </c>
      <c r="BC8" t="s">
        <v>78</v>
      </c>
      <c r="BD8" t="s">
        <v>121</v>
      </c>
      <c r="BE8">
        <v>0</v>
      </c>
      <c r="BF8">
        <v>0</v>
      </c>
      <c r="BG8">
        <v>0</v>
      </c>
      <c r="BH8">
        <v>0</v>
      </c>
      <c r="BJ8" t="s">
        <v>85</v>
      </c>
      <c r="BP8" t="s">
        <v>78</v>
      </c>
      <c r="BQ8" t="s">
        <v>78</v>
      </c>
      <c r="BR8" t="s">
        <v>78</v>
      </c>
    </row>
    <row r="9" customFormat="1" spans="1:73">
      <c r="A9" t="s">
        <v>3864</v>
      </c>
      <c r="B9" t="s">
        <v>3864</v>
      </c>
      <c r="C9" t="s">
        <v>148</v>
      </c>
      <c r="D9" t="s">
        <v>175</v>
      </c>
      <c r="E9">
        <v>1</v>
      </c>
      <c r="F9" t="s">
        <v>3861</v>
      </c>
      <c r="G9" t="s">
        <v>176</v>
      </c>
      <c r="H9">
        <v>289</v>
      </c>
      <c r="I9">
        <v>284</v>
      </c>
      <c r="J9">
        <v>0</v>
      </c>
      <c r="K9">
        <v>5</v>
      </c>
      <c r="L9" t="s">
        <v>177</v>
      </c>
      <c r="M9" t="s">
        <v>78</v>
      </c>
      <c r="N9" t="s">
        <v>78</v>
      </c>
      <c r="O9">
        <v>0</v>
      </c>
      <c r="P9">
        <v>0</v>
      </c>
      <c r="Q9">
        <v>0</v>
      </c>
      <c r="R9" t="s">
        <v>79</v>
      </c>
      <c r="S9">
        <v>0</v>
      </c>
      <c r="T9" t="s">
        <v>80</v>
      </c>
      <c r="U9" t="s">
        <v>80</v>
      </c>
      <c r="V9" t="s">
        <v>178</v>
      </c>
      <c r="W9" t="s">
        <v>178</v>
      </c>
      <c r="X9" t="s">
        <v>179</v>
      </c>
      <c r="Y9" t="s">
        <v>180</v>
      </c>
      <c r="Z9" t="s">
        <v>80</v>
      </c>
      <c r="AA9" t="s">
        <v>85</v>
      </c>
      <c r="AC9" t="s">
        <v>181</v>
      </c>
      <c r="AD9" t="s">
        <v>87</v>
      </c>
      <c r="AG9" t="s">
        <v>182</v>
      </c>
      <c r="AH9" t="s">
        <v>183</v>
      </c>
      <c r="AI9" t="s">
        <v>92</v>
      </c>
      <c r="AJ9" t="s">
        <v>131</v>
      </c>
      <c r="AK9" t="s">
        <v>184</v>
      </c>
      <c r="AL9" t="s">
        <v>95</v>
      </c>
      <c r="AM9" t="s">
        <v>96</v>
      </c>
      <c r="AN9" t="s">
        <v>97</v>
      </c>
      <c r="AO9" t="s">
        <v>98</v>
      </c>
      <c r="AP9" t="s">
        <v>78</v>
      </c>
      <c r="AQ9" t="s">
        <v>99</v>
      </c>
      <c r="AS9" t="s">
        <v>78</v>
      </c>
      <c r="AT9" t="s">
        <v>100</v>
      </c>
      <c r="AU9" t="s">
        <v>100</v>
      </c>
      <c r="AW9" t="s">
        <v>85</v>
      </c>
      <c r="AX9" t="s">
        <v>103</v>
      </c>
      <c r="AY9" t="s">
        <v>159</v>
      </c>
      <c r="AZ9" t="s">
        <v>103</v>
      </c>
      <c r="BA9" t="s">
        <v>185</v>
      </c>
      <c r="BB9" t="s">
        <v>78</v>
      </c>
      <c r="BC9" t="s">
        <v>78</v>
      </c>
      <c r="BE9">
        <v>0</v>
      </c>
      <c r="BF9">
        <v>5</v>
      </c>
      <c r="BG9">
        <v>0</v>
      </c>
      <c r="BH9">
        <v>0</v>
      </c>
      <c r="BJ9" t="s">
        <v>85</v>
      </c>
      <c r="BP9" t="s">
        <v>78</v>
      </c>
      <c r="BQ9" t="s">
        <v>78</v>
      </c>
      <c r="BR9" t="s">
        <v>78</v>
      </c>
    </row>
    <row r="10" customFormat="1" spans="1:73">
      <c r="A10" t="s">
        <v>3865</v>
      </c>
      <c r="B10" t="s">
        <v>3865</v>
      </c>
      <c r="C10" t="s">
        <v>148</v>
      </c>
      <c r="D10" t="s">
        <v>187</v>
      </c>
      <c r="E10">
        <v>1</v>
      </c>
      <c r="F10" t="s">
        <v>3861</v>
      </c>
      <c r="G10" t="s">
        <v>188</v>
      </c>
      <c r="H10">
        <v>289</v>
      </c>
      <c r="I10">
        <v>289</v>
      </c>
      <c r="J10">
        <v>0</v>
      </c>
      <c r="K10">
        <v>0</v>
      </c>
      <c r="L10" t="s">
        <v>78</v>
      </c>
      <c r="M10" t="s">
        <v>78</v>
      </c>
      <c r="N10" t="s">
        <v>78</v>
      </c>
      <c r="O10">
        <v>0</v>
      </c>
      <c r="P10">
        <v>0</v>
      </c>
      <c r="Q10">
        <v>0</v>
      </c>
      <c r="R10" t="s">
        <v>125</v>
      </c>
      <c r="S10">
        <v>0</v>
      </c>
      <c r="T10" t="s">
        <v>80</v>
      </c>
      <c r="U10" t="s">
        <v>80</v>
      </c>
      <c r="V10" t="s">
        <v>189</v>
      </c>
      <c r="W10" t="s">
        <v>190</v>
      </c>
      <c r="X10" t="s">
        <v>191</v>
      </c>
      <c r="Y10" t="s">
        <v>192</v>
      </c>
      <c r="Z10" t="s">
        <v>80</v>
      </c>
      <c r="AA10" t="s">
        <v>85</v>
      </c>
      <c r="AC10" t="s">
        <v>193</v>
      </c>
      <c r="AD10" t="s">
        <v>87</v>
      </c>
      <c r="AH10" t="s">
        <v>91</v>
      </c>
      <c r="AI10" t="s">
        <v>92</v>
      </c>
      <c r="AJ10" t="s">
        <v>131</v>
      </c>
      <c r="AK10" t="s">
        <v>194</v>
      </c>
      <c r="AL10" t="s">
        <v>95</v>
      </c>
      <c r="AM10" t="s">
        <v>96</v>
      </c>
      <c r="AN10" t="s">
        <v>97</v>
      </c>
      <c r="AO10" t="s">
        <v>98</v>
      </c>
      <c r="AP10" t="s">
        <v>78</v>
      </c>
      <c r="AQ10" t="s">
        <v>78</v>
      </c>
      <c r="AR10" t="s">
        <v>195</v>
      </c>
      <c r="AS10" t="s">
        <v>78</v>
      </c>
      <c r="AT10" t="s">
        <v>100</v>
      </c>
      <c r="AU10" t="s">
        <v>100</v>
      </c>
      <c r="AW10" t="s">
        <v>85</v>
      </c>
      <c r="AX10" t="s">
        <v>101</v>
      </c>
      <c r="AY10" t="s">
        <v>102</v>
      </c>
      <c r="AZ10" t="s">
        <v>103</v>
      </c>
      <c r="BA10" t="s">
        <v>133</v>
      </c>
      <c r="BB10" t="s">
        <v>78</v>
      </c>
      <c r="BC10" t="s">
        <v>78</v>
      </c>
      <c r="BE10">
        <v>0</v>
      </c>
      <c r="BF10">
        <v>0</v>
      </c>
      <c r="BG10">
        <v>0</v>
      </c>
      <c r="BH10">
        <v>0</v>
      </c>
      <c r="BJ10" t="s">
        <v>85</v>
      </c>
      <c r="BP10" t="s">
        <v>78</v>
      </c>
      <c r="BQ10" t="s">
        <v>78</v>
      </c>
      <c r="BR10" t="s">
        <v>78</v>
      </c>
    </row>
    <row r="11" customFormat="1" spans="1:73">
      <c r="A11" t="s">
        <v>3866</v>
      </c>
      <c r="B11" t="s">
        <v>3866</v>
      </c>
      <c r="C11" t="s">
        <v>148</v>
      </c>
      <c r="D11" t="s">
        <v>149</v>
      </c>
      <c r="E11">
        <v>1</v>
      </c>
      <c r="F11" t="s">
        <v>3861</v>
      </c>
      <c r="G11" t="s">
        <v>151</v>
      </c>
      <c r="H11">
        <v>289</v>
      </c>
      <c r="I11">
        <v>267</v>
      </c>
      <c r="J11">
        <v>0</v>
      </c>
      <c r="K11">
        <v>22</v>
      </c>
      <c r="L11" t="s">
        <v>197</v>
      </c>
      <c r="M11" t="s">
        <v>78</v>
      </c>
      <c r="N11" t="s">
        <v>78</v>
      </c>
      <c r="O11">
        <v>0</v>
      </c>
      <c r="P11">
        <v>0</v>
      </c>
      <c r="Q11">
        <v>0</v>
      </c>
      <c r="R11" t="s">
        <v>79</v>
      </c>
      <c r="S11">
        <v>0</v>
      </c>
      <c r="T11" t="s">
        <v>80</v>
      </c>
      <c r="U11" t="s">
        <v>80</v>
      </c>
      <c r="V11" t="s">
        <v>112</v>
      </c>
      <c r="W11" t="s">
        <v>198</v>
      </c>
      <c r="X11" t="s">
        <v>199</v>
      </c>
      <c r="Y11" t="s">
        <v>200</v>
      </c>
      <c r="Z11" t="s">
        <v>80</v>
      </c>
      <c r="AA11" t="s">
        <v>85</v>
      </c>
      <c r="AC11" t="s">
        <v>201</v>
      </c>
      <c r="AD11" t="s">
        <v>202</v>
      </c>
      <c r="AE11" t="s">
        <v>203</v>
      </c>
      <c r="AG11" t="s">
        <v>204</v>
      </c>
      <c r="AH11" t="s">
        <v>91</v>
      </c>
      <c r="AI11" t="s">
        <v>92</v>
      </c>
      <c r="AJ11" t="s">
        <v>131</v>
      </c>
      <c r="AK11" t="s">
        <v>205</v>
      </c>
      <c r="AL11" t="s">
        <v>95</v>
      </c>
      <c r="AM11" t="s">
        <v>96</v>
      </c>
      <c r="AN11" t="s">
        <v>97</v>
      </c>
      <c r="AO11" t="s">
        <v>98</v>
      </c>
      <c r="AP11" t="s">
        <v>78</v>
      </c>
      <c r="AQ11" t="s">
        <v>99</v>
      </c>
      <c r="AS11" t="s">
        <v>78</v>
      </c>
      <c r="AT11" t="s">
        <v>100</v>
      </c>
      <c r="AU11" t="s">
        <v>100</v>
      </c>
      <c r="AW11" t="s">
        <v>85</v>
      </c>
      <c r="AX11" t="s">
        <v>101</v>
      </c>
      <c r="AY11" t="s">
        <v>102</v>
      </c>
      <c r="AZ11" t="s">
        <v>103</v>
      </c>
      <c r="BA11" t="s">
        <v>104</v>
      </c>
      <c r="BB11" t="s">
        <v>78</v>
      </c>
      <c r="BC11" t="s">
        <v>78</v>
      </c>
      <c r="BD11" t="s">
        <v>206</v>
      </c>
      <c r="BE11">
        <v>0</v>
      </c>
      <c r="BF11">
        <v>22</v>
      </c>
      <c r="BG11">
        <v>0</v>
      </c>
      <c r="BH11">
        <v>0</v>
      </c>
      <c r="BJ11" t="s">
        <v>85</v>
      </c>
      <c r="BP11" t="s">
        <v>78</v>
      </c>
      <c r="BQ11" t="s">
        <v>78</v>
      </c>
      <c r="BR11" t="s">
        <v>78</v>
      </c>
    </row>
    <row r="12" customFormat="1" spans="1:73">
      <c r="A12" t="s">
        <v>3867</v>
      </c>
      <c r="B12" t="s">
        <v>3867</v>
      </c>
      <c r="C12" t="s">
        <v>208</v>
      </c>
      <c r="D12" t="s">
        <v>209</v>
      </c>
      <c r="E12">
        <v>1</v>
      </c>
      <c r="F12" t="s">
        <v>3868</v>
      </c>
      <c r="G12" t="s">
        <v>211</v>
      </c>
      <c r="H12">
        <v>229</v>
      </c>
      <c r="I12">
        <v>229</v>
      </c>
      <c r="J12">
        <v>0</v>
      </c>
      <c r="K12">
        <v>0</v>
      </c>
      <c r="L12" t="s">
        <v>78</v>
      </c>
      <c r="M12" t="s">
        <v>78</v>
      </c>
      <c r="N12" t="s">
        <v>78</v>
      </c>
      <c r="O12">
        <v>0</v>
      </c>
      <c r="P12">
        <v>0</v>
      </c>
      <c r="Q12">
        <v>0</v>
      </c>
      <c r="R12" t="s">
        <v>125</v>
      </c>
      <c r="S12">
        <v>0</v>
      </c>
      <c r="T12" t="s">
        <v>80</v>
      </c>
      <c r="U12" t="s">
        <v>80</v>
      </c>
      <c r="V12" t="s">
        <v>152</v>
      </c>
      <c r="W12" t="s">
        <v>153</v>
      </c>
      <c r="X12" t="s">
        <v>154</v>
      </c>
      <c r="Y12" t="s">
        <v>212</v>
      </c>
      <c r="Z12" t="s">
        <v>80</v>
      </c>
      <c r="AA12" t="s">
        <v>85</v>
      </c>
      <c r="AC12" t="s">
        <v>213</v>
      </c>
      <c r="AD12" t="s">
        <v>202</v>
      </c>
      <c r="AE12" t="s">
        <v>214</v>
      </c>
      <c r="AG12" t="s">
        <v>215</v>
      </c>
      <c r="AH12" t="s">
        <v>91</v>
      </c>
      <c r="AI12" t="s">
        <v>216</v>
      </c>
      <c r="AJ12" t="s">
        <v>131</v>
      </c>
      <c r="AK12" t="s">
        <v>217</v>
      </c>
      <c r="AL12" t="s">
        <v>95</v>
      </c>
      <c r="AM12" t="s">
        <v>96</v>
      </c>
      <c r="AN12" t="s">
        <v>96</v>
      </c>
      <c r="AP12" t="s">
        <v>78</v>
      </c>
      <c r="AQ12" t="s">
        <v>99</v>
      </c>
      <c r="AS12" t="s">
        <v>78</v>
      </c>
      <c r="AT12" t="s">
        <v>100</v>
      </c>
      <c r="AU12" t="s">
        <v>100</v>
      </c>
      <c r="AW12" t="s">
        <v>85</v>
      </c>
      <c r="AX12" t="s">
        <v>101</v>
      </c>
      <c r="AY12" t="s">
        <v>102</v>
      </c>
      <c r="AZ12" t="s">
        <v>145</v>
      </c>
      <c r="BA12" t="s">
        <v>218</v>
      </c>
      <c r="BB12" t="s">
        <v>78</v>
      </c>
      <c r="BC12" t="s">
        <v>78</v>
      </c>
      <c r="BD12" t="s">
        <v>219</v>
      </c>
      <c r="BE12">
        <v>0</v>
      </c>
      <c r="BF12">
        <v>0</v>
      </c>
      <c r="BG12">
        <v>0</v>
      </c>
      <c r="BH12">
        <v>0</v>
      </c>
      <c r="BJ12" t="s">
        <v>85</v>
      </c>
      <c r="BP12" t="s">
        <v>78</v>
      </c>
      <c r="BQ12" t="s">
        <v>78</v>
      </c>
      <c r="BR12" t="s">
        <v>78</v>
      </c>
    </row>
    <row r="13" customFormat="1" spans="1:73">
      <c r="A13" t="s">
        <v>3869</v>
      </c>
      <c r="B13" t="s">
        <v>3869</v>
      </c>
      <c r="C13" t="s">
        <v>74</v>
      </c>
      <c r="D13" t="s">
        <v>75</v>
      </c>
      <c r="E13">
        <v>1</v>
      </c>
      <c r="F13" t="s">
        <v>3855</v>
      </c>
      <c r="G13" t="s">
        <v>77</v>
      </c>
      <c r="H13">
        <v>329</v>
      </c>
      <c r="I13">
        <v>329</v>
      </c>
      <c r="J13">
        <v>0</v>
      </c>
      <c r="K13">
        <v>0</v>
      </c>
      <c r="L13" t="s">
        <v>78</v>
      </c>
      <c r="M13" t="s">
        <v>78</v>
      </c>
      <c r="N13" t="s">
        <v>78</v>
      </c>
      <c r="O13">
        <v>0</v>
      </c>
      <c r="P13">
        <v>0</v>
      </c>
      <c r="Q13">
        <v>0</v>
      </c>
      <c r="R13" t="s">
        <v>111</v>
      </c>
      <c r="S13">
        <v>0</v>
      </c>
      <c r="T13" t="s">
        <v>80</v>
      </c>
      <c r="U13" t="s">
        <v>80</v>
      </c>
      <c r="V13" t="s">
        <v>221</v>
      </c>
      <c r="W13" t="s">
        <v>222</v>
      </c>
      <c r="X13" t="s">
        <v>223</v>
      </c>
      <c r="Y13" t="s">
        <v>224</v>
      </c>
      <c r="Z13" t="s">
        <v>80</v>
      </c>
      <c r="AA13" t="s">
        <v>85</v>
      </c>
      <c r="AC13" t="s">
        <v>225</v>
      </c>
      <c r="AD13" t="s">
        <v>87</v>
      </c>
      <c r="AG13" t="s">
        <v>226</v>
      </c>
      <c r="AH13" t="s">
        <v>227</v>
      </c>
      <c r="AI13" t="s">
        <v>92</v>
      </c>
      <c r="AJ13" t="s">
        <v>131</v>
      </c>
      <c r="AK13" t="s">
        <v>228</v>
      </c>
      <c r="AL13" t="s">
        <v>95</v>
      </c>
      <c r="AM13" t="s">
        <v>96</v>
      </c>
      <c r="AN13" t="s">
        <v>97</v>
      </c>
      <c r="AO13" t="s">
        <v>98</v>
      </c>
      <c r="AP13" t="s">
        <v>78</v>
      </c>
      <c r="AQ13" t="s">
        <v>99</v>
      </c>
      <c r="AS13" t="s">
        <v>78</v>
      </c>
      <c r="AT13" t="s">
        <v>100</v>
      </c>
      <c r="AU13" t="s">
        <v>100</v>
      </c>
      <c r="AW13" t="s">
        <v>85</v>
      </c>
      <c r="AX13" t="s">
        <v>101</v>
      </c>
      <c r="AY13" t="s">
        <v>102</v>
      </c>
      <c r="AZ13" t="s">
        <v>103</v>
      </c>
      <c r="BA13" t="s">
        <v>104</v>
      </c>
      <c r="BB13" t="s">
        <v>78</v>
      </c>
      <c r="BC13" t="s">
        <v>78</v>
      </c>
      <c r="BE13">
        <v>0</v>
      </c>
      <c r="BF13">
        <v>0</v>
      </c>
      <c r="BG13">
        <v>0</v>
      </c>
      <c r="BH13">
        <v>0</v>
      </c>
      <c r="BJ13" t="s">
        <v>85</v>
      </c>
      <c r="BP13" t="s">
        <v>78</v>
      </c>
      <c r="BQ13" t="s">
        <v>78</v>
      </c>
      <c r="BR13" t="s">
        <v>78</v>
      </c>
    </row>
    <row r="14" customFormat="1" spans="1:73">
      <c r="A14" t="s">
        <v>3870</v>
      </c>
      <c r="B14" t="s">
        <v>3870</v>
      </c>
      <c r="C14" t="s">
        <v>74</v>
      </c>
      <c r="D14" t="s">
        <v>230</v>
      </c>
      <c r="E14">
        <v>1</v>
      </c>
      <c r="F14" t="s">
        <v>3855</v>
      </c>
      <c r="G14" t="s">
        <v>231</v>
      </c>
      <c r="H14">
        <v>329</v>
      </c>
      <c r="I14">
        <v>329</v>
      </c>
      <c r="J14">
        <v>0</v>
      </c>
      <c r="K14">
        <v>0</v>
      </c>
      <c r="L14" t="s">
        <v>78</v>
      </c>
      <c r="M14" t="s">
        <v>78</v>
      </c>
      <c r="N14" t="s">
        <v>78</v>
      </c>
      <c r="O14">
        <v>0</v>
      </c>
      <c r="P14">
        <v>0</v>
      </c>
      <c r="Q14">
        <v>0</v>
      </c>
      <c r="R14" t="s">
        <v>79</v>
      </c>
      <c r="S14">
        <v>0</v>
      </c>
      <c r="T14" t="s">
        <v>80</v>
      </c>
      <c r="U14" t="s">
        <v>80</v>
      </c>
      <c r="V14" t="s">
        <v>167</v>
      </c>
      <c r="W14" t="s">
        <v>232</v>
      </c>
      <c r="X14" t="s">
        <v>233</v>
      </c>
      <c r="Y14" t="s">
        <v>234</v>
      </c>
      <c r="Z14" t="s">
        <v>80</v>
      </c>
      <c r="AA14" t="s">
        <v>85</v>
      </c>
      <c r="AC14" t="s">
        <v>235</v>
      </c>
      <c r="AD14" t="s">
        <v>87</v>
      </c>
      <c r="AG14" t="s">
        <v>236</v>
      </c>
      <c r="AH14" t="s">
        <v>91</v>
      </c>
      <c r="AI14" t="s">
        <v>92</v>
      </c>
      <c r="AJ14" t="s">
        <v>131</v>
      </c>
      <c r="AK14" t="s">
        <v>237</v>
      </c>
      <c r="AL14" t="s">
        <v>95</v>
      </c>
      <c r="AM14" t="s">
        <v>96</v>
      </c>
      <c r="AN14" t="s">
        <v>97</v>
      </c>
      <c r="AO14" t="s">
        <v>98</v>
      </c>
      <c r="AP14" t="s">
        <v>78</v>
      </c>
      <c r="AQ14" t="s">
        <v>99</v>
      </c>
      <c r="AS14" t="s">
        <v>78</v>
      </c>
      <c r="AT14" t="s">
        <v>100</v>
      </c>
      <c r="AU14" t="s">
        <v>100</v>
      </c>
      <c r="AW14" t="s">
        <v>85</v>
      </c>
      <c r="AX14" t="s">
        <v>101</v>
      </c>
      <c r="AY14" t="s">
        <v>102</v>
      </c>
      <c r="AZ14" t="s">
        <v>103</v>
      </c>
      <c r="BA14" t="s">
        <v>133</v>
      </c>
      <c r="BB14" t="s">
        <v>78</v>
      </c>
      <c r="BC14" t="s">
        <v>78</v>
      </c>
      <c r="BE14">
        <v>0</v>
      </c>
      <c r="BF14">
        <v>0</v>
      </c>
      <c r="BG14">
        <v>0</v>
      </c>
      <c r="BH14">
        <v>0</v>
      </c>
      <c r="BJ14" t="s">
        <v>85</v>
      </c>
      <c r="BP14" t="s">
        <v>78</v>
      </c>
      <c r="BQ14" t="s">
        <v>78</v>
      </c>
      <c r="BR14" t="s">
        <v>78</v>
      </c>
    </row>
    <row r="15" customFormat="1" spans="1:73">
      <c r="A15" t="s">
        <v>3871</v>
      </c>
      <c r="B15" t="s">
        <v>3871</v>
      </c>
      <c r="C15" t="s">
        <v>74</v>
      </c>
      <c r="D15" t="s">
        <v>230</v>
      </c>
      <c r="E15">
        <v>1</v>
      </c>
      <c r="F15" t="s">
        <v>3855</v>
      </c>
      <c r="G15" t="s">
        <v>231</v>
      </c>
      <c r="H15">
        <v>329</v>
      </c>
      <c r="I15">
        <v>329</v>
      </c>
      <c r="J15">
        <v>0</v>
      </c>
      <c r="K15">
        <v>0</v>
      </c>
      <c r="L15" t="s">
        <v>78</v>
      </c>
      <c r="M15" t="s">
        <v>78</v>
      </c>
      <c r="N15" t="s">
        <v>78</v>
      </c>
      <c r="O15">
        <v>0</v>
      </c>
      <c r="P15">
        <v>0</v>
      </c>
      <c r="Q15">
        <v>0</v>
      </c>
      <c r="R15" t="s">
        <v>79</v>
      </c>
      <c r="S15">
        <v>0</v>
      </c>
      <c r="T15" t="s">
        <v>80</v>
      </c>
      <c r="U15" t="s">
        <v>80</v>
      </c>
      <c r="V15" t="s">
        <v>239</v>
      </c>
      <c r="W15" t="s">
        <v>240</v>
      </c>
      <c r="X15" t="s">
        <v>241</v>
      </c>
      <c r="Y15" t="s">
        <v>78</v>
      </c>
      <c r="Z15" t="s">
        <v>80</v>
      </c>
      <c r="AA15" t="s">
        <v>85</v>
      </c>
      <c r="AC15" t="s">
        <v>242</v>
      </c>
      <c r="AD15" t="s">
        <v>87</v>
      </c>
      <c r="AG15" t="s">
        <v>243</v>
      </c>
      <c r="AH15" t="s">
        <v>91</v>
      </c>
      <c r="AI15" t="s">
        <v>92</v>
      </c>
      <c r="AJ15" t="s">
        <v>131</v>
      </c>
      <c r="AK15" t="s">
        <v>244</v>
      </c>
      <c r="AL15" t="s">
        <v>95</v>
      </c>
      <c r="AM15" t="s">
        <v>96</v>
      </c>
      <c r="AN15" t="s">
        <v>97</v>
      </c>
      <c r="AO15" t="s">
        <v>98</v>
      </c>
      <c r="AP15" t="s">
        <v>78</v>
      </c>
      <c r="AQ15" t="s">
        <v>99</v>
      </c>
      <c r="AS15" t="s">
        <v>78</v>
      </c>
      <c r="AT15" t="s">
        <v>100</v>
      </c>
      <c r="AU15" t="s">
        <v>100</v>
      </c>
      <c r="AW15" t="s">
        <v>85</v>
      </c>
      <c r="AX15" t="s">
        <v>101</v>
      </c>
      <c r="AY15" t="s">
        <v>102</v>
      </c>
      <c r="AZ15" t="s">
        <v>103</v>
      </c>
      <c r="BA15" t="s">
        <v>245</v>
      </c>
      <c r="BB15" t="s">
        <v>78</v>
      </c>
      <c r="BC15" t="s">
        <v>78</v>
      </c>
      <c r="BE15">
        <v>0</v>
      </c>
      <c r="BF15">
        <v>0</v>
      </c>
      <c r="BG15">
        <v>0</v>
      </c>
      <c r="BH15">
        <v>0</v>
      </c>
      <c r="BJ15" t="s">
        <v>85</v>
      </c>
      <c r="BP15" t="s">
        <v>78</v>
      </c>
      <c r="BQ15" t="s">
        <v>78</v>
      </c>
      <c r="BR15" t="s">
        <v>78</v>
      </c>
    </row>
    <row r="16" customFormat="1" spans="1:73">
      <c r="A16" t="s">
        <v>3872</v>
      </c>
      <c r="B16" t="s">
        <v>3872</v>
      </c>
      <c r="C16" t="s">
        <v>74</v>
      </c>
      <c r="D16" t="s">
        <v>247</v>
      </c>
      <c r="E16">
        <v>1</v>
      </c>
      <c r="F16" t="s">
        <v>3855</v>
      </c>
      <c r="G16" t="s">
        <v>248</v>
      </c>
      <c r="H16">
        <v>329</v>
      </c>
      <c r="I16">
        <v>329</v>
      </c>
      <c r="J16">
        <v>0</v>
      </c>
      <c r="K16">
        <v>0</v>
      </c>
      <c r="L16" t="s">
        <v>78</v>
      </c>
      <c r="M16" t="s">
        <v>78</v>
      </c>
      <c r="N16" t="s">
        <v>78</v>
      </c>
      <c r="O16">
        <v>0</v>
      </c>
      <c r="P16">
        <v>0</v>
      </c>
      <c r="Q16">
        <v>0</v>
      </c>
      <c r="R16" t="s">
        <v>111</v>
      </c>
      <c r="S16">
        <v>0</v>
      </c>
      <c r="T16" t="s">
        <v>80</v>
      </c>
      <c r="U16" t="s">
        <v>80</v>
      </c>
      <c r="V16" t="s">
        <v>152</v>
      </c>
      <c r="W16" t="s">
        <v>249</v>
      </c>
      <c r="X16" t="s">
        <v>250</v>
      </c>
      <c r="Y16" t="s">
        <v>251</v>
      </c>
      <c r="Z16" t="s">
        <v>80</v>
      </c>
      <c r="AA16" t="s">
        <v>85</v>
      </c>
      <c r="AC16" t="s">
        <v>252</v>
      </c>
      <c r="AD16" t="s">
        <v>87</v>
      </c>
      <c r="AG16" t="s">
        <v>253</v>
      </c>
      <c r="AH16" t="s">
        <v>254</v>
      </c>
      <c r="AI16" t="s">
        <v>92</v>
      </c>
      <c r="AJ16" t="s">
        <v>131</v>
      </c>
      <c r="AK16" t="s">
        <v>255</v>
      </c>
      <c r="AL16" t="s">
        <v>95</v>
      </c>
      <c r="AM16" t="s">
        <v>96</v>
      </c>
      <c r="AN16" t="s">
        <v>97</v>
      </c>
      <c r="AO16" t="s">
        <v>98</v>
      </c>
      <c r="AP16" t="s">
        <v>78</v>
      </c>
      <c r="AQ16" t="s">
        <v>99</v>
      </c>
      <c r="AS16" t="s">
        <v>78</v>
      </c>
      <c r="AT16" t="s">
        <v>100</v>
      </c>
      <c r="AU16" t="s">
        <v>100</v>
      </c>
      <c r="AW16" t="s">
        <v>85</v>
      </c>
      <c r="AX16" t="s">
        <v>103</v>
      </c>
      <c r="AY16" t="s">
        <v>159</v>
      </c>
      <c r="AZ16" t="s">
        <v>103</v>
      </c>
      <c r="BA16" t="s">
        <v>102</v>
      </c>
      <c r="BB16" t="s">
        <v>78</v>
      </c>
      <c r="BC16" t="s">
        <v>78</v>
      </c>
      <c r="BE16">
        <v>0</v>
      </c>
      <c r="BF16">
        <v>0</v>
      </c>
      <c r="BG16">
        <v>0</v>
      </c>
      <c r="BH16">
        <v>0</v>
      </c>
      <c r="BJ16" t="s">
        <v>85</v>
      </c>
      <c r="BP16" t="s">
        <v>78</v>
      </c>
      <c r="BQ16" t="s">
        <v>78</v>
      </c>
      <c r="BR16" t="s">
        <v>78</v>
      </c>
    </row>
    <row r="17" customFormat="1" spans="1:70">
      <c r="A17" t="s">
        <v>3873</v>
      </c>
      <c r="B17" t="s">
        <v>3873</v>
      </c>
      <c r="C17" t="s">
        <v>74</v>
      </c>
      <c r="D17" t="s">
        <v>247</v>
      </c>
      <c r="E17">
        <v>1</v>
      </c>
      <c r="F17" t="s">
        <v>3855</v>
      </c>
      <c r="G17" t="s">
        <v>248</v>
      </c>
      <c r="H17">
        <v>329</v>
      </c>
      <c r="I17">
        <v>329</v>
      </c>
      <c r="J17">
        <v>0</v>
      </c>
      <c r="K17">
        <v>0</v>
      </c>
      <c r="L17" t="s">
        <v>78</v>
      </c>
      <c r="M17" t="s">
        <v>78</v>
      </c>
      <c r="N17" t="s">
        <v>78</v>
      </c>
      <c r="O17">
        <v>0</v>
      </c>
      <c r="P17">
        <v>0</v>
      </c>
      <c r="Q17">
        <v>0</v>
      </c>
      <c r="R17" t="s">
        <v>125</v>
      </c>
      <c r="S17">
        <v>0</v>
      </c>
      <c r="T17" t="s">
        <v>80</v>
      </c>
      <c r="U17" t="s">
        <v>80</v>
      </c>
      <c r="V17" t="s">
        <v>257</v>
      </c>
      <c r="W17" t="s">
        <v>257</v>
      </c>
      <c r="X17" t="s">
        <v>258</v>
      </c>
      <c r="Y17" t="s">
        <v>78</v>
      </c>
      <c r="Z17" t="s">
        <v>80</v>
      </c>
      <c r="AA17" t="s">
        <v>85</v>
      </c>
      <c r="AC17" t="s">
        <v>259</v>
      </c>
      <c r="AD17" t="s">
        <v>87</v>
      </c>
      <c r="AG17" t="s">
        <v>260</v>
      </c>
      <c r="AH17" t="s">
        <v>91</v>
      </c>
      <c r="AI17" t="s">
        <v>92</v>
      </c>
      <c r="AJ17" t="s">
        <v>131</v>
      </c>
      <c r="AK17" t="s">
        <v>261</v>
      </c>
      <c r="AL17" t="s">
        <v>95</v>
      </c>
      <c r="AM17" t="s">
        <v>96</v>
      </c>
      <c r="AN17" t="s">
        <v>97</v>
      </c>
      <c r="AO17" t="s">
        <v>98</v>
      </c>
      <c r="AP17" t="s">
        <v>78</v>
      </c>
      <c r="AQ17" t="s">
        <v>99</v>
      </c>
      <c r="AS17" t="s">
        <v>78</v>
      </c>
      <c r="AT17" t="s">
        <v>100</v>
      </c>
      <c r="AU17" t="s">
        <v>100</v>
      </c>
      <c r="AW17" t="s">
        <v>85</v>
      </c>
      <c r="AX17" t="s">
        <v>101</v>
      </c>
      <c r="AY17" t="s">
        <v>102</v>
      </c>
      <c r="AZ17" t="s">
        <v>103</v>
      </c>
      <c r="BA17" t="s">
        <v>245</v>
      </c>
      <c r="BB17" t="s">
        <v>78</v>
      </c>
      <c r="BC17" t="s">
        <v>78</v>
      </c>
      <c r="BE17">
        <v>0</v>
      </c>
      <c r="BF17">
        <v>0</v>
      </c>
      <c r="BG17">
        <v>0</v>
      </c>
      <c r="BH17">
        <v>0</v>
      </c>
      <c r="BJ17" t="s">
        <v>85</v>
      </c>
      <c r="BP17" t="s">
        <v>78</v>
      </c>
      <c r="BQ17" t="s">
        <v>78</v>
      </c>
      <c r="BR17" t="s">
        <v>78</v>
      </c>
    </row>
    <row r="18" customFormat="1" spans="1:70">
      <c r="A18" t="s">
        <v>3874</v>
      </c>
      <c r="B18" t="s">
        <v>3874</v>
      </c>
      <c r="C18" t="s">
        <v>74</v>
      </c>
      <c r="D18" t="s">
        <v>247</v>
      </c>
      <c r="E18">
        <v>1</v>
      </c>
      <c r="F18" t="s">
        <v>3855</v>
      </c>
      <c r="G18" t="s">
        <v>248</v>
      </c>
      <c r="H18">
        <v>329</v>
      </c>
      <c r="I18">
        <v>329</v>
      </c>
      <c r="J18">
        <v>0</v>
      </c>
      <c r="K18">
        <v>0</v>
      </c>
      <c r="L18" t="s">
        <v>78</v>
      </c>
      <c r="M18" t="s">
        <v>78</v>
      </c>
      <c r="N18" t="s">
        <v>78</v>
      </c>
      <c r="O18">
        <v>0</v>
      </c>
      <c r="P18">
        <v>0</v>
      </c>
      <c r="Q18">
        <v>0</v>
      </c>
      <c r="R18" t="s">
        <v>111</v>
      </c>
      <c r="S18">
        <v>0</v>
      </c>
      <c r="T18" t="s">
        <v>80</v>
      </c>
      <c r="U18" t="s">
        <v>80</v>
      </c>
      <c r="V18" t="s">
        <v>239</v>
      </c>
      <c r="W18" t="s">
        <v>263</v>
      </c>
      <c r="X18" t="s">
        <v>264</v>
      </c>
      <c r="Y18" t="s">
        <v>265</v>
      </c>
      <c r="Z18" t="s">
        <v>80</v>
      </c>
      <c r="AA18" t="s">
        <v>85</v>
      </c>
      <c r="AC18" t="s">
        <v>266</v>
      </c>
      <c r="AD18" t="s">
        <v>202</v>
      </c>
      <c r="AE18" t="s">
        <v>267</v>
      </c>
      <c r="AG18" t="s">
        <v>268</v>
      </c>
      <c r="AH18" t="s">
        <v>91</v>
      </c>
      <c r="AI18" t="s">
        <v>92</v>
      </c>
      <c r="AJ18" t="s">
        <v>131</v>
      </c>
      <c r="AK18" t="s">
        <v>269</v>
      </c>
      <c r="AL18" t="s">
        <v>95</v>
      </c>
      <c r="AM18" t="s">
        <v>96</v>
      </c>
      <c r="AN18" t="s">
        <v>97</v>
      </c>
      <c r="AO18" t="s">
        <v>98</v>
      </c>
      <c r="AP18" t="s">
        <v>78</v>
      </c>
      <c r="AQ18" t="s">
        <v>99</v>
      </c>
      <c r="AS18" t="s">
        <v>78</v>
      </c>
      <c r="AT18" t="s">
        <v>100</v>
      </c>
      <c r="AU18" t="s">
        <v>100</v>
      </c>
      <c r="AW18" t="s">
        <v>85</v>
      </c>
      <c r="AX18" t="s">
        <v>101</v>
      </c>
      <c r="AY18" t="s">
        <v>102</v>
      </c>
      <c r="AZ18" t="s">
        <v>103</v>
      </c>
      <c r="BA18" t="s">
        <v>133</v>
      </c>
      <c r="BB18" t="s">
        <v>78</v>
      </c>
      <c r="BC18" t="s">
        <v>78</v>
      </c>
      <c r="BD18" t="s">
        <v>105</v>
      </c>
      <c r="BE18">
        <v>0</v>
      </c>
      <c r="BF18">
        <v>0</v>
      </c>
      <c r="BG18">
        <v>0</v>
      </c>
      <c r="BH18">
        <v>0</v>
      </c>
      <c r="BJ18" t="s">
        <v>85</v>
      </c>
      <c r="BP18" t="s">
        <v>78</v>
      </c>
      <c r="BQ18" t="s">
        <v>78</v>
      </c>
      <c r="BR18" t="s">
        <v>78</v>
      </c>
    </row>
    <row r="19" customFormat="1" spans="1:70">
      <c r="A19" t="s">
        <v>3875</v>
      </c>
      <c r="B19" t="s">
        <v>3875</v>
      </c>
      <c r="C19" t="s">
        <v>74</v>
      </c>
      <c r="D19" t="s">
        <v>230</v>
      </c>
      <c r="E19">
        <v>1</v>
      </c>
      <c r="F19" t="s">
        <v>3855</v>
      </c>
      <c r="G19" t="s">
        <v>231</v>
      </c>
      <c r="H19">
        <v>329</v>
      </c>
      <c r="I19">
        <v>329</v>
      </c>
      <c r="J19">
        <v>0</v>
      </c>
      <c r="K19">
        <v>0</v>
      </c>
      <c r="L19" t="s">
        <v>78</v>
      </c>
      <c r="M19" t="s">
        <v>78</v>
      </c>
      <c r="N19" t="s">
        <v>78</v>
      </c>
      <c r="O19">
        <v>0</v>
      </c>
      <c r="P19">
        <v>0</v>
      </c>
      <c r="Q19">
        <v>0</v>
      </c>
      <c r="R19" t="s">
        <v>125</v>
      </c>
      <c r="S19">
        <v>0</v>
      </c>
      <c r="T19" t="s">
        <v>80</v>
      </c>
      <c r="U19" t="s">
        <v>80</v>
      </c>
      <c r="V19" t="s">
        <v>271</v>
      </c>
      <c r="W19" t="s">
        <v>272</v>
      </c>
      <c r="X19" t="s">
        <v>273</v>
      </c>
      <c r="Y19" t="s">
        <v>274</v>
      </c>
      <c r="Z19" t="s">
        <v>80</v>
      </c>
      <c r="AA19" t="s">
        <v>85</v>
      </c>
      <c r="AC19" t="s">
        <v>275</v>
      </c>
      <c r="AD19" t="s">
        <v>87</v>
      </c>
      <c r="AG19" t="s">
        <v>266</v>
      </c>
      <c r="AH19" t="s">
        <v>91</v>
      </c>
      <c r="AI19" t="s">
        <v>92</v>
      </c>
      <c r="AJ19" t="s">
        <v>131</v>
      </c>
      <c r="AK19" t="s">
        <v>276</v>
      </c>
      <c r="AL19" t="s">
        <v>95</v>
      </c>
      <c r="AM19" t="s">
        <v>96</v>
      </c>
      <c r="AN19" t="s">
        <v>97</v>
      </c>
      <c r="AO19" t="s">
        <v>98</v>
      </c>
      <c r="AP19" t="s">
        <v>78</v>
      </c>
      <c r="AQ19" t="s">
        <v>99</v>
      </c>
      <c r="AS19" t="s">
        <v>78</v>
      </c>
      <c r="AT19" t="s">
        <v>100</v>
      </c>
      <c r="AU19" t="s">
        <v>100</v>
      </c>
      <c r="AW19" t="s">
        <v>85</v>
      </c>
      <c r="AX19" t="s">
        <v>101</v>
      </c>
      <c r="AY19" t="s">
        <v>102</v>
      </c>
      <c r="AZ19" t="s">
        <v>103</v>
      </c>
      <c r="BA19" t="s">
        <v>120</v>
      </c>
      <c r="BB19" t="s">
        <v>78</v>
      </c>
      <c r="BC19" t="s">
        <v>78</v>
      </c>
      <c r="BE19">
        <v>0</v>
      </c>
      <c r="BF19">
        <v>0</v>
      </c>
      <c r="BG19">
        <v>0</v>
      </c>
      <c r="BH19">
        <v>0</v>
      </c>
      <c r="BJ19" t="s">
        <v>85</v>
      </c>
      <c r="BP19" t="s">
        <v>78</v>
      </c>
      <c r="BQ19" t="s">
        <v>78</v>
      </c>
      <c r="BR19" t="s">
        <v>78</v>
      </c>
    </row>
    <row r="20" customFormat="1" spans="1:70">
      <c r="A20" t="s">
        <v>3876</v>
      </c>
      <c r="B20" t="s">
        <v>3876</v>
      </c>
      <c r="C20" t="s">
        <v>74</v>
      </c>
      <c r="D20" t="s">
        <v>75</v>
      </c>
      <c r="E20">
        <v>1</v>
      </c>
      <c r="F20" t="s">
        <v>3855</v>
      </c>
      <c r="G20" t="s">
        <v>77</v>
      </c>
      <c r="H20">
        <v>329</v>
      </c>
      <c r="I20">
        <v>329</v>
      </c>
      <c r="J20">
        <v>0</v>
      </c>
      <c r="K20">
        <v>0</v>
      </c>
      <c r="L20" t="s">
        <v>78</v>
      </c>
      <c r="M20" t="s">
        <v>78</v>
      </c>
      <c r="N20" t="s">
        <v>78</v>
      </c>
      <c r="O20">
        <v>0</v>
      </c>
      <c r="P20">
        <v>0</v>
      </c>
      <c r="Q20">
        <v>0</v>
      </c>
      <c r="R20" t="s">
        <v>125</v>
      </c>
      <c r="S20">
        <v>0</v>
      </c>
      <c r="T20" t="s">
        <v>80</v>
      </c>
      <c r="U20" t="s">
        <v>80</v>
      </c>
      <c r="V20" t="s">
        <v>239</v>
      </c>
      <c r="W20" t="s">
        <v>278</v>
      </c>
      <c r="X20" t="s">
        <v>279</v>
      </c>
      <c r="Y20" t="s">
        <v>280</v>
      </c>
      <c r="Z20" t="s">
        <v>80</v>
      </c>
      <c r="AA20" t="s">
        <v>85</v>
      </c>
      <c r="AC20" t="s">
        <v>281</v>
      </c>
      <c r="AD20" t="s">
        <v>87</v>
      </c>
      <c r="AG20" t="s">
        <v>282</v>
      </c>
      <c r="AH20" t="s">
        <v>91</v>
      </c>
      <c r="AI20" t="s">
        <v>92</v>
      </c>
      <c r="AJ20" t="s">
        <v>131</v>
      </c>
      <c r="AK20" t="s">
        <v>283</v>
      </c>
      <c r="AL20" t="s">
        <v>95</v>
      </c>
      <c r="AM20" t="s">
        <v>96</v>
      </c>
      <c r="AN20" t="s">
        <v>97</v>
      </c>
      <c r="AO20" t="s">
        <v>98</v>
      </c>
      <c r="AP20" t="s">
        <v>78</v>
      </c>
      <c r="AQ20" t="s">
        <v>99</v>
      </c>
      <c r="AS20" t="s">
        <v>78</v>
      </c>
      <c r="AT20" t="s">
        <v>100</v>
      </c>
      <c r="AU20" t="s">
        <v>100</v>
      </c>
      <c r="AW20" t="s">
        <v>85</v>
      </c>
      <c r="AX20" t="s">
        <v>101</v>
      </c>
      <c r="AY20" t="s">
        <v>102</v>
      </c>
      <c r="AZ20" t="s">
        <v>103</v>
      </c>
      <c r="BA20" t="s">
        <v>133</v>
      </c>
      <c r="BB20" t="s">
        <v>78</v>
      </c>
      <c r="BC20" t="s">
        <v>78</v>
      </c>
      <c r="BE20">
        <v>0</v>
      </c>
      <c r="BF20">
        <v>0</v>
      </c>
      <c r="BG20">
        <v>0</v>
      </c>
      <c r="BH20">
        <v>0</v>
      </c>
      <c r="BJ20" t="s">
        <v>85</v>
      </c>
      <c r="BP20" t="s">
        <v>78</v>
      </c>
      <c r="BQ20" t="s">
        <v>78</v>
      </c>
      <c r="BR20" t="s">
        <v>78</v>
      </c>
    </row>
    <row r="21" customFormat="1" spans="1:70">
      <c r="A21" t="s">
        <v>3877</v>
      </c>
      <c r="B21" t="s">
        <v>3877</v>
      </c>
      <c r="C21" t="s">
        <v>74</v>
      </c>
      <c r="D21" t="s">
        <v>247</v>
      </c>
      <c r="E21">
        <v>1</v>
      </c>
      <c r="F21" t="s">
        <v>3855</v>
      </c>
      <c r="G21" t="s">
        <v>248</v>
      </c>
      <c r="H21">
        <v>329</v>
      </c>
      <c r="I21">
        <v>329</v>
      </c>
      <c r="J21">
        <v>0</v>
      </c>
      <c r="K21">
        <v>0</v>
      </c>
      <c r="L21" t="s">
        <v>78</v>
      </c>
      <c r="M21" t="s">
        <v>78</v>
      </c>
      <c r="N21" t="s">
        <v>78</v>
      </c>
      <c r="O21">
        <v>0</v>
      </c>
      <c r="P21">
        <v>0</v>
      </c>
      <c r="Q21">
        <v>0</v>
      </c>
      <c r="R21" t="s">
        <v>125</v>
      </c>
      <c r="S21">
        <v>0</v>
      </c>
      <c r="T21" t="s">
        <v>80</v>
      </c>
      <c r="U21" t="s">
        <v>80</v>
      </c>
      <c r="V21" t="s">
        <v>167</v>
      </c>
      <c r="W21" t="s">
        <v>285</v>
      </c>
      <c r="X21" t="s">
        <v>286</v>
      </c>
      <c r="Y21" t="s">
        <v>287</v>
      </c>
      <c r="Z21" t="s">
        <v>80</v>
      </c>
      <c r="AA21" t="s">
        <v>85</v>
      </c>
      <c r="AC21" t="s">
        <v>288</v>
      </c>
      <c r="AD21" t="s">
        <v>87</v>
      </c>
      <c r="AF21" t="s">
        <v>289</v>
      </c>
      <c r="AG21" t="s">
        <v>290</v>
      </c>
      <c r="AH21" t="s">
        <v>227</v>
      </c>
      <c r="AI21" t="s">
        <v>92</v>
      </c>
      <c r="AJ21" t="s">
        <v>93</v>
      </c>
      <c r="AK21" t="s">
        <v>291</v>
      </c>
      <c r="AL21" t="s">
        <v>95</v>
      </c>
      <c r="AM21" t="s">
        <v>96</v>
      </c>
      <c r="AN21" t="s">
        <v>97</v>
      </c>
      <c r="AO21" t="s">
        <v>98</v>
      </c>
      <c r="AP21" t="s">
        <v>78</v>
      </c>
      <c r="AQ21" t="s">
        <v>78</v>
      </c>
      <c r="AS21" t="s">
        <v>78</v>
      </c>
      <c r="AT21" t="s">
        <v>100</v>
      </c>
      <c r="AU21" t="s">
        <v>100</v>
      </c>
      <c r="AW21" t="s">
        <v>85</v>
      </c>
      <c r="AX21" t="s">
        <v>103</v>
      </c>
      <c r="AY21" t="s">
        <v>159</v>
      </c>
      <c r="AZ21" t="s">
        <v>103</v>
      </c>
      <c r="BA21" t="s">
        <v>133</v>
      </c>
      <c r="BB21" t="s">
        <v>78</v>
      </c>
      <c r="BC21" t="s">
        <v>78</v>
      </c>
      <c r="BD21" t="s">
        <v>105</v>
      </c>
      <c r="BE21">
        <v>0</v>
      </c>
      <c r="BF21">
        <v>0</v>
      </c>
      <c r="BG21">
        <v>0</v>
      </c>
      <c r="BH21">
        <v>0</v>
      </c>
      <c r="BJ21" t="s">
        <v>85</v>
      </c>
      <c r="BP21" t="s">
        <v>78</v>
      </c>
      <c r="BQ21" t="s">
        <v>78</v>
      </c>
      <c r="BR21" t="s">
        <v>78</v>
      </c>
    </row>
    <row r="22" customFormat="1" spans="1:70">
      <c r="A22" t="s">
        <v>3878</v>
      </c>
      <c r="B22" t="s">
        <v>3878</v>
      </c>
      <c r="C22" t="s">
        <v>74</v>
      </c>
      <c r="D22" t="s">
        <v>247</v>
      </c>
      <c r="E22">
        <v>1</v>
      </c>
      <c r="F22" t="s">
        <v>3855</v>
      </c>
      <c r="G22" t="s">
        <v>248</v>
      </c>
      <c r="H22">
        <v>329</v>
      </c>
      <c r="I22">
        <v>329</v>
      </c>
      <c r="J22">
        <v>0</v>
      </c>
      <c r="K22">
        <v>0</v>
      </c>
      <c r="L22" t="s">
        <v>78</v>
      </c>
      <c r="M22" t="s">
        <v>78</v>
      </c>
      <c r="N22" t="s">
        <v>78</v>
      </c>
      <c r="O22">
        <v>0</v>
      </c>
      <c r="P22">
        <v>0</v>
      </c>
      <c r="Q22">
        <v>0</v>
      </c>
      <c r="R22" t="s">
        <v>79</v>
      </c>
      <c r="S22">
        <v>0</v>
      </c>
      <c r="T22" t="s">
        <v>80</v>
      </c>
      <c r="U22" t="s">
        <v>80</v>
      </c>
      <c r="V22" t="s">
        <v>178</v>
      </c>
      <c r="W22" t="s">
        <v>178</v>
      </c>
      <c r="X22" t="s">
        <v>293</v>
      </c>
      <c r="Y22" t="s">
        <v>294</v>
      </c>
      <c r="Z22" t="s">
        <v>80</v>
      </c>
      <c r="AA22" t="s">
        <v>85</v>
      </c>
      <c r="AC22" t="s">
        <v>295</v>
      </c>
      <c r="AD22" t="s">
        <v>202</v>
      </c>
      <c r="AE22" t="s">
        <v>296</v>
      </c>
      <c r="AG22" t="s">
        <v>297</v>
      </c>
      <c r="AH22" t="s">
        <v>298</v>
      </c>
      <c r="AI22" t="s">
        <v>92</v>
      </c>
      <c r="AJ22" t="s">
        <v>131</v>
      </c>
      <c r="AK22" t="s">
        <v>299</v>
      </c>
      <c r="AL22" t="s">
        <v>95</v>
      </c>
      <c r="AM22" t="s">
        <v>96</v>
      </c>
      <c r="AN22" t="s">
        <v>97</v>
      </c>
      <c r="AO22" t="s">
        <v>98</v>
      </c>
      <c r="AP22" t="s">
        <v>78</v>
      </c>
      <c r="AQ22" t="s">
        <v>99</v>
      </c>
      <c r="AS22" t="s">
        <v>78</v>
      </c>
      <c r="AT22" t="s">
        <v>100</v>
      </c>
      <c r="AU22" t="s">
        <v>100</v>
      </c>
      <c r="AW22" t="s">
        <v>85</v>
      </c>
      <c r="AX22" t="s">
        <v>101</v>
      </c>
      <c r="AY22" t="s">
        <v>102</v>
      </c>
      <c r="AZ22" t="s">
        <v>103</v>
      </c>
      <c r="BA22" t="s">
        <v>104</v>
      </c>
      <c r="BB22" t="s">
        <v>78</v>
      </c>
      <c r="BC22" t="s">
        <v>78</v>
      </c>
      <c r="BD22" t="s">
        <v>300</v>
      </c>
      <c r="BE22">
        <v>0</v>
      </c>
      <c r="BF22">
        <v>0</v>
      </c>
      <c r="BG22">
        <v>0</v>
      </c>
      <c r="BH22">
        <v>0</v>
      </c>
      <c r="BJ22" t="s">
        <v>85</v>
      </c>
      <c r="BP22" t="s">
        <v>78</v>
      </c>
      <c r="BQ22" t="s">
        <v>78</v>
      </c>
      <c r="BR22" t="s">
        <v>78</v>
      </c>
    </row>
    <row r="23" customFormat="1" spans="1:70">
      <c r="A23" t="s">
        <v>3879</v>
      </c>
      <c r="B23" t="s">
        <v>3879</v>
      </c>
      <c r="C23" t="s">
        <v>74</v>
      </c>
      <c r="D23" t="s">
        <v>230</v>
      </c>
      <c r="E23">
        <v>1</v>
      </c>
      <c r="F23" t="s">
        <v>3855</v>
      </c>
      <c r="G23" t="s">
        <v>231</v>
      </c>
      <c r="H23">
        <v>329</v>
      </c>
      <c r="I23">
        <v>329</v>
      </c>
      <c r="J23">
        <v>0</v>
      </c>
      <c r="K23">
        <v>0</v>
      </c>
      <c r="L23" t="s">
        <v>78</v>
      </c>
      <c r="M23" t="s">
        <v>78</v>
      </c>
      <c r="N23" t="s">
        <v>78</v>
      </c>
      <c r="O23">
        <v>0</v>
      </c>
      <c r="P23">
        <v>0</v>
      </c>
      <c r="Q23">
        <v>0</v>
      </c>
      <c r="R23" t="s">
        <v>111</v>
      </c>
      <c r="S23">
        <v>0</v>
      </c>
      <c r="T23" t="s">
        <v>80</v>
      </c>
      <c r="U23" t="s">
        <v>80</v>
      </c>
      <c r="V23" t="s">
        <v>302</v>
      </c>
      <c r="W23" t="s">
        <v>303</v>
      </c>
      <c r="X23" t="s">
        <v>304</v>
      </c>
      <c r="Y23" t="s">
        <v>305</v>
      </c>
      <c r="Z23" t="s">
        <v>80</v>
      </c>
      <c r="AA23" t="s">
        <v>85</v>
      </c>
      <c r="AC23" t="s">
        <v>306</v>
      </c>
      <c r="AD23" t="s">
        <v>202</v>
      </c>
      <c r="AE23" t="s">
        <v>307</v>
      </c>
      <c r="AG23" t="s">
        <v>308</v>
      </c>
      <c r="AH23" t="s">
        <v>91</v>
      </c>
      <c r="AI23" t="s">
        <v>92</v>
      </c>
      <c r="AJ23" t="s">
        <v>131</v>
      </c>
      <c r="AK23" t="s">
        <v>299</v>
      </c>
      <c r="AL23" t="s">
        <v>95</v>
      </c>
      <c r="AM23" t="s">
        <v>96</v>
      </c>
      <c r="AN23" t="s">
        <v>97</v>
      </c>
      <c r="AO23" t="s">
        <v>98</v>
      </c>
      <c r="AP23" t="s">
        <v>78</v>
      </c>
      <c r="AQ23" t="s">
        <v>99</v>
      </c>
      <c r="AS23" t="s">
        <v>78</v>
      </c>
      <c r="AT23" t="s">
        <v>100</v>
      </c>
      <c r="AU23" t="s">
        <v>100</v>
      </c>
      <c r="AW23" t="s">
        <v>85</v>
      </c>
      <c r="AX23" t="s">
        <v>103</v>
      </c>
      <c r="AY23" t="s">
        <v>159</v>
      </c>
      <c r="AZ23" t="s">
        <v>103</v>
      </c>
      <c r="BA23" t="s">
        <v>104</v>
      </c>
      <c r="BB23" t="s">
        <v>78</v>
      </c>
      <c r="BC23" t="s">
        <v>78</v>
      </c>
      <c r="BD23" t="s">
        <v>105</v>
      </c>
      <c r="BE23">
        <v>0</v>
      </c>
      <c r="BF23">
        <v>0</v>
      </c>
      <c r="BG23">
        <v>0</v>
      </c>
      <c r="BH23">
        <v>0</v>
      </c>
      <c r="BJ23" t="s">
        <v>85</v>
      </c>
      <c r="BP23" t="s">
        <v>78</v>
      </c>
      <c r="BQ23" t="s">
        <v>78</v>
      </c>
      <c r="BR23" t="s">
        <v>78</v>
      </c>
    </row>
    <row r="24" customFormat="1" spans="1:70">
      <c r="A24" t="s">
        <v>3880</v>
      </c>
      <c r="B24" t="s">
        <v>3880</v>
      </c>
      <c r="C24" t="s">
        <v>74</v>
      </c>
      <c r="D24" t="s">
        <v>230</v>
      </c>
      <c r="E24">
        <v>1</v>
      </c>
      <c r="F24" t="s">
        <v>3855</v>
      </c>
      <c r="G24" t="s">
        <v>231</v>
      </c>
      <c r="H24">
        <v>329</v>
      </c>
      <c r="I24">
        <v>329</v>
      </c>
      <c r="J24">
        <v>0</v>
      </c>
      <c r="K24">
        <v>2.05</v>
      </c>
      <c r="L24" t="s">
        <v>78</v>
      </c>
      <c r="M24" t="s">
        <v>78</v>
      </c>
      <c r="N24" t="s">
        <v>78</v>
      </c>
      <c r="O24">
        <v>0</v>
      </c>
      <c r="P24">
        <v>2.05</v>
      </c>
      <c r="Q24">
        <v>0</v>
      </c>
      <c r="R24" t="s">
        <v>125</v>
      </c>
      <c r="S24">
        <v>0</v>
      </c>
      <c r="T24" t="s">
        <v>80</v>
      </c>
      <c r="U24" t="s">
        <v>80</v>
      </c>
      <c r="V24" t="s">
        <v>302</v>
      </c>
      <c r="W24" t="s">
        <v>303</v>
      </c>
      <c r="X24" t="s">
        <v>310</v>
      </c>
      <c r="Y24" t="s">
        <v>311</v>
      </c>
      <c r="Z24" t="s">
        <v>80</v>
      </c>
      <c r="AA24" t="s">
        <v>85</v>
      </c>
      <c r="AC24" t="s">
        <v>312</v>
      </c>
      <c r="AD24" t="s">
        <v>87</v>
      </c>
      <c r="AF24" t="s">
        <v>89</v>
      </c>
      <c r="AG24" t="s">
        <v>313</v>
      </c>
      <c r="AH24" t="s">
        <v>91</v>
      </c>
      <c r="AI24" t="s">
        <v>92</v>
      </c>
      <c r="AJ24" t="s">
        <v>93</v>
      </c>
      <c r="AK24" t="s">
        <v>314</v>
      </c>
      <c r="AL24" t="s">
        <v>95</v>
      </c>
      <c r="AM24" t="s">
        <v>96</v>
      </c>
      <c r="AN24" t="s">
        <v>97</v>
      </c>
      <c r="AO24" t="s">
        <v>98</v>
      </c>
      <c r="AP24" t="s">
        <v>78</v>
      </c>
      <c r="AQ24" t="s">
        <v>78</v>
      </c>
      <c r="AS24" t="s">
        <v>78</v>
      </c>
      <c r="AT24" t="s">
        <v>100</v>
      </c>
      <c r="AU24" t="s">
        <v>100</v>
      </c>
      <c r="AW24" t="s">
        <v>85</v>
      </c>
      <c r="AX24" t="s">
        <v>101</v>
      </c>
      <c r="AY24" t="s">
        <v>102</v>
      </c>
      <c r="AZ24" t="s">
        <v>103</v>
      </c>
      <c r="BA24" t="s">
        <v>245</v>
      </c>
      <c r="BB24" t="s">
        <v>78</v>
      </c>
      <c r="BC24" t="s">
        <v>78</v>
      </c>
      <c r="BD24" t="s">
        <v>105</v>
      </c>
      <c r="BE24">
        <v>0</v>
      </c>
      <c r="BF24">
        <v>0</v>
      </c>
      <c r="BG24">
        <v>0</v>
      </c>
      <c r="BH24">
        <v>0</v>
      </c>
      <c r="BJ24" t="s">
        <v>85</v>
      </c>
      <c r="BP24" t="s">
        <v>78</v>
      </c>
      <c r="BQ24" t="s">
        <v>78</v>
      </c>
      <c r="BR24" t="s">
        <v>78</v>
      </c>
    </row>
    <row r="25" customFormat="1" spans="1:70">
      <c r="A25" t="s">
        <v>3881</v>
      </c>
      <c r="B25" t="s">
        <v>3881</v>
      </c>
      <c r="C25" t="s">
        <v>74</v>
      </c>
      <c r="D25" t="s">
        <v>247</v>
      </c>
      <c r="E25">
        <v>1</v>
      </c>
      <c r="F25" t="s">
        <v>3855</v>
      </c>
      <c r="G25" t="s">
        <v>248</v>
      </c>
      <c r="H25">
        <v>329</v>
      </c>
      <c r="I25">
        <v>329</v>
      </c>
      <c r="J25">
        <v>0</v>
      </c>
      <c r="K25">
        <v>0</v>
      </c>
      <c r="L25" t="s">
        <v>78</v>
      </c>
      <c r="M25" t="s">
        <v>78</v>
      </c>
      <c r="N25" t="s">
        <v>78</v>
      </c>
      <c r="O25">
        <v>0</v>
      </c>
      <c r="P25">
        <v>0</v>
      </c>
      <c r="Q25">
        <v>0</v>
      </c>
      <c r="R25" t="s">
        <v>125</v>
      </c>
      <c r="S25">
        <v>0</v>
      </c>
      <c r="T25" t="s">
        <v>80</v>
      </c>
      <c r="U25" t="s">
        <v>80</v>
      </c>
      <c r="V25" t="s">
        <v>271</v>
      </c>
      <c r="W25" t="s">
        <v>272</v>
      </c>
      <c r="X25" t="s">
        <v>273</v>
      </c>
      <c r="Y25" t="s">
        <v>274</v>
      </c>
      <c r="Z25" t="s">
        <v>80</v>
      </c>
      <c r="AA25" t="s">
        <v>85</v>
      </c>
      <c r="AC25" t="s">
        <v>316</v>
      </c>
      <c r="AD25" t="s">
        <v>87</v>
      </c>
      <c r="AG25" t="s">
        <v>317</v>
      </c>
      <c r="AH25" t="s">
        <v>91</v>
      </c>
      <c r="AI25" t="s">
        <v>92</v>
      </c>
      <c r="AJ25" t="s">
        <v>131</v>
      </c>
      <c r="AK25" t="s">
        <v>318</v>
      </c>
      <c r="AL25" t="s">
        <v>95</v>
      </c>
      <c r="AM25" t="s">
        <v>96</v>
      </c>
      <c r="AN25" t="s">
        <v>97</v>
      </c>
      <c r="AO25" t="s">
        <v>98</v>
      </c>
      <c r="AP25" t="s">
        <v>78</v>
      </c>
      <c r="AQ25" t="s">
        <v>99</v>
      </c>
      <c r="AS25" t="s">
        <v>78</v>
      </c>
      <c r="AT25" t="s">
        <v>100</v>
      </c>
      <c r="AU25" t="s">
        <v>100</v>
      </c>
      <c r="AW25" t="s">
        <v>85</v>
      </c>
      <c r="AX25" t="s">
        <v>101</v>
      </c>
      <c r="AY25" t="s">
        <v>102</v>
      </c>
      <c r="AZ25" t="s">
        <v>103</v>
      </c>
      <c r="BA25" t="s">
        <v>120</v>
      </c>
      <c r="BB25" t="s">
        <v>78</v>
      </c>
      <c r="BC25" t="s">
        <v>78</v>
      </c>
      <c r="BE25">
        <v>0</v>
      </c>
      <c r="BF25">
        <v>0</v>
      </c>
      <c r="BG25">
        <v>0</v>
      </c>
      <c r="BH25">
        <v>0</v>
      </c>
      <c r="BJ25" t="s">
        <v>85</v>
      </c>
      <c r="BP25" t="s">
        <v>78</v>
      </c>
      <c r="BQ25" t="s">
        <v>78</v>
      </c>
      <c r="BR25" t="s">
        <v>78</v>
      </c>
    </row>
    <row r="26" customFormat="1" spans="1:70">
      <c r="A26" t="s">
        <v>3882</v>
      </c>
      <c r="B26" t="s">
        <v>3882</v>
      </c>
      <c r="C26" t="s">
        <v>74</v>
      </c>
      <c r="D26" t="s">
        <v>230</v>
      </c>
      <c r="E26">
        <v>1</v>
      </c>
      <c r="F26" t="s">
        <v>3855</v>
      </c>
      <c r="G26" t="s">
        <v>231</v>
      </c>
      <c r="H26">
        <v>329</v>
      </c>
      <c r="I26">
        <v>329</v>
      </c>
      <c r="J26">
        <v>0</v>
      </c>
      <c r="K26">
        <v>0</v>
      </c>
      <c r="L26" t="s">
        <v>78</v>
      </c>
      <c r="M26" t="s">
        <v>78</v>
      </c>
      <c r="N26" t="s">
        <v>78</v>
      </c>
      <c r="O26">
        <v>0</v>
      </c>
      <c r="P26">
        <v>0</v>
      </c>
      <c r="Q26">
        <v>0</v>
      </c>
      <c r="R26" t="s">
        <v>111</v>
      </c>
      <c r="S26">
        <v>0</v>
      </c>
      <c r="T26" t="s">
        <v>80</v>
      </c>
      <c r="U26" t="s">
        <v>80</v>
      </c>
      <c r="V26" t="s">
        <v>189</v>
      </c>
      <c r="W26" t="s">
        <v>190</v>
      </c>
      <c r="X26" t="s">
        <v>320</v>
      </c>
      <c r="Y26" t="s">
        <v>321</v>
      </c>
      <c r="Z26" t="s">
        <v>80</v>
      </c>
      <c r="AA26" t="s">
        <v>85</v>
      </c>
      <c r="AC26" t="s">
        <v>322</v>
      </c>
      <c r="AD26" t="s">
        <v>87</v>
      </c>
      <c r="AG26" t="s">
        <v>317</v>
      </c>
      <c r="AH26" t="s">
        <v>91</v>
      </c>
      <c r="AI26" t="s">
        <v>92</v>
      </c>
      <c r="AJ26" t="s">
        <v>131</v>
      </c>
      <c r="AK26" t="s">
        <v>323</v>
      </c>
      <c r="AL26" t="s">
        <v>95</v>
      </c>
      <c r="AM26" t="s">
        <v>96</v>
      </c>
      <c r="AN26" t="s">
        <v>97</v>
      </c>
      <c r="AO26" t="s">
        <v>98</v>
      </c>
      <c r="AP26" t="s">
        <v>78</v>
      </c>
      <c r="AQ26" t="s">
        <v>99</v>
      </c>
      <c r="AS26" t="s">
        <v>78</v>
      </c>
      <c r="AT26" t="s">
        <v>100</v>
      </c>
      <c r="AU26" t="s">
        <v>100</v>
      </c>
      <c r="AW26" t="s">
        <v>85</v>
      </c>
      <c r="AX26" t="s">
        <v>101</v>
      </c>
      <c r="AY26" t="s">
        <v>102</v>
      </c>
      <c r="AZ26" t="s">
        <v>103</v>
      </c>
      <c r="BA26" t="s">
        <v>133</v>
      </c>
      <c r="BB26" t="s">
        <v>78</v>
      </c>
      <c r="BC26" t="s">
        <v>78</v>
      </c>
      <c r="BE26">
        <v>0</v>
      </c>
      <c r="BF26">
        <v>0</v>
      </c>
      <c r="BG26">
        <v>0</v>
      </c>
      <c r="BH26">
        <v>0</v>
      </c>
      <c r="BJ26" t="s">
        <v>85</v>
      </c>
      <c r="BP26" t="s">
        <v>78</v>
      </c>
      <c r="BQ26" t="s">
        <v>78</v>
      </c>
      <c r="BR26" t="s">
        <v>78</v>
      </c>
    </row>
    <row r="27" customFormat="1" spans="1:70">
      <c r="A27" t="s">
        <v>3883</v>
      </c>
      <c r="B27" t="s">
        <v>3883</v>
      </c>
      <c r="C27" t="s">
        <v>107</v>
      </c>
      <c r="D27" t="s">
        <v>123</v>
      </c>
      <c r="E27">
        <v>1</v>
      </c>
      <c r="F27" t="s">
        <v>3857</v>
      </c>
      <c r="G27" t="s">
        <v>124</v>
      </c>
      <c r="H27">
        <v>289</v>
      </c>
      <c r="I27">
        <v>314</v>
      </c>
      <c r="J27">
        <v>25</v>
      </c>
      <c r="K27">
        <v>0</v>
      </c>
      <c r="L27" t="s">
        <v>78</v>
      </c>
      <c r="M27" t="s">
        <v>78</v>
      </c>
      <c r="N27" t="s">
        <v>78</v>
      </c>
      <c r="O27">
        <v>0</v>
      </c>
      <c r="P27">
        <v>0</v>
      </c>
      <c r="Q27">
        <v>0</v>
      </c>
      <c r="R27" t="s">
        <v>79</v>
      </c>
      <c r="S27">
        <v>0</v>
      </c>
      <c r="T27" t="s">
        <v>80</v>
      </c>
      <c r="U27" t="s">
        <v>80</v>
      </c>
      <c r="V27" t="s">
        <v>325</v>
      </c>
      <c r="W27" t="s">
        <v>326</v>
      </c>
      <c r="X27" t="s">
        <v>327</v>
      </c>
      <c r="Y27" t="s">
        <v>328</v>
      </c>
      <c r="Z27" t="s">
        <v>80</v>
      </c>
      <c r="AA27" t="s">
        <v>85</v>
      </c>
      <c r="AC27" t="s">
        <v>329</v>
      </c>
      <c r="AD27" t="s">
        <v>87</v>
      </c>
      <c r="AF27" t="s">
        <v>330</v>
      </c>
      <c r="AG27" t="s">
        <v>331</v>
      </c>
      <c r="AH27" t="s">
        <v>91</v>
      </c>
      <c r="AI27" t="s">
        <v>92</v>
      </c>
      <c r="AJ27" t="s">
        <v>93</v>
      </c>
      <c r="AK27" t="s">
        <v>332</v>
      </c>
      <c r="AL27" t="s">
        <v>95</v>
      </c>
      <c r="AM27" t="s">
        <v>96</v>
      </c>
      <c r="AN27" t="s">
        <v>97</v>
      </c>
      <c r="AO27" t="s">
        <v>98</v>
      </c>
      <c r="AP27" t="s">
        <v>78</v>
      </c>
      <c r="AQ27" t="s">
        <v>78</v>
      </c>
      <c r="AS27" t="s">
        <v>78</v>
      </c>
      <c r="AT27" t="s">
        <v>100</v>
      </c>
      <c r="AU27" t="s">
        <v>100</v>
      </c>
      <c r="AW27" t="s">
        <v>85</v>
      </c>
      <c r="AX27" t="s">
        <v>101</v>
      </c>
      <c r="AY27" t="s">
        <v>102</v>
      </c>
      <c r="AZ27" t="s">
        <v>103</v>
      </c>
      <c r="BA27" t="s">
        <v>133</v>
      </c>
      <c r="BB27" t="s">
        <v>78</v>
      </c>
      <c r="BC27" t="s">
        <v>78</v>
      </c>
      <c r="BD27" t="s">
        <v>333</v>
      </c>
      <c r="BE27">
        <v>0</v>
      </c>
      <c r="BF27">
        <v>0</v>
      </c>
      <c r="BG27">
        <v>0</v>
      </c>
      <c r="BH27">
        <v>0</v>
      </c>
      <c r="BJ27" t="s">
        <v>85</v>
      </c>
      <c r="BP27" t="s">
        <v>78</v>
      </c>
      <c r="BQ27" t="s">
        <v>78</v>
      </c>
      <c r="BR27" t="s">
        <v>78</v>
      </c>
    </row>
    <row r="28" customFormat="1" spans="1:70">
      <c r="A28" t="s">
        <v>3884</v>
      </c>
      <c r="B28" t="s">
        <v>3884</v>
      </c>
      <c r="C28" t="s">
        <v>107</v>
      </c>
      <c r="D28" t="s">
        <v>135</v>
      </c>
      <c r="E28">
        <v>1</v>
      </c>
      <c r="F28" t="s">
        <v>3857</v>
      </c>
      <c r="G28" t="s">
        <v>136</v>
      </c>
      <c r="H28">
        <v>289</v>
      </c>
      <c r="I28">
        <v>254.06</v>
      </c>
      <c r="J28">
        <v>0</v>
      </c>
      <c r="K28">
        <v>35.86</v>
      </c>
      <c r="L28" t="s">
        <v>335</v>
      </c>
      <c r="M28" t="s">
        <v>78</v>
      </c>
      <c r="N28" t="s">
        <v>78</v>
      </c>
      <c r="O28">
        <v>0</v>
      </c>
      <c r="P28">
        <v>0.92</v>
      </c>
      <c r="Q28">
        <v>0</v>
      </c>
      <c r="R28" t="s">
        <v>125</v>
      </c>
      <c r="S28">
        <v>0</v>
      </c>
      <c r="T28" t="s">
        <v>80</v>
      </c>
      <c r="U28" t="s">
        <v>80</v>
      </c>
      <c r="V28" t="s">
        <v>221</v>
      </c>
      <c r="W28" t="s">
        <v>336</v>
      </c>
      <c r="X28" t="s">
        <v>337</v>
      </c>
      <c r="Y28" t="s">
        <v>78</v>
      </c>
      <c r="Z28" t="s">
        <v>80</v>
      </c>
      <c r="AA28" t="s">
        <v>85</v>
      </c>
      <c r="AC28" t="s">
        <v>338</v>
      </c>
      <c r="AD28" t="s">
        <v>87</v>
      </c>
      <c r="AE28" t="s">
        <v>339</v>
      </c>
      <c r="AF28" t="s">
        <v>117</v>
      </c>
      <c r="AG28" t="s">
        <v>340</v>
      </c>
      <c r="AH28" t="s">
        <v>91</v>
      </c>
      <c r="AI28" t="s">
        <v>92</v>
      </c>
      <c r="AJ28" t="s">
        <v>93</v>
      </c>
      <c r="AK28" t="s">
        <v>341</v>
      </c>
      <c r="AL28" t="s">
        <v>95</v>
      </c>
      <c r="AM28" t="s">
        <v>96</v>
      </c>
      <c r="AN28" t="s">
        <v>97</v>
      </c>
      <c r="AO28" t="s">
        <v>98</v>
      </c>
      <c r="AP28" t="s">
        <v>78</v>
      </c>
      <c r="AQ28" t="s">
        <v>99</v>
      </c>
      <c r="AS28" t="s">
        <v>78</v>
      </c>
      <c r="AT28" t="s">
        <v>100</v>
      </c>
      <c r="AU28" t="s">
        <v>100</v>
      </c>
      <c r="AW28" t="s">
        <v>85</v>
      </c>
      <c r="AX28" t="s">
        <v>101</v>
      </c>
      <c r="AY28" t="s">
        <v>102</v>
      </c>
      <c r="AZ28" t="s">
        <v>103</v>
      </c>
      <c r="BA28" t="s">
        <v>218</v>
      </c>
      <c r="BB28" t="s">
        <v>78</v>
      </c>
      <c r="BC28" t="s">
        <v>78</v>
      </c>
      <c r="BD28" t="s">
        <v>121</v>
      </c>
      <c r="BE28">
        <v>0</v>
      </c>
      <c r="BF28">
        <v>34.94</v>
      </c>
      <c r="BG28">
        <v>0</v>
      </c>
      <c r="BH28">
        <v>0</v>
      </c>
      <c r="BJ28" t="s">
        <v>85</v>
      </c>
      <c r="BP28" t="s">
        <v>78</v>
      </c>
      <c r="BQ28" t="s">
        <v>78</v>
      </c>
      <c r="BR28" t="s">
        <v>78</v>
      </c>
    </row>
    <row r="29" customFormat="1" spans="1:70">
      <c r="A29" t="s">
        <v>3885</v>
      </c>
      <c r="B29" t="s">
        <v>3885</v>
      </c>
      <c r="C29" t="s">
        <v>343</v>
      </c>
      <c r="D29" t="s">
        <v>344</v>
      </c>
      <c r="E29">
        <v>1</v>
      </c>
      <c r="F29" t="s">
        <v>3886</v>
      </c>
      <c r="G29" t="s">
        <v>346</v>
      </c>
      <c r="H29">
        <v>299</v>
      </c>
      <c r="I29">
        <v>299</v>
      </c>
      <c r="J29">
        <v>0</v>
      </c>
      <c r="K29">
        <v>0</v>
      </c>
      <c r="L29" t="s">
        <v>78</v>
      </c>
      <c r="M29" t="s">
        <v>78</v>
      </c>
      <c r="N29" t="s">
        <v>78</v>
      </c>
      <c r="O29">
        <v>0</v>
      </c>
      <c r="P29">
        <v>0</v>
      </c>
      <c r="Q29">
        <v>0</v>
      </c>
      <c r="R29" t="s">
        <v>125</v>
      </c>
      <c r="S29">
        <v>0</v>
      </c>
      <c r="T29" t="s">
        <v>80</v>
      </c>
      <c r="U29" t="s">
        <v>80</v>
      </c>
      <c r="V29" t="s">
        <v>347</v>
      </c>
      <c r="W29" t="s">
        <v>348</v>
      </c>
      <c r="X29" t="s">
        <v>349</v>
      </c>
      <c r="Y29" t="s">
        <v>350</v>
      </c>
      <c r="Z29" t="s">
        <v>80</v>
      </c>
      <c r="AA29" t="s">
        <v>85</v>
      </c>
      <c r="AC29" t="s">
        <v>351</v>
      </c>
      <c r="AD29" t="s">
        <v>87</v>
      </c>
      <c r="AH29" t="s">
        <v>91</v>
      </c>
      <c r="AI29" t="s">
        <v>216</v>
      </c>
      <c r="AJ29" t="s">
        <v>131</v>
      </c>
      <c r="AK29" t="s">
        <v>352</v>
      </c>
      <c r="AL29" t="s">
        <v>95</v>
      </c>
      <c r="AM29" t="s">
        <v>96</v>
      </c>
      <c r="AN29" t="s">
        <v>96</v>
      </c>
      <c r="AP29" t="s">
        <v>78</v>
      </c>
      <c r="AQ29" t="s">
        <v>78</v>
      </c>
      <c r="AR29" t="s">
        <v>353</v>
      </c>
      <c r="AS29" t="s">
        <v>78</v>
      </c>
      <c r="AT29" t="s">
        <v>100</v>
      </c>
      <c r="AU29" t="s">
        <v>100</v>
      </c>
      <c r="AW29" t="s">
        <v>85</v>
      </c>
      <c r="AX29" t="s">
        <v>101</v>
      </c>
      <c r="AY29" t="s">
        <v>102</v>
      </c>
      <c r="AZ29" t="s">
        <v>145</v>
      </c>
      <c r="BA29" t="s">
        <v>354</v>
      </c>
      <c r="BB29" t="s">
        <v>78</v>
      </c>
      <c r="BC29" t="s">
        <v>78</v>
      </c>
      <c r="BE29">
        <v>0</v>
      </c>
      <c r="BF29">
        <v>0</v>
      </c>
      <c r="BG29">
        <v>0</v>
      </c>
      <c r="BH29">
        <v>0</v>
      </c>
      <c r="BJ29" t="s">
        <v>85</v>
      </c>
      <c r="BP29" t="s">
        <v>78</v>
      </c>
      <c r="BQ29" t="s">
        <v>78</v>
      </c>
      <c r="BR29" t="s">
        <v>78</v>
      </c>
    </row>
    <row r="30" customFormat="1" spans="1:70">
      <c r="A30" t="s">
        <v>3887</v>
      </c>
      <c r="B30" t="s">
        <v>3887</v>
      </c>
      <c r="C30" t="s">
        <v>343</v>
      </c>
      <c r="D30" t="s">
        <v>344</v>
      </c>
      <c r="E30">
        <v>1</v>
      </c>
      <c r="F30" t="s">
        <v>3886</v>
      </c>
      <c r="G30" t="s">
        <v>346</v>
      </c>
      <c r="H30">
        <v>299</v>
      </c>
      <c r="I30">
        <v>299</v>
      </c>
      <c r="J30">
        <v>0</v>
      </c>
      <c r="K30">
        <v>0</v>
      </c>
      <c r="L30" t="s">
        <v>78</v>
      </c>
      <c r="M30" t="s">
        <v>78</v>
      </c>
      <c r="N30" t="s">
        <v>78</v>
      </c>
      <c r="O30">
        <v>0</v>
      </c>
      <c r="P30">
        <v>0</v>
      </c>
      <c r="Q30">
        <v>0</v>
      </c>
      <c r="R30" t="s">
        <v>125</v>
      </c>
      <c r="S30">
        <v>0</v>
      </c>
      <c r="T30" t="s">
        <v>80</v>
      </c>
      <c r="U30" t="s">
        <v>80</v>
      </c>
      <c r="V30" t="s">
        <v>347</v>
      </c>
      <c r="W30" t="s">
        <v>348</v>
      </c>
      <c r="X30" t="s">
        <v>349</v>
      </c>
      <c r="Y30" t="s">
        <v>350</v>
      </c>
      <c r="Z30" t="s">
        <v>80</v>
      </c>
      <c r="AA30" t="s">
        <v>85</v>
      </c>
      <c r="AC30" t="s">
        <v>356</v>
      </c>
      <c r="AD30" t="s">
        <v>87</v>
      </c>
      <c r="AH30" t="s">
        <v>91</v>
      </c>
      <c r="AI30" t="s">
        <v>216</v>
      </c>
      <c r="AJ30" t="s">
        <v>131</v>
      </c>
      <c r="AK30" t="s">
        <v>357</v>
      </c>
      <c r="AL30" t="s">
        <v>95</v>
      </c>
      <c r="AM30" t="s">
        <v>96</v>
      </c>
      <c r="AN30" t="s">
        <v>96</v>
      </c>
      <c r="AP30" t="s">
        <v>78</v>
      </c>
      <c r="AQ30" t="s">
        <v>78</v>
      </c>
      <c r="AR30" t="s">
        <v>353</v>
      </c>
      <c r="AS30" t="s">
        <v>78</v>
      </c>
      <c r="AT30" t="s">
        <v>100</v>
      </c>
      <c r="AU30" t="s">
        <v>100</v>
      </c>
      <c r="AW30" t="s">
        <v>85</v>
      </c>
      <c r="AX30" t="s">
        <v>101</v>
      </c>
      <c r="AY30" t="s">
        <v>102</v>
      </c>
      <c r="AZ30" t="s">
        <v>145</v>
      </c>
      <c r="BA30" t="s">
        <v>354</v>
      </c>
      <c r="BB30" t="s">
        <v>78</v>
      </c>
      <c r="BC30" t="s">
        <v>78</v>
      </c>
      <c r="BE30">
        <v>0</v>
      </c>
      <c r="BF30">
        <v>0</v>
      </c>
      <c r="BG30">
        <v>0</v>
      </c>
      <c r="BH30">
        <v>0</v>
      </c>
      <c r="BJ30" t="s">
        <v>85</v>
      </c>
      <c r="BP30" t="s">
        <v>78</v>
      </c>
      <c r="BQ30" t="s">
        <v>78</v>
      </c>
      <c r="BR30" t="s">
        <v>78</v>
      </c>
    </row>
    <row r="31" customFormat="1" ht="202" spans="1:70">
      <c r="A31" t="s">
        <v>3888</v>
      </c>
      <c r="B31" t="s">
        <v>3888</v>
      </c>
      <c r="C31" t="s">
        <v>107</v>
      </c>
      <c r="D31" t="s">
        <v>108</v>
      </c>
      <c r="E31">
        <v>1</v>
      </c>
      <c r="F31" t="s">
        <v>3857</v>
      </c>
      <c r="G31" t="s">
        <v>110</v>
      </c>
      <c r="H31">
        <v>289</v>
      </c>
      <c r="I31">
        <v>260.12</v>
      </c>
      <c r="J31">
        <v>0</v>
      </c>
      <c r="K31">
        <v>28.88</v>
      </c>
      <c r="L31" t="s">
        <v>359</v>
      </c>
      <c r="M31" t="s">
        <v>78</v>
      </c>
      <c r="N31" t="s">
        <v>78</v>
      </c>
      <c r="O31">
        <v>0</v>
      </c>
      <c r="P31">
        <v>0</v>
      </c>
      <c r="Q31">
        <v>0</v>
      </c>
      <c r="R31" t="s">
        <v>79</v>
      </c>
      <c r="S31">
        <v>0</v>
      </c>
      <c r="T31" t="s">
        <v>80</v>
      </c>
      <c r="U31" t="s">
        <v>80</v>
      </c>
      <c r="V31" t="s">
        <v>239</v>
      </c>
      <c r="W31" t="s">
        <v>278</v>
      </c>
      <c r="X31" t="s">
        <v>279</v>
      </c>
      <c r="Y31" t="s">
        <v>360</v>
      </c>
      <c r="Z31" t="s">
        <v>80</v>
      </c>
      <c r="AA31" t="s">
        <v>85</v>
      </c>
      <c r="AC31" t="s">
        <v>361</v>
      </c>
      <c r="AD31" t="s">
        <v>362</v>
      </c>
      <c r="AE31" s="1" t="s">
        <v>363</v>
      </c>
      <c r="AF31" t="s">
        <v>364</v>
      </c>
      <c r="AG31" t="s">
        <v>365</v>
      </c>
      <c r="AH31" t="s">
        <v>91</v>
      </c>
      <c r="AI31" t="s">
        <v>92</v>
      </c>
      <c r="AJ31" t="s">
        <v>93</v>
      </c>
      <c r="AK31" t="s">
        <v>366</v>
      </c>
      <c r="AL31" t="s">
        <v>95</v>
      </c>
      <c r="AM31" t="s">
        <v>96</v>
      </c>
      <c r="AN31" t="s">
        <v>97</v>
      </c>
      <c r="AO31" t="s">
        <v>98</v>
      </c>
      <c r="AP31" t="s">
        <v>78</v>
      </c>
      <c r="AQ31" t="s">
        <v>99</v>
      </c>
      <c r="AS31" t="s">
        <v>78</v>
      </c>
      <c r="AT31" t="s">
        <v>100</v>
      </c>
      <c r="AU31" t="s">
        <v>100</v>
      </c>
      <c r="AW31" t="s">
        <v>85</v>
      </c>
      <c r="AX31" t="s">
        <v>101</v>
      </c>
      <c r="AY31" t="s">
        <v>102</v>
      </c>
      <c r="AZ31" t="s">
        <v>145</v>
      </c>
      <c r="BA31" t="s">
        <v>146</v>
      </c>
      <c r="BB31" t="s">
        <v>78</v>
      </c>
      <c r="BC31" t="s">
        <v>78</v>
      </c>
      <c r="BD31" t="s">
        <v>367</v>
      </c>
      <c r="BE31">
        <v>0</v>
      </c>
      <c r="BF31">
        <v>28.88</v>
      </c>
      <c r="BG31">
        <v>0</v>
      </c>
      <c r="BH31">
        <v>0</v>
      </c>
      <c r="BJ31" t="s">
        <v>85</v>
      </c>
      <c r="BP31" t="s">
        <v>78</v>
      </c>
      <c r="BQ31" t="s">
        <v>78</v>
      </c>
      <c r="BR31" t="s">
        <v>78</v>
      </c>
    </row>
    <row r="32" customFormat="1" spans="1:70">
      <c r="A32" t="s">
        <v>3889</v>
      </c>
      <c r="B32" t="s">
        <v>3889</v>
      </c>
      <c r="C32" t="s">
        <v>107</v>
      </c>
      <c r="D32" t="s">
        <v>108</v>
      </c>
      <c r="E32">
        <v>1</v>
      </c>
      <c r="F32" t="s">
        <v>3857</v>
      </c>
      <c r="G32" t="s">
        <v>110</v>
      </c>
      <c r="H32">
        <v>289</v>
      </c>
      <c r="I32">
        <v>289</v>
      </c>
      <c r="J32">
        <v>0</v>
      </c>
      <c r="K32">
        <v>0</v>
      </c>
      <c r="L32" t="s">
        <v>78</v>
      </c>
      <c r="M32" t="s">
        <v>78</v>
      </c>
      <c r="N32" t="s">
        <v>78</v>
      </c>
      <c r="O32">
        <v>0</v>
      </c>
      <c r="P32">
        <v>0</v>
      </c>
      <c r="Q32">
        <v>0</v>
      </c>
      <c r="R32" t="s">
        <v>125</v>
      </c>
      <c r="S32">
        <v>0</v>
      </c>
      <c r="T32" t="s">
        <v>80</v>
      </c>
      <c r="U32" t="s">
        <v>80</v>
      </c>
      <c r="V32" t="s">
        <v>126</v>
      </c>
      <c r="W32" t="s">
        <v>369</v>
      </c>
      <c r="X32" t="s">
        <v>370</v>
      </c>
      <c r="Y32" t="s">
        <v>371</v>
      </c>
      <c r="Z32" t="s">
        <v>80</v>
      </c>
      <c r="AA32" t="s">
        <v>85</v>
      </c>
      <c r="AC32" t="s">
        <v>372</v>
      </c>
      <c r="AD32" t="s">
        <v>87</v>
      </c>
      <c r="AG32" t="s">
        <v>373</v>
      </c>
      <c r="AH32" t="s">
        <v>91</v>
      </c>
      <c r="AI32" t="s">
        <v>216</v>
      </c>
      <c r="AJ32" t="s">
        <v>131</v>
      </c>
      <c r="AK32" t="s">
        <v>374</v>
      </c>
      <c r="AL32" t="s">
        <v>95</v>
      </c>
      <c r="AM32" t="s">
        <v>96</v>
      </c>
      <c r="AN32" t="s">
        <v>96</v>
      </c>
      <c r="AP32" t="s">
        <v>78</v>
      </c>
      <c r="AQ32" t="s">
        <v>99</v>
      </c>
      <c r="AS32" t="s">
        <v>78</v>
      </c>
      <c r="AT32" t="s">
        <v>100</v>
      </c>
      <c r="AU32" t="s">
        <v>100</v>
      </c>
      <c r="AW32" t="s">
        <v>85</v>
      </c>
      <c r="AX32" t="s">
        <v>101</v>
      </c>
      <c r="AY32" t="s">
        <v>102</v>
      </c>
      <c r="AZ32" t="s">
        <v>145</v>
      </c>
      <c r="BA32" t="s">
        <v>218</v>
      </c>
      <c r="BB32" t="s">
        <v>78</v>
      </c>
      <c r="BC32" t="s">
        <v>78</v>
      </c>
      <c r="BE32">
        <v>0</v>
      </c>
      <c r="BF32">
        <v>0</v>
      </c>
      <c r="BG32">
        <v>0</v>
      </c>
      <c r="BH32">
        <v>0</v>
      </c>
      <c r="BJ32" t="s">
        <v>85</v>
      </c>
      <c r="BP32" t="s">
        <v>78</v>
      </c>
      <c r="BQ32" t="s">
        <v>78</v>
      </c>
      <c r="BR32" t="s">
        <v>78</v>
      </c>
    </row>
    <row r="33" customFormat="1" spans="1:70">
      <c r="A33" t="s">
        <v>3890</v>
      </c>
      <c r="B33" t="s">
        <v>3890</v>
      </c>
      <c r="C33" t="s">
        <v>107</v>
      </c>
      <c r="D33" t="s">
        <v>108</v>
      </c>
      <c r="E33">
        <v>1</v>
      </c>
      <c r="F33" t="s">
        <v>3857</v>
      </c>
      <c r="G33" t="s">
        <v>110</v>
      </c>
      <c r="H33">
        <v>289</v>
      </c>
      <c r="I33">
        <v>278</v>
      </c>
      <c r="J33">
        <v>0</v>
      </c>
      <c r="K33">
        <v>11</v>
      </c>
      <c r="L33" t="s">
        <v>376</v>
      </c>
      <c r="M33" t="s">
        <v>78</v>
      </c>
      <c r="N33" t="s">
        <v>78</v>
      </c>
      <c r="O33">
        <v>0</v>
      </c>
      <c r="P33">
        <v>0</v>
      </c>
      <c r="Q33">
        <v>0</v>
      </c>
      <c r="R33" t="s">
        <v>125</v>
      </c>
      <c r="S33">
        <v>0</v>
      </c>
      <c r="T33" t="s">
        <v>80</v>
      </c>
      <c r="U33" t="s">
        <v>80</v>
      </c>
      <c r="V33" t="s">
        <v>126</v>
      </c>
      <c r="W33" t="s">
        <v>377</v>
      </c>
      <c r="X33" t="s">
        <v>378</v>
      </c>
      <c r="Y33" t="s">
        <v>379</v>
      </c>
      <c r="Z33" t="s">
        <v>80</v>
      </c>
      <c r="AA33" t="s">
        <v>85</v>
      </c>
      <c r="AC33" t="s">
        <v>380</v>
      </c>
      <c r="AD33" t="s">
        <v>87</v>
      </c>
      <c r="AG33" t="s">
        <v>381</v>
      </c>
      <c r="AH33" t="s">
        <v>298</v>
      </c>
      <c r="AI33" t="s">
        <v>92</v>
      </c>
      <c r="AJ33" t="s">
        <v>131</v>
      </c>
      <c r="AK33" t="s">
        <v>382</v>
      </c>
      <c r="AL33" t="s">
        <v>95</v>
      </c>
      <c r="AM33" t="s">
        <v>96</v>
      </c>
      <c r="AN33" t="s">
        <v>97</v>
      </c>
      <c r="AO33" t="s">
        <v>98</v>
      </c>
      <c r="AP33" t="s">
        <v>78</v>
      </c>
      <c r="AQ33" t="s">
        <v>99</v>
      </c>
      <c r="AS33" t="s">
        <v>78</v>
      </c>
      <c r="AT33" t="s">
        <v>100</v>
      </c>
      <c r="AU33" t="s">
        <v>100</v>
      </c>
      <c r="AW33" t="s">
        <v>85</v>
      </c>
      <c r="AX33" t="s">
        <v>103</v>
      </c>
      <c r="AY33" t="s">
        <v>159</v>
      </c>
      <c r="AZ33" t="s">
        <v>103</v>
      </c>
      <c r="BA33" t="s">
        <v>104</v>
      </c>
      <c r="BB33" t="s">
        <v>78</v>
      </c>
      <c r="BC33" t="s">
        <v>78</v>
      </c>
      <c r="BE33">
        <v>0</v>
      </c>
      <c r="BF33">
        <v>11</v>
      </c>
      <c r="BG33">
        <v>0</v>
      </c>
      <c r="BH33">
        <v>0</v>
      </c>
      <c r="BJ33" t="s">
        <v>85</v>
      </c>
      <c r="BP33" t="s">
        <v>78</v>
      </c>
      <c r="BQ33" t="s">
        <v>78</v>
      </c>
      <c r="BR33" t="s">
        <v>78</v>
      </c>
    </row>
    <row r="34" customFormat="1" spans="1:70">
      <c r="A34" t="s">
        <v>3891</v>
      </c>
      <c r="B34" t="s">
        <v>3891</v>
      </c>
      <c r="C34" t="s">
        <v>107</v>
      </c>
      <c r="D34" t="s">
        <v>108</v>
      </c>
      <c r="E34">
        <v>1</v>
      </c>
      <c r="F34" t="s">
        <v>3857</v>
      </c>
      <c r="G34" t="s">
        <v>110</v>
      </c>
      <c r="H34">
        <v>289</v>
      </c>
      <c r="I34">
        <v>289</v>
      </c>
      <c r="J34">
        <v>0</v>
      </c>
      <c r="K34">
        <v>0</v>
      </c>
      <c r="L34" t="s">
        <v>78</v>
      </c>
      <c r="M34" t="s">
        <v>78</v>
      </c>
      <c r="N34" t="s">
        <v>78</v>
      </c>
      <c r="O34">
        <v>0</v>
      </c>
      <c r="P34">
        <v>0</v>
      </c>
      <c r="Q34">
        <v>0</v>
      </c>
      <c r="R34" t="s">
        <v>125</v>
      </c>
      <c r="S34">
        <v>0</v>
      </c>
      <c r="T34" t="s">
        <v>80</v>
      </c>
      <c r="U34" t="s">
        <v>80</v>
      </c>
      <c r="V34" t="s">
        <v>257</v>
      </c>
      <c r="W34" t="s">
        <v>257</v>
      </c>
      <c r="X34" t="s">
        <v>384</v>
      </c>
      <c r="Y34" t="s">
        <v>385</v>
      </c>
      <c r="Z34" t="s">
        <v>80</v>
      </c>
      <c r="AA34" t="s">
        <v>85</v>
      </c>
      <c r="AC34" t="s">
        <v>386</v>
      </c>
      <c r="AD34" t="s">
        <v>87</v>
      </c>
      <c r="AF34" t="s">
        <v>364</v>
      </c>
      <c r="AG34" t="s">
        <v>387</v>
      </c>
      <c r="AH34" t="s">
        <v>183</v>
      </c>
      <c r="AI34" t="s">
        <v>92</v>
      </c>
      <c r="AJ34" t="s">
        <v>93</v>
      </c>
      <c r="AK34" t="s">
        <v>388</v>
      </c>
      <c r="AL34" t="s">
        <v>95</v>
      </c>
      <c r="AM34" t="s">
        <v>96</v>
      </c>
      <c r="AN34" t="s">
        <v>97</v>
      </c>
      <c r="AO34" t="s">
        <v>98</v>
      </c>
      <c r="AP34" t="s">
        <v>78</v>
      </c>
      <c r="AQ34" t="s">
        <v>78</v>
      </c>
      <c r="AS34" t="s">
        <v>78</v>
      </c>
      <c r="AT34" t="s">
        <v>100</v>
      </c>
      <c r="AU34" t="s">
        <v>100</v>
      </c>
      <c r="AW34" t="s">
        <v>85</v>
      </c>
      <c r="AX34" t="s">
        <v>101</v>
      </c>
      <c r="AY34" t="s">
        <v>102</v>
      </c>
      <c r="AZ34" t="s">
        <v>103</v>
      </c>
      <c r="BA34" t="s">
        <v>185</v>
      </c>
      <c r="BB34" t="s">
        <v>78</v>
      </c>
      <c r="BC34" t="s">
        <v>78</v>
      </c>
      <c r="BD34" t="s">
        <v>367</v>
      </c>
      <c r="BE34">
        <v>0</v>
      </c>
      <c r="BF34">
        <v>0</v>
      </c>
      <c r="BG34">
        <v>0</v>
      </c>
      <c r="BH34">
        <v>0</v>
      </c>
      <c r="BJ34" t="s">
        <v>85</v>
      </c>
      <c r="BP34" t="s">
        <v>78</v>
      </c>
      <c r="BQ34" t="s">
        <v>78</v>
      </c>
      <c r="BR34" t="s">
        <v>78</v>
      </c>
    </row>
    <row r="35" customFormat="1" spans="1:70">
      <c r="A35" t="s">
        <v>3892</v>
      </c>
      <c r="B35" t="s">
        <v>3892</v>
      </c>
      <c r="C35" t="s">
        <v>107</v>
      </c>
      <c r="D35" t="s">
        <v>108</v>
      </c>
      <c r="E35">
        <v>1</v>
      </c>
      <c r="F35" t="s">
        <v>3857</v>
      </c>
      <c r="G35" t="s">
        <v>110</v>
      </c>
      <c r="H35">
        <v>289</v>
      </c>
      <c r="I35">
        <v>289</v>
      </c>
      <c r="J35">
        <v>0</v>
      </c>
      <c r="K35">
        <v>0</v>
      </c>
      <c r="L35" t="s">
        <v>78</v>
      </c>
      <c r="M35" t="s">
        <v>78</v>
      </c>
      <c r="N35" t="s">
        <v>78</v>
      </c>
      <c r="O35">
        <v>0</v>
      </c>
      <c r="P35">
        <v>0</v>
      </c>
      <c r="Q35">
        <v>0</v>
      </c>
      <c r="R35" t="s">
        <v>79</v>
      </c>
      <c r="S35">
        <v>0</v>
      </c>
      <c r="T35" t="s">
        <v>80</v>
      </c>
      <c r="U35" t="s">
        <v>80</v>
      </c>
      <c r="V35" t="s">
        <v>126</v>
      </c>
      <c r="W35" t="s">
        <v>390</v>
      </c>
      <c r="X35" t="s">
        <v>391</v>
      </c>
      <c r="Y35" t="s">
        <v>392</v>
      </c>
      <c r="Z35" t="s">
        <v>80</v>
      </c>
      <c r="AA35" t="s">
        <v>85</v>
      </c>
      <c r="AC35" t="s">
        <v>393</v>
      </c>
      <c r="AD35" t="s">
        <v>202</v>
      </c>
      <c r="AE35" t="s">
        <v>394</v>
      </c>
      <c r="AG35" t="s">
        <v>395</v>
      </c>
      <c r="AH35" t="s">
        <v>91</v>
      </c>
      <c r="AI35" t="s">
        <v>92</v>
      </c>
      <c r="AJ35" t="s">
        <v>131</v>
      </c>
      <c r="AK35" t="s">
        <v>396</v>
      </c>
      <c r="AL35" t="s">
        <v>95</v>
      </c>
      <c r="AM35" t="s">
        <v>96</v>
      </c>
      <c r="AN35" t="s">
        <v>97</v>
      </c>
      <c r="AO35" t="s">
        <v>98</v>
      </c>
      <c r="AP35" t="s">
        <v>78</v>
      </c>
      <c r="AQ35" t="s">
        <v>99</v>
      </c>
      <c r="AS35" t="s">
        <v>78</v>
      </c>
      <c r="AT35" t="s">
        <v>100</v>
      </c>
      <c r="AU35" t="s">
        <v>100</v>
      </c>
      <c r="AW35" t="s">
        <v>85</v>
      </c>
      <c r="AX35" t="s">
        <v>101</v>
      </c>
      <c r="AY35" t="s">
        <v>102</v>
      </c>
      <c r="AZ35" t="s">
        <v>103</v>
      </c>
      <c r="BA35" t="s">
        <v>133</v>
      </c>
      <c r="BB35" t="s">
        <v>78</v>
      </c>
      <c r="BC35" t="s">
        <v>78</v>
      </c>
      <c r="BD35" t="s">
        <v>367</v>
      </c>
      <c r="BE35">
        <v>0</v>
      </c>
      <c r="BF35">
        <v>0</v>
      </c>
      <c r="BG35">
        <v>0</v>
      </c>
      <c r="BH35">
        <v>0</v>
      </c>
      <c r="BJ35" t="s">
        <v>85</v>
      </c>
      <c r="BP35" t="s">
        <v>78</v>
      </c>
      <c r="BQ35" t="s">
        <v>78</v>
      </c>
      <c r="BR35" t="s">
        <v>78</v>
      </c>
    </row>
    <row r="36" customFormat="1" spans="1:70">
      <c r="A36" t="s">
        <v>3893</v>
      </c>
      <c r="B36" t="s">
        <v>3893</v>
      </c>
      <c r="C36" t="s">
        <v>107</v>
      </c>
      <c r="D36" t="s">
        <v>108</v>
      </c>
      <c r="E36">
        <v>1</v>
      </c>
      <c r="F36" t="s">
        <v>3857</v>
      </c>
      <c r="G36" t="s">
        <v>110</v>
      </c>
      <c r="H36">
        <v>289</v>
      </c>
      <c r="I36">
        <v>289</v>
      </c>
      <c r="J36">
        <v>0</v>
      </c>
      <c r="K36">
        <v>0</v>
      </c>
      <c r="L36" t="s">
        <v>78</v>
      </c>
      <c r="M36" t="s">
        <v>78</v>
      </c>
      <c r="N36" t="s">
        <v>78</v>
      </c>
      <c r="O36">
        <v>0</v>
      </c>
      <c r="P36">
        <v>0</v>
      </c>
      <c r="Q36">
        <v>0</v>
      </c>
      <c r="R36" t="s">
        <v>111</v>
      </c>
      <c r="S36">
        <v>0</v>
      </c>
      <c r="T36" t="s">
        <v>80</v>
      </c>
      <c r="U36" t="s">
        <v>80</v>
      </c>
      <c r="V36" t="s">
        <v>167</v>
      </c>
      <c r="W36" t="s">
        <v>168</v>
      </c>
      <c r="X36" t="s">
        <v>398</v>
      </c>
      <c r="Y36" t="s">
        <v>399</v>
      </c>
      <c r="Z36" t="s">
        <v>80</v>
      </c>
      <c r="AA36" t="s">
        <v>85</v>
      </c>
      <c r="AC36" t="s">
        <v>400</v>
      </c>
      <c r="AD36" t="s">
        <v>87</v>
      </c>
      <c r="AH36" t="s">
        <v>401</v>
      </c>
      <c r="AI36" t="s">
        <v>92</v>
      </c>
      <c r="AJ36" t="s">
        <v>131</v>
      </c>
      <c r="AK36" t="s">
        <v>402</v>
      </c>
      <c r="AL36" t="s">
        <v>95</v>
      </c>
      <c r="AM36" t="s">
        <v>96</v>
      </c>
      <c r="AN36" t="s">
        <v>97</v>
      </c>
      <c r="AO36" t="s">
        <v>98</v>
      </c>
      <c r="AP36" t="s">
        <v>78</v>
      </c>
      <c r="AQ36" t="s">
        <v>78</v>
      </c>
      <c r="AR36" t="s">
        <v>353</v>
      </c>
      <c r="AS36" t="s">
        <v>78</v>
      </c>
      <c r="AT36" t="s">
        <v>100</v>
      </c>
      <c r="AU36" t="s">
        <v>100</v>
      </c>
      <c r="AW36" t="s">
        <v>85</v>
      </c>
      <c r="AX36" t="s">
        <v>103</v>
      </c>
      <c r="AY36" t="s">
        <v>159</v>
      </c>
      <c r="AZ36" t="s">
        <v>103</v>
      </c>
      <c r="BA36" t="s">
        <v>102</v>
      </c>
      <c r="BB36" t="s">
        <v>78</v>
      </c>
      <c r="BC36" t="s">
        <v>78</v>
      </c>
      <c r="BE36">
        <v>0</v>
      </c>
      <c r="BF36">
        <v>0</v>
      </c>
      <c r="BG36">
        <v>0</v>
      </c>
      <c r="BH36">
        <v>0</v>
      </c>
      <c r="BJ36" t="s">
        <v>85</v>
      </c>
      <c r="BP36" t="s">
        <v>78</v>
      </c>
      <c r="BQ36" t="s">
        <v>78</v>
      </c>
      <c r="BR36" t="s">
        <v>78</v>
      </c>
    </row>
    <row r="37" customFormat="1" spans="1:70">
      <c r="A37" t="s">
        <v>3894</v>
      </c>
      <c r="B37" t="s">
        <v>3894</v>
      </c>
      <c r="C37" t="s">
        <v>107</v>
      </c>
      <c r="D37" t="s">
        <v>108</v>
      </c>
      <c r="E37">
        <v>1</v>
      </c>
      <c r="F37" t="s">
        <v>3857</v>
      </c>
      <c r="G37" t="s">
        <v>110</v>
      </c>
      <c r="H37">
        <v>289</v>
      </c>
      <c r="I37">
        <v>289</v>
      </c>
      <c r="J37">
        <v>0</v>
      </c>
      <c r="K37">
        <v>0</v>
      </c>
      <c r="L37" t="s">
        <v>78</v>
      </c>
      <c r="M37" t="s">
        <v>78</v>
      </c>
      <c r="N37" t="s">
        <v>78</v>
      </c>
      <c r="O37">
        <v>0</v>
      </c>
      <c r="P37">
        <v>0</v>
      </c>
      <c r="Q37">
        <v>0</v>
      </c>
      <c r="R37" t="s">
        <v>125</v>
      </c>
      <c r="S37">
        <v>0</v>
      </c>
      <c r="T37" t="s">
        <v>80</v>
      </c>
      <c r="U37" t="s">
        <v>80</v>
      </c>
      <c r="V37" t="s">
        <v>271</v>
      </c>
      <c r="W37" t="s">
        <v>404</v>
      </c>
      <c r="X37" t="s">
        <v>405</v>
      </c>
      <c r="Y37" t="s">
        <v>406</v>
      </c>
      <c r="Z37" t="s">
        <v>80</v>
      </c>
      <c r="AA37" t="s">
        <v>85</v>
      </c>
      <c r="AC37" t="s">
        <v>407</v>
      </c>
      <c r="AD37" t="s">
        <v>202</v>
      </c>
      <c r="AE37" t="s">
        <v>408</v>
      </c>
      <c r="AG37" t="s">
        <v>409</v>
      </c>
      <c r="AH37" t="s">
        <v>91</v>
      </c>
      <c r="AI37" t="s">
        <v>92</v>
      </c>
      <c r="AJ37" t="s">
        <v>131</v>
      </c>
      <c r="AK37" t="s">
        <v>410</v>
      </c>
      <c r="AL37" t="s">
        <v>95</v>
      </c>
      <c r="AM37" t="s">
        <v>96</v>
      </c>
      <c r="AN37" t="s">
        <v>97</v>
      </c>
      <c r="AO37" t="s">
        <v>98</v>
      </c>
      <c r="AP37" t="s">
        <v>78</v>
      </c>
      <c r="AQ37" t="s">
        <v>99</v>
      </c>
      <c r="AS37" t="s">
        <v>78</v>
      </c>
      <c r="AT37" t="s">
        <v>100</v>
      </c>
      <c r="AU37" t="s">
        <v>100</v>
      </c>
      <c r="AW37" t="s">
        <v>85</v>
      </c>
      <c r="AX37" t="s">
        <v>103</v>
      </c>
      <c r="AY37" t="s">
        <v>159</v>
      </c>
      <c r="AZ37" t="s">
        <v>103</v>
      </c>
      <c r="BA37" t="s">
        <v>218</v>
      </c>
      <c r="BB37" t="s">
        <v>78</v>
      </c>
      <c r="BC37" t="s">
        <v>78</v>
      </c>
      <c r="BD37" t="s">
        <v>367</v>
      </c>
      <c r="BE37">
        <v>0</v>
      </c>
      <c r="BF37">
        <v>0</v>
      </c>
      <c r="BG37">
        <v>0</v>
      </c>
      <c r="BH37">
        <v>0</v>
      </c>
      <c r="BJ37" t="s">
        <v>85</v>
      </c>
      <c r="BP37" t="s">
        <v>78</v>
      </c>
      <c r="BQ37" t="s">
        <v>78</v>
      </c>
      <c r="BR37" t="s">
        <v>78</v>
      </c>
    </row>
    <row r="38" customFormat="1" spans="1:70">
      <c r="A38" t="s">
        <v>3895</v>
      </c>
      <c r="B38" t="s">
        <v>3895</v>
      </c>
      <c r="C38" t="s">
        <v>107</v>
      </c>
      <c r="D38" t="s">
        <v>108</v>
      </c>
      <c r="E38">
        <v>1</v>
      </c>
      <c r="F38" t="s">
        <v>3857</v>
      </c>
      <c r="G38" t="s">
        <v>110</v>
      </c>
      <c r="H38">
        <v>289</v>
      </c>
      <c r="I38">
        <v>289</v>
      </c>
      <c r="J38">
        <v>0</v>
      </c>
      <c r="K38">
        <v>0</v>
      </c>
      <c r="L38" t="s">
        <v>78</v>
      </c>
      <c r="M38" t="s">
        <v>78</v>
      </c>
      <c r="N38" t="s">
        <v>78</v>
      </c>
      <c r="O38">
        <v>0</v>
      </c>
      <c r="P38">
        <v>0</v>
      </c>
      <c r="Q38">
        <v>0</v>
      </c>
      <c r="R38" t="s">
        <v>125</v>
      </c>
      <c r="S38">
        <v>0</v>
      </c>
      <c r="T38" t="s">
        <v>80</v>
      </c>
      <c r="U38" t="s">
        <v>80</v>
      </c>
      <c r="V38" t="s">
        <v>302</v>
      </c>
      <c r="W38" t="s">
        <v>412</v>
      </c>
      <c r="X38" t="s">
        <v>413</v>
      </c>
      <c r="Y38" t="s">
        <v>414</v>
      </c>
      <c r="Z38" t="s">
        <v>80</v>
      </c>
      <c r="AA38" t="s">
        <v>85</v>
      </c>
      <c r="AC38" t="s">
        <v>415</v>
      </c>
      <c r="AD38" t="s">
        <v>202</v>
      </c>
      <c r="AE38" t="s">
        <v>416</v>
      </c>
      <c r="AG38" t="s">
        <v>417</v>
      </c>
      <c r="AH38" t="s">
        <v>91</v>
      </c>
      <c r="AI38" t="s">
        <v>92</v>
      </c>
      <c r="AJ38" t="s">
        <v>131</v>
      </c>
      <c r="AK38" t="s">
        <v>418</v>
      </c>
      <c r="AL38" t="s">
        <v>95</v>
      </c>
      <c r="AM38" t="s">
        <v>96</v>
      </c>
      <c r="AN38" t="s">
        <v>97</v>
      </c>
      <c r="AO38" t="s">
        <v>98</v>
      </c>
      <c r="AP38" t="s">
        <v>78</v>
      </c>
      <c r="AQ38" t="s">
        <v>99</v>
      </c>
      <c r="AS38" t="s">
        <v>78</v>
      </c>
      <c r="AT38" t="s">
        <v>100</v>
      </c>
      <c r="AU38" t="s">
        <v>100</v>
      </c>
      <c r="AW38" t="s">
        <v>85</v>
      </c>
      <c r="AX38" t="s">
        <v>101</v>
      </c>
      <c r="AY38" t="s">
        <v>102</v>
      </c>
      <c r="AZ38" t="s">
        <v>103</v>
      </c>
      <c r="BA38" t="s">
        <v>419</v>
      </c>
      <c r="BB38" t="s">
        <v>78</v>
      </c>
      <c r="BC38" t="s">
        <v>78</v>
      </c>
      <c r="BD38" t="s">
        <v>367</v>
      </c>
      <c r="BE38">
        <v>0</v>
      </c>
      <c r="BF38">
        <v>0</v>
      </c>
      <c r="BG38">
        <v>0</v>
      </c>
      <c r="BH38">
        <v>0</v>
      </c>
      <c r="BJ38" t="s">
        <v>85</v>
      </c>
      <c r="BP38" t="s">
        <v>78</v>
      </c>
      <c r="BQ38" t="s">
        <v>78</v>
      </c>
      <c r="BR38" t="s">
        <v>78</v>
      </c>
    </row>
    <row r="39" customFormat="1" spans="1:70">
      <c r="A39" t="s">
        <v>3896</v>
      </c>
      <c r="B39" t="s">
        <v>3896</v>
      </c>
      <c r="C39" t="s">
        <v>107</v>
      </c>
      <c r="D39" t="s">
        <v>108</v>
      </c>
      <c r="E39">
        <v>1</v>
      </c>
      <c r="F39" t="s">
        <v>3857</v>
      </c>
      <c r="G39" t="s">
        <v>110</v>
      </c>
      <c r="H39">
        <v>289</v>
      </c>
      <c r="I39">
        <v>289</v>
      </c>
      <c r="J39">
        <v>0</v>
      </c>
      <c r="K39">
        <v>0</v>
      </c>
      <c r="L39" t="s">
        <v>78</v>
      </c>
      <c r="M39" t="s">
        <v>78</v>
      </c>
      <c r="N39" t="s">
        <v>78</v>
      </c>
      <c r="O39">
        <v>0</v>
      </c>
      <c r="P39">
        <v>0</v>
      </c>
      <c r="Q39">
        <v>0</v>
      </c>
      <c r="R39" t="s">
        <v>125</v>
      </c>
      <c r="S39">
        <v>0</v>
      </c>
      <c r="T39" t="s">
        <v>80</v>
      </c>
      <c r="U39" t="s">
        <v>80</v>
      </c>
      <c r="V39" t="s">
        <v>271</v>
      </c>
      <c r="W39" t="s">
        <v>421</v>
      </c>
      <c r="X39" t="s">
        <v>422</v>
      </c>
      <c r="Y39" t="s">
        <v>423</v>
      </c>
      <c r="Z39" t="s">
        <v>80</v>
      </c>
      <c r="AA39" t="s">
        <v>85</v>
      </c>
      <c r="AC39" t="s">
        <v>424</v>
      </c>
      <c r="AD39" t="s">
        <v>362</v>
      </c>
      <c r="AE39" t="s">
        <v>425</v>
      </c>
      <c r="AF39" t="s">
        <v>364</v>
      </c>
      <c r="AG39" t="s">
        <v>426</v>
      </c>
      <c r="AH39" t="s">
        <v>91</v>
      </c>
      <c r="AI39" t="s">
        <v>92</v>
      </c>
      <c r="AJ39" t="s">
        <v>93</v>
      </c>
      <c r="AK39" t="s">
        <v>427</v>
      </c>
      <c r="AL39" t="s">
        <v>95</v>
      </c>
      <c r="AM39" t="s">
        <v>96</v>
      </c>
      <c r="AN39" t="s">
        <v>97</v>
      </c>
      <c r="AO39" t="s">
        <v>98</v>
      </c>
      <c r="AP39" t="s">
        <v>78</v>
      </c>
      <c r="AQ39" t="s">
        <v>428</v>
      </c>
      <c r="AS39" t="s">
        <v>78</v>
      </c>
      <c r="AT39" t="s">
        <v>100</v>
      </c>
      <c r="AU39" t="s">
        <v>100</v>
      </c>
      <c r="AW39" t="s">
        <v>85</v>
      </c>
      <c r="AX39" t="s">
        <v>101</v>
      </c>
      <c r="AY39" t="s">
        <v>102</v>
      </c>
      <c r="AZ39" t="s">
        <v>103</v>
      </c>
      <c r="BA39" t="s">
        <v>133</v>
      </c>
      <c r="BB39" t="s">
        <v>78</v>
      </c>
      <c r="BC39" t="s">
        <v>78</v>
      </c>
      <c r="BD39" t="s">
        <v>367</v>
      </c>
      <c r="BE39">
        <v>0</v>
      </c>
      <c r="BF39">
        <v>0</v>
      </c>
      <c r="BG39">
        <v>0</v>
      </c>
      <c r="BH39">
        <v>0</v>
      </c>
      <c r="BJ39" t="s">
        <v>85</v>
      </c>
      <c r="BP39" t="s">
        <v>78</v>
      </c>
      <c r="BQ39" t="s">
        <v>78</v>
      </c>
      <c r="BR39" t="s">
        <v>78</v>
      </c>
    </row>
    <row r="40" customFormat="1" spans="1:70">
      <c r="A40" t="s">
        <v>3897</v>
      </c>
      <c r="B40" t="s">
        <v>3897</v>
      </c>
      <c r="C40" t="s">
        <v>107</v>
      </c>
      <c r="D40" t="s">
        <v>108</v>
      </c>
      <c r="E40">
        <v>8</v>
      </c>
      <c r="F40" t="s">
        <v>3857</v>
      </c>
      <c r="G40" t="s">
        <v>110</v>
      </c>
      <c r="H40">
        <v>289</v>
      </c>
      <c r="I40" s="20">
        <v>2312</v>
      </c>
      <c r="J40">
        <v>0</v>
      </c>
      <c r="K40">
        <v>0</v>
      </c>
      <c r="L40" t="s">
        <v>78</v>
      </c>
      <c r="M40" t="s">
        <v>78</v>
      </c>
      <c r="N40" t="s">
        <v>78</v>
      </c>
      <c r="O40">
        <v>0</v>
      </c>
      <c r="P40">
        <v>0</v>
      </c>
      <c r="Q40">
        <v>0</v>
      </c>
      <c r="R40" t="s">
        <v>111</v>
      </c>
      <c r="S40">
        <v>0</v>
      </c>
      <c r="T40" t="s">
        <v>80</v>
      </c>
      <c r="U40" t="s">
        <v>80</v>
      </c>
      <c r="V40" t="s">
        <v>126</v>
      </c>
      <c r="W40" t="s">
        <v>430</v>
      </c>
      <c r="X40" t="s">
        <v>431</v>
      </c>
      <c r="Y40" t="s">
        <v>78</v>
      </c>
      <c r="Z40" t="s">
        <v>80</v>
      </c>
      <c r="AA40" t="s">
        <v>85</v>
      </c>
      <c r="AC40" t="s">
        <v>432</v>
      </c>
      <c r="AD40" t="s">
        <v>87</v>
      </c>
      <c r="AH40" t="s">
        <v>183</v>
      </c>
      <c r="AI40" t="s">
        <v>92</v>
      </c>
      <c r="AJ40" t="s">
        <v>131</v>
      </c>
      <c r="AK40" t="s">
        <v>433</v>
      </c>
      <c r="AL40" t="s">
        <v>95</v>
      </c>
      <c r="AM40" t="s">
        <v>96</v>
      </c>
      <c r="AN40" t="s">
        <v>97</v>
      </c>
      <c r="AO40" t="s">
        <v>98</v>
      </c>
      <c r="AP40" t="s">
        <v>78</v>
      </c>
      <c r="AQ40" t="s">
        <v>78</v>
      </c>
      <c r="AR40" t="s">
        <v>353</v>
      </c>
      <c r="AS40" t="s">
        <v>78</v>
      </c>
      <c r="AT40" t="s">
        <v>100</v>
      </c>
      <c r="AU40" t="s">
        <v>100</v>
      </c>
      <c r="AW40" t="s">
        <v>85</v>
      </c>
      <c r="AX40" t="s">
        <v>103</v>
      </c>
      <c r="AY40" t="s">
        <v>159</v>
      </c>
      <c r="AZ40" t="s">
        <v>103</v>
      </c>
      <c r="BA40" t="s">
        <v>185</v>
      </c>
      <c r="BB40" t="s">
        <v>78</v>
      </c>
      <c r="BC40" t="s">
        <v>78</v>
      </c>
      <c r="BE40">
        <v>0</v>
      </c>
      <c r="BF40">
        <v>0</v>
      </c>
      <c r="BG40">
        <v>0</v>
      </c>
      <c r="BH40">
        <v>0</v>
      </c>
      <c r="BJ40" t="s">
        <v>85</v>
      </c>
      <c r="BP40" t="s">
        <v>78</v>
      </c>
      <c r="BQ40" t="s">
        <v>78</v>
      </c>
      <c r="BR40" t="s">
        <v>78</v>
      </c>
    </row>
    <row r="41" customFormat="1" spans="1:70">
      <c r="A41" t="s">
        <v>3898</v>
      </c>
      <c r="B41" t="s">
        <v>3898</v>
      </c>
      <c r="C41" t="s">
        <v>107</v>
      </c>
      <c r="D41" t="s">
        <v>123</v>
      </c>
      <c r="E41">
        <v>1</v>
      </c>
      <c r="F41" t="s">
        <v>3857</v>
      </c>
      <c r="G41" t="s">
        <v>124</v>
      </c>
      <c r="H41">
        <v>289</v>
      </c>
      <c r="I41">
        <v>289</v>
      </c>
      <c r="J41">
        <v>0</v>
      </c>
      <c r="K41">
        <v>0</v>
      </c>
      <c r="L41" t="s">
        <v>78</v>
      </c>
      <c r="M41" t="s">
        <v>78</v>
      </c>
      <c r="N41" t="s">
        <v>78</v>
      </c>
      <c r="O41">
        <v>0</v>
      </c>
      <c r="P41">
        <v>0</v>
      </c>
      <c r="Q41">
        <v>0</v>
      </c>
      <c r="R41" t="s">
        <v>125</v>
      </c>
      <c r="S41">
        <v>0</v>
      </c>
      <c r="T41" t="s">
        <v>80</v>
      </c>
      <c r="U41" t="s">
        <v>80</v>
      </c>
      <c r="V41" t="s">
        <v>81</v>
      </c>
      <c r="W41" t="s">
        <v>435</v>
      </c>
      <c r="X41" t="s">
        <v>436</v>
      </c>
      <c r="Y41" t="s">
        <v>437</v>
      </c>
      <c r="Z41" t="s">
        <v>80</v>
      </c>
      <c r="AA41" t="s">
        <v>85</v>
      </c>
      <c r="AC41" t="s">
        <v>438</v>
      </c>
      <c r="AD41" t="s">
        <v>87</v>
      </c>
      <c r="AF41" t="s">
        <v>439</v>
      </c>
      <c r="AG41" t="s">
        <v>440</v>
      </c>
      <c r="AH41" t="s">
        <v>91</v>
      </c>
      <c r="AI41" t="s">
        <v>92</v>
      </c>
      <c r="AJ41" t="s">
        <v>93</v>
      </c>
      <c r="AK41" t="s">
        <v>441</v>
      </c>
      <c r="AL41" t="s">
        <v>95</v>
      </c>
      <c r="AM41" t="s">
        <v>96</v>
      </c>
      <c r="AN41" t="s">
        <v>97</v>
      </c>
      <c r="AO41" t="s">
        <v>98</v>
      </c>
      <c r="AP41" t="s">
        <v>78</v>
      </c>
      <c r="AQ41" t="s">
        <v>78</v>
      </c>
      <c r="AS41" t="s">
        <v>78</v>
      </c>
      <c r="AT41" t="s">
        <v>100</v>
      </c>
      <c r="AU41" t="s">
        <v>100</v>
      </c>
      <c r="AW41" t="s">
        <v>85</v>
      </c>
      <c r="AX41" t="s">
        <v>101</v>
      </c>
      <c r="AY41" t="s">
        <v>102</v>
      </c>
      <c r="AZ41" t="s">
        <v>103</v>
      </c>
      <c r="BA41" t="s">
        <v>133</v>
      </c>
      <c r="BB41" t="s">
        <v>78</v>
      </c>
      <c r="BC41" t="s">
        <v>78</v>
      </c>
      <c r="BD41" t="s">
        <v>442</v>
      </c>
      <c r="BE41">
        <v>0</v>
      </c>
      <c r="BF41">
        <v>0</v>
      </c>
      <c r="BG41">
        <v>0</v>
      </c>
      <c r="BH41">
        <v>0</v>
      </c>
      <c r="BJ41" t="s">
        <v>85</v>
      </c>
      <c r="BP41" t="s">
        <v>78</v>
      </c>
      <c r="BQ41" t="s">
        <v>78</v>
      </c>
      <c r="BR41" t="s">
        <v>78</v>
      </c>
    </row>
    <row r="42" customFormat="1" spans="1:70">
      <c r="A42" t="s">
        <v>3899</v>
      </c>
      <c r="B42" t="s">
        <v>3899</v>
      </c>
      <c r="C42" t="s">
        <v>444</v>
      </c>
      <c r="D42" t="s">
        <v>135</v>
      </c>
      <c r="E42">
        <v>1</v>
      </c>
      <c r="F42" t="s">
        <v>3900</v>
      </c>
      <c r="G42" t="s">
        <v>446</v>
      </c>
      <c r="H42">
        <v>319</v>
      </c>
      <c r="I42">
        <v>319</v>
      </c>
      <c r="J42">
        <v>0</v>
      </c>
      <c r="K42">
        <v>0</v>
      </c>
      <c r="L42" t="s">
        <v>78</v>
      </c>
      <c r="M42" t="s">
        <v>78</v>
      </c>
      <c r="N42" t="s">
        <v>78</v>
      </c>
      <c r="O42">
        <v>0</v>
      </c>
      <c r="P42">
        <v>0</v>
      </c>
      <c r="Q42">
        <v>0</v>
      </c>
      <c r="R42" t="s">
        <v>79</v>
      </c>
      <c r="S42">
        <v>0</v>
      </c>
      <c r="T42" t="s">
        <v>80</v>
      </c>
      <c r="U42" t="s">
        <v>80</v>
      </c>
      <c r="V42" t="s">
        <v>447</v>
      </c>
      <c r="W42" t="s">
        <v>448</v>
      </c>
      <c r="X42" t="s">
        <v>449</v>
      </c>
      <c r="Y42" t="s">
        <v>450</v>
      </c>
      <c r="Z42" t="s">
        <v>80</v>
      </c>
      <c r="AA42" t="s">
        <v>85</v>
      </c>
      <c r="AC42" t="s">
        <v>451</v>
      </c>
      <c r="AD42" t="s">
        <v>202</v>
      </c>
      <c r="AE42" t="s">
        <v>452</v>
      </c>
      <c r="AG42" t="s">
        <v>453</v>
      </c>
      <c r="AH42" t="s">
        <v>91</v>
      </c>
      <c r="AI42" t="s">
        <v>216</v>
      </c>
      <c r="AJ42" t="s">
        <v>131</v>
      </c>
      <c r="AK42" t="s">
        <v>454</v>
      </c>
      <c r="AL42" t="s">
        <v>95</v>
      </c>
      <c r="AM42" t="s">
        <v>96</v>
      </c>
      <c r="AN42" t="s">
        <v>96</v>
      </c>
      <c r="AP42" t="s">
        <v>78</v>
      </c>
      <c r="AQ42" t="s">
        <v>99</v>
      </c>
      <c r="AS42" t="s">
        <v>78</v>
      </c>
      <c r="AT42" t="s">
        <v>100</v>
      </c>
      <c r="AU42" t="s">
        <v>100</v>
      </c>
      <c r="AW42" t="s">
        <v>85</v>
      </c>
      <c r="AX42" t="s">
        <v>101</v>
      </c>
      <c r="AY42" t="s">
        <v>102</v>
      </c>
      <c r="AZ42" t="s">
        <v>145</v>
      </c>
      <c r="BA42" t="s">
        <v>354</v>
      </c>
      <c r="BB42" t="s">
        <v>78</v>
      </c>
      <c r="BC42" t="s">
        <v>78</v>
      </c>
      <c r="BD42" t="s">
        <v>455</v>
      </c>
      <c r="BE42">
        <v>0</v>
      </c>
      <c r="BF42">
        <v>0</v>
      </c>
      <c r="BG42">
        <v>0</v>
      </c>
      <c r="BH42">
        <v>0</v>
      </c>
      <c r="BJ42" t="s">
        <v>85</v>
      </c>
      <c r="BP42" t="s">
        <v>78</v>
      </c>
      <c r="BQ42" t="s">
        <v>78</v>
      </c>
      <c r="BR42" t="s">
        <v>78</v>
      </c>
    </row>
    <row r="43" customFormat="1" spans="1:70">
      <c r="A43" t="s">
        <v>3901</v>
      </c>
      <c r="B43" t="s">
        <v>3901</v>
      </c>
      <c r="C43" t="s">
        <v>107</v>
      </c>
      <c r="D43" t="s">
        <v>108</v>
      </c>
      <c r="E43">
        <v>1</v>
      </c>
      <c r="F43" t="s">
        <v>3857</v>
      </c>
      <c r="G43" t="s">
        <v>110</v>
      </c>
      <c r="H43">
        <v>289</v>
      </c>
      <c r="I43">
        <v>289</v>
      </c>
      <c r="J43">
        <v>0</v>
      </c>
      <c r="K43">
        <v>0</v>
      </c>
      <c r="L43" t="s">
        <v>78</v>
      </c>
      <c r="M43" t="s">
        <v>78</v>
      </c>
      <c r="N43" t="s">
        <v>78</v>
      </c>
      <c r="O43">
        <v>0</v>
      </c>
      <c r="P43">
        <v>0</v>
      </c>
      <c r="Q43">
        <v>0</v>
      </c>
      <c r="R43" t="s">
        <v>79</v>
      </c>
      <c r="S43">
        <v>0</v>
      </c>
      <c r="T43" t="s">
        <v>80</v>
      </c>
      <c r="U43" t="s">
        <v>80</v>
      </c>
      <c r="V43" t="s">
        <v>81</v>
      </c>
      <c r="W43" t="s">
        <v>457</v>
      </c>
      <c r="X43" t="s">
        <v>458</v>
      </c>
      <c r="Y43" t="s">
        <v>459</v>
      </c>
      <c r="Z43" t="s">
        <v>80</v>
      </c>
      <c r="AA43" t="s">
        <v>85</v>
      </c>
      <c r="AC43" t="s">
        <v>460</v>
      </c>
      <c r="AD43" t="s">
        <v>87</v>
      </c>
      <c r="AG43" t="s">
        <v>461</v>
      </c>
      <c r="AH43" t="s">
        <v>91</v>
      </c>
      <c r="AI43" t="s">
        <v>92</v>
      </c>
      <c r="AJ43" t="s">
        <v>131</v>
      </c>
      <c r="AK43" t="s">
        <v>462</v>
      </c>
      <c r="AL43" t="s">
        <v>95</v>
      </c>
      <c r="AM43" t="s">
        <v>96</v>
      </c>
      <c r="AN43" t="s">
        <v>97</v>
      </c>
      <c r="AO43" t="s">
        <v>98</v>
      </c>
      <c r="AP43" t="s">
        <v>78</v>
      </c>
      <c r="AQ43" t="s">
        <v>99</v>
      </c>
      <c r="AS43" t="s">
        <v>78</v>
      </c>
      <c r="AT43" t="s">
        <v>100</v>
      </c>
      <c r="AU43" t="s">
        <v>100</v>
      </c>
      <c r="AW43" t="s">
        <v>85</v>
      </c>
      <c r="AX43" t="s">
        <v>101</v>
      </c>
      <c r="AY43" t="s">
        <v>102</v>
      </c>
      <c r="AZ43" t="s">
        <v>103</v>
      </c>
      <c r="BA43" t="s">
        <v>133</v>
      </c>
      <c r="BB43" t="s">
        <v>78</v>
      </c>
      <c r="BC43" t="s">
        <v>78</v>
      </c>
      <c r="BE43">
        <v>0</v>
      </c>
      <c r="BF43">
        <v>0</v>
      </c>
      <c r="BG43">
        <v>0</v>
      </c>
      <c r="BH43">
        <v>0</v>
      </c>
      <c r="BJ43" t="s">
        <v>85</v>
      </c>
      <c r="BP43" t="s">
        <v>78</v>
      </c>
      <c r="BQ43" t="s">
        <v>78</v>
      </c>
      <c r="BR43" t="s">
        <v>78</v>
      </c>
    </row>
    <row r="44" customFormat="1" spans="1:70">
      <c r="A44" t="s">
        <v>3902</v>
      </c>
      <c r="B44" t="s">
        <v>3902</v>
      </c>
      <c r="C44" t="s">
        <v>107</v>
      </c>
      <c r="D44" t="s">
        <v>108</v>
      </c>
      <c r="E44">
        <v>1</v>
      </c>
      <c r="F44" t="s">
        <v>3857</v>
      </c>
      <c r="G44" t="s">
        <v>110</v>
      </c>
      <c r="H44">
        <v>289</v>
      </c>
      <c r="I44">
        <v>289</v>
      </c>
      <c r="J44">
        <v>0</v>
      </c>
      <c r="K44">
        <v>0</v>
      </c>
      <c r="L44" t="s">
        <v>78</v>
      </c>
      <c r="M44" t="s">
        <v>78</v>
      </c>
      <c r="N44" t="s">
        <v>78</v>
      </c>
      <c r="O44">
        <v>0</v>
      </c>
      <c r="P44">
        <v>0</v>
      </c>
      <c r="Q44">
        <v>0</v>
      </c>
      <c r="R44" t="s">
        <v>125</v>
      </c>
      <c r="S44">
        <v>0</v>
      </c>
      <c r="T44" t="s">
        <v>80</v>
      </c>
      <c r="U44" t="s">
        <v>80</v>
      </c>
      <c r="V44" t="s">
        <v>464</v>
      </c>
      <c r="W44" t="s">
        <v>465</v>
      </c>
      <c r="X44" t="s">
        <v>466</v>
      </c>
      <c r="Y44" t="s">
        <v>467</v>
      </c>
      <c r="Z44" t="s">
        <v>80</v>
      </c>
      <c r="AA44" t="s">
        <v>85</v>
      </c>
      <c r="AC44" t="s">
        <v>468</v>
      </c>
      <c r="AD44" t="s">
        <v>202</v>
      </c>
      <c r="AE44" t="s">
        <v>469</v>
      </c>
      <c r="AG44" t="s">
        <v>470</v>
      </c>
      <c r="AH44" t="s">
        <v>91</v>
      </c>
      <c r="AI44" t="s">
        <v>92</v>
      </c>
      <c r="AJ44" t="s">
        <v>131</v>
      </c>
      <c r="AK44" t="s">
        <v>471</v>
      </c>
      <c r="AL44" t="s">
        <v>95</v>
      </c>
      <c r="AM44" t="s">
        <v>96</v>
      </c>
      <c r="AN44" t="s">
        <v>97</v>
      </c>
      <c r="AO44" t="s">
        <v>98</v>
      </c>
      <c r="AP44" t="s">
        <v>78</v>
      </c>
      <c r="AQ44" t="s">
        <v>99</v>
      </c>
      <c r="AS44" t="s">
        <v>78</v>
      </c>
      <c r="AT44" t="s">
        <v>100</v>
      </c>
      <c r="AU44" t="s">
        <v>100</v>
      </c>
      <c r="AW44" t="s">
        <v>85</v>
      </c>
      <c r="AX44" t="s">
        <v>101</v>
      </c>
      <c r="AY44" t="s">
        <v>102</v>
      </c>
      <c r="AZ44" t="s">
        <v>103</v>
      </c>
      <c r="BA44" t="s">
        <v>245</v>
      </c>
      <c r="BB44" t="s">
        <v>78</v>
      </c>
      <c r="BC44" t="s">
        <v>78</v>
      </c>
      <c r="BD44" t="s">
        <v>472</v>
      </c>
      <c r="BE44">
        <v>0</v>
      </c>
      <c r="BF44">
        <v>0</v>
      </c>
      <c r="BG44">
        <v>0</v>
      </c>
      <c r="BH44">
        <v>0</v>
      </c>
      <c r="BJ44" t="s">
        <v>85</v>
      </c>
      <c r="BP44" t="s">
        <v>78</v>
      </c>
      <c r="BQ44" t="s">
        <v>78</v>
      </c>
      <c r="BR44" t="s">
        <v>78</v>
      </c>
    </row>
    <row r="45" customFormat="1" spans="1:70">
      <c r="A45" t="s">
        <v>3903</v>
      </c>
      <c r="B45" t="s">
        <v>3903</v>
      </c>
      <c r="C45" t="s">
        <v>107</v>
      </c>
      <c r="D45" t="s">
        <v>123</v>
      </c>
      <c r="E45">
        <v>1</v>
      </c>
      <c r="F45" t="s">
        <v>3857</v>
      </c>
      <c r="G45" t="s">
        <v>124</v>
      </c>
      <c r="H45">
        <v>289</v>
      </c>
      <c r="I45">
        <v>289</v>
      </c>
      <c r="J45">
        <v>0</v>
      </c>
      <c r="K45">
        <v>0</v>
      </c>
      <c r="L45" t="s">
        <v>78</v>
      </c>
      <c r="M45" t="s">
        <v>78</v>
      </c>
      <c r="N45" t="s">
        <v>78</v>
      </c>
      <c r="O45">
        <v>0</v>
      </c>
      <c r="P45">
        <v>0</v>
      </c>
      <c r="Q45">
        <v>0</v>
      </c>
      <c r="R45" t="s">
        <v>111</v>
      </c>
      <c r="S45">
        <v>0</v>
      </c>
      <c r="T45" t="s">
        <v>80</v>
      </c>
      <c r="U45" t="s">
        <v>80</v>
      </c>
      <c r="V45" t="s">
        <v>161</v>
      </c>
      <c r="W45" t="s">
        <v>161</v>
      </c>
      <c r="X45" t="s">
        <v>474</v>
      </c>
      <c r="Y45" t="s">
        <v>475</v>
      </c>
      <c r="Z45" t="s">
        <v>80</v>
      </c>
      <c r="AA45" t="s">
        <v>85</v>
      </c>
      <c r="AC45" t="s">
        <v>476</v>
      </c>
      <c r="AD45" t="s">
        <v>87</v>
      </c>
      <c r="AG45" t="s">
        <v>477</v>
      </c>
      <c r="AH45" t="s">
        <v>91</v>
      </c>
      <c r="AI45" t="s">
        <v>92</v>
      </c>
      <c r="AJ45" t="s">
        <v>131</v>
      </c>
      <c r="AK45" t="s">
        <v>478</v>
      </c>
      <c r="AL45" t="s">
        <v>95</v>
      </c>
      <c r="AM45" t="s">
        <v>96</v>
      </c>
      <c r="AN45" t="s">
        <v>97</v>
      </c>
      <c r="AO45" t="s">
        <v>98</v>
      </c>
      <c r="AP45" t="s">
        <v>78</v>
      </c>
      <c r="AQ45" t="s">
        <v>99</v>
      </c>
      <c r="AS45" t="s">
        <v>78</v>
      </c>
      <c r="AT45" t="s">
        <v>100</v>
      </c>
      <c r="AU45" t="s">
        <v>100</v>
      </c>
      <c r="AW45" t="s">
        <v>85</v>
      </c>
      <c r="AX45" t="s">
        <v>101</v>
      </c>
      <c r="AY45" t="s">
        <v>102</v>
      </c>
      <c r="AZ45" t="s">
        <v>103</v>
      </c>
      <c r="BA45" t="s">
        <v>133</v>
      </c>
      <c r="BB45" t="s">
        <v>78</v>
      </c>
      <c r="BC45" t="s">
        <v>78</v>
      </c>
      <c r="BE45">
        <v>0</v>
      </c>
      <c r="BF45">
        <v>0</v>
      </c>
      <c r="BG45">
        <v>0</v>
      </c>
      <c r="BH45">
        <v>0</v>
      </c>
      <c r="BJ45" t="s">
        <v>85</v>
      </c>
      <c r="BP45" t="s">
        <v>78</v>
      </c>
      <c r="BQ45" t="s">
        <v>78</v>
      </c>
      <c r="BR45" t="s">
        <v>78</v>
      </c>
    </row>
    <row r="46" customFormat="1" spans="1:70">
      <c r="A46" t="s">
        <v>3904</v>
      </c>
      <c r="B46" t="s">
        <v>3904</v>
      </c>
      <c r="C46" t="s">
        <v>107</v>
      </c>
      <c r="D46" t="s">
        <v>108</v>
      </c>
      <c r="E46">
        <v>1</v>
      </c>
      <c r="F46" t="s">
        <v>3857</v>
      </c>
      <c r="G46" t="s">
        <v>110</v>
      </c>
      <c r="H46">
        <v>289</v>
      </c>
      <c r="I46">
        <v>274.3</v>
      </c>
      <c r="J46">
        <v>0</v>
      </c>
      <c r="K46">
        <v>14.7</v>
      </c>
      <c r="L46" t="s">
        <v>480</v>
      </c>
      <c r="M46" t="s">
        <v>78</v>
      </c>
      <c r="N46" t="s">
        <v>78</v>
      </c>
      <c r="O46">
        <v>0</v>
      </c>
      <c r="P46">
        <v>0</v>
      </c>
      <c r="Q46">
        <v>0</v>
      </c>
      <c r="R46" t="s">
        <v>79</v>
      </c>
      <c r="S46">
        <v>0</v>
      </c>
      <c r="T46" t="s">
        <v>80</v>
      </c>
      <c r="U46" t="s">
        <v>80</v>
      </c>
      <c r="V46" t="s">
        <v>81</v>
      </c>
      <c r="W46" t="s">
        <v>481</v>
      </c>
      <c r="X46" t="s">
        <v>482</v>
      </c>
      <c r="Y46" t="s">
        <v>483</v>
      </c>
      <c r="Z46" t="s">
        <v>80</v>
      </c>
      <c r="AA46" t="s">
        <v>85</v>
      </c>
      <c r="AC46" t="s">
        <v>484</v>
      </c>
      <c r="AD46" t="s">
        <v>87</v>
      </c>
      <c r="AF46" t="s">
        <v>364</v>
      </c>
      <c r="AG46" t="s">
        <v>485</v>
      </c>
      <c r="AH46" t="s">
        <v>91</v>
      </c>
      <c r="AI46" t="s">
        <v>92</v>
      </c>
      <c r="AJ46" t="s">
        <v>93</v>
      </c>
      <c r="AK46" t="s">
        <v>486</v>
      </c>
      <c r="AL46" t="s">
        <v>95</v>
      </c>
      <c r="AM46" t="s">
        <v>96</v>
      </c>
      <c r="AN46" t="s">
        <v>97</v>
      </c>
      <c r="AO46" t="s">
        <v>98</v>
      </c>
      <c r="AP46" t="s">
        <v>78</v>
      </c>
      <c r="AQ46" t="s">
        <v>78</v>
      </c>
      <c r="AS46" t="s">
        <v>78</v>
      </c>
      <c r="AT46" t="s">
        <v>100</v>
      </c>
      <c r="AU46" t="s">
        <v>100</v>
      </c>
      <c r="AW46" t="s">
        <v>85</v>
      </c>
      <c r="AX46" t="s">
        <v>101</v>
      </c>
      <c r="AY46" t="s">
        <v>102</v>
      </c>
      <c r="AZ46" t="s">
        <v>103</v>
      </c>
      <c r="BA46" t="s">
        <v>133</v>
      </c>
      <c r="BB46" t="s">
        <v>78</v>
      </c>
      <c r="BC46" t="s">
        <v>78</v>
      </c>
      <c r="BD46" t="s">
        <v>367</v>
      </c>
      <c r="BE46">
        <v>0</v>
      </c>
      <c r="BF46">
        <v>14.7</v>
      </c>
      <c r="BG46">
        <v>0</v>
      </c>
      <c r="BH46">
        <v>0</v>
      </c>
      <c r="BJ46" t="s">
        <v>85</v>
      </c>
      <c r="BP46" t="s">
        <v>78</v>
      </c>
      <c r="BQ46" t="s">
        <v>78</v>
      </c>
      <c r="BR46" t="s">
        <v>78</v>
      </c>
    </row>
    <row r="47" customFormat="1" spans="1:70">
      <c r="A47" t="s">
        <v>3905</v>
      </c>
      <c r="B47" t="s">
        <v>3905</v>
      </c>
      <c r="C47" t="s">
        <v>107</v>
      </c>
      <c r="D47" t="s">
        <v>108</v>
      </c>
      <c r="E47">
        <v>1</v>
      </c>
      <c r="F47" t="s">
        <v>3857</v>
      </c>
      <c r="G47" t="s">
        <v>110</v>
      </c>
      <c r="H47">
        <v>289</v>
      </c>
      <c r="I47">
        <v>261</v>
      </c>
      <c r="J47">
        <v>0</v>
      </c>
      <c r="K47">
        <v>28</v>
      </c>
      <c r="L47" t="s">
        <v>488</v>
      </c>
      <c r="M47" t="s">
        <v>78</v>
      </c>
      <c r="N47" t="s">
        <v>78</v>
      </c>
      <c r="O47">
        <v>0</v>
      </c>
      <c r="P47">
        <v>0</v>
      </c>
      <c r="Q47">
        <v>0</v>
      </c>
      <c r="R47" t="s">
        <v>79</v>
      </c>
      <c r="S47">
        <v>0</v>
      </c>
      <c r="T47" t="s">
        <v>80</v>
      </c>
      <c r="U47" t="s">
        <v>80</v>
      </c>
      <c r="V47" t="s">
        <v>257</v>
      </c>
      <c r="W47" t="s">
        <v>257</v>
      </c>
      <c r="X47" t="s">
        <v>489</v>
      </c>
      <c r="Y47" t="s">
        <v>490</v>
      </c>
      <c r="Z47" t="s">
        <v>80</v>
      </c>
      <c r="AA47" t="s">
        <v>85</v>
      </c>
      <c r="AC47" t="s">
        <v>491</v>
      </c>
      <c r="AD47" t="s">
        <v>87</v>
      </c>
      <c r="AG47" t="s">
        <v>492</v>
      </c>
      <c r="AH47" t="s">
        <v>91</v>
      </c>
      <c r="AI47" t="s">
        <v>216</v>
      </c>
      <c r="AJ47" t="s">
        <v>131</v>
      </c>
      <c r="AK47" t="s">
        <v>493</v>
      </c>
      <c r="AL47" t="s">
        <v>95</v>
      </c>
      <c r="AM47" t="s">
        <v>96</v>
      </c>
      <c r="AN47" t="s">
        <v>96</v>
      </c>
      <c r="AP47" t="s">
        <v>78</v>
      </c>
      <c r="AQ47" t="s">
        <v>99</v>
      </c>
      <c r="AS47" t="s">
        <v>78</v>
      </c>
      <c r="AT47" t="s">
        <v>100</v>
      </c>
      <c r="AU47" t="s">
        <v>100</v>
      </c>
      <c r="AW47" t="s">
        <v>85</v>
      </c>
      <c r="AX47" t="s">
        <v>101</v>
      </c>
      <c r="AY47" t="s">
        <v>102</v>
      </c>
      <c r="AZ47" t="s">
        <v>145</v>
      </c>
      <c r="BA47" t="s">
        <v>102</v>
      </c>
      <c r="BB47" t="s">
        <v>78</v>
      </c>
      <c r="BC47" t="s">
        <v>78</v>
      </c>
      <c r="BE47">
        <v>0</v>
      </c>
      <c r="BF47">
        <v>28</v>
      </c>
      <c r="BG47">
        <v>0</v>
      </c>
      <c r="BH47">
        <v>0</v>
      </c>
      <c r="BJ47" t="s">
        <v>85</v>
      </c>
      <c r="BP47" t="s">
        <v>78</v>
      </c>
      <c r="BQ47" t="s">
        <v>78</v>
      </c>
      <c r="BR47" t="s">
        <v>78</v>
      </c>
    </row>
    <row r="48" customFormat="1" spans="1:70">
      <c r="A48" t="s">
        <v>3906</v>
      </c>
      <c r="B48" t="s">
        <v>3906</v>
      </c>
      <c r="C48" t="s">
        <v>107</v>
      </c>
      <c r="D48" t="s">
        <v>108</v>
      </c>
      <c r="E48">
        <v>1</v>
      </c>
      <c r="F48" t="s">
        <v>3857</v>
      </c>
      <c r="G48" t="s">
        <v>110</v>
      </c>
      <c r="H48">
        <v>289</v>
      </c>
      <c r="I48">
        <v>269</v>
      </c>
      <c r="J48">
        <v>0</v>
      </c>
      <c r="K48">
        <v>20</v>
      </c>
      <c r="L48" t="s">
        <v>495</v>
      </c>
      <c r="M48" t="s">
        <v>78</v>
      </c>
      <c r="N48" t="s">
        <v>78</v>
      </c>
      <c r="O48">
        <v>0</v>
      </c>
      <c r="P48">
        <v>0</v>
      </c>
      <c r="Q48">
        <v>0</v>
      </c>
      <c r="R48" t="s">
        <v>79</v>
      </c>
      <c r="S48">
        <v>0</v>
      </c>
      <c r="T48" t="s">
        <v>80</v>
      </c>
      <c r="U48" t="s">
        <v>80</v>
      </c>
      <c r="V48" t="s">
        <v>257</v>
      </c>
      <c r="W48" t="s">
        <v>257</v>
      </c>
      <c r="X48" t="s">
        <v>489</v>
      </c>
      <c r="Y48" t="s">
        <v>490</v>
      </c>
      <c r="Z48" t="s">
        <v>80</v>
      </c>
      <c r="AA48" t="s">
        <v>85</v>
      </c>
      <c r="AC48" t="s">
        <v>496</v>
      </c>
      <c r="AD48" t="s">
        <v>87</v>
      </c>
      <c r="AG48" t="s">
        <v>497</v>
      </c>
      <c r="AH48" t="s">
        <v>91</v>
      </c>
      <c r="AI48" t="s">
        <v>216</v>
      </c>
      <c r="AJ48" t="s">
        <v>131</v>
      </c>
      <c r="AK48" t="s">
        <v>498</v>
      </c>
      <c r="AL48" t="s">
        <v>95</v>
      </c>
      <c r="AM48" t="s">
        <v>96</v>
      </c>
      <c r="AN48" t="s">
        <v>96</v>
      </c>
      <c r="AP48" t="s">
        <v>78</v>
      </c>
      <c r="AQ48" t="s">
        <v>99</v>
      </c>
      <c r="AS48" t="s">
        <v>78</v>
      </c>
      <c r="AT48" t="s">
        <v>100</v>
      </c>
      <c r="AU48" t="s">
        <v>100</v>
      </c>
      <c r="AW48" t="s">
        <v>85</v>
      </c>
      <c r="AX48" t="s">
        <v>101</v>
      </c>
      <c r="AY48" t="s">
        <v>102</v>
      </c>
      <c r="AZ48" t="s">
        <v>145</v>
      </c>
      <c r="BA48" t="s">
        <v>102</v>
      </c>
      <c r="BB48" t="s">
        <v>78</v>
      </c>
      <c r="BC48" t="s">
        <v>78</v>
      </c>
      <c r="BE48">
        <v>0</v>
      </c>
      <c r="BF48">
        <v>20</v>
      </c>
      <c r="BG48">
        <v>0</v>
      </c>
      <c r="BH48">
        <v>0</v>
      </c>
      <c r="BJ48" t="s">
        <v>85</v>
      </c>
      <c r="BP48" t="s">
        <v>78</v>
      </c>
      <c r="BQ48" t="s">
        <v>78</v>
      </c>
      <c r="BR48" t="s">
        <v>78</v>
      </c>
    </row>
    <row r="49" customFormat="1" spans="1:70">
      <c r="A49" t="s">
        <v>3907</v>
      </c>
      <c r="B49" t="s">
        <v>3907</v>
      </c>
      <c r="C49" t="s">
        <v>107</v>
      </c>
      <c r="D49" t="s">
        <v>108</v>
      </c>
      <c r="E49">
        <v>1</v>
      </c>
      <c r="F49" t="s">
        <v>3857</v>
      </c>
      <c r="G49" t="s">
        <v>110</v>
      </c>
      <c r="H49">
        <v>289</v>
      </c>
      <c r="I49">
        <v>289</v>
      </c>
      <c r="J49">
        <v>0</v>
      </c>
      <c r="K49">
        <v>0</v>
      </c>
      <c r="L49" t="s">
        <v>78</v>
      </c>
      <c r="M49" t="s">
        <v>78</v>
      </c>
      <c r="N49" t="s">
        <v>78</v>
      </c>
      <c r="O49">
        <v>0</v>
      </c>
      <c r="P49">
        <v>0</v>
      </c>
      <c r="Q49">
        <v>0</v>
      </c>
      <c r="R49" t="s">
        <v>125</v>
      </c>
      <c r="S49">
        <v>0</v>
      </c>
      <c r="T49" t="s">
        <v>80</v>
      </c>
      <c r="U49" t="s">
        <v>80</v>
      </c>
      <c r="V49" t="s">
        <v>500</v>
      </c>
      <c r="W49" t="s">
        <v>501</v>
      </c>
      <c r="X49" t="s">
        <v>502</v>
      </c>
      <c r="Y49" t="s">
        <v>503</v>
      </c>
      <c r="Z49" t="s">
        <v>80</v>
      </c>
      <c r="AA49" t="s">
        <v>504</v>
      </c>
      <c r="AC49" t="s">
        <v>505</v>
      </c>
      <c r="AD49" t="s">
        <v>87</v>
      </c>
      <c r="AG49" t="s">
        <v>506</v>
      </c>
      <c r="AH49" t="s">
        <v>91</v>
      </c>
      <c r="AI49" t="s">
        <v>216</v>
      </c>
      <c r="AJ49" t="s">
        <v>131</v>
      </c>
      <c r="AK49" t="s">
        <v>507</v>
      </c>
      <c r="AL49" t="s">
        <v>95</v>
      </c>
      <c r="AM49" t="s">
        <v>96</v>
      </c>
      <c r="AN49" t="s">
        <v>96</v>
      </c>
      <c r="AP49" t="s">
        <v>78</v>
      </c>
      <c r="AQ49" t="s">
        <v>99</v>
      </c>
      <c r="AS49" t="s">
        <v>78</v>
      </c>
      <c r="AT49" t="s">
        <v>100</v>
      </c>
      <c r="AU49" t="s">
        <v>100</v>
      </c>
      <c r="AW49" t="s">
        <v>85</v>
      </c>
      <c r="AX49" t="s">
        <v>101</v>
      </c>
      <c r="AY49" t="s">
        <v>102</v>
      </c>
      <c r="AZ49" t="s">
        <v>145</v>
      </c>
      <c r="BA49" t="s">
        <v>354</v>
      </c>
      <c r="BB49" t="s">
        <v>78</v>
      </c>
      <c r="BC49" t="s">
        <v>78</v>
      </c>
      <c r="BE49">
        <v>0</v>
      </c>
      <c r="BF49">
        <v>0</v>
      </c>
      <c r="BG49">
        <v>0</v>
      </c>
      <c r="BH49">
        <v>0</v>
      </c>
      <c r="BJ49" t="s">
        <v>85</v>
      </c>
      <c r="BP49" t="s">
        <v>78</v>
      </c>
      <c r="BQ49" t="s">
        <v>78</v>
      </c>
      <c r="BR49" t="s">
        <v>78</v>
      </c>
    </row>
    <row r="50" customFormat="1" spans="1:70">
      <c r="A50" t="s">
        <v>3908</v>
      </c>
      <c r="B50" t="s">
        <v>3908</v>
      </c>
      <c r="C50" t="s">
        <v>107</v>
      </c>
      <c r="D50" t="s">
        <v>108</v>
      </c>
      <c r="E50">
        <v>1</v>
      </c>
      <c r="F50" t="s">
        <v>3857</v>
      </c>
      <c r="G50" t="s">
        <v>110</v>
      </c>
      <c r="H50">
        <v>289</v>
      </c>
      <c r="I50">
        <v>289</v>
      </c>
      <c r="J50">
        <v>0</v>
      </c>
      <c r="K50">
        <v>0</v>
      </c>
      <c r="L50" t="s">
        <v>78</v>
      </c>
      <c r="M50" t="s">
        <v>78</v>
      </c>
      <c r="N50" t="s">
        <v>78</v>
      </c>
      <c r="O50">
        <v>0</v>
      </c>
      <c r="P50">
        <v>0</v>
      </c>
      <c r="Q50">
        <v>0</v>
      </c>
      <c r="R50" t="s">
        <v>125</v>
      </c>
      <c r="S50">
        <v>0</v>
      </c>
      <c r="T50" t="s">
        <v>80</v>
      </c>
      <c r="U50" t="s">
        <v>80</v>
      </c>
      <c r="V50" t="s">
        <v>509</v>
      </c>
      <c r="W50" t="s">
        <v>510</v>
      </c>
      <c r="X50" t="s">
        <v>511</v>
      </c>
      <c r="Y50" t="s">
        <v>512</v>
      </c>
      <c r="Z50" t="s">
        <v>80</v>
      </c>
      <c r="AA50" t="s">
        <v>85</v>
      </c>
      <c r="AC50" t="s">
        <v>513</v>
      </c>
      <c r="AD50" t="s">
        <v>87</v>
      </c>
      <c r="AG50" t="s">
        <v>514</v>
      </c>
      <c r="AH50" t="s">
        <v>91</v>
      </c>
      <c r="AI50" t="s">
        <v>92</v>
      </c>
      <c r="AJ50" t="s">
        <v>131</v>
      </c>
      <c r="AK50" t="s">
        <v>515</v>
      </c>
      <c r="AL50" t="s">
        <v>95</v>
      </c>
      <c r="AM50" t="s">
        <v>96</v>
      </c>
      <c r="AN50" t="s">
        <v>97</v>
      </c>
      <c r="AO50" t="s">
        <v>98</v>
      </c>
      <c r="AP50" t="s">
        <v>78</v>
      </c>
      <c r="AQ50" t="s">
        <v>99</v>
      </c>
      <c r="AS50" t="s">
        <v>78</v>
      </c>
      <c r="AT50" t="s">
        <v>100</v>
      </c>
      <c r="AU50" t="s">
        <v>100</v>
      </c>
      <c r="AW50" t="s">
        <v>85</v>
      </c>
      <c r="AX50" t="s">
        <v>101</v>
      </c>
      <c r="AY50" t="s">
        <v>102</v>
      </c>
      <c r="AZ50" t="s">
        <v>145</v>
      </c>
      <c r="BA50" t="s">
        <v>146</v>
      </c>
      <c r="BB50" t="s">
        <v>78</v>
      </c>
      <c r="BC50" t="s">
        <v>78</v>
      </c>
      <c r="BE50">
        <v>0</v>
      </c>
      <c r="BF50">
        <v>0</v>
      </c>
      <c r="BG50">
        <v>0</v>
      </c>
      <c r="BH50">
        <v>0</v>
      </c>
      <c r="BJ50" t="s">
        <v>85</v>
      </c>
      <c r="BP50" t="s">
        <v>78</v>
      </c>
      <c r="BQ50" t="s">
        <v>78</v>
      </c>
      <c r="BR50" t="s">
        <v>78</v>
      </c>
    </row>
    <row r="51" customFormat="1" spans="1:70">
      <c r="A51" t="s">
        <v>3909</v>
      </c>
      <c r="B51" t="s">
        <v>3909</v>
      </c>
      <c r="C51" t="s">
        <v>107</v>
      </c>
      <c r="D51" t="s">
        <v>123</v>
      </c>
      <c r="E51">
        <v>1</v>
      </c>
      <c r="F51" t="s">
        <v>3857</v>
      </c>
      <c r="G51" t="s">
        <v>124</v>
      </c>
      <c r="H51">
        <v>289</v>
      </c>
      <c r="I51">
        <v>265.32</v>
      </c>
      <c r="J51">
        <v>0</v>
      </c>
      <c r="K51">
        <v>23.68</v>
      </c>
      <c r="L51" t="s">
        <v>517</v>
      </c>
      <c r="M51" t="s">
        <v>78</v>
      </c>
      <c r="N51" t="s">
        <v>78</v>
      </c>
      <c r="O51">
        <v>0</v>
      </c>
      <c r="P51">
        <v>0</v>
      </c>
      <c r="Q51">
        <v>0</v>
      </c>
      <c r="R51" t="s">
        <v>79</v>
      </c>
      <c r="S51">
        <v>0</v>
      </c>
      <c r="T51" t="s">
        <v>80</v>
      </c>
      <c r="U51" t="s">
        <v>80</v>
      </c>
      <c r="V51" t="s">
        <v>126</v>
      </c>
      <c r="W51" t="s">
        <v>518</v>
      </c>
      <c r="X51" t="s">
        <v>519</v>
      </c>
      <c r="Y51" t="s">
        <v>520</v>
      </c>
      <c r="Z51" t="s">
        <v>80</v>
      </c>
      <c r="AA51" t="s">
        <v>85</v>
      </c>
      <c r="AC51" t="s">
        <v>521</v>
      </c>
      <c r="AD51" t="s">
        <v>202</v>
      </c>
      <c r="AE51" t="s">
        <v>522</v>
      </c>
      <c r="AG51" t="s">
        <v>523</v>
      </c>
      <c r="AH51" t="s">
        <v>91</v>
      </c>
      <c r="AI51" t="s">
        <v>216</v>
      </c>
      <c r="AJ51" t="s">
        <v>131</v>
      </c>
      <c r="AK51" t="s">
        <v>524</v>
      </c>
      <c r="AL51" t="s">
        <v>95</v>
      </c>
      <c r="AM51" t="s">
        <v>96</v>
      </c>
      <c r="AN51" t="s">
        <v>96</v>
      </c>
      <c r="AP51" t="s">
        <v>78</v>
      </c>
      <c r="AQ51" t="s">
        <v>99</v>
      </c>
      <c r="AS51" t="s">
        <v>78</v>
      </c>
      <c r="AT51" t="s">
        <v>100</v>
      </c>
      <c r="AU51" t="s">
        <v>100</v>
      </c>
      <c r="AW51" t="s">
        <v>85</v>
      </c>
      <c r="AX51" t="s">
        <v>101</v>
      </c>
      <c r="AY51" t="s">
        <v>102</v>
      </c>
      <c r="AZ51" t="s">
        <v>145</v>
      </c>
      <c r="BA51" t="s">
        <v>525</v>
      </c>
      <c r="BB51" t="s">
        <v>78</v>
      </c>
      <c r="BC51" t="s">
        <v>78</v>
      </c>
      <c r="BE51">
        <v>0</v>
      </c>
      <c r="BF51">
        <v>23.68</v>
      </c>
      <c r="BG51">
        <v>0</v>
      </c>
      <c r="BH51">
        <v>0</v>
      </c>
      <c r="BJ51" t="s">
        <v>85</v>
      </c>
      <c r="BP51" t="s">
        <v>78</v>
      </c>
      <c r="BQ51" t="s">
        <v>78</v>
      </c>
      <c r="BR51" t="s">
        <v>78</v>
      </c>
    </row>
    <row r="52" customFormat="1" spans="1:70">
      <c r="A52" t="s">
        <v>3909</v>
      </c>
      <c r="B52" t="s">
        <v>3910</v>
      </c>
      <c r="C52" t="s">
        <v>527</v>
      </c>
      <c r="D52" t="s">
        <v>123</v>
      </c>
      <c r="E52">
        <v>1</v>
      </c>
      <c r="F52" t="s">
        <v>3911</v>
      </c>
      <c r="G52" t="s">
        <v>529</v>
      </c>
      <c r="H52">
        <v>199</v>
      </c>
      <c r="I52">
        <v>182.68</v>
      </c>
      <c r="J52">
        <v>0</v>
      </c>
      <c r="K52">
        <v>16.32</v>
      </c>
      <c r="L52" t="s">
        <v>530</v>
      </c>
      <c r="M52" t="s">
        <v>78</v>
      </c>
      <c r="N52" t="s">
        <v>78</v>
      </c>
      <c r="O52">
        <v>0</v>
      </c>
      <c r="P52">
        <v>0</v>
      </c>
      <c r="Q52">
        <v>0</v>
      </c>
      <c r="R52" t="s">
        <v>79</v>
      </c>
      <c r="S52">
        <v>0</v>
      </c>
      <c r="T52" t="s">
        <v>80</v>
      </c>
      <c r="U52" t="s">
        <v>80</v>
      </c>
      <c r="V52" t="s">
        <v>126</v>
      </c>
      <c r="W52" t="s">
        <v>518</v>
      </c>
      <c r="X52" t="s">
        <v>519</v>
      </c>
      <c r="Y52" t="s">
        <v>520</v>
      </c>
      <c r="Z52" t="s">
        <v>80</v>
      </c>
      <c r="AA52" t="s">
        <v>85</v>
      </c>
      <c r="AC52" t="s">
        <v>521</v>
      </c>
      <c r="AD52" t="s">
        <v>202</v>
      </c>
      <c r="AE52" t="s">
        <v>522</v>
      </c>
      <c r="AG52" t="s">
        <v>523</v>
      </c>
      <c r="AH52" t="s">
        <v>91</v>
      </c>
      <c r="AI52" t="s">
        <v>216</v>
      </c>
      <c r="AJ52" t="s">
        <v>131</v>
      </c>
      <c r="AK52" t="s">
        <v>524</v>
      </c>
      <c r="AL52" t="s">
        <v>95</v>
      </c>
      <c r="AM52" t="s">
        <v>96</v>
      </c>
      <c r="AN52" t="s">
        <v>96</v>
      </c>
      <c r="AP52" t="s">
        <v>78</v>
      </c>
      <c r="AQ52" t="s">
        <v>99</v>
      </c>
      <c r="AS52" t="s">
        <v>78</v>
      </c>
      <c r="AT52" t="s">
        <v>100</v>
      </c>
      <c r="AU52" t="s">
        <v>100</v>
      </c>
      <c r="AW52" t="s">
        <v>85</v>
      </c>
      <c r="AX52" t="s">
        <v>101</v>
      </c>
      <c r="AY52" t="s">
        <v>102</v>
      </c>
      <c r="AZ52" t="s">
        <v>145</v>
      </c>
      <c r="BA52" t="s">
        <v>525</v>
      </c>
      <c r="BB52" t="s">
        <v>78</v>
      </c>
      <c r="BC52" t="s">
        <v>78</v>
      </c>
      <c r="BD52" t="s">
        <v>531</v>
      </c>
      <c r="BE52">
        <v>0</v>
      </c>
      <c r="BF52">
        <v>16.32</v>
      </c>
      <c r="BG52">
        <v>0</v>
      </c>
      <c r="BH52">
        <v>0</v>
      </c>
      <c r="BJ52" t="s">
        <v>85</v>
      </c>
      <c r="BP52" t="s">
        <v>78</v>
      </c>
      <c r="BQ52" t="s">
        <v>78</v>
      </c>
      <c r="BR52" t="s">
        <v>78</v>
      </c>
    </row>
    <row r="53" customFormat="1" spans="1:70">
      <c r="A53" t="s">
        <v>3912</v>
      </c>
      <c r="B53" t="s">
        <v>3912</v>
      </c>
      <c r="C53" t="s">
        <v>527</v>
      </c>
      <c r="D53" t="s">
        <v>123</v>
      </c>
      <c r="E53">
        <v>1</v>
      </c>
      <c r="F53" t="s">
        <v>3911</v>
      </c>
      <c r="G53" t="s">
        <v>529</v>
      </c>
      <c r="H53">
        <v>199</v>
      </c>
      <c r="I53">
        <v>182.69</v>
      </c>
      <c r="J53">
        <v>0</v>
      </c>
      <c r="K53">
        <v>16.31</v>
      </c>
      <c r="L53" t="s">
        <v>533</v>
      </c>
      <c r="M53" t="s">
        <v>78</v>
      </c>
      <c r="N53" t="s">
        <v>78</v>
      </c>
      <c r="O53">
        <v>0</v>
      </c>
      <c r="P53">
        <v>0</v>
      </c>
      <c r="Q53">
        <v>0</v>
      </c>
      <c r="R53" t="s">
        <v>79</v>
      </c>
      <c r="S53">
        <v>0</v>
      </c>
      <c r="T53" t="s">
        <v>80</v>
      </c>
      <c r="U53" t="s">
        <v>80</v>
      </c>
      <c r="V53" t="s">
        <v>126</v>
      </c>
      <c r="W53" t="s">
        <v>518</v>
      </c>
      <c r="X53" t="s">
        <v>519</v>
      </c>
      <c r="Y53" t="s">
        <v>520</v>
      </c>
      <c r="Z53" t="s">
        <v>80</v>
      </c>
      <c r="AA53" t="s">
        <v>85</v>
      </c>
      <c r="AC53" t="s">
        <v>534</v>
      </c>
      <c r="AD53" t="s">
        <v>87</v>
      </c>
      <c r="AH53" t="s">
        <v>91</v>
      </c>
      <c r="AI53" t="s">
        <v>92</v>
      </c>
      <c r="AJ53" t="s">
        <v>131</v>
      </c>
      <c r="AK53" t="s">
        <v>535</v>
      </c>
      <c r="AL53" t="s">
        <v>95</v>
      </c>
      <c r="AM53" t="s">
        <v>96</v>
      </c>
      <c r="AN53" t="s">
        <v>97</v>
      </c>
      <c r="AO53" t="s">
        <v>98</v>
      </c>
      <c r="AP53" t="s">
        <v>78</v>
      </c>
      <c r="AQ53" t="s">
        <v>78</v>
      </c>
      <c r="AR53" t="s">
        <v>536</v>
      </c>
      <c r="AS53" t="s">
        <v>78</v>
      </c>
      <c r="AT53" t="s">
        <v>100</v>
      </c>
      <c r="AU53" t="s">
        <v>100</v>
      </c>
      <c r="AW53" t="s">
        <v>85</v>
      </c>
      <c r="AX53" t="s">
        <v>101</v>
      </c>
      <c r="AY53" t="s">
        <v>102</v>
      </c>
      <c r="AZ53" t="s">
        <v>103</v>
      </c>
      <c r="BA53" t="s">
        <v>133</v>
      </c>
      <c r="BB53" t="s">
        <v>78</v>
      </c>
      <c r="BC53" t="s">
        <v>78</v>
      </c>
      <c r="BE53">
        <v>0</v>
      </c>
      <c r="BF53">
        <v>16.31</v>
      </c>
      <c r="BG53">
        <v>0</v>
      </c>
      <c r="BH53">
        <v>0</v>
      </c>
      <c r="BJ53" t="s">
        <v>85</v>
      </c>
      <c r="BP53" t="s">
        <v>78</v>
      </c>
      <c r="BQ53" t="s">
        <v>78</v>
      </c>
      <c r="BR53" t="s">
        <v>78</v>
      </c>
    </row>
    <row r="54" customFormat="1" spans="1:70">
      <c r="A54" t="s">
        <v>3912</v>
      </c>
      <c r="B54" t="s">
        <v>3913</v>
      </c>
      <c r="C54" t="s">
        <v>107</v>
      </c>
      <c r="D54" t="s">
        <v>123</v>
      </c>
      <c r="E54">
        <v>1</v>
      </c>
      <c r="F54" t="s">
        <v>3857</v>
      </c>
      <c r="G54" t="s">
        <v>124</v>
      </c>
      <c r="H54">
        <v>289</v>
      </c>
      <c r="I54">
        <v>265.31</v>
      </c>
      <c r="J54">
        <v>0</v>
      </c>
      <c r="K54">
        <v>23.69</v>
      </c>
      <c r="L54" t="s">
        <v>538</v>
      </c>
      <c r="M54" t="s">
        <v>78</v>
      </c>
      <c r="N54" t="s">
        <v>78</v>
      </c>
      <c r="O54">
        <v>0</v>
      </c>
      <c r="P54">
        <v>0</v>
      </c>
      <c r="Q54">
        <v>0</v>
      </c>
      <c r="R54" t="s">
        <v>79</v>
      </c>
      <c r="S54">
        <v>0</v>
      </c>
      <c r="T54" t="s">
        <v>80</v>
      </c>
      <c r="U54" t="s">
        <v>80</v>
      </c>
      <c r="V54" t="s">
        <v>126</v>
      </c>
      <c r="W54" t="s">
        <v>518</v>
      </c>
      <c r="X54" t="s">
        <v>519</v>
      </c>
      <c r="Y54" t="s">
        <v>520</v>
      </c>
      <c r="Z54" t="s">
        <v>80</v>
      </c>
      <c r="AA54" t="s">
        <v>85</v>
      </c>
      <c r="AC54" t="s">
        <v>534</v>
      </c>
      <c r="AD54" t="s">
        <v>87</v>
      </c>
      <c r="AH54" t="s">
        <v>91</v>
      </c>
      <c r="AI54" t="s">
        <v>92</v>
      </c>
      <c r="AJ54" t="s">
        <v>131</v>
      </c>
      <c r="AK54" t="s">
        <v>535</v>
      </c>
      <c r="AL54" t="s">
        <v>95</v>
      </c>
      <c r="AM54" t="s">
        <v>96</v>
      </c>
      <c r="AN54" t="s">
        <v>97</v>
      </c>
      <c r="AO54" t="s">
        <v>98</v>
      </c>
      <c r="AP54" t="s">
        <v>78</v>
      </c>
      <c r="AQ54" t="s">
        <v>78</v>
      </c>
      <c r="AR54" t="s">
        <v>536</v>
      </c>
      <c r="AS54" t="s">
        <v>78</v>
      </c>
      <c r="AT54" t="s">
        <v>100</v>
      </c>
      <c r="AU54" t="s">
        <v>100</v>
      </c>
      <c r="AW54" t="s">
        <v>85</v>
      </c>
      <c r="AX54" t="s">
        <v>101</v>
      </c>
      <c r="AY54" t="s">
        <v>102</v>
      </c>
      <c r="AZ54" t="s">
        <v>103</v>
      </c>
      <c r="BA54" t="s">
        <v>133</v>
      </c>
      <c r="BB54" t="s">
        <v>78</v>
      </c>
      <c r="BC54" t="s">
        <v>78</v>
      </c>
      <c r="BE54">
        <v>0</v>
      </c>
      <c r="BF54">
        <v>23.69</v>
      </c>
      <c r="BG54">
        <v>0</v>
      </c>
      <c r="BH54">
        <v>0</v>
      </c>
      <c r="BJ54" t="s">
        <v>85</v>
      </c>
      <c r="BP54" t="s">
        <v>78</v>
      </c>
      <c r="BQ54" t="s">
        <v>78</v>
      </c>
      <c r="BR54" t="s">
        <v>78</v>
      </c>
    </row>
    <row r="55" customFormat="1" spans="1:70">
      <c r="A55" t="s">
        <v>3914</v>
      </c>
      <c r="B55" t="s">
        <v>3914</v>
      </c>
      <c r="C55" t="s">
        <v>527</v>
      </c>
      <c r="D55" t="s">
        <v>135</v>
      </c>
      <c r="E55">
        <v>1</v>
      </c>
      <c r="F55" t="s">
        <v>3911</v>
      </c>
      <c r="G55" t="s">
        <v>540</v>
      </c>
      <c r="H55">
        <v>199</v>
      </c>
      <c r="I55">
        <v>184.73</v>
      </c>
      <c r="J55">
        <v>0</v>
      </c>
      <c r="K55">
        <v>14.78</v>
      </c>
      <c r="L55" t="s">
        <v>541</v>
      </c>
      <c r="M55" t="s">
        <v>78</v>
      </c>
      <c r="N55" t="s">
        <v>78</v>
      </c>
      <c r="O55">
        <v>0</v>
      </c>
      <c r="P55">
        <v>0.51</v>
      </c>
      <c r="Q55">
        <v>0</v>
      </c>
      <c r="R55" t="s">
        <v>125</v>
      </c>
      <c r="S55">
        <v>0</v>
      </c>
      <c r="T55" t="s">
        <v>80</v>
      </c>
      <c r="U55" t="s">
        <v>80</v>
      </c>
      <c r="V55" t="s">
        <v>464</v>
      </c>
      <c r="W55" t="s">
        <v>542</v>
      </c>
      <c r="X55" t="s">
        <v>543</v>
      </c>
      <c r="Y55" t="s">
        <v>544</v>
      </c>
      <c r="Z55" t="s">
        <v>80</v>
      </c>
      <c r="AA55" t="s">
        <v>85</v>
      </c>
      <c r="AC55" t="s">
        <v>545</v>
      </c>
      <c r="AD55" t="s">
        <v>87</v>
      </c>
      <c r="AF55" t="s">
        <v>546</v>
      </c>
      <c r="AG55" t="s">
        <v>547</v>
      </c>
      <c r="AH55" t="s">
        <v>91</v>
      </c>
      <c r="AI55" t="s">
        <v>216</v>
      </c>
      <c r="AJ55" t="s">
        <v>93</v>
      </c>
      <c r="AK55" t="s">
        <v>548</v>
      </c>
      <c r="AL55" t="s">
        <v>95</v>
      </c>
      <c r="AM55" t="s">
        <v>96</v>
      </c>
      <c r="AN55" t="s">
        <v>96</v>
      </c>
      <c r="AP55" t="s">
        <v>78</v>
      </c>
      <c r="AQ55" t="s">
        <v>78</v>
      </c>
      <c r="AS55" t="s">
        <v>78</v>
      </c>
      <c r="AT55" t="s">
        <v>100</v>
      </c>
      <c r="AU55" t="s">
        <v>100</v>
      </c>
      <c r="AW55" t="s">
        <v>85</v>
      </c>
      <c r="AX55" t="s">
        <v>101</v>
      </c>
      <c r="AY55" t="s">
        <v>102</v>
      </c>
      <c r="AZ55" t="s">
        <v>145</v>
      </c>
      <c r="BA55" t="s">
        <v>218</v>
      </c>
      <c r="BB55" t="s">
        <v>78</v>
      </c>
      <c r="BC55" t="s">
        <v>78</v>
      </c>
      <c r="BD55" t="s">
        <v>549</v>
      </c>
      <c r="BE55">
        <v>0</v>
      </c>
      <c r="BF55">
        <v>14.27</v>
      </c>
      <c r="BG55">
        <v>0</v>
      </c>
      <c r="BH55">
        <v>0</v>
      </c>
      <c r="BJ55" t="s">
        <v>85</v>
      </c>
      <c r="BP55" t="s">
        <v>78</v>
      </c>
      <c r="BQ55" t="s">
        <v>78</v>
      </c>
      <c r="BR55" t="s">
        <v>78</v>
      </c>
    </row>
    <row r="56" customFormat="1" spans="1:70">
      <c r="A56" t="s">
        <v>3914</v>
      </c>
      <c r="B56" t="s">
        <v>3915</v>
      </c>
      <c r="C56" t="s">
        <v>107</v>
      </c>
      <c r="D56" t="s">
        <v>135</v>
      </c>
      <c r="E56">
        <v>1</v>
      </c>
      <c r="F56" t="s">
        <v>3857</v>
      </c>
      <c r="G56" t="s">
        <v>136</v>
      </c>
      <c r="H56">
        <v>289</v>
      </c>
      <c r="I56">
        <v>268.27</v>
      </c>
      <c r="J56">
        <v>0</v>
      </c>
      <c r="K56">
        <v>21.46</v>
      </c>
      <c r="L56" t="s">
        <v>551</v>
      </c>
      <c r="M56" t="s">
        <v>78</v>
      </c>
      <c r="N56" t="s">
        <v>78</v>
      </c>
      <c r="O56">
        <v>0</v>
      </c>
      <c r="P56">
        <v>0.73</v>
      </c>
      <c r="Q56">
        <v>0</v>
      </c>
      <c r="R56" t="s">
        <v>125</v>
      </c>
      <c r="S56">
        <v>0</v>
      </c>
      <c r="T56" t="s">
        <v>80</v>
      </c>
      <c r="U56" t="s">
        <v>80</v>
      </c>
      <c r="V56" t="s">
        <v>464</v>
      </c>
      <c r="W56" t="s">
        <v>542</v>
      </c>
      <c r="X56" t="s">
        <v>543</v>
      </c>
      <c r="Y56" t="s">
        <v>544</v>
      </c>
      <c r="Z56" t="s">
        <v>80</v>
      </c>
      <c r="AA56" t="s">
        <v>85</v>
      </c>
      <c r="AC56" t="s">
        <v>545</v>
      </c>
      <c r="AD56" t="s">
        <v>87</v>
      </c>
      <c r="AF56" t="s">
        <v>552</v>
      </c>
      <c r="AG56" t="s">
        <v>547</v>
      </c>
      <c r="AH56" t="s">
        <v>91</v>
      </c>
      <c r="AI56" t="s">
        <v>216</v>
      </c>
      <c r="AJ56" t="s">
        <v>93</v>
      </c>
      <c r="AK56" t="s">
        <v>548</v>
      </c>
      <c r="AL56" t="s">
        <v>95</v>
      </c>
      <c r="AM56" t="s">
        <v>96</v>
      </c>
      <c r="AN56" t="s">
        <v>96</v>
      </c>
      <c r="AP56" t="s">
        <v>78</v>
      </c>
      <c r="AQ56" t="s">
        <v>78</v>
      </c>
      <c r="AS56" t="s">
        <v>78</v>
      </c>
      <c r="AT56" t="s">
        <v>100</v>
      </c>
      <c r="AU56" t="s">
        <v>100</v>
      </c>
      <c r="AW56" t="s">
        <v>85</v>
      </c>
      <c r="AX56" t="s">
        <v>101</v>
      </c>
      <c r="AY56" t="s">
        <v>102</v>
      </c>
      <c r="AZ56" t="s">
        <v>145</v>
      </c>
      <c r="BA56" t="s">
        <v>218</v>
      </c>
      <c r="BB56" t="s">
        <v>78</v>
      </c>
      <c r="BC56" t="s">
        <v>78</v>
      </c>
      <c r="BD56" t="s">
        <v>553</v>
      </c>
      <c r="BE56">
        <v>0</v>
      </c>
      <c r="BF56">
        <v>20.73</v>
      </c>
      <c r="BG56">
        <v>0</v>
      </c>
      <c r="BH56">
        <v>0</v>
      </c>
      <c r="BJ56" t="s">
        <v>85</v>
      </c>
      <c r="BP56" t="s">
        <v>78</v>
      </c>
      <c r="BQ56" t="s">
        <v>78</v>
      </c>
      <c r="BR56" t="s">
        <v>78</v>
      </c>
    </row>
    <row r="57" customFormat="1" spans="1:70">
      <c r="A57" t="s">
        <v>3916</v>
      </c>
      <c r="B57" t="s">
        <v>3916</v>
      </c>
      <c r="C57" t="s">
        <v>107</v>
      </c>
      <c r="D57" t="s">
        <v>108</v>
      </c>
      <c r="E57">
        <v>1</v>
      </c>
      <c r="F57" t="s">
        <v>3857</v>
      </c>
      <c r="G57" t="s">
        <v>110</v>
      </c>
      <c r="H57">
        <v>289</v>
      </c>
      <c r="I57">
        <v>250.82</v>
      </c>
      <c r="J57">
        <v>0</v>
      </c>
      <c r="K57">
        <v>38.18</v>
      </c>
      <c r="L57" t="s">
        <v>555</v>
      </c>
      <c r="M57" t="s">
        <v>78</v>
      </c>
      <c r="N57" t="s">
        <v>78</v>
      </c>
      <c r="O57">
        <v>0</v>
      </c>
      <c r="P57">
        <v>0</v>
      </c>
      <c r="Q57">
        <v>0</v>
      </c>
      <c r="R57" t="s">
        <v>79</v>
      </c>
      <c r="S57">
        <v>0</v>
      </c>
      <c r="T57" t="s">
        <v>80</v>
      </c>
      <c r="U57" t="s">
        <v>80</v>
      </c>
      <c r="V57" t="s">
        <v>556</v>
      </c>
      <c r="W57" t="s">
        <v>557</v>
      </c>
      <c r="X57" t="s">
        <v>558</v>
      </c>
      <c r="Y57" t="s">
        <v>559</v>
      </c>
      <c r="Z57" t="s">
        <v>80</v>
      </c>
      <c r="AA57" t="s">
        <v>85</v>
      </c>
      <c r="AC57" t="s">
        <v>560</v>
      </c>
      <c r="AD57" t="s">
        <v>87</v>
      </c>
      <c r="AF57" t="s">
        <v>561</v>
      </c>
      <c r="AG57" t="s">
        <v>562</v>
      </c>
      <c r="AH57" t="s">
        <v>91</v>
      </c>
      <c r="AI57" t="s">
        <v>92</v>
      </c>
      <c r="AJ57" t="s">
        <v>93</v>
      </c>
      <c r="AK57" t="s">
        <v>563</v>
      </c>
      <c r="AL57" t="s">
        <v>95</v>
      </c>
      <c r="AM57" t="s">
        <v>96</v>
      </c>
      <c r="AN57" t="s">
        <v>97</v>
      </c>
      <c r="AO57" t="s">
        <v>98</v>
      </c>
      <c r="AP57" t="s">
        <v>78</v>
      </c>
      <c r="AQ57" t="s">
        <v>78</v>
      </c>
      <c r="AS57" t="s">
        <v>78</v>
      </c>
      <c r="AT57" t="s">
        <v>100</v>
      </c>
      <c r="AU57" t="s">
        <v>100</v>
      </c>
      <c r="AW57" t="s">
        <v>85</v>
      </c>
      <c r="AX57" t="s">
        <v>101</v>
      </c>
      <c r="AY57" t="s">
        <v>102</v>
      </c>
      <c r="AZ57" t="s">
        <v>103</v>
      </c>
      <c r="BA57" t="s">
        <v>133</v>
      </c>
      <c r="BB57" t="s">
        <v>78</v>
      </c>
      <c r="BC57" t="s">
        <v>78</v>
      </c>
      <c r="BD57" t="s">
        <v>564</v>
      </c>
      <c r="BE57">
        <v>0</v>
      </c>
      <c r="BF57">
        <v>38.18</v>
      </c>
      <c r="BG57">
        <v>0</v>
      </c>
      <c r="BH57">
        <v>0</v>
      </c>
      <c r="BJ57" t="s">
        <v>85</v>
      </c>
      <c r="BP57" t="s">
        <v>78</v>
      </c>
      <c r="BQ57" t="s">
        <v>78</v>
      </c>
      <c r="BR57" t="s">
        <v>78</v>
      </c>
    </row>
    <row r="58" customFormat="1" spans="1:70">
      <c r="A58" t="s">
        <v>3917</v>
      </c>
      <c r="B58" t="s">
        <v>3917</v>
      </c>
      <c r="C58" t="s">
        <v>107</v>
      </c>
      <c r="D58" t="s">
        <v>135</v>
      </c>
      <c r="E58">
        <v>1</v>
      </c>
      <c r="F58" t="s">
        <v>3857</v>
      </c>
      <c r="G58" t="s">
        <v>136</v>
      </c>
      <c r="H58">
        <v>289</v>
      </c>
      <c r="I58">
        <v>268.28</v>
      </c>
      <c r="J58">
        <v>0</v>
      </c>
      <c r="K58">
        <v>21.48</v>
      </c>
      <c r="L58" t="s">
        <v>566</v>
      </c>
      <c r="M58" t="s">
        <v>78</v>
      </c>
      <c r="N58" t="s">
        <v>78</v>
      </c>
      <c r="O58">
        <v>0</v>
      </c>
      <c r="P58">
        <v>0.76</v>
      </c>
      <c r="Q58">
        <v>0</v>
      </c>
      <c r="R58" t="s">
        <v>125</v>
      </c>
      <c r="S58">
        <v>0</v>
      </c>
      <c r="T58" t="s">
        <v>80</v>
      </c>
      <c r="U58" t="s">
        <v>80</v>
      </c>
      <c r="V58" t="s">
        <v>464</v>
      </c>
      <c r="W58" t="s">
        <v>542</v>
      </c>
      <c r="X58" t="s">
        <v>543</v>
      </c>
      <c r="Y58" t="s">
        <v>544</v>
      </c>
      <c r="Z58" t="s">
        <v>80</v>
      </c>
      <c r="AA58" t="s">
        <v>85</v>
      </c>
      <c r="AC58" t="s">
        <v>567</v>
      </c>
      <c r="AD58" t="s">
        <v>87</v>
      </c>
      <c r="AG58" t="s">
        <v>568</v>
      </c>
      <c r="AH58" t="s">
        <v>91</v>
      </c>
      <c r="AI58" t="s">
        <v>92</v>
      </c>
      <c r="AJ58" t="s">
        <v>131</v>
      </c>
      <c r="AK58" t="s">
        <v>569</v>
      </c>
      <c r="AL58" t="s">
        <v>95</v>
      </c>
      <c r="AM58" t="s">
        <v>96</v>
      </c>
      <c r="AN58" t="s">
        <v>97</v>
      </c>
      <c r="AO58" t="s">
        <v>98</v>
      </c>
      <c r="AP58" t="s">
        <v>78</v>
      </c>
      <c r="AQ58" t="s">
        <v>99</v>
      </c>
      <c r="AS58" t="s">
        <v>78</v>
      </c>
      <c r="AT58" t="s">
        <v>100</v>
      </c>
      <c r="AU58" t="s">
        <v>100</v>
      </c>
      <c r="AW58" t="s">
        <v>85</v>
      </c>
      <c r="AX58" t="s">
        <v>101</v>
      </c>
      <c r="AY58" t="s">
        <v>102</v>
      </c>
      <c r="AZ58" t="s">
        <v>145</v>
      </c>
      <c r="BA58" t="s">
        <v>146</v>
      </c>
      <c r="BB58" t="s">
        <v>78</v>
      </c>
      <c r="BC58" t="s">
        <v>78</v>
      </c>
      <c r="BE58">
        <v>0</v>
      </c>
      <c r="BF58">
        <v>20.72</v>
      </c>
      <c r="BG58">
        <v>0</v>
      </c>
      <c r="BH58">
        <v>0</v>
      </c>
      <c r="BJ58" t="s">
        <v>85</v>
      </c>
      <c r="BP58" t="s">
        <v>78</v>
      </c>
      <c r="BQ58" t="s">
        <v>78</v>
      </c>
      <c r="BR58" t="s">
        <v>78</v>
      </c>
    </row>
    <row r="59" customFormat="1" spans="1:70">
      <c r="A59" t="s">
        <v>3917</v>
      </c>
      <c r="B59" t="s">
        <v>3918</v>
      </c>
      <c r="C59" t="s">
        <v>527</v>
      </c>
      <c r="D59" t="s">
        <v>135</v>
      </c>
      <c r="E59">
        <v>1</v>
      </c>
      <c r="F59" t="s">
        <v>3911</v>
      </c>
      <c r="G59" t="s">
        <v>540</v>
      </c>
      <c r="H59">
        <v>199</v>
      </c>
      <c r="I59">
        <v>184.72</v>
      </c>
      <c r="J59">
        <v>0</v>
      </c>
      <c r="K59">
        <v>14.81</v>
      </c>
      <c r="L59" t="s">
        <v>571</v>
      </c>
      <c r="M59" t="s">
        <v>78</v>
      </c>
      <c r="N59" t="s">
        <v>78</v>
      </c>
      <c r="O59">
        <v>0</v>
      </c>
      <c r="P59">
        <v>0.53</v>
      </c>
      <c r="Q59">
        <v>0</v>
      </c>
      <c r="R59" t="s">
        <v>125</v>
      </c>
      <c r="S59">
        <v>0</v>
      </c>
      <c r="T59" t="s">
        <v>80</v>
      </c>
      <c r="U59" t="s">
        <v>80</v>
      </c>
      <c r="V59" t="s">
        <v>464</v>
      </c>
      <c r="W59" t="s">
        <v>542</v>
      </c>
      <c r="X59" t="s">
        <v>543</v>
      </c>
      <c r="Y59" t="s">
        <v>544</v>
      </c>
      <c r="Z59" t="s">
        <v>80</v>
      </c>
      <c r="AA59" t="s">
        <v>85</v>
      </c>
      <c r="AC59" t="s">
        <v>567</v>
      </c>
      <c r="AD59" t="s">
        <v>87</v>
      </c>
      <c r="AG59" t="s">
        <v>568</v>
      </c>
      <c r="AH59" t="s">
        <v>91</v>
      </c>
      <c r="AI59" t="s">
        <v>92</v>
      </c>
      <c r="AJ59" t="s">
        <v>131</v>
      </c>
      <c r="AK59" t="s">
        <v>569</v>
      </c>
      <c r="AL59" t="s">
        <v>95</v>
      </c>
      <c r="AM59" t="s">
        <v>96</v>
      </c>
      <c r="AN59" t="s">
        <v>97</v>
      </c>
      <c r="AO59" t="s">
        <v>98</v>
      </c>
      <c r="AP59" t="s">
        <v>78</v>
      </c>
      <c r="AQ59" t="s">
        <v>99</v>
      </c>
      <c r="AS59" t="s">
        <v>78</v>
      </c>
      <c r="AT59" t="s">
        <v>100</v>
      </c>
      <c r="AU59" t="s">
        <v>100</v>
      </c>
      <c r="AW59" t="s">
        <v>85</v>
      </c>
      <c r="AX59" t="s">
        <v>101</v>
      </c>
      <c r="AY59" t="s">
        <v>102</v>
      </c>
      <c r="AZ59" t="s">
        <v>103</v>
      </c>
      <c r="BA59" t="s">
        <v>104</v>
      </c>
      <c r="BB59" t="s">
        <v>78</v>
      </c>
      <c r="BC59" t="s">
        <v>78</v>
      </c>
      <c r="BE59">
        <v>0</v>
      </c>
      <c r="BF59">
        <v>14.28</v>
      </c>
      <c r="BG59">
        <v>0</v>
      </c>
      <c r="BH59">
        <v>0</v>
      </c>
      <c r="BJ59" t="s">
        <v>85</v>
      </c>
      <c r="BP59" t="s">
        <v>78</v>
      </c>
      <c r="BQ59" t="s">
        <v>78</v>
      </c>
      <c r="BR59" t="s">
        <v>78</v>
      </c>
    </row>
    <row r="60" customFormat="1" spans="1:70">
      <c r="A60" t="s">
        <v>3919</v>
      </c>
      <c r="B60" t="s">
        <v>3919</v>
      </c>
      <c r="C60" t="s">
        <v>107</v>
      </c>
      <c r="D60" t="s">
        <v>108</v>
      </c>
      <c r="E60">
        <v>1</v>
      </c>
      <c r="F60" t="s">
        <v>3857</v>
      </c>
      <c r="G60" t="s">
        <v>110</v>
      </c>
      <c r="H60">
        <v>289</v>
      </c>
      <c r="I60">
        <v>260.96</v>
      </c>
      <c r="J60">
        <v>0</v>
      </c>
      <c r="K60">
        <v>28.04</v>
      </c>
      <c r="L60" t="s">
        <v>573</v>
      </c>
      <c r="M60" t="s">
        <v>78</v>
      </c>
      <c r="N60" t="s">
        <v>78</v>
      </c>
      <c r="O60">
        <v>0</v>
      </c>
      <c r="P60">
        <v>0</v>
      </c>
      <c r="Q60">
        <v>0</v>
      </c>
      <c r="R60" t="s">
        <v>125</v>
      </c>
      <c r="S60">
        <v>0</v>
      </c>
      <c r="T60" t="s">
        <v>80</v>
      </c>
      <c r="U60" t="s">
        <v>80</v>
      </c>
      <c r="V60" t="s">
        <v>574</v>
      </c>
      <c r="W60" t="s">
        <v>574</v>
      </c>
      <c r="X60" t="s">
        <v>575</v>
      </c>
      <c r="Y60" t="s">
        <v>576</v>
      </c>
      <c r="Z60" t="s">
        <v>80</v>
      </c>
      <c r="AA60" t="s">
        <v>85</v>
      </c>
      <c r="AC60" t="s">
        <v>577</v>
      </c>
      <c r="AD60" t="s">
        <v>87</v>
      </c>
      <c r="AF60" t="s">
        <v>578</v>
      </c>
      <c r="AG60" t="s">
        <v>579</v>
      </c>
      <c r="AH60" t="s">
        <v>91</v>
      </c>
      <c r="AI60" t="s">
        <v>92</v>
      </c>
      <c r="AJ60" t="s">
        <v>93</v>
      </c>
      <c r="AK60" t="s">
        <v>580</v>
      </c>
      <c r="AL60" t="s">
        <v>95</v>
      </c>
      <c r="AM60" t="s">
        <v>96</v>
      </c>
      <c r="AN60" t="s">
        <v>97</v>
      </c>
      <c r="AO60" t="s">
        <v>98</v>
      </c>
      <c r="AP60" t="s">
        <v>78</v>
      </c>
      <c r="AQ60" t="s">
        <v>78</v>
      </c>
      <c r="AS60" t="s">
        <v>78</v>
      </c>
      <c r="AT60" t="s">
        <v>100</v>
      </c>
      <c r="AU60" t="s">
        <v>100</v>
      </c>
      <c r="AW60" t="s">
        <v>85</v>
      </c>
      <c r="AX60" t="s">
        <v>101</v>
      </c>
      <c r="AY60" t="s">
        <v>102</v>
      </c>
      <c r="AZ60" t="s">
        <v>103</v>
      </c>
      <c r="BA60" t="s">
        <v>120</v>
      </c>
      <c r="BB60" t="s">
        <v>78</v>
      </c>
      <c r="BC60" t="s">
        <v>78</v>
      </c>
      <c r="BD60" t="s">
        <v>581</v>
      </c>
      <c r="BE60">
        <v>0</v>
      </c>
      <c r="BF60">
        <v>28.04</v>
      </c>
      <c r="BG60">
        <v>0</v>
      </c>
      <c r="BH60">
        <v>0</v>
      </c>
      <c r="BJ60" t="s">
        <v>85</v>
      </c>
      <c r="BP60" t="s">
        <v>78</v>
      </c>
      <c r="BQ60" t="s">
        <v>78</v>
      </c>
      <c r="BR60" t="s">
        <v>78</v>
      </c>
    </row>
    <row r="61" customFormat="1" spans="1:70">
      <c r="A61" t="s">
        <v>3920</v>
      </c>
      <c r="B61" t="s">
        <v>3920</v>
      </c>
      <c r="C61" t="s">
        <v>107</v>
      </c>
      <c r="D61" t="s">
        <v>108</v>
      </c>
      <c r="E61">
        <v>1</v>
      </c>
      <c r="F61" t="s">
        <v>3857</v>
      </c>
      <c r="G61" t="s">
        <v>110</v>
      </c>
      <c r="H61">
        <v>289</v>
      </c>
      <c r="I61">
        <v>289</v>
      </c>
      <c r="J61">
        <v>0</v>
      </c>
      <c r="K61">
        <v>0</v>
      </c>
      <c r="L61" t="s">
        <v>78</v>
      </c>
      <c r="M61" t="s">
        <v>78</v>
      </c>
      <c r="N61" t="s">
        <v>78</v>
      </c>
      <c r="O61">
        <v>0</v>
      </c>
      <c r="P61">
        <v>0</v>
      </c>
      <c r="Q61">
        <v>0</v>
      </c>
      <c r="R61" t="s">
        <v>79</v>
      </c>
      <c r="S61">
        <v>0</v>
      </c>
      <c r="T61" t="s">
        <v>80</v>
      </c>
      <c r="U61" t="s">
        <v>80</v>
      </c>
      <c r="V61" t="s">
        <v>583</v>
      </c>
      <c r="W61" t="s">
        <v>584</v>
      </c>
      <c r="X61" t="s">
        <v>585</v>
      </c>
      <c r="Y61" t="s">
        <v>586</v>
      </c>
      <c r="Z61" t="s">
        <v>80</v>
      </c>
      <c r="AA61" t="s">
        <v>85</v>
      </c>
      <c r="AC61" t="s">
        <v>587</v>
      </c>
      <c r="AD61" t="s">
        <v>87</v>
      </c>
      <c r="AF61" t="s">
        <v>578</v>
      </c>
      <c r="AG61" t="s">
        <v>588</v>
      </c>
      <c r="AH61" t="s">
        <v>91</v>
      </c>
      <c r="AI61" t="s">
        <v>92</v>
      </c>
      <c r="AJ61" t="s">
        <v>93</v>
      </c>
      <c r="AK61" t="s">
        <v>589</v>
      </c>
      <c r="AL61" t="s">
        <v>95</v>
      </c>
      <c r="AM61" t="s">
        <v>96</v>
      </c>
      <c r="AN61" t="s">
        <v>97</v>
      </c>
      <c r="AO61" t="s">
        <v>98</v>
      </c>
      <c r="AP61" t="s">
        <v>78</v>
      </c>
      <c r="AQ61" t="s">
        <v>78</v>
      </c>
      <c r="AS61" t="s">
        <v>78</v>
      </c>
      <c r="AT61" t="s">
        <v>100</v>
      </c>
      <c r="AU61" t="s">
        <v>100</v>
      </c>
      <c r="AW61" t="s">
        <v>85</v>
      </c>
      <c r="AX61" t="s">
        <v>101</v>
      </c>
      <c r="AY61" t="s">
        <v>102</v>
      </c>
      <c r="AZ61" t="s">
        <v>103</v>
      </c>
      <c r="BA61" t="s">
        <v>133</v>
      </c>
      <c r="BB61" t="s">
        <v>78</v>
      </c>
      <c r="BC61" t="s">
        <v>78</v>
      </c>
      <c r="BD61" t="s">
        <v>581</v>
      </c>
      <c r="BE61">
        <v>0</v>
      </c>
      <c r="BF61">
        <v>0</v>
      </c>
      <c r="BG61">
        <v>0</v>
      </c>
      <c r="BH61">
        <v>0</v>
      </c>
      <c r="BJ61" t="s">
        <v>85</v>
      </c>
      <c r="BP61" t="s">
        <v>78</v>
      </c>
      <c r="BQ61" t="s">
        <v>78</v>
      </c>
      <c r="BR61" t="s">
        <v>78</v>
      </c>
    </row>
    <row r="62" customFormat="1" spans="1:70">
      <c r="A62" t="s">
        <v>3921</v>
      </c>
      <c r="B62" t="s">
        <v>3921</v>
      </c>
      <c r="C62" t="s">
        <v>107</v>
      </c>
      <c r="D62" t="s">
        <v>135</v>
      </c>
      <c r="E62">
        <v>1</v>
      </c>
      <c r="F62" t="s">
        <v>3857</v>
      </c>
      <c r="G62" t="s">
        <v>136</v>
      </c>
      <c r="H62">
        <v>289</v>
      </c>
      <c r="I62">
        <v>260.66</v>
      </c>
      <c r="J62">
        <v>0</v>
      </c>
      <c r="K62">
        <v>28.34</v>
      </c>
      <c r="L62" t="s">
        <v>591</v>
      </c>
      <c r="M62" t="s">
        <v>78</v>
      </c>
      <c r="N62" t="s">
        <v>78</v>
      </c>
      <c r="O62">
        <v>0</v>
      </c>
      <c r="P62">
        <v>0</v>
      </c>
      <c r="Q62">
        <v>0</v>
      </c>
      <c r="R62" t="s">
        <v>79</v>
      </c>
      <c r="S62">
        <v>0</v>
      </c>
      <c r="T62" t="s">
        <v>80</v>
      </c>
      <c r="U62" t="s">
        <v>80</v>
      </c>
      <c r="V62" t="s">
        <v>126</v>
      </c>
      <c r="W62" t="s">
        <v>592</v>
      </c>
      <c r="X62" t="s">
        <v>593</v>
      </c>
      <c r="Y62" t="s">
        <v>594</v>
      </c>
      <c r="Z62" t="s">
        <v>80</v>
      </c>
      <c r="AA62" t="s">
        <v>85</v>
      </c>
      <c r="AC62" t="s">
        <v>595</v>
      </c>
      <c r="AD62" t="s">
        <v>87</v>
      </c>
      <c r="AG62" t="s">
        <v>596</v>
      </c>
      <c r="AH62" t="s">
        <v>91</v>
      </c>
      <c r="AI62" t="s">
        <v>92</v>
      </c>
      <c r="AJ62" t="s">
        <v>131</v>
      </c>
      <c r="AK62" t="s">
        <v>597</v>
      </c>
      <c r="AL62" t="s">
        <v>95</v>
      </c>
      <c r="AM62" t="s">
        <v>96</v>
      </c>
      <c r="AN62" t="s">
        <v>97</v>
      </c>
      <c r="AO62" t="s">
        <v>98</v>
      </c>
      <c r="AP62" t="s">
        <v>78</v>
      </c>
      <c r="AQ62" t="s">
        <v>99</v>
      </c>
      <c r="AS62" t="s">
        <v>78</v>
      </c>
      <c r="AT62" t="s">
        <v>100</v>
      </c>
      <c r="AU62" t="s">
        <v>100</v>
      </c>
      <c r="AW62" t="s">
        <v>85</v>
      </c>
      <c r="AX62" t="s">
        <v>103</v>
      </c>
      <c r="AY62" t="s">
        <v>159</v>
      </c>
      <c r="AZ62" t="s">
        <v>103</v>
      </c>
      <c r="BA62" t="s">
        <v>104</v>
      </c>
      <c r="BB62" t="s">
        <v>78</v>
      </c>
      <c r="BC62" t="s">
        <v>78</v>
      </c>
      <c r="BE62">
        <v>0</v>
      </c>
      <c r="BF62">
        <v>28.34</v>
      </c>
      <c r="BG62">
        <v>0</v>
      </c>
      <c r="BH62">
        <v>0</v>
      </c>
      <c r="BJ62" t="s">
        <v>85</v>
      </c>
      <c r="BP62" t="s">
        <v>78</v>
      </c>
      <c r="BQ62" t="s">
        <v>78</v>
      </c>
      <c r="BR62" t="s">
        <v>78</v>
      </c>
    </row>
    <row r="63" customFormat="1" spans="1:70">
      <c r="A63" t="s">
        <v>3922</v>
      </c>
      <c r="B63" t="s">
        <v>3922</v>
      </c>
      <c r="C63" t="s">
        <v>107</v>
      </c>
      <c r="D63" t="s">
        <v>108</v>
      </c>
      <c r="E63">
        <v>1</v>
      </c>
      <c r="F63" t="s">
        <v>3857</v>
      </c>
      <c r="G63" t="s">
        <v>110</v>
      </c>
      <c r="H63">
        <v>289</v>
      </c>
      <c r="I63">
        <v>289</v>
      </c>
      <c r="J63">
        <v>0</v>
      </c>
      <c r="K63">
        <v>0</v>
      </c>
      <c r="L63" t="s">
        <v>78</v>
      </c>
      <c r="M63" t="s">
        <v>78</v>
      </c>
      <c r="N63" t="s">
        <v>78</v>
      </c>
      <c r="O63">
        <v>0</v>
      </c>
      <c r="P63">
        <v>0</v>
      </c>
      <c r="Q63">
        <v>0</v>
      </c>
      <c r="R63" t="s">
        <v>79</v>
      </c>
      <c r="S63">
        <v>0</v>
      </c>
      <c r="T63" t="s">
        <v>80</v>
      </c>
      <c r="U63" t="s">
        <v>80</v>
      </c>
      <c r="V63" t="s">
        <v>221</v>
      </c>
      <c r="W63" t="s">
        <v>599</v>
      </c>
      <c r="X63" t="s">
        <v>600</v>
      </c>
      <c r="Y63" t="s">
        <v>601</v>
      </c>
      <c r="Z63" t="s">
        <v>80</v>
      </c>
      <c r="AA63" t="s">
        <v>85</v>
      </c>
      <c r="AC63" t="s">
        <v>602</v>
      </c>
      <c r="AD63" t="s">
        <v>87</v>
      </c>
      <c r="AF63" t="s">
        <v>603</v>
      </c>
      <c r="AG63" t="s">
        <v>604</v>
      </c>
      <c r="AH63" t="s">
        <v>91</v>
      </c>
      <c r="AI63" t="s">
        <v>92</v>
      </c>
      <c r="AJ63" t="s">
        <v>93</v>
      </c>
      <c r="AK63" t="s">
        <v>605</v>
      </c>
      <c r="AL63" t="s">
        <v>95</v>
      </c>
      <c r="AM63" t="s">
        <v>96</v>
      </c>
      <c r="AN63" t="s">
        <v>97</v>
      </c>
      <c r="AO63" t="s">
        <v>98</v>
      </c>
      <c r="AP63" t="s">
        <v>78</v>
      </c>
      <c r="AQ63" t="s">
        <v>78</v>
      </c>
      <c r="AS63" t="s">
        <v>78</v>
      </c>
      <c r="AT63" t="s">
        <v>100</v>
      </c>
      <c r="AU63" t="s">
        <v>100</v>
      </c>
      <c r="AW63" t="s">
        <v>85</v>
      </c>
      <c r="AX63" t="s">
        <v>101</v>
      </c>
      <c r="AY63" t="s">
        <v>102</v>
      </c>
      <c r="AZ63" t="s">
        <v>103</v>
      </c>
      <c r="BA63" t="s">
        <v>419</v>
      </c>
      <c r="BB63" t="s">
        <v>78</v>
      </c>
      <c r="BC63" t="s">
        <v>78</v>
      </c>
      <c r="BD63" t="s">
        <v>606</v>
      </c>
      <c r="BE63">
        <v>0</v>
      </c>
      <c r="BF63">
        <v>0</v>
      </c>
      <c r="BG63">
        <v>0</v>
      </c>
      <c r="BH63">
        <v>0</v>
      </c>
      <c r="BJ63" t="s">
        <v>85</v>
      </c>
      <c r="BP63" t="s">
        <v>78</v>
      </c>
      <c r="BQ63" t="s">
        <v>78</v>
      </c>
      <c r="BR63" t="s">
        <v>78</v>
      </c>
    </row>
    <row r="64" customFormat="1" spans="1:70">
      <c r="A64" t="s">
        <v>3923</v>
      </c>
      <c r="B64" t="s">
        <v>3923</v>
      </c>
      <c r="C64" t="s">
        <v>107</v>
      </c>
      <c r="D64" t="s">
        <v>123</v>
      </c>
      <c r="E64">
        <v>1</v>
      </c>
      <c r="F64" t="s">
        <v>3857</v>
      </c>
      <c r="G64" t="s">
        <v>124</v>
      </c>
      <c r="H64">
        <v>289</v>
      </c>
      <c r="I64">
        <v>289</v>
      </c>
      <c r="J64">
        <v>0</v>
      </c>
      <c r="K64">
        <v>0</v>
      </c>
      <c r="L64" t="s">
        <v>78</v>
      </c>
      <c r="M64" t="s">
        <v>78</v>
      </c>
      <c r="N64" t="s">
        <v>78</v>
      </c>
      <c r="O64">
        <v>0</v>
      </c>
      <c r="P64">
        <v>0</v>
      </c>
      <c r="Q64">
        <v>0</v>
      </c>
      <c r="R64" t="s">
        <v>79</v>
      </c>
      <c r="S64">
        <v>0</v>
      </c>
      <c r="T64" t="s">
        <v>80</v>
      </c>
      <c r="U64" t="s">
        <v>80</v>
      </c>
      <c r="V64" t="s">
        <v>152</v>
      </c>
      <c r="W64" t="s">
        <v>608</v>
      </c>
      <c r="X64" t="s">
        <v>609</v>
      </c>
      <c r="Y64" t="s">
        <v>610</v>
      </c>
      <c r="Z64" t="s">
        <v>80</v>
      </c>
      <c r="AA64" t="s">
        <v>85</v>
      </c>
      <c r="AC64" t="s">
        <v>611</v>
      </c>
      <c r="AD64" t="s">
        <v>87</v>
      </c>
      <c r="AF64" t="s">
        <v>612</v>
      </c>
      <c r="AG64" t="s">
        <v>613</v>
      </c>
      <c r="AH64" t="s">
        <v>91</v>
      </c>
      <c r="AI64" t="s">
        <v>92</v>
      </c>
      <c r="AJ64" t="s">
        <v>93</v>
      </c>
      <c r="AK64" t="s">
        <v>614</v>
      </c>
      <c r="AL64" t="s">
        <v>95</v>
      </c>
      <c r="AM64" t="s">
        <v>96</v>
      </c>
      <c r="AN64" t="s">
        <v>97</v>
      </c>
      <c r="AO64" t="s">
        <v>98</v>
      </c>
      <c r="AP64" t="s">
        <v>78</v>
      </c>
      <c r="AQ64" t="s">
        <v>78</v>
      </c>
      <c r="AS64" t="s">
        <v>78</v>
      </c>
      <c r="AT64" t="s">
        <v>100</v>
      </c>
      <c r="AU64" t="s">
        <v>100</v>
      </c>
      <c r="AW64" t="s">
        <v>85</v>
      </c>
      <c r="AX64" t="s">
        <v>101</v>
      </c>
      <c r="AY64" t="s">
        <v>102</v>
      </c>
      <c r="AZ64" t="s">
        <v>103</v>
      </c>
      <c r="BA64" t="s">
        <v>133</v>
      </c>
      <c r="BB64" t="s">
        <v>78</v>
      </c>
      <c r="BC64" t="s">
        <v>78</v>
      </c>
      <c r="BD64" t="s">
        <v>615</v>
      </c>
      <c r="BE64">
        <v>0</v>
      </c>
      <c r="BF64">
        <v>0</v>
      </c>
      <c r="BG64">
        <v>0</v>
      </c>
      <c r="BH64">
        <v>0</v>
      </c>
      <c r="BJ64" t="s">
        <v>85</v>
      </c>
      <c r="BP64" t="s">
        <v>78</v>
      </c>
      <c r="BQ64" t="s">
        <v>78</v>
      </c>
      <c r="BR64" t="s">
        <v>78</v>
      </c>
    </row>
    <row r="65" customFormat="1" spans="1:70">
      <c r="A65" t="s">
        <v>3924</v>
      </c>
      <c r="B65" t="s">
        <v>3924</v>
      </c>
      <c r="C65" t="s">
        <v>107</v>
      </c>
      <c r="D65" t="s">
        <v>123</v>
      </c>
      <c r="E65">
        <v>1</v>
      </c>
      <c r="F65" t="s">
        <v>3857</v>
      </c>
      <c r="G65" t="s">
        <v>124</v>
      </c>
      <c r="H65">
        <v>289</v>
      </c>
      <c r="I65">
        <v>289</v>
      </c>
      <c r="J65">
        <v>0</v>
      </c>
      <c r="K65">
        <v>0</v>
      </c>
      <c r="L65" t="s">
        <v>78</v>
      </c>
      <c r="M65" t="s">
        <v>78</v>
      </c>
      <c r="N65" t="s">
        <v>78</v>
      </c>
      <c r="O65">
        <v>0</v>
      </c>
      <c r="P65">
        <v>0</v>
      </c>
      <c r="Q65">
        <v>0</v>
      </c>
      <c r="R65" t="s">
        <v>125</v>
      </c>
      <c r="S65">
        <v>0</v>
      </c>
      <c r="T65" t="s">
        <v>80</v>
      </c>
      <c r="U65" t="s">
        <v>80</v>
      </c>
      <c r="V65" t="s">
        <v>509</v>
      </c>
      <c r="W65" t="s">
        <v>617</v>
      </c>
      <c r="X65" t="s">
        <v>618</v>
      </c>
      <c r="Y65" t="s">
        <v>619</v>
      </c>
      <c r="Z65" t="s">
        <v>80</v>
      </c>
      <c r="AA65" t="s">
        <v>85</v>
      </c>
      <c r="AC65" t="s">
        <v>620</v>
      </c>
      <c r="AD65" t="s">
        <v>87</v>
      </c>
      <c r="AH65" t="s">
        <v>227</v>
      </c>
      <c r="AI65" t="s">
        <v>92</v>
      </c>
      <c r="AJ65" t="s">
        <v>131</v>
      </c>
      <c r="AK65" t="s">
        <v>621</v>
      </c>
      <c r="AL65" t="s">
        <v>95</v>
      </c>
      <c r="AM65" t="s">
        <v>96</v>
      </c>
      <c r="AN65" t="s">
        <v>97</v>
      </c>
      <c r="AO65" t="s">
        <v>98</v>
      </c>
      <c r="AP65" t="s">
        <v>78</v>
      </c>
      <c r="AQ65" t="s">
        <v>78</v>
      </c>
      <c r="AR65" t="s">
        <v>195</v>
      </c>
      <c r="AS65" t="s">
        <v>78</v>
      </c>
      <c r="AT65" t="s">
        <v>100</v>
      </c>
      <c r="AU65" t="s">
        <v>100</v>
      </c>
      <c r="AW65" t="s">
        <v>85</v>
      </c>
      <c r="AX65" t="s">
        <v>103</v>
      </c>
      <c r="AY65" t="s">
        <v>159</v>
      </c>
      <c r="AZ65" t="s">
        <v>103</v>
      </c>
      <c r="BA65" t="s">
        <v>245</v>
      </c>
      <c r="BB65" t="s">
        <v>78</v>
      </c>
      <c r="BC65" t="s">
        <v>78</v>
      </c>
      <c r="BE65">
        <v>0</v>
      </c>
      <c r="BF65">
        <v>0</v>
      </c>
      <c r="BG65">
        <v>0</v>
      </c>
      <c r="BH65">
        <v>0</v>
      </c>
      <c r="BJ65" t="s">
        <v>85</v>
      </c>
      <c r="BP65" t="s">
        <v>78</v>
      </c>
      <c r="BQ65" t="s">
        <v>78</v>
      </c>
      <c r="BR65" t="s">
        <v>78</v>
      </c>
    </row>
    <row r="66" customFormat="1" spans="1:70">
      <c r="A66" t="s">
        <v>3925</v>
      </c>
      <c r="B66" t="s">
        <v>3925</v>
      </c>
      <c r="C66" t="s">
        <v>107</v>
      </c>
      <c r="D66" t="s">
        <v>108</v>
      </c>
      <c r="E66">
        <v>1</v>
      </c>
      <c r="F66" t="s">
        <v>3857</v>
      </c>
      <c r="G66" t="s">
        <v>110</v>
      </c>
      <c r="H66">
        <v>289</v>
      </c>
      <c r="I66">
        <v>289</v>
      </c>
      <c r="J66">
        <v>0</v>
      </c>
      <c r="K66">
        <v>0</v>
      </c>
      <c r="L66" t="s">
        <v>78</v>
      </c>
      <c r="M66" t="s">
        <v>78</v>
      </c>
      <c r="N66" t="s">
        <v>78</v>
      </c>
      <c r="O66">
        <v>0</v>
      </c>
      <c r="P66">
        <v>0</v>
      </c>
      <c r="Q66">
        <v>0</v>
      </c>
      <c r="R66" t="s">
        <v>79</v>
      </c>
      <c r="S66">
        <v>0</v>
      </c>
      <c r="T66" t="s">
        <v>80</v>
      </c>
      <c r="U66" t="s">
        <v>80</v>
      </c>
      <c r="V66" t="s">
        <v>509</v>
      </c>
      <c r="W66" t="s">
        <v>623</v>
      </c>
      <c r="X66" t="s">
        <v>624</v>
      </c>
      <c r="Y66" t="s">
        <v>625</v>
      </c>
      <c r="Z66" t="s">
        <v>80</v>
      </c>
      <c r="AA66" t="s">
        <v>85</v>
      </c>
      <c r="AC66" t="s">
        <v>626</v>
      </c>
      <c r="AD66" t="s">
        <v>87</v>
      </c>
      <c r="AG66" t="s">
        <v>627</v>
      </c>
      <c r="AH66" t="s">
        <v>91</v>
      </c>
      <c r="AI66" t="s">
        <v>92</v>
      </c>
      <c r="AJ66" t="s">
        <v>131</v>
      </c>
      <c r="AK66" t="s">
        <v>628</v>
      </c>
      <c r="AL66" t="s">
        <v>95</v>
      </c>
      <c r="AM66" t="s">
        <v>96</v>
      </c>
      <c r="AN66" t="s">
        <v>97</v>
      </c>
      <c r="AO66" t="s">
        <v>98</v>
      </c>
      <c r="AP66" t="s">
        <v>78</v>
      </c>
      <c r="AQ66" t="s">
        <v>99</v>
      </c>
      <c r="AS66" t="s">
        <v>78</v>
      </c>
      <c r="AT66" t="s">
        <v>100</v>
      </c>
      <c r="AU66" t="s">
        <v>100</v>
      </c>
      <c r="AW66" t="s">
        <v>85</v>
      </c>
      <c r="AX66" t="s">
        <v>101</v>
      </c>
      <c r="AY66" t="s">
        <v>102</v>
      </c>
      <c r="AZ66" t="s">
        <v>103</v>
      </c>
      <c r="BA66" t="s">
        <v>133</v>
      </c>
      <c r="BB66" t="s">
        <v>78</v>
      </c>
      <c r="BC66" t="s">
        <v>78</v>
      </c>
      <c r="BE66">
        <v>0</v>
      </c>
      <c r="BF66">
        <v>0</v>
      </c>
      <c r="BG66">
        <v>0</v>
      </c>
      <c r="BH66">
        <v>0</v>
      </c>
      <c r="BJ66" t="s">
        <v>85</v>
      </c>
      <c r="BP66" t="s">
        <v>78</v>
      </c>
      <c r="BQ66" t="s">
        <v>78</v>
      </c>
      <c r="BR66" t="s">
        <v>78</v>
      </c>
    </row>
    <row r="67" customFormat="1" spans="1:70">
      <c r="A67" t="s">
        <v>3926</v>
      </c>
      <c r="B67" t="s">
        <v>3926</v>
      </c>
      <c r="C67" t="s">
        <v>107</v>
      </c>
      <c r="D67" t="s">
        <v>123</v>
      </c>
      <c r="E67">
        <v>1</v>
      </c>
      <c r="F67" t="s">
        <v>3857</v>
      </c>
      <c r="G67" t="s">
        <v>124</v>
      </c>
      <c r="H67">
        <v>289</v>
      </c>
      <c r="I67">
        <v>289</v>
      </c>
      <c r="J67">
        <v>0</v>
      </c>
      <c r="K67">
        <v>0</v>
      </c>
      <c r="L67" t="s">
        <v>78</v>
      </c>
      <c r="M67" t="s">
        <v>78</v>
      </c>
      <c r="N67" t="s">
        <v>78</v>
      </c>
      <c r="O67">
        <v>0</v>
      </c>
      <c r="P67">
        <v>0</v>
      </c>
      <c r="Q67">
        <v>0</v>
      </c>
      <c r="R67" t="s">
        <v>111</v>
      </c>
      <c r="S67">
        <v>0</v>
      </c>
      <c r="T67" t="s">
        <v>80</v>
      </c>
      <c r="U67" t="s">
        <v>80</v>
      </c>
      <c r="V67" t="s">
        <v>325</v>
      </c>
      <c r="W67" t="s">
        <v>630</v>
      </c>
      <c r="X67" t="s">
        <v>631</v>
      </c>
      <c r="Y67" t="s">
        <v>632</v>
      </c>
      <c r="Z67" t="s">
        <v>80</v>
      </c>
      <c r="AA67" t="s">
        <v>85</v>
      </c>
      <c r="AC67" t="s">
        <v>633</v>
      </c>
      <c r="AD67" t="s">
        <v>87</v>
      </c>
      <c r="AH67" t="s">
        <v>227</v>
      </c>
      <c r="AI67" t="s">
        <v>92</v>
      </c>
      <c r="AJ67" t="s">
        <v>131</v>
      </c>
      <c r="AK67" t="s">
        <v>634</v>
      </c>
      <c r="AL67" t="s">
        <v>95</v>
      </c>
      <c r="AM67" t="s">
        <v>96</v>
      </c>
      <c r="AN67" t="s">
        <v>97</v>
      </c>
      <c r="AO67" t="s">
        <v>98</v>
      </c>
      <c r="AP67" t="s">
        <v>78</v>
      </c>
      <c r="AQ67" t="s">
        <v>78</v>
      </c>
      <c r="AR67" t="s">
        <v>353</v>
      </c>
      <c r="AS67" t="s">
        <v>78</v>
      </c>
      <c r="AT67" t="s">
        <v>100</v>
      </c>
      <c r="AU67" t="s">
        <v>100</v>
      </c>
      <c r="AW67" t="s">
        <v>85</v>
      </c>
      <c r="AX67" t="s">
        <v>103</v>
      </c>
      <c r="AY67" t="s">
        <v>159</v>
      </c>
      <c r="AZ67" t="s">
        <v>103</v>
      </c>
      <c r="BA67" t="s">
        <v>133</v>
      </c>
      <c r="BB67" t="s">
        <v>78</v>
      </c>
      <c r="BC67" t="s">
        <v>78</v>
      </c>
      <c r="BE67">
        <v>0</v>
      </c>
      <c r="BF67">
        <v>0</v>
      </c>
      <c r="BG67">
        <v>0</v>
      </c>
      <c r="BH67">
        <v>0</v>
      </c>
      <c r="BJ67" t="s">
        <v>85</v>
      </c>
      <c r="BP67" t="s">
        <v>78</v>
      </c>
      <c r="BQ67" t="s">
        <v>78</v>
      </c>
      <c r="BR67" t="s">
        <v>78</v>
      </c>
    </row>
    <row r="68" customFormat="1" spans="1:70">
      <c r="A68" t="s">
        <v>3927</v>
      </c>
      <c r="B68" t="s">
        <v>3927</v>
      </c>
      <c r="C68" t="s">
        <v>107</v>
      </c>
      <c r="D68" t="s">
        <v>108</v>
      </c>
      <c r="E68">
        <v>1</v>
      </c>
      <c r="F68" t="s">
        <v>3857</v>
      </c>
      <c r="G68" t="s">
        <v>110</v>
      </c>
      <c r="H68">
        <v>289</v>
      </c>
      <c r="I68">
        <v>263.76</v>
      </c>
      <c r="J68">
        <v>0</v>
      </c>
      <c r="K68">
        <v>25.24</v>
      </c>
      <c r="L68" t="s">
        <v>636</v>
      </c>
      <c r="M68" t="s">
        <v>78</v>
      </c>
      <c r="N68" t="s">
        <v>78</v>
      </c>
      <c r="O68">
        <v>0</v>
      </c>
      <c r="P68">
        <v>0</v>
      </c>
      <c r="Q68">
        <v>0</v>
      </c>
      <c r="R68" t="s">
        <v>111</v>
      </c>
      <c r="S68">
        <v>0</v>
      </c>
      <c r="T68" t="s">
        <v>80</v>
      </c>
      <c r="U68" t="s">
        <v>80</v>
      </c>
      <c r="V68" t="s">
        <v>464</v>
      </c>
      <c r="W68" t="s">
        <v>637</v>
      </c>
      <c r="X68" t="s">
        <v>638</v>
      </c>
      <c r="Y68" t="s">
        <v>639</v>
      </c>
      <c r="Z68" t="s">
        <v>80</v>
      </c>
      <c r="AA68" t="s">
        <v>85</v>
      </c>
      <c r="AC68" t="s">
        <v>640</v>
      </c>
      <c r="AD68" t="s">
        <v>87</v>
      </c>
      <c r="AG68" t="s">
        <v>641</v>
      </c>
      <c r="AH68" t="s">
        <v>227</v>
      </c>
      <c r="AI68" t="s">
        <v>92</v>
      </c>
      <c r="AJ68" t="s">
        <v>131</v>
      </c>
      <c r="AK68" t="s">
        <v>642</v>
      </c>
      <c r="AL68" t="s">
        <v>95</v>
      </c>
      <c r="AM68" t="s">
        <v>96</v>
      </c>
      <c r="AN68" t="s">
        <v>97</v>
      </c>
      <c r="AO68" t="s">
        <v>98</v>
      </c>
      <c r="AP68" t="s">
        <v>78</v>
      </c>
      <c r="AQ68" t="s">
        <v>99</v>
      </c>
      <c r="AS68" t="s">
        <v>78</v>
      </c>
      <c r="AT68" t="s">
        <v>100</v>
      </c>
      <c r="AU68" t="s">
        <v>100</v>
      </c>
      <c r="AW68" t="s">
        <v>85</v>
      </c>
      <c r="AX68" t="s">
        <v>103</v>
      </c>
      <c r="AY68" t="s">
        <v>159</v>
      </c>
      <c r="AZ68" t="s">
        <v>103</v>
      </c>
      <c r="BA68" t="s">
        <v>120</v>
      </c>
      <c r="BB68" t="s">
        <v>78</v>
      </c>
      <c r="BC68" t="s">
        <v>78</v>
      </c>
      <c r="BE68">
        <v>0</v>
      </c>
      <c r="BF68">
        <v>25.24</v>
      </c>
      <c r="BG68">
        <v>0</v>
      </c>
      <c r="BH68">
        <v>0</v>
      </c>
      <c r="BJ68" t="s">
        <v>85</v>
      </c>
      <c r="BP68" t="s">
        <v>78</v>
      </c>
      <c r="BQ68" t="s">
        <v>78</v>
      </c>
      <c r="BR68" t="s">
        <v>78</v>
      </c>
    </row>
    <row r="69" customFormat="1" spans="1:70">
      <c r="A69" t="s">
        <v>3928</v>
      </c>
      <c r="B69" t="s">
        <v>3928</v>
      </c>
      <c r="C69" t="s">
        <v>107</v>
      </c>
      <c r="D69" t="s">
        <v>135</v>
      </c>
      <c r="E69">
        <v>1</v>
      </c>
      <c r="F69" t="s">
        <v>3857</v>
      </c>
      <c r="G69" t="s">
        <v>136</v>
      </c>
      <c r="H69">
        <v>289</v>
      </c>
      <c r="I69">
        <v>289</v>
      </c>
      <c r="J69">
        <v>0</v>
      </c>
      <c r="K69">
        <v>0</v>
      </c>
      <c r="L69" t="s">
        <v>78</v>
      </c>
      <c r="M69" t="s">
        <v>78</v>
      </c>
      <c r="N69" t="s">
        <v>78</v>
      </c>
      <c r="O69">
        <v>0</v>
      </c>
      <c r="P69">
        <v>0</v>
      </c>
      <c r="Q69">
        <v>0</v>
      </c>
      <c r="R69" t="s">
        <v>111</v>
      </c>
      <c r="S69">
        <v>0</v>
      </c>
      <c r="T69" t="s">
        <v>80</v>
      </c>
      <c r="U69" t="s">
        <v>80</v>
      </c>
      <c r="V69" t="s">
        <v>509</v>
      </c>
      <c r="W69" t="s">
        <v>623</v>
      </c>
      <c r="X69" t="s">
        <v>644</v>
      </c>
      <c r="Y69" t="s">
        <v>645</v>
      </c>
      <c r="Z69" t="s">
        <v>80</v>
      </c>
      <c r="AA69" t="s">
        <v>85</v>
      </c>
      <c r="AC69" t="s">
        <v>646</v>
      </c>
      <c r="AD69" t="s">
        <v>87</v>
      </c>
      <c r="AF69" t="s">
        <v>647</v>
      </c>
      <c r="AG69" t="s">
        <v>648</v>
      </c>
      <c r="AH69" t="s">
        <v>91</v>
      </c>
      <c r="AI69" t="s">
        <v>92</v>
      </c>
      <c r="AJ69" t="s">
        <v>93</v>
      </c>
      <c r="AK69" t="s">
        <v>649</v>
      </c>
      <c r="AL69" t="s">
        <v>95</v>
      </c>
      <c r="AM69" t="s">
        <v>96</v>
      </c>
      <c r="AN69" t="s">
        <v>97</v>
      </c>
      <c r="AO69" t="s">
        <v>98</v>
      </c>
      <c r="AP69" t="s">
        <v>78</v>
      </c>
      <c r="AQ69" t="s">
        <v>78</v>
      </c>
      <c r="AS69" t="s">
        <v>78</v>
      </c>
      <c r="AT69" t="s">
        <v>100</v>
      </c>
      <c r="AU69" t="s">
        <v>100</v>
      </c>
      <c r="AW69" t="s">
        <v>85</v>
      </c>
      <c r="AX69" t="s">
        <v>101</v>
      </c>
      <c r="AY69" t="s">
        <v>102</v>
      </c>
      <c r="AZ69" t="s">
        <v>103</v>
      </c>
      <c r="BA69" t="s">
        <v>133</v>
      </c>
      <c r="BB69" t="s">
        <v>78</v>
      </c>
      <c r="BC69" t="s">
        <v>78</v>
      </c>
      <c r="BD69" t="s">
        <v>650</v>
      </c>
      <c r="BE69">
        <v>0</v>
      </c>
      <c r="BF69">
        <v>0</v>
      </c>
      <c r="BG69">
        <v>0</v>
      </c>
      <c r="BH69">
        <v>0</v>
      </c>
      <c r="BJ69" t="s">
        <v>85</v>
      </c>
      <c r="BP69" t="s">
        <v>78</v>
      </c>
      <c r="BQ69" t="s">
        <v>78</v>
      </c>
      <c r="BR69" t="s">
        <v>78</v>
      </c>
    </row>
    <row r="70" customFormat="1" spans="1:70">
      <c r="A70" t="s">
        <v>3929</v>
      </c>
      <c r="B70" t="s">
        <v>3929</v>
      </c>
      <c r="C70" t="s">
        <v>107</v>
      </c>
      <c r="D70" t="s">
        <v>123</v>
      </c>
      <c r="E70">
        <v>1</v>
      </c>
      <c r="F70" t="s">
        <v>3857</v>
      </c>
      <c r="G70" t="s">
        <v>124</v>
      </c>
      <c r="H70">
        <v>289</v>
      </c>
      <c r="I70">
        <v>260.1</v>
      </c>
      <c r="J70">
        <v>0</v>
      </c>
      <c r="K70">
        <v>28.9</v>
      </c>
      <c r="L70" t="s">
        <v>652</v>
      </c>
      <c r="M70" t="s">
        <v>78</v>
      </c>
      <c r="N70" t="s">
        <v>78</v>
      </c>
      <c r="O70">
        <v>0</v>
      </c>
      <c r="P70">
        <v>0</v>
      </c>
      <c r="Q70">
        <v>0</v>
      </c>
      <c r="R70" t="s">
        <v>79</v>
      </c>
      <c r="S70">
        <v>0</v>
      </c>
      <c r="T70" t="s">
        <v>80</v>
      </c>
      <c r="U70" t="s">
        <v>80</v>
      </c>
      <c r="V70" t="s">
        <v>257</v>
      </c>
      <c r="W70" t="s">
        <v>257</v>
      </c>
      <c r="X70" t="s">
        <v>653</v>
      </c>
      <c r="Y70" t="s">
        <v>654</v>
      </c>
      <c r="Z70" t="s">
        <v>80</v>
      </c>
      <c r="AA70" t="s">
        <v>85</v>
      </c>
      <c r="AC70" t="s">
        <v>655</v>
      </c>
      <c r="AD70" t="s">
        <v>87</v>
      </c>
      <c r="AG70" t="s">
        <v>656</v>
      </c>
      <c r="AH70" t="s">
        <v>91</v>
      </c>
      <c r="AI70" t="s">
        <v>92</v>
      </c>
      <c r="AJ70" t="s">
        <v>131</v>
      </c>
      <c r="AK70" t="s">
        <v>657</v>
      </c>
      <c r="AL70" t="s">
        <v>95</v>
      </c>
      <c r="AM70" t="s">
        <v>96</v>
      </c>
      <c r="AN70" t="s">
        <v>97</v>
      </c>
      <c r="AO70" t="s">
        <v>98</v>
      </c>
      <c r="AP70" t="s">
        <v>78</v>
      </c>
      <c r="AQ70" t="s">
        <v>99</v>
      </c>
      <c r="AS70" t="s">
        <v>78</v>
      </c>
      <c r="AT70" t="s">
        <v>100</v>
      </c>
      <c r="AU70" t="s">
        <v>100</v>
      </c>
      <c r="AW70" t="s">
        <v>85</v>
      </c>
      <c r="AX70" t="s">
        <v>101</v>
      </c>
      <c r="AY70" t="s">
        <v>102</v>
      </c>
      <c r="AZ70" t="s">
        <v>145</v>
      </c>
      <c r="BA70" t="s">
        <v>146</v>
      </c>
      <c r="BB70" t="s">
        <v>78</v>
      </c>
      <c r="BC70" t="s">
        <v>78</v>
      </c>
      <c r="BE70">
        <v>0</v>
      </c>
      <c r="BF70">
        <v>28.9</v>
      </c>
      <c r="BG70">
        <v>0</v>
      </c>
      <c r="BH70">
        <v>0</v>
      </c>
      <c r="BJ70" t="s">
        <v>85</v>
      </c>
      <c r="BP70" t="s">
        <v>78</v>
      </c>
      <c r="BQ70" t="s">
        <v>78</v>
      </c>
      <c r="BR70" t="s">
        <v>78</v>
      </c>
    </row>
    <row r="71" customFormat="1" spans="1:70">
      <c r="A71" t="s">
        <v>3930</v>
      </c>
      <c r="B71" t="s">
        <v>3930</v>
      </c>
      <c r="C71" t="s">
        <v>527</v>
      </c>
      <c r="D71" t="s">
        <v>123</v>
      </c>
      <c r="E71">
        <v>1</v>
      </c>
      <c r="F71" t="s">
        <v>3911</v>
      </c>
      <c r="G71" t="s">
        <v>529</v>
      </c>
      <c r="H71">
        <v>199</v>
      </c>
      <c r="I71">
        <v>194</v>
      </c>
      <c r="J71">
        <v>0</v>
      </c>
      <c r="K71">
        <v>8</v>
      </c>
      <c r="L71" t="s">
        <v>659</v>
      </c>
      <c r="M71" t="s">
        <v>78</v>
      </c>
      <c r="N71" t="s">
        <v>78</v>
      </c>
      <c r="O71">
        <v>0</v>
      </c>
      <c r="P71">
        <v>3</v>
      </c>
      <c r="Q71">
        <v>0</v>
      </c>
      <c r="R71" t="s">
        <v>79</v>
      </c>
      <c r="S71">
        <v>0</v>
      </c>
      <c r="T71" t="s">
        <v>80</v>
      </c>
      <c r="U71" t="s">
        <v>80</v>
      </c>
      <c r="V71" t="s">
        <v>574</v>
      </c>
      <c r="W71" t="s">
        <v>574</v>
      </c>
      <c r="X71" t="s">
        <v>575</v>
      </c>
      <c r="Y71" t="s">
        <v>660</v>
      </c>
      <c r="Z71" t="s">
        <v>80</v>
      </c>
      <c r="AA71" t="s">
        <v>85</v>
      </c>
      <c r="AC71" t="s">
        <v>661</v>
      </c>
      <c r="AD71" t="s">
        <v>202</v>
      </c>
      <c r="AE71" t="s">
        <v>662</v>
      </c>
      <c r="AG71" t="s">
        <v>663</v>
      </c>
      <c r="AH71" t="s">
        <v>91</v>
      </c>
      <c r="AI71" t="s">
        <v>216</v>
      </c>
      <c r="AJ71" t="s">
        <v>131</v>
      </c>
      <c r="AK71" t="s">
        <v>664</v>
      </c>
      <c r="AL71" t="s">
        <v>95</v>
      </c>
      <c r="AM71" t="s">
        <v>96</v>
      </c>
      <c r="AN71" t="s">
        <v>96</v>
      </c>
      <c r="AP71" t="s">
        <v>78</v>
      </c>
      <c r="AQ71" t="s">
        <v>99</v>
      </c>
      <c r="AS71" t="s">
        <v>78</v>
      </c>
      <c r="AT71" t="s">
        <v>100</v>
      </c>
      <c r="AU71" t="s">
        <v>100</v>
      </c>
      <c r="AW71" t="s">
        <v>85</v>
      </c>
      <c r="AX71" t="s">
        <v>101</v>
      </c>
      <c r="AY71" t="s">
        <v>102</v>
      </c>
      <c r="AZ71" t="s">
        <v>145</v>
      </c>
      <c r="BA71" t="s">
        <v>525</v>
      </c>
      <c r="BB71" t="s">
        <v>78</v>
      </c>
      <c r="BC71" t="s">
        <v>78</v>
      </c>
      <c r="BD71" t="s">
        <v>665</v>
      </c>
      <c r="BE71">
        <v>0</v>
      </c>
      <c r="BF71">
        <v>5</v>
      </c>
      <c r="BG71">
        <v>0</v>
      </c>
      <c r="BH71">
        <v>0</v>
      </c>
      <c r="BJ71" t="s">
        <v>85</v>
      </c>
      <c r="BP71" t="s">
        <v>78</v>
      </c>
      <c r="BQ71" t="s">
        <v>78</v>
      </c>
      <c r="BR71" t="s">
        <v>78</v>
      </c>
    </row>
    <row r="72" customFormat="1" spans="1:70">
      <c r="A72" t="s">
        <v>3931</v>
      </c>
      <c r="B72" t="s">
        <v>3931</v>
      </c>
      <c r="C72" t="s">
        <v>107</v>
      </c>
      <c r="D72" t="s">
        <v>123</v>
      </c>
      <c r="E72">
        <v>1</v>
      </c>
      <c r="F72" t="s">
        <v>3857</v>
      </c>
      <c r="G72" t="s">
        <v>124</v>
      </c>
      <c r="H72">
        <v>289</v>
      </c>
      <c r="I72">
        <v>289</v>
      </c>
      <c r="J72">
        <v>0</v>
      </c>
      <c r="K72">
        <v>0</v>
      </c>
      <c r="L72" t="s">
        <v>78</v>
      </c>
      <c r="M72" t="s">
        <v>78</v>
      </c>
      <c r="N72" t="s">
        <v>78</v>
      </c>
      <c r="O72">
        <v>0</v>
      </c>
      <c r="P72">
        <v>0</v>
      </c>
      <c r="Q72">
        <v>0</v>
      </c>
      <c r="R72" t="s">
        <v>125</v>
      </c>
      <c r="S72">
        <v>0</v>
      </c>
      <c r="T72" t="s">
        <v>80</v>
      </c>
      <c r="U72" t="s">
        <v>80</v>
      </c>
      <c r="V72" t="s">
        <v>500</v>
      </c>
      <c r="W72" t="s">
        <v>667</v>
      </c>
      <c r="X72" t="s">
        <v>668</v>
      </c>
      <c r="Y72" t="s">
        <v>669</v>
      </c>
      <c r="Z72" t="s">
        <v>80</v>
      </c>
      <c r="AA72" t="s">
        <v>85</v>
      </c>
      <c r="AC72" t="s">
        <v>670</v>
      </c>
      <c r="AD72" t="s">
        <v>87</v>
      </c>
      <c r="AH72" t="s">
        <v>227</v>
      </c>
      <c r="AI72" t="s">
        <v>92</v>
      </c>
      <c r="AJ72" t="s">
        <v>131</v>
      </c>
      <c r="AK72" t="s">
        <v>671</v>
      </c>
      <c r="AL72" t="s">
        <v>95</v>
      </c>
      <c r="AM72" t="s">
        <v>96</v>
      </c>
      <c r="AN72" t="s">
        <v>97</v>
      </c>
      <c r="AO72" t="s">
        <v>98</v>
      </c>
      <c r="AP72" t="s">
        <v>78</v>
      </c>
      <c r="AQ72" t="s">
        <v>78</v>
      </c>
      <c r="AR72" t="s">
        <v>672</v>
      </c>
      <c r="AS72" t="s">
        <v>78</v>
      </c>
      <c r="AT72" t="s">
        <v>100</v>
      </c>
      <c r="AU72" t="s">
        <v>100</v>
      </c>
      <c r="AW72" t="s">
        <v>85</v>
      </c>
      <c r="AX72" t="s">
        <v>101</v>
      </c>
      <c r="AY72" t="s">
        <v>102</v>
      </c>
      <c r="AZ72" t="s">
        <v>145</v>
      </c>
      <c r="BA72" t="s">
        <v>146</v>
      </c>
      <c r="BB72" t="s">
        <v>78</v>
      </c>
      <c r="BC72" t="s">
        <v>78</v>
      </c>
      <c r="BE72">
        <v>0</v>
      </c>
      <c r="BF72">
        <v>0</v>
      </c>
      <c r="BG72">
        <v>0</v>
      </c>
      <c r="BH72">
        <v>0</v>
      </c>
      <c r="BJ72" t="s">
        <v>85</v>
      </c>
      <c r="BP72" t="s">
        <v>78</v>
      </c>
      <c r="BQ72" t="s">
        <v>78</v>
      </c>
      <c r="BR72" t="s">
        <v>78</v>
      </c>
    </row>
    <row r="73" customFormat="1" spans="1:70">
      <c r="A73" t="s">
        <v>3932</v>
      </c>
      <c r="B73" t="s">
        <v>3932</v>
      </c>
      <c r="C73" t="s">
        <v>527</v>
      </c>
      <c r="D73" t="s">
        <v>108</v>
      </c>
      <c r="E73">
        <v>1</v>
      </c>
      <c r="F73" t="s">
        <v>3911</v>
      </c>
      <c r="G73" t="s">
        <v>674</v>
      </c>
      <c r="H73">
        <v>199</v>
      </c>
      <c r="I73">
        <v>179.25</v>
      </c>
      <c r="J73">
        <v>0</v>
      </c>
      <c r="K73">
        <v>19.75</v>
      </c>
      <c r="L73" t="s">
        <v>675</v>
      </c>
      <c r="M73" t="s">
        <v>78</v>
      </c>
      <c r="N73" t="s">
        <v>78</v>
      </c>
      <c r="O73">
        <v>0</v>
      </c>
      <c r="P73">
        <v>0</v>
      </c>
      <c r="Q73">
        <v>0</v>
      </c>
      <c r="R73" t="s">
        <v>79</v>
      </c>
      <c r="S73">
        <v>0</v>
      </c>
      <c r="T73" t="s">
        <v>80</v>
      </c>
      <c r="U73" t="s">
        <v>80</v>
      </c>
      <c r="V73" t="s">
        <v>676</v>
      </c>
      <c r="W73" t="s">
        <v>677</v>
      </c>
      <c r="X73" t="s">
        <v>678</v>
      </c>
      <c r="Y73" t="s">
        <v>679</v>
      </c>
      <c r="Z73" t="s">
        <v>80</v>
      </c>
      <c r="AA73" t="s">
        <v>85</v>
      </c>
      <c r="AC73" t="s">
        <v>680</v>
      </c>
      <c r="AD73" t="s">
        <v>87</v>
      </c>
      <c r="AG73" t="s">
        <v>681</v>
      </c>
      <c r="AH73" t="s">
        <v>227</v>
      </c>
      <c r="AI73" t="s">
        <v>216</v>
      </c>
      <c r="AJ73" t="s">
        <v>131</v>
      </c>
      <c r="AK73" t="s">
        <v>682</v>
      </c>
      <c r="AL73" t="s">
        <v>95</v>
      </c>
      <c r="AM73" t="s">
        <v>96</v>
      </c>
      <c r="AN73" t="s">
        <v>96</v>
      </c>
      <c r="AP73" t="s">
        <v>78</v>
      </c>
      <c r="AQ73" t="s">
        <v>99</v>
      </c>
      <c r="AS73" t="s">
        <v>78</v>
      </c>
      <c r="AT73" t="s">
        <v>100</v>
      </c>
      <c r="AU73" t="s">
        <v>100</v>
      </c>
      <c r="AW73" t="s">
        <v>85</v>
      </c>
      <c r="AX73" t="s">
        <v>101</v>
      </c>
      <c r="AY73" t="s">
        <v>102</v>
      </c>
      <c r="AZ73" t="s">
        <v>145</v>
      </c>
      <c r="BA73" t="s">
        <v>683</v>
      </c>
      <c r="BB73" t="s">
        <v>78</v>
      </c>
      <c r="BC73" t="s">
        <v>78</v>
      </c>
      <c r="BE73">
        <v>0</v>
      </c>
      <c r="BF73">
        <v>19.75</v>
      </c>
      <c r="BG73">
        <v>0</v>
      </c>
      <c r="BH73">
        <v>0</v>
      </c>
      <c r="BJ73" t="s">
        <v>85</v>
      </c>
      <c r="BP73" t="s">
        <v>78</v>
      </c>
      <c r="BQ73" t="s">
        <v>78</v>
      </c>
      <c r="BR73" t="s">
        <v>78</v>
      </c>
    </row>
    <row r="74" customFormat="1" spans="1:70">
      <c r="A74" t="s">
        <v>3933</v>
      </c>
      <c r="B74" t="s">
        <v>3933</v>
      </c>
      <c r="C74" t="s">
        <v>527</v>
      </c>
      <c r="D74" t="s">
        <v>108</v>
      </c>
      <c r="E74">
        <v>1</v>
      </c>
      <c r="F74" t="s">
        <v>3911</v>
      </c>
      <c r="G74" t="s">
        <v>674</v>
      </c>
      <c r="H74">
        <v>199</v>
      </c>
      <c r="I74">
        <v>199</v>
      </c>
      <c r="J74">
        <v>0</v>
      </c>
      <c r="K74">
        <v>0</v>
      </c>
      <c r="L74" t="s">
        <v>78</v>
      </c>
      <c r="M74" t="s">
        <v>78</v>
      </c>
      <c r="N74" t="s">
        <v>78</v>
      </c>
      <c r="O74">
        <v>0</v>
      </c>
      <c r="P74">
        <v>0</v>
      </c>
      <c r="Q74">
        <v>0</v>
      </c>
      <c r="R74" t="s">
        <v>79</v>
      </c>
      <c r="S74">
        <v>0</v>
      </c>
      <c r="T74" t="s">
        <v>80</v>
      </c>
      <c r="U74" t="s">
        <v>80</v>
      </c>
      <c r="V74" t="s">
        <v>583</v>
      </c>
      <c r="W74" t="s">
        <v>685</v>
      </c>
      <c r="X74" t="s">
        <v>686</v>
      </c>
      <c r="Y74" t="s">
        <v>687</v>
      </c>
      <c r="Z74" t="s">
        <v>80</v>
      </c>
      <c r="AA74" t="s">
        <v>85</v>
      </c>
      <c r="AC74" t="s">
        <v>688</v>
      </c>
      <c r="AD74" t="s">
        <v>87</v>
      </c>
      <c r="AF74" t="s">
        <v>689</v>
      </c>
      <c r="AG74" t="s">
        <v>690</v>
      </c>
      <c r="AH74" t="s">
        <v>91</v>
      </c>
      <c r="AI74" t="s">
        <v>92</v>
      </c>
      <c r="AJ74" t="s">
        <v>93</v>
      </c>
      <c r="AK74" t="s">
        <v>691</v>
      </c>
      <c r="AL74" t="s">
        <v>95</v>
      </c>
      <c r="AM74" t="s">
        <v>96</v>
      </c>
      <c r="AN74" t="s">
        <v>97</v>
      </c>
      <c r="AO74" t="s">
        <v>98</v>
      </c>
      <c r="AP74" t="s">
        <v>78</v>
      </c>
      <c r="AQ74" t="s">
        <v>78</v>
      </c>
      <c r="AS74" t="s">
        <v>78</v>
      </c>
      <c r="AT74" t="s">
        <v>100</v>
      </c>
      <c r="AU74" t="s">
        <v>100</v>
      </c>
      <c r="AW74" t="s">
        <v>85</v>
      </c>
      <c r="AX74" t="s">
        <v>101</v>
      </c>
      <c r="AY74" t="s">
        <v>102</v>
      </c>
      <c r="AZ74" t="s">
        <v>103</v>
      </c>
      <c r="BA74" t="s">
        <v>104</v>
      </c>
      <c r="BB74" t="s">
        <v>78</v>
      </c>
      <c r="BC74" t="s">
        <v>78</v>
      </c>
      <c r="BD74" t="s">
        <v>531</v>
      </c>
      <c r="BE74">
        <v>0</v>
      </c>
      <c r="BF74">
        <v>0</v>
      </c>
      <c r="BG74">
        <v>0</v>
      </c>
      <c r="BH74">
        <v>0</v>
      </c>
      <c r="BJ74" t="s">
        <v>85</v>
      </c>
      <c r="BP74" t="s">
        <v>78</v>
      </c>
      <c r="BQ74" t="s">
        <v>78</v>
      </c>
      <c r="BR74" t="s">
        <v>78</v>
      </c>
    </row>
    <row r="75" customFormat="1" spans="1:70">
      <c r="A75" t="s">
        <v>3934</v>
      </c>
      <c r="B75" t="s">
        <v>3934</v>
      </c>
      <c r="C75" t="s">
        <v>527</v>
      </c>
      <c r="D75" t="s">
        <v>135</v>
      </c>
      <c r="E75">
        <v>1</v>
      </c>
      <c r="F75" t="s">
        <v>3911</v>
      </c>
      <c r="G75" t="s">
        <v>540</v>
      </c>
      <c r="H75">
        <v>199</v>
      </c>
      <c r="I75">
        <v>199</v>
      </c>
      <c r="J75">
        <v>0</v>
      </c>
      <c r="K75">
        <v>0.84</v>
      </c>
      <c r="L75" t="s">
        <v>78</v>
      </c>
      <c r="M75" t="s">
        <v>78</v>
      </c>
      <c r="N75" t="s">
        <v>78</v>
      </c>
      <c r="O75">
        <v>0</v>
      </c>
      <c r="P75">
        <v>0.84</v>
      </c>
      <c r="Q75">
        <v>0</v>
      </c>
      <c r="R75" t="s">
        <v>125</v>
      </c>
      <c r="S75">
        <v>0</v>
      </c>
      <c r="T75" t="s">
        <v>80</v>
      </c>
      <c r="U75" t="s">
        <v>80</v>
      </c>
      <c r="V75" t="s">
        <v>509</v>
      </c>
      <c r="W75" t="s">
        <v>623</v>
      </c>
      <c r="X75" t="s">
        <v>624</v>
      </c>
      <c r="Y75" t="s">
        <v>693</v>
      </c>
      <c r="Z75" t="s">
        <v>80</v>
      </c>
      <c r="AA75" t="s">
        <v>85</v>
      </c>
      <c r="AC75" t="s">
        <v>694</v>
      </c>
      <c r="AD75" t="s">
        <v>87</v>
      </c>
      <c r="AF75" t="s">
        <v>695</v>
      </c>
      <c r="AG75" t="s">
        <v>696</v>
      </c>
      <c r="AH75" t="s">
        <v>91</v>
      </c>
      <c r="AI75" t="s">
        <v>92</v>
      </c>
      <c r="AJ75" t="s">
        <v>93</v>
      </c>
      <c r="AK75" t="s">
        <v>697</v>
      </c>
      <c r="AL75" t="s">
        <v>95</v>
      </c>
      <c r="AM75" t="s">
        <v>96</v>
      </c>
      <c r="AN75" t="s">
        <v>97</v>
      </c>
      <c r="AO75" t="s">
        <v>98</v>
      </c>
      <c r="AP75" t="s">
        <v>78</v>
      </c>
      <c r="AQ75" t="s">
        <v>78</v>
      </c>
      <c r="AS75" t="s">
        <v>78</v>
      </c>
      <c r="AT75" t="s">
        <v>100</v>
      </c>
      <c r="AU75" t="s">
        <v>100</v>
      </c>
      <c r="AW75" t="s">
        <v>85</v>
      </c>
      <c r="AX75" t="s">
        <v>101</v>
      </c>
      <c r="AY75" t="s">
        <v>102</v>
      </c>
      <c r="AZ75" t="s">
        <v>103</v>
      </c>
      <c r="BA75" t="s">
        <v>133</v>
      </c>
      <c r="BB75" t="s">
        <v>78</v>
      </c>
      <c r="BC75" t="s">
        <v>78</v>
      </c>
      <c r="BD75" t="s">
        <v>698</v>
      </c>
      <c r="BE75">
        <v>0</v>
      </c>
      <c r="BF75">
        <v>0</v>
      </c>
      <c r="BG75">
        <v>0</v>
      </c>
      <c r="BH75">
        <v>0</v>
      </c>
      <c r="BJ75" t="s">
        <v>85</v>
      </c>
      <c r="BP75" t="s">
        <v>78</v>
      </c>
      <c r="BQ75" t="s">
        <v>78</v>
      </c>
      <c r="BR75" t="s">
        <v>78</v>
      </c>
    </row>
    <row r="76" customFormat="1" spans="1:70">
      <c r="A76" t="s">
        <v>3935</v>
      </c>
      <c r="B76" t="s">
        <v>3935</v>
      </c>
      <c r="C76" t="s">
        <v>107</v>
      </c>
      <c r="D76" t="s">
        <v>123</v>
      </c>
      <c r="E76">
        <v>1</v>
      </c>
      <c r="F76" t="s">
        <v>3857</v>
      </c>
      <c r="G76" t="s">
        <v>124</v>
      </c>
      <c r="H76">
        <v>289</v>
      </c>
      <c r="I76">
        <v>289</v>
      </c>
      <c r="J76">
        <v>0</v>
      </c>
      <c r="K76">
        <v>0</v>
      </c>
      <c r="L76" t="s">
        <v>78</v>
      </c>
      <c r="M76" t="s">
        <v>78</v>
      </c>
      <c r="N76" t="s">
        <v>78</v>
      </c>
      <c r="O76">
        <v>0</v>
      </c>
      <c r="P76">
        <v>0</v>
      </c>
      <c r="Q76">
        <v>0</v>
      </c>
      <c r="R76" t="s">
        <v>111</v>
      </c>
      <c r="S76">
        <v>0</v>
      </c>
      <c r="T76" t="s">
        <v>80</v>
      </c>
      <c r="U76" t="s">
        <v>80</v>
      </c>
      <c r="V76" t="s">
        <v>161</v>
      </c>
      <c r="W76" t="s">
        <v>161</v>
      </c>
      <c r="X76" t="s">
        <v>162</v>
      </c>
      <c r="Y76" t="s">
        <v>700</v>
      </c>
      <c r="Z76" t="s">
        <v>80</v>
      </c>
      <c r="AA76" t="s">
        <v>85</v>
      </c>
      <c r="AC76" t="s">
        <v>701</v>
      </c>
      <c r="AD76" t="s">
        <v>202</v>
      </c>
      <c r="AE76" t="s">
        <v>702</v>
      </c>
      <c r="AG76" t="s">
        <v>703</v>
      </c>
      <c r="AH76" t="s">
        <v>91</v>
      </c>
      <c r="AI76" t="s">
        <v>216</v>
      </c>
      <c r="AJ76" t="s">
        <v>131</v>
      </c>
      <c r="AK76" t="s">
        <v>704</v>
      </c>
      <c r="AL76" t="s">
        <v>95</v>
      </c>
      <c r="AM76" t="s">
        <v>96</v>
      </c>
      <c r="AN76" t="s">
        <v>96</v>
      </c>
      <c r="AP76" t="s">
        <v>78</v>
      </c>
      <c r="AQ76" t="s">
        <v>99</v>
      </c>
      <c r="AS76" t="s">
        <v>78</v>
      </c>
      <c r="AT76" t="s">
        <v>100</v>
      </c>
      <c r="AU76" t="s">
        <v>100</v>
      </c>
      <c r="AW76" t="s">
        <v>85</v>
      </c>
      <c r="AX76" t="s">
        <v>101</v>
      </c>
      <c r="AY76" t="s">
        <v>102</v>
      </c>
      <c r="AZ76" t="s">
        <v>145</v>
      </c>
      <c r="BA76" t="s">
        <v>525</v>
      </c>
      <c r="BB76" t="s">
        <v>78</v>
      </c>
      <c r="BC76" t="s">
        <v>78</v>
      </c>
      <c r="BD76" t="s">
        <v>705</v>
      </c>
      <c r="BE76">
        <v>0</v>
      </c>
      <c r="BF76">
        <v>0</v>
      </c>
      <c r="BG76">
        <v>0</v>
      </c>
      <c r="BH76">
        <v>0</v>
      </c>
      <c r="BJ76" t="s">
        <v>85</v>
      </c>
      <c r="BP76" t="s">
        <v>78</v>
      </c>
      <c r="BQ76" t="s">
        <v>78</v>
      </c>
      <c r="BR76" t="s">
        <v>78</v>
      </c>
    </row>
    <row r="77" customFormat="1" spans="1:70">
      <c r="A77" t="s">
        <v>3936</v>
      </c>
      <c r="B77" t="s">
        <v>3936</v>
      </c>
      <c r="C77" t="s">
        <v>107</v>
      </c>
      <c r="D77" t="s">
        <v>135</v>
      </c>
      <c r="E77">
        <v>1</v>
      </c>
      <c r="F77" t="s">
        <v>3857</v>
      </c>
      <c r="G77" t="s">
        <v>136</v>
      </c>
      <c r="H77">
        <v>289</v>
      </c>
      <c r="I77">
        <v>253.32</v>
      </c>
      <c r="J77">
        <v>0</v>
      </c>
      <c r="K77">
        <v>35.68</v>
      </c>
      <c r="L77" t="s">
        <v>707</v>
      </c>
      <c r="M77" t="s">
        <v>78</v>
      </c>
      <c r="N77" t="s">
        <v>78</v>
      </c>
      <c r="O77">
        <v>0</v>
      </c>
      <c r="P77">
        <v>0</v>
      </c>
      <c r="Q77">
        <v>0</v>
      </c>
      <c r="R77" t="s">
        <v>125</v>
      </c>
      <c r="S77">
        <v>0</v>
      </c>
      <c r="T77" t="s">
        <v>80</v>
      </c>
      <c r="U77" t="s">
        <v>80</v>
      </c>
      <c r="V77" t="s">
        <v>464</v>
      </c>
      <c r="W77" t="s">
        <v>542</v>
      </c>
      <c r="X77" t="s">
        <v>543</v>
      </c>
      <c r="Y77" t="s">
        <v>544</v>
      </c>
      <c r="Z77" t="s">
        <v>80</v>
      </c>
      <c r="AA77" t="s">
        <v>85</v>
      </c>
      <c r="AC77" t="s">
        <v>708</v>
      </c>
      <c r="AD77" t="s">
        <v>87</v>
      </c>
      <c r="AG77" t="s">
        <v>709</v>
      </c>
      <c r="AH77" t="s">
        <v>91</v>
      </c>
      <c r="AI77" t="s">
        <v>92</v>
      </c>
      <c r="AJ77" t="s">
        <v>131</v>
      </c>
      <c r="AK77" t="s">
        <v>710</v>
      </c>
      <c r="AL77" t="s">
        <v>95</v>
      </c>
      <c r="AM77" t="s">
        <v>96</v>
      </c>
      <c r="AN77" t="s">
        <v>97</v>
      </c>
      <c r="AO77" t="s">
        <v>98</v>
      </c>
      <c r="AP77" t="s">
        <v>78</v>
      </c>
      <c r="AQ77" t="s">
        <v>99</v>
      </c>
      <c r="AS77" t="s">
        <v>78</v>
      </c>
      <c r="AT77" t="s">
        <v>100</v>
      </c>
      <c r="AU77" t="s">
        <v>100</v>
      </c>
      <c r="AW77" t="s">
        <v>85</v>
      </c>
      <c r="AX77" t="s">
        <v>101</v>
      </c>
      <c r="AY77" t="s">
        <v>102</v>
      </c>
      <c r="AZ77" t="s">
        <v>103</v>
      </c>
      <c r="BA77" t="s">
        <v>218</v>
      </c>
      <c r="BB77" t="s">
        <v>78</v>
      </c>
      <c r="BC77" t="s">
        <v>78</v>
      </c>
      <c r="BE77">
        <v>0</v>
      </c>
      <c r="BF77">
        <v>35.68</v>
      </c>
      <c r="BG77">
        <v>0</v>
      </c>
      <c r="BH77">
        <v>0</v>
      </c>
      <c r="BJ77" t="s">
        <v>85</v>
      </c>
      <c r="BP77" t="s">
        <v>78</v>
      </c>
      <c r="BQ77" t="s">
        <v>78</v>
      </c>
      <c r="BR77" t="s">
        <v>78</v>
      </c>
    </row>
    <row r="78" customFormat="1" spans="1:70">
      <c r="A78" t="s">
        <v>3937</v>
      </c>
      <c r="B78" t="s">
        <v>3937</v>
      </c>
      <c r="C78" t="s">
        <v>107</v>
      </c>
      <c r="D78" t="s">
        <v>108</v>
      </c>
      <c r="E78">
        <v>1</v>
      </c>
      <c r="F78" t="s">
        <v>3857</v>
      </c>
      <c r="G78" t="s">
        <v>110</v>
      </c>
      <c r="H78">
        <v>289</v>
      </c>
      <c r="I78">
        <v>234</v>
      </c>
      <c r="J78">
        <v>0</v>
      </c>
      <c r="K78">
        <v>55</v>
      </c>
      <c r="L78" t="s">
        <v>712</v>
      </c>
      <c r="M78" t="s">
        <v>78</v>
      </c>
      <c r="N78" t="s">
        <v>78</v>
      </c>
      <c r="O78">
        <v>0</v>
      </c>
      <c r="P78">
        <v>0</v>
      </c>
      <c r="Q78">
        <v>0</v>
      </c>
      <c r="R78" t="s">
        <v>125</v>
      </c>
      <c r="S78">
        <v>0</v>
      </c>
      <c r="T78" t="s">
        <v>80</v>
      </c>
      <c r="U78" t="s">
        <v>80</v>
      </c>
      <c r="V78" t="s">
        <v>126</v>
      </c>
      <c r="W78" t="s">
        <v>377</v>
      </c>
      <c r="X78" t="s">
        <v>378</v>
      </c>
      <c r="Y78" t="s">
        <v>78</v>
      </c>
      <c r="Z78" t="s">
        <v>80</v>
      </c>
      <c r="AA78" t="s">
        <v>85</v>
      </c>
      <c r="AC78" t="s">
        <v>713</v>
      </c>
      <c r="AD78" t="s">
        <v>87</v>
      </c>
      <c r="AG78" t="s">
        <v>714</v>
      </c>
      <c r="AH78" t="s">
        <v>227</v>
      </c>
      <c r="AI78" t="s">
        <v>92</v>
      </c>
      <c r="AJ78" t="s">
        <v>131</v>
      </c>
      <c r="AK78" t="s">
        <v>715</v>
      </c>
      <c r="AL78" t="s">
        <v>95</v>
      </c>
      <c r="AM78" t="s">
        <v>96</v>
      </c>
      <c r="AN78" t="s">
        <v>97</v>
      </c>
      <c r="AO78" t="s">
        <v>98</v>
      </c>
      <c r="AP78" t="s">
        <v>78</v>
      </c>
      <c r="AQ78" t="s">
        <v>99</v>
      </c>
      <c r="AS78" t="s">
        <v>78</v>
      </c>
      <c r="AT78" t="s">
        <v>100</v>
      </c>
      <c r="AU78" t="s">
        <v>100</v>
      </c>
      <c r="AW78" t="s">
        <v>85</v>
      </c>
      <c r="AX78" t="s">
        <v>103</v>
      </c>
      <c r="AY78" t="s">
        <v>159</v>
      </c>
      <c r="AZ78" t="s">
        <v>103</v>
      </c>
      <c r="BA78" t="s">
        <v>104</v>
      </c>
      <c r="BB78" t="s">
        <v>78</v>
      </c>
      <c r="BC78" t="s">
        <v>78</v>
      </c>
      <c r="BE78">
        <v>0</v>
      </c>
      <c r="BF78">
        <v>55</v>
      </c>
      <c r="BG78">
        <v>0</v>
      </c>
      <c r="BH78">
        <v>0</v>
      </c>
      <c r="BJ78" t="s">
        <v>85</v>
      </c>
      <c r="BP78" t="s">
        <v>78</v>
      </c>
      <c r="BQ78" t="s">
        <v>78</v>
      </c>
      <c r="BR78" t="s">
        <v>78</v>
      </c>
    </row>
    <row r="79" customFormat="1" spans="1:70">
      <c r="A79" t="s">
        <v>3938</v>
      </c>
      <c r="B79" t="s">
        <v>3938</v>
      </c>
      <c r="C79" t="s">
        <v>107</v>
      </c>
      <c r="D79" t="s">
        <v>108</v>
      </c>
      <c r="E79">
        <v>1</v>
      </c>
      <c r="F79" t="s">
        <v>3857</v>
      </c>
      <c r="G79" t="s">
        <v>110</v>
      </c>
      <c r="H79">
        <v>289</v>
      </c>
      <c r="I79">
        <v>289</v>
      </c>
      <c r="J79">
        <v>0</v>
      </c>
      <c r="K79">
        <v>0</v>
      </c>
      <c r="L79" t="s">
        <v>78</v>
      </c>
      <c r="M79" t="s">
        <v>78</v>
      </c>
      <c r="N79" t="s">
        <v>78</v>
      </c>
      <c r="O79">
        <v>0</v>
      </c>
      <c r="P79">
        <v>0</v>
      </c>
      <c r="Q79">
        <v>0</v>
      </c>
      <c r="R79" t="s">
        <v>79</v>
      </c>
      <c r="S79">
        <v>0</v>
      </c>
      <c r="T79" t="s">
        <v>80</v>
      </c>
      <c r="U79" t="s">
        <v>80</v>
      </c>
      <c r="V79" t="s">
        <v>271</v>
      </c>
      <c r="W79" t="s">
        <v>717</v>
      </c>
      <c r="X79" t="s">
        <v>718</v>
      </c>
      <c r="Y79" t="s">
        <v>719</v>
      </c>
      <c r="Z79" t="s">
        <v>80</v>
      </c>
      <c r="AA79" t="s">
        <v>85</v>
      </c>
      <c r="AC79" t="s">
        <v>720</v>
      </c>
      <c r="AD79" t="s">
        <v>87</v>
      </c>
      <c r="AF79" t="s">
        <v>721</v>
      </c>
      <c r="AG79" t="s">
        <v>722</v>
      </c>
      <c r="AH79" t="s">
        <v>91</v>
      </c>
      <c r="AI79" t="s">
        <v>92</v>
      </c>
      <c r="AJ79" t="s">
        <v>93</v>
      </c>
      <c r="AK79" t="s">
        <v>723</v>
      </c>
      <c r="AL79" t="s">
        <v>95</v>
      </c>
      <c r="AM79" t="s">
        <v>96</v>
      </c>
      <c r="AN79" t="s">
        <v>97</v>
      </c>
      <c r="AO79" t="s">
        <v>98</v>
      </c>
      <c r="AP79" t="s">
        <v>78</v>
      </c>
      <c r="AQ79" t="s">
        <v>78</v>
      </c>
      <c r="AS79" t="s">
        <v>78</v>
      </c>
      <c r="AT79" t="s">
        <v>100</v>
      </c>
      <c r="AU79" t="s">
        <v>100</v>
      </c>
      <c r="AW79" t="s">
        <v>85</v>
      </c>
      <c r="AX79" t="s">
        <v>101</v>
      </c>
      <c r="AY79" t="s">
        <v>102</v>
      </c>
      <c r="AZ79" t="s">
        <v>103</v>
      </c>
      <c r="BA79" t="s">
        <v>133</v>
      </c>
      <c r="BB79" t="s">
        <v>78</v>
      </c>
      <c r="BC79" t="s">
        <v>78</v>
      </c>
      <c r="BD79" t="s">
        <v>724</v>
      </c>
      <c r="BE79">
        <v>0</v>
      </c>
      <c r="BF79">
        <v>0</v>
      </c>
      <c r="BG79">
        <v>0</v>
      </c>
      <c r="BH79">
        <v>0</v>
      </c>
      <c r="BJ79" t="s">
        <v>85</v>
      </c>
      <c r="BP79" t="s">
        <v>78</v>
      </c>
      <c r="BQ79" t="s">
        <v>78</v>
      </c>
      <c r="BR79" t="s">
        <v>78</v>
      </c>
    </row>
    <row r="80" customFormat="1" spans="1:70">
      <c r="A80" t="s">
        <v>3939</v>
      </c>
      <c r="B80" t="s">
        <v>3939</v>
      </c>
      <c r="C80" t="s">
        <v>107</v>
      </c>
      <c r="D80" t="s">
        <v>108</v>
      </c>
      <c r="E80">
        <v>1</v>
      </c>
      <c r="F80" t="s">
        <v>3857</v>
      </c>
      <c r="G80" t="s">
        <v>110</v>
      </c>
      <c r="H80">
        <v>289</v>
      </c>
      <c r="I80">
        <v>264.29</v>
      </c>
      <c r="J80">
        <v>0</v>
      </c>
      <c r="K80">
        <v>24.71</v>
      </c>
      <c r="L80" t="s">
        <v>726</v>
      </c>
      <c r="M80" t="s">
        <v>78</v>
      </c>
      <c r="N80" t="s">
        <v>78</v>
      </c>
      <c r="O80">
        <v>0</v>
      </c>
      <c r="P80">
        <v>0</v>
      </c>
      <c r="Q80">
        <v>0</v>
      </c>
      <c r="R80" t="s">
        <v>79</v>
      </c>
      <c r="S80">
        <v>0</v>
      </c>
      <c r="T80" t="s">
        <v>80</v>
      </c>
      <c r="U80" t="s">
        <v>80</v>
      </c>
      <c r="V80" t="s">
        <v>347</v>
      </c>
      <c r="W80" t="s">
        <v>727</v>
      </c>
      <c r="X80" t="s">
        <v>728</v>
      </c>
      <c r="Y80" t="s">
        <v>729</v>
      </c>
      <c r="Z80" t="s">
        <v>80</v>
      </c>
      <c r="AA80" t="s">
        <v>85</v>
      </c>
      <c r="AC80" t="s">
        <v>730</v>
      </c>
      <c r="AD80" t="s">
        <v>87</v>
      </c>
      <c r="AG80" t="s">
        <v>731</v>
      </c>
      <c r="AH80" t="s">
        <v>227</v>
      </c>
      <c r="AI80" t="s">
        <v>92</v>
      </c>
      <c r="AJ80" t="s">
        <v>131</v>
      </c>
      <c r="AK80" t="s">
        <v>732</v>
      </c>
      <c r="AL80" t="s">
        <v>95</v>
      </c>
      <c r="AM80" t="s">
        <v>96</v>
      </c>
      <c r="AN80" t="s">
        <v>97</v>
      </c>
      <c r="AO80" t="s">
        <v>98</v>
      </c>
      <c r="AP80" t="s">
        <v>78</v>
      </c>
      <c r="AQ80" t="s">
        <v>99</v>
      </c>
      <c r="AS80" t="s">
        <v>78</v>
      </c>
      <c r="AT80" t="s">
        <v>100</v>
      </c>
      <c r="AU80" t="s">
        <v>100</v>
      </c>
      <c r="AW80" t="s">
        <v>85</v>
      </c>
      <c r="AX80" t="s">
        <v>101</v>
      </c>
      <c r="AY80" t="s">
        <v>102</v>
      </c>
      <c r="AZ80" t="s">
        <v>103</v>
      </c>
      <c r="BA80" t="s">
        <v>683</v>
      </c>
      <c r="BB80" t="s">
        <v>78</v>
      </c>
      <c r="BC80" t="s">
        <v>78</v>
      </c>
      <c r="BE80">
        <v>0</v>
      </c>
      <c r="BF80">
        <v>24.71</v>
      </c>
      <c r="BG80">
        <v>0</v>
      </c>
      <c r="BH80">
        <v>0</v>
      </c>
      <c r="BJ80" t="s">
        <v>85</v>
      </c>
      <c r="BP80" t="s">
        <v>78</v>
      </c>
      <c r="BQ80" t="s">
        <v>78</v>
      </c>
      <c r="BR80" t="s">
        <v>78</v>
      </c>
    </row>
    <row r="81" customFormat="1" spans="1:70">
      <c r="A81" t="s">
        <v>3940</v>
      </c>
      <c r="B81" t="s">
        <v>3940</v>
      </c>
      <c r="C81" t="s">
        <v>527</v>
      </c>
      <c r="D81" t="s">
        <v>108</v>
      </c>
      <c r="E81">
        <v>1</v>
      </c>
      <c r="F81" t="s">
        <v>3911</v>
      </c>
      <c r="G81" t="s">
        <v>674</v>
      </c>
      <c r="H81">
        <v>199</v>
      </c>
      <c r="I81">
        <v>173.97</v>
      </c>
      <c r="J81">
        <v>0</v>
      </c>
      <c r="K81">
        <v>25.03</v>
      </c>
      <c r="L81" t="s">
        <v>734</v>
      </c>
      <c r="M81" t="s">
        <v>78</v>
      </c>
      <c r="N81" t="s">
        <v>78</v>
      </c>
      <c r="O81">
        <v>0</v>
      </c>
      <c r="P81">
        <v>0</v>
      </c>
      <c r="Q81">
        <v>0</v>
      </c>
      <c r="R81" t="s">
        <v>79</v>
      </c>
      <c r="S81">
        <v>0</v>
      </c>
      <c r="T81" t="s">
        <v>80</v>
      </c>
      <c r="U81" t="s">
        <v>80</v>
      </c>
      <c r="V81" t="s">
        <v>152</v>
      </c>
      <c r="W81" t="s">
        <v>153</v>
      </c>
      <c r="X81" t="s">
        <v>154</v>
      </c>
      <c r="Y81" t="s">
        <v>735</v>
      </c>
      <c r="Z81" t="s">
        <v>80</v>
      </c>
      <c r="AA81" t="s">
        <v>85</v>
      </c>
      <c r="AC81" t="s">
        <v>736</v>
      </c>
      <c r="AD81" t="s">
        <v>87</v>
      </c>
      <c r="AG81" t="s">
        <v>737</v>
      </c>
      <c r="AH81" t="s">
        <v>91</v>
      </c>
      <c r="AI81" t="s">
        <v>92</v>
      </c>
      <c r="AJ81" t="s">
        <v>131</v>
      </c>
      <c r="AK81" t="s">
        <v>738</v>
      </c>
      <c r="AL81" t="s">
        <v>95</v>
      </c>
      <c r="AM81" t="s">
        <v>96</v>
      </c>
      <c r="AN81" t="s">
        <v>97</v>
      </c>
      <c r="AO81" t="s">
        <v>98</v>
      </c>
      <c r="AP81" t="s">
        <v>78</v>
      </c>
      <c r="AQ81" t="s">
        <v>99</v>
      </c>
      <c r="AS81" t="s">
        <v>78</v>
      </c>
      <c r="AT81" t="s">
        <v>100</v>
      </c>
      <c r="AU81" t="s">
        <v>100</v>
      </c>
      <c r="AW81" t="s">
        <v>85</v>
      </c>
      <c r="AX81" t="s">
        <v>103</v>
      </c>
      <c r="AY81" t="s">
        <v>159</v>
      </c>
      <c r="AZ81" t="s">
        <v>103</v>
      </c>
      <c r="BA81" t="s">
        <v>104</v>
      </c>
      <c r="BB81" t="s">
        <v>78</v>
      </c>
      <c r="BC81" t="s">
        <v>78</v>
      </c>
      <c r="BE81">
        <v>0</v>
      </c>
      <c r="BF81">
        <v>25.03</v>
      </c>
      <c r="BG81">
        <v>0</v>
      </c>
      <c r="BH81">
        <v>0</v>
      </c>
      <c r="BJ81" t="s">
        <v>85</v>
      </c>
      <c r="BP81" t="s">
        <v>78</v>
      </c>
      <c r="BQ81" t="s">
        <v>78</v>
      </c>
      <c r="BR81" t="s">
        <v>78</v>
      </c>
    </row>
    <row r="82" customFormat="1" spans="1:70">
      <c r="A82" t="s">
        <v>3941</v>
      </c>
      <c r="B82" t="s">
        <v>3941</v>
      </c>
      <c r="C82" t="s">
        <v>107</v>
      </c>
      <c r="D82" t="s">
        <v>108</v>
      </c>
      <c r="E82">
        <v>1</v>
      </c>
      <c r="F82" t="s">
        <v>3857</v>
      </c>
      <c r="G82" t="s">
        <v>110</v>
      </c>
      <c r="H82">
        <v>289</v>
      </c>
      <c r="I82">
        <v>259.05</v>
      </c>
      <c r="J82">
        <v>0</v>
      </c>
      <c r="K82">
        <v>29.95</v>
      </c>
      <c r="L82" t="s">
        <v>740</v>
      </c>
      <c r="M82" t="s">
        <v>78</v>
      </c>
      <c r="N82" t="s">
        <v>78</v>
      </c>
      <c r="O82">
        <v>0</v>
      </c>
      <c r="P82">
        <v>0</v>
      </c>
      <c r="Q82">
        <v>0</v>
      </c>
      <c r="R82" t="s">
        <v>79</v>
      </c>
      <c r="S82">
        <v>0</v>
      </c>
      <c r="T82" t="s">
        <v>80</v>
      </c>
      <c r="U82" t="s">
        <v>80</v>
      </c>
      <c r="V82" t="s">
        <v>126</v>
      </c>
      <c r="W82" t="s">
        <v>518</v>
      </c>
      <c r="X82" t="s">
        <v>741</v>
      </c>
      <c r="Y82" t="s">
        <v>742</v>
      </c>
      <c r="Z82" t="s">
        <v>80</v>
      </c>
      <c r="AA82" t="s">
        <v>85</v>
      </c>
      <c r="AC82" t="s">
        <v>743</v>
      </c>
      <c r="AD82" t="s">
        <v>87</v>
      </c>
      <c r="AF82" t="s">
        <v>744</v>
      </c>
      <c r="AG82" t="s">
        <v>745</v>
      </c>
      <c r="AH82" t="s">
        <v>91</v>
      </c>
      <c r="AI82" t="s">
        <v>92</v>
      </c>
      <c r="AJ82" t="s">
        <v>93</v>
      </c>
      <c r="AK82" t="s">
        <v>746</v>
      </c>
      <c r="AL82" t="s">
        <v>95</v>
      </c>
      <c r="AM82" t="s">
        <v>96</v>
      </c>
      <c r="AN82" t="s">
        <v>97</v>
      </c>
      <c r="AO82" t="s">
        <v>98</v>
      </c>
      <c r="AP82" t="s">
        <v>78</v>
      </c>
      <c r="AQ82" t="s">
        <v>78</v>
      </c>
      <c r="AS82" t="s">
        <v>78</v>
      </c>
      <c r="AT82" t="s">
        <v>100</v>
      </c>
      <c r="AU82" t="s">
        <v>100</v>
      </c>
      <c r="AW82" t="s">
        <v>85</v>
      </c>
      <c r="AX82" t="s">
        <v>101</v>
      </c>
      <c r="AY82" t="s">
        <v>102</v>
      </c>
      <c r="AZ82" t="s">
        <v>103</v>
      </c>
      <c r="BA82" t="s">
        <v>218</v>
      </c>
      <c r="BB82" t="s">
        <v>78</v>
      </c>
      <c r="BC82" t="s">
        <v>78</v>
      </c>
      <c r="BD82" t="s">
        <v>747</v>
      </c>
      <c r="BE82">
        <v>0</v>
      </c>
      <c r="BF82">
        <v>29.95</v>
      </c>
      <c r="BG82">
        <v>0</v>
      </c>
      <c r="BH82">
        <v>0</v>
      </c>
      <c r="BJ82" t="s">
        <v>85</v>
      </c>
      <c r="BP82" t="s">
        <v>78</v>
      </c>
      <c r="BQ82" t="s">
        <v>78</v>
      </c>
      <c r="BR82" t="s">
        <v>78</v>
      </c>
    </row>
    <row r="83" customFormat="1" spans="1:70">
      <c r="A83" t="s">
        <v>3942</v>
      </c>
      <c r="B83" t="s">
        <v>3942</v>
      </c>
      <c r="C83" t="s">
        <v>107</v>
      </c>
      <c r="D83" t="s">
        <v>108</v>
      </c>
      <c r="E83">
        <v>1</v>
      </c>
      <c r="F83" t="s">
        <v>3857</v>
      </c>
      <c r="G83" t="s">
        <v>110</v>
      </c>
      <c r="H83">
        <v>289</v>
      </c>
      <c r="I83">
        <v>250.81</v>
      </c>
      <c r="J83">
        <v>0</v>
      </c>
      <c r="K83">
        <v>38.19</v>
      </c>
      <c r="L83" t="s">
        <v>749</v>
      </c>
      <c r="M83" t="s">
        <v>78</v>
      </c>
      <c r="N83" t="s">
        <v>78</v>
      </c>
      <c r="O83">
        <v>0</v>
      </c>
      <c r="P83">
        <v>0</v>
      </c>
      <c r="Q83">
        <v>0</v>
      </c>
      <c r="R83" t="s">
        <v>79</v>
      </c>
      <c r="S83">
        <v>0</v>
      </c>
      <c r="T83" t="s">
        <v>80</v>
      </c>
      <c r="U83" t="s">
        <v>80</v>
      </c>
      <c r="V83" t="s">
        <v>500</v>
      </c>
      <c r="W83" t="s">
        <v>501</v>
      </c>
      <c r="X83" t="s">
        <v>750</v>
      </c>
      <c r="Y83" t="s">
        <v>751</v>
      </c>
      <c r="Z83" t="s">
        <v>80</v>
      </c>
      <c r="AA83" t="s">
        <v>85</v>
      </c>
      <c r="AC83" t="s">
        <v>752</v>
      </c>
      <c r="AD83" t="s">
        <v>202</v>
      </c>
      <c r="AE83" t="s">
        <v>753</v>
      </c>
      <c r="AG83" t="s">
        <v>754</v>
      </c>
      <c r="AH83" t="s">
        <v>91</v>
      </c>
      <c r="AI83" t="s">
        <v>92</v>
      </c>
      <c r="AJ83" t="s">
        <v>131</v>
      </c>
      <c r="AK83" t="s">
        <v>755</v>
      </c>
      <c r="AL83" t="s">
        <v>95</v>
      </c>
      <c r="AM83" t="s">
        <v>96</v>
      </c>
      <c r="AN83" t="s">
        <v>97</v>
      </c>
      <c r="AO83" t="s">
        <v>98</v>
      </c>
      <c r="AP83" t="s">
        <v>78</v>
      </c>
      <c r="AQ83" t="s">
        <v>99</v>
      </c>
      <c r="AS83" t="s">
        <v>78</v>
      </c>
      <c r="AT83" t="s">
        <v>100</v>
      </c>
      <c r="AU83" t="s">
        <v>100</v>
      </c>
      <c r="AW83" t="s">
        <v>85</v>
      </c>
      <c r="AX83" t="s">
        <v>101</v>
      </c>
      <c r="AY83" t="s">
        <v>102</v>
      </c>
      <c r="AZ83" t="s">
        <v>103</v>
      </c>
      <c r="BA83" t="s">
        <v>133</v>
      </c>
      <c r="BB83" t="s">
        <v>78</v>
      </c>
      <c r="BC83" t="s">
        <v>78</v>
      </c>
      <c r="BD83" t="s">
        <v>756</v>
      </c>
      <c r="BE83">
        <v>0</v>
      </c>
      <c r="BF83">
        <v>38.19</v>
      </c>
      <c r="BG83">
        <v>0</v>
      </c>
      <c r="BH83">
        <v>0</v>
      </c>
      <c r="BJ83" t="s">
        <v>85</v>
      </c>
      <c r="BP83" t="s">
        <v>78</v>
      </c>
      <c r="BQ83" t="s">
        <v>78</v>
      </c>
      <c r="BR83" t="s">
        <v>78</v>
      </c>
    </row>
    <row r="84" customFormat="1" spans="1:70">
      <c r="A84" t="s">
        <v>3943</v>
      </c>
      <c r="B84" t="s">
        <v>3943</v>
      </c>
      <c r="C84" t="s">
        <v>107</v>
      </c>
      <c r="D84" t="s">
        <v>123</v>
      </c>
      <c r="E84">
        <v>1</v>
      </c>
      <c r="F84" t="s">
        <v>3857</v>
      </c>
      <c r="G84" t="s">
        <v>124</v>
      </c>
      <c r="H84">
        <v>289</v>
      </c>
      <c r="I84">
        <v>289</v>
      </c>
      <c r="J84">
        <v>0</v>
      </c>
      <c r="K84">
        <v>0</v>
      </c>
      <c r="L84" t="s">
        <v>78</v>
      </c>
      <c r="M84" t="s">
        <v>78</v>
      </c>
      <c r="N84" t="s">
        <v>78</v>
      </c>
      <c r="O84">
        <v>0</v>
      </c>
      <c r="P84">
        <v>0</v>
      </c>
      <c r="Q84">
        <v>0</v>
      </c>
      <c r="R84" t="s">
        <v>79</v>
      </c>
      <c r="S84">
        <v>0</v>
      </c>
      <c r="T84" t="s">
        <v>80</v>
      </c>
      <c r="U84" t="s">
        <v>80</v>
      </c>
      <c r="V84" t="s">
        <v>574</v>
      </c>
      <c r="W84" t="s">
        <v>574</v>
      </c>
      <c r="X84" t="s">
        <v>575</v>
      </c>
      <c r="Y84" t="s">
        <v>660</v>
      </c>
      <c r="Z84" t="s">
        <v>80</v>
      </c>
      <c r="AA84" t="s">
        <v>85</v>
      </c>
      <c r="AC84" t="s">
        <v>758</v>
      </c>
      <c r="AD84" t="s">
        <v>202</v>
      </c>
      <c r="AE84" t="s">
        <v>759</v>
      </c>
      <c r="AG84" t="s">
        <v>760</v>
      </c>
      <c r="AH84" t="s">
        <v>91</v>
      </c>
      <c r="AI84" t="s">
        <v>92</v>
      </c>
      <c r="AJ84" t="s">
        <v>131</v>
      </c>
      <c r="AK84" t="s">
        <v>761</v>
      </c>
      <c r="AL84" t="s">
        <v>95</v>
      </c>
      <c r="AM84" t="s">
        <v>96</v>
      </c>
      <c r="AN84" t="s">
        <v>97</v>
      </c>
      <c r="AO84" t="s">
        <v>98</v>
      </c>
      <c r="AP84" t="s">
        <v>78</v>
      </c>
      <c r="AQ84" t="s">
        <v>99</v>
      </c>
      <c r="AS84" t="s">
        <v>78</v>
      </c>
      <c r="AT84" t="s">
        <v>100</v>
      </c>
      <c r="AU84" t="s">
        <v>100</v>
      </c>
      <c r="AW84" t="s">
        <v>85</v>
      </c>
      <c r="AX84" t="s">
        <v>101</v>
      </c>
      <c r="AY84" t="s">
        <v>102</v>
      </c>
      <c r="AZ84" t="s">
        <v>103</v>
      </c>
      <c r="BA84" t="s">
        <v>120</v>
      </c>
      <c r="BB84" t="s">
        <v>78</v>
      </c>
      <c r="BC84" t="s">
        <v>78</v>
      </c>
      <c r="BD84" t="s">
        <v>705</v>
      </c>
      <c r="BE84">
        <v>0</v>
      </c>
      <c r="BF84">
        <v>0</v>
      </c>
      <c r="BG84">
        <v>0</v>
      </c>
      <c r="BH84">
        <v>0</v>
      </c>
      <c r="BJ84" t="s">
        <v>85</v>
      </c>
      <c r="BP84" t="s">
        <v>78</v>
      </c>
      <c r="BQ84" t="s">
        <v>78</v>
      </c>
      <c r="BR84" t="s">
        <v>78</v>
      </c>
    </row>
    <row r="85" customFormat="1" spans="1:70">
      <c r="A85" t="s">
        <v>3944</v>
      </c>
      <c r="B85" t="s">
        <v>3944</v>
      </c>
      <c r="C85" t="s">
        <v>527</v>
      </c>
      <c r="D85" t="s">
        <v>123</v>
      </c>
      <c r="E85">
        <v>1</v>
      </c>
      <c r="F85" t="s">
        <v>3911</v>
      </c>
      <c r="G85" t="s">
        <v>529</v>
      </c>
      <c r="H85">
        <v>199</v>
      </c>
      <c r="I85">
        <v>199</v>
      </c>
      <c r="J85">
        <v>0</v>
      </c>
      <c r="K85">
        <v>0</v>
      </c>
      <c r="L85" t="s">
        <v>78</v>
      </c>
      <c r="M85" t="s">
        <v>78</v>
      </c>
      <c r="N85" t="s">
        <v>78</v>
      </c>
      <c r="O85">
        <v>0</v>
      </c>
      <c r="P85">
        <v>0</v>
      </c>
      <c r="Q85">
        <v>0</v>
      </c>
      <c r="R85" t="s">
        <v>79</v>
      </c>
      <c r="S85">
        <v>0</v>
      </c>
      <c r="T85" t="s">
        <v>80</v>
      </c>
      <c r="U85" t="s">
        <v>80</v>
      </c>
      <c r="V85" t="s">
        <v>574</v>
      </c>
      <c r="W85" t="s">
        <v>574</v>
      </c>
      <c r="X85" t="s">
        <v>575</v>
      </c>
      <c r="Y85" t="s">
        <v>660</v>
      </c>
      <c r="Z85" t="s">
        <v>80</v>
      </c>
      <c r="AA85" t="s">
        <v>85</v>
      </c>
      <c r="AC85" t="s">
        <v>763</v>
      </c>
      <c r="AD85" t="s">
        <v>87</v>
      </c>
      <c r="AG85" t="s">
        <v>764</v>
      </c>
      <c r="AH85" t="s">
        <v>91</v>
      </c>
      <c r="AI85" t="s">
        <v>92</v>
      </c>
      <c r="AJ85" t="s">
        <v>131</v>
      </c>
      <c r="AK85" t="s">
        <v>765</v>
      </c>
      <c r="AL85" t="s">
        <v>95</v>
      </c>
      <c r="AM85" t="s">
        <v>96</v>
      </c>
      <c r="AN85" t="s">
        <v>97</v>
      </c>
      <c r="AO85" t="s">
        <v>98</v>
      </c>
      <c r="AP85" t="s">
        <v>78</v>
      </c>
      <c r="AQ85" t="s">
        <v>99</v>
      </c>
      <c r="AS85" t="s">
        <v>78</v>
      </c>
      <c r="AT85" t="s">
        <v>100</v>
      </c>
      <c r="AU85" t="s">
        <v>100</v>
      </c>
      <c r="AW85" t="s">
        <v>85</v>
      </c>
      <c r="AX85" t="s">
        <v>101</v>
      </c>
      <c r="AY85" t="s">
        <v>102</v>
      </c>
      <c r="AZ85" t="s">
        <v>103</v>
      </c>
      <c r="BA85" t="s">
        <v>120</v>
      </c>
      <c r="BB85" t="s">
        <v>78</v>
      </c>
      <c r="BC85" t="s">
        <v>78</v>
      </c>
      <c r="BE85">
        <v>0</v>
      </c>
      <c r="BF85">
        <v>0</v>
      </c>
      <c r="BG85">
        <v>0</v>
      </c>
      <c r="BH85">
        <v>0</v>
      </c>
      <c r="BJ85" t="s">
        <v>85</v>
      </c>
      <c r="BP85" t="s">
        <v>78</v>
      </c>
      <c r="BQ85" t="s">
        <v>78</v>
      </c>
      <c r="BR85" t="s">
        <v>78</v>
      </c>
    </row>
    <row r="86" customFormat="1" spans="1:70">
      <c r="A86" t="s">
        <v>3945</v>
      </c>
      <c r="B86" t="s">
        <v>3945</v>
      </c>
      <c r="C86" t="s">
        <v>527</v>
      </c>
      <c r="D86" t="s">
        <v>108</v>
      </c>
      <c r="E86">
        <v>1</v>
      </c>
      <c r="F86" t="s">
        <v>3911</v>
      </c>
      <c r="G86" t="s">
        <v>674</v>
      </c>
      <c r="H86">
        <v>199</v>
      </c>
      <c r="I86">
        <v>199</v>
      </c>
      <c r="J86">
        <v>0</v>
      </c>
      <c r="K86">
        <v>0</v>
      </c>
      <c r="L86" t="s">
        <v>78</v>
      </c>
      <c r="M86" t="s">
        <v>78</v>
      </c>
      <c r="N86" t="s">
        <v>78</v>
      </c>
      <c r="O86">
        <v>0</v>
      </c>
      <c r="P86">
        <v>0</v>
      </c>
      <c r="Q86">
        <v>0</v>
      </c>
      <c r="R86" t="s">
        <v>125</v>
      </c>
      <c r="S86">
        <v>0</v>
      </c>
      <c r="T86" t="s">
        <v>80</v>
      </c>
      <c r="U86" t="s">
        <v>80</v>
      </c>
      <c r="V86" t="s">
        <v>325</v>
      </c>
      <c r="W86" t="s">
        <v>767</v>
      </c>
      <c r="X86" t="s">
        <v>768</v>
      </c>
      <c r="Y86" t="s">
        <v>769</v>
      </c>
      <c r="Z86" t="s">
        <v>80</v>
      </c>
      <c r="AA86" t="s">
        <v>85</v>
      </c>
      <c r="AC86" t="s">
        <v>770</v>
      </c>
      <c r="AD86" t="s">
        <v>87</v>
      </c>
      <c r="AF86" t="s">
        <v>689</v>
      </c>
      <c r="AG86" t="s">
        <v>771</v>
      </c>
      <c r="AH86" t="s">
        <v>91</v>
      </c>
      <c r="AI86" t="s">
        <v>92</v>
      </c>
      <c r="AJ86" t="s">
        <v>93</v>
      </c>
      <c r="AK86" t="s">
        <v>772</v>
      </c>
      <c r="AL86" t="s">
        <v>95</v>
      </c>
      <c r="AM86" t="s">
        <v>96</v>
      </c>
      <c r="AN86" t="s">
        <v>97</v>
      </c>
      <c r="AO86" t="s">
        <v>98</v>
      </c>
      <c r="AP86" t="s">
        <v>78</v>
      </c>
      <c r="AQ86" t="s">
        <v>78</v>
      </c>
      <c r="AS86" t="s">
        <v>78</v>
      </c>
      <c r="AT86" t="s">
        <v>100</v>
      </c>
      <c r="AU86" t="s">
        <v>100</v>
      </c>
      <c r="AW86" t="s">
        <v>85</v>
      </c>
      <c r="AX86" t="s">
        <v>101</v>
      </c>
      <c r="AY86" t="s">
        <v>102</v>
      </c>
      <c r="AZ86" t="s">
        <v>103</v>
      </c>
      <c r="BA86" t="s">
        <v>133</v>
      </c>
      <c r="BB86" t="s">
        <v>78</v>
      </c>
      <c r="BC86" t="s">
        <v>78</v>
      </c>
      <c r="BD86" t="s">
        <v>531</v>
      </c>
      <c r="BE86">
        <v>0</v>
      </c>
      <c r="BF86">
        <v>0</v>
      </c>
      <c r="BG86">
        <v>0</v>
      </c>
      <c r="BH86">
        <v>0</v>
      </c>
      <c r="BJ86" t="s">
        <v>85</v>
      </c>
      <c r="BP86" t="s">
        <v>78</v>
      </c>
      <c r="BQ86" t="s">
        <v>78</v>
      </c>
      <c r="BR86" t="s">
        <v>78</v>
      </c>
    </row>
    <row r="87" customFormat="1" spans="1:70">
      <c r="A87" t="s">
        <v>3946</v>
      </c>
      <c r="B87" t="s">
        <v>3946</v>
      </c>
      <c r="C87" t="s">
        <v>107</v>
      </c>
      <c r="D87" t="s">
        <v>123</v>
      </c>
      <c r="E87">
        <v>1</v>
      </c>
      <c r="F87" t="s">
        <v>3857</v>
      </c>
      <c r="G87" t="s">
        <v>124</v>
      </c>
      <c r="H87">
        <v>289</v>
      </c>
      <c r="I87">
        <v>289</v>
      </c>
      <c r="J87">
        <v>0</v>
      </c>
      <c r="K87">
        <v>0</v>
      </c>
      <c r="L87" t="s">
        <v>78</v>
      </c>
      <c r="M87" t="s">
        <v>78</v>
      </c>
      <c r="N87" t="s">
        <v>78</v>
      </c>
      <c r="O87">
        <v>0</v>
      </c>
      <c r="P87">
        <v>0</v>
      </c>
      <c r="Q87">
        <v>0</v>
      </c>
      <c r="R87" t="s">
        <v>79</v>
      </c>
      <c r="S87">
        <v>0</v>
      </c>
      <c r="T87" t="s">
        <v>80</v>
      </c>
      <c r="U87" t="s">
        <v>80</v>
      </c>
      <c r="V87" t="s">
        <v>500</v>
      </c>
      <c r="W87" t="s">
        <v>501</v>
      </c>
      <c r="X87" t="s">
        <v>502</v>
      </c>
      <c r="Y87" t="s">
        <v>774</v>
      </c>
      <c r="Z87" t="s">
        <v>80</v>
      </c>
      <c r="AA87" t="s">
        <v>85</v>
      </c>
      <c r="AC87" t="s">
        <v>775</v>
      </c>
      <c r="AD87" t="s">
        <v>87</v>
      </c>
      <c r="AF87" t="s">
        <v>776</v>
      </c>
      <c r="AG87" t="s">
        <v>777</v>
      </c>
      <c r="AH87" t="s">
        <v>91</v>
      </c>
      <c r="AI87" t="s">
        <v>92</v>
      </c>
      <c r="AJ87" t="s">
        <v>93</v>
      </c>
      <c r="AK87" t="s">
        <v>778</v>
      </c>
      <c r="AL87" t="s">
        <v>95</v>
      </c>
      <c r="AM87" t="s">
        <v>96</v>
      </c>
      <c r="AN87" t="s">
        <v>97</v>
      </c>
      <c r="AO87" t="s">
        <v>98</v>
      </c>
      <c r="AP87" t="s">
        <v>78</v>
      </c>
      <c r="AQ87" t="s">
        <v>78</v>
      </c>
      <c r="AS87" t="s">
        <v>78</v>
      </c>
      <c r="AT87" t="s">
        <v>100</v>
      </c>
      <c r="AU87" t="s">
        <v>100</v>
      </c>
      <c r="AW87" t="s">
        <v>85</v>
      </c>
      <c r="AX87" t="s">
        <v>101</v>
      </c>
      <c r="AY87" t="s">
        <v>102</v>
      </c>
      <c r="AZ87" t="s">
        <v>103</v>
      </c>
      <c r="BA87" t="s">
        <v>133</v>
      </c>
      <c r="BB87" t="s">
        <v>78</v>
      </c>
      <c r="BC87" t="s">
        <v>78</v>
      </c>
      <c r="BD87" t="s">
        <v>705</v>
      </c>
      <c r="BE87">
        <v>0</v>
      </c>
      <c r="BF87">
        <v>0</v>
      </c>
      <c r="BG87">
        <v>0</v>
      </c>
      <c r="BH87">
        <v>0</v>
      </c>
      <c r="BJ87" t="s">
        <v>85</v>
      </c>
      <c r="BP87" t="s">
        <v>78</v>
      </c>
      <c r="BQ87" t="s">
        <v>78</v>
      </c>
      <c r="BR87" t="s">
        <v>78</v>
      </c>
    </row>
    <row r="88" customFormat="1" spans="1:70">
      <c r="A88" t="s">
        <v>3947</v>
      </c>
      <c r="B88" t="s">
        <v>3947</v>
      </c>
      <c r="C88" t="s">
        <v>527</v>
      </c>
      <c r="D88" t="s">
        <v>108</v>
      </c>
      <c r="E88">
        <v>1</v>
      </c>
      <c r="F88" t="s">
        <v>3911</v>
      </c>
      <c r="G88" t="s">
        <v>674</v>
      </c>
      <c r="H88">
        <v>199</v>
      </c>
      <c r="I88">
        <v>199</v>
      </c>
      <c r="J88">
        <v>0</v>
      </c>
      <c r="K88">
        <v>0</v>
      </c>
      <c r="L88" t="s">
        <v>78</v>
      </c>
      <c r="M88" t="s">
        <v>78</v>
      </c>
      <c r="N88" t="s">
        <v>78</v>
      </c>
      <c r="O88">
        <v>0</v>
      </c>
      <c r="P88">
        <v>0</v>
      </c>
      <c r="Q88">
        <v>0</v>
      </c>
      <c r="R88" t="s">
        <v>79</v>
      </c>
      <c r="S88">
        <v>0</v>
      </c>
      <c r="T88" t="s">
        <v>80</v>
      </c>
      <c r="U88" t="s">
        <v>80</v>
      </c>
      <c r="V88" t="s">
        <v>167</v>
      </c>
      <c r="W88" t="s">
        <v>780</v>
      </c>
      <c r="X88" t="s">
        <v>781</v>
      </c>
      <c r="Y88" t="s">
        <v>782</v>
      </c>
      <c r="Z88" t="s">
        <v>80</v>
      </c>
      <c r="AA88" t="s">
        <v>85</v>
      </c>
      <c r="AC88" t="s">
        <v>783</v>
      </c>
      <c r="AD88" t="s">
        <v>87</v>
      </c>
      <c r="AG88" t="s">
        <v>784</v>
      </c>
      <c r="AH88" t="s">
        <v>91</v>
      </c>
      <c r="AI88" t="s">
        <v>92</v>
      </c>
      <c r="AJ88" t="s">
        <v>131</v>
      </c>
      <c r="AK88" t="s">
        <v>785</v>
      </c>
      <c r="AL88" t="s">
        <v>95</v>
      </c>
      <c r="AM88" t="s">
        <v>96</v>
      </c>
      <c r="AN88" t="s">
        <v>97</v>
      </c>
      <c r="AO88" t="s">
        <v>98</v>
      </c>
      <c r="AP88" t="s">
        <v>78</v>
      </c>
      <c r="AQ88" t="s">
        <v>99</v>
      </c>
      <c r="AS88" t="s">
        <v>78</v>
      </c>
      <c r="AT88" t="s">
        <v>100</v>
      </c>
      <c r="AU88" t="s">
        <v>100</v>
      </c>
      <c r="AW88" t="s">
        <v>85</v>
      </c>
      <c r="AX88" t="s">
        <v>101</v>
      </c>
      <c r="AY88" t="s">
        <v>102</v>
      </c>
      <c r="AZ88" t="s">
        <v>103</v>
      </c>
      <c r="BA88" t="s">
        <v>133</v>
      </c>
      <c r="BB88" t="s">
        <v>78</v>
      </c>
      <c r="BC88" t="s">
        <v>78</v>
      </c>
      <c r="BE88">
        <v>0</v>
      </c>
      <c r="BF88">
        <v>0</v>
      </c>
      <c r="BG88">
        <v>0</v>
      </c>
      <c r="BH88">
        <v>0</v>
      </c>
      <c r="BJ88" t="s">
        <v>85</v>
      </c>
      <c r="BP88" t="s">
        <v>78</v>
      </c>
      <c r="BQ88" t="s">
        <v>78</v>
      </c>
      <c r="BR88" t="s">
        <v>78</v>
      </c>
    </row>
    <row r="89" customFormat="1" spans="1:70">
      <c r="A89" t="s">
        <v>3948</v>
      </c>
      <c r="B89" t="s">
        <v>3948</v>
      </c>
      <c r="C89" t="s">
        <v>527</v>
      </c>
      <c r="D89" t="s">
        <v>108</v>
      </c>
      <c r="E89">
        <v>1</v>
      </c>
      <c r="F89" t="s">
        <v>3911</v>
      </c>
      <c r="G89" t="s">
        <v>674</v>
      </c>
      <c r="H89">
        <v>199</v>
      </c>
      <c r="I89">
        <v>179</v>
      </c>
      <c r="J89">
        <v>0</v>
      </c>
      <c r="K89">
        <v>20</v>
      </c>
      <c r="L89" t="s">
        <v>787</v>
      </c>
      <c r="M89" t="s">
        <v>78</v>
      </c>
      <c r="N89" t="s">
        <v>78</v>
      </c>
      <c r="O89">
        <v>0</v>
      </c>
      <c r="P89">
        <v>0</v>
      </c>
      <c r="Q89">
        <v>0</v>
      </c>
      <c r="R89" t="s">
        <v>111</v>
      </c>
      <c r="S89">
        <v>0</v>
      </c>
      <c r="T89" t="s">
        <v>80</v>
      </c>
      <c r="U89" t="s">
        <v>80</v>
      </c>
      <c r="V89" t="s">
        <v>325</v>
      </c>
      <c r="W89" t="s">
        <v>788</v>
      </c>
      <c r="X89" t="s">
        <v>789</v>
      </c>
      <c r="Y89" t="s">
        <v>790</v>
      </c>
      <c r="Z89" t="s">
        <v>80</v>
      </c>
      <c r="AA89" t="s">
        <v>85</v>
      </c>
      <c r="AC89" t="s">
        <v>791</v>
      </c>
      <c r="AD89" t="s">
        <v>202</v>
      </c>
      <c r="AE89" t="s">
        <v>792</v>
      </c>
      <c r="AG89" t="s">
        <v>793</v>
      </c>
      <c r="AH89" t="s">
        <v>91</v>
      </c>
      <c r="AI89" t="s">
        <v>92</v>
      </c>
      <c r="AJ89" t="s">
        <v>131</v>
      </c>
      <c r="AK89" t="s">
        <v>794</v>
      </c>
      <c r="AL89" t="s">
        <v>95</v>
      </c>
      <c r="AM89" t="s">
        <v>96</v>
      </c>
      <c r="AN89" t="s">
        <v>97</v>
      </c>
      <c r="AO89" t="s">
        <v>98</v>
      </c>
      <c r="AP89" t="s">
        <v>78</v>
      </c>
      <c r="AQ89" t="s">
        <v>99</v>
      </c>
      <c r="AS89" t="s">
        <v>78</v>
      </c>
      <c r="AT89" t="s">
        <v>100</v>
      </c>
      <c r="AU89" t="s">
        <v>100</v>
      </c>
      <c r="AW89" t="s">
        <v>85</v>
      </c>
      <c r="AX89" t="s">
        <v>103</v>
      </c>
      <c r="AY89" t="s">
        <v>159</v>
      </c>
      <c r="AZ89" t="s">
        <v>103</v>
      </c>
      <c r="BA89" t="s">
        <v>102</v>
      </c>
      <c r="BB89" t="s">
        <v>78</v>
      </c>
      <c r="BC89" t="s">
        <v>78</v>
      </c>
      <c r="BD89" t="s">
        <v>531</v>
      </c>
      <c r="BE89">
        <v>0</v>
      </c>
      <c r="BF89">
        <v>20</v>
      </c>
      <c r="BG89">
        <v>0</v>
      </c>
      <c r="BH89">
        <v>0</v>
      </c>
      <c r="BJ89" t="s">
        <v>85</v>
      </c>
      <c r="BP89" t="s">
        <v>78</v>
      </c>
      <c r="BQ89" t="s">
        <v>78</v>
      </c>
      <c r="BR89" t="s">
        <v>78</v>
      </c>
    </row>
    <row r="90" customFormat="1" spans="1:70">
      <c r="A90" t="s">
        <v>3949</v>
      </c>
      <c r="B90" t="s">
        <v>3949</v>
      </c>
      <c r="C90" t="s">
        <v>527</v>
      </c>
      <c r="D90" t="s">
        <v>108</v>
      </c>
      <c r="E90">
        <v>1</v>
      </c>
      <c r="F90" t="s">
        <v>3911</v>
      </c>
      <c r="G90" t="s">
        <v>674</v>
      </c>
      <c r="H90">
        <v>199</v>
      </c>
      <c r="I90">
        <v>199</v>
      </c>
      <c r="J90">
        <v>0</v>
      </c>
      <c r="K90">
        <v>0</v>
      </c>
      <c r="L90" t="s">
        <v>78</v>
      </c>
      <c r="M90" t="s">
        <v>78</v>
      </c>
      <c r="N90" t="s">
        <v>78</v>
      </c>
      <c r="O90">
        <v>0</v>
      </c>
      <c r="P90">
        <v>0</v>
      </c>
      <c r="Q90">
        <v>0</v>
      </c>
      <c r="R90" t="s">
        <v>79</v>
      </c>
      <c r="S90">
        <v>0</v>
      </c>
      <c r="T90" t="s">
        <v>80</v>
      </c>
      <c r="U90" t="s">
        <v>80</v>
      </c>
      <c r="V90" t="s">
        <v>325</v>
      </c>
      <c r="W90" t="s">
        <v>796</v>
      </c>
      <c r="X90" t="s">
        <v>797</v>
      </c>
      <c r="Y90" t="s">
        <v>798</v>
      </c>
      <c r="Z90" t="s">
        <v>80</v>
      </c>
      <c r="AA90" t="s">
        <v>85</v>
      </c>
      <c r="AC90" t="s">
        <v>799</v>
      </c>
      <c r="AD90" t="s">
        <v>202</v>
      </c>
      <c r="AE90" t="s">
        <v>800</v>
      </c>
      <c r="AG90" t="s">
        <v>801</v>
      </c>
      <c r="AH90" t="s">
        <v>91</v>
      </c>
      <c r="AI90" t="s">
        <v>92</v>
      </c>
      <c r="AJ90" t="s">
        <v>131</v>
      </c>
      <c r="AK90" t="s">
        <v>802</v>
      </c>
      <c r="AL90" t="s">
        <v>95</v>
      </c>
      <c r="AM90" t="s">
        <v>96</v>
      </c>
      <c r="AN90" t="s">
        <v>97</v>
      </c>
      <c r="AO90" t="s">
        <v>98</v>
      </c>
      <c r="AP90" t="s">
        <v>78</v>
      </c>
      <c r="AQ90" t="s">
        <v>99</v>
      </c>
      <c r="AS90" t="s">
        <v>78</v>
      </c>
      <c r="AT90" t="s">
        <v>100</v>
      </c>
      <c r="AU90" t="s">
        <v>100</v>
      </c>
      <c r="AW90" t="s">
        <v>85</v>
      </c>
      <c r="AX90" t="s">
        <v>101</v>
      </c>
      <c r="AY90" t="s">
        <v>102</v>
      </c>
      <c r="AZ90" t="s">
        <v>103</v>
      </c>
      <c r="BA90" t="s">
        <v>133</v>
      </c>
      <c r="BB90" t="s">
        <v>78</v>
      </c>
      <c r="BC90" t="s">
        <v>78</v>
      </c>
      <c r="BD90" t="s">
        <v>531</v>
      </c>
      <c r="BE90">
        <v>0</v>
      </c>
      <c r="BF90">
        <v>0</v>
      </c>
      <c r="BG90">
        <v>0</v>
      </c>
      <c r="BH90">
        <v>0</v>
      </c>
      <c r="BJ90" t="s">
        <v>85</v>
      </c>
      <c r="BP90" t="s">
        <v>78</v>
      </c>
      <c r="BQ90" t="s">
        <v>78</v>
      </c>
      <c r="BR90" t="s">
        <v>78</v>
      </c>
    </row>
    <row r="91" customFormat="1" spans="1:70">
      <c r="A91" t="s">
        <v>3950</v>
      </c>
      <c r="B91" t="s">
        <v>3950</v>
      </c>
      <c r="C91" t="s">
        <v>107</v>
      </c>
      <c r="D91" t="s">
        <v>108</v>
      </c>
      <c r="E91">
        <v>1</v>
      </c>
      <c r="F91" t="s">
        <v>3857</v>
      </c>
      <c r="G91" t="s">
        <v>110</v>
      </c>
      <c r="H91">
        <v>289</v>
      </c>
      <c r="I91">
        <v>289</v>
      </c>
      <c r="J91">
        <v>0</v>
      </c>
      <c r="K91">
        <v>0</v>
      </c>
      <c r="L91" t="s">
        <v>78</v>
      </c>
      <c r="M91" t="s">
        <v>78</v>
      </c>
      <c r="N91" t="s">
        <v>78</v>
      </c>
      <c r="O91">
        <v>0</v>
      </c>
      <c r="P91">
        <v>0</v>
      </c>
      <c r="Q91">
        <v>0</v>
      </c>
      <c r="R91" t="s">
        <v>79</v>
      </c>
      <c r="S91">
        <v>0</v>
      </c>
      <c r="T91" t="s">
        <v>80</v>
      </c>
      <c r="U91" t="s">
        <v>80</v>
      </c>
      <c r="V91" t="s">
        <v>325</v>
      </c>
      <c r="W91" t="s">
        <v>796</v>
      </c>
      <c r="X91" t="s">
        <v>797</v>
      </c>
      <c r="Y91" t="s">
        <v>798</v>
      </c>
      <c r="Z91" t="s">
        <v>80</v>
      </c>
      <c r="AA91" t="s">
        <v>85</v>
      </c>
      <c r="AC91" t="s">
        <v>804</v>
      </c>
      <c r="AD91" t="s">
        <v>202</v>
      </c>
      <c r="AE91" t="s">
        <v>805</v>
      </c>
      <c r="AG91" t="s">
        <v>806</v>
      </c>
      <c r="AH91" t="s">
        <v>91</v>
      </c>
      <c r="AI91" t="s">
        <v>92</v>
      </c>
      <c r="AJ91" t="s">
        <v>131</v>
      </c>
      <c r="AK91" t="s">
        <v>807</v>
      </c>
      <c r="AL91" t="s">
        <v>95</v>
      </c>
      <c r="AM91" t="s">
        <v>96</v>
      </c>
      <c r="AN91" t="s">
        <v>97</v>
      </c>
      <c r="AO91" t="s">
        <v>98</v>
      </c>
      <c r="AP91" t="s">
        <v>78</v>
      </c>
      <c r="AQ91" t="s">
        <v>99</v>
      </c>
      <c r="AS91" t="s">
        <v>78</v>
      </c>
      <c r="AT91" t="s">
        <v>100</v>
      </c>
      <c r="AU91" t="s">
        <v>100</v>
      </c>
      <c r="AW91" t="s">
        <v>85</v>
      </c>
      <c r="AX91" t="s">
        <v>101</v>
      </c>
      <c r="AY91" t="s">
        <v>102</v>
      </c>
      <c r="AZ91" t="s">
        <v>103</v>
      </c>
      <c r="BA91" t="s">
        <v>133</v>
      </c>
      <c r="BB91" t="s">
        <v>78</v>
      </c>
      <c r="BC91" t="s">
        <v>78</v>
      </c>
      <c r="BD91" t="s">
        <v>756</v>
      </c>
      <c r="BE91">
        <v>0</v>
      </c>
      <c r="BF91">
        <v>0</v>
      </c>
      <c r="BG91">
        <v>0</v>
      </c>
      <c r="BH91">
        <v>0</v>
      </c>
      <c r="BJ91" t="s">
        <v>85</v>
      </c>
      <c r="BP91" t="s">
        <v>78</v>
      </c>
      <c r="BQ91" t="s">
        <v>78</v>
      </c>
      <c r="BR91" t="s">
        <v>78</v>
      </c>
    </row>
    <row r="92" customFormat="1" spans="1:70">
      <c r="A92" t="s">
        <v>3951</v>
      </c>
      <c r="B92" t="s">
        <v>3951</v>
      </c>
      <c r="C92" t="s">
        <v>107</v>
      </c>
      <c r="D92" t="s">
        <v>123</v>
      </c>
      <c r="E92">
        <v>1</v>
      </c>
      <c r="F92" t="s">
        <v>3857</v>
      </c>
      <c r="G92" t="s">
        <v>124</v>
      </c>
      <c r="H92">
        <v>289</v>
      </c>
      <c r="I92">
        <v>289</v>
      </c>
      <c r="J92">
        <v>0</v>
      </c>
      <c r="K92">
        <v>0</v>
      </c>
      <c r="L92" t="s">
        <v>78</v>
      </c>
      <c r="M92" t="s">
        <v>78</v>
      </c>
      <c r="N92" t="s">
        <v>78</v>
      </c>
      <c r="O92">
        <v>0</v>
      </c>
      <c r="P92">
        <v>0</v>
      </c>
      <c r="Q92">
        <v>0</v>
      </c>
      <c r="R92" t="s">
        <v>125</v>
      </c>
      <c r="S92">
        <v>0</v>
      </c>
      <c r="T92" t="s">
        <v>80</v>
      </c>
      <c r="U92" t="s">
        <v>80</v>
      </c>
      <c r="V92" t="s">
        <v>574</v>
      </c>
      <c r="W92" t="s">
        <v>574</v>
      </c>
      <c r="X92" t="s">
        <v>809</v>
      </c>
      <c r="Y92" t="s">
        <v>810</v>
      </c>
      <c r="Z92" t="s">
        <v>80</v>
      </c>
      <c r="AA92" t="s">
        <v>85</v>
      </c>
      <c r="AC92" t="s">
        <v>811</v>
      </c>
      <c r="AD92" t="s">
        <v>87</v>
      </c>
      <c r="AF92" t="s">
        <v>812</v>
      </c>
      <c r="AG92" t="s">
        <v>813</v>
      </c>
      <c r="AH92" t="s">
        <v>91</v>
      </c>
      <c r="AI92" t="s">
        <v>92</v>
      </c>
      <c r="AJ92" t="s">
        <v>93</v>
      </c>
      <c r="AK92" t="s">
        <v>814</v>
      </c>
      <c r="AL92" t="s">
        <v>95</v>
      </c>
      <c r="AM92" t="s">
        <v>96</v>
      </c>
      <c r="AN92" t="s">
        <v>97</v>
      </c>
      <c r="AO92" t="s">
        <v>98</v>
      </c>
      <c r="AP92" t="s">
        <v>78</v>
      </c>
      <c r="AQ92" t="s">
        <v>78</v>
      </c>
      <c r="AS92" t="s">
        <v>78</v>
      </c>
      <c r="AT92" t="s">
        <v>100</v>
      </c>
      <c r="AU92" t="s">
        <v>100</v>
      </c>
      <c r="AW92" t="s">
        <v>85</v>
      </c>
      <c r="AX92" t="s">
        <v>101</v>
      </c>
      <c r="AY92" t="s">
        <v>102</v>
      </c>
      <c r="AZ92" t="s">
        <v>103</v>
      </c>
      <c r="BA92" t="s">
        <v>120</v>
      </c>
      <c r="BB92" t="s">
        <v>78</v>
      </c>
      <c r="BC92" t="s">
        <v>78</v>
      </c>
      <c r="BD92" t="s">
        <v>705</v>
      </c>
      <c r="BE92">
        <v>0</v>
      </c>
      <c r="BF92">
        <v>0</v>
      </c>
      <c r="BG92">
        <v>0</v>
      </c>
      <c r="BH92">
        <v>0</v>
      </c>
      <c r="BJ92" t="s">
        <v>85</v>
      </c>
      <c r="BP92" t="s">
        <v>78</v>
      </c>
      <c r="BQ92" t="s">
        <v>78</v>
      </c>
      <c r="BR92" t="s">
        <v>78</v>
      </c>
    </row>
    <row r="93" customFormat="1" spans="1:70">
      <c r="A93" t="s">
        <v>3952</v>
      </c>
      <c r="B93" t="s">
        <v>3952</v>
      </c>
      <c r="C93" t="s">
        <v>527</v>
      </c>
      <c r="D93" t="s">
        <v>135</v>
      </c>
      <c r="E93">
        <v>1</v>
      </c>
      <c r="F93" t="s">
        <v>3911</v>
      </c>
      <c r="G93" t="s">
        <v>540</v>
      </c>
      <c r="H93">
        <v>199</v>
      </c>
      <c r="I93">
        <v>199</v>
      </c>
      <c r="J93">
        <v>0</v>
      </c>
      <c r="K93">
        <v>0</v>
      </c>
      <c r="L93" t="s">
        <v>78</v>
      </c>
      <c r="M93" t="s">
        <v>78</v>
      </c>
      <c r="N93" t="s">
        <v>78</v>
      </c>
      <c r="O93">
        <v>0</v>
      </c>
      <c r="P93">
        <v>0</v>
      </c>
      <c r="Q93">
        <v>0</v>
      </c>
      <c r="R93" t="s">
        <v>79</v>
      </c>
      <c r="S93">
        <v>0</v>
      </c>
      <c r="T93" t="s">
        <v>80</v>
      </c>
      <c r="U93" t="s">
        <v>80</v>
      </c>
      <c r="V93" t="s">
        <v>112</v>
      </c>
      <c r="W93" t="s">
        <v>113</v>
      </c>
      <c r="X93" t="s">
        <v>816</v>
      </c>
      <c r="Y93" t="s">
        <v>817</v>
      </c>
      <c r="Z93" t="s">
        <v>80</v>
      </c>
      <c r="AA93" t="s">
        <v>85</v>
      </c>
      <c r="AC93" t="s">
        <v>818</v>
      </c>
      <c r="AD93" t="s">
        <v>87</v>
      </c>
      <c r="AG93" t="s">
        <v>819</v>
      </c>
      <c r="AH93" t="s">
        <v>91</v>
      </c>
      <c r="AI93" t="s">
        <v>92</v>
      </c>
      <c r="AJ93" t="s">
        <v>131</v>
      </c>
      <c r="AK93" t="s">
        <v>820</v>
      </c>
      <c r="AL93" t="s">
        <v>95</v>
      </c>
      <c r="AM93" t="s">
        <v>96</v>
      </c>
      <c r="AN93" t="s">
        <v>97</v>
      </c>
      <c r="AO93" t="s">
        <v>98</v>
      </c>
      <c r="AP93" t="s">
        <v>78</v>
      </c>
      <c r="AQ93" t="s">
        <v>99</v>
      </c>
      <c r="AS93" t="s">
        <v>78</v>
      </c>
      <c r="AT93" t="s">
        <v>100</v>
      </c>
      <c r="AU93" t="s">
        <v>100</v>
      </c>
      <c r="AW93" t="s">
        <v>85</v>
      </c>
      <c r="AX93" t="s">
        <v>101</v>
      </c>
      <c r="AY93" t="s">
        <v>102</v>
      </c>
      <c r="AZ93" t="s">
        <v>103</v>
      </c>
      <c r="BA93" t="s">
        <v>133</v>
      </c>
      <c r="BB93" t="s">
        <v>78</v>
      </c>
      <c r="BC93" t="s">
        <v>78</v>
      </c>
      <c r="BE93">
        <v>0</v>
      </c>
      <c r="BF93">
        <v>0</v>
      </c>
      <c r="BG93">
        <v>0</v>
      </c>
      <c r="BH93">
        <v>0</v>
      </c>
      <c r="BJ93" t="s">
        <v>85</v>
      </c>
      <c r="BP93" t="s">
        <v>78</v>
      </c>
      <c r="BQ93" t="s">
        <v>78</v>
      </c>
      <c r="BR93" t="s">
        <v>78</v>
      </c>
    </row>
    <row r="94" customFormat="1" spans="1:70">
      <c r="A94" t="s">
        <v>3953</v>
      </c>
      <c r="B94" t="s">
        <v>3953</v>
      </c>
      <c r="C94" t="s">
        <v>107</v>
      </c>
      <c r="D94" t="s">
        <v>108</v>
      </c>
      <c r="E94">
        <v>1</v>
      </c>
      <c r="F94" t="s">
        <v>3857</v>
      </c>
      <c r="G94" t="s">
        <v>110</v>
      </c>
      <c r="H94">
        <v>289</v>
      </c>
      <c r="I94">
        <v>289</v>
      </c>
      <c r="J94">
        <v>0</v>
      </c>
      <c r="K94">
        <v>0</v>
      </c>
      <c r="L94" t="s">
        <v>78</v>
      </c>
      <c r="M94" t="s">
        <v>78</v>
      </c>
      <c r="N94" t="s">
        <v>78</v>
      </c>
      <c r="O94">
        <v>0</v>
      </c>
      <c r="P94">
        <v>0</v>
      </c>
      <c r="Q94">
        <v>0</v>
      </c>
      <c r="R94" t="s">
        <v>125</v>
      </c>
      <c r="S94">
        <v>0</v>
      </c>
      <c r="T94" t="s">
        <v>80</v>
      </c>
      <c r="U94" t="s">
        <v>80</v>
      </c>
      <c r="V94" t="s">
        <v>161</v>
      </c>
      <c r="W94" t="s">
        <v>161</v>
      </c>
      <c r="X94" t="s">
        <v>822</v>
      </c>
      <c r="Y94" t="s">
        <v>823</v>
      </c>
      <c r="Z94" t="s">
        <v>80</v>
      </c>
      <c r="AA94" t="s">
        <v>85</v>
      </c>
      <c r="AC94" t="s">
        <v>824</v>
      </c>
      <c r="AD94" t="s">
        <v>202</v>
      </c>
      <c r="AE94" t="s">
        <v>825</v>
      </c>
      <c r="AG94" t="s">
        <v>826</v>
      </c>
      <c r="AH94" t="s">
        <v>91</v>
      </c>
      <c r="AI94" t="s">
        <v>92</v>
      </c>
      <c r="AJ94" t="s">
        <v>131</v>
      </c>
      <c r="AK94" t="s">
        <v>827</v>
      </c>
      <c r="AL94" t="s">
        <v>95</v>
      </c>
      <c r="AM94" t="s">
        <v>96</v>
      </c>
      <c r="AN94" t="s">
        <v>97</v>
      </c>
      <c r="AO94" t="s">
        <v>98</v>
      </c>
      <c r="AP94" t="s">
        <v>78</v>
      </c>
      <c r="AQ94" t="s">
        <v>99</v>
      </c>
      <c r="AS94" t="s">
        <v>78</v>
      </c>
      <c r="AT94" t="s">
        <v>100</v>
      </c>
      <c r="AU94" t="s">
        <v>100</v>
      </c>
      <c r="AW94" t="s">
        <v>85</v>
      </c>
      <c r="AX94" t="s">
        <v>101</v>
      </c>
      <c r="AY94" t="s">
        <v>102</v>
      </c>
      <c r="AZ94" t="s">
        <v>103</v>
      </c>
      <c r="BA94" t="s">
        <v>133</v>
      </c>
      <c r="BB94" t="s">
        <v>78</v>
      </c>
      <c r="BC94" t="s">
        <v>78</v>
      </c>
      <c r="BD94" t="s">
        <v>756</v>
      </c>
      <c r="BE94">
        <v>0</v>
      </c>
      <c r="BF94">
        <v>0</v>
      </c>
      <c r="BG94">
        <v>0</v>
      </c>
      <c r="BH94">
        <v>0</v>
      </c>
      <c r="BJ94" t="s">
        <v>85</v>
      </c>
      <c r="BP94" t="s">
        <v>78</v>
      </c>
      <c r="BQ94" t="s">
        <v>78</v>
      </c>
      <c r="BR94" t="s">
        <v>78</v>
      </c>
    </row>
    <row r="95" customFormat="1" spans="1:70">
      <c r="A95" t="s">
        <v>3954</v>
      </c>
      <c r="B95" t="s">
        <v>3954</v>
      </c>
      <c r="C95" t="s">
        <v>527</v>
      </c>
      <c r="D95" t="s">
        <v>108</v>
      </c>
      <c r="E95">
        <v>1</v>
      </c>
      <c r="F95" t="s">
        <v>3911</v>
      </c>
      <c r="G95" t="s">
        <v>674</v>
      </c>
      <c r="H95">
        <v>199</v>
      </c>
      <c r="I95">
        <v>199</v>
      </c>
      <c r="J95">
        <v>0</v>
      </c>
      <c r="K95">
        <v>0</v>
      </c>
      <c r="L95" t="s">
        <v>78</v>
      </c>
      <c r="M95" t="s">
        <v>78</v>
      </c>
      <c r="N95" t="s">
        <v>78</v>
      </c>
      <c r="O95">
        <v>0</v>
      </c>
      <c r="P95">
        <v>0</v>
      </c>
      <c r="Q95">
        <v>0</v>
      </c>
      <c r="R95" t="s">
        <v>125</v>
      </c>
      <c r="S95">
        <v>0</v>
      </c>
      <c r="T95" t="s">
        <v>80</v>
      </c>
      <c r="U95" t="s">
        <v>80</v>
      </c>
      <c r="V95" t="s">
        <v>161</v>
      </c>
      <c r="W95" t="s">
        <v>161</v>
      </c>
      <c r="X95" t="s">
        <v>822</v>
      </c>
      <c r="Y95" t="s">
        <v>823</v>
      </c>
      <c r="Z95" t="s">
        <v>80</v>
      </c>
      <c r="AA95" t="s">
        <v>85</v>
      </c>
      <c r="AC95" t="s">
        <v>829</v>
      </c>
      <c r="AD95" t="s">
        <v>202</v>
      </c>
      <c r="AE95" t="s">
        <v>830</v>
      </c>
      <c r="AG95" t="s">
        <v>831</v>
      </c>
      <c r="AH95" t="s">
        <v>91</v>
      </c>
      <c r="AI95" t="s">
        <v>92</v>
      </c>
      <c r="AJ95" t="s">
        <v>131</v>
      </c>
      <c r="AK95" t="s">
        <v>832</v>
      </c>
      <c r="AL95" t="s">
        <v>95</v>
      </c>
      <c r="AM95" t="s">
        <v>96</v>
      </c>
      <c r="AN95" t="s">
        <v>97</v>
      </c>
      <c r="AO95" t="s">
        <v>98</v>
      </c>
      <c r="AP95" t="s">
        <v>78</v>
      </c>
      <c r="AQ95" t="s">
        <v>99</v>
      </c>
      <c r="AS95" t="s">
        <v>78</v>
      </c>
      <c r="AT95" t="s">
        <v>100</v>
      </c>
      <c r="AU95" t="s">
        <v>100</v>
      </c>
      <c r="AW95" t="s">
        <v>85</v>
      </c>
      <c r="AX95" t="s">
        <v>101</v>
      </c>
      <c r="AY95" t="s">
        <v>102</v>
      </c>
      <c r="AZ95" t="s">
        <v>103</v>
      </c>
      <c r="BA95" t="s">
        <v>133</v>
      </c>
      <c r="BB95" t="s">
        <v>78</v>
      </c>
      <c r="BC95" t="s">
        <v>78</v>
      </c>
      <c r="BD95" t="s">
        <v>833</v>
      </c>
      <c r="BE95">
        <v>0</v>
      </c>
      <c r="BF95">
        <v>0</v>
      </c>
      <c r="BG95">
        <v>0</v>
      </c>
      <c r="BH95">
        <v>0</v>
      </c>
      <c r="BJ95" t="s">
        <v>85</v>
      </c>
      <c r="BP95" t="s">
        <v>78</v>
      </c>
      <c r="BQ95" t="s">
        <v>78</v>
      </c>
      <c r="BR95" t="s">
        <v>78</v>
      </c>
    </row>
    <row r="96" customFormat="1" spans="1:70">
      <c r="A96" t="s">
        <v>3955</v>
      </c>
      <c r="B96" t="s">
        <v>3955</v>
      </c>
      <c r="C96" t="s">
        <v>527</v>
      </c>
      <c r="D96" t="s">
        <v>108</v>
      </c>
      <c r="E96">
        <v>1</v>
      </c>
      <c r="F96" t="s">
        <v>3911</v>
      </c>
      <c r="G96" t="s">
        <v>674</v>
      </c>
      <c r="H96">
        <v>199</v>
      </c>
      <c r="I96">
        <v>199</v>
      </c>
      <c r="J96">
        <v>0</v>
      </c>
      <c r="K96">
        <v>0</v>
      </c>
      <c r="L96" t="s">
        <v>78</v>
      </c>
      <c r="M96" t="s">
        <v>78</v>
      </c>
      <c r="N96" t="s">
        <v>78</v>
      </c>
      <c r="O96">
        <v>0</v>
      </c>
      <c r="P96">
        <v>0</v>
      </c>
      <c r="Q96">
        <v>0</v>
      </c>
      <c r="R96" t="s">
        <v>125</v>
      </c>
      <c r="S96">
        <v>0</v>
      </c>
      <c r="T96" t="s">
        <v>80</v>
      </c>
      <c r="U96" t="s">
        <v>80</v>
      </c>
      <c r="V96" t="s">
        <v>325</v>
      </c>
      <c r="W96" t="s">
        <v>788</v>
      </c>
      <c r="X96" t="s">
        <v>789</v>
      </c>
      <c r="Y96" t="s">
        <v>835</v>
      </c>
      <c r="Z96" t="s">
        <v>80</v>
      </c>
      <c r="AA96" t="s">
        <v>85</v>
      </c>
      <c r="AC96" t="s">
        <v>836</v>
      </c>
      <c r="AD96" t="s">
        <v>87</v>
      </c>
      <c r="AH96" t="s">
        <v>401</v>
      </c>
      <c r="AI96" t="s">
        <v>92</v>
      </c>
      <c r="AJ96" t="s">
        <v>131</v>
      </c>
      <c r="AK96" t="s">
        <v>837</v>
      </c>
      <c r="AL96" t="s">
        <v>95</v>
      </c>
      <c r="AM96" t="s">
        <v>96</v>
      </c>
      <c r="AN96" t="s">
        <v>97</v>
      </c>
      <c r="AO96" t="s">
        <v>98</v>
      </c>
      <c r="AP96" t="s">
        <v>78</v>
      </c>
      <c r="AQ96" t="s">
        <v>78</v>
      </c>
      <c r="AR96" t="s">
        <v>353</v>
      </c>
      <c r="AS96" t="s">
        <v>78</v>
      </c>
      <c r="AT96" t="s">
        <v>100</v>
      </c>
      <c r="AU96" t="s">
        <v>100</v>
      </c>
      <c r="AW96" t="s">
        <v>85</v>
      </c>
      <c r="AX96" t="s">
        <v>103</v>
      </c>
      <c r="AY96" t="s">
        <v>159</v>
      </c>
      <c r="AZ96" t="s">
        <v>103</v>
      </c>
      <c r="BA96" t="s">
        <v>102</v>
      </c>
      <c r="BB96" t="s">
        <v>78</v>
      </c>
      <c r="BC96" t="s">
        <v>78</v>
      </c>
      <c r="BE96">
        <v>0</v>
      </c>
      <c r="BF96">
        <v>0</v>
      </c>
      <c r="BG96">
        <v>0</v>
      </c>
      <c r="BH96">
        <v>0</v>
      </c>
      <c r="BJ96" t="s">
        <v>85</v>
      </c>
      <c r="BP96" t="s">
        <v>78</v>
      </c>
      <c r="BQ96" t="s">
        <v>78</v>
      </c>
      <c r="BR96" t="s">
        <v>78</v>
      </c>
    </row>
    <row r="97" customFormat="1" spans="1:70">
      <c r="A97" t="s">
        <v>3956</v>
      </c>
      <c r="B97" t="s">
        <v>3956</v>
      </c>
      <c r="C97" t="s">
        <v>107</v>
      </c>
      <c r="D97" t="s">
        <v>108</v>
      </c>
      <c r="E97">
        <v>1</v>
      </c>
      <c r="F97" t="s">
        <v>3857</v>
      </c>
      <c r="G97" t="s">
        <v>110</v>
      </c>
      <c r="H97">
        <v>289</v>
      </c>
      <c r="I97">
        <v>289</v>
      </c>
      <c r="J97">
        <v>0</v>
      </c>
      <c r="K97">
        <v>0</v>
      </c>
      <c r="L97" t="s">
        <v>78</v>
      </c>
      <c r="M97" t="s">
        <v>78</v>
      </c>
      <c r="N97" t="s">
        <v>78</v>
      </c>
      <c r="O97">
        <v>0</v>
      </c>
      <c r="P97">
        <v>0</v>
      </c>
      <c r="Q97">
        <v>0</v>
      </c>
      <c r="R97" t="s">
        <v>125</v>
      </c>
      <c r="S97">
        <v>0</v>
      </c>
      <c r="T97" t="s">
        <v>80</v>
      </c>
      <c r="U97" t="s">
        <v>80</v>
      </c>
      <c r="V97" t="s">
        <v>221</v>
      </c>
      <c r="W97" t="s">
        <v>599</v>
      </c>
      <c r="X97" t="s">
        <v>839</v>
      </c>
      <c r="Y97" t="s">
        <v>840</v>
      </c>
      <c r="Z97" t="s">
        <v>80</v>
      </c>
      <c r="AA97" t="s">
        <v>85</v>
      </c>
      <c r="AC97" t="s">
        <v>841</v>
      </c>
      <c r="AD97" t="s">
        <v>87</v>
      </c>
      <c r="AG97" t="s">
        <v>842</v>
      </c>
      <c r="AH97" t="s">
        <v>91</v>
      </c>
      <c r="AI97" t="s">
        <v>92</v>
      </c>
      <c r="AJ97" t="s">
        <v>131</v>
      </c>
      <c r="AK97" t="s">
        <v>843</v>
      </c>
      <c r="AL97" t="s">
        <v>95</v>
      </c>
      <c r="AM97" t="s">
        <v>96</v>
      </c>
      <c r="AN97" t="s">
        <v>97</v>
      </c>
      <c r="AO97" t="s">
        <v>98</v>
      </c>
      <c r="AP97" t="s">
        <v>78</v>
      </c>
      <c r="AQ97" t="s">
        <v>99</v>
      </c>
      <c r="AS97" t="s">
        <v>78</v>
      </c>
      <c r="AT97" t="s">
        <v>100</v>
      </c>
      <c r="AU97" t="s">
        <v>100</v>
      </c>
      <c r="AW97" t="s">
        <v>85</v>
      </c>
      <c r="AX97" t="s">
        <v>101</v>
      </c>
      <c r="AY97" t="s">
        <v>102</v>
      </c>
      <c r="AZ97" t="s">
        <v>103</v>
      </c>
      <c r="BA97" t="s">
        <v>104</v>
      </c>
      <c r="BB97" t="s">
        <v>78</v>
      </c>
      <c r="BC97" t="s">
        <v>78</v>
      </c>
      <c r="BE97">
        <v>0</v>
      </c>
      <c r="BF97">
        <v>0</v>
      </c>
      <c r="BG97">
        <v>0</v>
      </c>
      <c r="BH97">
        <v>0</v>
      </c>
      <c r="BJ97" t="s">
        <v>85</v>
      </c>
      <c r="BP97" t="s">
        <v>78</v>
      </c>
      <c r="BQ97" t="s">
        <v>78</v>
      </c>
      <c r="BR97" t="s">
        <v>78</v>
      </c>
    </row>
    <row r="98" customFormat="1" spans="1:70">
      <c r="A98" t="s">
        <v>3957</v>
      </c>
      <c r="B98" t="s">
        <v>3957</v>
      </c>
      <c r="C98" t="s">
        <v>527</v>
      </c>
      <c r="D98" t="s">
        <v>108</v>
      </c>
      <c r="E98">
        <v>1</v>
      </c>
      <c r="F98" t="s">
        <v>3911</v>
      </c>
      <c r="G98" t="s">
        <v>674</v>
      </c>
      <c r="H98">
        <v>199</v>
      </c>
      <c r="I98">
        <v>199</v>
      </c>
      <c r="J98">
        <v>0</v>
      </c>
      <c r="K98">
        <v>0</v>
      </c>
      <c r="L98" t="s">
        <v>78</v>
      </c>
      <c r="M98" t="s">
        <v>78</v>
      </c>
      <c r="N98" t="s">
        <v>78</v>
      </c>
      <c r="O98">
        <v>0</v>
      </c>
      <c r="P98">
        <v>0</v>
      </c>
      <c r="Q98">
        <v>0</v>
      </c>
      <c r="R98" t="s">
        <v>125</v>
      </c>
      <c r="S98">
        <v>0</v>
      </c>
      <c r="T98" t="s">
        <v>80</v>
      </c>
      <c r="U98" t="s">
        <v>80</v>
      </c>
      <c r="V98" t="s">
        <v>221</v>
      </c>
      <c r="W98" t="s">
        <v>599</v>
      </c>
      <c r="X98" t="s">
        <v>839</v>
      </c>
      <c r="Y98" t="s">
        <v>840</v>
      </c>
      <c r="Z98" t="s">
        <v>80</v>
      </c>
      <c r="AA98" t="s">
        <v>85</v>
      </c>
      <c r="AC98" t="s">
        <v>845</v>
      </c>
      <c r="AD98" t="s">
        <v>87</v>
      </c>
      <c r="AG98" t="s">
        <v>846</v>
      </c>
      <c r="AH98" t="s">
        <v>91</v>
      </c>
      <c r="AI98" t="s">
        <v>92</v>
      </c>
      <c r="AJ98" t="s">
        <v>131</v>
      </c>
      <c r="AK98" t="s">
        <v>847</v>
      </c>
      <c r="AL98" t="s">
        <v>95</v>
      </c>
      <c r="AM98" t="s">
        <v>96</v>
      </c>
      <c r="AN98" t="s">
        <v>97</v>
      </c>
      <c r="AO98" t="s">
        <v>98</v>
      </c>
      <c r="AP98" t="s">
        <v>78</v>
      </c>
      <c r="AQ98" t="s">
        <v>99</v>
      </c>
      <c r="AS98" t="s">
        <v>78</v>
      </c>
      <c r="AT98" t="s">
        <v>100</v>
      </c>
      <c r="AU98" t="s">
        <v>100</v>
      </c>
      <c r="AW98" t="s">
        <v>85</v>
      </c>
      <c r="AX98" t="s">
        <v>101</v>
      </c>
      <c r="AY98" t="s">
        <v>102</v>
      </c>
      <c r="AZ98" t="s">
        <v>103</v>
      </c>
      <c r="BA98" t="s">
        <v>104</v>
      </c>
      <c r="BB98" t="s">
        <v>78</v>
      </c>
      <c r="BC98" t="s">
        <v>78</v>
      </c>
      <c r="BE98">
        <v>0</v>
      </c>
      <c r="BF98">
        <v>0</v>
      </c>
      <c r="BG98">
        <v>0</v>
      </c>
      <c r="BH98">
        <v>0</v>
      </c>
      <c r="BJ98" t="s">
        <v>85</v>
      </c>
      <c r="BP98" t="s">
        <v>78</v>
      </c>
      <c r="BQ98" t="s">
        <v>78</v>
      </c>
      <c r="BR98" t="s">
        <v>78</v>
      </c>
    </row>
    <row r="99" customFormat="1" spans="1:70">
      <c r="A99" t="s">
        <v>3958</v>
      </c>
      <c r="B99" t="s">
        <v>3958</v>
      </c>
      <c r="C99" t="s">
        <v>527</v>
      </c>
      <c r="D99" t="s">
        <v>108</v>
      </c>
      <c r="E99">
        <v>1</v>
      </c>
      <c r="F99" t="s">
        <v>3911</v>
      </c>
      <c r="G99" t="s">
        <v>674</v>
      </c>
      <c r="H99">
        <v>199</v>
      </c>
      <c r="I99">
        <v>199</v>
      </c>
      <c r="J99">
        <v>0</v>
      </c>
      <c r="K99">
        <v>0</v>
      </c>
      <c r="L99" t="s">
        <v>78</v>
      </c>
      <c r="M99" t="s">
        <v>78</v>
      </c>
      <c r="N99" t="s">
        <v>78</v>
      </c>
      <c r="O99">
        <v>0</v>
      </c>
      <c r="P99">
        <v>0</v>
      </c>
      <c r="Q99">
        <v>0</v>
      </c>
      <c r="R99" t="s">
        <v>79</v>
      </c>
      <c r="S99">
        <v>0</v>
      </c>
      <c r="T99" t="s">
        <v>80</v>
      </c>
      <c r="U99" t="s">
        <v>80</v>
      </c>
      <c r="V99" t="s">
        <v>167</v>
      </c>
      <c r="W99" t="s">
        <v>849</v>
      </c>
      <c r="X99" t="s">
        <v>850</v>
      </c>
      <c r="Y99" t="s">
        <v>851</v>
      </c>
      <c r="Z99" t="s">
        <v>80</v>
      </c>
      <c r="AA99" t="s">
        <v>85</v>
      </c>
      <c r="AC99" t="s">
        <v>852</v>
      </c>
      <c r="AD99" t="s">
        <v>202</v>
      </c>
      <c r="AE99" t="s">
        <v>853</v>
      </c>
      <c r="AG99" t="s">
        <v>854</v>
      </c>
      <c r="AH99" t="s">
        <v>91</v>
      </c>
      <c r="AI99" t="s">
        <v>92</v>
      </c>
      <c r="AJ99" t="s">
        <v>131</v>
      </c>
      <c r="AK99" t="s">
        <v>855</v>
      </c>
      <c r="AL99" t="s">
        <v>95</v>
      </c>
      <c r="AM99" t="s">
        <v>96</v>
      </c>
      <c r="AN99" t="s">
        <v>97</v>
      </c>
      <c r="AO99" t="s">
        <v>98</v>
      </c>
      <c r="AP99" t="s">
        <v>78</v>
      </c>
      <c r="AQ99" t="s">
        <v>99</v>
      </c>
      <c r="AS99" t="s">
        <v>78</v>
      </c>
      <c r="AT99" t="s">
        <v>100</v>
      </c>
      <c r="AU99" t="s">
        <v>100</v>
      </c>
      <c r="AW99" t="s">
        <v>85</v>
      </c>
      <c r="AX99" t="s">
        <v>101</v>
      </c>
      <c r="AY99" t="s">
        <v>102</v>
      </c>
      <c r="AZ99" t="s">
        <v>103</v>
      </c>
      <c r="BA99" t="s">
        <v>133</v>
      </c>
      <c r="BB99" t="s">
        <v>78</v>
      </c>
      <c r="BC99" t="s">
        <v>78</v>
      </c>
      <c r="BD99" t="s">
        <v>833</v>
      </c>
      <c r="BE99">
        <v>0</v>
      </c>
      <c r="BF99">
        <v>0</v>
      </c>
      <c r="BG99">
        <v>0</v>
      </c>
      <c r="BH99">
        <v>0</v>
      </c>
      <c r="BJ99" t="s">
        <v>85</v>
      </c>
      <c r="BP99" t="s">
        <v>78</v>
      </c>
      <c r="BQ99" t="s">
        <v>78</v>
      </c>
      <c r="BR99" t="s">
        <v>78</v>
      </c>
    </row>
    <row r="100" customFormat="1" spans="1:70">
      <c r="A100" t="s">
        <v>3959</v>
      </c>
      <c r="B100" t="s">
        <v>3959</v>
      </c>
      <c r="C100" t="s">
        <v>527</v>
      </c>
      <c r="D100" t="s">
        <v>123</v>
      </c>
      <c r="E100">
        <v>1</v>
      </c>
      <c r="F100" t="s">
        <v>3911</v>
      </c>
      <c r="G100" t="s">
        <v>529</v>
      </c>
      <c r="H100">
        <v>199</v>
      </c>
      <c r="I100">
        <v>199</v>
      </c>
      <c r="J100">
        <v>0</v>
      </c>
      <c r="K100">
        <v>0</v>
      </c>
      <c r="L100" t="s">
        <v>78</v>
      </c>
      <c r="M100" t="s">
        <v>78</v>
      </c>
      <c r="N100" t="s">
        <v>78</v>
      </c>
      <c r="O100">
        <v>0</v>
      </c>
      <c r="P100">
        <v>0</v>
      </c>
      <c r="Q100">
        <v>0</v>
      </c>
      <c r="R100" t="s">
        <v>111</v>
      </c>
      <c r="S100">
        <v>0</v>
      </c>
      <c r="T100" t="s">
        <v>80</v>
      </c>
      <c r="U100" t="s">
        <v>80</v>
      </c>
      <c r="V100" t="s">
        <v>126</v>
      </c>
      <c r="W100" t="s">
        <v>369</v>
      </c>
      <c r="X100" t="s">
        <v>857</v>
      </c>
      <c r="Y100" t="s">
        <v>858</v>
      </c>
      <c r="Z100" t="s">
        <v>80</v>
      </c>
      <c r="AA100" t="s">
        <v>85</v>
      </c>
      <c r="AC100" t="s">
        <v>859</v>
      </c>
      <c r="AD100" t="s">
        <v>87</v>
      </c>
      <c r="AG100" t="s">
        <v>860</v>
      </c>
      <c r="AH100" t="s">
        <v>227</v>
      </c>
      <c r="AI100" t="s">
        <v>92</v>
      </c>
      <c r="AJ100" t="s">
        <v>131</v>
      </c>
      <c r="AK100" t="s">
        <v>861</v>
      </c>
      <c r="AL100" t="s">
        <v>95</v>
      </c>
      <c r="AM100" t="s">
        <v>96</v>
      </c>
      <c r="AN100" t="s">
        <v>97</v>
      </c>
      <c r="AO100" t="s">
        <v>98</v>
      </c>
      <c r="AP100" t="s">
        <v>78</v>
      </c>
      <c r="AQ100" t="s">
        <v>99</v>
      </c>
      <c r="AS100" t="s">
        <v>78</v>
      </c>
      <c r="AT100" t="s">
        <v>100</v>
      </c>
      <c r="AU100" t="s">
        <v>100</v>
      </c>
      <c r="AW100" t="s">
        <v>85</v>
      </c>
      <c r="AX100" t="s">
        <v>103</v>
      </c>
      <c r="AY100" t="s">
        <v>159</v>
      </c>
      <c r="AZ100" t="s">
        <v>103</v>
      </c>
      <c r="BA100" t="s">
        <v>218</v>
      </c>
      <c r="BB100" t="s">
        <v>78</v>
      </c>
      <c r="BC100" t="s">
        <v>78</v>
      </c>
      <c r="BE100">
        <v>0</v>
      </c>
      <c r="BF100">
        <v>0</v>
      </c>
      <c r="BG100">
        <v>0</v>
      </c>
      <c r="BH100">
        <v>0</v>
      </c>
      <c r="BJ100" t="s">
        <v>85</v>
      </c>
      <c r="BP100" t="s">
        <v>78</v>
      </c>
      <c r="BQ100" t="s">
        <v>78</v>
      </c>
      <c r="BR100" t="s">
        <v>78</v>
      </c>
    </row>
    <row r="101" customFormat="1" spans="1:70">
      <c r="A101" t="s">
        <v>3960</v>
      </c>
      <c r="B101" t="s">
        <v>3960</v>
      </c>
      <c r="C101" t="s">
        <v>527</v>
      </c>
      <c r="D101" t="s">
        <v>108</v>
      </c>
      <c r="E101">
        <v>1</v>
      </c>
      <c r="F101" t="s">
        <v>3911</v>
      </c>
      <c r="G101" t="s">
        <v>674</v>
      </c>
      <c r="H101">
        <v>199</v>
      </c>
      <c r="I101">
        <v>214</v>
      </c>
      <c r="J101">
        <v>15</v>
      </c>
      <c r="K101">
        <v>0</v>
      </c>
      <c r="L101" t="s">
        <v>78</v>
      </c>
      <c r="M101" t="s">
        <v>78</v>
      </c>
      <c r="N101" t="s">
        <v>78</v>
      </c>
      <c r="O101">
        <v>0</v>
      </c>
      <c r="P101">
        <v>0</v>
      </c>
      <c r="Q101">
        <v>0</v>
      </c>
      <c r="R101" t="s">
        <v>125</v>
      </c>
      <c r="S101">
        <v>0</v>
      </c>
      <c r="T101" t="s">
        <v>80</v>
      </c>
      <c r="U101" t="s">
        <v>80</v>
      </c>
      <c r="V101" t="s">
        <v>863</v>
      </c>
      <c r="W101" t="s">
        <v>864</v>
      </c>
      <c r="X101" t="s">
        <v>865</v>
      </c>
      <c r="Y101" t="s">
        <v>866</v>
      </c>
      <c r="Z101" t="s">
        <v>80</v>
      </c>
      <c r="AA101" t="s">
        <v>85</v>
      </c>
      <c r="AC101" t="s">
        <v>867</v>
      </c>
      <c r="AD101" t="s">
        <v>87</v>
      </c>
      <c r="AH101" t="s">
        <v>91</v>
      </c>
      <c r="AI101" t="s">
        <v>92</v>
      </c>
      <c r="AJ101" t="s">
        <v>131</v>
      </c>
      <c r="AK101" t="s">
        <v>868</v>
      </c>
      <c r="AL101" t="s">
        <v>95</v>
      </c>
      <c r="AM101" t="s">
        <v>96</v>
      </c>
      <c r="AN101" t="s">
        <v>97</v>
      </c>
      <c r="AO101" t="s">
        <v>98</v>
      </c>
      <c r="AP101" t="s">
        <v>78</v>
      </c>
      <c r="AQ101" t="s">
        <v>78</v>
      </c>
      <c r="AR101" t="s">
        <v>353</v>
      </c>
      <c r="AS101" t="s">
        <v>78</v>
      </c>
      <c r="AT101" t="s">
        <v>100</v>
      </c>
      <c r="AU101" t="s">
        <v>100</v>
      </c>
      <c r="AW101" t="s">
        <v>85</v>
      </c>
      <c r="AX101" t="s">
        <v>101</v>
      </c>
      <c r="AY101" t="s">
        <v>102</v>
      </c>
      <c r="AZ101" t="s">
        <v>103</v>
      </c>
      <c r="BA101" t="s">
        <v>120</v>
      </c>
      <c r="BB101" t="s">
        <v>78</v>
      </c>
      <c r="BC101" t="s">
        <v>78</v>
      </c>
      <c r="BE101">
        <v>0</v>
      </c>
      <c r="BF101">
        <v>0</v>
      </c>
      <c r="BG101">
        <v>0</v>
      </c>
      <c r="BH101">
        <v>0</v>
      </c>
      <c r="BJ101" t="s">
        <v>85</v>
      </c>
      <c r="BP101" t="s">
        <v>78</v>
      </c>
      <c r="BQ101" t="s">
        <v>78</v>
      </c>
      <c r="BR101" t="s">
        <v>78</v>
      </c>
    </row>
    <row r="102" customFormat="1" spans="1:70">
      <c r="A102" t="s">
        <v>3961</v>
      </c>
      <c r="B102" t="s">
        <v>3961</v>
      </c>
      <c r="C102" t="s">
        <v>527</v>
      </c>
      <c r="D102" t="s">
        <v>123</v>
      </c>
      <c r="E102">
        <v>1</v>
      </c>
      <c r="F102" t="s">
        <v>3911</v>
      </c>
      <c r="G102" t="s">
        <v>529</v>
      </c>
      <c r="H102">
        <v>199</v>
      </c>
      <c r="I102">
        <v>199</v>
      </c>
      <c r="J102">
        <v>0</v>
      </c>
      <c r="K102">
        <v>0</v>
      </c>
      <c r="L102" t="s">
        <v>78</v>
      </c>
      <c r="M102" t="s">
        <v>78</v>
      </c>
      <c r="N102" t="s">
        <v>78</v>
      </c>
      <c r="O102">
        <v>0</v>
      </c>
      <c r="P102">
        <v>0</v>
      </c>
      <c r="Q102">
        <v>0</v>
      </c>
      <c r="R102" t="s">
        <v>111</v>
      </c>
      <c r="S102">
        <v>0</v>
      </c>
      <c r="T102" t="s">
        <v>80</v>
      </c>
      <c r="U102" t="s">
        <v>80</v>
      </c>
      <c r="V102" t="s">
        <v>574</v>
      </c>
      <c r="W102" t="s">
        <v>574</v>
      </c>
      <c r="X102" t="s">
        <v>870</v>
      </c>
      <c r="Y102" t="s">
        <v>871</v>
      </c>
      <c r="Z102" t="s">
        <v>80</v>
      </c>
      <c r="AA102" t="s">
        <v>85</v>
      </c>
      <c r="AC102" t="s">
        <v>872</v>
      </c>
      <c r="AD102" t="s">
        <v>87</v>
      </c>
      <c r="AH102" t="s">
        <v>873</v>
      </c>
      <c r="AI102" t="s">
        <v>92</v>
      </c>
      <c r="AJ102" t="s">
        <v>131</v>
      </c>
      <c r="AK102" t="s">
        <v>874</v>
      </c>
      <c r="AL102" t="s">
        <v>95</v>
      </c>
      <c r="AM102" t="s">
        <v>96</v>
      </c>
      <c r="AN102" t="s">
        <v>97</v>
      </c>
      <c r="AO102" t="s">
        <v>98</v>
      </c>
      <c r="AP102" t="s">
        <v>78</v>
      </c>
      <c r="AQ102" t="s">
        <v>78</v>
      </c>
      <c r="AR102" t="s">
        <v>353</v>
      </c>
      <c r="AS102" t="s">
        <v>78</v>
      </c>
      <c r="AT102" t="s">
        <v>100</v>
      </c>
      <c r="AU102" t="s">
        <v>100</v>
      </c>
      <c r="AW102" t="s">
        <v>85</v>
      </c>
      <c r="AX102" t="s">
        <v>103</v>
      </c>
      <c r="AY102" t="s">
        <v>159</v>
      </c>
      <c r="AZ102" t="s">
        <v>103</v>
      </c>
      <c r="BA102" t="s">
        <v>185</v>
      </c>
      <c r="BB102" t="s">
        <v>78</v>
      </c>
      <c r="BC102" t="s">
        <v>78</v>
      </c>
      <c r="BE102">
        <v>0</v>
      </c>
      <c r="BF102">
        <v>0</v>
      </c>
      <c r="BG102">
        <v>0</v>
      </c>
      <c r="BH102">
        <v>0</v>
      </c>
      <c r="BJ102" t="s">
        <v>85</v>
      </c>
      <c r="BP102" t="s">
        <v>78</v>
      </c>
      <c r="BQ102" t="s">
        <v>78</v>
      </c>
      <c r="BR102" t="s">
        <v>78</v>
      </c>
    </row>
    <row r="103" customFormat="1" spans="1:70">
      <c r="A103" t="s">
        <v>3962</v>
      </c>
      <c r="B103" t="s">
        <v>3962</v>
      </c>
      <c r="C103" t="s">
        <v>527</v>
      </c>
      <c r="D103" t="s">
        <v>108</v>
      </c>
      <c r="E103">
        <v>1</v>
      </c>
      <c r="F103" t="s">
        <v>3911</v>
      </c>
      <c r="G103" t="s">
        <v>674</v>
      </c>
      <c r="H103">
        <v>199</v>
      </c>
      <c r="I103">
        <v>214</v>
      </c>
      <c r="J103">
        <v>15</v>
      </c>
      <c r="K103">
        <v>0</v>
      </c>
      <c r="L103" t="s">
        <v>78</v>
      </c>
      <c r="M103" t="s">
        <v>78</v>
      </c>
      <c r="N103" t="s">
        <v>78</v>
      </c>
      <c r="O103">
        <v>0</v>
      </c>
      <c r="P103">
        <v>0</v>
      </c>
      <c r="Q103">
        <v>0</v>
      </c>
      <c r="R103" t="s">
        <v>876</v>
      </c>
      <c r="S103">
        <v>0</v>
      </c>
      <c r="T103" t="s">
        <v>80</v>
      </c>
      <c r="U103" t="s">
        <v>80</v>
      </c>
      <c r="V103" t="s">
        <v>863</v>
      </c>
      <c r="W103" t="s">
        <v>864</v>
      </c>
      <c r="X103" t="s">
        <v>865</v>
      </c>
      <c r="Y103" t="s">
        <v>866</v>
      </c>
      <c r="Z103" t="s">
        <v>80</v>
      </c>
      <c r="AA103" t="s">
        <v>85</v>
      </c>
      <c r="AC103" t="s">
        <v>877</v>
      </c>
      <c r="AD103" t="s">
        <v>87</v>
      </c>
      <c r="AH103" t="s">
        <v>91</v>
      </c>
      <c r="AI103" t="s">
        <v>92</v>
      </c>
      <c r="AJ103" t="s">
        <v>131</v>
      </c>
      <c r="AK103" t="s">
        <v>878</v>
      </c>
      <c r="AL103" t="s">
        <v>95</v>
      </c>
      <c r="AM103" t="s">
        <v>96</v>
      </c>
      <c r="AN103" t="s">
        <v>97</v>
      </c>
      <c r="AO103" t="s">
        <v>98</v>
      </c>
      <c r="AP103" t="s">
        <v>78</v>
      </c>
      <c r="AQ103" t="s">
        <v>78</v>
      </c>
      <c r="AR103" t="s">
        <v>879</v>
      </c>
      <c r="AS103" t="s">
        <v>78</v>
      </c>
      <c r="AT103" t="s">
        <v>100</v>
      </c>
      <c r="AU103" t="s">
        <v>100</v>
      </c>
      <c r="AW103" t="s">
        <v>85</v>
      </c>
      <c r="AX103" t="s">
        <v>101</v>
      </c>
      <c r="AY103" t="s">
        <v>102</v>
      </c>
      <c r="AZ103" t="s">
        <v>103</v>
      </c>
      <c r="BA103" t="s">
        <v>120</v>
      </c>
      <c r="BB103" t="s">
        <v>78</v>
      </c>
      <c r="BC103" t="s">
        <v>78</v>
      </c>
      <c r="BE103">
        <v>0</v>
      </c>
      <c r="BF103">
        <v>0</v>
      </c>
      <c r="BG103">
        <v>0</v>
      </c>
      <c r="BH103">
        <v>0</v>
      </c>
      <c r="BJ103" t="s">
        <v>85</v>
      </c>
      <c r="BP103" t="s">
        <v>78</v>
      </c>
      <c r="BQ103" t="s">
        <v>78</v>
      </c>
      <c r="BR103" t="s">
        <v>78</v>
      </c>
    </row>
    <row r="104" customFormat="1" spans="1:70">
      <c r="A104" t="s">
        <v>3963</v>
      </c>
      <c r="B104" t="s">
        <v>3963</v>
      </c>
      <c r="C104" t="s">
        <v>107</v>
      </c>
      <c r="D104" t="s">
        <v>108</v>
      </c>
      <c r="E104">
        <v>1</v>
      </c>
      <c r="F104" t="s">
        <v>3857</v>
      </c>
      <c r="G104" t="s">
        <v>110</v>
      </c>
      <c r="H104">
        <v>289</v>
      </c>
      <c r="I104">
        <v>289</v>
      </c>
      <c r="J104">
        <v>0</v>
      </c>
      <c r="K104">
        <v>0</v>
      </c>
      <c r="L104" t="s">
        <v>78</v>
      </c>
      <c r="M104" t="s">
        <v>78</v>
      </c>
      <c r="N104" t="s">
        <v>78</v>
      </c>
      <c r="O104">
        <v>0</v>
      </c>
      <c r="P104">
        <v>0</v>
      </c>
      <c r="Q104">
        <v>0</v>
      </c>
      <c r="R104" t="s">
        <v>111</v>
      </c>
      <c r="S104">
        <v>0</v>
      </c>
      <c r="T104" t="s">
        <v>80</v>
      </c>
      <c r="U104" t="s">
        <v>80</v>
      </c>
      <c r="V104" t="s">
        <v>112</v>
      </c>
      <c r="W104" t="s">
        <v>113</v>
      </c>
      <c r="X104" t="s">
        <v>881</v>
      </c>
      <c r="Y104" t="s">
        <v>882</v>
      </c>
      <c r="Z104" t="s">
        <v>80</v>
      </c>
      <c r="AA104" t="s">
        <v>85</v>
      </c>
      <c r="AC104" t="s">
        <v>883</v>
      </c>
      <c r="AD104" t="s">
        <v>87</v>
      </c>
      <c r="AG104" t="s">
        <v>884</v>
      </c>
      <c r="AH104" t="s">
        <v>91</v>
      </c>
      <c r="AI104" t="s">
        <v>92</v>
      </c>
      <c r="AJ104" t="s">
        <v>131</v>
      </c>
      <c r="AK104" t="s">
        <v>885</v>
      </c>
      <c r="AL104" t="s">
        <v>95</v>
      </c>
      <c r="AM104" t="s">
        <v>96</v>
      </c>
      <c r="AN104" t="s">
        <v>97</v>
      </c>
      <c r="AO104" t="s">
        <v>98</v>
      </c>
      <c r="AP104" t="s">
        <v>78</v>
      </c>
      <c r="AQ104" t="s">
        <v>99</v>
      </c>
      <c r="AS104" t="s">
        <v>78</v>
      </c>
      <c r="AT104" t="s">
        <v>100</v>
      </c>
      <c r="AU104" t="s">
        <v>100</v>
      </c>
      <c r="AW104" t="s">
        <v>85</v>
      </c>
      <c r="AX104" t="s">
        <v>101</v>
      </c>
      <c r="AY104" t="s">
        <v>102</v>
      </c>
      <c r="AZ104" t="s">
        <v>103</v>
      </c>
      <c r="BA104" t="s">
        <v>133</v>
      </c>
      <c r="BB104" t="s">
        <v>78</v>
      </c>
      <c r="BC104" t="s">
        <v>78</v>
      </c>
      <c r="BE104">
        <v>0</v>
      </c>
      <c r="BF104">
        <v>0</v>
      </c>
      <c r="BG104">
        <v>0</v>
      </c>
      <c r="BH104">
        <v>0</v>
      </c>
      <c r="BJ104" t="s">
        <v>85</v>
      </c>
      <c r="BP104" t="s">
        <v>78</v>
      </c>
      <c r="BQ104" t="s">
        <v>78</v>
      </c>
      <c r="BR104" t="s">
        <v>78</v>
      </c>
    </row>
    <row r="105" customFormat="1" spans="1:70">
      <c r="A105" t="s">
        <v>3964</v>
      </c>
      <c r="B105" t="s">
        <v>3964</v>
      </c>
      <c r="C105" t="s">
        <v>527</v>
      </c>
      <c r="D105" t="s">
        <v>123</v>
      </c>
      <c r="E105">
        <v>1</v>
      </c>
      <c r="F105" t="s">
        <v>3911</v>
      </c>
      <c r="G105" t="s">
        <v>529</v>
      </c>
      <c r="H105">
        <v>199</v>
      </c>
      <c r="I105">
        <v>199</v>
      </c>
      <c r="J105">
        <v>0</v>
      </c>
      <c r="K105">
        <v>0</v>
      </c>
      <c r="L105" t="s">
        <v>78</v>
      </c>
      <c r="M105" t="s">
        <v>78</v>
      </c>
      <c r="N105" t="s">
        <v>78</v>
      </c>
      <c r="O105">
        <v>0</v>
      </c>
      <c r="P105">
        <v>0</v>
      </c>
      <c r="Q105">
        <v>0</v>
      </c>
      <c r="R105" t="s">
        <v>125</v>
      </c>
      <c r="S105">
        <v>0</v>
      </c>
      <c r="T105" t="s">
        <v>80</v>
      </c>
      <c r="U105" t="s">
        <v>80</v>
      </c>
      <c r="V105" t="s">
        <v>887</v>
      </c>
      <c r="W105" t="s">
        <v>888</v>
      </c>
      <c r="X105" t="s">
        <v>889</v>
      </c>
      <c r="Y105" t="s">
        <v>890</v>
      </c>
      <c r="Z105" t="s">
        <v>80</v>
      </c>
      <c r="AA105" t="s">
        <v>85</v>
      </c>
      <c r="AC105" t="s">
        <v>891</v>
      </c>
      <c r="AD105" t="s">
        <v>87</v>
      </c>
      <c r="AH105" t="s">
        <v>183</v>
      </c>
      <c r="AI105" t="s">
        <v>92</v>
      </c>
      <c r="AJ105" t="s">
        <v>131</v>
      </c>
      <c r="AK105" t="s">
        <v>892</v>
      </c>
      <c r="AL105" t="s">
        <v>95</v>
      </c>
      <c r="AM105" t="s">
        <v>96</v>
      </c>
      <c r="AN105" t="s">
        <v>97</v>
      </c>
      <c r="AO105" t="s">
        <v>98</v>
      </c>
      <c r="AP105" t="s">
        <v>78</v>
      </c>
      <c r="AQ105" t="s">
        <v>78</v>
      </c>
      <c r="AR105" t="s">
        <v>353</v>
      </c>
      <c r="AS105" t="s">
        <v>78</v>
      </c>
      <c r="AT105" t="s">
        <v>100</v>
      </c>
      <c r="AU105" t="s">
        <v>100</v>
      </c>
      <c r="AW105" t="s">
        <v>85</v>
      </c>
      <c r="AX105" t="s">
        <v>103</v>
      </c>
      <c r="AY105" t="s">
        <v>159</v>
      </c>
      <c r="AZ105" t="s">
        <v>103</v>
      </c>
      <c r="BA105" t="s">
        <v>185</v>
      </c>
      <c r="BB105" t="s">
        <v>78</v>
      </c>
      <c r="BC105" t="s">
        <v>78</v>
      </c>
      <c r="BE105">
        <v>0</v>
      </c>
      <c r="BF105">
        <v>0</v>
      </c>
      <c r="BG105">
        <v>0</v>
      </c>
      <c r="BH105">
        <v>0</v>
      </c>
      <c r="BJ105" t="s">
        <v>85</v>
      </c>
      <c r="BP105" t="s">
        <v>78</v>
      </c>
      <c r="BQ105" t="s">
        <v>78</v>
      </c>
      <c r="BR105" t="s">
        <v>78</v>
      </c>
    </row>
    <row r="106" customFormat="1" spans="1:70">
      <c r="A106" t="s">
        <v>3965</v>
      </c>
      <c r="B106" t="s">
        <v>3965</v>
      </c>
      <c r="C106" t="s">
        <v>527</v>
      </c>
      <c r="D106" t="s">
        <v>135</v>
      </c>
      <c r="E106">
        <v>1</v>
      </c>
      <c r="F106" t="s">
        <v>3911</v>
      </c>
      <c r="G106" t="s">
        <v>540</v>
      </c>
      <c r="H106">
        <v>199</v>
      </c>
      <c r="I106">
        <v>199</v>
      </c>
      <c r="J106">
        <v>0</v>
      </c>
      <c r="K106">
        <v>0</v>
      </c>
      <c r="L106" t="s">
        <v>78</v>
      </c>
      <c r="M106" t="s">
        <v>78</v>
      </c>
      <c r="N106" t="s">
        <v>78</v>
      </c>
      <c r="O106">
        <v>0</v>
      </c>
      <c r="P106">
        <v>0</v>
      </c>
      <c r="Q106">
        <v>0</v>
      </c>
      <c r="R106" t="s">
        <v>125</v>
      </c>
      <c r="S106">
        <v>0</v>
      </c>
      <c r="T106" t="s">
        <v>80</v>
      </c>
      <c r="U106" t="s">
        <v>80</v>
      </c>
      <c r="V106" t="s">
        <v>894</v>
      </c>
      <c r="W106" t="s">
        <v>895</v>
      </c>
      <c r="X106" t="s">
        <v>896</v>
      </c>
      <c r="Y106" t="s">
        <v>897</v>
      </c>
      <c r="Z106" t="s">
        <v>80</v>
      </c>
      <c r="AA106" t="s">
        <v>85</v>
      </c>
      <c r="AC106" t="s">
        <v>898</v>
      </c>
      <c r="AD106" t="s">
        <v>87</v>
      </c>
      <c r="AH106" t="s">
        <v>183</v>
      </c>
      <c r="AI106" t="s">
        <v>92</v>
      </c>
      <c r="AJ106" t="s">
        <v>131</v>
      </c>
      <c r="AK106" t="s">
        <v>899</v>
      </c>
      <c r="AL106" t="s">
        <v>95</v>
      </c>
      <c r="AM106" t="s">
        <v>96</v>
      </c>
      <c r="AN106" t="s">
        <v>97</v>
      </c>
      <c r="AO106" t="s">
        <v>98</v>
      </c>
      <c r="AP106" t="s">
        <v>78</v>
      </c>
      <c r="AQ106" t="s">
        <v>78</v>
      </c>
      <c r="AR106" t="s">
        <v>353</v>
      </c>
      <c r="AS106" t="s">
        <v>78</v>
      </c>
      <c r="AT106" t="s">
        <v>100</v>
      </c>
      <c r="AU106" t="s">
        <v>100</v>
      </c>
      <c r="AW106" t="s">
        <v>85</v>
      </c>
      <c r="AX106" t="s">
        <v>103</v>
      </c>
      <c r="AY106" t="s">
        <v>159</v>
      </c>
      <c r="AZ106" t="s">
        <v>103</v>
      </c>
      <c r="BA106" t="s">
        <v>185</v>
      </c>
      <c r="BB106" t="s">
        <v>78</v>
      </c>
      <c r="BC106" t="s">
        <v>78</v>
      </c>
      <c r="BE106">
        <v>0</v>
      </c>
      <c r="BF106">
        <v>0</v>
      </c>
      <c r="BG106">
        <v>0</v>
      </c>
      <c r="BH106">
        <v>0</v>
      </c>
      <c r="BJ106" t="s">
        <v>85</v>
      </c>
      <c r="BP106" t="s">
        <v>78</v>
      </c>
      <c r="BQ106" t="s">
        <v>78</v>
      </c>
      <c r="BR106" t="s">
        <v>78</v>
      </c>
    </row>
    <row r="107" customFormat="1" spans="1:70">
      <c r="A107" t="s">
        <v>3966</v>
      </c>
      <c r="B107" t="s">
        <v>3966</v>
      </c>
      <c r="C107" t="s">
        <v>107</v>
      </c>
      <c r="D107" t="s">
        <v>108</v>
      </c>
      <c r="E107">
        <v>1</v>
      </c>
      <c r="F107" t="s">
        <v>3857</v>
      </c>
      <c r="G107" t="s">
        <v>110</v>
      </c>
      <c r="H107">
        <v>289</v>
      </c>
      <c r="I107">
        <v>289</v>
      </c>
      <c r="J107">
        <v>0</v>
      </c>
      <c r="K107">
        <v>0</v>
      </c>
      <c r="L107" t="s">
        <v>78</v>
      </c>
      <c r="M107" t="s">
        <v>78</v>
      </c>
      <c r="N107" t="s">
        <v>78</v>
      </c>
      <c r="O107">
        <v>0</v>
      </c>
      <c r="P107">
        <v>0</v>
      </c>
      <c r="Q107">
        <v>0</v>
      </c>
      <c r="R107" t="s">
        <v>125</v>
      </c>
      <c r="S107">
        <v>0</v>
      </c>
      <c r="T107" t="s">
        <v>80</v>
      </c>
      <c r="U107" t="s">
        <v>80</v>
      </c>
      <c r="V107" t="s">
        <v>347</v>
      </c>
      <c r="W107" t="s">
        <v>901</v>
      </c>
      <c r="X107" t="s">
        <v>902</v>
      </c>
      <c r="Y107" t="s">
        <v>78</v>
      </c>
      <c r="Z107" t="s">
        <v>80</v>
      </c>
      <c r="AA107" t="s">
        <v>85</v>
      </c>
      <c r="AC107" t="s">
        <v>903</v>
      </c>
      <c r="AD107" t="s">
        <v>87</v>
      </c>
      <c r="AH107" t="s">
        <v>401</v>
      </c>
      <c r="AI107" t="s">
        <v>92</v>
      </c>
      <c r="AJ107" t="s">
        <v>131</v>
      </c>
      <c r="AK107" t="s">
        <v>904</v>
      </c>
      <c r="AL107" t="s">
        <v>95</v>
      </c>
      <c r="AM107" t="s">
        <v>96</v>
      </c>
      <c r="AN107" t="s">
        <v>97</v>
      </c>
      <c r="AO107" t="s">
        <v>98</v>
      </c>
      <c r="AP107" t="s">
        <v>78</v>
      </c>
      <c r="AQ107" t="s">
        <v>78</v>
      </c>
      <c r="AR107" t="s">
        <v>353</v>
      </c>
      <c r="AS107" t="s">
        <v>78</v>
      </c>
      <c r="AT107" t="s">
        <v>100</v>
      </c>
      <c r="AU107" t="s">
        <v>100</v>
      </c>
      <c r="AW107" t="s">
        <v>85</v>
      </c>
      <c r="AX107" t="s">
        <v>103</v>
      </c>
      <c r="AY107" t="s">
        <v>159</v>
      </c>
      <c r="AZ107" t="s">
        <v>103</v>
      </c>
      <c r="BA107" t="s">
        <v>102</v>
      </c>
      <c r="BB107" t="s">
        <v>78</v>
      </c>
      <c r="BC107" t="s">
        <v>78</v>
      </c>
      <c r="BE107">
        <v>0</v>
      </c>
      <c r="BF107">
        <v>0</v>
      </c>
      <c r="BG107">
        <v>0</v>
      </c>
      <c r="BH107">
        <v>0</v>
      </c>
      <c r="BJ107" t="s">
        <v>85</v>
      </c>
      <c r="BP107" t="s">
        <v>78</v>
      </c>
      <c r="BQ107" t="s">
        <v>78</v>
      </c>
      <c r="BR107" t="s">
        <v>78</v>
      </c>
    </row>
    <row r="108" customFormat="1" spans="1:70">
      <c r="A108" t="s">
        <v>3967</v>
      </c>
      <c r="B108" t="s">
        <v>3967</v>
      </c>
      <c r="C108" t="s">
        <v>527</v>
      </c>
      <c r="D108" t="s">
        <v>135</v>
      </c>
      <c r="E108">
        <v>1</v>
      </c>
      <c r="F108" t="s">
        <v>3911</v>
      </c>
      <c r="G108" t="s">
        <v>540</v>
      </c>
      <c r="H108">
        <v>199</v>
      </c>
      <c r="I108">
        <v>199</v>
      </c>
      <c r="J108">
        <v>0</v>
      </c>
      <c r="K108">
        <v>0</v>
      </c>
      <c r="L108" t="s">
        <v>78</v>
      </c>
      <c r="M108" t="s">
        <v>78</v>
      </c>
      <c r="N108" t="s">
        <v>78</v>
      </c>
      <c r="O108">
        <v>0</v>
      </c>
      <c r="P108">
        <v>0</v>
      </c>
      <c r="Q108">
        <v>0</v>
      </c>
      <c r="R108" t="s">
        <v>79</v>
      </c>
      <c r="S108">
        <v>0</v>
      </c>
      <c r="T108" t="s">
        <v>80</v>
      </c>
      <c r="U108" t="s">
        <v>80</v>
      </c>
      <c r="V108" t="s">
        <v>112</v>
      </c>
      <c r="W108" t="s">
        <v>906</v>
      </c>
      <c r="X108" t="s">
        <v>907</v>
      </c>
      <c r="Y108" t="s">
        <v>908</v>
      </c>
      <c r="Z108" t="s">
        <v>80</v>
      </c>
      <c r="AA108" t="s">
        <v>85</v>
      </c>
      <c r="AC108" t="s">
        <v>909</v>
      </c>
      <c r="AD108" t="s">
        <v>87</v>
      </c>
      <c r="AG108" t="s">
        <v>910</v>
      </c>
      <c r="AH108" t="s">
        <v>91</v>
      </c>
      <c r="AI108" t="s">
        <v>92</v>
      </c>
      <c r="AJ108" t="s">
        <v>131</v>
      </c>
      <c r="AK108" t="s">
        <v>911</v>
      </c>
      <c r="AL108" t="s">
        <v>95</v>
      </c>
      <c r="AM108" t="s">
        <v>96</v>
      </c>
      <c r="AN108" t="s">
        <v>97</v>
      </c>
      <c r="AO108" t="s">
        <v>98</v>
      </c>
      <c r="AP108" t="s">
        <v>78</v>
      </c>
      <c r="AQ108" t="s">
        <v>99</v>
      </c>
      <c r="AS108" t="s">
        <v>78</v>
      </c>
      <c r="AT108" t="s">
        <v>100</v>
      </c>
      <c r="AU108" t="s">
        <v>100</v>
      </c>
      <c r="AW108" t="s">
        <v>85</v>
      </c>
      <c r="AX108" t="s">
        <v>101</v>
      </c>
      <c r="AY108" t="s">
        <v>102</v>
      </c>
      <c r="AZ108" t="s">
        <v>103</v>
      </c>
      <c r="BA108" t="s">
        <v>133</v>
      </c>
      <c r="BB108" t="s">
        <v>78</v>
      </c>
      <c r="BC108" t="s">
        <v>78</v>
      </c>
      <c r="BE108">
        <v>0</v>
      </c>
      <c r="BF108">
        <v>0</v>
      </c>
      <c r="BG108">
        <v>0</v>
      </c>
      <c r="BH108">
        <v>0</v>
      </c>
      <c r="BJ108" t="s">
        <v>85</v>
      </c>
      <c r="BP108" t="s">
        <v>78</v>
      </c>
      <c r="BQ108" t="s">
        <v>78</v>
      </c>
      <c r="BR108" t="s">
        <v>78</v>
      </c>
    </row>
    <row r="109" customFormat="1" spans="1:70">
      <c r="A109" t="s">
        <v>3968</v>
      </c>
      <c r="B109" t="s">
        <v>3968</v>
      </c>
      <c r="C109" t="s">
        <v>527</v>
      </c>
      <c r="D109" t="s">
        <v>108</v>
      </c>
      <c r="E109">
        <v>1</v>
      </c>
      <c r="F109" t="s">
        <v>3911</v>
      </c>
      <c r="G109" t="s">
        <v>674</v>
      </c>
      <c r="H109">
        <v>199</v>
      </c>
      <c r="I109">
        <v>199</v>
      </c>
      <c r="J109">
        <v>0</v>
      </c>
      <c r="K109">
        <v>0</v>
      </c>
      <c r="L109" t="s">
        <v>78</v>
      </c>
      <c r="M109" t="s">
        <v>78</v>
      </c>
      <c r="N109" t="s">
        <v>78</v>
      </c>
      <c r="O109">
        <v>0</v>
      </c>
      <c r="P109">
        <v>0</v>
      </c>
      <c r="Q109">
        <v>0</v>
      </c>
      <c r="R109" t="s">
        <v>125</v>
      </c>
      <c r="S109">
        <v>0</v>
      </c>
      <c r="T109" t="s">
        <v>80</v>
      </c>
      <c r="U109" t="s">
        <v>80</v>
      </c>
      <c r="V109" t="s">
        <v>239</v>
      </c>
      <c r="W109" t="s">
        <v>913</v>
      </c>
      <c r="X109" t="s">
        <v>914</v>
      </c>
      <c r="Y109" t="s">
        <v>915</v>
      </c>
      <c r="Z109" t="s">
        <v>80</v>
      </c>
      <c r="AA109" t="s">
        <v>85</v>
      </c>
      <c r="AC109" t="s">
        <v>916</v>
      </c>
      <c r="AD109" t="s">
        <v>87</v>
      </c>
      <c r="AG109" t="s">
        <v>917</v>
      </c>
      <c r="AH109" t="s">
        <v>91</v>
      </c>
      <c r="AI109" t="s">
        <v>92</v>
      </c>
      <c r="AJ109" t="s">
        <v>131</v>
      </c>
      <c r="AK109" t="s">
        <v>918</v>
      </c>
      <c r="AL109" t="s">
        <v>95</v>
      </c>
      <c r="AM109" t="s">
        <v>96</v>
      </c>
      <c r="AN109" t="s">
        <v>97</v>
      </c>
      <c r="AO109" t="s">
        <v>98</v>
      </c>
      <c r="AP109" t="s">
        <v>78</v>
      </c>
      <c r="AQ109" t="s">
        <v>99</v>
      </c>
      <c r="AS109" t="s">
        <v>78</v>
      </c>
      <c r="AT109" t="s">
        <v>100</v>
      </c>
      <c r="AU109" t="s">
        <v>100</v>
      </c>
      <c r="AW109" t="s">
        <v>85</v>
      </c>
      <c r="AX109" t="s">
        <v>101</v>
      </c>
      <c r="AY109" t="s">
        <v>102</v>
      </c>
      <c r="AZ109" t="s">
        <v>103</v>
      </c>
      <c r="BA109" t="s">
        <v>133</v>
      </c>
      <c r="BB109" t="s">
        <v>78</v>
      </c>
      <c r="BC109" t="s">
        <v>78</v>
      </c>
      <c r="BE109">
        <v>0</v>
      </c>
      <c r="BF109">
        <v>0</v>
      </c>
      <c r="BG109">
        <v>0</v>
      </c>
      <c r="BH109">
        <v>0</v>
      </c>
      <c r="BJ109" t="s">
        <v>85</v>
      </c>
      <c r="BP109" t="s">
        <v>78</v>
      </c>
      <c r="BQ109" t="s">
        <v>78</v>
      </c>
      <c r="BR109" t="s">
        <v>78</v>
      </c>
    </row>
    <row r="110" customFormat="1" spans="1:70">
      <c r="A110" t="s">
        <v>3969</v>
      </c>
      <c r="B110" t="s">
        <v>3969</v>
      </c>
      <c r="C110" t="s">
        <v>527</v>
      </c>
      <c r="D110" t="s">
        <v>135</v>
      </c>
      <c r="E110">
        <v>1</v>
      </c>
      <c r="F110" t="s">
        <v>3911</v>
      </c>
      <c r="G110" t="s">
        <v>540</v>
      </c>
      <c r="H110">
        <v>199</v>
      </c>
      <c r="I110">
        <v>199</v>
      </c>
      <c r="J110">
        <v>0</v>
      </c>
      <c r="K110">
        <v>0</v>
      </c>
      <c r="L110" t="s">
        <v>78</v>
      </c>
      <c r="M110" t="s">
        <v>78</v>
      </c>
      <c r="N110" t="s">
        <v>78</v>
      </c>
      <c r="O110">
        <v>0</v>
      </c>
      <c r="P110">
        <v>0</v>
      </c>
      <c r="Q110">
        <v>0</v>
      </c>
      <c r="R110" t="s">
        <v>125</v>
      </c>
      <c r="S110">
        <v>0</v>
      </c>
      <c r="T110" t="s">
        <v>80</v>
      </c>
      <c r="U110" t="s">
        <v>80</v>
      </c>
      <c r="V110" t="s">
        <v>583</v>
      </c>
      <c r="W110" t="s">
        <v>920</v>
      </c>
      <c r="X110" t="s">
        <v>921</v>
      </c>
      <c r="Y110" t="s">
        <v>78</v>
      </c>
      <c r="Z110" t="s">
        <v>80</v>
      </c>
      <c r="AA110" t="s">
        <v>85</v>
      </c>
      <c r="AC110" t="s">
        <v>922</v>
      </c>
      <c r="AD110" t="s">
        <v>87</v>
      </c>
      <c r="AG110" t="s">
        <v>923</v>
      </c>
      <c r="AH110" t="s">
        <v>91</v>
      </c>
      <c r="AI110" t="s">
        <v>92</v>
      </c>
      <c r="AJ110" t="s">
        <v>131</v>
      </c>
      <c r="AK110" t="s">
        <v>924</v>
      </c>
      <c r="AL110" t="s">
        <v>95</v>
      </c>
      <c r="AM110" t="s">
        <v>96</v>
      </c>
      <c r="AN110" t="s">
        <v>97</v>
      </c>
      <c r="AO110" t="s">
        <v>98</v>
      </c>
      <c r="AP110" t="s">
        <v>78</v>
      </c>
      <c r="AQ110" t="s">
        <v>99</v>
      </c>
      <c r="AS110" t="s">
        <v>78</v>
      </c>
      <c r="AT110" t="s">
        <v>100</v>
      </c>
      <c r="AU110" t="s">
        <v>100</v>
      </c>
      <c r="AW110" t="s">
        <v>85</v>
      </c>
      <c r="AX110" t="s">
        <v>101</v>
      </c>
      <c r="AY110" t="s">
        <v>102</v>
      </c>
      <c r="AZ110" t="s">
        <v>103</v>
      </c>
      <c r="BA110" t="s">
        <v>419</v>
      </c>
      <c r="BB110" t="s">
        <v>78</v>
      </c>
      <c r="BC110" t="s">
        <v>78</v>
      </c>
      <c r="BE110">
        <v>0</v>
      </c>
      <c r="BF110">
        <v>0</v>
      </c>
      <c r="BG110">
        <v>0</v>
      </c>
      <c r="BH110">
        <v>0</v>
      </c>
      <c r="BJ110" t="s">
        <v>85</v>
      </c>
      <c r="BP110" t="s">
        <v>78</v>
      </c>
      <c r="BQ110" t="s">
        <v>78</v>
      </c>
      <c r="BR110" t="s">
        <v>78</v>
      </c>
    </row>
    <row r="111" customFormat="1" spans="1:70">
      <c r="A111" t="s">
        <v>3970</v>
      </c>
      <c r="B111" t="s">
        <v>3970</v>
      </c>
      <c r="C111" t="s">
        <v>107</v>
      </c>
      <c r="D111" t="s">
        <v>108</v>
      </c>
      <c r="E111">
        <v>1</v>
      </c>
      <c r="F111" t="s">
        <v>3857</v>
      </c>
      <c r="G111" t="s">
        <v>110</v>
      </c>
      <c r="H111">
        <v>289</v>
      </c>
      <c r="I111">
        <v>289</v>
      </c>
      <c r="J111">
        <v>0</v>
      </c>
      <c r="K111">
        <v>0</v>
      </c>
      <c r="L111" t="s">
        <v>78</v>
      </c>
      <c r="M111" t="s">
        <v>78</v>
      </c>
      <c r="N111" t="s">
        <v>78</v>
      </c>
      <c r="O111">
        <v>0</v>
      </c>
      <c r="P111">
        <v>0</v>
      </c>
      <c r="Q111">
        <v>0</v>
      </c>
      <c r="R111" t="s">
        <v>111</v>
      </c>
      <c r="S111">
        <v>0</v>
      </c>
      <c r="T111" t="s">
        <v>80</v>
      </c>
      <c r="U111" t="s">
        <v>80</v>
      </c>
      <c r="V111" t="s">
        <v>574</v>
      </c>
      <c r="W111" t="s">
        <v>574</v>
      </c>
      <c r="X111" t="s">
        <v>926</v>
      </c>
      <c r="Y111" t="s">
        <v>927</v>
      </c>
      <c r="Z111" t="s">
        <v>80</v>
      </c>
      <c r="AA111" t="s">
        <v>85</v>
      </c>
      <c r="AC111" t="s">
        <v>928</v>
      </c>
      <c r="AD111" t="s">
        <v>87</v>
      </c>
      <c r="AH111" t="s">
        <v>873</v>
      </c>
      <c r="AI111" t="s">
        <v>92</v>
      </c>
      <c r="AJ111" t="s">
        <v>131</v>
      </c>
      <c r="AK111" t="s">
        <v>929</v>
      </c>
      <c r="AL111" t="s">
        <v>95</v>
      </c>
      <c r="AM111" t="s">
        <v>96</v>
      </c>
      <c r="AN111" t="s">
        <v>97</v>
      </c>
      <c r="AO111" t="s">
        <v>98</v>
      </c>
      <c r="AP111" t="s">
        <v>78</v>
      </c>
      <c r="AQ111" t="s">
        <v>78</v>
      </c>
      <c r="AR111" t="s">
        <v>353</v>
      </c>
      <c r="AS111" t="s">
        <v>78</v>
      </c>
      <c r="AT111" t="s">
        <v>100</v>
      </c>
      <c r="AU111" t="s">
        <v>100</v>
      </c>
      <c r="AW111" t="s">
        <v>85</v>
      </c>
      <c r="AX111" t="s">
        <v>103</v>
      </c>
      <c r="AY111" t="s">
        <v>159</v>
      </c>
      <c r="AZ111" t="s">
        <v>103</v>
      </c>
      <c r="BA111" t="s">
        <v>185</v>
      </c>
      <c r="BB111" t="s">
        <v>78</v>
      </c>
      <c r="BC111" t="s">
        <v>78</v>
      </c>
      <c r="BE111">
        <v>0</v>
      </c>
      <c r="BF111">
        <v>0</v>
      </c>
      <c r="BG111">
        <v>0</v>
      </c>
      <c r="BH111">
        <v>0</v>
      </c>
      <c r="BJ111" t="s">
        <v>85</v>
      </c>
      <c r="BP111" t="s">
        <v>78</v>
      </c>
      <c r="BQ111" t="s">
        <v>78</v>
      </c>
      <c r="BR111" t="s">
        <v>78</v>
      </c>
    </row>
    <row r="112" customFormat="1" spans="1:70">
      <c r="A112" t="s">
        <v>3971</v>
      </c>
      <c r="B112" t="s">
        <v>3971</v>
      </c>
      <c r="C112" t="s">
        <v>107</v>
      </c>
      <c r="D112" t="s">
        <v>123</v>
      </c>
      <c r="E112">
        <v>1</v>
      </c>
      <c r="F112" t="s">
        <v>3857</v>
      </c>
      <c r="G112" t="s">
        <v>124</v>
      </c>
      <c r="H112">
        <v>289</v>
      </c>
      <c r="I112">
        <v>289</v>
      </c>
      <c r="J112">
        <v>0</v>
      </c>
      <c r="K112">
        <v>0</v>
      </c>
      <c r="L112" t="s">
        <v>78</v>
      </c>
      <c r="M112" t="s">
        <v>78</v>
      </c>
      <c r="N112" t="s">
        <v>78</v>
      </c>
      <c r="O112">
        <v>0</v>
      </c>
      <c r="P112">
        <v>0</v>
      </c>
      <c r="Q112">
        <v>0</v>
      </c>
      <c r="R112" t="s">
        <v>79</v>
      </c>
      <c r="S112">
        <v>0</v>
      </c>
      <c r="T112" t="s">
        <v>80</v>
      </c>
      <c r="U112" t="s">
        <v>80</v>
      </c>
      <c r="V112" t="s">
        <v>509</v>
      </c>
      <c r="W112" t="s">
        <v>623</v>
      </c>
      <c r="X112" t="s">
        <v>931</v>
      </c>
      <c r="Y112" t="s">
        <v>932</v>
      </c>
      <c r="Z112" t="s">
        <v>80</v>
      </c>
      <c r="AA112" t="s">
        <v>85</v>
      </c>
      <c r="AC112" t="s">
        <v>933</v>
      </c>
      <c r="AD112" t="s">
        <v>362</v>
      </c>
      <c r="AE112" t="s">
        <v>934</v>
      </c>
      <c r="AF112" t="s">
        <v>935</v>
      </c>
      <c r="AG112" t="s">
        <v>936</v>
      </c>
      <c r="AH112" t="s">
        <v>91</v>
      </c>
      <c r="AI112" t="s">
        <v>92</v>
      </c>
      <c r="AJ112" t="s">
        <v>93</v>
      </c>
      <c r="AK112" t="s">
        <v>937</v>
      </c>
      <c r="AL112" t="s">
        <v>95</v>
      </c>
      <c r="AM112" t="s">
        <v>96</v>
      </c>
      <c r="AN112" t="s">
        <v>97</v>
      </c>
      <c r="AO112" t="s">
        <v>98</v>
      </c>
      <c r="AP112" t="s">
        <v>78</v>
      </c>
      <c r="AQ112" t="s">
        <v>428</v>
      </c>
      <c r="AS112" t="s">
        <v>78</v>
      </c>
      <c r="AT112" t="s">
        <v>100</v>
      </c>
      <c r="AU112" t="s">
        <v>100</v>
      </c>
      <c r="AW112" t="s">
        <v>85</v>
      </c>
      <c r="AX112" t="s">
        <v>103</v>
      </c>
      <c r="AY112" t="s">
        <v>159</v>
      </c>
      <c r="AZ112" t="s">
        <v>103</v>
      </c>
      <c r="BA112" t="s">
        <v>104</v>
      </c>
      <c r="BB112" t="s">
        <v>78</v>
      </c>
      <c r="BC112" t="s">
        <v>78</v>
      </c>
      <c r="BD112" t="s">
        <v>705</v>
      </c>
      <c r="BE112">
        <v>0</v>
      </c>
      <c r="BF112">
        <v>0</v>
      </c>
      <c r="BG112">
        <v>0</v>
      </c>
      <c r="BH112">
        <v>0</v>
      </c>
      <c r="BJ112" t="s">
        <v>85</v>
      </c>
      <c r="BP112" t="s">
        <v>78</v>
      </c>
      <c r="BQ112" t="s">
        <v>78</v>
      </c>
      <c r="BR112" t="s">
        <v>78</v>
      </c>
    </row>
    <row r="113" customFormat="1" spans="1:70">
      <c r="A113" t="s">
        <v>3972</v>
      </c>
      <c r="B113" t="s">
        <v>3972</v>
      </c>
      <c r="C113" t="s">
        <v>527</v>
      </c>
      <c r="D113" t="s">
        <v>123</v>
      </c>
      <c r="E113">
        <v>1</v>
      </c>
      <c r="F113" t="s">
        <v>3911</v>
      </c>
      <c r="G113" t="s">
        <v>529</v>
      </c>
      <c r="H113">
        <v>199</v>
      </c>
      <c r="I113">
        <v>199</v>
      </c>
      <c r="J113">
        <v>0</v>
      </c>
      <c r="K113">
        <v>0</v>
      </c>
      <c r="L113" t="s">
        <v>78</v>
      </c>
      <c r="M113" t="s">
        <v>78</v>
      </c>
      <c r="N113" t="s">
        <v>78</v>
      </c>
      <c r="O113">
        <v>0</v>
      </c>
      <c r="P113">
        <v>0</v>
      </c>
      <c r="Q113">
        <v>0</v>
      </c>
      <c r="R113" t="s">
        <v>111</v>
      </c>
      <c r="S113">
        <v>0</v>
      </c>
      <c r="T113" t="s">
        <v>80</v>
      </c>
      <c r="U113" t="s">
        <v>80</v>
      </c>
      <c r="V113" t="s">
        <v>271</v>
      </c>
      <c r="W113" t="s">
        <v>939</v>
      </c>
      <c r="X113" t="s">
        <v>940</v>
      </c>
      <c r="Y113" t="s">
        <v>941</v>
      </c>
      <c r="Z113" t="s">
        <v>80</v>
      </c>
      <c r="AA113" t="s">
        <v>85</v>
      </c>
      <c r="AC113" t="s">
        <v>942</v>
      </c>
      <c r="AD113" t="s">
        <v>87</v>
      </c>
      <c r="AH113" t="s">
        <v>91</v>
      </c>
      <c r="AI113" t="s">
        <v>92</v>
      </c>
      <c r="AJ113" t="s">
        <v>131</v>
      </c>
      <c r="AK113" t="s">
        <v>943</v>
      </c>
      <c r="AL113" t="s">
        <v>95</v>
      </c>
      <c r="AM113" t="s">
        <v>96</v>
      </c>
      <c r="AN113" t="s">
        <v>97</v>
      </c>
      <c r="AO113" t="s">
        <v>98</v>
      </c>
      <c r="AP113" t="s">
        <v>78</v>
      </c>
      <c r="AQ113" t="s">
        <v>78</v>
      </c>
      <c r="AR113" t="s">
        <v>353</v>
      </c>
      <c r="AS113" t="s">
        <v>78</v>
      </c>
      <c r="AT113" t="s">
        <v>100</v>
      </c>
      <c r="AU113" t="s">
        <v>100</v>
      </c>
      <c r="AW113" t="s">
        <v>85</v>
      </c>
      <c r="AX113" t="s">
        <v>103</v>
      </c>
      <c r="AY113" t="s">
        <v>159</v>
      </c>
      <c r="AZ113" t="s">
        <v>103</v>
      </c>
      <c r="BA113" t="s">
        <v>133</v>
      </c>
      <c r="BB113" t="s">
        <v>78</v>
      </c>
      <c r="BC113" t="s">
        <v>78</v>
      </c>
      <c r="BE113">
        <v>0</v>
      </c>
      <c r="BF113">
        <v>0</v>
      </c>
      <c r="BG113">
        <v>0</v>
      </c>
      <c r="BH113">
        <v>0</v>
      </c>
      <c r="BJ113" t="s">
        <v>85</v>
      </c>
      <c r="BP113" t="s">
        <v>78</v>
      </c>
      <c r="BQ113" t="s">
        <v>78</v>
      </c>
      <c r="BR113" t="s">
        <v>78</v>
      </c>
    </row>
    <row r="114" customFormat="1" spans="1:70">
      <c r="A114" t="s">
        <v>3973</v>
      </c>
      <c r="B114" t="s">
        <v>3973</v>
      </c>
      <c r="C114" t="s">
        <v>527</v>
      </c>
      <c r="D114" t="s">
        <v>108</v>
      </c>
      <c r="E114">
        <v>1</v>
      </c>
      <c r="F114" t="s">
        <v>3911</v>
      </c>
      <c r="G114" t="s">
        <v>674</v>
      </c>
      <c r="H114">
        <v>199</v>
      </c>
      <c r="I114">
        <v>199</v>
      </c>
      <c r="J114">
        <v>0</v>
      </c>
      <c r="K114">
        <v>0</v>
      </c>
      <c r="L114" t="s">
        <v>78</v>
      </c>
      <c r="M114" t="s">
        <v>78</v>
      </c>
      <c r="N114" t="s">
        <v>78</v>
      </c>
      <c r="O114">
        <v>0</v>
      </c>
      <c r="P114">
        <v>0</v>
      </c>
      <c r="Q114">
        <v>0</v>
      </c>
      <c r="R114" t="s">
        <v>79</v>
      </c>
      <c r="S114">
        <v>0</v>
      </c>
      <c r="T114" t="s">
        <v>80</v>
      </c>
      <c r="U114" t="s">
        <v>80</v>
      </c>
      <c r="V114" t="s">
        <v>126</v>
      </c>
      <c r="W114" t="s">
        <v>945</v>
      </c>
      <c r="X114" t="s">
        <v>946</v>
      </c>
      <c r="Y114" t="s">
        <v>947</v>
      </c>
      <c r="Z114" t="s">
        <v>80</v>
      </c>
      <c r="AA114" t="s">
        <v>85</v>
      </c>
      <c r="AC114" t="s">
        <v>948</v>
      </c>
      <c r="AD114" t="s">
        <v>87</v>
      </c>
      <c r="AF114" t="s">
        <v>949</v>
      </c>
      <c r="AG114" t="s">
        <v>950</v>
      </c>
      <c r="AH114" t="s">
        <v>91</v>
      </c>
      <c r="AI114" t="s">
        <v>92</v>
      </c>
      <c r="AJ114" t="s">
        <v>93</v>
      </c>
      <c r="AK114" t="s">
        <v>951</v>
      </c>
      <c r="AL114" t="s">
        <v>95</v>
      </c>
      <c r="AM114" t="s">
        <v>96</v>
      </c>
      <c r="AN114" t="s">
        <v>97</v>
      </c>
      <c r="AO114" t="s">
        <v>98</v>
      </c>
      <c r="AP114" t="s">
        <v>78</v>
      </c>
      <c r="AQ114" t="s">
        <v>78</v>
      </c>
      <c r="AS114" t="s">
        <v>78</v>
      </c>
      <c r="AT114" t="s">
        <v>100</v>
      </c>
      <c r="AU114" t="s">
        <v>100</v>
      </c>
      <c r="AW114" t="s">
        <v>85</v>
      </c>
      <c r="AX114" t="s">
        <v>101</v>
      </c>
      <c r="AY114" t="s">
        <v>102</v>
      </c>
      <c r="AZ114" t="s">
        <v>103</v>
      </c>
      <c r="BA114" t="s">
        <v>133</v>
      </c>
      <c r="BB114" t="s">
        <v>78</v>
      </c>
      <c r="BC114" t="s">
        <v>78</v>
      </c>
      <c r="BD114" t="s">
        <v>833</v>
      </c>
      <c r="BE114">
        <v>0</v>
      </c>
      <c r="BF114">
        <v>0</v>
      </c>
      <c r="BG114">
        <v>0</v>
      </c>
      <c r="BH114">
        <v>0</v>
      </c>
      <c r="BJ114" t="s">
        <v>85</v>
      </c>
      <c r="BP114" t="s">
        <v>78</v>
      </c>
      <c r="BQ114" t="s">
        <v>78</v>
      </c>
      <c r="BR114" t="s">
        <v>78</v>
      </c>
    </row>
    <row r="115" customFormat="1" spans="1:70">
      <c r="A115" t="s">
        <v>3974</v>
      </c>
      <c r="B115" t="s">
        <v>3974</v>
      </c>
      <c r="C115" t="s">
        <v>527</v>
      </c>
      <c r="D115" t="s">
        <v>108</v>
      </c>
      <c r="E115">
        <v>1</v>
      </c>
      <c r="F115" t="s">
        <v>3911</v>
      </c>
      <c r="G115" t="s">
        <v>674</v>
      </c>
      <c r="H115">
        <v>199</v>
      </c>
      <c r="I115">
        <v>199</v>
      </c>
      <c r="J115">
        <v>0</v>
      </c>
      <c r="K115">
        <v>0</v>
      </c>
      <c r="L115" t="s">
        <v>78</v>
      </c>
      <c r="M115" t="s">
        <v>78</v>
      </c>
      <c r="N115" t="s">
        <v>78</v>
      </c>
      <c r="O115">
        <v>0</v>
      </c>
      <c r="P115">
        <v>0</v>
      </c>
      <c r="Q115">
        <v>0</v>
      </c>
      <c r="R115" t="s">
        <v>111</v>
      </c>
      <c r="S115">
        <v>0</v>
      </c>
      <c r="T115" t="s">
        <v>80</v>
      </c>
      <c r="U115" t="s">
        <v>80</v>
      </c>
      <c r="V115" t="s">
        <v>556</v>
      </c>
      <c r="W115" t="s">
        <v>953</v>
      </c>
      <c r="X115" t="s">
        <v>954</v>
      </c>
      <c r="Y115" t="s">
        <v>955</v>
      </c>
      <c r="Z115" t="s">
        <v>80</v>
      </c>
      <c r="AA115" t="s">
        <v>85</v>
      </c>
      <c r="AC115" t="s">
        <v>956</v>
      </c>
      <c r="AD115" t="s">
        <v>87</v>
      </c>
      <c r="AF115" t="s">
        <v>957</v>
      </c>
      <c r="AG115" t="s">
        <v>958</v>
      </c>
      <c r="AH115" t="s">
        <v>227</v>
      </c>
      <c r="AI115" t="s">
        <v>92</v>
      </c>
      <c r="AJ115" t="s">
        <v>93</v>
      </c>
      <c r="AK115" t="s">
        <v>959</v>
      </c>
      <c r="AL115" t="s">
        <v>95</v>
      </c>
      <c r="AM115" t="s">
        <v>96</v>
      </c>
      <c r="AN115" t="s">
        <v>97</v>
      </c>
      <c r="AO115" t="s">
        <v>98</v>
      </c>
      <c r="AP115" t="s">
        <v>78</v>
      </c>
      <c r="AQ115" t="s">
        <v>78</v>
      </c>
      <c r="AS115" t="s">
        <v>78</v>
      </c>
      <c r="AT115" t="s">
        <v>100</v>
      </c>
      <c r="AU115" t="s">
        <v>100</v>
      </c>
      <c r="AW115" t="s">
        <v>85</v>
      </c>
      <c r="AX115" t="s">
        <v>101</v>
      </c>
      <c r="AY115" t="s">
        <v>102</v>
      </c>
      <c r="AZ115" t="s">
        <v>103</v>
      </c>
      <c r="BA115" t="s">
        <v>133</v>
      </c>
      <c r="BB115" t="s">
        <v>78</v>
      </c>
      <c r="BC115" t="s">
        <v>78</v>
      </c>
      <c r="BD115" t="s">
        <v>833</v>
      </c>
      <c r="BE115">
        <v>0</v>
      </c>
      <c r="BF115">
        <v>0</v>
      </c>
      <c r="BG115">
        <v>0</v>
      </c>
      <c r="BH115">
        <v>0</v>
      </c>
      <c r="BJ115" t="s">
        <v>85</v>
      </c>
      <c r="BP115" t="s">
        <v>78</v>
      </c>
      <c r="BQ115" t="s">
        <v>78</v>
      </c>
      <c r="BR115" t="s">
        <v>78</v>
      </c>
    </row>
    <row r="116" customFormat="1" spans="1:70">
      <c r="A116" t="s">
        <v>3975</v>
      </c>
      <c r="B116" t="s">
        <v>3975</v>
      </c>
      <c r="C116" t="s">
        <v>527</v>
      </c>
      <c r="D116" t="s">
        <v>123</v>
      </c>
      <c r="E116">
        <v>1</v>
      </c>
      <c r="F116" t="s">
        <v>3911</v>
      </c>
      <c r="G116" t="s">
        <v>529</v>
      </c>
      <c r="H116">
        <v>199</v>
      </c>
      <c r="I116">
        <v>199</v>
      </c>
      <c r="J116">
        <v>0</v>
      </c>
      <c r="K116">
        <v>0</v>
      </c>
      <c r="L116" t="s">
        <v>78</v>
      </c>
      <c r="M116" t="s">
        <v>78</v>
      </c>
      <c r="N116" t="s">
        <v>78</v>
      </c>
      <c r="O116">
        <v>0</v>
      </c>
      <c r="P116">
        <v>0</v>
      </c>
      <c r="Q116">
        <v>0</v>
      </c>
      <c r="R116" t="s">
        <v>111</v>
      </c>
      <c r="S116">
        <v>0</v>
      </c>
      <c r="T116" t="s">
        <v>80</v>
      </c>
      <c r="U116" t="s">
        <v>80</v>
      </c>
      <c r="V116" t="s">
        <v>271</v>
      </c>
      <c r="W116" t="s">
        <v>961</v>
      </c>
      <c r="X116" t="s">
        <v>962</v>
      </c>
      <c r="Y116" t="s">
        <v>963</v>
      </c>
      <c r="Z116" t="s">
        <v>80</v>
      </c>
      <c r="AA116" t="s">
        <v>85</v>
      </c>
      <c r="AC116" t="s">
        <v>964</v>
      </c>
      <c r="AD116" t="s">
        <v>87</v>
      </c>
      <c r="AH116" t="s">
        <v>227</v>
      </c>
      <c r="AI116" t="s">
        <v>92</v>
      </c>
      <c r="AJ116" t="s">
        <v>131</v>
      </c>
      <c r="AK116" t="s">
        <v>965</v>
      </c>
      <c r="AL116" t="s">
        <v>95</v>
      </c>
      <c r="AM116" t="s">
        <v>96</v>
      </c>
      <c r="AN116" t="s">
        <v>97</v>
      </c>
      <c r="AO116" t="s">
        <v>98</v>
      </c>
      <c r="AP116" t="s">
        <v>78</v>
      </c>
      <c r="AQ116" t="s">
        <v>78</v>
      </c>
      <c r="AR116" t="s">
        <v>353</v>
      </c>
      <c r="AS116" t="s">
        <v>78</v>
      </c>
      <c r="AT116" t="s">
        <v>100</v>
      </c>
      <c r="AU116" t="s">
        <v>100</v>
      </c>
      <c r="AW116" t="s">
        <v>85</v>
      </c>
      <c r="AX116" t="s">
        <v>103</v>
      </c>
      <c r="AY116" t="s">
        <v>159</v>
      </c>
      <c r="AZ116" t="s">
        <v>103</v>
      </c>
      <c r="BA116" t="s">
        <v>133</v>
      </c>
      <c r="BB116" t="s">
        <v>78</v>
      </c>
      <c r="BC116" t="s">
        <v>78</v>
      </c>
      <c r="BE116">
        <v>0</v>
      </c>
      <c r="BF116">
        <v>0</v>
      </c>
      <c r="BG116">
        <v>0</v>
      </c>
      <c r="BH116">
        <v>0</v>
      </c>
      <c r="BJ116" t="s">
        <v>85</v>
      </c>
      <c r="BP116" t="s">
        <v>78</v>
      </c>
      <c r="BQ116" t="s">
        <v>78</v>
      </c>
      <c r="BR116" t="s">
        <v>78</v>
      </c>
    </row>
    <row r="117" customFormat="1" spans="1:70">
      <c r="A117" t="s">
        <v>3976</v>
      </c>
      <c r="B117" t="s">
        <v>3976</v>
      </c>
      <c r="C117" t="s">
        <v>107</v>
      </c>
      <c r="D117" t="s">
        <v>123</v>
      </c>
      <c r="E117">
        <v>1</v>
      </c>
      <c r="F117" t="s">
        <v>3857</v>
      </c>
      <c r="G117" t="s">
        <v>124</v>
      </c>
      <c r="H117">
        <v>289</v>
      </c>
      <c r="I117">
        <v>289</v>
      </c>
      <c r="J117">
        <v>0</v>
      </c>
      <c r="K117">
        <v>0</v>
      </c>
      <c r="L117" t="s">
        <v>78</v>
      </c>
      <c r="M117" t="s">
        <v>78</v>
      </c>
      <c r="N117" t="s">
        <v>78</v>
      </c>
      <c r="O117">
        <v>0</v>
      </c>
      <c r="P117">
        <v>0</v>
      </c>
      <c r="Q117">
        <v>0</v>
      </c>
      <c r="R117" t="s">
        <v>111</v>
      </c>
      <c r="S117">
        <v>0</v>
      </c>
      <c r="T117" t="s">
        <v>80</v>
      </c>
      <c r="U117" t="s">
        <v>80</v>
      </c>
      <c r="V117" t="s">
        <v>239</v>
      </c>
      <c r="W117" t="s">
        <v>967</v>
      </c>
      <c r="X117" t="s">
        <v>968</v>
      </c>
      <c r="Y117" t="s">
        <v>969</v>
      </c>
      <c r="Z117" t="s">
        <v>80</v>
      </c>
      <c r="AA117" t="s">
        <v>85</v>
      </c>
      <c r="AC117" t="s">
        <v>970</v>
      </c>
      <c r="AD117" t="s">
        <v>87</v>
      </c>
      <c r="AH117" t="s">
        <v>227</v>
      </c>
      <c r="AI117" t="s">
        <v>92</v>
      </c>
      <c r="AJ117" t="s">
        <v>131</v>
      </c>
      <c r="AK117" t="s">
        <v>971</v>
      </c>
      <c r="AL117" t="s">
        <v>95</v>
      </c>
      <c r="AM117" t="s">
        <v>96</v>
      </c>
      <c r="AN117" t="s">
        <v>97</v>
      </c>
      <c r="AO117" t="s">
        <v>98</v>
      </c>
      <c r="AP117" t="s">
        <v>78</v>
      </c>
      <c r="AQ117" t="s">
        <v>78</v>
      </c>
      <c r="AR117" t="s">
        <v>353</v>
      </c>
      <c r="AS117" t="s">
        <v>78</v>
      </c>
      <c r="AT117" t="s">
        <v>100</v>
      </c>
      <c r="AU117" t="s">
        <v>100</v>
      </c>
      <c r="AW117" t="s">
        <v>85</v>
      </c>
      <c r="AX117" t="s">
        <v>103</v>
      </c>
      <c r="AY117" t="s">
        <v>159</v>
      </c>
      <c r="AZ117" t="s">
        <v>103</v>
      </c>
      <c r="BA117" t="s">
        <v>133</v>
      </c>
      <c r="BB117" t="s">
        <v>78</v>
      </c>
      <c r="BC117" t="s">
        <v>78</v>
      </c>
      <c r="BE117">
        <v>0</v>
      </c>
      <c r="BF117">
        <v>0</v>
      </c>
      <c r="BG117">
        <v>0</v>
      </c>
      <c r="BH117">
        <v>0</v>
      </c>
      <c r="BJ117" t="s">
        <v>85</v>
      </c>
      <c r="BP117" t="s">
        <v>78</v>
      </c>
      <c r="BQ117" t="s">
        <v>78</v>
      </c>
      <c r="BR117" t="s">
        <v>78</v>
      </c>
    </row>
    <row r="118" customFormat="1" spans="1:70">
      <c r="A118" t="s">
        <v>3977</v>
      </c>
      <c r="B118" t="s">
        <v>3977</v>
      </c>
      <c r="C118" t="s">
        <v>527</v>
      </c>
      <c r="D118" t="s">
        <v>135</v>
      </c>
      <c r="E118">
        <v>1</v>
      </c>
      <c r="F118" t="s">
        <v>3911</v>
      </c>
      <c r="G118" t="s">
        <v>540</v>
      </c>
      <c r="H118">
        <v>199</v>
      </c>
      <c r="I118">
        <v>199</v>
      </c>
      <c r="J118">
        <v>0</v>
      </c>
      <c r="K118">
        <v>0</v>
      </c>
      <c r="L118" t="s">
        <v>78</v>
      </c>
      <c r="M118" t="s">
        <v>78</v>
      </c>
      <c r="N118" t="s">
        <v>78</v>
      </c>
      <c r="O118">
        <v>0</v>
      </c>
      <c r="P118">
        <v>0</v>
      </c>
      <c r="Q118">
        <v>0</v>
      </c>
      <c r="R118" t="s">
        <v>79</v>
      </c>
      <c r="S118">
        <v>0</v>
      </c>
      <c r="T118" t="s">
        <v>80</v>
      </c>
      <c r="U118" t="s">
        <v>80</v>
      </c>
      <c r="V118" t="s">
        <v>167</v>
      </c>
      <c r="W118" t="s">
        <v>168</v>
      </c>
      <c r="X118" t="s">
        <v>973</v>
      </c>
      <c r="Y118" t="s">
        <v>974</v>
      </c>
      <c r="Z118" t="s">
        <v>80</v>
      </c>
      <c r="AA118" t="s">
        <v>85</v>
      </c>
      <c r="AC118" t="s">
        <v>975</v>
      </c>
      <c r="AD118" t="s">
        <v>87</v>
      </c>
      <c r="AG118" t="s">
        <v>976</v>
      </c>
      <c r="AH118" t="s">
        <v>91</v>
      </c>
      <c r="AI118" t="s">
        <v>92</v>
      </c>
      <c r="AJ118" t="s">
        <v>131</v>
      </c>
      <c r="AK118" t="s">
        <v>977</v>
      </c>
      <c r="AL118" t="s">
        <v>95</v>
      </c>
      <c r="AM118" t="s">
        <v>96</v>
      </c>
      <c r="AN118" t="s">
        <v>97</v>
      </c>
      <c r="AO118" t="s">
        <v>98</v>
      </c>
      <c r="AP118" t="s">
        <v>78</v>
      </c>
      <c r="AQ118" t="s">
        <v>99</v>
      </c>
      <c r="AS118" t="s">
        <v>78</v>
      </c>
      <c r="AT118" t="s">
        <v>100</v>
      </c>
      <c r="AU118" t="s">
        <v>100</v>
      </c>
      <c r="AW118" t="s">
        <v>85</v>
      </c>
      <c r="AX118" t="s">
        <v>103</v>
      </c>
      <c r="AY118" t="s">
        <v>159</v>
      </c>
      <c r="AZ118" t="s">
        <v>103</v>
      </c>
      <c r="BA118" t="s">
        <v>104</v>
      </c>
      <c r="BB118" t="s">
        <v>78</v>
      </c>
      <c r="BC118" t="s">
        <v>78</v>
      </c>
      <c r="BE118">
        <v>0</v>
      </c>
      <c r="BF118">
        <v>0</v>
      </c>
      <c r="BG118">
        <v>0</v>
      </c>
      <c r="BH118">
        <v>0</v>
      </c>
      <c r="BJ118" t="s">
        <v>85</v>
      </c>
      <c r="BP118" t="s">
        <v>78</v>
      </c>
      <c r="BQ118" t="s">
        <v>78</v>
      </c>
      <c r="BR118" t="s">
        <v>78</v>
      </c>
    </row>
    <row r="119" customFormat="1" spans="1:70">
      <c r="A119" t="s">
        <v>3978</v>
      </c>
      <c r="B119" t="s">
        <v>3978</v>
      </c>
      <c r="C119" t="s">
        <v>527</v>
      </c>
      <c r="D119" t="s">
        <v>108</v>
      </c>
      <c r="E119">
        <v>1</v>
      </c>
      <c r="F119" t="s">
        <v>3911</v>
      </c>
      <c r="G119" t="s">
        <v>674</v>
      </c>
      <c r="H119">
        <v>199</v>
      </c>
      <c r="I119">
        <v>199</v>
      </c>
      <c r="J119">
        <v>0</v>
      </c>
      <c r="K119">
        <v>0</v>
      </c>
      <c r="L119" t="s">
        <v>78</v>
      </c>
      <c r="M119" t="s">
        <v>78</v>
      </c>
      <c r="N119" t="s">
        <v>78</v>
      </c>
      <c r="O119">
        <v>0</v>
      </c>
      <c r="P119">
        <v>0</v>
      </c>
      <c r="Q119">
        <v>0</v>
      </c>
      <c r="R119" t="s">
        <v>125</v>
      </c>
      <c r="S119">
        <v>0</v>
      </c>
      <c r="T119" t="s">
        <v>80</v>
      </c>
      <c r="U119" t="s">
        <v>80</v>
      </c>
      <c r="V119" t="s">
        <v>126</v>
      </c>
      <c r="W119" t="s">
        <v>518</v>
      </c>
      <c r="X119" t="s">
        <v>979</v>
      </c>
      <c r="Y119" t="s">
        <v>980</v>
      </c>
      <c r="Z119" t="s">
        <v>80</v>
      </c>
      <c r="AA119" t="s">
        <v>85</v>
      </c>
      <c r="AC119" t="s">
        <v>981</v>
      </c>
      <c r="AD119" t="s">
        <v>87</v>
      </c>
      <c r="AH119" t="s">
        <v>254</v>
      </c>
      <c r="AI119" t="s">
        <v>92</v>
      </c>
      <c r="AJ119" t="s">
        <v>131</v>
      </c>
      <c r="AK119" t="s">
        <v>982</v>
      </c>
      <c r="AL119" t="s">
        <v>95</v>
      </c>
      <c r="AM119" t="s">
        <v>96</v>
      </c>
      <c r="AN119" t="s">
        <v>97</v>
      </c>
      <c r="AO119" t="s">
        <v>98</v>
      </c>
      <c r="AP119" t="s">
        <v>78</v>
      </c>
      <c r="AQ119" t="s">
        <v>78</v>
      </c>
      <c r="AR119" t="s">
        <v>353</v>
      </c>
      <c r="AS119" t="s">
        <v>78</v>
      </c>
      <c r="AT119" t="s">
        <v>100</v>
      </c>
      <c r="AU119" t="s">
        <v>100</v>
      </c>
      <c r="AW119" t="s">
        <v>85</v>
      </c>
      <c r="AX119" t="s">
        <v>103</v>
      </c>
      <c r="AY119" t="s">
        <v>159</v>
      </c>
      <c r="AZ119" t="s">
        <v>103</v>
      </c>
      <c r="BA119" t="s">
        <v>102</v>
      </c>
      <c r="BB119" t="s">
        <v>78</v>
      </c>
      <c r="BC119" t="s">
        <v>78</v>
      </c>
      <c r="BE119">
        <v>0</v>
      </c>
      <c r="BF119">
        <v>0</v>
      </c>
      <c r="BG119">
        <v>0</v>
      </c>
      <c r="BH119">
        <v>0</v>
      </c>
      <c r="BJ119" t="s">
        <v>85</v>
      </c>
      <c r="BP119" t="s">
        <v>78</v>
      </c>
      <c r="BQ119" t="s">
        <v>78</v>
      </c>
      <c r="BR119" t="s">
        <v>78</v>
      </c>
    </row>
    <row r="120" customFormat="1" spans="1:70">
      <c r="A120" t="s">
        <v>3979</v>
      </c>
      <c r="B120" t="s">
        <v>3979</v>
      </c>
      <c r="C120" t="s">
        <v>527</v>
      </c>
      <c r="D120" t="s">
        <v>135</v>
      </c>
      <c r="E120">
        <v>1</v>
      </c>
      <c r="F120" t="s">
        <v>3911</v>
      </c>
      <c r="G120" t="s">
        <v>540</v>
      </c>
      <c r="H120">
        <v>199</v>
      </c>
      <c r="I120">
        <v>199</v>
      </c>
      <c r="J120">
        <v>0</v>
      </c>
      <c r="K120">
        <v>0</v>
      </c>
      <c r="L120" t="s">
        <v>78</v>
      </c>
      <c r="M120" t="s">
        <v>78</v>
      </c>
      <c r="N120" t="s">
        <v>78</v>
      </c>
      <c r="O120">
        <v>0</v>
      </c>
      <c r="P120">
        <v>0</v>
      </c>
      <c r="Q120">
        <v>0</v>
      </c>
      <c r="R120" t="s">
        <v>111</v>
      </c>
      <c r="S120">
        <v>0</v>
      </c>
      <c r="T120" t="s">
        <v>80</v>
      </c>
      <c r="U120" t="s">
        <v>80</v>
      </c>
      <c r="V120" t="s">
        <v>81</v>
      </c>
      <c r="W120" t="s">
        <v>984</v>
      </c>
      <c r="X120" t="s">
        <v>985</v>
      </c>
      <c r="Y120" t="s">
        <v>986</v>
      </c>
      <c r="Z120" t="s">
        <v>80</v>
      </c>
      <c r="AA120" t="s">
        <v>85</v>
      </c>
      <c r="AC120" t="s">
        <v>987</v>
      </c>
      <c r="AD120" t="s">
        <v>87</v>
      </c>
      <c r="AG120" t="s">
        <v>988</v>
      </c>
      <c r="AH120" t="s">
        <v>227</v>
      </c>
      <c r="AI120" t="s">
        <v>92</v>
      </c>
      <c r="AJ120" t="s">
        <v>131</v>
      </c>
      <c r="AK120" t="s">
        <v>989</v>
      </c>
      <c r="AL120" t="s">
        <v>95</v>
      </c>
      <c r="AM120" t="s">
        <v>96</v>
      </c>
      <c r="AN120" t="s">
        <v>97</v>
      </c>
      <c r="AO120" t="s">
        <v>98</v>
      </c>
      <c r="AP120" t="s">
        <v>78</v>
      </c>
      <c r="AQ120" t="s">
        <v>99</v>
      </c>
      <c r="AS120" t="s">
        <v>78</v>
      </c>
      <c r="AT120" t="s">
        <v>100</v>
      </c>
      <c r="AU120" t="s">
        <v>100</v>
      </c>
      <c r="AW120" t="s">
        <v>85</v>
      </c>
      <c r="AX120" t="s">
        <v>101</v>
      </c>
      <c r="AY120" t="s">
        <v>102</v>
      </c>
      <c r="AZ120" t="s">
        <v>103</v>
      </c>
      <c r="BA120" t="s">
        <v>120</v>
      </c>
      <c r="BB120" t="s">
        <v>78</v>
      </c>
      <c r="BC120" t="s">
        <v>78</v>
      </c>
      <c r="BE120">
        <v>0</v>
      </c>
      <c r="BF120">
        <v>0</v>
      </c>
      <c r="BG120">
        <v>0</v>
      </c>
      <c r="BH120">
        <v>0</v>
      </c>
      <c r="BJ120" t="s">
        <v>85</v>
      </c>
      <c r="BP120" t="s">
        <v>78</v>
      </c>
      <c r="BQ120" t="s">
        <v>78</v>
      </c>
      <c r="BR120" t="s">
        <v>78</v>
      </c>
    </row>
    <row r="121" customFormat="1" spans="1:70">
      <c r="A121" t="s">
        <v>3980</v>
      </c>
      <c r="B121" t="s">
        <v>3980</v>
      </c>
      <c r="C121" t="s">
        <v>107</v>
      </c>
      <c r="D121" t="s">
        <v>108</v>
      </c>
      <c r="E121">
        <v>1</v>
      </c>
      <c r="F121" t="s">
        <v>3857</v>
      </c>
      <c r="G121" t="s">
        <v>110</v>
      </c>
      <c r="H121">
        <v>289</v>
      </c>
      <c r="I121">
        <v>289</v>
      </c>
      <c r="J121">
        <v>0</v>
      </c>
      <c r="K121">
        <v>0</v>
      </c>
      <c r="L121" t="s">
        <v>78</v>
      </c>
      <c r="M121" t="s">
        <v>78</v>
      </c>
      <c r="N121" t="s">
        <v>78</v>
      </c>
      <c r="O121">
        <v>0</v>
      </c>
      <c r="P121">
        <v>0</v>
      </c>
      <c r="Q121">
        <v>0</v>
      </c>
      <c r="R121" t="s">
        <v>79</v>
      </c>
      <c r="S121">
        <v>0</v>
      </c>
      <c r="T121" t="s">
        <v>80</v>
      </c>
      <c r="U121" t="s">
        <v>80</v>
      </c>
      <c r="V121" t="s">
        <v>500</v>
      </c>
      <c r="W121" t="s">
        <v>991</v>
      </c>
      <c r="X121" t="s">
        <v>992</v>
      </c>
      <c r="Y121" t="s">
        <v>993</v>
      </c>
      <c r="Z121" t="s">
        <v>80</v>
      </c>
      <c r="AA121" t="s">
        <v>85</v>
      </c>
      <c r="AC121" t="s">
        <v>987</v>
      </c>
      <c r="AD121" t="s">
        <v>202</v>
      </c>
      <c r="AE121" t="s">
        <v>994</v>
      </c>
      <c r="AG121" t="s">
        <v>995</v>
      </c>
      <c r="AH121" t="s">
        <v>227</v>
      </c>
      <c r="AI121" t="s">
        <v>92</v>
      </c>
      <c r="AJ121" t="s">
        <v>131</v>
      </c>
      <c r="AK121" t="s">
        <v>996</v>
      </c>
      <c r="AL121" t="s">
        <v>95</v>
      </c>
      <c r="AM121" t="s">
        <v>96</v>
      </c>
      <c r="AN121" t="s">
        <v>97</v>
      </c>
      <c r="AO121" t="s">
        <v>98</v>
      </c>
      <c r="AP121" t="s">
        <v>78</v>
      </c>
      <c r="AQ121" t="s">
        <v>99</v>
      </c>
      <c r="AS121" t="s">
        <v>78</v>
      </c>
      <c r="AT121" t="s">
        <v>100</v>
      </c>
      <c r="AU121" t="s">
        <v>100</v>
      </c>
      <c r="AW121" t="s">
        <v>85</v>
      </c>
      <c r="AX121" t="s">
        <v>101</v>
      </c>
      <c r="AY121" t="s">
        <v>102</v>
      </c>
      <c r="AZ121" t="s">
        <v>103</v>
      </c>
      <c r="BA121" t="s">
        <v>104</v>
      </c>
      <c r="BB121" t="s">
        <v>78</v>
      </c>
      <c r="BC121" t="s">
        <v>78</v>
      </c>
      <c r="BD121" t="s">
        <v>756</v>
      </c>
      <c r="BE121">
        <v>0</v>
      </c>
      <c r="BF121">
        <v>0</v>
      </c>
      <c r="BG121">
        <v>0</v>
      </c>
      <c r="BH121">
        <v>0</v>
      </c>
      <c r="BJ121" t="s">
        <v>85</v>
      </c>
      <c r="BP121" t="s">
        <v>78</v>
      </c>
      <c r="BQ121" t="s">
        <v>78</v>
      </c>
      <c r="BR121" t="s">
        <v>78</v>
      </c>
    </row>
    <row r="122" customFormat="1" spans="1:70">
      <c r="A122" t="s">
        <v>3981</v>
      </c>
      <c r="B122" t="s">
        <v>3981</v>
      </c>
      <c r="C122" t="s">
        <v>107</v>
      </c>
      <c r="D122" t="s">
        <v>108</v>
      </c>
      <c r="E122">
        <v>1</v>
      </c>
      <c r="F122" t="s">
        <v>3857</v>
      </c>
      <c r="G122" t="s">
        <v>110</v>
      </c>
      <c r="H122">
        <v>289</v>
      </c>
      <c r="I122">
        <v>289</v>
      </c>
      <c r="J122">
        <v>0</v>
      </c>
      <c r="K122">
        <v>0</v>
      </c>
      <c r="L122" t="s">
        <v>78</v>
      </c>
      <c r="M122" t="s">
        <v>78</v>
      </c>
      <c r="N122" t="s">
        <v>78</v>
      </c>
      <c r="O122">
        <v>0</v>
      </c>
      <c r="P122">
        <v>0</v>
      </c>
      <c r="Q122">
        <v>0</v>
      </c>
      <c r="R122" t="s">
        <v>125</v>
      </c>
      <c r="S122">
        <v>0</v>
      </c>
      <c r="T122" t="s">
        <v>80</v>
      </c>
      <c r="U122" t="s">
        <v>80</v>
      </c>
      <c r="V122" t="s">
        <v>126</v>
      </c>
      <c r="W122" t="s">
        <v>377</v>
      </c>
      <c r="X122" t="s">
        <v>378</v>
      </c>
      <c r="Y122" t="s">
        <v>78</v>
      </c>
      <c r="Z122" t="s">
        <v>80</v>
      </c>
      <c r="AA122" t="s">
        <v>85</v>
      </c>
      <c r="AC122" t="s">
        <v>998</v>
      </c>
      <c r="AD122" t="s">
        <v>87</v>
      </c>
      <c r="AF122" t="s">
        <v>999</v>
      </c>
      <c r="AG122" t="s">
        <v>1000</v>
      </c>
      <c r="AH122" t="s">
        <v>91</v>
      </c>
      <c r="AI122" t="s">
        <v>92</v>
      </c>
      <c r="AJ122" t="s">
        <v>93</v>
      </c>
      <c r="AK122" t="s">
        <v>1001</v>
      </c>
      <c r="AL122" t="s">
        <v>95</v>
      </c>
      <c r="AM122" t="s">
        <v>96</v>
      </c>
      <c r="AN122" t="s">
        <v>97</v>
      </c>
      <c r="AO122" t="s">
        <v>98</v>
      </c>
      <c r="AP122" t="s">
        <v>78</v>
      </c>
      <c r="AQ122" t="s">
        <v>78</v>
      </c>
      <c r="AS122" t="s">
        <v>78</v>
      </c>
      <c r="AT122" t="s">
        <v>100</v>
      </c>
      <c r="AU122" t="s">
        <v>100</v>
      </c>
      <c r="AW122" t="s">
        <v>85</v>
      </c>
      <c r="AX122" t="s">
        <v>101</v>
      </c>
      <c r="AY122" t="s">
        <v>102</v>
      </c>
      <c r="AZ122" t="s">
        <v>103</v>
      </c>
      <c r="BA122" t="s">
        <v>133</v>
      </c>
      <c r="BB122" t="s">
        <v>78</v>
      </c>
      <c r="BC122" t="s">
        <v>78</v>
      </c>
      <c r="BD122" t="s">
        <v>756</v>
      </c>
      <c r="BE122">
        <v>0</v>
      </c>
      <c r="BF122">
        <v>0</v>
      </c>
      <c r="BG122">
        <v>0</v>
      </c>
      <c r="BH122">
        <v>0</v>
      </c>
      <c r="BJ122" t="s">
        <v>85</v>
      </c>
      <c r="BP122" t="s">
        <v>78</v>
      </c>
      <c r="BQ122" t="s">
        <v>78</v>
      </c>
      <c r="BR122" t="s">
        <v>78</v>
      </c>
    </row>
    <row r="123" customFormat="1" spans="1:70">
      <c r="A123" t="s">
        <v>3982</v>
      </c>
      <c r="B123" t="s">
        <v>3982</v>
      </c>
      <c r="C123" t="s">
        <v>107</v>
      </c>
      <c r="D123" t="s">
        <v>135</v>
      </c>
      <c r="E123">
        <v>1</v>
      </c>
      <c r="F123" t="s">
        <v>3857</v>
      </c>
      <c r="G123" t="s">
        <v>136</v>
      </c>
      <c r="H123">
        <v>289</v>
      </c>
      <c r="I123">
        <v>263.64</v>
      </c>
      <c r="J123">
        <v>0</v>
      </c>
      <c r="K123">
        <v>25.36</v>
      </c>
      <c r="L123" t="s">
        <v>1003</v>
      </c>
      <c r="M123" t="s">
        <v>78</v>
      </c>
      <c r="N123" t="s">
        <v>78</v>
      </c>
      <c r="O123">
        <v>0</v>
      </c>
      <c r="P123">
        <v>0</v>
      </c>
      <c r="Q123">
        <v>0</v>
      </c>
      <c r="R123" t="s">
        <v>79</v>
      </c>
      <c r="S123">
        <v>0</v>
      </c>
      <c r="T123" t="s">
        <v>80</v>
      </c>
      <c r="U123" t="s">
        <v>80</v>
      </c>
      <c r="V123" t="s">
        <v>447</v>
      </c>
      <c r="W123" t="s">
        <v>448</v>
      </c>
      <c r="X123" t="s">
        <v>449</v>
      </c>
      <c r="Y123" t="s">
        <v>450</v>
      </c>
      <c r="Z123" t="s">
        <v>80</v>
      </c>
      <c r="AA123" t="s">
        <v>85</v>
      </c>
      <c r="AC123" t="s">
        <v>1004</v>
      </c>
      <c r="AD123" t="s">
        <v>202</v>
      </c>
      <c r="AE123" t="s">
        <v>1005</v>
      </c>
      <c r="AG123" t="s">
        <v>1006</v>
      </c>
      <c r="AH123" t="s">
        <v>91</v>
      </c>
      <c r="AI123" t="s">
        <v>216</v>
      </c>
      <c r="AJ123" t="s">
        <v>131</v>
      </c>
      <c r="AK123" t="s">
        <v>1007</v>
      </c>
      <c r="AL123" t="s">
        <v>95</v>
      </c>
      <c r="AM123" t="s">
        <v>96</v>
      </c>
      <c r="AN123" t="s">
        <v>96</v>
      </c>
      <c r="AP123" t="s">
        <v>78</v>
      </c>
      <c r="AQ123" t="s">
        <v>99</v>
      </c>
      <c r="AS123" t="s">
        <v>78</v>
      </c>
      <c r="AT123" t="s">
        <v>100</v>
      </c>
      <c r="AU123" t="s">
        <v>100</v>
      </c>
      <c r="AW123" t="s">
        <v>85</v>
      </c>
      <c r="AX123" t="s">
        <v>101</v>
      </c>
      <c r="AY123" t="s">
        <v>102</v>
      </c>
      <c r="AZ123" t="s">
        <v>145</v>
      </c>
      <c r="BA123" t="s">
        <v>683</v>
      </c>
      <c r="BB123" t="s">
        <v>78</v>
      </c>
      <c r="BC123" t="s">
        <v>78</v>
      </c>
      <c r="BD123" t="s">
        <v>1008</v>
      </c>
      <c r="BE123">
        <v>0</v>
      </c>
      <c r="BF123">
        <v>25.36</v>
      </c>
      <c r="BG123">
        <v>0</v>
      </c>
      <c r="BH123">
        <v>0</v>
      </c>
      <c r="BJ123" t="s">
        <v>85</v>
      </c>
      <c r="BP123" t="s">
        <v>78</v>
      </c>
      <c r="BQ123" t="s">
        <v>78</v>
      </c>
      <c r="BR123" t="s">
        <v>78</v>
      </c>
    </row>
    <row r="124" customFormat="1" spans="1:70">
      <c r="A124" t="s">
        <v>3983</v>
      </c>
      <c r="B124" t="s">
        <v>3983</v>
      </c>
      <c r="C124" t="s">
        <v>107</v>
      </c>
      <c r="D124" t="s">
        <v>135</v>
      </c>
      <c r="E124">
        <v>1</v>
      </c>
      <c r="F124" t="s">
        <v>3857</v>
      </c>
      <c r="G124" t="s">
        <v>136</v>
      </c>
      <c r="H124">
        <v>289</v>
      </c>
      <c r="I124">
        <v>279</v>
      </c>
      <c r="J124">
        <v>0</v>
      </c>
      <c r="K124">
        <v>10</v>
      </c>
      <c r="L124" t="s">
        <v>1010</v>
      </c>
      <c r="M124" t="s">
        <v>78</v>
      </c>
      <c r="N124" t="s">
        <v>78</v>
      </c>
      <c r="O124">
        <v>0</v>
      </c>
      <c r="P124">
        <v>0</v>
      </c>
      <c r="Q124">
        <v>0</v>
      </c>
      <c r="R124" t="s">
        <v>79</v>
      </c>
      <c r="S124">
        <v>0</v>
      </c>
      <c r="T124" t="s">
        <v>80</v>
      </c>
      <c r="U124" t="s">
        <v>80</v>
      </c>
      <c r="V124" t="s">
        <v>447</v>
      </c>
      <c r="W124" t="s">
        <v>448</v>
      </c>
      <c r="X124" t="s">
        <v>449</v>
      </c>
      <c r="Y124" t="s">
        <v>450</v>
      </c>
      <c r="Z124" t="s">
        <v>80</v>
      </c>
      <c r="AA124" t="s">
        <v>85</v>
      </c>
      <c r="AC124" t="s">
        <v>1011</v>
      </c>
      <c r="AD124" t="s">
        <v>87</v>
      </c>
      <c r="AG124" t="s">
        <v>1012</v>
      </c>
      <c r="AH124" t="s">
        <v>91</v>
      </c>
      <c r="AI124" t="s">
        <v>216</v>
      </c>
      <c r="AJ124" t="s">
        <v>131</v>
      </c>
      <c r="AK124" t="s">
        <v>1013</v>
      </c>
      <c r="AL124" t="s">
        <v>95</v>
      </c>
      <c r="AM124" t="s">
        <v>96</v>
      </c>
      <c r="AN124" t="s">
        <v>96</v>
      </c>
      <c r="AP124" t="s">
        <v>78</v>
      </c>
      <c r="AQ124" t="s">
        <v>99</v>
      </c>
      <c r="AS124" t="s">
        <v>78</v>
      </c>
      <c r="AT124" t="s">
        <v>100</v>
      </c>
      <c r="AU124" t="s">
        <v>100</v>
      </c>
      <c r="AW124" t="s">
        <v>85</v>
      </c>
      <c r="AX124" t="s">
        <v>101</v>
      </c>
      <c r="AY124" t="s">
        <v>102</v>
      </c>
      <c r="AZ124" t="s">
        <v>145</v>
      </c>
      <c r="BA124" t="s">
        <v>102</v>
      </c>
      <c r="BB124" t="s">
        <v>78</v>
      </c>
      <c r="BC124" t="s">
        <v>78</v>
      </c>
      <c r="BE124">
        <v>0</v>
      </c>
      <c r="BF124">
        <v>10</v>
      </c>
      <c r="BG124">
        <v>0</v>
      </c>
      <c r="BH124">
        <v>0</v>
      </c>
      <c r="BJ124" t="s">
        <v>85</v>
      </c>
      <c r="BP124" t="s">
        <v>78</v>
      </c>
      <c r="BQ124" t="s">
        <v>78</v>
      </c>
      <c r="BR124" t="s">
        <v>78</v>
      </c>
    </row>
    <row r="125" customFormat="1" spans="1:70">
      <c r="A125" t="s">
        <v>3984</v>
      </c>
      <c r="B125" t="s">
        <v>3984</v>
      </c>
      <c r="C125" t="s">
        <v>1015</v>
      </c>
      <c r="D125" t="s">
        <v>75</v>
      </c>
      <c r="E125">
        <v>1</v>
      </c>
      <c r="F125" t="s">
        <v>3985</v>
      </c>
      <c r="G125" t="s">
        <v>1017</v>
      </c>
      <c r="H125">
        <v>129</v>
      </c>
      <c r="I125">
        <v>129</v>
      </c>
      <c r="J125">
        <v>0</v>
      </c>
      <c r="K125">
        <v>0</v>
      </c>
      <c r="L125" t="s">
        <v>78</v>
      </c>
      <c r="M125" t="s">
        <v>78</v>
      </c>
      <c r="N125" t="s">
        <v>78</v>
      </c>
      <c r="O125">
        <v>0</v>
      </c>
      <c r="P125">
        <v>0</v>
      </c>
      <c r="Q125">
        <v>0</v>
      </c>
      <c r="R125" t="s">
        <v>125</v>
      </c>
      <c r="S125">
        <v>0</v>
      </c>
      <c r="T125" t="s">
        <v>80</v>
      </c>
      <c r="U125" t="s">
        <v>80</v>
      </c>
      <c r="V125" t="s">
        <v>583</v>
      </c>
      <c r="W125" t="s">
        <v>1018</v>
      </c>
      <c r="X125" t="s">
        <v>1019</v>
      </c>
      <c r="Y125" t="s">
        <v>1020</v>
      </c>
      <c r="Z125" t="s">
        <v>80</v>
      </c>
      <c r="AA125" t="s">
        <v>85</v>
      </c>
      <c r="AC125" t="s">
        <v>1021</v>
      </c>
      <c r="AD125" t="s">
        <v>202</v>
      </c>
      <c r="AE125" t="s">
        <v>1022</v>
      </c>
      <c r="AG125" t="s">
        <v>1023</v>
      </c>
      <c r="AH125" t="s">
        <v>91</v>
      </c>
      <c r="AI125" t="s">
        <v>216</v>
      </c>
      <c r="AJ125" t="s">
        <v>131</v>
      </c>
      <c r="AK125" t="s">
        <v>1024</v>
      </c>
      <c r="AL125" t="s">
        <v>95</v>
      </c>
      <c r="AM125" t="s">
        <v>96</v>
      </c>
      <c r="AN125" t="s">
        <v>96</v>
      </c>
      <c r="AP125" t="s">
        <v>78</v>
      </c>
      <c r="AQ125" t="s">
        <v>99</v>
      </c>
      <c r="AS125" t="s">
        <v>78</v>
      </c>
      <c r="AT125" t="s">
        <v>100</v>
      </c>
      <c r="AU125" t="s">
        <v>100</v>
      </c>
      <c r="AW125" t="s">
        <v>85</v>
      </c>
      <c r="AX125" t="s">
        <v>101</v>
      </c>
      <c r="AY125" t="s">
        <v>102</v>
      </c>
      <c r="AZ125" t="s">
        <v>145</v>
      </c>
      <c r="BA125" t="s">
        <v>218</v>
      </c>
      <c r="BB125" t="s">
        <v>78</v>
      </c>
      <c r="BC125" t="s">
        <v>78</v>
      </c>
      <c r="BD125" t="s">
        <v>1025</v>
      </c>
      <c r="BE125">
        <v>0</v>
      </c>
      <c r="BF125">
        <v>0</v>
      </c>
      <c r="BG125">
        <v>0</v>
      </c>
      <c r="BH125">
        <v>0</v>
      </c>
      <c r="BJ125" t="s">
        <v>85</v>
      </c>
      <c r="BP125" t="s">
        <v>78</v>
      </c>
      <c r="BQ125" t="s">
        <v>78</v>
      </c>
      <c r="BR125" t="s">
        <v>78</v>
      </c>
    </row>
    <row r="126" customFormat="1" spans="1:70">
      <c r="A126" t="s">
        <v>3986</v>
      </c>
      <c r="B126" t="s">
        <v>3986</v>
      </c>
      <c r="C126" t="s">
        <v>107</v>
      </c>
      <c r="D126" t="s">
        <v>135</v>
      </c>
      <c r="E126">
        <v>1</v>
      </c>
      <c r="F126" t="s">
        <v>3857</v>
      </c>
      <c r="G126" t="s">
        <v>136</v>
      </c>
      <c r="H126">
        <v>289</v>
      </c>
      <c r="I126">
        <v>289</v>
      </c>
      <c r="J126">
        <v>0</v>
      </c>
      <c r="K126">
        <v>0</v>
      </c>
      <c r="L126" t="s">
        <v>78</v>
      </c>
      <c r="M126" t="s">
        <v>78</v>
      </c>
      <c r="N126" t="s">
        <v>78</v>
      </c>
      <c r="O126">
        <v>0</v>
      </c>
      <c r="P126">
        <v>0</v>
      </c>
      <c r="Q126">
        <v>0</v>
      </c>
      <c r="R126" t="s">
        <v>125</v>
      </c>
      <c r="S126">
        <v>0</v>
      </c>
      <c r="T126" t="s">
        <v>80</v>
      </c>
      <c r="U126" t="s">
        <v>80</v>
      </c>
      <c r="V126" t="s">
        <v>126</v>
      </c>
      <c r="W126" t="s">
        <v>377</v>
      </c>
      <c r="X126" t="s">
        <v>378</v>
      </c>
      <c r="Y126" t="s">
        <v>1027</v>
      </c>
      <c r="Z126" t="s">
        <v>80</v>
      </c>
      <c r="AA126" t="s">
        <v>85</v>
      </c>
      <c r="AC126" t="s">
        <v>1028</v>
      </c>
      <c r="AD126" t="s">
        <v>87</v>
      </c>
      <c r="AG126" t="s">
        <v>1029</v>
      </c>
      <c r="AH126" t="s">
        <v>91</v>
      </c>
      <c r="AI126" t="s">
        <v>92</v>
      </c>
      <c r="AJ126" t="s">
        <v>131</v>
      </c>
      <c r="AK126" t="s">
        <v>1030</v>
      </c>
      <c r="AL126" t="s">
        <v>95</v>
      </c>
      <c r="AM126" t="s">
        <v>96</v>
      </c>
      <c r="AN126" t="s">
        <v>97</v>
      </c>
      <c r="AO126" t="s">
        <v>98</v>
      </c>
      <c r="AP126" t="s">
        <v>78</v>
      </c>
      <c r="AQ126" t="s">
        <v>99</v>
      </c>
      <c r="AS126" t="s">
        <v>78</v>
      </c>
      <c r="AT126" t="s">
        <v>100</v>
      </c>
      <c r="AU126" t="s">
        <v>100</v>
      </c>
      <c r="AW126" t="s">
        <v>85</v>
      </c>
      <c r="AX126" t="s">
        <v>101</v>
      </c>
      <c r="AY126" t="s">
        <v>102</v>
      </c>
      <c r="AZ126" t="s">
        <v>145</v>
      </c>
      <c r="BA126" t="s">
        <v>146</v>
      </c>
      <c r="BB126" t="s">
        <v>78</v>
      </c>
      <c r="BC126" t="s">
        <v>78</v>
      </c>
      <c r="BE126">
        <v>0</v>
      </c>
      <c r="BF126">
        <v>0</v>
      </c>
      <c r="BG126">
        <v>0</v>
      </c>
      <c r="BH126">
        <v>0</v>
      </c>
      <c r="BJ126" t="s">
        <v>85</v>
      </c>
      <c r="BP126" t="s">
        <v>78</v>
      </c>
      <c r="BQ126" t="s">
        <v>78</v>
      </c>
      <c r="BR126" t="s">
        <v>78</v>
      </c>
    </row>
    <row r="127" customFormat="1" spans="1:70">
      <c r="A127" t="s">
        <v>3987</v>
      </c>
      <c r="B127" t="s">
        <v>3987</v>
      </c>
      <c r="C127" t="s">
        <v>107</v>
      </c>
      <c r="D127" t="s">
        <v>108</v>
      </c>
      <c r="E127">
        <v>1</v>
      </c>
      <c r="F127" t="s">
        <v>3857</v>
      </c>
      <c r="G127" t="s">
        <v>110</v>
      </c>
      <c r="H127">
        <v>289</v>
      </c>
      <c r="I127">
        <v>289</v>
      </c>
      <c r="J127">
        <v>0</v>
      </c>
      <c r="K127">
        <v>0</v>
      </c>
      <c r="L127" t="s">
        <v>78</v>
      </c>
      <c r="M127" t="s">
        <v>78</v>
      </c>
      <c r="N127" t="s">
        <v>78</v>
      </c>
      <c r="O127">
        <v>0</v>
      </c>
      <c r="P127">
        <v>0</v>
      </c>
      <c r="Q127">
        <v>0</v>
      </c>
      <c r="R127" t="s">
        <v>79</v>
      </c>
      <c r="S127">
        <v>0</v>
      </c>
      <c r="T127" t="s">
        <v>80</v>
      </c>
      <c r="U127" t="s">
        <v>80</v>
      </c>
      <c r="V127" t="s">
        <v>81</v>
      </c>
      <c r="W127" t="s">
        <v>481</v>
      </c>
      <c r="X127" t="s">
        <v>482</v>
      </c>
      <c r="Y127" t="s">
        <v>483</v>
      </c>
      <c r="Z127" t="s">
        <v>80</v>
      </c>
      <c r="AA127" t="s">
        <v>85</v>
      </c>
      <c r="AC127" t="s">
        <v>1032</v>
      </c>
      <c r="AD127" t="s">
        <v>87</v>
      </c>
      <c r="AG127" t="s">
        <v>1033</v>
      </c>
      <c r="AH127" t="s">
        <v>91</v>
      </c>
      <c r="AI127" t="s">
        <v>92</v>
      </c>
      <c r="AJ127" t="s">
        <v>131</v>
      </c>
      <c r="AK127" t="s">
        <v>1034</v>
      </c>
      <c r="AL127" t="s">
        <v>95</v>
      </c>
      <c r="AM127" t="s">
        <v>96</v>
      </c>
      <c r="AN127" t="s">
        <v>97</v>
      </c>
      <c r="AO127" t="s">
        <v>98</v>
      </c>
      <c r="AP127" t="s">
        <v>78</v>
      </c>
      <c r="AQ127" t="s">
        <v>99</v>
      </c>
      <c r="AS127" t="s">
        <v>78</v>
      </c>
      <c r="AT127" t="s">
        <v>100</v>
      </c>
      <c r="AU127" t="s">
        <v>100</v>
      </c>
      <c r="AW127" t="s">
        <v>85</v>
      </c>
      <c r="AX127" t="s">
        <v>101</v>
      </c>
      <c r="AY127" t="s">
        <v>102</v>
      </c>
      <c r="AZ127" t="s">
        <v>145</v>
      </c>
      <c r="BA127" t="s">
        <v>1035</v>
      </c>
      <c r="BB127" t="s">
        <v>78</v>
      </c>
      <c r="BC127" t="s">
        <v>78</v>
      </c>
      <c r="BE127">
        <v>0</v>
      </c>
      <c r="BF127">
        <v>0</v>
      </c>
      <c r="BG127">
        <v>0</v>
      </c>
      <c r="BH127">
        <v>0</v>
      </c>
      <c r="BJ127" t="s">
        <v>85</v>
      </c>
      <c r="BP127" t="s">
        <v>78</v>
      </c>
      <c r="BQ127" t="s">
        <v>78</v>
      </c>
      <c r="BR127" t="s">
        <v>78</v>
      </c>
    </row>
    <row r="128" customFormat="1" spans="1:70">
      <c r="A128" t="s">
        <v>3988</v>
      </c>
      <c r="B128" t="s">
        <v>3988</v>
      </c>
      <c r="C128" t="s">
        <v>1037</v>
      </c>
      <c r="D128" t="s">
        <v>1038</v>
      </c>
      <c r="E128">
        <v>1</v>
      </c>
      <c r="F128" t="s">
        <v>3989</v>
      </c>
      <c r="G128" t="s">
        <v>1040</v>
      </c>
      <c r="H128">
        <v>139</v>
      </c>
      <c r="I128">
        <v>139</v>
      </c>
      <c r="J128">
        <v>0</v>
      </c>
      <c r="K128">
        <v>0</v>
      </c>
      <c r="L128" t="s">
        <v>78</v>
      </c>
      <c r="M128" t="s">
        <v>78</v>
      </c>
      <c r="N128" t="s">
        <v>78</v>
      </c>
      <c r="O128">
        <v>0</v>
      </c>
      <c r="P128">
        <v>0</v>
      </c>
      <c r="Q128">
        <v>0</v>
      </c>
      <c r="R128" t="s">
        <v>125</v>
      </c>
      <c r="S128">
        <v>0</v>
      </c>
      <c r="T128" t="s">
        <v>80</v>
      </c>
      <c r="U128" t="s">
        <v>80</v>
      </c>
      <c r="V128" t="s">
        <v>271</v>
      </c>
      <c r="W128" t="s">
        <v>717</v>
      </c>
      <c r="X128" t="s">
        <v>1041</v>
      </c>
      <c r="Y128" t="s">
        <v>1042</v>
      </c>
      <c r="Z128" t="s">
        <v>80</v>
      </c>
      <c r="AA128" t="s">
        <v>85</v>
      </c>
      <c r="AC128" t="s">
        <v>1043</v>
      </c>
      <c r="AD128" t="s">
        <v>202</v>
      </c>
      <c r="AE128" t="s">
        <v>1044</v>
      </c>
      <c r="AF128" t="s">
        <v>1045</v>
      </c>
      <c r="AG128" t="s">
        <v>1046</v>
      </c>
      <c r="AH128" t="s">
        <v>91</v>
      </c>
      <c r="AI128" t="s">
        <v>216</v>
      </c>
      <c r="AJ128" t="s">
        <v>93</v>
      </c>
      <c r="AK128" t="s">
        <v>1047</v>
      </c>
      <c r="AL128" t="s">
        <v>95</v>
      </c>
      <c r="AM128" t="s">
        <v>96</v>
      </c>
      <c r="AN128" t="s">
        <v>96</v>
      </c>
      <c r="AP128" t="s">
        <v>78</v>
      </c>
      <c r="AQ128" t="s">
        <v>99</v>
      </c>
      <c r="AS128" t="s">
        <v>78</v>
      </c>
      <c r="AT128" t="s">
        <v>100</v>
      </c>
      <c r="AU128" t="s">
        <v>100</v>
      </c>
      <c r="AW128" t="s">
        <v>85</v>
      </c>
      <c r="AX128" t="s">
        <v>101</v>
      </c>
      <c r="AY128" t="s">
        <v>102</v>
      </c>
      <c r="AZ128" t="s">
        <v>145</v>
      </c>
      <c r="BA128" t="s">
        <v>218</v>
      </c>
      <c r="BB128" t="s">
        <v>78</v>
      </c>
      <c r="BC128" t="s">
        <v>78</v>
      </c>
      <c r="BD128" t="s">
        <v>1048</v>
      </c>
      <c r="BE128">
        <v>0</v>
      </c>
      <c r="BF128">
        <v>0</v>
      </c>
      <c r="BG128">
        <v>0</v>
      </c>
      <c r="BH128">
        <v>0</v>
      </c>
      <c r="BJ128" t="s">
        <v>85</v>
      </c>
      <c r="BP128" t="s">
        <v>78</v>
      </c>
      <c r="BQ128" t="s">
        <v>78</v>
      </c>
      <c r="BR128" t="s">
        <v>78</v>
      </c>
    </row>
    <row r="129" customFormat="1" spans="1:70">
      <c r="A129" t="s">
        <v>3990</v>
      </c>
      <c r="B129" t="s">
        <v>3990</v>
      </c>
      <c r="C129" t="s">
        <v>1050</v>
      </c>
      <c r="D129" t="s">
        <v>1051</v>
      </c>
      <c r="E129">
        <v>1</v>
      </c>
      <c r="F129" t="s">
        <v>3991</v>
      </c>
      <c r="G129" t="s">
        <v>1053</v>
      </c>
      <c r="H129">
        <v>129</v>
      </c>
      <c r="I129">
        <v>129</v>
      </c>
      <c r="J129">
        <v>0</v>
      </c>
      <c r="K129">
        <v>0</v>
      </c>
      <c r="L129" t="s">
        <v>78</v>
      </c>
      <c r="M129" t="s">
        <v>78</v>
      </c>
      <c r="N129" t="s">
        <v>78</v>
      </c>
      <c r="O129">
        <v>0</v>
      </c>
      <c r="P129">
        <v>0</v>
      </c>
      <c r="Q129">
        <v>0</v>
      </c>
      <c r="R129" t="s">
        <v>111</v>
      </c>
      <c r="S129">
        <v>0</v>
      </c>
      <c r="T129" t="s">
        <v>80</v>
      </c>
      <c r="U129" t="s">
        <v>80</v>
      </c>
      <c r="V129" t="s">
        <v>126</v>
      </c>
      <c r="W129" t="s">
        <v>592</v>
      </c>
      <c r="X129" t="s">
        <v>1054</v>
      </c>
      <c r="Y129" t="s">
        <v>1055</v>
      </c>
      <c r="Z129" t="s">
        <v>80</v>
      </c>
      <c r="AA129" t="s">
        <v>85</v>
      </c>
      <c r="AC129" t="s">
        <v>1056</v>
      </c>
      <c r="AD129" t="s">
        <v>87</v>
      </c>
      <c r="AF129" t="s">
        <v>1057</v>
      </c>
      <c r="AG129" t="s">
        <v>1058</v>
      </c>
      <c r="AH129" t="s">
        <v>91</v>
      </c>
      <c r="AI129" t="s">
        <v>216</v>
      </c>
      <c r="AJ129" t="s">
        <v>93</v>
      </c>
      <c r="AK129" t="s">
        <v>1059</v>
      </c>
      <c r="AL129" t="s">
        <v>95</v>
      </c>
      <c r="AM129" t="s">
        <v>96</v>
      </c>
      <c r="AN129" t="s">
        <v>96</v>
      </c>
      <c r="AP129" t="s">
        <v>78</v>
      </c>
      <c r="AQ129" t="s">
        <v>78</v>
      </c>
      <c r="AS129" t="s">
        <v>78</v>
      </c>
      <c r="AT129" t="s">
        <v>100</v>
      </c>
      <c r="AU129" t="s">
        <v>100</v>
      </c>
      <c r="AW129" t="s">
        <v>85</v>
      </c>
      <c r="AX129" t="s">
        <v>101</v>
      </c>
      <c r="AY129" t="s">
        <v>102</v>
      </c>
      <c r="AZ129" t="s">
        <v>145</v>
      </c>
      <c r="BA129" t="s">
        <v>218</v>
      </c>
      <c r="BB129" t="s">
        <v>78</v>
      </c>
      <c r="BC129" t="s">
        <v>78</v>
      </c>
      <c r="BD129" t="s">
        <v>1060</v>
      </c>
      <c r="BE129">
        <v>0</v>
      </c>
      <c r="BF129">
        <v>0</v>
      </c>
      <c r="BG129">
        <v>0</v>
      </c>
      <c r="BH129">
        <v>0</v>
      </c>
      <c r="BJ129" t="s">
        <v>85</v>
      </c>
      <c r="BP129" t="s">
        <v>78</v>
      </c>
      <c r="BQ129" t="s">
        <v>78</v>
      </c>
      <c r="BR129" t="s">
        <v>78</v>
      </c>
    </row>
    <row r="130" customFormat="1" spans="1:70">
      <c r="A130" t="s">
        <v>3992</v>
      </c>
      <c r="B130" t="s">
        <v>3992</v>
      </c>
      <c r="C130" t="s">
        <v>107</v>
      </c>
      <c r="D130" t="s">
        <v>108</v>
      </c>
      <c r="E130">
        <v>1</v>
      </c>
      <c r="F130" t="s">
        <v>3857</v>
      </c>
      <c r="G130" t="s">
        <v>110</v>
      </c>
      <c r="H130">
        <v>289</v>
      </c>
      <c r="I130">
        <v>279</v>
      </c>
      <c r="J130">
        <v>0</v>
      </c>
      <c r="K130">
        <v>10</v>
      </c>
      <c r="L130" t="s">
        <v>1010</v>
      </c>
      <c r="M130" t="s">
        <v>78</v>
      </c>
      <c r="N130" t="s">
        <v>78</v>
      </c>
      <c r="O130">
        <v>0</v>
      </c>
      <c r="P130">
        <v>0</v>
      </c>
      <c r="Q130">
        <v>0</v>
      </c>
      <c r="R130" t="s">
        <v>125</v>
      </c>
      <c r="S130">
        <v>0</v>
      </c>
      <c r="T130" t="s">
        <v>80</v>
      </c>
      <c r="U130" t="s">
        <v>80</v>
      </c>
      <c r="V130" t="s">
        <v>221</v>
      </c>
      <c r="W130" t="s">
        <v>599</v>
      </c>
      <c r="X130" t="s">
        <v>1062</v>
      </c>
      <c r="Y130" t="s">
        <v>1063</v>
      </c>
      <c r="Z130" t="s">
        <v>80</v>
      </c>
      <c r="AA130" t="s">
        <v>85</v>
      </c>
      <c r="AC130" t="s">
        <v>1064</v>
      </c>
      <c r="AD130" t="s">
        <v>87</v>
      </c>
      <c r="AF130" t="s">
        <v>999</v>
      </c>
      <c r="AG130" t="s">
        <v>1065</v>
      </c>
      <c r="AH130" t="s">
        <v>91</v>
      </c>
      <c r="AI130" t="s">
        <v>216</v>
      </c>
      <c r="AJ130" t="s">
        <v>93</v>
      </c>
      <c r="AK130" t="s">
        <v>1066</v>
      </c>
      <c r="AL130" t="s">
        <v>95</v>
      </c>
      <c r="AM130" t="s">
        <v>96</v>
      </c>
      <c r="AN130" t="s">
        <v>96</v>
      </c>
      <c r="AP130" t="s">
        <v>78</v>
      </c>
      <c r="AQ130" t="s">
        <v>78</v>
      </c>
      <c r="AS130" t="s">
        <v>78</v>
      </c>
      <c r="AT130" t="s">
        <v>100</v>
      </c>
      <c r="AU130" t="s">
        <v>100</v>
      </c>
      <c r="AW130" t="s">
        <v>85</v>
      </c>
      <c r="AX130" t="s">
        <v>101</v>
      </c>
      <c r="AY130" t="s">
        <v>102</v>
      </c>
      <c r="AZ130" t="s">
        <v>145</v>
      </c>
      <c r="BA130" t="s">
        <v>218</v>
      </c>
      <c r="BB130" t="s">
        <v>78</v>
      </c>
      <c r="BC130" t="s">
        <v>78</v>
      </c>
      <c r="BD130" t="s">
        <v>756</v>
      </c>
      <c r="BE130">
        <v>0</v>
      </c>
      <c r="BF130">
        <v>10</v>
      </c>
      <c r="BG130">
        <v>0</v>
      </c>
      <c r="BH130">
        <v>0</v>
      </c>
      <c r="BJ130" t="s">
        <v>85</v>
      </c>
      <c r="BP130" t="s">
        <v>78</v>
      </c>
      <c r="BQ130" t="s">
        <v>78</v>
      </c>
      <c r="BR130" t="s">
        <v>78</v>
      </c>
    </row>
    <row r="131" customFormat="1" spans="1:70">
      <c r="A131" t="s">
        <v>3993</v>
      </c>
      <c r="B131" t="s">
        <v>3993</v>
      </c>
      <c r="C131" t="s">
        <v>1068</v>
      </c>
      <c r="D131" t="s">
        <v>75</v>
      </c>
      <c r="E131">
        <v>1</v>
      </c>
      <c r="F131" t="s">
        <v>3994</v>
      </c>
      <c r="G131" t="s">
        <v>1070</v>
      </c>
      <c r="H131">
        <v>180</v>
      </c>
      <c r="I131">
        <v>180</v>
      </c>
      <c r="J131">
        <v>0</v>
      </c>
      <c r="K131">
        <v>0</v>
      </c>
      <c r="L131" t="s">
        <v>78</v>
      </c>
      <c r="M131" t="s">
        <v>78</v>
      </c>
      <c r="N131" t="s">
        <v>78</v>
      </c>
      <c r="O131">
        <v>0</v>
      </c>
      <c r="P131">
        <v>0</v>
      </c>
      <c r="Q131">
        <v>0</v>
      </c>
      <c r="R131" t="s">
        <v>125</v>
      </c>
      <c r="S131">
        <v>0</v>
      </c>
      <c r="T131" t="s">
        <v>80</v>
      </c>
      <c r="U131" t="s">
        <v>80</v>
      </c>
      <c r="V131" t="s">
        <v>325</v>
      </c>
      <c r="W131" t="s">
        <v>326</v>
      </c>
      <c r="X131" t="s">
        <v>1071</v>
      </c>
      <c r="Y131" t="s">
        <v>1072</v>
      </c>
      <c r="Z131" t="s">
        <v>80</v>
      </c>
      <c r="AA131" t="s">
        <v>85</v>
      </c>
      <c r="AC131" t="s">
        <v>1073</v>
      </c>
      <c r="AD131" t="s">
        <v>87</v>
      </c>
      <c r="AF131" t="s">
        <v>1074</v>
      </c>
      <c r="AG131" t="s">
        <v>1075</v>
      </c>
      <c r="AH131" t="s">
        <v>91</v>
      </c>
      <c r="AI131" t="s">
        <v>92</v>
      </c>
      <c r="AJ131" t="s">
        <v>93</v>
      </c>
      <c r="AK131" t="s">
        <v>1076</v>
      </c>
      <c r="AL131" t="s">
        <v>95</v>
      </c>
      <c r="AM131" t="s">
        <v>96</v>
      </c>
      <c r="AN131" t="s">
        <v>97</v>
      </c>
      <c r="AO131" t="s">
        <v>98</v>
      </c>
      <c r="AP131" t="s">
        <v>78</v>
      </c>
      <c r="AQ131" t="s">
        <v>78</v>
      </c>
      <c r="AS131" t="s">
        <v>78</v>
      </c>
      <c r="AT131" t="s">
        <v>100</v>
      </c>
      <c r="AU131" t="s">
        <v>100</v>
      </c>
      <c r="AW131" t="s">
        <v>85</v>
      </c>
      <c r="AX131" t="s">
        <v>101</v>
      </c>
      <c r="AY131" t="s">
        <v>102</v>
      </c>
      <c r="AZ131" t="s">
        <v>145</v>
      </c>
      <c r="BA131" t="s">
        <v>1077</v>
      </c>
      <c r="BB131" t="s">
        <v>78</v>
      </c>
      <c r="BC131" t="s">
        <v>78</v>
      </c>
      <c r="BD131" t="s">
        <v>1078</v>
      </c>
      <c r="BE131">
        <v>0</v>
      </c>
      <c r="BF131">
        <v>0</v>
      </c>
      <c r="BG131">
        <v>0</v>
      </c>
      <c r="BH131">
        <v>0</v>
      </c>
      <c r="BJ131" t="s">
        <v>85</v>
      </c>
      <c r="BP131" t="s">
        <v>78</v>
      </c>
      <c r="BQ131" t="s">
        <v>78</v>
      </c>
      <c r="BR131" t="s">
        <v>78</v>
      </c>
    </row>
    <row r="132" customFormat="1" spans="1:70">
      <c r="A132" t="s">
        <v>3995</v>
      </c>
      <c r="B132" t="s">
        <v>3995</v>
      </c>
      <c r="C132" t="s">
        <v>1080</v>
      </c>
      <c r="D132" t="s">
        <v>108</v>
      </c>
      <c r="E132">
        <v>1</v>
      </c>
      <c r="F132" t="s">
        <v>3996</v>
      </c>
      <c r="G132" t="s">
        <v>1082</v>
      </c>
      <c r="H132">
        <v>289</v>
      </c>
      <c r="I132">
        <v>289</v>
      </c>
      <c r="J132">
        <v>0</v>
      </c>
      <c r="K132">
        <v>0</v>
      </c>
      <c r="L132" t="s">
        <v>78</v>
      </c>
      <c r="M132" t="s">
        <v>78</v>
      </c>
      <c r="N132" t="s">
        <v>78</v>
      </c>
      <c r="O132">
        <v>0</v>
      </c>
      <c r="P132">
        <v>0</v>
      </c>
      <c r="Q132">
        <v>0</v>
      </c>
      <c r="R132" t="s">
        <v>111</v>
      </c>
      <c r="S132">
        <v>0</v>
      </c>
      <c r="T132" t="s">
        <v>80</v>
      </c>
      <c r="U132" t="s">
        <v>80</v>
      </c>
      <c r="V132" t="s">
        <v>676</v>
      </c>
      <c r="W132" t="s">
        <v>1083</v>
      </c>
      <c r="X132" t="s">
        <v>1084</v>
      </c>
      <c r="Y132" t="s">
        <v>1085</v>
      </c>
      <c r="Z132" t="s">
        <v>80</v>
      </c>
      <c r="AA132" t="s">
        <v>85</v>
      </c>
      <c r="AC132" t="s">
        <v>1086</v>
      </c>
      <c r="AD132" t="s">
        <v>202</v>
      </c>
      <c r="AE132" t="s">
        <v>1087</v>
      </c>
      <c r="AG132" t="s">
        <v>1088</v>
      </c>
      <c r="AH132" t="s">
        <v>91</v>
      </c>
      <c r="AI132" t="s">
        <v>216</v>
      </c>
      <c r="AJ132" t="s">
        <v>131</v>
      </c>
      <c r="AK132" t="s">
        <v>1089</v>
      </c>
      <c r="AL132" t="s">
        <v>95</v>
      </c>
      <c r="AM132" t="s">
        <v>96</v>
      </c>
      <c r="AN132" t="s">
        <v>96</v>
      </c>
      <c r="AP132" t="s">
        <v>78</v>
      </c>
      <c r="AQ132" t="s">
        <v>99</v>
      </c>
      <c r="AS132" t="s">
        <v>78</v>
      </c>
      <c r="AT132" t="s">
        <v>100</v>
      </c>
      <c r="AU132" t="s">
        <v>100</v>
      </c>
      <c r="AW132" t="s">
        <v>85</v>
      </c>
      <c r="AX132" t="s">
        <v>101</v>
      </c>
      <c r="AY132" t="s">
        <v>102</v>
      </c>
      <c r="AZ132" t="s">
        <v>145</v>
      </c>
      <c r="BA132" t="s">
        <v>104</v>
      </c>
      <c r="BB132" t="s">
        <v>78</v>
      </c>
      <c r="BC132" t="s">
        <v>78</v>
      </c>
      <c r="BD132" t="s">
        <v>1090</v>
      </c>
      <c r="BE132">
        <v>0</v>
      </c>
      <c r="BF132">
        <v>0</v>
      </c>
      <c r="BG132">
        <v>0</v>
      </c>
      <c r="BH132">
        <v>0</v>
      </c>
      <c r="BJ132" t="s">
        <v>85</v>
      </c>
      <c r="BP132" t="s">
        <v>78</v>
      </c>
      <c r="BQ132" t="s">
        <v>78</v>
      </c>
      <c r="BR132" t="s">
        <v>78</v>
      </c>
    </row>
    <row r="133" customFormat="1" spans="1:70">
      <c r="A133" t="s">
        <v>3997</v>
      </c>
      <c r="B133" t="s">
        <v>3997</v>
      </c>
      <c r="C133" t="s">
        <v>1092</v>
      </c>
      <c r="D133" t="s">
        <v>108</v>
      </c>
      <c r="E133">
        <v>1</v>
      </c>
      <c r="F133" t="s">
        <v>3998</v>
      </c>
      <c r="G133" t="s">
        <v>1094</v>
      </c>
      <c r="H133">
        <v>289</v>
      </c>
      <c r="I133">
        <v>260.11</v>
      </c>
      <c r="J133">
        <v>0</v>
      </c>
      <c r="K133">
        <v>28.89</v>
      </c>
      <c r="L133" t="s">
        <v>1095</v>
      </c>
      <c r="M133" t="s">
        <v>78</v>
      </c>
      <c r="N133" t="s">
        <v>78</v>
      </c>
      <c r="O133">
        <v>0</v>
      </c>
      <c r="P133">
        <v>0</v>
      </c>
      <c r="Q133">
        <v>0</v>
      </c>
      <c r="R133" t="s">
        <v>125</v>
      </c>
      <c r="S133">
        <v>0</v>
      </c>
      <c r="T133" t="s">
        <v>80</v>
      </c>
      <c r="U133" t="s">
        <v>80</v>
      </c>
      <c r="V133" t="s">
        <v>152</v>
      </c>
      <c r="W133" t="s">
        <v>153</v>
      </c>
      <c r="X133" t="s">
        <v>154</v>
      </c>
      <c r="Y133" t="s">
        <v>212</v>
      </c>
      <c r="Z133" t="s">
        <v>80</v>
      </c>
      <c r="AA133" t="s">
        <v>85</v>
      </c>
      <c r="AC133" t="s">
        <v>1096</v>
      </c>
      <c r="AD133" t="s">
        <v>202</v>
      </c>
      <c r="AE133" t="s">
        <v>1097</v>
      </c>
      <c r="AG133" t="s">
        <v>1098</v>
      </c>
      <c r="AH133" t="s">
        <v>91</v>
      </c>
      <c r="AI133" t="s">
        <v>216</v>
      </c>
      <c r="AJ133" t="s">
        <v>131</v>
      </c>
      <c r="AK133" t="s">
        <v>1099</v>
      </c>
      <c r="AL133" t="s">
        <v>95</v>
      </c>
      <c r="AM133" t="s">
        <v>96</v>
      </c>
      <c r="AN133" t="s">
        <v>96</v>
      </c>
      <c r="AP133" t="s">
        <v>78</v>
      </c>
      <c r="AQ133" t="s">
        <v>99</v>
      </c>
      <c r="AS133" t="s">
        <v>78</v>
      </c>
      <c r="AT133" t="s">
        <v>100</v>
      </c>
      <c r="AU133" t="s">
        <v>100</v>
      </c>
      <c r="AW133" t="s">
        <v>85</v>
      </c>
      <c r="AX133" t="s">
        <v>101</v>
      </c>
      <c r="AY133" t="s">
        <v>102</v>
      </c>
      <c r="AZ133" t="s">
        <v>145</v>
      </c>
      <c r="BA133" t="s">
        <v>683</v>
      </c>
      <c r="BB133" t="s">
        <v>78</v>
      </c>
      <c r="BC133" t="s">
        <v>78</v>
      </c>
      <c r="BD133" t="s">
        <v>1100</v>
      </c>
      <c r="BE133">
        <v>0</v>
      </c>
      <c r="BF133">
        <v>28.89</v>
      </c>
      <c r="BG133">
        <v>0</v>
      </c>
      <c r="BH133">
        <v>0</v>
      </c>
      <c r="BJ133" t="s">
        <v>85</v>
      </c>
      <c r="BP133" t="s">
        <v>78</v>
      </c>
      <c r="BQ133" t="s">
        <v>78</v>
      </c>
      <c r="BR133" t="s">
        <v>78</v>
      </c>
    </row>
    <row r="134" customFormat="1" spans="1:70">
      <c r="A134" t="s">
        <v>3997</v>
      </c>
      <c r="B134" t="s">
        <v>3999</v>
      </c>
      <c r="C134" t="s">
        <v>107</v>
      </c>
      <c r="D134" t="s">
        <v>108</v>
      </c>
      <c r="E134">
        <v>1</v>
      </c>
      <c r="F134" t="s">
        <v>3857</v>
      </c>
      <c r="G134" t="s">
        <v>110</v>
      </c>
      <c r="H134">
        <v>289</v>
      </c>
      <c r="I134">
        <v>260.06</v>
      </c>
      <c r="J134">
        <v>0</v>
      </c>
      <c r="K134">
        <v>28.94</v>
      </c>
      <c r="L134" t="s">
        <v>1102</v>
      </c>
      <c r="M134" t="s">
        <v>78</v>
      </c>
      <c r="N134" t="s">
        <v>78</v>
      </c>
      <c r="O134">
        <v>0</v>
      </c>
      <c r="P134">
        <v>0</v>
      </c>
      <c r="Q134">
        <v>0</v>
      </c>
      <c r="R134" t="s">
        <v>125</v>
      </c>
      <c r="S134">
        <v>0</v>
      </c>
      <c r="T134" t="s">
        <v>80</v>
      </c>
      <c r="U134" t="s">
        <v>80</v>
      </c>
      <c r="V134" t="s">
        <v>152</v>
      </c>
      <c r="W134" t="s">
        <v>153</v>
      </c>
      <c r="X134" t="s">
        <v>154</v>
      </c>
      <c r="Y134" t="s">
        <v>212</v>
      </c>
      <c r="Z134" t="s">
        <v>80</v>
      </c>
      <c r="AA134" t="s">
        <v>85</v>
      </c>
      <c r="AC134" t="s">
        <v>1096</v>
      </c>
      <c r="AD134" t="s">
        <v>202</v>
      </c>
      <c r="AE134" t="s">
        <v>1097</v>
      </c>
      <c r="AF134" t="s">
        <v>999</v>
      </c>
      <c r="AG134" t="s">
        <v>1098</v>
      </c>
      <c r="AH134" t="s">
        <v>91</v>
      </c>
      <c r="AI134" t="s">
        <v>216</v>
      </c>
      <c r="AJ134" t="s">
        <v>93</v>
      </c>
      <c r="AK134" t="s">
        <v>1099</v>
      </c>
      <c r="AL134" t="s">
        <v>95</v>
      </c>
      <c r="AM134" t="s">
        <v>96</v>
      </c>
      <c r="AN134" t="s">
        <v>96</v>
      </c>
      <c r="AP134" t="s">
        <v>78</v>
      </c>
      <c r="AQ134" t="s">
        <v>78</v>
      </c>
      <c r="AS134" t="s">
        <v>78</v>
      </c>
      <c r="AT134" t="s">
        <v>100</v>
      </c>
      <c r="AU134" t="s">
        <v>100</v>
      </c>
      <c r="AW134" t="s">
        <v>85</v>
      </c>
      <c r="AX134" t="s">
        <v>101</v>
      </c>
      <c r="AY134" t="s">
        <v>102</v>
      </c>
      <c r="AZ134" t="s">
        <v>145</v>
      </c>
      <c r="BA134" t="s">
        <v>102</v>
      </c>
      <c r="BB134" t="s">
        <v>78</v>
      </c>
      <c r="BC134" t="s">
        <v>78</v>
      </c>
      <c r="BD134" t="s">
        <v>756</v>
      </c>
      <c r="BE134">
        <v>0</v>
      </c>
      <c r="BF134">
        <v>28.94</v>
      </c>
      <c r="BG134">
        <v>0</v>
      </c>
      <c r="BH134">
        <v>0</v>
      </c>
      <c r="BJ134" t="s">
        <v>85</v>
      </c>
      <c r="BP134" t="s">
        <v>78</v>
      </c>
      <c r="BQ134" t="s">
        <v>78</v>
      </c>
      <c r="BR134" t="s">
        <v>78</v>
      </c>
    </row>
    <row r="135" customFormat="1" spans="1:70">
      <c r="A135" t="s">
        <v>4000</v>
      </c>
      <c r="B135" t="s">
        <v>4000</v>
      </c>
      <c r="C135" t="s">
        <v>1068</v>
      </c>
      <c r="D135" t="s">
        <v>247</v>
      </c>
      <c r="E135">
        <v>1</v>
      </c>
      <c r="F135" t="s">
        <v>3994</v>
      </c>
      <c r="G135" t="s">
        <v>1104</v>
      </c>
      <c r="H135">
        <v>180</v>
      </c>
      <c r="I135">
        <v>180</v>
      </c>
      <c r="J135">
        <v>0</v>
      </c>
      <c r="K135">
        <v>0</v>
      </c>
      <c r="L135" t="s">
        <v>78</v>
      </c>
      <c r="M135" t="s">
        <v>78</v>
      </c>
      <c r="N135" t="s">
        <v>78</v>
      </c>
      <c r="O135">
        <v>0</v>
      </c>
      <c r="P135">
        <v>0</v>
      </c>
      <c r="Q135">
        <v>0</v>
      </c>
      <c r="R135" t="s">
        <v>111</v>
      </c>
      <c r="S135">
        <v>0</v>
      </c>
      <c r="T135" t="s">
        <v>80</v>
      </c>
      <c r="U135" t="s">
        <v>80</v>
      </c>
      <c r="V135" t="s">
        <v>239</v>
      </c>
      <c r="W135" t="s">
        <v>1105</v>
      </c>
      <c r="X135" t="s">
        <v>1106</v>
      </c>
      <c r="Y135" t="s">
        <v>1107</v>
      </c>
      <c r="Z135" t="s">
        <v>80</v>
      </c>
      <c r="AA135" t="s">
        <v>85</v>
      </c>
      <c r="AC135" t="s">
        <v>1108</v>
      </c>
      <c r="AD135" t="s">
        <v>87</v>
      </c>
      <c r="AF135" t="s">
        <v>1109</v>
      </c>
      <c r="AG135" t="s">
        <v>1110</v>
      </c>
      <c r="AH135" t="s">
        <v>91</v>
      </c>
      <c r="AI135" t="s">
        <v>216</v>
      </c>
      <c r="AJ135" t="s">
        <v>93</v>
      </c>
      <c r="AK135" t="s">
        <v>1111</v>
      </c>
      <c r="AL135" t="s">
        <v>95</v>
      </c>
      <c r="AM135" t="s">
        <v>96</v>
      </c>
      <c r="AN135" t="s">
        <v>96</v>
      </c>
      <c r="AP135" t="s">
        <v>78</v>
      </c>
      <c r="AQ135" t="s">
        <v>78</v>
      </c>
      <c r="AS135" t="s">
        <v>78</v>
      </c>
      <c r="AT135" t="s">
        <v>100</v>
      </c>
      <c r="AU135" t="s">
        <v>100</v>
      </c>
      <c r="AW135" t="s">
        <v>85</v>
      </c>
      <c r="AX135" t="s">
        <v>101</v>
      </c>
      <c r="AY135" t="s">
        <v>102</v>
      </c>
      <c r="AZ135" t="s">
        <v>145</v>
      </c>
      <c r="BA135" t="s">
        <v>104</v>
      </c>
      <c r="BB135" t="s">
        <v>78</v>
      </c>
      <c r="BC135" t="s">
        <v>78</v>
      </c>
      <c r="BD135" t="s">
        <v>1112</v>
      </c>
      <c r="BE135">
        <v>0</v>
      </c>
      <c r="BF135">
        <v>0</v>
      </c>
      <c r="BG135">
        <v>0</v>
      </c>
      <c r="BH135">
        <v>0</v>
      </c>
      <c r="BJ135" t="s">
        <v>85</v>
      </c>
      <c r="BP135" t="s">
        <v>78</v>
      </c>
      <c r="BQ135" t="s">
        <v>78</v>
      </c>
      <c r="BR135" t="s">
        <v>78</v>
      </c>
    </row>
    <row r="136" customFormat="1" spans="1:70">
      <c r="A136" t="s">
        <v>4001</v>
      </c>
      <c r="B136" t="s">
        <v>4001</v>
      </c>
      <c r="C136" t="s">
        <v>1114</v>
      </c>
      <c r="D136" t="s">
        <v>1115</v>
      </c>
      <c r="E136">
        <v>1</v>
      </c>
      <c r="F136" t="s">
        <v>4002</v>
      </c>
      <c r="G136" t="s">
        <v>1117</v>
      </c>
      <c r="H136">
        <v>299</v>
      </c>
      <c r="I136">
        <v>284</v>
      </c>
      <c r="J136">
        <v>0</v>
      </c>
      <c r="K136">
        <v>15</v>
      </c>
      <c r="L136" t="s">
        <v>1118</v>
      </c>
      <c r="M136" t="s">
        <v>78</v>
      </c>
      <c r="N136" t="s">
        <v>78</v>
      </c>
      <c r="O136">
        <v>0</v>
      </c>
      <c r="P136">
        <v>0</v>
      </c>
      <c r="Q136">
        <v>0</v>
      </c>
      <c r="R136" t="s">
        <v>79</v>
      </c>
      <c r="S136">
        <v>0</v>
      </c>
      <c r="T136" t="s">
        <v>80</v>
      </c>
      <c r="U136" t="s">
        <v>80</v>
      </c>
      <c r="V136" t="s">
        <v>112</v>
      </c>
      <c r="W136" t="s">
        <v>1119</v>
      </c>
      <c r="X136" t="s">
        <v>1120</v>
      </c>
      <c r="Y136" t="s">
        <v>1121</v>
      </c>
      <c r="Z136" t="s">
        <v>80</v>
      </c>
      <c r="AA136" t="s">
        <v>85</v>
      </c>
      <c r="AC136" t="s">
        <v>1122</v>
      </c>
      <c r="AD136" t="s">
        <v>87</v>
      </c>
      <c r="AG136" t="s">
        <v>1123</v>
      </c>
      <c r="AH136" t="s">
        <v>91</v>
      </c>
      <c r="AI136" t="s">
        <v>216</v>
      </c>
      <c r="AJ136" t="s">
        <v>131</v>
      </c>
      <c r="AK136" t="s">
        <v>1124</v>
      </c>
      <c r="AL136" t="s">
        <v>95</v>
      </c>
      <c r="AM136" t="s">
        <v>96</v>
      </c>
      <c r="AN136" t="s">
        <v>96</v>
      </c>
      <c r="AP136" t="s">
        <v>78</v>
      </c>
      <c r="AQ136" t="s">
        <v>99</v>
      </c>
      <c r="AS136" t="s">
        <v>78</v>
      </c>
      <c r="AT136" t="s">
        <v>100</v>
      </c>
      <c r="AU136" t="s">
        <v>100</v>
      </c>
      <c r="AW136" t="s">
        <v>85</v>
      </c>
      <c r="AX136" t="s">
        <v>101</v>
      </c>
      <c r="AY136" t="s">
        <v>102</v>
      </c>
      <c r="AZ136" t="s">
        <v>145</v>
      </c>
      <c r="BA136" t="s">
        <v>104</v>
      </c>
      <c r="BB136" t="s">
        <v>78</v>
      </c>
      <c r="BC136" t="s">
        <v>78</v>
      </c>
      <c r="BE136">
        <v>0</v>
      </c>
      <c r="BF136">
        <v>15</v>
      </c>
      <c r="BG136">
        <v>0</v>
      </c>
      <c r="BH136">
        <v>0</v>
      </c>
      <c r="BJ136" t="s">
        <v>85</v>
      </c>
      <c r="BP136" t="s">
        <v>78</v>
      </c>
      <c r="BQ136" t="s">
        <v>78</v>
      </c>
      <c r="BR136" t="s">
        <v>78</v>
      </c>
    </row>
    <row r="137" customFormat="1" spans="1:70">
      <c r="A137" t="s">
        <v>4003</v>
      </c>
      <c r="B137" t="s">
        <v>4003</v>
      </c>
      <c r="C137" t="s">
        <v>1126</v>
      </c>
      <c r="D137" t="s">
        <v>1127</v>
      </c>
      <c r="E137">
        <v>1</v>
      </c>
      <c r="F137" t="s">
        <v>4004</v>
      </c>
      <c r="G137" t="s">
        <v>1129</v>
      </c>
      <c r="H137">
        <v>249</v>
      </c>
      <c r="I137">
        <v>231.13</v>
      </c>
      <c r="J137">
        <v>0</v>
      </c>
      <c r="K137">
        <v>17.87</v>
      </c>
      <c r="L137" t="s">
        <v>1130</v>
      </c>
      <c r="M137" t="s">
        <v>78</v>
      </c>
      <c r="N137" t="s">
        <v>78</v>
      </c>
      <c r="O137">
        <v>0</v>
      </c>
      <c r="P137">
        <v>0</v>
      </c>
      <c r="Q137">
        <v>0</v>
      </c>
      <c r="R137" t="s">
        <v>125</v>
      </c>
      <c r="S137">
        <v>0</v>
      </c>
      <c r="T137" t="s">
        <v>80</v>
      </c>
      <c r="U137" t="s">
        <v>80</v>
      </c>
      <c r="V137" t="s">
        <v>447</v>
      </c>
      <c r="W137" t="s">
        <v>448</v>
      </c>
      <c r="X137" t="s">
        <v>1131</v>
      </c>
      <c r="Y137" t="s">
        <v>1132</v>
      </c>
      <c r="Z137" t="s">
        <v>80</v>
      </c>
      <c r="AA137" t="s">
        <v>85</v>
      </c>
      <c r="AC137" t="s">
        <v>1133</v>
      </c>
      <c r="AD137" t="s">
        <v>87</v>
      </c>
      <c r="AG137" t="s">
        <v>1134</v>
      </c>
      <c r="AH137" t="s">
        <v>91</v>
      </c>
      <c r="AI137" t="s">
        <v>216</v>
      </c>
      <c r="AJ137" t="s">
        <v>131</v>
      </c>
      <c r="AK137" t="s">
        <v>1135</v>
      </c>
      <c r="AL137" t="s">
        <v>95</v>
      </c>
      <c r="AM137" t="s">
        <v>96</v>
      </c>
      <c r="AN137" t="s">
        <v>96</v>
      </c>
      <c r="AP137" t="s">
        <v>78</v>
      </c>
      <c r="AQ137" t="s">
        <v>99</v>
      </c>
      <c r="AS137" t="s">
        <v>78</v>
      </c>
      <c r="AT137" t="s">
        <v>100</v>
      </c>
      <c r="AU137" t="s">
        <v>100</v>
      </c>
      <c r="AW137" t="s">
        <v>85</v>
      </c>
      <c r="AX137" t="s">
        <v>101</v>
      </c>
      <c r="AY137" t="s">
        <v>102</v>
      </c>
      <c r="AZ137" t="s">
        <v>145</v>
      </c>
      <c r="BA137" t="s">
        <v>218</v>
      </c>
      <c r="BB137" t="s">
        <v>78</v>
      </c>
      <c r="BC137" t="s">
        <v>78</v>
      </c>
      <c r="BE137">
        <v>0</v>
      </c>
      <c r="BF137">
        <v>17.87</v>
      </c>
      <c r="BG137">
        <v>0</v>
      </c>
      <c r="BH137">
        <v>0</v>
      </c>
      <c r="BJ137" t="s">
        <v>85</v>
      </c>
      <c r="BP137" t="s">
        <v>78</v>
      </c>
      <c r="BQ137" t="s">
        <v>78</v>
      </c>
      <c r="BR137" t="s">
        <v>78</v>
      </c>
    </row>
    <row r="138" customFormat="1" spans="1:70">
      <c r="A138" t="s">
        <v>4005</v>
      </c>
      <c r="B138" t="s">
        <v>4005</v>
      </c>
      <c r="C138" t="s">
        <v>1126</v>
      </c>
      <c r="D138" t="s">
        <v>1127</v>
      </c>
      <c r="E138">
        <v>1</v>
      </c>
      <c r="F138" t="s">
        <v>4004</v>
      </c>
      <c r="G138" t="s">
        <v>1129</v>
      </c>
      <c r="H138">
        <v>249</v>
      </c>
      <c r="I138">
        <v>229.23</v>
      </c>
      <c r="J138">
        <v>0</v>
      </c>
      <c r="K138">
        <v>19.77</v>
      </c>
      <c r="L138" t="s">
        <v>1137</v>
      </c>
      <c r="M138" t="s">
        <v>78</v>
      </c>
      <c r="N138" t="s">
        <v>78</v>
      </c>
      <c r="O138">
        <v>0</v>
      </c>
      <c r="P138">
        <v>0</v>
      </c>
      <c r="Q138">
        <v>0</v>
      </c>
      <c r="R138" t="s">
        <v>125</v>
      </c>
      <c r="S138">
        <v>0</v>
      </c>
      <c r="T138" t="s">
        <v>80</v>
      </c>
      <c r="U138" t="s">
        <v>80</v>
      </c>
      <c r="V138" t="s">
        <v>447</v>
      </c>
      <c r="W138" t="s">
        <v>448</v>
      </c>
      <c r="X138" t="s">
        <v>1131</v>
      </c>
      <c r="Y138" t="s">
        <v>1132</v>
      </c>
      <c r="Z138" t="s">
        <v>80</v>
      </c>
      <c r="AA138" t="s">
        <v>85</v>
      </c>
      <c r="AC138" t="s">
        <v>1138</v>
      </c>
      <c r="AD138" t="s">
        <v>87</v>
      </c>
      <c r="AG138" t="s">
        <v>1139</v>
      </c>
      <c r="AH138" t="s">
        <v>91</v>
      </c>
      <c r="AI138" t="s">
        <v>216</v>
      </c>
      <c r="AJ138" t="s">
        <v>131</v>
      </c>
      <c r="AK138" t="s">
        <v>1140</v>
      </c>
      <c r="AL138" t="s">
        <v>95</v>
      </c>
      <c r="AM138" t="s">
        <v>96</v>
      </c>
      <c r="AN138" t="s">
        <v>96</v>
      </c>
      <c r="AP138" t="s">
        <v>78</v>
      </c>
      <c r="AQ138" t="s">
        <v>99</v>
      </c>
      <c r="AS138" t="s">
        <v>78</v>
      </c>
      <c r="AT138" t="s">
        <v>100</v>
      </c>
      <c r="AU138" t="s">
        <v>100</v>
      </c>
      <c r="AW138" t="s">
        <v>85</v>
      </c>
      <c r="AX138" t="s">
        <v>101</v>
      </c>
      <c r="AY138" t="s">
        <v>102</v>
      </c>
      <c r="AZ138" t="s">
        <v>145</v>
      </c>
      <c r="BA138" t="s">
        <v>218</v>
      </c>
      <c r="BB138" t="s">
        <v>78</v>
      </c>
      <c r="BC138" t="s">
        <v>78</v>
      </c>
      <c r="BE138">
        <v>0</v>
      </c>
      <c r="BF138">
        <v>19.77</v>
      </c>
      <c r="BG138">
        <v>0</v>
      </c>
      <c r="BH138">
        <v>0</v>
      </c>
      <c r="BJ138" t="s">
        <v>85</v>
      </c>
      <c r="BP138" t="s">
        <v>78</v>
      </c>
      <c r="BQ138" t="s">
        <v>78</v>
      </c>
      <c r="BR138" t="s">
        <v>78</v>
      </c>
    </row>
    <row r="139" customFormat="1" spans="1:70">
      <c r="A139" t="s">
        <v>4006</v>
      </c>
      <c r="B139" t="s">
        <v>4006</v>
      </c>
      <c r="C139" t="s">
        <v>1050</v>
      </c>
      <c r="D139" t="s">
        <v>1142</v>
      </c>
      <c r="E139">
        <v>1</v>
      </c>
      <c r="F139" t="s">
        <v>3991</v>
      </c>
      <c r="G139" t="s">
        <v>1143</v>
      </c>
      <c r="H139">
        <v>129</v>
      </c>
      <c r="I139">
        <v>116.1</v>
      </c>
      <c r="J139">
        <v>0</v>
      </c>
      <c r="K139">
        <v>12.9</v>
      </c>
      <c r="L139" t="s">
        <v>1144</v>
      </c>
      <c r="M139" t="s">
        <v>78</v>
      </c>
      <c r="N139" t="s">
        <v>78</v>
      </c>
      <c r="O139">
        <v>0</v>
      </c>
      <c r="P139">
        <v>0</v>
      </c>
      <c r="Q139">
        <v>0</v>
      </c>
      <c r="R139" t="s">
        <v>111</v>
      </c>
      <c r="S139">
        <v>0</v>
      </c>
      <c r="T139" t="s">
        <v>80</v>
      </c>
      <c r="U139" t="s">
        <v>80</v>
      </c>
      <c r="V139" t="s">
        <v>178</v>
      </c>
      <c r="W139" t="s">
        <v>178</v>
      </c>
      <c r="X139" t="s">
        <v>1145</v>
      </c>
      <c r="Y139" t="s">
        <v>1146</v>
      </c>
      <c r="Z139" t="s">
        <v>80</v>
      </c>
      <c r="AA139" t="s">
        <v>85</v>
      </c>
      <c r="AC139" t="s">
        <v>1147</v>
      </c>
      <c r="AD139" t="s">
        <v>202</v>
      </c>
      <c r="AE139" t="s">
        <v>1148</v>
      </c>
      <c r="AG139" t="s">
        <v>1149</v>
      </c>
      <c r="AH139" t="s">
        <v>91</v>
      </c>
      <c r="AI139" t="s">
        <v>216</v>
      </c>
      <c r="AJ139" t="s">
        <v>131</v>
      </c>
      <c r="AK139" t="s">
        <v>1150</v>
      </c>
      <c r="AL139" t="s">
        <v>95</v>
      </c>
      <c r="AM139" t="s">
        <v>96</v>
      </c>
      <c r="AN139" t="s">
        <v>96</v>
      </c>
      <c r="AP139" t="s">
        <v>78</v>
      </c>
      <c r="AQ139" t="s">
        <v>99</v>
      </c>
      <c r="AS139" t="s">
        <v>78</v>
      </c>
      <c r="AT139" t="s">
        <v>100</v>
      </c>
      <c r="AU139" t="s">
        <v>100</v>
      </c>
      <c r="AW139" t="s">
        <v>85</v>
      </c>
      <c r="AX139" t="s">
        <v>101</v>
      </c>
      <c r="AY139" t="s">
        <v>102</v>
      </c>
      <c r="AZ139" t="s">
        <v>145</v>
      </c>
      <c r="BA139" t="s">
        <v>102</v>
      </c>
      <c r="BB139" t="s">
        <v>78</v>
      </c>
      <c r="BC139" t="s">
        <v>78</v>
      </c>
      <c r="BD139" t="s">
        <v>1151</v>
      </c>
      <c r="BE139">
        <v>0</v>
      </c>
      <c r="BF139">
        <v>12.9</v>
      </c>
      <c r="BG139">
        <v>0</v>
      </c>
      <c r="BH139">
        <v>0</v>
      </c>
      <c r="BJ139" t="s">
        <v>85</v>
      </c>
      <c r="BP139" t="s">
        <v>78</v>
      </c>
      <c r="BQ139" t="s">
        <v>78</v>
      </c>
      <c r="BR139" t="s">
        <v>78</v>
      </c>
    </row>
    <row r="140" customFormat="1" spans="1:70">
      <c r="A140" t="s">
        <v>4007</v>
      </c>
      <c r="B140" t="s">
        <v>4007</v>
      </c>
      <c r="C140" t="s">
        <v>1050</v>
      </c>
      <c r="D140" t="s">
        <v>1153</v>
      </c>
      <c r="E140">
        <v>1</v>
      </c>
      <c r="F140" t="s">
        <v>3991</v>
      </c>
      <c r="G140" t="s">
        <v>1154</v>
      </c>
      <c r="H140">
        <v>129</v>
      </c>
      <c r="I140">
        <v>116.24</v>
      </c>
      <c r="J140">
        <v>0</v>
      </c>
      <c r="K140">
        <v>12.76</v>
      </c>
      <c r="L140" t="s">
        <v>1155</v>
      </c>
      <c r="M140" t="s">
        <v>78</v>
      </c>
      <c r="N140" t="s">
        <v>78</v>
      </c>
      <c r="O140">
        <v>0</v>
      </c>
      <c r="P140">
        <v>0</v>
      </c>
      <c r="Q140">
        <v>0</v>
      </c>
      <c r="R140" t="s">
        <v>79</v>
      </c>
      <c r="S140">
        <v>0</v>
      </c>
      <c r="T140" t="s">
        <v>80</v>
      </c>
      <c r="U140" t="s">
        <v>80</v>
      </c>
      <c r="V140" t="s">
        <v>178</v>
      </c>
      <c r="W140" t="s">
        <v>178</v>
      </c>
      <c r="X140" t="s">
        <v>1145</v>
      </c>
      <c r="Y140" t="s">
        <v>1146</v>
      </c>
      <c r="Z140" t="s">
        <v>80</v>
      </c>
      <c r="AA140" t="s">
        <v>85</v>
      </c>
      <c r="AC140" t="s">
        <v>1156</v>
      </c>
      <c r="AD140" t="s">
        <v>87</v>
      </c>
      <c r="AF140" t="s">
        <v>1157</v>
      </c>
      <c r="AG140" t="s">
        <v>1158</v>
      </c>
      <c r="AH140" t="s">
        <v>91</v>
      </c>
      <c r="AI140" t="s">
        <v>216</v>
      </c>
      <c r="AJ140" t="s">
        <v>93</v>
      </c>
      <c r="AK140" t="s">
        <v>1159</v>
      </c>
      <c r="AL140" t="s">
        <v>95</v>
      </c>
      <c r="AM140" t="s">
        <v>96</v>
      </c>
      <c r="AN140" t="s">
        <v>96</v>
      </c>
      <c r="AP140" t="s">
        <v>78</v>
      </c>
      <c r="AQ140" t="s">
        <v>78</v>
      </c>
      <c r="AS140" t="s">
        <v>78</v>
      </c>
      <c r="AT140" t="s">
        <v>100</v>
      </c>
      <c r="AU140" t="s">
        <v>100</v>
      </c>
      <c r="AW140" t="s">
        <v>85</v>
      </c>
      <c r="AX140" t="s">
        <v>101</v>
      </c>
      <c r="AY140" t="s">
        <v>102</v>
      </c>
      <c r="AZ140" t="s">
        <v>145</v>
      </c>
      <c r="BA140" t="s">
        <v>102</v>
      </c>
      <c r="BB140" t="s">
        <v>78</v>
      </c>
      <c r="BC140" t="s">
        <v>78</v>
      </c>
      <c r="BD140" t="s">
        <v>1160</v>
      </c>
      <c r="BE140">
        <v>0</v>
      </c>
      <c r="BF140">
        <v>12.76</v>
      </c>
      <c r="BG140">
        <v>0</v>
      </c>
      <c r="BH140">
        <v>0</v>
      </c>
      <c r="BJ140" t="s">
        <v>85</v>
      </c>
      <c r="BP140" t="s">
        <v>78</v>
      </c>
      <c r="BQ140" t="s">
        <v>78</v>
      </c>
      <c r="BR140" t="s">
        <v>78</v>
      </c>
    </row>
    <row r="141" customFormat="1" spans="1:70">
      <c r="A141" t="s">
        <v>4008</v>
      </c>
      <c r="B141" t="s">
        <v>4008</v>
      </c>
      <c r="C141" t="s">
        <v>107</v>
      </c>
      <c r="D141" t="s">
        <v>108</v>
      </c>
      <c r="E141">
        <v>1</v>
      </c>
      <c r="F141" t="s">
        <v>3857</v>
      </c>
      <c r="G141" t="s">
        <v>110</v>
      </c>
      <c r="H141">
        <v>289</v>
      </c>
      <c r="I141">
        <v>289</v>
      </c>
      <c r="J141">
        <v>0</v>
      </c>
      <c r="K141">
        <v>0</v>
      </c>
      <c r="L141" t="s">
        <v>78</v>
      </c>
      <c r="M141" t="s">
        <v>78</v>
      </c>
      <c r="N141" t="s">
        <v>78</v>
      </c>
      <c r="O141">
        <v>0</v>
      </c>
      <c r="P141">
        <v>0</v>
      </c>
      <c r="Q141">
        <v>0</v>
      </c>
      <c r="R141" t="s">
        <v>111</v>
      </c>
      <c r="S141">
        <v>0</v>
      </c>
      <c r="T141" t="s">
        <v>80</v>
      </c>
      <c r="U141" t="s">
        <v>80</v>
      </c>
      <c r="V141" t="s">
        <v>271</v>
      </c>
      <c r="W141" t="s">
        <v>717</v>
      </c>
      <c r="X141" t="s">
        <v>1162</v>
      </c>
      <c r="Y141" t="s">
        <v>1163</v>
      </c>
      <c r="Z141" t="s">
        <v>80</v>
      </c>
      <c r="AA141" t="s">
        <v>85</v>
      </c>
      <c r="AC141" t="s">
        <v>1164</v>
      </c>
      <c r="AD141" t="s">
        <v>202</v>
      </c>
      <c r="AE141" t="s">
        <v>1165</v>
      </c>
      <c r="AG141" t="s">
        <v>1166</v>
      </c>
      <c r="AH141" t="s">
        <v>227</v>
      </c>
      <c r="AI141" t="s">
        <v>216</v>
      </c>
      <c r="AJ141" t="s">
        <v>131</v>
      </c>
      <c r="AK141" t="s">
        <v>1167</v>
      </c>
      <c r="AL141" t="s">
        <v>95</v>
      </c>
      <c r="AM141" t="s">
        <v>96</v>
      </c>
      <c r="AN141" t="s">
        <v>96</v>
      </c>
      <c r="AP141" t="s">
        <v>78</v>
      </c>
      <c r="AQ141" t="s">
        <v>99</v>
      </c>
      <c r="AS141" t="s">
        <v>78</v>
      </c>
      <c r="AT141" t="s">
        <v>100</v>
      </c>
      <c r="AU141" t="s">
        <v>100</v>
      </c>
      <c r="AW141" t="s">
        <v>85</v>
      </c>
      <c r="AX141" t="s">
        <v>101</v>
      </c>
      <c r="AY141" t="s">
        <v>102</v>
      </c>
      <c r="AZ141" t="s">
        <v>145</v>
      </c>
      <c r="BA141" t="s">
        <v>218</v>
      </c>
      <c r="BB141" t="s">
        <v>78</v>
      </c>
      <c r="BC141" t="s">
        <v>78</v>
      </c>
      <c r="BD141" t="s">
        <v>756</v>
      </c>
      <c r="BE141">
        <v>0</v>
      </c>
      <c r="BF141">
        <v>0</v>
      </c>
      <c r="BG141">
        <v>0</v>
      </c>
      <c r="BH141">
        <v>0</v>
      </c>
      <c r="BJ141" t="s">
        <v>85</v>
      </c>
      <c r="BP141" t="s">
        <v>78</v>
      </c>
      <c r="BQ141" t="s">
        <v>78</v>
      </c>
      <c r="BR141" t="s">
        <v>78</v>
      </c>
    </row>
    <row r="142" customFormat="1" spans="1:70">
      <c r="A142" t="s">
        <v>4009</v>
      </c>
      <c r="B142" t="s">
        <v>4009</v>
      </c>
      <c r="C142" t="s">
        <v>1169</v>
      </c>
      <c r="D142" t="s">
        <v>187</v>
      </c>
      <c r="E142">
        <v>1</v>
      </c>
      <c r="F142" t="s">
        <v>4010</v>
      </c>
      <c r="G142" t="s">
        <v>1171</v>
      </c>
      <c r="H142">
        <v>299</v>
      </c>
      <c r="I142">
        <v>299</v>
      </c>
      <c r="J142">
        <v>0</v>
      </c>
      <c r="K142">
        <v>0</v>
      </c>
      <c r="L142" t="s">
        <v>78</v>
      </c>
      <c r="M142" t="s">
        <v>78</v>
      </c>
      <c r="N142" t="s">
        <v>78</v>
      </c>
      <c r="O142">
        <v>0</v>
      </c>
      <c r="P142">
        <v>0</v>
      </c>
      <c r="Q142">
        <v>0</v>
      </c>
      <c r="R142" t="s">
        <v>79</v>
      </c>
      <c r="S142">
        <v>0</v>
      </c>
      <c r="T142" t="s">
        <v>80</v>
      </c>
      <c r="U142" t="s">
        <v>80</v>
      </c>
      <c r="V142" t="s">
        <v>271</v>
      </c>
      <c r="W142" t="s">
        <v>272</v>
      </c>
      <c r="X142" t="s">
        <v>1172</v>
      </c>
      <c r="Y142" t="s">
        <v>1173</v>
      </c>
      <c r="Z142" t="s">
        <v>80</v>
      </c>
      <c r="AA142" t="s">
        <v>85</v>
      </c>
      <c r="AC142" t="s">
        <v>1174</v>
      </c>
      <c r="AD142" t="s">
        <v>87</v>
      </c>
      <c r="AG142" t="s">
        <v>1175</v>
      </c>
      <c r="AH142" t="s">
        <v>91</v>
      </c>
      <c r="AI142" t="s">
        <v>216</v>
      </c>
      <c r="AJ142" t="s">
        <v>131</v>
      </c>
      <c r="AK142" t="s">
        <v>1176</v>
      </c>
      <c r="AL142" t="s">
        <v>95</v>
      </c>
      <c r="AM142" t="s">
        <v>96</v>
      </c>
      <c r="AN142" t="s">
        <v>96</v>
      </c>
      <c r="AP142" t="s">
        <v>78</v>
      </c>
      <c r="AQ142" t="s">
        <v>99</v>
      </c>
      <c r="AS142" t="s">
        <v>78</v>
      </c>
      <c r="AT142" t="s">
        <v>100</v>
      </c>
      <c r="AU142" t="s">
        <v>100</v>
      </c>
      <c r="AW142" t="s">
        <v>85</v>
      </c>
      <c r="AX142" t="s">
        <v>101</v>
      </c>
      <c r="AY142" t="s">
        <v>102</v>
      </c>
      <c r="AZ142" t="s">
        <v>145</v>
      </c>
      <c r="BA142" t="s">
        <v>354</v>
      </c>
      <c r="BB142" t="s">
        <v>78</v>
      </c>
      <c r="BC142" t="s">
        <v>78</v>
      </c>
      <c r="BE142">
        <v>0</v>
      </c>
      <c r="BF142">
        <v>0</v>
      </c>
      <c r="BG142">
        <v>0</v>
      </c>
      <c r="BH142">
        <v>0</v>
      </c>
      <c r="BJ142" t="s">
        <v>85</v>
      </c>
      <c r="BP142" t="s">
        <v>78</v>
      </c>
      <c r="BQ142" t="s">
        <v>78</v>
      </c>
      <c r="BR142" t="s">
        <v>78</v>
      </c>
    </row>
    <row r="143" customFormat="1" spans="1:70">
      <c r="A143" t="s">
        <v>4011</v>
      </c>
      <c r="B143" t="s">
        <v>4011</v>
      </c>
      <c r="C143" t="s">
        <v>1178</v>
      </c>
      <c r="D143" t="s">
        <v>1179</v>
      </c>
      <c r="E143">
        <v>1</v>
      </c>
      <c r="F143" t="s">
        <v>4012</v>
      </c>
      <c r="G143" t="s">
        <v>1181</v>
      </c>
      <c r="H143">
        <v>189</v>
      </c>
      <c r="I143">
        <v>189</v>
      </c>
      <c r="J143">
        <v>0</v>
      </c>
      <c r="K143">
        <v>0</v>
      </c>
      <c r="L143" t="s">
        <v>78</v>
      </c>
      <c r="M143" t="s">
        <v>78</v>
      </c>
      <c r="N143" t="s">
        <v>78</v>
      </c>
      <c r="O143">
        <v>0</v>
      </c>
      <c r="P143">
        <v>0</v>
      </c>
      <c r="Q143">
        <v>0</v>
      </c>
      <c r="R143" t="s">
        <v>111</v>
      </c>
      <c r="S143">
        <v>0</v>
      </c>
      <c r="T143" t="s">
        <v>80</v>
      </c>
      <c r="U143" t="s">
        <v>80</v>
      </c>
      <c r="V143" t="s">
        <v>161</v>
      </c>
      <c r="W143" t="s">
        <v>161</v>
      </c>
      <c r="X143" t="s">
        <v>162</v>
      </c>
      <c r="Y143" t="s">
        <v>1182</v>
      </c>
      <c r="Z143" t="s">
        <v>80</v>
      </c>
      <c r="AA143" t="s">
        <v>85</v>
      </c>
      <c r="AC143" t="s">
        <v>1183</v>
      </c>
      <c r="AD143" t="s">
        <v>87</v>
      </c>
      <c r="AF143" t="s">
        <v>1184</v>
      </c>
      <c r="AG143" t="s">
        <v>1185</v>
      </c>
      <c r="AH143" t="s">
        <v>91</v>
      </c>
      <c r="AI143" t="s">
        <v>216</v>
      </c>
      <c r="AJ143" t="s">
        <v>93</v>
      </c>
      <c r="AK143" t="s">
        <v>1186</v>
      </c>
      <c r="AL143" t="s">
        <v>95</v>
      </c>
      <c r="AM143" t="s">
        <v>96</v>
      </c>
      <c r="AN143" t="s">
        <v>96</v>
      </c>
      <c r="AP143" t="s">
        <v>78</v>
      </c>
      <c r="AQ143" t="s">
        <v>78</v>
      </c>
      <c r="AS143" t="s">
        <v>78</v>
      </c>
      <c r="AT143" t="s">
        <v>100</v>
      </c>
      <c r="AU143" t="s">
        <v>100</v>
      </c>
      <c r="AW143" t="s">
        <v>85</v>
      </c>
      <c r="AX143" t="s">
        <v>101</v>
      </c>
      <c r="AY143" t="s">
        <v>102</v>
      </c>
      <c r="AZ143" t="s">
        <v>145</v>
      </c>
      <c r="BA143" t="s">
        <v>1035</v>
      </c>
      <c r="BB143" t="s">
        <v>78</v>
      </c>
      <c r="BC143" t="s">
        <v>78</v>
      </c>
      <c r="BD143" t="s">
        <v>1187</v>
      </c>
      <c r="BE143">
        <v>0</v>
      </c>
      <c r="BF143">
        <v>0</v>
      </c>
      <c r="BG143">
        <v>0</v>
      </c>
      <c r="BH143">
        <v>0</v>
      </c>
      <c r="BJ143" t="s">
        <v>85</v>
      </c>
      <c r="BP143" t="s">
        <v>78</v>
      </c>
      <c r="BQ143" t="s">
        <v>78</v>
      </c>
      <c r="BR143" t="s">
        <v>78</v>
      </c>
    </row>
    <row r="144" customFormat="1" spans="1:70">
      <c r="A144" t="s">
        <v>4013</v>
      </c>
      <c r="B144" t="s">
        <v>4013</v>
      </c>
      <c r="C144" t="s">
        <v>1050</v>
      </c>
      <c r="D144" t="s">
        <v>1189</v>
      </c>
      <c r="E144">
        <v>1</v>
      </c>
      <c r="F144" t="s">
        <v>3991</v>
      </c>
      <c r="G144" t="s">
        <v>1190</v>
      </c>
      <c r="H144">
        <v>129</v>
      </c>
      <c r="I144">
        <v>119</v>
      </c>
      <c r="J144">
        <v>0</v>
      </c>
      <c r="K144">
        <v>30</v>
      </c>
      <c r="L144" t="s">
        <v>1010</v>
      </c>
      <c r="M144" t="s">
        <v>78</v>
      </c>
      <c r="N144" t="s">
        <v>78</v>
      </c>
      <c r="O144">
        <v>0</v>
      </c>
      <c r="P144">
        <v>20</v>
      </c>
      <c r="Q144">
        <v>0</v>
      </c>
      <c r="R144" t="s">
        <v>79</v>
      </c>
      <c r="S144">
        <v>0</v>
      </c>
      <c r="T144" t="s">
        <v>80</v>
      </c>
      <c r="U144" t="s">
        <v>80</v>
      </c>
      <c r="V144" t="s">
        <v>556</v>
      </c>
      <c r="W144" t="s">
        <v>557</v>
      </c>
      <c r="X144" t="s">
        <v>1191</v>
      </c>
      <c r="Y144" t="s">
        <v>1192</v>
      </c>
      <c r="Z144" t="s">
        <v>80</v>
      </c>
      <c r="AA144" t="s">
        <v>85</v>
      </c>
      <c r="AC144" t="s">
        <v>1193</v>
      </c>
      <c r="AD144" t="s">
        <v>87</v>
      </c>
      <c r="AF144" t="s">
        <v>1194</v>
      </c>
      <c r="AG144" t="s">
        <v>1195</v>
      </c>
      <c r="AH144" t="s">
        <v>91</v>
      </c>
      <c r="AI144" t="s">
        <v>216</v>
      </c>
      <c r="AJ144" t="s">
        <v>93</v>
      </c>
      <c r="AK144" t="s">
        <v>1196</v>
      </c>
      <c r="AL144" t="s">
        <v>95</v>
      </c>
      <c r="AM144" t="s">
        <v>96</v>
      </c>
      <c r="AN144" t="s">
        <v>96</v>
      </c>
      <c r="AP144" t="s">
        <v>78</v>
      </c>
      <c r="AQ144" t="s">
        <v>78</v>
      </c>
      <c r="AS144" t="s">
        <v>78</v>
      </c>
      <c r="AT144" t="s">
        <v>100</v>
      </c>
      <c r="AU144" t="s">
        <v>100</v>
      </c>
      <c r="AW144" t="s">
        <v>85</v>
      </c>
      <c r="AX144" t="s">
        <v>101</v>
      </c>
      <c r="AY144" t="s">
        <v>102</v>
      </c>
      <c r="AZ144" t="s">
        <v>145</v>
      </c>
      <c r="BA144" t="s">
        <v>218</v>
      </c>
      <c r="BB144" t="s">
        <v>78</v>
      </c>
      <c r="BC144" t="s">
        <v>78</v>
      </c>
      <c r="BD144" t="s">
        <v>1197</v>
      </c>
      <c r="BE144">
        <v>0</v>
      </c>
      <c r="BF144">
        <v>10</v>
      </c>
      <c r="BG144">
        <v>0</v>
      </c>
      <c r="BH144">
        <v>0</v>
      </c>
      <c r="BJ144" t="s">
        <v>85</v>
      </c>
      <c r="BP144" t="s">
        <v>78</v>
      </c>
      <c r="BQ144" t="s">
        <v>78</v>
      </c>
      <c r="BR144" t="s">
        <v>78</v>
      </c>
    </row>
    <row r="145" customFormat="1" spans="1:70">
      <c r="A145" t="s">
        <v>4014</v>
      </c>
      <c r="B145" t="s">
        <v>4014</v>
      </c>
      <c r="C145" t="s">
        <v>107</v>
      </c>
      <c r="D145" t="s">
        <v>108</v>
      </c>
      <c r="E145">
        <v>1</v>
      </c>
      <c r="F145" t="s">
        <v>3857</v>
      </c>
      <c r="G145" t="s">
        <v>110</v>
      </c>
      <c r="H145">
        <v>289</v>
      </c>
      <c r="I145">
        <v>289</v>
      </c>
      <c r="J145">
        <v>0</v>
      </c>
      <c r="K145">
        <v>0</v>
      </c>
      <c r="L145" t="s">
        <v>78</v>
      </c>
      <c r="M145" t="s">
        <v>78</v>
      </c>
      <c r="N145" t="s">
        <v>78</v>
      </c>
      <c r="O145">
        <v>0</v>
      </c>
      <c r="P145">
        <v>0</v>
      </c>
      <c r="Q145">
        <v>0</v>
      </c>
      <c r="R145" t="s">
        <v>79</v>
      </c>
      <c r="S145">
        <v>0</v>
      </c>
      <c r="T145" t="s">
        <v>80</v>
      </c>
      <c r="U145" t="s">
        <v>80</v>
      </c>
      <c r="V145" t="s">
        <v>138</v>
      </c>
      <c r="W145" t="s">
        <v>1199</v>
      </c>
      <c r="X145" t="s">
        <v>1200</v>
      </c>
      <c r="Y145" t="s">
        <v>78</v>
      </c>
      <c r="Z145" t="s">
        <v>80</v>
      </c>
      <c r="AA145" t="s">
        <v>85</v>
      </c>
      <c r="AC145" t="s">
        <v>1201</v>
      </c>
      <c r="AD145" t="s">
        <v>87</v>
      </c>
      <c r="AG145" t="s">
        <v>1202</v>
      </c>
      <c r="AH145" t="s">
        <v>91</v>
      </c>
      <c r="AI145" t="s">
        <v>92</v>
      </c>
      <c r="AJ145" t="s">
        <v>131</v>
      </c>
      <c r="AK145" t="s">
        <v>1203</v>
      </c>
      <c r="AL145" t="s">
        <v>95</v>
      </c>
      <c r="AM145" t="s">
        <v>96</v>
      </c>
      <c r="AN145" t="s">
        <v>97</v>
      </c>
      <c r="AO145" t="s">
        <v>98</v>
      </c>
      <c r="AP145" t="s">
        <v>78</v>
      </c>
      <c r="AQ145" t="s">
        <v>99</v>
      </c>
      <c r="AS145" t="s">
        <v>78</v>
      </c>
      <c r="AT145" t="s">
        <v>100</v>
      </c>
      <c r="AU145" t="s">
        <v>100</v>
      </c>
      <c r="AW145" t="s">
        <v>85</v>
      </c>
      <c r="AX145" t="s">
        <v>101</v>
      </c>
      <c r="AY145" t="s">
        <v>102</v>
      </c>
      <c r="AZ145" t="s">
        <v>145</v>
      </c>
      <c r="BA145" t="s">
        <v>146</v>
      </c>
      <c r="BB145" t="s">
        <v>78</v>
      </c>
      <c r="BC145" t="s">
        <v>78</v>
      </c>
      <c r="BE145">
        <v>0</v>
      </c>
      <c r="BF145">
        <v>0</v>
      </c>
      <c r="BG145">
        <v>0</v>
      </c>
      <c r="BH145">
        <v>0</v>
      </c>
      <c r="BJ145" t="s">
        <v>85</v>
      </c>
      <c r="BP145" t="s">
        <v>78</v>
      </c>
      <c r="BQ145" t="s">
        <v>78</v>
      </c>
      <c r="BR145" t="s">
        <v>78</v>
      </c>
    </row>
    <row r="146" customFormat="1" spans="1:70">
      <c r="A146" t="s">
        <v>4015</v>
      </c>
      <c r="B146" t="s">
        <v>4015</v>
      </c>
      <c r="C146" t="s">
        <v>1126</v>
      </c>
      <c r="D146" t="s">
        <v>187</v>
      </c>
      <c r="E146">
        <v>1</v>
      </c>
      <c r="F146" t="s">
        <v>4004</v>
      </c>
      <c r="G146" t="s">
        <v>1205</v>
      </c>
      <c r="H146">
        <v>249</v>
      </c>
      <c r="I146">
        <v>224.09</v>
      </c>
      <c r="J146">
        <v>0</v>
      </c>
      <c r="K146">
        <v>24.91</v>
      </c>
      <c r="L146" t="s">
        <v>1206</v>
      </c>
      <c r="M146" t="s">
        <v>78</v>
      </c>
      <c r="N146" t="s">
        <v>78</v>
      </c>
      <c r="O146">
        <v>0</v>
      </c>
      <c r="P146">
        <v>0</v>
      </c>
      <c r="Q146">
        <v>0</v>
      </c>
      <c r="R146" t="s">
        <v>79</v>
      </c>
      <c r="S146">
        <v>0</v>
      </c>
      <c r="T146" t="s">
        <v>80</v>
      </c>
      <c r="U146" t="s">
        <v>80</v>
      </c>
      <c r="V146" t="s">
        <v>112</v>
      </c>
      <c r="W146" t="s">
        <v>1207</v>
      </c>
      <c r="X146" t="s">
        <v>1207</v>
      </c>
      <c r="Y146" t="s">
        <v>1208</v>
      </c>
      <c r="Z146" t="s">
        <v>80</v>
      </c>
      <c r="AA146" t="s">
        <v>85</v>
      </c>
      <c r="AC146" t="s">
        <v>1209</v>
      </c>
      <c r="AD146" t="s">
        <v>87</v>
      </c>
      <c r="AG146" t="s">
        <v>1210</v>
      </c>
      <c r="AH146" t="s">
        <v>91</v>
      </c>
      <c r="AI146" t="s">
        <v>216</v>
      </c>
      <c r="AJ146" t="s">
        <v>131</v>
      </c>
      <c r="AK146" t="s">
        <v>1211</v>
      </c>
      <c r="AL146" t="s">
        <v>95</v>
      </c>
      <c r="AM146" t="s">
        <v>96</v>
      </c>
      <c r="AN146" t="s">
        <v>96</v>
      </c>
      <c r="AP146" t="s">
        <v>78</v>
      </c>
      <c r="AQ146" t="s">
        <v>99</v>
      </c>
      <c r="AS146" t="s">
        <v>78</v>
      </c>
      <c r="AT146" t="s">
        <v>100</v>
      </c>
      <c r="AU146" t="s">
        <v>100</v>
      </c>
      <c r="AW146" t="s">
        <v>85</v>
      </c>
      <c r="AX146" t="s">
        <v>101</v>
      </c>
      <c r="AY146" t="s">
        <v>102</v>
      </c>
      <c r="AZ146" t="s">
        <v>145</v>
      </c>
      <c r="BA146" t="s">
        <v>218</v>
      </c>
      <c r="BB146" t="s">
        <v>78</v>
      </c>
      <c r="BC146" t="s">
        <v>78</v>
      </c>
      <c r="BE146">
        <v>0</v>
      </c>
      <c r="BF146">
        <v>24.91</v>
      </c>
      <c r="BG146">
        <v>0</v>
      </c>
      <c r="BH146">
        <v>0</v>
      </c>
      <c r="BJ146" t="s">
        <v>85</v>
      </c>
      <c r="BP146" t="s">
        <v>78</v>
      </c>
      <c r="BQ146" t="s">
        <v>78</v>
      </c>
      <c r="BR146" t="s">
        <v>78</v>
      </c>
    </row>
    <row r="147" customFormat="1" spans="1:70">
      <c r="A147" t="s">
        <v>4016</v>
      </c>
      <c r="B147" t="s">
        <v>4016</v>
      </c>
      <c r="C147" t="s">
        <v>1126</v>
      </c>
      <c r="D147" t="s">
        <v>1127</v>
      </c>
      <c r="E147">
        <v>1</v>
      </c>
      <c r="F147" t="s">
        <v>4004</v>
      </c>
      <c r="G147" t="s">
        <v>1129</v>
      </c>
      <c r="H147">
        <v>249</v>
      </c>
      <c r="I147">
        <v>234</v>
      </c>
      <c r="J147">
        <v>0</v>
      </c>
      <c r="K147">
        <v>15</v>
      </c>
      <c r="L147" t="s">
        <v>1213</v>
      </c>
      <c r="M147" t="s">
        <v>78</v>
      </c>
      <c r="N147" t="s">
        <v>78</v>
      </c>
      <c r="O147">
        <v>0</v>
      </c>
      <c r="P147">
        <v>0</v>
      </c>
      <c r="Q147">
        <v>0</v>
      </c>
      <c r="R147" t="s">
        <v>125</v>
      </c>
      <c r="S147">
        <v>0</v>
      </c>
      <c r="T147" t="s">
        <v>80</v>
      </c>
      <c r="U147" t="s">
        <v>80</v>
      </c>
      <c r="V147" t="s">
        <v>464</v>
      </c>
      <c r="W147" t="s">
        <v>542</v>
      </c>
      <c r="X147" t="s">
        <v>1214</v>
      </c>
      <c r="Y147" t="s">
        <v>1215</v>
      </c>
      <c r="Z147" t="s">
        <v>80</v>
      </c>
      <c r="AA147" t="s">
        <v>85</v>
      </c>
      <c r="AC147" t="s">
        <v>1216</v>
      </c>
      <c r="AD147" t="s">
        <v>87</v>
      </c>
      <c r="AF147" t="s">
        <v>1217</v>
      </c>
      <c r="AG147" t="s">
        <v>1218</v>
      </c>
      <c r="AH147" t="s">
        <v>91</v>
      </c>
      <c r="AI147" t="s">
        <v>216</v>
      </c>
      <c r="AJ147" t="s">
        <v>93</v>
      </c>
      <c r="AK147" t="s">
        <v>1219</v>
      </c>
      <c r="AL147" t="s">
        <v>95</v>
      </c>
      <c r="AM147" t="s">
        <v>96</v>
      </c>
      <c r="AN147" t="s">
        <v>96</v>
      </c>
      <c r="AP147" t="s">
        <v>78</v>
      </c>
      <c r="AQ147" t="s">
        <v>78</v>
      </c>
      <c r="AS147" t="s">
        <v>78</v>
      </c>
      <c r="AT147" t="s">
        <v>100</v>
      </c>
      <c r="AU147" t="s">
        <v>100</v>
      </c>
      <c r="AW147" t="s">
        <v>85</v>
      </c>
      <c r="AX147" t="s">
        <v>101</v>
      </c>
      <c r="AY147" t="s">
        <v>102</v>
      </c>
      <c r="AZ147" t="s">
        <v>145</v>
      </c>
      <c r="BA147" t="s">
        <v>218</v>
      </c>
      <c r="BB147" t="s">
        <v>78</v>
      </c>
      <c r="BC147" t="s">
        <v>78</v>
      </c>
      <c r="BD147" t="s">
        <v>1220</v>
      </c>
      <c r="BE147">
        <v>0</v>
      </c>
      <c r="BF147">
        <v>15</v>
      </c>
      <c r="BG147">
        <v>0</v>
      </c>
      <c r="BH147">
        <v>0</v>
      </c>
      <c r="BJ147" t="s">
        <v>85</v>
      </c>
      <c r="BP147" t="s">
        <v>78</v>
      </c>
      <c r="BQ147" t="s">
        <v>78</v>
      </c>
      <c r="BR147" t="s">
        <v>78</v>
      </c>
    </row>
    <row r="148" customFormat="1" spans="1:70">
      <c r="A148" t="s">
        <v>4017</v>
      </c>
      <c r="B148" t="s">
        <v>4017</v>
      </c>
      <c r="C148" t="s">
        <v>1222</v>
      </c>
      <c r="D148" t="s">
        <v>1223</v>
      </c>
      <c r="E148">
        <v>1</v>
      </c>
      <c r="F148" t="s">
        <v>4018</v>
      </c>
      <c r="G148" t="s">
        <v>1225</v>
      </c>
      <c r="H148">
        <v>199</v>
      </c>
      <c r="I148">
        <v>199</v>
      </c>
      <c r="J148">
        <v>0</v>
      </c>
      <c r="K148">
        <v>0</v>
      </c>
      <c r="L148" t="s">
        <v>78</v>
      </c>
      <c r="M148" t="s">
        <v>78</v>
      </c>
      <c r="N148" t="s">
        <v>78</v>
      </c>
      <c r="O148">
        <v>0</v>
      </c>
      <c r="P148">
        <v>0</v>
      </c>
      <c r="Q148">
        <v>0</v>
      </c>
      <c r="R148" t="s">
        <v>125</v>
      </c>
      <c r="S148">
        <v>0</v>
      </c>
      <c r="T148" t="s">
        <v>80</v>
      </c>
      <c r="U148" t="s">
        <v>80</v>
      </c>
      <c r="V148" t="s">
        <v>302</v>
      </c>
      <c r="W148" t="s">
        <v>412</v>
      </c>
      <c r="X148" t="s">
        <v>1226</v>
      </c>
      <c r="Y148" t="s">
        <v>1227</v>
      </c>
      <c r="Z148" t="s">
        <v>80</v>
      </c>
      <c r="AA148" t="s">
        <v>85</v>
      </c>
      <c r="AC148" t="s">
        <v>1228</v>
      </c>
      <c r="AD148" t="s">
        <v>1229</v>
      </c>
      <c r="AE148" t="s">
        <v>1230</v>
      </c>
      <c r="AG148" t="s">
        <v>1231</v>
      </c>
      <c r="AH148" t="s">
        <v>91</v>
      </c>
      <c r="AI148" t="s">
        <v>216</v>
      </c>
      <c r="AJ148" t="s">
        <v>131</v>
      </c>
      <c r="AK148" t="s">
        <v>1232</v>
      </c>
      <c r="AL148" t="s">
        <v>95</v>
      </c>
      <c r="AM148" t="s">
        <v>96</v>
      </c>
      <c r="AN148" t="s">
        <v>96</v>
      </c>
      <c r="AP148" t="s">
        <v>78</v>
      </c>
      <c r="AQ148" t="s">
        <v>99</v>
      </c>
      <c r="AS148" t="s">
        <v>78</v>
      </c>
      <c r="AT148" t="s">
        <v>100</v>
      </c>
      <c r="AU148" t="s">
        <v>100</v>
      </c>
      <c r="AW148" t="s">
        <v>85</v>
      </c>
      <c r="AX148" t="s">
        <v>101</v>
      </c>
      <c r="AY148" t="s">
        <v>102</v>
      </c>
      <c r="AZ148" t="s">
        <v>145</v>
      </c>
      <c r="BA148" t="s">
        <v>354</v>
      </c>
      <c r="BB148" t="s">
        <v>78</v>
      </c>
      <c r="BC148" t="s">
        <v>78</v>
      </c>
      <c r="BD148" t="s">
        <v>1233</v>
      </c>
      <c r="BE148">
        <v>0</v>
      </c>
      <c r="BF148">
        <v>0</v>
      </c>
      <c r="BG148">
        <v>0</v>
      </c>
      <c r="BH148">
        <v>0</v>
      </c>
      <c r="BJ148" t="s">
        <v>85</v>
      </c>
      <c r="BP148" t="s">
        <v>78</v>
      </c>
      <c r="BQ148" t="s">
        <v>78</v>
      </c>
      <c r="BR148" t="s">
        <v>78</v>
      </c>
    </row>
    <row r="149" customFormat="1" spans="1:70">
      <c r="A149" t="s">
        <v>4019</v>
      </c>
      <c r="B149" t="s">
        <v>4019</v>
      </c>
      <c r="C149" t="s">
        <v>107</v>
      </c>
      <c r="D149" t="s">
        <v>108</v>
      </c>
      <c r="E149">
        <v>1</v>
      </c>
      <c r="F149" t="s">
        <v>3857</v>
      </c>
      <c r="G149" t="s">
        <v>110</v>
      </c>
      <c r="H149">
        <v>289</v>
      </c>
      <c r="I149">
        <v>289</v>
      </c>
      <c r="J149">
        <v>0</v>
      </c>
      <c r="K149">
        <v>0</v>
      </c>
      <c r="L149" t="s">
        <v>78</v>
      </c>
      <c r="M149" t="s">
        <v>78</v>
      </c>
      <c r="N149" t="s">
        <v>78</v>
      </c>
      <c r="O149">
        <v>0</v>
      </c>
      <c r="P149">
        <v>0</v>
      </c>
      <c r="Q149">
        <v>0</v>
      </c>
      <c r="R149" t="s">
        <v>79</v>
      </c>
      <c r="S149">
        <v>0</v>
      </c>
      <c r="T149" t="s">
        <v>80</v>
      </c>
      <c r="U149" t="s">
        <v>80</v>
      </c>
      <c r="V149" t="s">
        <v>271</v>
      </c>
      <c r="W149" t="s">
        <v>1235</v>
      </c>
      <c r="X149" t="s">
        <v>1236</v>
      </c>
      <c r="Y149" t="s">
        <v>1237</v>
      </c>
      <c r="Z149" t="s">
        <v>80</v>
      </c>
      <c r="AA149" t="s">
        <v>85</v>
      </c>
      <c r="AC149" t="s">
        <v>1238</v>
      </c>
      <c r="AD149" t="s">
        <v>87</v>
      </c>
      <c r="AG149" t="s">
        <v>1239</v>
      </c>
      <c r="AH149" t="s">
        <v>91</v>
      </c>
      <c r="AI149" t="s">
        <v>92</v>
      </c>
      <c r="AJ149" t="s">
        <v>131</v>
      </c>
      <c r="AK149" t="s">
        <v>1240</v>
      </c>
      <c r="AL149" t="s">
        <v>95</v>
      </c>
      <c r="AM149" t="s">
        <v>96</v>
      </c>
      <c r="AN149" t="s">
        <v>97</v>
      </c>
      <c r="AO149" t="s">
        <v>98</v>
      </c>
      <c r="AP149" t="s">
        <v>78</v>
      </c>
      <c r="AQ149" t="s">
        <v>99</v>
      </c>
      <c r="AS149" t="s">
        <v>78</v>
      </c>
      <c r="AT149" t="s">
        <v>100</v>
      </c>
      <c r="AU149" t="s">
        <v>100</v>
      </c>
      <c r="AW149" t="s">
        <v>85</v>
      </c>
      <c r="AX149" t="s">
        <v>101</v>
      </c>
      <c r="AY149" t="s">
        <v>102</v>
      </c>
      <c r="AZ149" t="s">
        <v>103</v>
      </c>
      <c r="BA149" t="s">
        <v>104</v>
      </c>
      <c r="BB149" t="s">
        <v>78</v>
      </c>
      <c r="BC149" t="s">
        <v>78</v>
      </c>
      <c r="BE149">
        <v>0</v>
      </c>
      <c r="BF149">
        <v>0</v>
      </c>
      <c r="BG149">
        <v>0</v>
      </c>
      <c r="BH149">
        <v>0</v>
      </c>
      <c r="BJ149" t="s">
        <v>85</v>
      </c>
      <c r="BP149" t="s">
        <v>78</v>
      </c>
      <c r="BQ149" t="s">
        <v>78</v>
      </c>
      <c r="BR149" t="s">
        <v>78</v>
      </c>
    </row>
    <row r="150" customFormat="1" spans="1:70">
      <c r="A150" t="s">
        <v>4020</v>
      </c>
      <c r="B150" t="s">
        <v>4020</v>
      </c>
      <c r="C150" t="s">
        <v>107</v>
      </c>
      <c r="D150" t="s">
        <v>123</v>
      </c>
      <c r="E150">
        <v>1</v>
      </c>
      <c r="F150" t="s">
        <v>3857</v>
      </c>
      <c r="G150" t="s">
        <v>124</v>
      </c>
      <c r="H150">
        <v>289</v>
      </c>
      <c r="I150">
        <v>261.1</v>
      </c>
      <c r="J150">
        <v>0</v>
      </c>
      <c r="K150">
        <v>27.9</v>
      </c>
      <c r="L150" t="s">
        <v>1242</v>
      </c>
      <c r="M150" t="s">
        <v>78</v>
      </c>
      <c r="N150" t="s">
        <v>78</v>
      </c>
      <c r="O150">
        <v>0</v>
      </c>
      <c r="P150">
        <v>0</v>
      </c>
      <c r="Q150">
        <v>0</v>
      </c>
      <c r="R150" t="s">
        <v>79</v>
      </c>
      <c r="S150">
        <v>0</v>
      </c>
      <c r="T150" t="s">
        <v>80</v>
      </c>
      <c r="U150" t="s">
        <v>80</v>
      </c>
      <c r="V150" t="s">
        <v>161</v>
      </c>
      <c r="W150" t="s">
        <v>161</v>
      </c>
      <c r="X150" t="s">
        <v>1243</v>
      </c>
      <c r="Y150" t="s">
        <v>1244</v>
      </c>
      <c r="Z150" t="s">
        <v>80</v>
      </c>
      <c r="AA150" t="s">
        <v>85</v>
      </c>
      <c r="AC150" t="s">
        <v>1245</v>
      </c>
      <c r="AD150" t="s">
        <v>87</v>
      </c>
      <c r="AG150" t="s">
        <v>1246</v>
      </c>
      <c r="AH150" t="s">
        <v>91</v>
      </c>
      <c r="AI150" t="s">
        <v>92</v>
      </c>
      <c r="AJ150" t="s">
        <v>131</v>
      </c>
      <c r="AK150" t="s">
        <v>1247</v>
      </c>
      <c r="AL150" t="s">
        <v>95</v>
      </c>
      <c r="AM150" t="s">
        <v>96</v>
      </c>
      <c r="AN150" t="s">
        <v>97</v>
      </c>
      <c r="AO150" t="s">
        <v>98</v>
      </c>
      <c r="AP150" t="s">
        <v>78</v>
      </c>
      <c r="AQ150" t="s">
        <v>99</v>
      </c>
      <c r="AS150" t="s">
        <v>78</v>
      </c>
      <c r="AT150" t="s">
        <v>100</v>
      </c>
      <c r="AU150" t="s">
        <v>100</v>
      </c>
      <c r="AW150" t="s">
        <v>85</v>
      </c>
      <c r="AX150" t="s">
        <v>101</v>
      </c>
      <c r="AY150" t="s">
        <v>102</v>
      </c>
      <c r="AZ150" t="s">
        <v>103</v>
      </c>
      <c r="BA150" t="s">
        <v>104</v>
      </c>
      <c r="BB150" t="s">
        <v>78</v>
      </c>
      <c r="BC150" t="s">
        <v>78</v>
      </c>
      <c r="BE150">
        <v>0</v>
      </c>
      <c r="BF150">
        <v>27.9</v>
      </c>
      <c r="BG150">
        <v>0</v>
      </c>
      <c r="BH150">
        <v>0</v>
      </c>
      <c r="BJ150" t="s">
        <v>85</v>
      </c>
      <c r="BP150" t="s">
        <v>78</v>
      </c>
      <c r="BQ150" t="s">
        <v>78</v>
      </c>
      <c r="BR150" t="s">
        <v>78</v>
      </c>
    </row>
    <row r="151" customFormat="1" spans="1:70">
      <c r="A151" t="s">
        <v>4021</v>
      </c>
      <c r="B151" t="s">
        <v>4021</v>
      </c>
      <c r="C151" t="s">
        <v>107</v>
      </c>
      <c r="D151" t="s">
        <v>135</v>
      </c>
      <c r="E151">
        <v>1</v>
      </c>
      <c r="F151" t="s">
        <v>3857</v>
      </c>
      <c r="G151" t="s">
        <v>136</v>
      </c>
      <c r="H151">
        <v>289</v>
      </c>
      <c r="I151">
        <v>289</v>
      </c>
      <c r="J151">
        <v>0</v>
      </c>
      <c r="K151">
        <v>0</v>
      </c>
      <c r="L151" t="s">
        <v>78</v>
      </c>
      <c r="M151" t="s">
        <v>78</v>
      </c>
      <c r="N151" t="s">
        <v>78</v>
      </c>
      <c r="O151">
        <v>0</v>
      </c>
      <c r="P151">
        <v>0</v>
      </c>
      <c r="Q151">
        <v>0</v>
      </c>
      <c r="R151" t="s">
        <v>125</v>
      </c>
      <c r="S151">
        <v>0</v>
      </c>
      <c r="T151" t="s">
        <v>80</v>
      </c>
      <c r="U151" t="s">
        <v>80</v>
      </c>
      <c r="V151" t="s">
        <v>464</v>
      </c>
      <c r="W151" t="s">
        <v>1249</v>
      </c>
      <c r="X151" t="s">
        <v>1250</v>
      </c>
      <c r="Y151" t="s">
        <v>78</v>
      </c>
      <c r="Z151" t="s">
        <v>80</v>
      </c>
      <c r="AA151" t="s">
        <v>85</v>
      </c>
      <c r="AC151" t="s">
        <v>1251</v>
      </c>
      <c r="AD151" t="s">
        <v>87</v>
      </c>
      <c r="AG151" t="s">
        <v>1252</v>
      </c>
      <c r="AH151" t="s">
        <v>91</v>
      </c>
      <c r="AI151" t="s">
        <v>92</v>
      </c>
      <c r="AJ151" t="s">
        <v>131</v>
      </c>
      <c r="AK151" t="s">
        <v>1253</v>
      </c>
      <c r="AL151" t="s">
        <v>95</v>
      </c>
      <c r="AM151" t="s">
        <v>96</v>
      </c>
      <c r="AN151" t="s">
        <v>97</v>
      </c>
      <c r="AO151" t="s">
        <v>98</v>
      </c>
      <c r="AP151" t="s">
        <v>78</v>
      </c>
      <c r="AQ151" t="s">
        <v>99</v>
      </c>
      <c r="AS151" t="s">
        <v>78</v>
      </c>
      <c r="AT151" t="s">
        <v>100</v>
      </c>
      <c r="AU151" t="s">
        <v>100</v>
      </c>
      <c r="AW151" t="s">
        <v>85</v>
      </c>
      <c r="AX151" t="s">
        <v>101</v>
      </c>
      <c r="AY151" t="s">
        <v>102</v>
      </c>
      <c r="AZ151" t="s">
        <v>103</v>
      </c>
      <c r="BA151" t="s">
        <v>120</v>
      </c>
      <c r="BB151" t="s">
        <v>78</v>
      </c>
      <c r="BC151" t="s">
        <v>78</v>
      </c>
      <c r="BE151">
        <v>0</v>
      </c>
      <c r="BF151">
        <v>0</v>
      </c>
      <c r="BG151">
        <v>0</v>
      </c>
      <c r="BH151">
        <v>0</v>
      </c>
      <c r="BJ151" t="s">
        <v>85</v>
      </c>
      <c r="BP151" t="s">
        <v>78</v>
      </c>
      <c r="BQ151" t="s">
        <v>78</v>
      </c>
      <c r="BR151" t="s">
        <v>78</v>
      </c>
    </row>
    <row r="152" customFormat="1" spans="1:70">
      <c r="A152" t="s">
        <v>4022</v>
      </c>
      <c r="B152" t="s">
        <v>4022</v>
      </c>
      <c r="C152" t="s">
        <v>107</v>
      </c>
      <c r="D152" t="s">
        <v>108</v>
      </c>
      <c r="E152">
        <v>1</v>
      </c>
      <c r="F152" t="s">
        <v>3857</v>
      </c>
      <c r="G152" t="s">
        <v>110</v>
      </c>
      <c r="H152">
        <v>289</v>
      </c>
      <c r="I152">
        <v>314</v>
      </c>
      <c r="J152">
        <v>25</v>
      </c>
      <c r="K152">
        <v>0</v>
      </c>
      <c r="L152" t="s">
        <v>78</v>
      </c>
      <c r="M152" t="s">
        <v>78</v>
      </c>
      <c r="N152" t="s">
        <v>78</v>
      </c>
      <c r="O152">
        <v>0</v>
      </c>
      <c r="P152">
        <v>0</v>
      </c>
      <c r="Q152">
        <v>0</v>
      </c>
      <c r="R152" t="s">
        <v>125</v>
      </c>
      <c r="S152">
        <v>0</v>
      </c>
      <c r="T152" t="s">
        <v>80</v>
      </c>
      <c r="U152" t="s">
        <v>80</v>
      </c>
      <c r="V152" t="s">
        <v>1255</v>
      </c>
      <c r="W152" t="s">
        <v>1256</v>
      </c>
      <c r="X152" t="s">
        <v>1256</v>
      </c>
      <c r="Y152" t="s">
        <v>1257</v>
      </c>
      <c r="Z152" t="s">
        <v>80</v>
      </c>
      <c r="AA152" t="s">
        <v>85</v>
      </c>
      <c r="AC152" t="s">
        <v>1258</v>
      </c>
      <c r="AD152" t="s">
        <v>87</v>
      </c>
      <c r="AH152" t="s">
        <v>183</v>
      </c>
      <c r="AI152" t="s">
        <v>92</v>
      </c>
      <c r="AJ152" t="s">
        <v>131</v>
      </c>
      <c r="AK152" t="s">
        <v>1259</v>
      </c>
      <c r="AL152" t="s">
        <v>95</v>
      </c>
      <c r="AM152" t="s">
        <v>96</v>
      </c>
      <c r="AN152" t="s">
        <v>97</v>
      </c>
      <c r="AO152" t="s">
        <v>98</v>
      </c>
      <c r="AP152" t="s">
        <v>78</v>
      </c>
      <c r="AQ152" t="s">
        <v>78</v>
      </c>
      <c r="AS152" t="s">
        <v>78</v>
      </c>
      <c r="AT152" t="s">
        <v>100</v>
      </c>
      <c r="AU152" t="s">
        <v>100</v>
      </c>
      <c r="AW152" t="s">
        <v>85</v>
      </c>
      <c r="AX152" t="s">
        <v>103</v>
      </c>
      <c r="AY152" t="s">
        <v>159</v>
      </c>
      <c r="AZ152" t="s">
        <v>103</v>
      </c>
      <c r="BA152" t="s">
        <v>185</v>
      </c>
      <c r="BB152" t="s">
        <v>78</v>
      </c>
      <c r="BC152" t="s">
        <v>78</v>
      </c>
      <c r="BE152">
        <v>0</v>
      </c>
      <c r="BF152">
        <v>0</v>
      </c>
      <c r="BG152">
        <v>0</v>
      </c>
      <c r="BH152">
        <v>0</v>
      </c>
      <c r="BJ152" t="s">
        <v>85</v>
      </c>
      <c r="BP152" t="s">
        <v>78</v>
      </c>
      <c r="BQ152" t="s">
        <v>78</v>
      </c>
      <c r="BR152" t="s">
        <v>78</v>
      </c>
    </row>
    <row r="153" customFormat="1" spans="1:70">
      <c r="A153" t="s">
        <v>4023</v>
      </c>
      <c r="B153" t="s">
        <v>4023</v>
      </c>
      <c r="C153" t="s">
        <v>1126</v>
      </c>
      <c r="D153" t="s">
        <v>1127</v>
      </c>
      <c r="E153">
        <v>1</v>
      </c>
      <c r="F153" t="s">
        <v>4004</v>
      </c>
      <c r="G153" t="s">
        <v>1129</v>
      </c>
      <c r="H153">
        <v>249</v>
      </c>
      <c r="I153">
        <v>249</v>
      </c>
      <c r="J153">
        <v>0</v>
      </c>
      <c r="K153">
        <v>0</v>
      </c>
      <c r="L153" t="s">
        <v>78</v>
      </c>
      <c r="M153" t="s">
        <v>78</v>
      </c>
      <c r="N153" t="s">
        <v>78</v>
      </c>
      <c r="O153">
        <v>0</v>
      </c>
      <c r="P153">
        <v>0</v>
      </c>
      <c r="Q153">
        <v>0</v>
      </c>
      <c r="R153" t="s">
        <v>79</v>
      </c>
      <c r="S153">
        <v>0</v>
      </c>
      <c r="T153" t="s">
        <v>80</v>
      </c>
      <c r="U153" t="s">
        <v>80</v>
      </c>
      <c r="V153" t="s">
        <v>1261</v>
      </c>
      <c r="W153" t="s">
        <v>1262</v>
      </c>
      <c r="X153" t="s">
        <v>1263</v>
      </c>
      <c r="Y153" t="s">
        <v>1264</v>
      </c>
      <c r="Z153" t="s">
        <v>80</v>
      </c>
      <c r="AA153" t="s">
        <v>85</v>
      </c>
      <c r="AC153" t="s">
        <v>1265</v>
      </c>
      <c r="AD153" t="s">
        <v>87</v>
      </c>
      <c r="AF153" t="s">
        <v>1217</v>
      </c>
      <c r="AG153" t="s">
        <v>1266</v>
      </c>
      <c r="AH153" t="s">
        <v>91</v>
      </c>
      <c r="AI153" t="s">
        <v>92</v>
      </c>
      <c r="AJ153" t="s">
        <v>93</v>
      </c>
      <c r="AK153" t="s">
        <v>1267</v>
      </c>
      <c r="AL153" t="s">
        <v>95</v>
      </c>
      <c r="AM153" t="s">
        <v>96</v>
      </c>
      <c r="AN153" t="s">
        <v>97</v>
      </c>
      <c r="AO153" t="s">
        <v>98</v>
      </c>
      <c r="AP153" t="s">
        <v>78</v>
      </c>
      <c r="AQ153" t="s">
        <v>78</v>
      </c>
      <c r="AS153" t="s">
        <v>78</v>
      </c>
      <c r="AT153" t="s">
        <v>100</v>
      </c>
      <c r="AU153" t="s">
        <v>100</v>
      </c>
      <c r="AW153" t="s">
        <v>85</v>
      </c>
      <c r="AX153" t="s">
        <v>101</v>
      </c>
      <c r="AY153" t="s">
        <v>102</v>
      </c>
      <c r="AZ153" t="s">
        <v>103</v>
      </c>
      <c r="BA153" t="s">
        <v>104</v>
      </c>
      <c r="BB153" t="s">
        <v>78</v>
      </c>
      <c r="BC153" t="s">
        <v>78</v>
      </c>
      <c r="BD153" t="s">
        <v>1220</v>
      </c>
      <c r="BE153">
        <v>0</v>
      </c>
      <c r="BF153">
        <v>0</v>
      </c>
      <c r="BG153">
        <v>0</v>
      </c>
      <c r="BH153">
        <v>0</v>
      </c>
      <c r="BJ153" t="s">
        <v>85</v>
      </c>
      <c r="BP153" t="s">
        <v>78</v>
      </c>
      <c r="BQ153" t="s">
        <v>78</v>
      </c>
      <c r="BR153" t="s">
        <v>78</v>
      </c>
    </row>
    <row r="154" customFormat="1" spans="1:70">
      <c r="A154" t="s">
        <v>4024</v>
      </c>
      <c r="B154" t="s">
        <v>4024</v>
      </c>
      <c r="C154" t="s">
        <v>107</v>
      </c>
      <c r="D154" t="s">
        <v>135</v>
      </c>
      <c r="E154">
        <v>1</v>
      </c>
      <c r="F154" t="s">
        <v>3857</v>
      </c>
      <c r="G154" t="s">
        <v>136</v>
      </c>
      <c r="H154">
        <v>289</v>
      </c>
      <c r="I154">
        <v>289</v>
      </c>
      <c r="J154">
        <v>0</v>
      </c>
      <c r="K154">
        <v>0</v>
      </c>
      <c r="L154" t="s">
        <v>78</v>
      </c>
      <c r="M154" t="s">
        <v>78</v>
      </c>
      <c r="N154" t="s">
        <v>78</v>
      </c>
      <c r="O154">
        <v>0</v>
      </c>
      <c r="P154">
        <v>0</v>
      </c>
      <c r="Q154">
        <v>0</v>
      </c>
      <c r="R154" t="s">
        <v>111</v>
      </c>
      <c r="S154">
        <v>0</v>
      </c>
      <c r="T154" t="s">
        <v>80</v>
      </c>
      <c r="U154" t="s">
        <v>80</v>
      </c>
      <c r="V154" t="s">
        <v>126</v>
      </c>
      <c r="W154" t="s">
        <v>1269</v>
      </c>
      <c r="X154" t="s">
        <v>1270</v>
      </c>
      <c r="Y154" t="s">
        <v>1271</v>
      </c>
      <c r="Z154" t="s">
        <v>80</v>
      </c>
      <c r="AA154" t="s">
        <v>85</v>
      </c>
      <c r="AC154" t="s">
        <v>1272</v>
      </c>
      <c r="AD154" t="s">
        <v>202</v>
      </c>
      <c r="AE154" t="s">
        <v>1273</v>
      </c>
      <c r="AG154" t="s">
        <v>1274</v>
      </c>
      <c r="AH154" t="s">
        <v>91</v>
      </c>
      <c r="AI154" t="s">
        <v>92</v>
      </c>
      <c r="AJ154" t="s">
        <v>131</v>
      </c>
      <c r="AK154" t="s">
        <v>1275</v>
      </c>
      <c r="AL154" t="s">
        <v>95</v>
      </c>
      <c r="AM154" t="s">
        <v>96</v>
      </c>
      <c r="AN154" t="s">
        <v>97</v>
      </c>
      <c r="AO154" t="s">
        <v>98</v>
      </c>
      <c r="AP154" t="s">
        <v>78</v>
      </c>
      <c r="AQ154" t="s">
        <v>99</v>
      </c>
      <c r="AS154" t="s">
        <v>78</v>
      </c>
      <c r="AT154" t="s">
        <v>100</v>
      </c>
      <c r="AU154" t="s">
        <v>100</v>
      </c>
      <c r="AW154" t="s">
        <v>85</v>
      </c>
      <c r="AX154" t="s">
        <v>101</v>
      </c>
      <c r="AY154" t="s">
        <v>102</v>
      </c>
      <c r="AZ154" t="s">
        <v>103</v>
      </c>
      <c r="BA154" t="s">
        <v>419</v>
      </c>
      <c r="BB154" t="s">
        <v>78</v>
      </c>
      <c r="BC154" t="s">
        <v>78</v>
      </c>
      <c r="BD154" t="s">
        <v>1233</v>
      </c>
      <c r="BE154">
        <v>0</v>
      </c>
      <c r="BF154">
        <v>0</v>
      </c>
      <c r="BG154">
        <v>0</v>
      </c>
      <c r="BH154">
        <v>0</v>
      </c>
      <c r="BJ154" t="s">
        <v>85</v>
      </c>
      <c r="BP154" t="s">
        <v>78</v>
      </c>
      <c r="BQ154" t="s">
        <v>78</v>
      </c>
      <c r="BR154" t="s">
        <v>78</v>
      </c>
    </row>
    <row r="155" customFormat="1" spans="1:70">
      <c r="A155" t="s">
        <v>4025</v>
      </c>
      <c r="B155" t="s">
        <v>4025</v>
      </c>
      <c r="C155" t="s">
        <v>107</v>
      </c>
      <c r="D155" t="s">
        <v>108</v>
      </c>
      <c r="E155">
        <v>1</v>
      </c>
      <c r="F155" t="s">
        <v>3857</v>
      </c>
      <c r="G155" t="s">
        <v>110</v>
      </c>
      <c r="H155">
        <v>289</v>
      </c>
      <c r="I155">
        <v>289</v>
      </c>
      <c r="J155">
        <v>0</v>
      </c>
      <c r="K155">
        <v>0</v>
      </c>
      <c r="L155" t="s">
        <v>78</v>
      </c>
      <c r="M155" t="s">
        <v>78</v>
      </c>
      <c r="N155" t="s">
        <v>78</v>
      </c>
      <c r="O155">
        <v>0</v>
      </c>
      <c r="P155">
        <v>0</v>
      </c>
      <c r="Q155">
        <v>0</v>
      </c>
      <c r="R155" t="s">
        <v>111</v>
      </c>
      <c r="S155">
        <v>0</v>
      </c>
      <c r="T155" t="s">
        <v>80</v>
      </c>
      <c r="U155" t="s">
        <v>80</v>
      </c>
      <c r="V155" t="s">
        <v>161</v>
      </c>
      <c r="W155" t="s">
        <v>161</v>
      </c>
      <c r="X155" t="s">
        <v>1277</v>
      </c>
      <c r="Y155" t="s">
        <v>1278</v>
      </c>
      <c r="Z155" t="s">
        <v>80</v>
      </c>
      <c r="AA155" t="s">
        <v>85</v>
      </c>
      <c r="AC155" t="s">
        <v>1279</v>
      </c>
      <c r="AD155" t="s">
        <v>87</v>
      </c>
      <c r="AF155" t="s">
        <v>1280</v>
      </c>
      <c r="AG155" t="s">
        <v>1281</v>
      </c>
      <c r="AH155" t="s">
        <v>91</v>
      </c>
      <c r="AI155" t="s">
        <v>92</v>
      </c>
      <c r="AJ155" t="s">
        <v>93</v>
      </c>
      <c r="AK155" t="s">
        <v>1282</v>
      </c>
      <c r="AL155" t="s">
        <v>95</v>
      </c>
      <c r="AM155" t="s">
        <v>96</v>
      </c>
      <c r="AN155" t="s">
        <v>97</v>
      </c>
      <c r="AO155" t="s">
        <v>98</v>
      </c>
      <c r="AP155" t="s">
        <v>78</v>
      </c>
      <c r="AQ155" t="s">
        <v>78</v>
      </c>
      <c r="AS155" t="s">
        <v>78</v>
      </c>
      <c r="AT155" t="s">
        <v>100</v>
      </c>
      <c r="AU155" t="s">
        <v>100</v>
      </c>
      <c r="AW155" t="s">
        <v>85</v>
      </c>
      <c r="AX155" t="s">
        <v>101</v>
      </c>
      <c r="AY155" t="s">
        <v>102</v>
      </c>
      <c r="AZ155" t="s">
        <v>145</v>
      </c>
      <c r="BA155" t="s">
        <v>146</v>
      </c>
      <c r="BB155" t="s">
        <v>78</v>
      </c>
      <c r="BC155" t="s">
        <v>78</v>
      </c>
      <c r="BD155" t="s">
        <v>1233</v>
      </c>
      <c r="BE155">
        <v>0</v>
      </c>
      <c r="BF155">
        <v>0</v>
      </c>
      <c r="BG155">
        <v>0</v>
      </c>
      <c r="BH155">
        <v>0</v>
      </c>
      <c r="BJ155" t="s">
        <v>85</v>
      </c>
      <c r="BP155" t="s">
        <v>78</v>
      </c>
      <c r="BQ155" t="s">
        <v>78</v>
      </c>
      <c r="BR155" t="s">
        <v>78</v>
      </c>
    </row>
    <row r="156" customFormat="1" spans="1:70">
      <c r="A156" t="s">
        <v>4026</v>
      </c>
      <c r="B156" t="s">
        <v>4026</v>
      </c>
      <c r="C156" t="s">
        <v>107</v>
      </c>
      <c r="D156" t="s">
        <v>123</v>
      </c>
      <c r="E156">
        <v>1</v>
      </c>
      <c r="F156" t="s">
        <v>3857</v>
      </c>
      <c r="G156" t="s">
        <v>124</v>
      </c>
      <c r="H156">
        <v>289</v>
      </c>
      <c r="I156">
        <v>289</v>
      </c>
      <c r="J156">
        <v>0</v>
      </c>
      <c r="K156">
        <v>0</v>
      </c>
      <c r="L156" t="s">
        <v>78</v>
      </c>
      <c r="M156" t="s">
        <v>78</v>
      </c>
      <c r="N156" t="s">
        <v>78</v>
      </c>
      <c r="O156">
        <v>0</v>
      </c>
      <c r="P156">
        <v>0</v>
      </c>
      <c r="Q156">
        <v>0</v>
      </c>
      <c r="R156" t="s">
        <v>111</v>
      </c>
      <c r="S156">
        <v>0</v>
      </c>
      <c r="T156" t="s">
        <v>80</v>
      </c>
      <c r="U156" t="s">
        <v>80</v>
      </c>
      <c r="V156" t="s">
        <v>167</v>
      </c>
      <c r="W156" t="s">
        <v>285</v>
      </c>
      <c r="X156" t="s">
        <v>1284</v>
      </c>
      <c r="Y156" t="s">
        <v>78</v>
      </c>
      <c r="Z156" t="s">
        <v>80</v>
      </c>
      <c r="AA156" t="s">
        <v>85</v>
      </c>
      <c r="AC156" t="s">
        <v>1285</v>
      </c>
      <c r="AD156" t="s">
        <v>87</v>
      </c>
      <c r="AF156" t="s">
        <v>1286</v>
      </c>
      <c r="AG156" t="s">
        <v>1287</v>
      </c>
      <c r="AH156" t="s">
        <v>91</v>
      </c>
      <c r="AI156" t="s">
        <v>92</v>
      </c>
      <c r="AJ156" t="s">
        <v>93</v>
      </c>
      <c r="AK156" t="s">
        <v>1288</v>
      </c>
      <c r="AL156" t="s">
        <v>95</v>
      </c>
      <c r="AM156" t="s">
        <v>96</v>
      </c>
      <c r="AN156" t="s">
        <v>97</v>
      </c>
      <c r="AO156" t="s">
        <v>98</v>
      </c>
      <c r="AP156" t="s">
        <v>78</v>
      </c>
      <c r="AQ156" t="s">
        <v>78</v>
      </c>
      <c r="AS156" t="s">
        <v>78</v>
      </c>
      <c r="AT156" t="s">
        <v>100</v>
      </c>
      <c r="AU156" t="s">
        <v>100</v>
      </c>
      <c r="AW156" t="s">
        <v>85</v>
      </c>
      <c r="AX156" t="s">
        <v>101</v>
      </c>
      <c r="AY156" t="s">
        <v>102</v>
      </c>
      <c r="AZ156" t="s">
        <v>103</v>
      </c>
      <c r="BA156" t="s">
        <v>133</v>
      </c>
      <c r="BB156" t="s">
        <v>78</v>
      </c>
      <c r="BC156" t="s">
        <v>78</v>
      </c>
      <c r="BD156" t="s">
        <v>1289</v>
      </c>
      <c r="BE156">
        <v>0</v>
      </c>
      <c r="BF156">
        <v>0</v>
      </c>
      <c r="BG156">
        <v>0</v>
      </c>
      <c r="BH156">
        <v>0</v>
      </c>
      <c r="BJ156" t="s">
        <v>85</v>
      </c>
      <c r="BP156" t="s">
        <v>78</v>
      </c>
      <c r="BQ156" t="s">
        <v>78</v>
      </c>
      <c r="BR156" t="s">
        <v>78</v>
      </c>
    </row>
    <row r="157" customFormat="1" spans="1:70">
      <c r="A157" t="s">
        <v>4027</v>
      </c>
      <c r="B157" t="s">
        <v>4027</v>
      </c>
      <c r="C157" t="s">
        <v>107</v>
      </c>
      <c r="D157" t="s">
        <v>108</v>
      </c>
      <c r="E157">
        <v>1</v>
      </c>
      <c r="F157" t="s">
        <v>3857</v>
      </c>
      <c r="G157" t="s">
        <v>110</v>
      </c>
      <c r="H157">
        <v>289</v>
      </c>
      <c r="I157">
        <v>289</v>
      </c>
      <c r="J157">
        <v>0</v>
      </c>
      <c r="K157">
        <v>0</v>
      </c>
      <c r="L157" t="s">
        <v>78</v>
      </c>
      <c r="M157" t="s">
        <v>78</v>
      </c>
      <c r="N157" t="s">
        <v>78</v>
      </c>
      <c r="O157">
        <v>0</v>
      </c>
      <c r="P157">
        <v>0</v>
      </c>
      <c r="Q157">
        <v>0</v>
      </c>
      <c r="R157" t="s">
        <v>125</v>
      </c>
      <c r="S157">
        <v>0</v>
      </c>
      <c r="T157" t="s">
        <v>80</v>
      </c>
      <c r="U157" t="s">
        <v>80</v>
      </c>
      <c r="V157" t="s">
        <v>126</v>
      </c>
      <c r="W157" t="s">
        <v>377</v>
      </c>
      <c r="X157" t="s">
        <v>378</v>
      </c>
      <c r="Y157" t="s">
        <v>379</v>
      </c>
      <c r="Z157" t="s">
        <v>80</v>
      </c>
      <c r="AA157" t="s">
        <v>85</v>
      </c>
      <c r="AC157" t="s">
        <v>1291</v>
      </c>
      <c r="AD157" t="s">
        <v>87</v>
      </c>
      <c r="AH157" t="s">
        <v>298</v>
      </c>
      <c r="AI157" t="s">
        <v>92</v>
      </c>
      <c r="AJ157" t="s">
        <v>131</v>
      </c>
      <c r="AK157" t="s">
        <v>1292</v>
      </c>
      <c r="AL157" t="s">
        <v>95</v>
      </c>
      <c r="AM157" t="s">
        <v>96</v>
      </c>
      <c r="AN157" t="s">
        <v>97</v>
      </c>
      <c r="AO157" t="s">
        <v>98</v>
      </c>
      <c r="AP157" t="s">
        <v>78</v>
      </c>
      <c r="AQ157" t="s">
        <v>78</v>
      </c>
      <c r="AR157" t="s">
        <v>195</v>
      </c>
      <c r="AS157" t="s">
        <v>78</v>
      </c>
      <c r="AT157" t="s">
        <v>100</v>
      </c>
      <c r="AU157" t="s">
        <v>100</v>
      </c>
      <c r="AW157" t="s">
        <v>85</v>
      </c>
      <c r="AX157" t="s">
        <v>103</v>
      </c>
      <c r="AY157" t="s">
        <v>159</v>
      </c>
      <c r="AZ157" t="s">
        <v>103</v>
      </c>
      <c r="BA157" t="s">
        <v>104</v>
      </c>
      <c r="BB157" t="s">
        <v>78</v>
      </c>
      <c r="BC157" t="s">
        <v>78</v>
      </c>
      <c r="BE157">
        <v>0</v>
      </c>
      <c r="BF157">
        <v>0</v>
      </c>
      <c r="BG157">
        <v>0</v>
      </c>
      <c r="BH157">
        <v>0</v>
      </c>
      <c r="BJ157" t="s">
        <v>85</v>
      </c>
      <c r="BP157" t="s">
        <v>78</v>
      </c>
      <c r="BQ157" t="s">
        <v>78</v>
      </c>
      <c r="BR157" t="s">
        <v>78</v>
      </c>
    </row>
    <row r="158" customFormat="1" spans="1:70">
      <c r="A158" t="s">
        <v>4028</v>
      </c>
      <c r="B158" t="s">
        <v>4028</v>
      </c>
      <c r="C158" t="s">
        <v>107</v>
      </c>
      <c r="D158" t="s">
        <v>108</v>
      </c>
      <c r="E158">
        <v>1</v>
      </c>
      <c r="F158" t="s">
        <v>3857</v>
      </c>
      <c r="G158" t="s">
        <v>110</v>
      </c>
      <c r="H158">
        <v>289</v>
      </c>
      <c r="I158">
        <v>289</v>
      </c>
      <c r="J158">
        <v>0</v>
      </c>
      <c r="K158">
        <v>0</v>
      </c>
      <c r="L158" t="s">
        <v>78</v>
      </c>
      <c r="M158" t="s">
        <v>78</v>
      </c>
      <c r="N158" t="s">
        <v>78</v>
      </c>
      <c r="O158">
        <v>0</v>
      </c>
      <c r="P158">
        <v>0</v>
      </c>
      <c r="Q158">
        <v>0</v>
      </c>
      <c r="R158" t="s">
        <v>125</v>
      </c>
      <c r="S158">
        <v>0</v>
      </c>
      <c r="T158" t="s">
        <v>80</v>
      </c>
      <c r="U158" t="s">
        <v>80</v>
      </c>
      <c r="V158" t="s">
        <v>347</v>
      </c>
      <c r="W158" t="s">
        <v>901</v>
      </c>
      <c r="X158" t="s">
        <v>902</v>
      </c>
      <c r="Y158" t="s">
        <v>78</v>
      </c>
      <c r="Z158" t="s">
        <v>80</v>
      </c>
      <c r="AA158" t="s">
        <v>85</v>
      </c>
      <c r="AC158" t="s">
        <v>1294</v>
      </c>
      <c r="AD158" t="s">
        <v>87</v>
      </c>
      <c r="AH158" t="s">
        <v>401</v>
      </c>
      <c r="AI158" t="s">
        <v>92</v>
      </c>
      <c r="AJ158" t="s">
        <v>131</v>
      </c>
      <c r="AK158" t="s">
        <v>1295</v>
      </c>
      <c r="AL158" t="s">
        <v>95</v>
      </c>
      <c r="AM158" t="s">
        <v>96</v>
      </c>
      <c r="AN158" t="s">
        <v>97</v>
      </c>
      <c r="AO158" t="s">
        <v>98</v>
      </c>
      <c r="AP158" t="s">
        <v>78</v>
      </c>
      <c r="AQ158" t="s">
        <v>78</v>
      </c>
      <c r="AR158" t="s">
        <v>353</v>
      </c>
      <c r="AS158" t="s">
        <v>78</v>
      </c>
      <c r="AT158" t="s">
        <v>100</v>
      </c>
      <c r="AU158" t="s">
        <v>100</v>
      </c>
      <c r="AW158" t="s">
        <v>85</v>
      </c>
      <c r="AX158" t="s">
        <v>103</v>
      </c>
      <c r="AY158" t="s">
        <v>159</v>
      </c>
      <c r="AZ158" t="s">
        <v>103</v>
      </c>
      <c r="BA158" t="s">
        <v>102</v>
      </c>
      <c r="BB158" t="s">
        <v>78</v>
      </c>
      <c r="BC158" t="s">
        <v>78</v>
      </c>
      <c r="BE158">
        <v>0</v>
      </c>
      <c r="BF158">
        <v>0</v>
      </c>
      <c r="BG158">
        <v>0</v>
      </c>
      <c r="BH158">
        <v>0</v>
      </c>
      <c r="BJ158" t="s">
        <v>85</v>
      </c>
      <c r="BP158" t="s">
        <v>78</v>
      </c>
      <c r="BQ158" t="s">
        <v>78</v>
      </c>
      <c r="BR158" t="s">
        <v>78</v>
      </c>
    </row>
    <row r="159" customFormat="1" spans="1:70">
      <c r="A159" t="s">
        <v>4029</v>
      </c>
      <c r="B159" t="s">
        <v>4029</v>
      </c>
      <c r="C159" t="s">
        <v>107</v>
      </c>
      <c r="D159" t="s">
        <v>108</v>
      </c>
      <c r="E159">
        <v>1</v>
      </c>
      <c r="F159" t="s">
        <v>3857</v>
      </c>
      <c r="G159" t="s">
        <v>110</v>
      </c>
      <c r="H159">
        <v>289</v>
      </c>
      <c r="I159">
        <v>289</v>
      </c>
      <c r="J159">
        <v>0</v>
      </c>
      <c r="K159">
        <v>0</v>
      </c>
      <c r="L159" t="s">
        <v>78</v>
      </c>
      <c r="M159" t="s">
        <v>78</v>
      </c>
      <c r="N159" t="s">
        <v>78</v>
      </c>
      <c r="O159">
        <v>0</v>
      </c>
      <c r="P159">
        <v>0</v>
      </c>
      <c r="Q159">
        <v>0</v>
      </c>
      <c r="R159" t="s">
        <v>125</v>
      </c>
      <c r="S159">
        <v>0</v>
      </c>
      <c r="T159" t="s">
        <v>80</v>
      </c>
      <c r="U159" t="s">
        <v>80</v>
      </c>
      <c r="V159" t="s">
        <v>161</v>
      </c>
      <c r="W159" t="s">
        <v>161</v>
      </c>
      <c r="X159" t="s">
        <v>1297</v>
      </c>
      <c r="Y159" t="s">
        <v>1298</v>
      </c>
      <c r="Z159" t="s">
        <v>80</v>
      </c>
      <c r="AA159" t="s">
        <v>85</v>
      </c>
      <c r="AC159" t="s">
        <v>1299</v>
      </c>
      <c r="AD159" t="s">
        <v>87</v>
      </c>
      <c r="AH159" t="s">
        <v>91</v>
      </c>
      <c r="AI159" t="s">
        <v>92</v>
      </c>
      <c r="AJ159" t="s">
        <v>131</v>
      </c>
      <c r="AK159" t="s">
        <v>1300</v>
      </c>
      <c r="AL159" t="s">
        <v>95</v>
      </c>
      <c r="AM159" t="s">
        <v>96</v>
      </c>
      <c r="AN159" t="s">
        <v>97</v>
      </c>
      <c r="AO159" t="s">
        <v>98</v>
      </c>
      <c r="AP159" t="s">
        <v>78</v>
      </c>
      <c r="AQ159" t="s">
        <v>78</v>
      </c>
      <c r="AR159" t="s">
        <v>353</v>
      </c>
      <c r="AS159" t="s">
        <v>78</v>
      </c>
      <c r="AT159" t="s">
        <v>100</v>
      </c>
      <c r="AU159" t="s">
        <v>100</v>
      </c>
      <c r="AW159" t="s">
        <v>85</v>
      </c>
      <c r="AX159" t="s">
        <v>103</v>
      </c>
      <c r="AY159" t="s">
        <v>159</v>
      </c>
      <c r="AZ159" t="s">
        <v>103</v>
      </c>
      <c r="BA159" t="s">
        <v>419</v>
      </c>
      <c r="BB159" t="s">
        <v>78</v>
      </c>
      <c r="BC159" t="s">
        <v>78</v>
      </c>
      <c r="BE159">
        <v>0</v>
      </c>
      <c r="BF159">
        <v>0</v>
      </c>
      <c r="BG159">
        <v>0</v>
      </c>
      <c r="BH159">
        <v>0</v>
      </c>
      <c r="BJ159" t="s">
        <v>85</v>
      </c>
      <c r="BP159" t="s">
        <v>78</v>
      </c>
      <c r="BQ159" t="s">
        <v>78</v>
      </c>
      <c r="BR159" t="s">
        <v>78</v>
      </c>
    </row>
    <row r="160" customFormat="1" spans="1:70">
      <c r="A160" t="s">
        <v>4030</v>
      </c>
      <c r="B160" t="s">
        <v>4030</v>
      </c>
      <c r="C160" t="s">
        <v>107</v>
      </c>
      <c r="D160" t="s">
        <v>108</v>
      </c>
      <c r="E160">
        <v>1</v>
      </c>
      <c r="F160" t="s">
        <v>3857</v>
      </c>
      <c r="G160" t="s">
        <v>110</v>
      </c>
      <c r="H160">
        <v>289</v>
      </c>
      <c r="I160">
        <v>289</v>
      </c>
      <c r="J160">
        <v>0</v>
      </c>
      <c r="K160">
        <v>0</v>
      </c>
      <c r="L160" t="s">
        <v>78</v>
      </c>
      <c r="M160" t="s">
        <v>78</v>
      </c>
      <c r="N160" t="s">
        <v>78</v>
      </c>
      <c r="O160">
        <v>0</v>
      </c>
      <c r="P160">
        <v>0</v>
      </c>
      <c r="Q160">
        <v>0</v>
      </c>
      <c r="R160" t="s">
        <v>111</v>
      </c>
      <c r="S160">
        <v>0</v>
      </c>
      <c r="T160" t="s">
        <v>80</v>
      </c>
      <c r="U160" t="s">
        <v>80</v>
      </c>
      <c r="V160" t="s">
        <v>178</v>
      </c>
      <c r="W160" t="s">
        <v>178</v>
      </c>
      <c r="X160" t="s">
        <v>1302</v>
      </c>
      <c r="Y160" t="s">
        <v>1303</v>
      </c>
      <c r="Z160" t="s">
        <v>80</v>
      </c>
      <c r="AA160" t="s">
        <v>85</v>
      </c>
      <c r="AC160" t="s">
        <v>1304</v>
      </c>
      <c r="AD160" t="s">
        <v>87</v>
      </c>
      <c r="AH160" t="s">
        <v>1305</v>
      </c>
      <c r="AI160" t="s">
        <v>92</v>
      </c>
      <c r="AJ160" t="s">
        <v>131</v>
      </c>
      <c r="AK160" t="s">
        <v>1306</v>
      </c>
      <c r="AL160" t="s">
        <v>95</v>
      </c>
      <c r="AM160" t="s">
        <v>96</v>
      </c>
      <c r="AN160" t="s">
        <v>97</v>
      </c>
      <c r="AO160" t="s">
        <v>98</v>
      </c>
      <c r="AP160" t="s">
        <v>78</v>
      </c>
      <c r="AQ160" t="s">
        <v>78</v>
      </c>
      <c r="AR160" t="s">
        <v>353</v>
      </c>
      <c r="AS160" t="s">
        <v>78</v>
      </c>
      <c r="AT160" t="s">
        <v>100</v>
      </c>
      <c r="AU160" t="s">
        <v>100</v>
      </c>
      <c r="AW160" t="s">
        <v>85</v>
      </c>
      <c r="AX160" t="s">
        <v>103</v>
      </c>
      <c r="AY160" t="s">
        <v>159</v>
      </c>
      <c r="AZ160" t="s">
        <v>103</v>
      </c>
      <c r="BA160" t="s">
        <v>102</v>
      </c>
      <c r="BB160" t="s">
        <v>78</v>
      </c>
      <c r="BC160" t="s">
        <v>78</v>
      </c>
      <c r="BE160">
        <v>0</v>
      </c>
      <c r="BF160">
        <v>0</v>
      </c>
      <c r="BG160">
        <v>0</v>
      </c>
      <c r="BH160">
        <v>0</v>
      </c>
      <c r="BJ160" t="s">
        <v>85</v>
      </c>
      <c r="BP160" t="s">
        <v>78</v>
      </c>
      <c r="BQ160" t="s">
        <v>78</v>
      </c>
      <c r="BR160" t="s">
        <v>78</v>
      </c>
    </row>
    <row r="161" customFormat="1" spans="1:70">
      <c r="A161" t="s">
        <v>4031</v>
      </c>
      <c r="B161" t="s">
        <v>4031</v>
      </c>
      <c r="C161" t="s">
        <v>107</v>
      </c>
      <c r="D161" t="s">
        <v>108</v>
      </c>
      <c r="E161">
        <v>1</v>
      </c>
      <c r="F161" t="s">
        <v>3857</v>
      </c>
      <c r="G161" t="s">
        <v>110</v>
      </c>
      <c r="H161">
        <v>289</v>
      </c>
      <c r="I161">
        <v>289</v>
      </c>
      <c r="J161">
        <v>0</v>
      </c>
      <c r="K161">
        <v>0</v>
      </c>
      <c r="L161" t="s">
        <v>78</v>
      </c>
      <c r="M161" t="s">
        <v>78</v>
      </c>
      <c r="N161" t="s">
        <v>78</v>
      </c>
      <c r="O161">
        <v>0</v>
      </c>
      <c r="P161">
        <v>0</v>
      </c>
      <c r="Q161">
        <v>0</v>
      </c>
      <c r="R161" t="s">
        <v>125</v>
      </c>
      <c r="S161">
        <v>0</v>
      </c>
      <c r="T161" t="s">
        <v>80</v>
      </c>
      <c r="U161" t="s">
        <v>80</v>
      </c>
      <c r="V161" t="s">
        <v>126</v>
      </c>
      <c r="W161" t="s">
        <v>1308</v>
      </c>
      <c r="X161" t="s">
        <v>519</v>
      </c>
      <c r="Y161" t="s">
        <v>1309</v>
      </c>
      <c r="Z161" t="s">
        <v>80</v>
      </c>
      <c r="AA161" t="s">
        <v>85</v>
      </c>
      <c r="AC161" t="s">
        <v>1310</v>
      </c>
      <c r="AD161" t="s">
        <v>87</v>
      </c>
      <c r="AH161" t="s">
        <v>401</v>
      </c>
      <c r="AI161" t="s">
        <v>92</v>
      </c>
      <c r="AJ161" t="s">
        <v>131</v>
      </c>
      <c r="AK161" t="s">
        <v>1311</v>
      </c>
      <c r="AL161" t="s">
        <v>95</v>
      </c>
      <c r="AM161" t="s">
        <v>96</v>
      </c>
      <c r="AN161" t="s">
        <v>97</v>
      </c>
      <c r="AO161" t="s">
        <v>98</v>
      </c>
      <c r="AP161" t="s">
        <v>78</v>
      </c>
      <c r="AQ161" t="s">
        <v>78</v>
      </c>
      <c r="AR161" t="s">
        <v>353</v>
      </c>
      <c r="AS161" t="s">
        <v>78</v>
      </c>
      <c r="AT161" t="s">
        <v>100</v>
      </c>
      <c r="AU161" t="s">
        <v>100</v>
      </c>
      <c r="AW161" t="s">
        <v>85</v>
      </c>
      <c r="AX161" t="s">
        <v>103</v>
      </c>
      <c r="AY161" t="s">
        <v>159</v>
      </c>
      <c r="AZ161" t="s">
        <v>103</v>
      </c>
      <c r="BA161" t="s">
        <v>102</v>
      </c>
      <c r="BB161" t="s">
        <v>78</v>
      </c>
      <c r="BC161" t="s">
        <v>78</v>
      </c>
      <c r="BE161">
        <v>0</v>
      </c>
      <c r="BF161">
        <v>0</v>
      </c>
      <c r="BG161">
        <v>0</v>
      </c>
      <c r="BH161">
        <v>0</v>
      </c>
      <c r="BJ161" t="s">
        <v>85</v>
      </c>
      <c r="BP161" t="s">
        <v>78</v>
      </c>
      <c r="BQ161" t="s">
        <v>78</v>
      </c>
      <c r="BR161" t="s">
        <v>78</v>
      </c>
    </row>
    <row r="162" customFormat="1" spans="1:70">
      <c r="A162" t="s">
        <v>4032</v>
      </c>
      <c r="B162" t="s">
        <v>4032</v>
      </c>
      <c r="C162" t="s">
        <v>107</v>
      </c>
      <c r="D162" t="s">
        <v>108</v>
      </c>
      <c r="E162">
        <v>1</v>
      </c>
      <c r="F162" t="s">
        <v>3857</v>
      </c>
      <c r="G162" t="s">
        <v>110</v>
      </c>
      <c r="H162">
        <v>289</v>
      </c>
      <c r="I162">
        <v>289</v>
      </c>
      <c r="J162">
        <v>0</v>
      </c>
      <c r="K162">
        <v>0</v>
      </c>
      <c r="L162" t="s">
        <v>78</v>
      </c>
      <c r="M162" t="s">
        <v>78</v>
      </c>
      <c r="N162" t="s">
        <v>78</v>
      </c>
      <c r="O162">
        <v>0</v>
      </c>
      <c r="P162">
        <v>0</v>
      </c>
      <c r="Q162">
        <v>0</v>
      </c>
      <c r="R162" t="s">
        <v>111</v>
      </c>
      <c r="S162">
        <v>0</v>
      </c>
      <c r="T162" t="s">
        <v>80</v>
      </c>
      <c r="U162" t="s">
        <v>80</v>
      </c>
      <c r="V162" t="s">
        <v>167</v>
      </c>
      <c r="W162" t="s">
        <v>1313</v>
      </c>
      <c r="X162" t="s">
        <v>1314</v>
      </c>
      <c r="Y162" t="s">
        <v>1315</v>
      </c>
      <c r="Z162" t="s">
        <v>80</v>
      </c>
      <c r="AA162" t="s">
        <v>85</v>
      </c>
      <c r="AC162" t="s">
        <v>1316</v>
      </c>
      <c r="AD162" t="s">
        <v>87</v>
      </c>
      <c r="AF162" t="s">
        <v>1317</v>
      </c>
      <c r="AG162" t="s">
        <v>1318</v>
      </c>
      <c r="AH162" t="s">
        <v>91</v>
      </c>
      <c r="AI162" t="s">
        <v>92</v>
      </c>
      <c r="AJ162" t="s">
        <v>93</v>
      </c>
      <c r="AK162" t="s">
        <v>1319</v>
      </c>
      <c r="AL162" t="s">
        <v>95</v>
      </c>
      <c r="AM162" t="s">
        <v>96</v>
      </c>
      <c r="AN162" t="s">
        <v>97</v>
      </c>
      <c r="AO162" t="s">
        <v>98</v>
      </c>
      <c r="AP162" t="s">
        <v>78</v>
      </c>
      <c r="AQ162" t="s">
        <v>78</v>
      </c>
      <c r="AS162" t="s">
        <v>78</v>
      </c>
      <c r="AT162" t="s">
        <v>100</v>
      </c>
      <c r="AU162" t="s">
        <v>100</v>
      </c>
      <c r="AW162" t="s">
        <v>85</v>
      </c>
      <c r="AX162" t="s">
        <v>101</v>
      </c>
      <c r="AY162" t="s">
        <v>102</v>
      </c>
      <c r="AZ162" t="s">
        <v>103</v>
      </c>
      <c r="BA162" t="s">
        <v>133</v>
      </c>
      <c r="BB162" t="s">
        <v>78</v>
      </c>
      <c r="BC162" t="s">
        <v>78</v>
      </c>
      <c r="BD162" t="s">
        <v>705</v>
      </c>
      <c r="BE162">
        <v>0</v>
      </c>
      <c r="BF162">
        <v>0</v>
      </c>
      <c r="BG162">
        <v>0</v>
      </c>
      <c r="BH162">
        <v>0</v>
      </c>
      <c r="BJ162" t="s">
        <v>85</v>
      </c>
      <c r="BP162" t="s">
        <v>78</v>
      </c>
      <c r="BQ162" t="s">
        <v>78</v>
      </c>
      <c r="BR162" t="s">
        <v>78</v>
      </c>
    </row>
    <row r="163" customFormat="1" spans="1:70">
      <c r="A163" t="s">
        <v>4033</v>
      </c>
      <c r="B163" t="s">
        <v>4033</v>
      </c>
      <c r="C163" t="s">
        <v>107</v>
      </c>
      <c r="D163" t="s">
        <v>135</v>
      </c>
      <c r="E163">
        <v>1</v>
      </c>
      <c r="F163" t="s">
        <v>3857</v>
      </c>
      <c r="G163" t="s">
        <v>136</v>
      </c>
      <c r="H163">
        <v>289</v>
      </c>
      <c r="I163">
        <v>289</v>
      </c>
      <c r="J163">
        <v>0</v>
      </c>
      <c r="K163">
        <v>0</v>
      </c>
      <c r="L163" t="s">
        <v>78</v>
      </c>
      <c r="M163" t="s">
        <v>78</v>
      </c>
      <c r="N163" t="s">
        <v>78</v>
      </c>
      <c r="O163">
        <v>0</v>
      </c>
      <c r="P163">
        <v>0</v>
      </c>
      <c r="Q163">
        <v>0</v>
      </c>
      <c r="R163" t="s">
        <v>125</v>
      </c>
      <c r="S163">
        <v>0</v>
      </c>
      <c r="T163" t="s">
        <v>80</v>
      </c>
      <c r="U163" t="s">
        <v>80</v>
      </c>
      <c r="V163" t="s">
        <v>81</v>
      </c>
      <c r="W163" t="s">
        <v>1321</v>
      </c>
      <c r="X163" t="s">
        <v>1322</v>
      </c>
      <c r="Y163" t="s">
        <v>1323</v>
      </c>
      <c r="Z163" t="s">
        <v>80</v>
      </c>
      <c r="AA163" t="s">
        <v>85</v>
      </c>
      <c r="AC163" t="s">
        <v>1324</v>
      </c>
      <c r="AD163" t="s">
        <v>87</v>
      </c>
      <c r="AH163" t="s">
        <v>183</v>
      </c>
      <c r="AI163" t="s">
        <v>92</v>
      </c>
      <c r="AJ163" t="s">
        <v>131</v>
      </c>
      <c r="AK163" t="s">
        <v>1325</v>
      </c>
      <c r="AL163" t="s">
        <v>95</v>
      </c>
      <c r="AM163" t="s">
        <v>96</v>
      </c>
      <c r="AN163" t="s">
        <v>97</v>
      </c>
      <c r="AO163" t="s">
        <v>98</v>
      </c>
      <c r="AP163" t="s">
        <v>78</v>
      </c>
      <c r="AQ163" t="s">
        <v>78</v>
      </c>
      <c r="AR163" t="s">
        <v>353</v>
      </c>
      <c r="AS163" t="s">
        <v>78</v>
      </c>
      <c r="AT163" t="s">
        <v>100</v>
      </c>
      <c r="AU163" t="s">
        <v>100</v>
      </c>
      <c r="AW163" t="s">
        <v>85</v>
      </c>
      <c r="AX163" t="s">
        <v>103</v>
      </c>
      <c r="AY163" t="s">
        <v>159</v>
      </c>
      <c r="AZ163" t="s">
        <v>103</v>
      </c>
      <c r="BA163" t="s">
        <v>185</v>
      </c>
      <c r="BB163" t="s">
        <v>78</v>
      </c>
      <c r="BC163" t="s">
        <v>78</v>
      </c>
      <c r="BE163">
        <v>0</v>
      </c>
      <c r="BF163">
        <v>0</v>
      </c>
      <c r="BG163">
        <v>0</v>
      </c>
      <c r="BH163">
        <v>0</v>
      </c>
      <c r="BJ163" t="s">
        <v>85</v>
      </c>
      <c r="BP163" t="s">
        <v>78</v>
      </c>
      <c r="BQ163" t="s">
        <v>78</v>
      </c>
      <c r="BR163" t="s">
        <v>78</v>
      </c>
    </row>
    <row r="164" customFormat="1" spans="1:70">
      <c r="A164" t="s">
        <v>4034</v>
      </c>
      <c r="B164" t="s">
        <v>4034</v>
      </c>
      <c r="C164" t="s">
        <v>107</v>
      </c>
      <c r="D164" t="s">
        <v>135</v>
      </c>
      <c r="E164">
        <v>1</v>
      </c>
      <c r="F164" t="s">
        <v>3857</v>
      </c>
      <c r="G164" t="s">
        <v>136</v>
      </c>
      <c r="H164">
        <v>289</v>
      </c>
      <c r="I164">
        <v>279</v>
      </c>
      <c r="J164">
        <v>0</v>
      </c>
      <c r="K164">
        <v>10</v>
      </c>
      <c r="L164" t="s">
        <v>1010</v>
      </c>
      <c r="M164" t="s">
        <v>78</v>
      </c>
      <c r="N164" t="s">
        <v>78</v>
      </c>
      <c r="O164">
        <v>0</v>
      </c>
      <c r="P164">
        <v>0</v>
      </c>
      <c r="Q164">
        <v>0</v>
      </c>
      <c r="R164" t="s">
        <v>79</v>
      </c>
      <c r="S164">
        <v>0</v>
      </c>
      <c r="T164" t="s">
        <v>80</v>
      </c>
      <c r="U164" t="s">
        <v>80</v>
      </c>
      <c r="V164" t="s">
        <v>112</v>
      </c>
      <c r="W164" t="s">
        <v>1207</v>
      </c>
      <c r="X164" t="s">
        <v>1207</v>
      </c>
      <c r="Y164" t="s">
        <v>1208</v>
      </c>
      <c r="Z164" t="s">
        <v>80</v>
      </c>
      <c r="AA164" t="s">
        <v>85</v>
      </c>
      <c r="AC164" t="s">
        <v>1327</v>
      </c>
      <c r="AD164" t="s">
        <v>202</v>
      </c>
      <c r="AE164" t="s">
        <v>1328</v>
      </c>
      <c r="AG164" t="s">
        <v>1329</v>
      </c>
      <c r="AH164" t="s">
        <v>91</v>
      </c>
      <c r="AI164" t="s">
        <v>92</v>
      </c>
      <c r="AJ164" t="s">
        <v>131</v>
      </c>
      <c r="AK164" t="s">
        <v>1330</v>
      </c>
      <c r="AL164" t="s">
        <v>95</v>
      </c>
      <c r="AM164" t="s">
        <v>96</v>
      </c>
      <c r="AN164" t="s">
        <v>97</v>
      </c>
      <c r="AO164" t="s">
        <v>98</v>
      </c>
      <c r="AP164" t="s">
        <v>78</v>
      </c>
      <c r="AQ164" t="s">
        <v>99</v>
      </c>
      <c r="AS164" t="s">
        <v>78</v>
      </c>
      <c r="AT164" t="s">
        <v>100</v>
      </c>
      <c r="AU164" t="s">
        <v>100</v>
      </c>
      <c r="AW164" t="s">
        <v>85</v>
      </c>
      <c r="AX164" t="s">
        <v>103</v>
      </c>
      <c r="AY164" t="s">
        <v>159</v>
      </c>
      <c r="AZ164" t="s">
        <v>103</v>
      </c>
      <c r="BA164" t="s">
        <v>104</v>
      </c>
      <c r="BB164" t="s">
        <v>78</v>
      </c>
      <c r="BC164" t="s">
        <v>78</v>
      </c>
      <c r="BD164" t="s">
        <v>1233</v>
      </c>
      <c r="BE164">
        <v>0</v>
      </c>
      <c r="BF164">
        <v>10</v>
      </c>
      <c r="BG164">
        <v>0</v>
      </c>
      <c r="BH164">
        <v>0</v>
      </c>
      <c r="BJ164" t="s">
        <v>85</v>
      </c>
      <c r="BP164" t="s">
        <v>78</v>
      </c>
      <c r="BQ164" t="s">
        <v>78</v>
      </c>
      <c r="BR164" t="s">
        <v>78</v>
      </c>
    </row>
    <row r="165" customFormat="1" spans="1:70">
      <c r="A165" t="s">
        <v>4035</v>
      </c>
      <c r="B165" t="s">
        <v>4035</v>
      </c>
      <c r="C165" t="s">
        <v>107</v>
      </c>
      <c r="D165" t="s">
        <v>108</v>
      </c>
      <c r="E165">
        <v>1</v>
      </c>
      <c r="F165" t="s">
        <v>3857</v>
      </c>
      <c r="G165" t="s">
        <v>110</v>
      </c>
      <c r="H165">
        <v>289</v>
      </c>
      <c r="I165">
        <v>289</v>
      </c>
      <c r="J165">
        <v>0</v>
      </c>
      <c r="K165">
        <v>0</v>
      </c>
      <c r="L165" t="s">
        <v>78</v>
      </c>
      <c r="M165" t="s">
        <v>78</v>
      </c>
      <c r="N165" t="s">
        <v>78</v>
      </c>
      <c r="O165">
        <v>0</v>
      </c>
      <c r="P165">
        <v>0</v>
      </c>
      <c r="Q165">
        <v>0</v>
      </c>
      <c r="R165" t="s">
        <v>125</v>
      </c>
      <c r="S165">
        <v>0</v>
      </c>
      <c r="T165" t="s">
        <v>80</v>
      </c>
      <c r="U165" t="s">
        <v>80</v>
      </c>
      <c r="V165" t="s">
        <v>178</v>
      </c>
      <c r="W165" t="s">
        <v>178</v>
      </c>
      <c r="X165" t="s">
        <v>1332</v>
      </c>
      <c r="Y165" t="s">
        <v>1333</v>
      </c>
      <c r="Z165" t="s">
        <v>80</v>
      </c>
      <c r="AA165" t="s">
        <v>85</v>
      </c>
      <c r="AC165" t="s">
        <v>1334</v>
      </c>
      <c r="AD165" t="s">
        <v>87</v>
      </c>
      <c r="AH165" t="s">
        <v>401</v>
      </c>
      <c r="AI165" t="s">
        <v>92</v>
      </c>
      <c r="AJ165" t="s">
        <v>131</v>
      </c>
      <c r="AK165" t="s">
        <v>1335</v>
      </c>
      <c r="AL165" t="s">
        <v>95</v>
      </c>
      <c r="AM165" t="s">
        <v>96</v>
      </c>
      <c r="AN165" t="s">
        <v>97</v>
      </c>
      <c r="AO165" t="s">
        <v>98</v>
      </c>
      <c r="AP165" t="s">
        <v>78</v>
      </c>
      <c r="AQ165" t="s">
        <v>78</v>
      </c>
      <c r="AR165" t="s">
        <v>353</v>
      </c>
      <c r="AS165" t="s">
        <v>78</v>
      </c>
      <c r="AT165" t="s">
        <v>100</v>
      </c>
      <c r="AU165" t="s">
        <v>100</v>
      </c>
      <c r="AW165" t="s">
        <v>85</v>
      </c>
      <c r="AX165" t="s">
        <v>103</v>
      </c>
      <c r="AY165" t="s">
        <v>159</v>
      </c>
      <c r="AZ165" t="s">
        <v>103</v>
      </c>
      <c r="BA165" t="s">
        <v>102</v>
      </c>
      <c r="BB165" t="s">
        <v>78</v>
      </c>
      <c r="BC165" t="s">
        <v>78</v>
      </c>
      <c r="BE165">
        <v>0</v>
      </c>
      <c r="BF165">
        <v>0</v>
      </c>
      <c r="BG165">
        <v>0</v>
      </c>
      <c r="BH165">
        <v>0</v>
      </c>
      <c r="BJ165" t="s">
        <v>85</v>
      </c>
      <c r="BP165" t="s">
        <v>78</v>
      </c>
      <c r="BQ165" t="s">
        <v>78</v>
      </c>
      <c r="BR165" t="s">
        <v>78</v>
      </c>
    </row>
    <row r="166" customFormat="1" spans="1:70">
      <c r="A166" t="s">
        <v>4036</v>
      </c>
      <c r="B166" t="s">
        <v>4036</v>
      </c>
      <c r="C166" t="s">
        <v>107</v>
      </c>
      <c r="D166" t="s">
        <v>135</v>
      </c>
      <c r="E166">
        <v>1</v>
      </c>
      <c r="F166" t="s">
        <v>3857</v>
      </c>
      <c r="G166" t="s">
        <v>136</v>
      </c>
      <c r="H166">
        <v>289</v>
      </c>
      <c r="I166">
        <v>289</v>
      </c>
      <c r="J166">
        <v>0</v>
      </c>
      <c r="K166">
        <v>0</v>
      </c>
      <c r="L166" t="s">
        <v>78</v>
      </c>
      <c r="M166" t="s">
        <v>78</v>
      </c>
      <c r="N166" t="s">
        <v>78</v>
      </c>
      <c r="O166">
        <v>0</v>
      </c>
      <c r="P166">
        <v>0</v>
      </c>
      <c r="Q166">
        <v>0</v>
      </c>
      <c r="R166" t="s">
        <v>79</v>
      </c>
      <c r="S166">
        <v>0</v>
      </c>
      <c r="T166" t="s">
        <v>80</v>
      </c>
      <c r="U166" t="s">
        <v>80</v>
      </c>
      <c r="V166" t="s">
        <v>221</v>
      </c>
      <c r="W166" t="s">
        <v>599</v>
      </c>
      <c r="X166" t="s">
        <v>1337</v>
      </c>
      <c r="Y166" t="s">
        <v>1338</v>
      </c>
      <c r="Z166" t="s">
        <v>80</v>
      </c>
      <c r="AA166" t="s">
        <v>504</v>
      </c>
      <c r="AC166" t="s">
        <v>1339</v>
      </c>
      <c r="AD166" t="s">
        <v>87</v>
      </c>
      <c r="AF166" t="s">
        <v>1340</v>
      </c>
      <c r="AG166" t="s">
        <v>1341</v>
      </c>
      <c r="AH166" t="s">
        <v>91</v>
      </c>
      <c r="AI166" t="s">
        <v>216</v>
      </c>
      <c r="AJ166" t="s">
        <v>93</v>
      </c>
      <c r="AK166" t="s">
        <v>1342</v>
      </c>
      <c r="AL166" t="s">
        <v>95</v>
      </c>
      <c r="AM166" t="s">
        <v>96</v>
      </c>
      <c r="AN166" t="s">
        <v>96</v>
      </c>
      <c r="AP166" t="s">
        <v>78</v>
      </c>
      <c r="AQ166" t="s">
        <v>78</v>
      </c>
      <c r="AS166" t="s">
        <v>78</v>
      </c>
      <c r="AT166" t="s">
        <v>100</v>
      </c>
      <c r="AU166" t="s">
        <v>100</v>
      </c>
      <c r="AW166" t="s">
        <v>85</v>
      </c>
      <c r="AX166" t="s">
        <v>101</v>
      </c>
      <c r="AY166" t="s">
        <v>102</v>
      </c>
      <c r="AZ166" t="s">
        <v>145</v>
      </c>
      <c r="BA166" t="s">
        <v>102</v>
      </c>
      <c r="BB166" t="s">
        <v>78</v>
      </c>
      <c r="BC166" t="s">
        <v>78</v>
      </c>
      <c r="BD166" t="s">
        <v>1343</v>
      </c>
      <c r="BE166">
        <v>0</v>
      </c>
      <c r="BF166">
        <v>0</v>
      </c>
      <c r="BG166">
        <v>0</v>
      </c>
      <c r="BH166">
        <v>0</v>
      </c>
      <c r="BJ166" t="s">
        <v>85</v>
      </c>
      <c r="BP166" t="s">
        <v>78</v>
      </c>
      <c r="BQ166" t="s">
        <v>78</v>
      </c>
      <c r="BR166" t="s">
        <v>78</v>
      </c>
    </row>
    <row r="167" customFormat="1" spans="1:70">
      <c r="A167" t="s">
        <v>4037</v>
      </c>
      <c r="B167" t="s">
        <v>4037</v>
      </c>
      <c r="C167" t="s">
        <v>107</v>
      </c>
      <c r="D167" t="s">
        <v>108</v>
      </c>
      <c r="E167">
        <v>1</v>
      </c>
      <c r="F167" t="s">
        <v>3857</v>
      </c>
      <c r="G167" t="s">
        <v>110</v>
      </c>
      <c r="H167">
        <v>289</v>
      </c>
      <c r="I167">
        <v>279</v>
      </c>
      <c r="J167">
        <v>0</v>
      </c>
      <c r="K167">
        <v>10</v>
      </c>
      <c r="L167" t="s">
        <v>1010</v>
      </c>
      <c r="M167" t="s">
        <v>78</v>
      </c>
      <c r="N167" t="s">
        <v>78</v>
      </c>
      <c r="O167">
        <v>0</v>
      </c>
      <c r="P167">
        <v>0</v>
      </c>
      <c r="Q167">
        <v>0</v>
      </c>
      <c r="R167" t="s">
        <v>125</v>
      </c>
      <c r="S167">
        <v>0</v>
      </c>
      <c r="T167" t="s">
        <v>80</v>
      </c>
      <c r="U167" t="s">
        <v>80</v>
      </c>
      <c r="V167" t="s">
        <v>126</v>
      </c>
      <c r="W167" t="s">
        <v>390</v>
      </c>
      <c r="X167" t="s">
        <v>1345</v>
      </c>
      <c r="Y167" t="s">
        <v>1346</v>
      </c>
      <c r="Z167" t="s">
        <v>80</v>
      </c>
      <c r="AA167" t="s">
        <v>85</v>
      </c>
      <c r="AC167" t="s">
        <v>1347</v>
      </c>
      <c r="AD167" t="s">
        <v>202</v>
      </c>
      <c r="AE167" t="s">
        <v>1348</v>
      </c>
      <c r="AF167" t="s">
        <v>1340</v>
      </c>
      <c r="AG167" t="s">
        <v>1349</v>
      </c>
      <c r="AH167" t="s">
        <v>91</v>
      </c>
      <c r="AI167" t="s">
        <v>216</v>
      </c>
      <c r="AJ167" t="s">
        <v>93</v>
      </c>
      <c r="AK167" t="s">
        <v>1350</v>
      </c>
      <c r="AL167" t="s">
        <v>95</v>
      </c>
      <c r="AM167" t="s">
        <v>96</v>
      </c>
      <c r="AN167" t="s">
        <v>96</v>
      </c>
      <c r="AP167" t="s">
        <v>78</v>
      </c>
      <c r="AQ167" t="s">
        <v>99</v>
      </c>
      <c r="AS167" t="s">
        <v>78</v>
      </c>
      <c r="AT167" t="s">
        <v>100</v>
      </c>
      <c r="AU167" t="s">
        <v>100</v>
      </c>
      <c r="AW167" t="s">
        <v>85</v>
      </c>
      <c r="AX167" t="s">
        <v>101</v>
      </c>
      <c r="AY167" t="s">
        <v>102</v>
      </c>
      <c r="AZ167" t="s">
        <v>145</v>
      </c>
      <c r="BA167" t="s">
        <v>104</v>
      </c>
      <c r="BB167" t="s">
        <v>78</v>
      </c>
      <c r="BC167" t="s">
        <v>78</v>
      </c>
      <c r="BD167" t="s">
        <v>1343</v>
      </c>
      <c r="BE167">
        <v>0</v>
      </c>
      <c r="BF167">
        <v>10</v>
      </c>
      <c r="BG167">
        <v>0</v>
      </c>
      <c r="BH167">
        <v>0</v>
      </c>
      <c r="BJ167" t="s">
        <v>85</v>
      </c>
      <c r="BP167" t="s">
        <v>78</v>
      </c>
      <c r="BQ167" t="s">
        <v>78</v>
      </c>
      <c r="BR167" t="s">
        <v>78</v>
      </c>
    </row>
    <row r="168" customFormat="1" spans="1:70">
      <c r="A168" t="s">
        <v>4038</v>
      </c>
      <c r="B168" t="s">
        <v>4038</v>
      </c>
      <c r="C168" t="s">
        <v>107</v>
      </c>
      <c r="D168" t="s">
        <v>108</v>
      </c>
      <c r="E168">
        <v>1</v>
      </c>
      <c r="F168" t="s">
        <v>3857</v>
      </c>
      <c r="G168" t="s">
        <v>110</v>
      </c>
      <c r="H168">
        <v>289</v>
      </c>
      <c r="I168">
        <v>279</v>
      </c>
      <c r="J168">
        <v>0</v>
      </c>
      <c r="K168">
        <v>10</v>
      </c>
      <c r="L168" t="s">
        <v>1010</v>
      </c>
      <c r="M168" t="s">
        <v>78</v>
      </c>
      <c r="N168" t="s">
        <v>78</v>
      </c>
      <c r="O168">
        <v>0</v>
      </c>
      <c r="P168">
        <v>0</v>
      </c>
      <c r="Q168">
        <v>0</v>
      </c>
      <c r="R168" t="s">
        <v>125</v>
      </c>
      <c r="S168">
        <v>0</v>
      </c>
      <c r="T168" t="s">
        <v>80</v>
      </c>
      <c r="U168" t="s">
        <v>80</v>
      </c>
      <c r="V168" t="s">
        <v>126</v>
      </c>
      <c r="W168" t="s">
        <v>518</v>
      </c>
      <c r="X168" t="s">
        <v>979</v>
      </c>
      <c r="Y168" t="s">
        <v>1352</v>
      </c>
      <c r="Z168" t="s">
        <v>80</v>
      </c>
      <c r="AA168" t="s">
        <v>85</v>
      </c>
      <c r="AC168" t="s">
        <v>1353</v>
      </c>
      <c r="AD168" t="s">
        <v>87</v>
      </c>
      <c r="AG168" t="s">
        <v>1354</v>
      </c>
      <c r="AH168" t="s">
        <v>227</v>
      </c>
      <c r="AI168" t="s">
        <v>216</v>
      </c>
      <c r="AJ168" t="s">
        <v>131</v>
      </c>
      <c r="AK168" t="s">
        <v>1355</v>
      </c>
      <c r="AL168" t="s">
        <v>95</v>
      </c>
      <c r="AM168" t="s">
        <v>96</v>
      </c>
      <c r="AN168" t="s">
        <v>96</v>
      </c>
      <c r="AP168" t="s">
        <v>78</v>
      </c>
      <c r="AQ168" t="s">
        <v>99</v>
      </c>
      <c r="AS168" t="s">
        <v>78</v>
      </c>
      <c r="AT168" t="s">
        <v>100</v>
      </c>
      <c r="AU168" t="s">
        <v>100</v>
      </c>
      <c r="AW168" t="s">
        <v>85</v>
      </c>
      <c r="AX168" t="s">
        <v>101</v>
      </c>
      <c r="AY168" t="s">
        <v>102</v>
      </c>
      <c r="AZ168" t="s">
        <v>145</v>
      </c>
      <c r="BA168" t="s">
        <v>525</v>
      </c>
      <c r="BB168" t="s">
        <v>78</v>
      </c>
      <c r="BC168" t="s">
        <v>78</v>
      </c>
      <c r="BE168">
        <v>0</v>
      </c>
      <c r="BF168">
        <v>10</v>
      </c>
      <c r="BG168">
        <v>0</v>
      </c>
      <c r="BH168">
        <v>0</v>
      </c>
      <c r="BJ168" t="s">
        <v>85</v>
      </c>
      <c r="BP168" t="s">
        <v>78</v>
      </c>
      <c r="BQ168" t="s">
        <v>78</v>
      </c>
      <c r="BR168" t="s">
        <v>78</v>
      </c>
    </row>
    <row r="169" customFormat="1" spans="1:70">
      <c r="A169" t="s">
        <v>4039</v>
      </c>
      <c r="B169" t="s">
        <v>4039</v>
      </c>
      <c r="C169" t="s">
        <v>1092</v>
      </c>
      <c r="D169" t="s">
        <v>135</v>
      </c>
      <c r="E169">
        <v>1</v>
      </c>
      <c r="F169" t="s">
        <v>3998</v>
      </c>
      <c r="G169" t="s">
        <v>1357</v>
      </c>
      <c r="H169">
        <v>289</v>
      </c>
      <c r="I169">
        <v>279</v>
      </c>
      <c r="J169">
        <v>0</v>
      </c>
      <c r="K169">
        <v>10</v>
      </c>
      <c r="L169" t="s">
        <v>1010</v>
      </c>
      <c r="M169" t="s">
        <v>78</v>
      </c>
      <c r="N169" t="s">
        <v>78</v>
      </c>
      <c r="O169">
        <v>0</v>
      </c>
      <c r="P169">
        <v>0</v>
      </c>
      <c r="Q169">
        <v>0</v>
      </c>
      <c r="R169" t="s">
        <v>79</v>
      </c>
      <c r="S169">
        <v>0</v>
      </c>
      <c r="T169" t="s">
        <v>80</v>
      </c>
      <c r="U169" t="s">
        <v>80</v>
      </c>
      <c r="V169" t="s">
        <v>302</v>
      </c>
      <c r="W169" t="s">
        <v>1358</v>
      </c>
      <c r="X169" t="s">
        <v>1359</v>
      </c>
      <c r="Y169" t="s">
        <v>1360</v>
      </c>
      <c r="Z169" t="s">
        <v>80</v>
      </c>
      <c r="AA169" t="s">
        <v>85</v>
      </c>
      <c r="AC169" t="s">
        <v>1361</v>
      </c>
      <c r="AD169" t="s">
        <v>202</v>
      </c>
      <c r="AE169" t="s">
        <v>1362</v>
      </c>
      <c r="AG169" t="s">
        <v>1363</v>
      </c>
      <c r="AH169" t="s">
        <v>91</v>
      </c>
      <c r="AI169" t="s">
        <v>216</v>
      </c>
      <c r="AJ169" t="s">
        <v>131</v>
      </c>
      <c r="AK169" t="s">
        <v>1364</v>
      </c>
      <c r="AL169" t="s">
        <v>95</v>
      </c>
      <c r="AM169" t="s">
        <v>96</v>
      </c>
      <c r="AN169" t="s">
        <v>96</v>
      </c>
      <c r="AP169" t="s">
        <v>78</v>
      </c>
      <c r="AQ169" t="s">
        <v>99</v>
      </c>
      <c r="AS169" t="s">
        <v>78</v>
      </c>
      <c r="AT169" t="s">
        <v>100</v>
      </c>
      <c r="AU169" t="s">
        <v>100</v>
      </c>
      <c r="AW169" t="s">
        <v>85</v>
      </c>
      <c r="AX169" t="s">
        <v>101</v>
      </c>
      <c r="AY169" t="s">
        <v>102</v>
      </c>
      <c r="AZ169" t="s">
        <v>145</v>
      </c>
      <c r="BA169" t="s">
        <v>102</v>
      </c>
      <c r="BB169" t="s">
        <v>78</v>
      </c>
      <c r="BC169" t="s">
        <v>78</v>
      </c>
      <c r="BD169" t="s">
        <v>1365</v>
      </c>
      <c r="BE169">
        <v>0</v>
      </c>
      <c r="BF169">
        <v>10</v>
      </c>
      <c r="BG169">
        <v>0</v>
      </c>
      <c r="BH169">
        <v>0</v>
      </c>
      <c r="BJ169" t="s">
        <v>85</v>
      </c>
      <c r="BP169" t="s">
        <v>78</v>
      </c>
      <c r="BQ169" t="s">
        <v>78</v>
      </c>
      <c r="BR169" t="s">
        <v>78</v>
      </c>
    </row>
    <row r="170" customFormat="1" spans="1:70">
      <c r="A170" t="s">
        <v>4040</v>
      </c>
      <c r="B170" t="s">
        <v>4040</v>
      </c>
      <c r="C170" t="s">
        <v>107</v>
      </c>
      <c r="D170" t="s">
        <v>108</v>
      </c>
      <c r="E170">
        <v>1</v>
      </c>
      <c r="F170" t="s">
        <v>3857</v>
      </c>
      <c r="G170" t="s">
        <v>110</v>
      </c>
      <c r="H170">
        <v>289</v>
      </c>
      <c r="I170">
        <v>261.58</v>
      </c>
      <c r="J170">
        <v>0</v>
      </c>
      <c r="K170">
        <v>27.42</v>
      </c>
      <c r="L170" t="s">
        <v>1367</v>
      </c>
      <c r="M170" t="s">
        <v>78</v>
      </c>
      <c r="N170" t="s">
        <v>78</v>
      </c>
      <c r="O170">
        <v>0</v>
      </c>
      <c r="P170">
        <v>0</v>
      </c>
      <c r="Q170">
        <v>0</v>
      </c>
      <c r="R170" t="s">
        <v>79</v>
      </c>
      <c r="S170">
        <v>0</v>
      </c>
      <c r="T170" t="s">
        <v>80</v>
      </c>
      <c r="U170" t="s">
        <v>80</v>
      </c>
      <c r="V170" t="s">
        <v>221</v>
      </c>
      <c r="W170" t="s">
        <v>1368</v>
      </c>
      <c r="X170" t="s">
        <v>1369</v>
      </c>
      <c r="Y170" t="s">
        <v>1370</v>
      </c>
      <c r="Z170" t="s">
        <v>80</v>
      </c>
      <c r="AA170" t="s">
        <v>85</v>
      </c>
      <c r="AC170" t="s">
        <v>1371</v>
      </c>
      <c r="AD170" t="s">
        <v>202</v>
      </c>
      <c r="AE170" t="s">
        <v>1372</v>
      </c>
      <c r="AG170" t="s">
        <v>1373</v>
      </c>
      <c r="AH170" t="s">
        <v>91</v>
      </c>
      <c r="AI170" t="s">
        <v>216</v>
      </c>
      <c r="AJ170" t="s">
        <v>131</v>
      </c>
      <c r="AK170" t="s">
        <v>1374</v>
      </c>
      <c r="AL170" t="s">
        <v>95</v>
      </c>
      <c r="AM170" t="s">
        <v>96</v>
      </c>
      <c r="AN170" t="s">
        <v>96</v>
      </c>
      <c r="AP170" t="s">
        <v>78</v>
      </c>
      <c r="AQ170" t="s">
        <v>99</v>
      </c>
      <c r="AS170" t="s">
        <v>78</v>
      </c>
      <c r="AT170" t="s">
        <v>100</v>
      </c>
      <c r="AU170" t="s">
        <v>100</v>
      </c>
      <c r="AW170" t="s">
        <v>85</v>
      </c>
      <c r="AX170" t="s">
        <v>101</v>
      </c>
      <c r="AY170" t="s">
        <v>102</v>
      </c>
      <c r="AZ170" t="s">
        <v>145</v>
      </c>
      <c r="BA170" t="s">
        <v>683</v>
      </c>
      <c r="BB170" t="s">
        <v>78</v>
      </c>
      <c r="BC170" t="s">
        <v>78</v>
      </c>
      <c r="BD170" t="s">
        <v>1375</v>
      </c>
      <c r="BE170">
        <v>0</v>
      </c>
      <c r="BF170">
        <v>27.42</v>
      </c>
      <c r="BG170">
        <v>0</v>
      </c>
      <c r="BH170">
        <v>0</v>
      </c>
      <c r="BJ170" t="s">
        <v>85</v>
      </c>
      <c r="BP170" t="s">
        <v>78</v>
      </c>
      <c r="BQ170" t="s">
        <v>78</v>
      </c>
      <c r="BR170" t="s">
        <v>78</v>
      </c>
    </row>
    <row r="171" customFormat="1" spans="1:70">
      <c r="A171" t="s">
        <v>4041</v>
      </c>
      <c r="B171" t="s">
        <v>4041</v>
      </c>
      <c r="C171" t="s">
        <v>1050</v>
      </c>
      <c r="D171" t="s">
        <v>1377</v>
      </c>
      <c r="E171">
        <v>1</v>
      </c>
      <c r="F171" t="s">
        <v>3991</v>
      </c>
      <c r="G171" t="s">
        <v>1378</v>
      </c>
      <c r="H171">
        <v>129</v>
      </c>
      <c r="I171">
        <v>119</v>
      </c>
      <c r="J171">
        <v>0</v>
      </c>
      <c r="K171">
        <v>10</v>
      </c>
      <c r="L171" t="s">
        <v>1010</v>
      </c>
      <c r="M171" t="s">
        <v>78</v>
      </c>
      <c r="N171" t="s">
        <v>78</v>
      </c>
      <c r="O171">
        <v>0</v>
      </c>
      <c r="P171">
        <v>0</v>
      </c>
      <c r="Q171">
        <v>0</v>
      </c>
      <c r="R171" t="s">
        <v>876</v>
      </c>
      <c r="S171">
        <v>0</v>
      </c>
      <c r="T171" t="s">
        <v>80</v>
      </c>
      <c r="U171" t="s">
        <v>80</v>
      </c>
      <c r="V171" t="s">
        <v>81</v>
      </c>
      <c r="W171" t="s">
        <v>1321</v>
      </c>
      <c r="X171" t="s">
        <v>1379</v>
      </c>
      <c r="Y171" t="s">
        <v>1380</v>
      </c>
      <c r="Z171" t="s">
        <v>80</v>
      </c>
      <c r="AA171" t="s">
        <v>85</v>
      </c>
      <c r="AC171" t="s">
        <v>1381</v>
      </c>
      <c r="AD171" t="s">
        <v>87</v>
      </c>
      <c r="AH171" t="s">
        <v>91</v>
      </c>
      <c r="AI171" t="s">
        <v>216</v>
      </c>
      <c r="AJ171" t="s">
        <v>131</v>
      </c>
      <c r="AK171" t="s">
        <v>1382</v>
      </c>
      <c r="AL171" t="s">
        <v>95</v>
      </c>
      <c r="AM171" t="s">
        <v>96</v>
      </c>
      <c r="AN171" t="s">
        <v>96</v>
      </c>
      <c r="AP171" t="s">
        <v>78</v>
      </c>
      <c r="AQ171" t="s">
        <v>78</v>
      </c>
      <c r="AR171" t="s">
        <v>195</v>
      </c>
      <c r="AS171" t="s">
        <v>78</v>
      </c>
      <c r="AT171" t="s">
        <v>100</v>
      </c>
      <c r="AU171" t="s">
        <v>100</v>
      </c>
      <c r="AW171" t="s">
        <v>85</v>
      </c>
      <c r="AX171" t="s">
        <v>101</v>
      </c>
      <c r="AY171" t="s">
        <v>102</v>
      </c>
      <c r="AZ171" t="s">
        <v>145</v>
      </c>
      <c r="BA171" t="s">
        <v>218</v>
      </c>
      <c r="BB171" t="s">
        <v>78</v>
      </c>
      <c r="BC171" t="s">
        <v>78</v>
      </c>
      <c r="BE171">
        <v>0</v>
      </c>
      <c r="BF171">
        <v>10</v>
      </c>
      <c r="BG171">
        <v>0</v>
      </c>
      <c r="BH171">
        <v>0</v>
      </c>
      <c r="BJ171" t="s">
        <v>85</v>
      </c>
      <c r="BP171" t="s">
        <v>78</v>
      </c>
      <c r="BQ171" t="s">
        <v>78</v>
      </c>
      <c r="BR171" t="s">
        <v>78</v>
      </c>
    </row>
    <row r="172" customFormat="1" spans="1:70">
      <c r="A172" t="s">
        <v>4042</v>
      </c>
      <c r="B172" t="s">
        <v>4042</v>
      </c>
      <c r="C172" t="s">
        <v>107</v>
      </c>
      <c r="D172" t="s">
        <v>108</v>
      </c>
      <c r="E172">
        <v>1</v>
      </c>
      <c r="F172" t="s">
        <v>3857</v>
      </c>
      <c r="G172" t="s">
        <v>110</v>
      </c>
      <c r="H172">
        <v>289</v>
      </c>
      <c r="I172">
        <v>260.47</v>
      </c>
      <c r="J172">
        <v>0</v>
      </c>
      <c r="K172">
        <v>28.53</v>
      </c>
      <c r="L172" t="s">
        <v>1384</v>
      </c>
      <c r="M172" t="s">
        <v>78</v>
      </c>
      <c r="N172" t="s">
        <v>78</v>
      </c>
      <c r="O172">
        <v>0</v>
      </c>
      <c r="P172">
        <v>0</v>
      </c>
      <c r="Q172">
        <v>0</v>
      </c>
      <c r="R172" t="s">
        <v>111</v>
      </c>
      <c r="S172">
        <v>0</v>
      </c>
      <c r="T172" t="s">
        <v>80</v>
      </c>
      <c r="U172" t="s">
        <v>80</v>
      </c>
      <c r="V172" t="s">
        <v>574</v>
      </c>
      <c r="W172" t="s">
        <v>574</v>
      </c>
      <c r="X172" t="s">
        <v>575</v>
      </c>
      <c r="Y172" t="s">
        <v>1385</v>
      </c>
      <c r="Z172" t="s">
        <v>80</v>
      </c>
      <c r="AA172" t="s">
        <v>85</v>
      </c>
      <c r="AC172" t="s">
        <v>1386</v>
      </c>
      <c r="AD172" t="s">
        <v>87</v>
      </c>
      <c r="AF172" t="s">
        <v>1387</v>
      </c>
      <c r="AG172" t="s">
        <v>1388</v>
      </c>
      <c r="AH172" t="s">
        <v>91</v>
      </c>
      <c r="AI172" t="s">
        <v>216</v>
      </c>
      <c r="AJ172" t="s">
        <v>93</v>
      </c>
      <c r="AK172" t="s">
        <v>1389</v>
      </c>
      <c r="AL172" t="s">
        <v>95</v>
      </c>
      <c r="AM172" t="s">
        <v>96</v>
      </c>
      <c r="AN172" t="s">
        <v>96</v>
      </c>
      <c r="AP172" t="s">
        <v>78</v>
      </c>
      <c r="AQ172" t="s">
        <v>78</v>
      </c>
      <c r="AS172" t="s">
        <v>78</v>
      </c>
      <c r="AT172" t="s">
        <v>100</v>
      </c>
      <c r="AU172" t="s">
        <v>100</v>
      </c>
      <c r="AW172" t="s">
        <v>85</v>
      </c>
      <c r="AX172" t="s">
        <v>101</v>
      </c>
      <c r="AY172" t="s">
        <v>102</v>
      </c>
      <c r="AZ172" t="s">
        <v>145</v>
      </c>
      <c r="BA172" t="s">
        <v>102</v>
      </c>
      <c r="BB172" t="s">
        <v>78</v>
      </c>
      <c r="BC172" t="s">
        <v>78</v>
      </c>
      <c r="BD172" t="s">
        <v>1375</v>
      </c>
      <c r="BE172">
        <v>0</v>
      </c>
      <c r="BF172">
        <v>28.53</v>
      </c>
      <c r="BG172">
        <v>0</v>
      </c>
      <c r="BH172">
        <v>0</v>
      </c>
      <c r="BJ172" t="s">
        <v>85</v>
      </c>
      <c r="BP172" t="s">
        <v>78</v>
      </c>
      <c r="BQ172" t="s">
        <v>78</v>
      </c>
      <c r="BR172" t="s">
        <v>78</v>
      </c>
    </row>
    <row r="173" customFormat="1" spans="1:70">
      <c r="A173" t="s">
        <v>4043</v>
      </c>
      <c r="B173" t="s">
        <v>4043</v>
      </c>
      <c r="C173" t="s">
        <v>1092</v>
      </c>
      <c r="D173" t="s">
        <v>1391</v>
      </c>
      <c r="E173">
        <v>1</v>
      </c>
      <c r="F173" t="s">
        <v>3998</v>
      </c>
      <c r="G173" t="s">
        <v>1392</v>
      </c>
      <c r="H173">
        <v>289</v>
      </c>
      <c r="I173">
        <v>260.09</v>
      </c>
      <c r="J173">
        <v>0</v>
      </c>
      <c r="K173">
        <v>29.12</v>
      </c>
      <c r="L173" t="s">
        <v>1393</v>
      </c>
      <c r="M173" t="s">
        <v>78</v>
      </c>
      <c r="N173" t="s">
        <v>78</v>
      </c>
      <c r="O173">
        <v>0</v>
      </c>
      <c r="P173">
        <v>0.21</v>
      </c>
      <c r="Q173">
        <v>0</v>
      </c>
      <c r="R173" t="s">
        <v>125</v>
      </c>
      <c r="S173">
        <v>0</v>
      </c>
      <c r="T173" t="s">
        <v>80</v>
      </c>
      <c r="U173" t="s">
        <v>80</v>
      </c>
      <c r="V173" t="s">
        <v>302</v>
      </c>
      <c r="W173" t="s">
        <v>1394</v>
      </c>
      <c r="X173" t="s">
        <v>1395</v>
      </c>
      <c r="Y173" t="s">
        <v>1396</v>
      </c>
      <c r="Z173" t="s">
        <v>80</v>
      </c>
      <c r="AA173" t="s">
        <v>85</v>
      </c>
      <c r="AC173" t="s">
        <v>1397</v>
      </c>
      <c r="AD173" t="s">
        <v>202</v>
      </c>
      <c r="AE173" t="s">
        <v>1398</v>
      </c>
      <c r="AG173" t="s">
        <v>1399</v>
      </c>
      <c r="AH173" t="s">
        <v>91</v>
      </c>
      <c r="AI173" t="s">
        <v>216</v>
      </c>
      <c r="AJ173" t="s">
        <v>131</v>
      </c>
      <c r="AK173" t="s">
        <v>1400</v>
      </c>
      <c r="AL173" t="s">
        <v>95</v>
      </c>
      <c r="AM173" t="s">
        <v>96</v>
      </c>
      <c r="AN173" t="s">
        <v>96</v>
      </c>
      <c r="AP173" t="s">
        <v>78</v>
      </c>
      <c r="AQ173" t="s">
        <v>99</v>
      </c>
      <c r="AS173" t="s">
        <v>78</v>
      </c>
      <c r="AT173" t="s">
        <v>100</v>
      </c>
      <c r="AU173" t="s">
        <v>100</v>
      </c>
      <c r="AW173" t="s">
        <v>85</v>
      </c>
      <c r="AX173" t="s">
        <v>101</v>
      </c>
      <c r="AY173" t="s">
        <v>102</v>
      </c>
      <c r="AZ173" t="s">
        <v>145</v>
      </c>
      <c r="BA173" t="s">
        <v>525</v>
      </c>
      <c r="BB173" t="s">
        <v>78</v>
      </c>
      <c r="BC173" t="s">
        <v>78</v>
      </c>
      <c r="BD173" t="s">
        <v>1401</v>
      </c>
      <c r="BE173">
        <v>0</v>
      </c>
      <c r="BF173">
        <v>28.91</v>
      </c>
      <c r="BG173">
        <v>0</v>
      </c>
      <c r="BH173">
        <v>0</v>
      </c>
      <c r="BJ173" t="s">
        <v>85</v>
      </c>
      <c r="BP173" t="s">
        <v>78</v>
      </c>
      <c r="BQ173" t="s">
        <v>78</v>
      </c>
      <c r="BR173" t="s">
        <v>78</v>
      </c>
    </row>
    <row r="174" customFormat="1" spans="1:70">
      <c r="A174" t="s">
        <v>4043</v>
      </c>
      <c r="B174" t="s">
        <v>4044</v>
      </c>
      <c r="C174" t="s">
        <v>1126</v>
      </c>
      <c r="D174" t="s">
        <v>187</v>
      </c>
      <c r="E174">
        <v>1</v>
      </c>
      <c r="F174" t="s">
        <v>4004</v>
      </c>
      <c r="G174" t="s">
        <v>1205</v>
      </c>
      <c r="H174">
        <v>249</v>
      </c>
      <c r="I174">
        <v>224.09</v>
      </c>
      <c r="J174">
        <v>0</v>
      </c>
      <c r="K174">
        <v>25.09</v>
      </c>
      <c r="L174" t="s">
        <v>1206</v>
      </c>
      <c r="M174" t="s">
        <v>78</v>
      </c>
      <c r="N174" t="s">
        <v>78</v>
      </c>
      <c r="O174">
        <v>0</v>
      </c>
      <c r="P174">
        <v>0.18</v>
      </c>
      <c r="Q174">
        <v>0</v>
      </c>
      <c r="R174" t="s">
        <v>125</v>
      </c>
      <c r="S174">
        <v>0</v>
      </c>
      <c r="T174" t="s">
        <v>80</v>
      </c>
      <c r="U174" t="s">
        <v>80</v>
      </c>
      <c r="V174" t="s">
        <v>302</v>
      </c>
      <c r="W174" t="s">
        <v>1394</v>
      </c>
      <c r="X174" t="s">
        <v>1395</v>
      </c>
      <c r="Y174" t="s">
        <v>1396</v>
      </c>
      <c r="Z174" t="s">
        <v>80</v>
      </c>
      <c r="AA174" t="s">
        <v>85</v>
      </c>
      <c r="AC174" t="s">
        <v>1397</v>
      </c>
      <c r="AD174" t="s">
        <v>202</v>
      </c>
      <c r="AE174" t="s">
        <v>1398</v>
      </c>
      <c r="AF174" t="s">
        <v>1403</v>
      </c>
      <c r="AG174" t="s">
        <v>1399</v>
      </c>
      <c r="AH174" t="s">
        <v>91</v>
      </c>
      <c r="AI174" t="s">
        <v>216</v>
      </c>
      <c r="AJ174" t="s">
        <v>93</v>
      </c>
      <c r="AK174" t="s">
        <v>1400</v>
      </c>
      <c r="AL174" t="s">
        <v>95</v>
      </c>
      <c r="AM174" t="s">
        <v>96</v>
      </c>
      <c r="AN174" t="s">
        <v>96</v>
      </c>
      <c r="AP174" t="s">
        <v>78</v>
      </c>
      <c r="AQ174" t="s">
        <v>99</v>
      </c>
      <c r="AS174" t="s">
        <v>78</v>
      </c>
      <c r="AT174" t="s">
        <v>100</v>
      </c>
      <c r="AU174" t="s">
        <v>100</v>
      </c>
      <c r="AW174" t="s">
        <v>85</v>
      </c>
      <c r="AX174" t="s">
        <v>101</v>
      </c>
      <c r="AY174" t="s">
        <v>102</v>
      </c>
      <c r="AZ174" t="s">
        <v>145</v>
      </c>
      <c r="BA174" t="s">
        <v>218</v>
      </c>
      <c r="BB174" t="s">
        <v>78</v>
      </c>
      <c r="BC174" t="s">
        <v>78</v>
      </c>
      <c r="BD174" t="s">
        <v>1404</v>
      </c>
      <c r="BE174">
        <v>0</v>
      </c>
      <c r="BF174">
        <v>24.91</v>
      </c>
      <c r="BG174">
        <v>0</v>
      </c>
      <c r="BH174">
        <v>0</v>
      </c>
      <c r="BJ174" t="s">
        <v>85</v>
      </c>
      <c r="BP174" t="s">
        <v>78</v>
      </c>
      <c r="BQ174" t="s">
        <v>78</v>
      </c>
      <c r="BR174" t="s">
        <v>78</v>
      </c>
    </row>
    <row r="175" customFormat="1" spans="1:70">
      <c r="A175" t="s">
        <v>4043</v>
      </c>
      <c r="B175" t="s">
        <v>4045</v>
      </c>
      <c r="C175" t="s">
        <v>1092</v>
      </c>
      <c r="D175" t="s">
        <v>135</v>
      </c>
      <c r="E175">
        <v>1</v>
      </c>
      <c r="F175" t="s">
        <v>3998</v>
      </c>
      <c r="G175" t="s">
        <v>1357</v>
      </c>
      <c r="H175">
        <v>289</v>
      </c>
      <c r="I175">
        <v>260.09</v>
      </c>
      <c r="J175">
        <v>0</v>
      </c>
      <c r="K175">
        <v>29.12</v>
      </c>
      <c r="L175" t="s">
        <v>1393</v>
      </c>
      <c r="M175" t="s">
        <v>78</v>
      </c>
      <c r="N175" t="s">
        <v>78</v>
      </c>
      <c r="O175">
        <v>0</v>
      </c>
      <c r="P175">
        <v>0.21</v>
      </c>
      <c r="Q175">
        <v>0</v>
      </c>
      <c r="R175" t="s">
        <v>125</v>
      </c>
      <c r="S175">
        <v>0</v>
      </c>
      <c r="T175" t="s">
        <v>80</v>
      </c>
      <c r="U175" t="s">
        <v>80</v>
      </c>
      <c r="V175" t="s">
        <v>302</v>
      </c>
      <c r="W175" t="s">
        <v>1394</v>
      </c>
      <c r="X175" t="s">
        <v>1395</v>
      </c>
      <c r="Y175" t="s">
        <v>1396</v>
      </c>
      <c r="Z175" t="s">
        <v>80</v>
      </c>
      <c r="AA175" t="s">
        <v>85</v>
      </c>
      <c r="AC175" t="s">
        <v>1397</v>
      </c>
      <c r="AD175" t="s">
        <v>202</v>
      </c>
      <c r="AE175" t="s">
        <v>1398</v>
      </c>
      <c r="AF175" t="s">
        <v>1406</v>
      </c>
      <c r="AG175" t="s">
        <v>1399</v>
      </c>
      <c r="AH175" t="s">
        <v>91</v>
      </c>
      <c r="AI175" t="s">
        <v>216</v>
      </c>
      <c r="AJ175" t="s">
        <v>93</v>
      </c>
      <c r="AK175" t="s">
        <v>1400</v>
      </c>
      <c r="AL175" t="s">
        <v>95</v>
      </c>
      <c r="AM175" t="s">
        <v>96</v>
      </c>
      <c r="AN175" t="s">
        <v>96</v>
      </c>
      <c r="AP175" t="s">
        <v>78</v>
      </c>
      <c r="AQ175" t="s">
        <v>78</v>
      </c>
      <c r="AS175" t="s">
        <v>78</v>
      </c>
      <c r="AT175" t="s">
        <v>100</v>
      </c>
      <c r="AU175" t="s">
        <v>100</v>
      </c>
      <c r="AW175" t="s">
        <v>85</v>
      </c>
      <c r="AX175" t="s">
        <v>101</v>
      </c>
      <c r="AY175" t="s">
        <v>102</v>
      </c>
      <c r="AZ175" t="s">
        <v>145</v>
      </c>
      <c r="BA175" t="s">
        <v>218</v>
      </c>
      <c r="BB175" t="s">
        <v>78</v>
      </c>
      <c r="BC175" t="s">
        <v>78</v>
      </c>
      <c r="BD175" t="s">
        <v>1407</v>
      </c>
      <c r="BE175">
        <v>0</v>
      </c>
      <c r="BF175">
        <v>28.91</v>
      </c>
      <c r="BG175">
        <v>0</v>
      </c>
      <c r="BH175">
        <v>0</v>
      </c>
      <c r="BJ175" t="s">
        <v>85</v>
      </c>
      <c r="BP175" t="s">
        <v>78</v>
      </c>
      <c r="BQ175" t="s">
        <v>78</v>
      </c>
      <c r="BR175" t="s">
        <v>78</v>
      </c>
    </row>
    <row r="176" customFormat="1" spans="1:70">
      <c r="A176" t="s">
        <v>4046</v>
      </c>
      <c r="B176" t="s">
        <v>4046</v>
      </c>
      <c r="C176" t="s">
        <v>1126</v>
      </c>
      <c r="D176" t="s">
        <v>187</v>
      </c>
      <c r="E176">
        <v>1</v>
      </c>
      <c r="F176" t="s">
        <v>4004</v>
      </c>
      <c r="G176" t="s">
        <v>1205</v>
      </c>
      <c r="H176">
        <v>249</v>
      </c>
      <c r="I176">
        <v>239</v>
      </c>
      <c r="J176">
        <v>0</v>
      </c>
      <c r="K176">
        <v>10.1</v>
      </c>
      <c r="L176" t="s">
        <v>1010</v>
      </c>
      <c r="M176" t="s">
        <v>78</v>
      </c>
      <c r="N176" t="s">
        <v>78</v>
      </c>
      <c r="O176">
        <v>0</v>
      </c>
      <c r="P176">
        <v>0.1</v>
      </c>
      <c r="Q176">
        <v>0</v>
      </c>
      <c r="R176" t="s">
        <v>125</v>
      </c>
      <c r="S176">
        <v>0</v>
      </c>
      <c r="T176" t="s">
        <v>80</v>
      </c>
      <c r="U176" t="s">
        <v>80</v>
      </c>
      <c r="V176" t="s">
        <v>302</v>
      </c>
      <c r="W176" t="s">
        <v>1394</v>
      </c>
      <c r="X176" t="s">
        <v>1395</v>
      </c>
      <c r="Y176" t="s">
        <v>1396</v>
      </c>
      <c r="Z176" t="s">
        <v>80</v>
      </c>
      <c r="AA176" t="s">
        <v>85</v>
      </c>
      <c r="AC176" t="s">
        <v>1409</v>
      </c>
      <c r="AD176" t="s">
        <v>87</v>
      </c>
      <c r="AG176" t="s">
        <v>1410</v>
      </c>
      <c r="AH176" t="s">
        <v>91</v>
      </c>
      <c r="AI176" t="s">
        <v>216</v>
      </c>
      <c r="AJ176" t="s">
        <v>131</v>
      </c>
      <c r="AK176" t="s">
        <v>1411</v>
      </c>
      <c r="AL176" t="s">
        <v>95</v>
      </c>
      <c r="AM176" t="s">
        <v>96</v>
      </c>
      <c r="AN176" t="s">
        <v>96</v>
      </c>
      <c r="AP176" t="s">
        <v>78</v>
      </c>
      <c r="AQ176" t="s">
        <v>99</v>
      </c>
      <c r="AS176" t="s">
        <v>78</v>
      </c>
      <c r="AT176" t="s">
        <v>100</v>
      </c>
      <c r="AU176" t="s">
        <v>100</v>
      </c>
      <c r="AW176" t="s">
        <v>85</v>
      </c>
      <c r="AX176" t="s">
        <v>101</v>
      </c>
      <c r="AY176" t="s">
        <v>102</v>
      </c>
      <c r="AZ176" t="s">
        <v>145</v>
      </c>
      <c r="BA176" t="s">
        <v>218</v>
      </c>
      <c r="BB176" t="s">
        <v>78</v>
      </c>
      <c r="BC176" t="s">
        <v>78</v>
      </c>
      <c r="BE176">
        <v>0</v>
      </c>
      <c r="BF176">
        <v>10</v>
      </c>
      <c r="BG176">
        <v>0</v>
      </c>
      <c r="BH176">
        <v>0</v>
      </c>
      <c r="BJ176" t="s">
        <v>85</v>
      </c>
      <c r="BP176" t="s">
        <v>78</v>
      </c>
      <c r="BQ176" t="s">
        <v>78</v>
      </c>
      <c r="BR176" t="s">
        <v>78</v>
      </c>
    </row>
    <row r="177" customFormat="1" spans="1:70">
      <c r="A177" t="s">
        <v>4047</v>
      </c>
      <c r="B177" t="s">
        <v>4047</v>
      </c>
      <c r="C177" t="s">
        <v>107</v>
      </c>
      <c r="D177" t="s">
        <v>108</v>
      </c>
      <c r="E177">
        <v>1</v>
      </c>
      <c r="F177" t="s">
        <v>3857</v>
      </c>
      <c r="G177" t="s">
        <v>110</v>
      </c>
      <c r="H177">
        <v>289</v>
      </c>
      <c r="I177">
        <v>257</v>
      </c>
      <c r="J177">
        <v>0</v>
      </c>
      <c r="K177">
        <v>32</v>
      </c>
      <c r="L177" t="s">
        <v>1413</v>
      </c>
      <c r="M177" t="s">
        <v>78</v>
      </c>
      <c r="N177" t="s">
        <v>78</v>
      </c>
      <c r="O177">
        <v>0</v>
      </c>
      <c r="P177">
        <v>0</v>
      </c>
      <c r="Q177">
        <v>0</v>
      </c>
      <c r="R177" t="s">
        <v>125</v>
      </c>
      <c r="S177">
        <v>0</v>
      </c>
      <c r="T177" t="s">
        <v>80</v>
      </c>
      <c r="U177" t="s">
        <v>80</v>
      </c>
      <c r="V177" t="s">
        <v>325</v>
      </c>
      <c r="W177" t="s">
        <v>788</v>
      </c>
      <c r="X177" t="s">
        <v>789</v>
      </c>
      <c r="Y177" t="s">
        <v>790</v>
      </c>
      <c r="Z177" t="s">
        <v>80</v>
      </c>
      <c r="AA177" t="s">
        <v>85</v>
      </c>
      <c r="AC177" t="s">
        <v>1414</v>
      </c>
      <c r="AD177" t="s">
        <v>87</v>
      </c>
      <c r="AG177" t="s">
        <v>1415</v>
      </c>
      <c r="AH177" t="s">
        <v>91</v>
      </c>
      <c r="AI177" t="s">
        <v>92</v>
      </c>
      <c r="AJ177" t="s">
        <v>131</v>
      </c>
      <c r="AK177" t="s">
        <v>1416</v>
      </c>
      <c r="AL177" t="s">
        <v>95</v>
      </c>
      <c r="AM177" t="s">
        <v>96</v>
      </c>
      <c r="AN177" t="s">
        <v>97</v>
      </c>
      <c r="AO177" t="s">
        <v>98</v>
      </c>
      <c r="AP177" t="s">
        <v>78</v>
      </c>
      <c r="AQ177" t="s">
        <v>99</v>
      </c>
      <c r="AS177" t="s">
        <v>78</v>
      </c>
      <c r="AT177" t="s">
        <v>100</v>
      </c>
      <c r="AU177" t="s">
        <v>100</v>
      </c>
      <c r="AW177" t="s">
        <v>85</v>
      </c>
      <c r="AX177" t="s">
        <v>101</v>
      </c>
      <c r="AY177" t="s">
        <v>102</v>
      </c>
      <c r="AZ177" t="s">
        <v>103</v>
      </c>
      <c r="BA177" t="s">
        <v>104</v>
      </c>
      <c r="BB177" t="s">
        <v>78</v>
      </c>
      <c r="BC177" t="s">
        <v>78</v>
      </c>
      <c r="BE177">
        <v>0</v>
      </c>
      <c r="BF177">
        <v>32</v>
      </c>
      <c r="BG177">
        <v>0</v>
      </c>
      <c r="BH177">
        <v>0</v>
      </c>
      <c r="BJ177" t="s">
        <v>85</v>
      </c>
      <c r="BP177" t="s">
        <v>78</v>
      </c>
      <c r="BQ177" t="s">
        <v>78</v>
      </c>
      <c r="BR177" t="s">
        <v>78</v>
      </c>
    </row>
    <row r="178" customFormat="1" spans="1:70">
      <c r="A178" t="s">
        <v>4048</v>
      </c>
      <c r="B178" t="s">
        <v>4048</v>
      </c>
      <c r="C178" t="s">
        <v>107</v>
      </c>
      <c r="D178" t="s">
        <v>108</v>
      </c>
      <c r="E178">
        <v>1</v>
      </c>
      <c r="F178" t="s">
        <v>3857</v>
      </c>
      <c r="G178" t="s">
        <v>110</v>
      </c>
      <c r="H178">
        <v>289</v>
      </c>
      <c r="I178">
        <v>270</v>
      </c>
      <c r="J178">
        <v>0</v>
      </c>
      <c r="K178">
        <v>19</v>
      </c>
      <c r="L178" t="s">
        <v>1418</v>
      </c>
      <c r="M178" t="s">
        <v>78</v>
      </c>
      <c r="N178" t="s">
        <v>78</v>
      </c>
      <c r="O178">
        <v>0</v>
      </c>
      <c r="P178">
        <v>0</v>
      </c>
      <c r="Q178">
        <v>0</v>
      </c>
      <c r="R178" t="s">
        <v>125</v>
      </c>
      <c r="S178">
        <v>0</v>
      </c>
      <c r="T178" t="s">
        <v>80</v>
      </c>
      <c r="U178" t="s">
        <v>80</v>
      </c>
      <c r="V178" t="s">
        <v>325</v>
      </c>
      <c r="W178" t="s">
        <v>788</v>
      </c>
      <c r="X178" t="s">
        <v>789</v>
      </c>
      <c r="Y178" t="s">
        <v>790</v>
      </c>
      <c r="Z178" t="s">
        <v>80</v>
      </c>
      <c r="AA178" t="s">
        <v>85</v>
      </c>
      <c r="AC178" t="s">
        <v>1419</v>
      </c>
      <c r="AD178" t="s">
        <v>87</v>
      </c>
      <c r="AG178" t="s">
        <v>1420</v>
      </c>
      <c r="AH178" t="s">
        <v>91</v>
      </c>
      <c r="AI178" t="s">
        <v>92</v>
      </c>
      <c r="AJ178" t="s">
        <v>131</v>
      </c>
      <c r="AK178" t="s">
        <v>1421</v>
      </c>
      <c r="AL178" t="s">
        <v>95</v>
      </c>
      <c r="AM178" t="s">
        <v>96</v>
      </c>
      <c r="AN178" t="s">
        <v>97</v>
      </c>
      <c r="AO178" t="s">
        <v>98</v>
      </c>
      <c r="AP178" t="s">
        <v>78</v>
      </c>
      <c r="AQ178" t="s">
        <v>99</v>
      </c>
      <c r="AS178" t="s">
        <v>78</v>
      </c>
      <c r="AT178" t="s">
        <v>100</v>
      </c>
      <c r="AU178" t="s">
        <v>100</v>
      </c>
      <c r="AW178" t="s">
        <v>85</v>
      </c>
      <c r="AX178" t="s">
        <v>101</v>
      </c>
      <c r="AY178" t="s">
        <v>102</v>
      </c>
      <c r="AZ178" t="s">
        <v>103</v>
      </c>
      <c r="BA178" t="s">
        <v>218</v>
      </c>
      <c r="BB178" t="s">
        <v>78</v>
      </c>
      <c r="BC178" t="s">
        <v>78</v>
      </c>
      <c r="BE178">
        <v>0</v>
      </c>
      <c r="BF178">
        <v>19</v>
      </c>
      <c r="BG178">
        <v>0</v>
      </c>
      <c r="BH178">
        <v>0</v>
      </c>
      <c r="BJ178" t="s">
        <v>85</v>
      </c>
      <c r="BP178" t="s">
        <v>78</v>
      </c>
      <c r="BQ178" t="s">
        <v>78</v>
      </c>
      <c r="BR178" t="s">
        <v>78</v>
      </c>
    </row>
    <row r="179" customFormat="1" spans="1:70">
      <c r="A179" t="s">
        <v>4049</v>
      </c>
      <c r="B179" t="s">
        <v>4049</v>
      </c>
      <c r="C179" t="s">
        <v>1050</v>
      </c>
      <c r="D179" t="s">
        <v>1051</v>
      </c>
      <c r="E179">
        <v>1</v>
      </c>
      <c r="F179" t="s">
        <v>3991</v>
      </c>
      <c r="G179" t="s">
        <v>1053</v>
      </c>
      <c r="H179">
        <v>129</v>
      </c>
      <c r="I179">
        <v>129</v>
      </c>
      <c r="J179">
        <v>0</v>
      </c>
      <c r="K179">
        <v>0</v>
      </c>
      <c r="L179" t="s">
        <v>78</v>
      </c>
      <c r="M179" t="s">
        <v>78</v>
      </c>
      <c r="N179" t="s">
        <v>78</v>
      </c>
      <c r="O179">
        <v>0</v>
      </c>
      <c r="P179">
        <v>0</v>
      </c>
      <c r="Q179">
        <v>0</v>
      </c>
      <c r="R179" t="s">
        <v>111</v>
      </c>
      <c r="S179">
        <v>0</v>
      </c>
      <c r="T179" t="s">
        <v>80</v>
      </c>
      <c r="U179" t="s">
        <v>80</v>
      </c>
      <c r="V179" t="s">
        <v>271</v>
      </c>
      <c r="W179" t="s">
        <v>421</v>
      </c>
      <c r="X179" t="s">
        <v>809</v>
      </c>
      <c r="Y179" t="s">
        <v>1423</v>
      </c>
      <c r="Z179" t="s">
        <v>80</v>
      </c>
      <c r="AA179" t="s">
        <v>85</v>
      </c>
      <c r="AC179" t="s">
        <v>1424</v>
      </c>
      <c r="AD179" t="s">
        <v>87</v>
      </c>
      <c r="AG179" t="s">
        <v>1425</v>
      </c>
      <c r="AH179" t="s">
        <v>227</v>
      </c>
      <c r="AI179" t="s">
        <v>216</v>
      </c>
      <c r="AJ179" t="s">
        <v>131</v>
      </c>
      <c r="AK179" t="s">
        <v>1426</v>
      </c>
      <c r="AL179" t="s">
        <v>95</v>
      </c>
      <c r="AM179" t="s">
        <v>96</v>
      </c>
      <c r="AN179" t="s">
        <v>96</v>
      </c>
      <c r="AP179" t="s">
        <v>78</v>
      </c>
      <c r="AQ179" t="s">
        <v>99</v>
      </c>
      <c r="AS179" t="s">
        <v>78</v>
      </c>
      <c r="AT179" t="s">
        <v>100</v>
      </c>
      <c r="AU179" t="s">
        <v>100</v>
      </c>
      <c r="AW179" t="s">
        <v>85</v>
      </c>
      <c r="AX179" t="s">
        <v>101</v>
      </c>
      <c r="AY179" t="s">
        <v>102</v>
      </c>
      <c r="AZ179" t="s">
        <v>145</v>
      </c>
      <c r="BA179" t="s">
        <v>525</v>
      </c>
      <c r="BB179" t="s">
        <v>78</v>
      </c>
      <c r="BC179" t="s">
        <v>78</v>
      </c>
      <c r="BE179">
        <v>0</v>
      </c>
      <c r="BF179">
        <v>0</v>
      </c>
      <c r="BG179">
        <v>0</v>
      </c>
      <c r="BH179">
        <v>0</v>
      </c>
      <c r="BJ179" t="s">
        <v>85</v>
      </c>
      <c r="BP179" t="s">
        <v>78</v>
      </c>
      <c r="BQ179" t="s">
        <v>78</v>
      </c>
      <c r="BR179" t="s">
        <v>78</v>
      </c>
    </row>
    <row r="180" customFormat="1" spans="1:70">
      <c r="A180" t="s">
        <v>4050</v>
      </c>
      <c r="B180" t="s">
        <v>4050</v>
      </c>
      <c r="C180" t="s">
        <v>107</v>
      </c>
      <c r="D180" t="s">
        <v>108</v>
      </c>
      <c r="E180">
        <v>1</v>
      </c>
      <c r="F180" t="s">
        <v>3857</v>
      </c>
      <c r="G180" t="s">
        <v>110</v>
      </c>
      <c r="H180">
        <v>289</v>
      </c>
      <c r="I180">
        <v>286</v>
      </c>
      <c r="J180">
        <v>0</v>
      </c>
      <c r="K180">
        <v>3</v>
      </c>
      <c r="L180" t="s">
        <v>137</v>
      </c>
      <c r="M180" t="s">
        <v>78</v>
      </c>
      <c r="N180" t="s">
        <v>78</v>
      </c>
      <c r="O180">
        <v>0</v>
      </c>
      <c r="P180">
        <v>0</v>
      </c>
      <c r="Q180">
        <v>0</v>
      </c>
      <c r="R180" t="s">
        <v>125</v>
      </c>
      <c r="S180">
        <v>0</v>
      </c>
      <c r="T180" t="s">
        <v>80</v>
      </c>
      <c r="U180" t="s">
        <v>80</v>
      </c>
      <c r="V180" t="s">
        <v>574</v>
      </c>
      <c r="W180" t="s">
        <v>574</v>
      </c>
      <c r="X180" t="s">
        <v>1428</v>
      </c>
      <c r="Y180" t="s">
        <v>200</v>
      </c>
      <c r="Z180" t="s">
        <v>80</v>
      </c>
      <c r="AA180" t="s">
        <v>85</v>
      </c>
      <c r="AC180" t="s">
        <v>1429</v>
      </c>
      <c r="AD180" t="s">
        <v>87</v>
      </c>
      <c r="AH180" t="s">
        <v>91</v>
      </c>
      <c r="AI180" t="s">
        <v>92</v>
      </c>
      <c r="AJ180" t="s">
        <v>131</v>
      </c>
      <c r="AK180" t="s">
        <v>1430</v>
      </c>
      <c r="AL180" t="s">
        <v>95</v>
      </c>
      <c r="AM180" t="s">
        <v>96</v>
      </c>
      <c r="AN180" t="s">
        <v>97</v>
      </c>
      <c r="AO180" t="s">
        <v>98</v>
      </c>
      <c r="AP180" t="s">
        <v>78</v>
      </c>
      <c r="AQ180" t="s">
        <v>78</v>
      </c>
      <c r="AR180" t="s">
        <v>353</v>
      </c>
      <c r="AS180" t="s">
        <v>78</v>
      </c>
      <c r="AT180" t="s">
        <v>100</v>
      </c>
      <c r="AU180" t="s">
        <v>100</v>
      </c>
      <c r="AW180" t="s">
        <v>85</v>
      </c>
      <c r="AX180" t="s">
        <v>101</v>
      </c>
      <c r="AY180" t="s">
        <v>102</v>
      </c>
      <c r="AZ180" t="s">
        <v>103</v>
      </c>
      <c r="BA180" t="s">
        <v>120</v>
      </c>
      <c r="BB180" t="s">
        <v>78</v>
      </c>
      <c r="BC180" t="s">
        <v>78</v>
      </c>
      <c r="BE180">
        <v>0</v>
      </c>
      <c r="BF180">
        <v>3</v>
      </c>
      <c r="BG180">
        <v>0</v>
      </c>
      <c r="BH180">
        <v>0</v>
      </c>
      <c r="BJ180" t="s">
        <v>85</v>
      </c>
      <c r="BP180" t="s">
        <v>78</v>
      </c>
      <c r="BQ180" t="s">
        <v>78</v>
      </c>
      <c r="BR180" t="s">
        <v>78</v>
      </c>
    </row>
    <row r="181" customFormat="1" spans="1:70">
      <c r="A181" t="s">
        <v>4051</v>
      </c>
      <c r="B181" t="s">
        <v>4051</v>
      </c>
      <c r="C181" t="s">
        <v>107</v>
      </c>
      <c r="D181" t="s">
        <v>108</v>
      </c>
      <c r="E181">
        <v>1</v>
      </c>
      <c r="F181" t="s">
        <v>3857</v>
      </c>
      <c r="G181" t="s">
        <v>110</v>
      </c>
      <c r="H181">
        <v>289</v>
      </c>
      <c r="I181">
        <v>289</v>
      </c>
      <c r="J181">
        <v>0</v>
      </c>
      <c r="K181">
        <v>0</v>
      </c>
      <c r="L181" t="s">
        <v>78</v>
      </c>
      <c r="M181" t="s">
        <v>78</v>
      </c>
      <c r="N181" t="s">
        <v>78</v>
      </c>
      <c r="O181">
        <v>0</v>
      </c>
      <c r="P181">
        <v>0</v>
      </c>
      <c r="Q181">
        <v>0</v>
      </c>
      <c r="R181" t="s">
        <v>79</v>
      </c>
      <c r="S181">
        <v>0</v>
      </c>
      <c r="T181" t="s">
        <v>80</v>
      </c>
      <c r="U181" t="s">
        <v>80</v>
      </c>
      <c r="V181" t="s">
        <v>271</v>
      </c>
      <c r="W181" t="s">
        <v>272</v>
      </c>
      <c r="X181" t="s">
        <v>1432</v>
      </c>
      <c r="Y181" t="s">
        <v>1433</v>
      </c>
      <c r="Z181" t="s">
        <v>80</v>
      </c>
      <c r="AA181" t="s">
        <v>85</v>
      </c>
      <c r="AC181" t="s">
        <v>1434</v>
      </c>
      <c r="AD181" t="s">
        <v>87</v>
      </c>
      <c r="AF181" t="s">
        <v>1387</v>
      </c>
      <c r="AG181" t="s">
        <v>1435</v>
      </c>
      <c r="AH181" t="s">
        <v>91</v>
      </c>
      <c r="AI181" t="s">
        <v>92</v>
      </c>
      <c r="AJ181" t="s">
        <v>93</v>
      </c>
      <c r="AK181" t="s">
        <v>1436</v>
      </c>
      <c r="AL181" t="s">
        <v>95</v>
      </c>
      <c r="AM181" t="s">
        <v>96</v>
      </c>
      <c r="AN181" t="s">
        <v>97</v>
      </c>
      <c r="AO181" t="s">
        <v>98</v>
      </c>
      <c r="AP181" t="s">
        <v>78</v>
      </c>
      <c r="AQ181" t="s">
        <v>78</v>
      </c>
      <c r="AS181" t="s">
        <v>78</v>
      </c>
      <c r="AT181" t="s">
        <v>100</v>
      </c>
      <c r="AU181" t="s">
        <v>100</v>
      </c>
      <c r="AW181" t="s">
        <v>85</v>
      </c>
      <c r="AX181" t="s">
        <v>101</v>
      </c>
      <c r="AY181" t="s">
        <v>102</v>
      </c>
      <c r="AZ181" t="s">
        <v>103</v>
      </c>
      <c r="BA181" t="s">
        <v>120</v>
      </c>
      <c r="BB181" t="s">
        <v>78</v>
      </c>
      <c r="BC181" t="s">
        <v>78</v>
      </c>
      <c r="BD181" t="s">
        <v>1375</v>
      </c>
      <c r="BE181">
        <v>0</v>
      </c>
      <c r="BF181">
        <v>0</v>
      </c>
      <c r="BG181">
        <v>0</v>
      </c>
      <c r="BH181">
        <v>0</v>
      </c>
      <c r="BJ181" t="s">
        <v>85</v>
      </c>
      <c r="BP181" t="s">
        <v>78</v>
      </c>
      <c r="BQ181" t="s">
        <v>78</v>
      </c>
      <c r="BR181" t="s">
        <v>78</v>
      </c>
    </row>
    <row r="182" customFormat="1" spans="1:70">
      <c r="A182" t="s">
        <v>4052</v>
      </c>
      <c r="B182" t="s">
        <v>4052</v>
      </c>
      <c r="C182" t="s">
        <v>107</v>
      </c>
      <c r="D182" t="s">
        <v>135</v>
      </c>
      <c r="E182">
        <v>1</v>
      </c>
      <c r="F182" t="s">
        <v>3857</v>
      </c>
      <c r="G182" t="s">
        <v>136</v>
      </c>
      <c r="H182">
        <v>289</v>
      </c>
      <c r="I182">
        <v>289</v>
      </c>
      <c r="J182">
        <v>0</v>
      </c>
      <c r="K182">
        <v>0</v>
      </c>
      <c r="L182" t="s">
        <v>78</v>
      </c>
      <c r="M182" t="s">
        <v>78</v>
      </c>
      <c r="N182" t="s">
        <v>78</v>
      </c>
      <c r="O182">
        <v>0</v>
      </c>
      <c r="P182">
        <v>0</v>
      </c>
      <c r="Q182">
        <v>0</v>
      </c>
      <c r="R182" t="s">
        <v>111</v>
      </c>
      <c r="S182">
        <v>0</v>
      </c>
      <c r="T182" t="s">
        <v>80</v>
      </c>
      <c r="U182" t="s">
        <v>80</v>
      </c>
      <c r="V182" t="s">
        <v>138</v>
      </c>
      <c r="W182" t="s">
        <v>1438</v>
      </c>
      <c r="X182" t="s">
        <v>1439</v>
      </c>
      <c r="Y182" t="s">
        <v>1440</v>
      </c>
      <c r="Z182" t="s">
        <v>80</v>
      </c>
      <c r="AA182" t="s">
        <v>85</v>
      </c>
      <c r="AC182" t="s">
        <v>1441</v>
      </c>
      <c r="AD182" t="s">
        <v>87</v>
      </c>
      <c r="AG182" t="s">
        <v>1442</v>
      </c>
      <c r="AH182" t="s">
        <v>91</v>
      </c>
      <c r="AI182" t="s">
        <v>92</v>
      </c>
      <c r="AJ182" t="s">
        <v>131</v>
      </c>
      <c r="AK182" t="s">
        <v>1443</v>
      </c>
      <c r="AL182" t="s">
        <v>95</v>
      </c>
      <c r="AM182" t="s">
        <v>96</v>
      </c>
      <c r="AN182" t="s">
        <v>97</v>
      </c>
      <c r="AO182" t="s">
        <v>98</v>
      </c>
      <c r="AP182" t="s">
        <v>78</v>
      </c>
      <c r="AQ182" t="s">
        <v>99</v>
      </c>
      <c r="AS182" t="s">
        <v>78</v>
      </c>
      <c r="AT182" t="s">
        <v>100</v>
      </c>
      <c r="AU182" t="s">
        <v>100</v>
      </c>
      <c r="AW182" t="s">
        <v>85</v>
      </c>
      <c r="AX182" t="s">
        <v>101</v>
      </c>
      <c r="AY182" t="s">
        <v>102</v>
      </c>
      <c r="AZ182" t="s">
        <v>103</v>
      </c>
      <c r="BA182" t="s">
        <v>133</v>
      </c>
      <c r="BB182" t="s">
        <v>78</v>
      </c>
      <c r="BC182" t="s">
        <v>78</v>
      </c>
      <c r="BE182">
        <v>0</v>
      </c>
      <c r="BF182">
        <v>0</v>
      </c>
      <c r="BG182">
        <v>0</v>
      </c>
      <c r="BH182">
        <v>0</v>
      </c>
      <c r="BJ182" t="s">
        <v>85</v>
      </c>
      <c r="BP182" t="s">
        <v>78</v>
      </c>
      <c r="BQ182" t="s">
        <v>78</v>
      </c>
      <c r="BR182" t="s">
        <v>78</v>
      </c>
    </row>
    <row r="183" customFormat="1" spans="1:70">
      <c r="A183" t="s">
        <v>4053</v>
      </c>
      <c r="B183" t="s">
        <v>4053</v>
      </c>
      <c r="C183" t="s">
        <v>107</v>
      </c>
      <c r="D183" t="s">
        <v>108</v>
      </c>
      <c r="E183">
        <v>1</v>
      </c>
      <c r="F183" t="s">
        <v>3857</v>
      </c>
      <c r="G183" t="s">
        <v>110</v>
      </c>
      <c r="H183">
        <v>289</v>
      </c>
      <c r="I183">
        <v>289</v>
      </c>
      <c r="J183">
        <v>0</v>
      </c>
      <c r="K183">
        <v>0</v>
      </c>
      <c r="L183" t="s">
        <v>78</v>
      </c>
      <c r="M183" t="s">
        <v>78</v>
      </c>
      <c r="N183" t="s">
        <v>78</v>
      </c>
      <c r="O183">
        <v>0</v>
      </c>
      <c r="P183">
        <v>0</v>
      </c>
      <c r="Q183">
        <v>0</v>
      </c>
      <c r="R183" t="s">
        <v>125</v>
      </c>
      <c r="S183">
        <v>0</v>
      </c>
      <c r="T183" t="s">
        <v>80</v>
      </c>
      <c r="U183" t="s">
        <v>80</v>
      </c>
      <c r="V183" t="s">
        <v>138</v>
      </c>
      <c r="W183" t="s">
        <v>1438</v>
      </c>
      <c r="X183" t="s">
        <v>1439</v>
      </c>
      <c r="Y183" t="s">
        <v>1440</v>
      </c>
      <c r="Z183" t="s">
        <v>80</v>
      </c>
      <c r="AA183" t="s">
        <v>85</v>
      </c>
      <c r="AC183" t="s">
        <v>1445</v>
      </c>
      <c r="AD183" t="s">
        <v>87</v>
      </c>
      <c r="AH183" t="s">
        <v>91</v>
      </c>
      <c r="AI183" t="s">
        <v>92</v>
      </c>
      <c r="AJ183" t="s">
        <v>131</v>
      </c>
      <c r="AK183" t="s">
        <v>1446</v>
      </c>
      <c r="AL183" t="s">
        <v>95</v>
      </c>
      <c r="AM183" t="s">
        <v>96</v>
      </c>
      <c r="AN183" t="s">
        <v>97</v>
      </c>
      <c r="AO183" t="s">
        <v>98</v>
      </c>
      <c r="AP183" t="s">
        <v>78</v>
      </c>
      <c r="AQ183" t="s">
        <v>78</v>
      </c>
      <c r="AR183" t="s">
        <v>353</v>
      </c>
      <c r="AS183" t="s">
        <v>78</v>
      </c>
      <c r="AT183" t="s">
        <v>100</v>
      </c>
      <c r="AU183" t="s">
        <v>100</v>
      </c>
      <c r="AW183" t="s">
        <v>85</v>
      </c>
      <c r="AX183" t="s">
        <v>101</v>
      </c>
      <c r="AY183" t="s">
        <v>102</v>
      </c>
      <c r="AZ183" t="s">
        <v>103</v>
      </c>
      <c r="BA183" t="s">
        <v>133</v>
      </c>
      <c r="BB183" t="s">
        <v>78</v>
      </c>
      <c r="BC183" t="s">
        <v>78</v>
      </c>
      <c r="BE183">
        <v>0</v>
      </c>
      <c r="BF183">
        <v>0</v>
      </c>
      <c r="BG183">
        <v>0</v>
      </c>
      <c r="BH183">
        <v>0</v>
      </c>
      <c r="BJ183" t="s">
        <v>85</v>
      </c>
      <c r="BP183" t="s">
        <v>78</v>
      </c>
      <c r="BQ183" t="s">
        <v>78</v>
      </c>
      <c r="BR183" t="s">
        <v>78</v>
      </c>
    </row>
    <row r="184" customFormat="1" spans="1:70">
      <c r="A184" t="s">
        <v>4054</v>
      </c>
      <c r="B184" t="s">
        <v>4054</v>
      </c>
      <c r="C184" t="s">
        <v>1050</v>
      </c>
      <c r="D184" t="s">
        <v>1189</v>
      </c>
      <c r="E184">
        <v>1</v>
      </c>
      <c r="F184" t="s">
        <v>3991</v>
      </c>
      <c r="G184" t="s">
        <v>1190</v>
      </c>
      <c r="H184">
        <v>129</v>
      </c>
      <c r="I184">
        <v>129</v>
      </c>
      <c r="J184">
        <v>0</v>
      </c>
      <c r="K184">
        <v>0</v>
      </c>
      <c r="L184" t="s">
        <v>78</v>
      </c>
      <c r="M184" t="s">
        <v>78</v>
      </c>
      <c r="N184" t="s">
        <v>78</v>
      </c>
      <c r="O184">
        <v>0</v>
      </c>
      <c r="P184">
        <v>0</v>
      </c>
      <c r="Q184">
        <v>0</v>
      </c>
      <c r="R184" t="s">
        <v>111</v>
      </c>
      <c r="S184">
        <v>0</v>
      </c>
      <c r="T184" t="s">
        <v>80</v>
      </c>
      <c r="U184" t="s">
        <v>80</v>
      </c>
      <c r="V184" t="s">
        <v>112</v>
      </c>
      <c r="W184" t="s">
        <v>906</v>
      </c>
      <c r="X184" t="s">
        <v>907</v>
      </c>
      <c r="Y184" t="s">
        <v>1448</v>
      </c>
      <c r="Z184" t="s">
        <v>80</v>
      </c>
      <c r="AA184" t="s">
        <v>85</v>
      </c>
      <c r="AC184" t="s">
        <v>1449</v>
      </c>
      <c r="AD184" t="s">
        <v>87</v>
      </c>
      <c r="AF184" t="s">
        <v>1450</v>
      </c>
      <c r="AG184" t="s">
        <v>1451</v>
      </c>
      <c r="AH184" t="s">
        <v>91</v>
      </c>
      <c r="AI184" t="s">
        <v>92</v>
      </c>
      <c r="AJ184" t="s">
        <v>93</v>
      </c>
      <c r="AK184" t="s">
        <v>1452</v>
      </c>
      <c r="AL184" t="s">
        <v>95</v>
      </c>
      <c r="AM184" t="s">
        <v>96</v>
      </c>
      <c r="AN184" t="s">
        <v>97</v>
      </c>
      <c r="AO184" t="s">
        <v>98</v>
      </c>
      <c r="AP184" t="s">
        <v>78</v>
      </c>
      <c r="AQ184" t="s">
        <v>78</v>
      </c>
      <c r="AS184" t="s">
        <v>78</v>
      </c>
      <c r="AT184" t="s">
        <v>100</v>
      </c>
      <c r="AU184" t="s">
        <v>100</v>
      </c>
      <c r="AW184" t="s">
        <v>85</v>
      </c>
      <c r="AX184" t="s">
        <v>101</v>
      </c>
      <c r="AY184" t="s">
        <v>102</v>
      </c>
      <c r="AZ184" t="s">
        <v>103</v>
      </c>
      <c r="BA184" t="s">
        <v>120</v>
      </c>
      <c r="BB184" t="s">
        <v>78</v>
      </c>
      <c r="BC184" t="s">
        <v>78</v>
      </c>
      <c r="BD184" t="s">
        <v>1453</v>
      </c>
      <c r="BE184">
        <v>0</v>
      </c>
      <c r="BF184">
        <v>0</v>
      </c>
      <c r="BG184">
        <v>0</v>
      </c>
      <c r="BH184">
        <v>0</v>
      </c>
      <c r="BJ184" t="s">
        <v>85</v>
      </c>
      <c r="BP184" t="s">
        <v>78</v>
      </c>
      <c r="BQ184" t="s">
        <v>78</v>
      </c>
      <c r="BR184" t="s">
        <v>78</v>
      </c>
    </row>
    <row r="185" customFormat="1" spans="1:70">
      <c r="A185" t="s">
        <v>4055</v>
      </c>
      <c r="B185" t="s">
        <v>4055</v>
      </c>
      <c r="C185" t="s">
        <v>1050</v>
      </c>
      <c r="D185" t="s">
        <v>1377</v>
      </c>
      <c r="E185">
        <v>1</v>
      </c>
      <c r="F185" t="s">
        <v>3991</v>
      </c>
      <c r="G185" t="s">
        <v>1378</v>
      </c>
      <c r="H185">
        <v>129</v>
      </c>
      <c r="I185">
        <v>129</v>
      </c>
      <c r="J185">
        <v>0</v>
      </c>
      <c r="K185">
        <v>0</v>
      </c>
      <c r="L185" t="s">
        <v>78</v>
      </c>
      <c r="M185" t="s">
        <v>78</v>
      </c>
      <c r="N185" t="s">
        <v>78</v>
      </c>
      <c r="O185">
        <v>0</v>
      </c>
      <c r="P185">
        <v>0</v>
      </c>
      <c r="Q185">
        <v>0</v>
      </c>
      <c r="R185" t="s">
        <v>125</v>
      </c>
      <c r="S185">
        <v>0</v>
      </c>
      <c r="T185" t="s">
        <v>80</v>
      </c>
      <c r="U185" t="s">
        <v>80</v>
      </c>
      <c r="V185" t="s">
        <v>556</v>
      </c>
      <c r="W185" t="s">
        <v>953</v>
      </c>
      <c r="X185" t="s">
        <v>954</v>
      </c>
      <c r="Y185" t="s">
        <v>1455</v>
      </c>
      <c r="Z185" t="s">
        <v>80</v>
      </c>
      <c r="AA185" t="s">
        <v>85</v>
      </c>
      <c r="AC185" t="s">
        <v>1456</v>
      </c>
      <c r="AD185" t="s">
        <v>87</v>
      </c>
      <c r="AG185" t="s">
        <v>1457</v>
      </c>
      <c r="AH185" t="s">
        <v>91</v>
      </c>
      <c r="AI185" t="s">
        <v>92</v>
      </c>
      <c r="AJ185" t="s">
        <v>131</v>
      </c>
      <c r="AK185" t="s">
        <v>1458</v>
      </c>
      <c r="AL185" t="s">
        <v>95</v>
      </c>
      <c r="AM185" t="s">
        <v>96</v>
      </c>
      <c r="AN185" t="s">
        <v>97</v>
      </c>
      <c r="AO185" t="s">
        <v>98</v>
      </c>
      <c r="AP185" t="s">
        <v>78</v>
      </c>
      <c r="AQ185" t="s">
        <v>99</v>
      </c>
      <c r="AS185" t="s">
        <v>78</v>
      </c>
      <c r="AT185" t="s">
        <v>100</v>
      </c>
      <c r="AU185" t="s">
        <v>100</v>
      </c>
      <c r="AW185" t="s">
        <v>85</v>
      </c>
      <c r="AX185" t="s">
        <v>101</v>
      </c>
      <c r="AY185" t="s">
        <v>102</v>
      </c>
      <c r="AZ185" t="s">
        <v>103</v>
      </c>
      <c r="BA185" t="s">
        <v>104</v>
      </c>
      <c r="BB185" t="s">
        <v>78</v>
      </c>
      <c r="BC185" t="s">
        <v>78</v>
      </c>
      <c r="BE185">
        <v>0</v>
      </c>
      <c r="BF185">
        <v>0</v>
      </c>
      <c r="BG185">
        <v>0</v>
      </c>
      <c r="BH185">
        <v>0</v>
      </c>
      <c r="BJ185" t="s">
        <v>85</v>
      </c>
      <c r="BP185" t="s">
        <v>78</v>
      </c>
      <c r="BQ185" t="s">
        <v>78</v>
      </c>
      <c r="BR185" t="s">
        <v>78</v>
      </c>
    </row>
    <row r="186" customFormat="1" spans="1:70">
      <c r="A186" t="s">
        <v>4056</v>
      </c>
      <c r="B186" t="s">
        <v>4056</v>
      </c>
      <c r="C186" t="s">
        <v>107</v>
      </c>
      <c r="D186" t="s">
        <v>108</v>
      </c>
      <c r="E186">
        <v>1</v>
      </c>
      <c r="F186" t="s">
        <v>3857</v>
      </c>
      <c r="G186" t="s">
        <v>110</v>
      </c>
      <c r="H186">
        <v>289</v>
      </c>
      <c r="I186">
        <v>289</v>
      </c>
      <c r="J186">
        <v>0</v>
      </c>
      <c r="K186">
        <v>0</v>
      </c>
      <c r="L186" t="s">
        <v>78</v>
      </c>
      <c r="M186" t="s">
        <v>78</v>
      </c>
      <c r="N186" t="s">
        <v>78</v>
      </c>
      <c r="O186">
        <v>0</v>
      </c>
      <c r="P186">
        <v>0</v>
      </c>
      <c r="Q186">
        <v>0</v>
      </c>
      <c r="R186" t="s">
        <v>125</v>
      </c>
      <c r="S186">
        <v>0</v>
      </c>
      <c r="T186" t="s">
        <v>80</v>
      </c>
      <c r="U186" t="s">
        <v>80</v>
      </c>
      <c r="V186" t="s">
        <v>464</v>
      </c>
      <c r="W186" t="s">
        <v>1460</v>
      </c>
      <c r="X186" t="s">
        <v>1461</v>
      </c>
      <c r="Y186" t="s">
        <v>1462</v>
      </c>
      <c r="Z186" t="s">
        <v>80</v>
      </c>
      <c r="AA186" t="s">
        <v>85</v>
      </c>
      <c r="AC186" t="s">
        <v>1463</v>
      </c>
      <c r="AD186" t="s">
        <v>87</v>
      </c>
      <c r="AF186" t="s">
        <v>1387</v>
      </c>
      <c r="AG186" t="s">
        <v>1464</v>
      </c>
      <c r="AH186" t="s">
        <v>91</v>
      </c>
      <c r="AI186" t="s">
        <v>92</v>
      </c>
      <c r="AJ186" t="s">
        <v>93</v>
      </c>
      <c r="AK186" t="s">
        <v>1465</v>
      </c>
      <c r="AL186" t="s">
        <v>95</v>
      </c>
      <c r="AM186" t="s">
        <v>96</v>
      </c>
      <c r="AN186" t="s">
        <v>97</v>
      </c>
      <c r="AO186" t="s">
        <v>98</v>
      </c>
      <c r="AP186" t="s">
        <v>78</v>
      </c>
      <c r="AQ186" t="s">
        <v>78</v>
      </c>
      <c r="AS186" t="s">
        <v>78</v>
      </c>
      <c r="AT186" t="s">
        <v>100</v>
      </c>
      <c r="AU186" t="s">
        <v>100</v>
      </c>
      <c r="AW186" t="s">
        <v>85</v>
      </c>
      <c r="AX186" t="s">
        <v>101</v>
      </c>
      <c r="AY186" t="s">
        <v>102</v>
      </c>
      <c r="AZ186" t="s">
        <v>103</v>
      </c>
      <c r="BA186" t="s">
        <v>120</v>
      </c>
      <c r="BB186" t="s">
        <v>78</v>
      </c>
      <c r="BC186" t="s">
        <v>78</v>
      </c>
      <c r="BD186" t="s">
        <v>1375</v>
      </c>
      <c r="BE186">
        <v>0</v>
      </c>
      <c r="BF186">
        <v>0</v>
      </c>
      <c r="BG186">
        <v>0</v>
      </c>
      <c r="BH186">
        <v>0</v>
      </c>
      <c r="BJ186" t="s">
        <v>85</v>
      </c>
      <c r="BP186" t="s">
        <v>78</v>
      </c>
      <c r="BQ186" t="s">
        <v>78</v>
      </c>
      <c r="BR186" t="s">
        <v>78</v>
      </c>
    </row>
    <row r="187" customFormat="1" spans="1:70">
      <c r="A187" t="s">
        <v>4057</v>
      </c>
      <c r="B187" t="s">
        <v>4057</v>
      </c>
      <c r="C187" t="s">
        <v>107</v>
      </c>
      <c r="D187" t="s">
        <v>108</v>
      </c>
      <c r="E187">
        <v>1</v>
      </c>
      <c r="F187" t="s">
        <v>3857</v>
      </c>
      <c r="G187" t="s">
        <v>110</v>
      </c>
      <c r="H187">
        <v>289</v>
      </c>
      <c r="I187">
        <v>289</v>
      </c>
      <c r="J187">
        <v>0</v>
      </c>
      <c r="K187">
        <v>0.59</v>
      </c>
      <c r="L187" t="s">
        <v>78</v>
      </c>
      <c r="M187" t="s">
        <v>78</v>
      </c>
      <c r="N187" t="s">
        <v>78</v>
      </c>
      <c r="O187">
        <v>0</v>
      </c>
      <c r="P187">
        <v>0.59</v>
      </c>
      <c r="Q187">
        <v>0</v>
      </c>
      <c r="R187" t="s">
        <v>125</v>
      </c>
      <c r="S187">
        <v>0</v>
      </c>
      <c r="T187" t="s">
        <v>80</v>
      </c>
      <c r="U187" t="s">
        <v>80</v>
      </c>
      <c r="V187" t="s">
        <v>347</v>
      </c>
      <c r="W187" t="s">
        <v>348</v>
      </c>
      <c r="X187" t="s">
        <v>1467</v>
      </c>
      <c r="Y187" t="s">
        <v>1468</v>
      </c>
      <c r="Z187" t="s">
        <v>80</v>
      </c>
      <c r="AA187" t="s">
        <v>85</v>
      </c>
      <c r="AC187" t="s">
        <v>1469</v>
      </c>
      <c r="AD187" t="s">
        <v>87</v>
      </c>
      <c r="AF187" t="s">
        <v>1387</v>
      </c>
      <c r="AG187" t="s">
        <v>1470</v>
      </c>
      <c r="AH187" t="s">
        <v>91</v>
      </c>
      <c r="AI187" t="s">
        <v>92</v>
      </c>
      <c r="AJ187" t="s">
        <v>93</v>
      </c>
      <c r="AK187" t="s">
        <v>1471</v>
      </c>
      <c r="AL187" t="s">
        <v>95</v>
      </c>
      <c r="AM187" t="s">
        <v>96</v>
      </c>
      <c r="AN187" t="s">
        <v>97</v>
      </c>
      <c r="AO187" t="s">
        <v>98</v>
      </c>
      <c r="AP187" t="s">
        <v>78</v>
      </c>
      <c r="AQ187" t="s">
        <v>78</v>
      </c>
      <c r="AS187" t="s">
        <v>78</v>
      </c>
      <c r="AT187" t="s">
        <v>100</v>
      </c>
      <c r="AU187" t="s">
        <v>100</v>
      </c>
      <c r="AW187" t="s">
        <v>85</v>
      </c>
      <c r="AX187" t="s">
        <v>101</v>
      </c>
      <c r="AY187" t="s">
        <v>102</v>
      </c>
      <c r="AZ187" t="s">
        <v>103</v>
      </c>
      <c r="BA187" t="s">
        <v>133</v>
      </c>
      <c r="BB187" t="s">
        <v>78</v>
      </c>
      <c r="BC187" t="s">
        <v>78</v>
      </c>
      <c r="BD187" t="s">
        <v>1375</v>
      </c>
      <c r="BE187">
        <v>0</v>
      </c>
      <c r="BF187">
        <v>0</v>
      </c>
      <c r="BG187">
        <v>0</v>
      </c>
      <c r="BH187">
        <v>0</v>
      </c>
      <c r="BJ187" t="s">
        <v>85</v>
      </c>
      <c r="BP187" t="s">
        <v>78</v>
      </c>
      <c r="BQ187" t="s">
        <v>78</v>
      </c>
      <c r="BR187" t="s">
        <v>78</v>
      </c>
    </row>
    <row r="188" customFormat="1" spans="1:70">
      <c r="A188" t="s">
        <v>4058</v>
      </c>
      <c r="B188" t="s">
        <v>4058</v>
      </c>
      <c r="C188" t="s">
        <v>107</v>
      </c>
      <c r="D188" t="s">
        <v>108</v>
      </c>
      <c r="E188">
        <v>1</v>
      </c>
      <c r="F188" t="s">
        <v>3857</v>
      </c>
      <c r="G188" t="s">
        <v>110</v>
      </c>
      <c r="H188">
        <v>289</v>
      </c>
      <c r="I188">
        <v>279</v>
      </c>
      <c r="J188">
        <v>0</v>
      </c>
      <c r="K188">
        <v>10</v>
      </c>
      <c r="L188" t="s">
        <v>1473</v>
      </c>
      <c r="M188" t="s">
        <v>78</v>
      </c>
      <c r="N188" t="s">
        <v>78</v>
      </c>
      <c r="O188">
        <v>0</v>
      </c>
      <c r="P188">
        <v>0</v>
      </c>
      <c r="Q188">
        <v>0</v>
      </c>
      <c r="R188" t="s">
        <v>125</v>
      </c>
      <c r="S188">
        <v>0</v>
      </c>
      <c r="T188" t="s">
        <v>80</v>
      </c>
      <c r="U188" t="s">
        <v>80</v>
      </c>
      <c r="V188" t="s">
        <v>325</v>
      </c>
      <c r="W188" t="s">
        <v>788</v>
      </c>
      <c r="X188" t="s">
        <v>789</v>
      </c>
      <c r="Y188" t="s">
        <v>790</v>
      </c>
      <c r="Z188" t="s">
        <v>80</v>
      </c>
      <c r="AA188" t="s">
        <v>85</v>
      </c>
      <c r="AC188" t="s">
        <v>1474</v>
      </c>
      <c r="AD188" t="s">
        <v>87</v>
      </c>
      <c r="AG188" t="s">
        <v>1475</v>
      </c>
      <c r="AH188" t="s">
        <v>91</v>
      </c>
      <c r="AI188" t="s">
        <v>216</v>
      </c>
      <c r="AJ188" t="s">
        <v>131</v>
      </c>
      <c r="AK188" t="s">
        <v>1476</v>
      </c>
      <c r="AL188" t="s">
        <v>95</v>
      </c>
      <c r="AM188" t="s">
        <v>96</v>
      </c>
      <c r="AN188" t="s">
        <v>96</v>
      </c>
      <c r="AP188" t="s">
        <v>78</v>
      </c>
      <c r="AQ188" t="s">
        <v>99</v>
      </c>
      <c r="AS188" t="s">
        <v>78</v>
      </c>
      <c r="AT188" t="s">
        <v>100</v>
      </c>
      <c r="AU188" t="s">
        <v>100</v>
      </c>
      <c r="AW188" t="s">
        <v>85</v>
      </c>
      <c r="AX188" t="s">
        <v>101</v>
      </c>
      <c r="AY188" t="s">
        <v>102</v>
      </c>
      <c r="AZ188" t="s">
        <v>145</v>
      </c>
      <c r="BA188" t="s">
        <v>102</v>
      </c>
      <c r="BB188" t="s">
        <v>78</v>
      </c>
      <c r="BC188" t="s">
        <v>78</v>
      </c>
      <c r="BE188">
        <v>0</v>
      </c>
      <c r="BF188">
        <v>10</v>
      </c>
      <c r="BG188">
        <v>0</v>
      </c>
      <c r="BH188">
        <v>0</v>
      </c>
      <c r="BJ188" t="s">
        <v>85</v>
      </c>
      <c r="BP188" t="s">
        <v>78</v>
      </c>
      <c r="BQ188" t="s">
        <v>78</v>
      </c>
      <c r="BR188" t="s">
        <v>78</v>
      </c>
    </row>
    <row r="189" customFormat="1" spans="1:70">
      <c r="A189" t="s">
        <v>4059</v>
      </c>
      <c r="B189" t="s">
        <v>4059</v>
      </c>
      <c r="C189" t="s">
        <v>1126</v>
      </c>
      <c r="D189" t="s">
        <v>1127</v>
      </c>
      <c r="E189">
        <v>1</v>
      </c>
      <c r="F189" t="s">
        <v>4004</v>
      </c>
      <c r="G189" t="s">
        <v>1129</v>
      </c>
      <c r="H189">
        <v>249</v>
      </c>
      <c r="I189">
        <v>249</v>
      </c>
      <c r="J189">
        <v>0</v>
      </c>
      <c r="K189">
        <v>0</v>
      </c>
      <c r="L189" t="s">
        <v>78</v>
      </c>
      <c r="M189" t="s">
        <v>78</v>
      </c>
      <c r="N189" t="s">
        <v>78</v>
      </c>
      <c r="O189">
        <v>0</v>
      </c>
      <c r="P189">
        <v>0</v>
      </c>
      <c r="Q189">
        <v>0</v>
      </c>
      <c r="R189" t="s">
        <v>79</v>
      </c>
      <c r="S189">
        <v>0</v>
      </c>
      <c r="T189" t="s">
        <v>80</v>
      </c>
      <c r="U189" t="s">
        <v>80</v>
      </c>
      <c r="V189" t="s">
        <v>138</v>
      </c>
      <c r="W189" t="s">
        <v>139</v>
      </c>
      <c r="X189" t="s">
        <v>1478</v>
      </c>
      <c r="Y189" t="s">
        <v>1479</v>
      </c>
      <c r="Z189" t="s">
        <v>80</v>
      </c>
      <c r="AA189" t="s">
        <v>85</v>
      </c>
      <c r="AC189" t="s">
        <v>1480</v>
      </c>
      <c r="AD189" t="s">
        <v>87</v>
      </c>
      <c r="AF189" t="s">
        <v>1217</v>
      </c>
      <c r="AG189" t="s">
        <v>1481</v>
      </c>
      <c r="AH189" t="s">
        <v>91</v>
      </c>
      <c r="AI189" t="s">
        <v>92</v>
      </c>
      <c r="AJ189" t="s">
        <v>93</v>
      </c>
      <c r="AK189" t="s">
        <v>1482</v>
      </c>
      <c r="AL189" t="s">
        <v>95</v>
      </c>
      <c r="AM189" t="s">
        <v>96</v>
      </c>
      <c r="AN189" t="s">
        <v>97</v>
      </c>
      <c r="AO189" t="s">
        <v>98</v>
      </c>
      <c r="AP189" t="s">
        <v>78</v>
      </c>
      <c r="AQ189" t="s">
        <v>78</v>
      </c>
      <c r="AS189" t="s">
        <v>78</v>
      </c>
      <c r="AT189" t="s">
        <v>100</v>
      </c>
      <c r="AU189" t="s">
        <v>100</v>
      </c>
      <c r="AW189" t="s">
        <v>85</v>
      </c>
      <c r="AX189" t="s">
        <v>103</v>
      </c>
      <c r="AY189" t="s">
        <v>159</v>
      </c>
      <c r="AZ189" t="s">
        <v>103</v>
      </c>
      <c r="BA189" t="s">
        <v>419</v>
      </c>
      <c r="BB189" t="s">
        <v>78</v>
      </c>
      <c r="BC189" t="s">
        <v>78</v>
      </c>
      <c r="BD189" t="s">
        <v>1220</v>
      </c>
      <c r="BE189">
        <v>0</v>
      </c>
      <c r="BF189">
        <v>0</v>
      </c>
      <c r="BG189">
        <v>0</v>
      </c>
      <c r="BH189">
        <v>0</v>
      </c>
      <c r="BJ189" t="s">
        <v>85</v>
      </c>
      <c r="BP189" t="s">
        <v>78</v>
      </c>
      <c r="BQ189" t="s">
        <v>78</v>
      </c>
      <c r="BR189" t="s">
        <v>78</v>
      </c>
    </row>
    <row r="190" customFormat="1" spans="1:70">
      <c r="A190" t="s">
        <v>4060</v>
      </c>
      <c r="B190" t="s">
        <v>4060</v>
      </c>
      <c r="C190" t="s">
        <v>107</v>
      </c>
      <c r="D190" t="s">
        <v>123</v>
      </c>
      <c r="E190">
        <v>1</v>
      </c>
      <c r="F190" t="s">
        <v>3857</v>
      </c>
      <c r="G190" t="s">
        <v>124</v>
      </c>
      <c r="H190">
        <v>289</v>
      </c>
      <c r="I190">
        <v>289</v>
      </c>
      <c r="J190">
        <v>0</v>
      </c>
      <c r="K190">
        <v>0</v>
      </c>
      <c r="L190" t="s">
        <v>78</v>
      </c>
      <c r="M190" t="s">
        <v>78</v>
      </c>
      <c r="N190" t="s">
        <v>78</v>
      </c>
      <c r="O190">
        <v>0</v>
      </c>
      <c r="P190">
        <v>0</v>
      </c>
      <c r="Q190">
        <v>0</v>
      </c>
      <c r="R190" t="s">
        <v>125</v>
      </c>
      <c r="S190">
        <v>0</v>
      </c>
      <c r="T190" t="s">
        <v>80</v>
      </c>
      <c r="U190" t="s">
        <v>80</v>
      </c>
      <c r="V190" t="s">
        <v>1261</v>
      </c>
      <c r="W190" t="s">
        <v>1262</v>
      </c>
      <c r="X190" t="s">
        <v>1484</v>
      </c>
      <c r="Y190" t="s">
        <v>1485</v>
      </c>
      <c r="Z190" t="s">
        <v>80</v>
      </c>
      <c r="AA190" t="s">
        <v>85</v>
      </c>
      <c r="AC190" t="s">
        <v>1486</v>
      </c>
      <c r="AD190" t="s">
        <v>87</v>
      </c>
      <c r="AH190" t="s">
        <v>183</v>
      </c>
      <c r="AI190" t="s">
        <v>92</v>
      </c>
      <c r="AJ190" t="s">
        <v>131</v>
      </c>
      <c r="AK190" t="s">
        <v>1487</v>
      </c>
      <c r="AL190" t="s">
        <v>95</v>
      </c>
      <c r="AM190" t="s">
        <v>96</v>
      </c>
      <c r="AN190" t="s">
        <v>97</v>
      </c>
      <c r="AO190" t="s">
        <v>98</v>
      </c>
      <c r="AP190" t="s">
        <v>78</v>
      </c>
      <c r="AQ190" t="s">
        <v>78</v>
      </c>
      <c r="AR190" t="s">
        <v>353</v>
      </c>
      <c r="AS190" t="s">
        <v>78</v>
      </c>
      <c r="AT190" t="s">
        <v>100</v>
      </c>
      <c r="AU190" t="s">
        <v>100</v>
      </c>
      <c r="AW190" t="s">
        <v>85</v>
      </c>
      <c r="AX190" t="s">
        <v>103</v>
      </c>
      <c r="AY190" t="s">
        <v>159</v>
      </c>
      <c r="AZ190" t="s">
        <v>103</v>
      </c>
      <c r="BA190" t="s">
        <v>185</v>
      </c>
      <c r="BB190" t="s">
        <v>78</v>
      </c>
      <c r="BC190" t="s">
        <v>78</v>
      </c>
      <c r="BE190">
        <v>0</v>
      </c>
      <c r="BF190">
        <v>0</v>
      </c>
      <c r="BG190">
        <v>0</v>
      </c>
      <c r="BH190">
        <v>0</v>
      </c>
      <c r="BJ190" t="s">
        <v>85</v>
      </c>
      <c r="BP190" t="s">
        <v>78</v>
      </c>
      <c r="BQ190" t="s">
        <v>78</v>
      </c>
      <c r="BR190" t="s">
        <v>78</v>
      </c>
    </row>
    <row r="191" customFormat="1" spans="1:70">
      <c r="A191" t="s">
        <v>4061</v>
      </c>
      <c r="B191" t="s">
        <v>4061</v>
      </c>
      <c r="C191" t="s">
        <v>107</v>
      </c>
      <c r="D191" t="s">
        <v>135</v>
      </c>
      <c r="E191">
        <v>1</v>
      </c>
      <c r="F191" t="s">
        <v>3857</v>
      </c>
      <c r="G191" t="s">
        <v>136</v>
      </c>
      <c r="H191">
        <v>289</v>
      </c>
      <c r="I191">
        <v>289</v>
      </c>
      <c r="J191">
        <v>0</v>
      </c>
      <c r="K191">
        <v>0</v>
      </c>
      <c r="L191" t="s">
        <v>78</v>
      </c>
      <c r="M191" t="s">
        <v>78</v>
      </c>
      <c r="N191" t="s">
        <v>78</v>
      </c>
      <c r="O191">
        <v>0</v>
      </c>
      <c r="P191">
        <v>0</v>
      </c>
      <c r="Q191">
        <v>0</v>
      </c>
      <c r="R191" t="s">
        <v>125</v>
      </c>
      <c r="S191">
        <v>0</v>
      </c>
      <c r="T191" t="s">
        <v>80</v>
      </c>
      <c r="U191" t="s">
        <v>80</v>
      </c>
      <c r="V191" t="s">
        <v>161</v>
      </c>
      <c r="W191" t="s">
        <v>161</v>
      </c>
      <c r="X191" t="s">
        <v>1489</v>
      </c>
      <c r="Y191" t="s">
        <v>1490</v>
      </c>
      <c r="Z191" t="s">
        <v>80</v>
      </c>
      <c r="AA191" t="s">
        <v>85</v>
      </c>
      <c r="AC191" t="s">
        <v>1491</v>
      </c>
      <c r="AD191" t="s">
        <v>87</v>
      </c>
      <c r="AG191" t="s">
        <v>1492</v>
      </c>
      <c r="AH191" t="s">
        <v>91</v>
      </c>
      <c r="AI191" t="s">
        <v>92</v>
      </c>
      <c r="AJ191" t="s">
        <v>131</v>
      </c>
      <c r="AK191" t="s">
        <v>1493</v>
      </c>
      <c r="AL191" t="s">
        <v>95</v>
      </c>
      <c r="AM191" t="s">
        <v>96</v>
      </c>
      <c r="AN191" t="s">
        <v>97</v>
      </c>
      <c r="AO191" t="s">
        <v>98</v>
      </c>
      <c r="AP191" t="s">
        <v>78</v>
      </c>
      <c r="AQ191" t="s">
        <v>99</v>
      </c>
      <c r="AS191" t="s">
        <v>78</v>
      </c>
      <c r="AT191" t="s">
        <v>100</v>
      </c>
      <c r="AU191" t="s">
        <v>100</v>
      </c>
      <c r="AW191" t="s">
        <v>85</v>
      </c>
      <c r="AX191" t="s">
        <v>101</v>
      </c>
      <c r="AY191" t="s">
        <v>102</v>
      </c>
      <c r="AZ191" t="s">
        <v>103</v>
      </c>
      <c r="BA191" t="s">
        <v>245</v>
      </c>
      <c r="BB191" t="s">
        <v>78</v>
      </c>
      <c r="BC191" t="s">
        <v>78</v>
      </c>
      <c r="BE191">
        <v>0</v>
      </c>
      <c r="BF191">
        <v>0</v>
      </c>
      <c r="BG191">
        <v>0</v>
      </c>
      <c r="BH191">
        <v>0</v>
      </c>
      <c r="BJ191" t="s">
        <v>85</v>
      </c>
      <c r="BP191" t="s">
        <v>78</v>
      </c>
      <c r="BQ191" t="s">
        <v>78</v>
      </c>
      <c r="BR191" t="s">
        <v>78</v>
      </c>
    </row>
    <row r="192" customFormat="1" spans="1:70">
      <c r="A192" t="s">
        <v>4062</v>
      </c>
      <c r="B192" t="s">
        <v>4062</v>
      </c>
      <c r="C192" t="s">
        <v>107</v>
      </c>
      <c r="D192" t="s">
        <v>108</v>
      </c>
      <c r="E192">
        <v>1</v>
      </c>
      <c r="F192" t="s">
        <v>3857</v>
      </c>
      <c r="G192" t="s">
        <v>110</v>
      </c>
      <c r="H192">
        <v>289</v>
      </c>
      <c r="I192">
        <v>289</v>
      </c>
      <c r="J192">
        <v>0</v>
      </c>
      <c r="K192">
        <v>0</v>
      </c>
      <c r="L192" t="s">
        <v>78</v>
      </c>
      <c r="M192" t="s">
        <v>78</v>
      </c>
      <c r="N192" t="s">
        <v>78</v>
      </c>
      <c r="O192">
        <v>0</v>
      </c>
      <c r="P192">
        <v>0</v>
      </c>
      <c r="Q192">
        <v>0</v>
      </c>
      <c r="R192" t="s">
        <v>125</v>
      </c>
      <c r="S192">
        <v>0</v>
      </c>
      <c r="T192" t="s">
        <v>80</v>
      </c>
      <c r="U192" t="s">
        <v>80</v>
      </c>
      <c r="V192" t="s">
        <v>556</v>
      </c>
      <c r="W192" t="s">
        <v>557</v>
      </c>
      <c r="X192" t="s">
        <v>1191</v>
      </c>
      <c r="Y192" t="s">
        <v>1192</v>
      </c>
      <c r="Z192" t="s">
        <v>80</v>
      </c>
      <c r="AA192" t="s">
        <v>85</v>
      </c>
      <c r="AC192" t="s">
        <v>1495</v>
      </c>
      <c r="AD192" t="s">
        <v>87</v>
      </c>
      <c r="AH192" t="s">
        <v>227</v>
      </c>
      <c r="AI192" t="s">
        <v>92</v>
      </c>
      <c r="AJ192" t="s">
        <v>131</v>
      </c>
      <c r="AK192" t="s">
        <v>1496</v>
      </c>
      <c r="AL192" t="s">
        <v>95</v>
      </c>
      <c r="AM192" t="s">
        <v>96</v>
      </c>
      <c r="AN192" t="s">
        <v>97</v>
      </c>
      <c r="AO192" t="s">
        <v>98</v>
      </c>
      <c r="AP192" t="s">
        <v>78</v>
      </c>
      <c r="AQ192" t="s">
        <v>78</v>
      </c>
      <c r="AR192" t="s">
        <v>353</v>
      </c>
      <c r="AS192" t="s">
        <v>78</v>
      </c>
      <c r="AT192" t="s">
        <v>100</v>
      </c>
      <c r="AU192" t="s">
        <v>100</v>
      </c>
      <c r="AW192" t="s">
        <v>85</v>
      </c>
      <c r="AX192" t="s">
        <v>103</v>
      </c>
      <c r="AY192" t="s">
        <v>159</v>
      </c>
      <c r="AZ192" t="s">
        <v>103</v>
      </c>
      <c r="BA192" t="s">
        <v>133</v>
      </c>
      <c r="BB192" t="s">
        <v>78</v>
      </c>
      <c r="BC192" t="s">
        <v>78</v>
      </c>
      <c r="BE192">
        <v>0</v>
      </c>
      <c r="BF192">
        <v>0</v>
      </c>
      <c r="BG192">
        <v>0</v>
      </c>
      <c r="BH192">
        <v>0</v>
      </c>
      <c r="BJ192" t="s">
        <v>85</v>
      </c>
      <c r="BP192" t="s">
        <v>78</v>
      </c>
      <c r="BQ192" t="s">
        <v>78</v>
      </c>
      <c r="BR192" t="s">
        <v>78</v>
      </c>
    </row>
    <row r="193" customFormat="1" spans="1:70">
      <c r="A193" t="s">
        <v>4063</v>
      </c>
      <c r="B193" t="s">
        <v>4063</v>
      </c>
      <c r="C193" t="s">
        <v>107</v>
      </c>
      <c r="D193" t="s">
        <v>123</v>
      </c>
      <c r="E193">
        <v>1</v>
      </c>
      <c r="F193" t="s">
        <v>3857</v>
      </c>
      <c r="G193" t="s">
        <v>124</v>
      </c>
      <c r="H193">
        <v>289</v>
      </c>
      <c r="I193">
        <v>289</v>
      </c>
      <c r="J193">
        <v>0</v>
      </c>
      <c r="K193">
        <v>0</v>
      </c>
      <c r="L193" t="s">
        <v>78</v>
      </c>
      <c r="M193" t="s">
        <v>78</v>
      </c>
      <c r="N193" t="s">
        <v>78</v>
      </c>
      <c r="O193">
        <v>0</v>
      </c>
      <c r="P193">
        <v>0</v>
      </c>
      <c r="Q193">
        <v>0</v>
      </c>
      <c r="R193" t="s">
        <v>125</v>
      </c>
      <c r="S193">
        <v>0</v>
      </c>
      <c r="T193" t="s">
        <v>80</v>
      </c>
      <c r="U193" t="s">
        <v>80</v>
      </c>
      <c r="V193" t="s">
        <v>347</v>
      </c>
      <c r="W193" t="s">
        <v>1498</v>
      </c>
      <c r="X193" t="s">
        <v>1499</v>
      </c>
      <c r="Y193" t="s">
        <v>1500</v>
      </c>
      <c r="Z193" t="s">
        <v>80</v>
      </c>
      <c r="AA193" t="s">
        <v>85</v>
      </c>
      <c r="AC193" t="s">
        <v>1501</v>
      </c>
      <c r="AD193" t="s">
        <v>87</v>
      </c>
      <c r="AH193" t="s">
        <v>91</v>
      </c>
      <c r="AI193" t="s">
        <v>92</v>
      </c>
      <c r="AJ193" t="s">
        <v>131</v>
      </c>
      <c r="AK193" t="s">
        <v>1502</v>
      </c>
      <c r="AL193" t="s">
        <v>95</v>
      </c>
      <c r="AM193" t="s">
        <v>96</v>
      </c>
      <c r="AN193" t="s">
        <v>97</v>
      </c>
      <c r="AO193" t="s">
        <v>98</v>
      </c>
      <c r="AP193" t="s">
        <v>78</v>
      </c>
      <c r="AQ193" t="s">
        <v>78</v>
      </c>
      <c r="AR193" t="s">
        <v>353</v>
      </c>
      <c r="AS193" t="s">
        <v>78</v>
      </c>
      <c r="AT193" t="s">
        <v>100</v>
      </c>
      <c r="AU193" t="s">
        <v>100</v>
      </c>
      <c r="AW193" t="s">
        <v>85</v>
      </c>
      <c r="AX193" t="s">
        <v>103</v>
      </c>
      <c r="AY193" t="s">
        <v>159</v>
      </c>
      <c r="AZ193" t="s">
        <v>103</v>
      </c>
      <c r="BA193" t="s">
        <v>133</v>
      </c>
      <c r="BB193" t="s">
        <v>78</v>
      </c>
      <c r="BC193" t="s">
        <v>78</v>
      </c>
      <c r="BE193">
        <v>0</v>
      </c>
      <c r="BF193">
        <v>0</v>
      </c>
      <c r="BG193">
        <v>0</v>
      </c>
      <c r="BH193">
        <v>0</v>
      </c>
      <c r="BJ193" t="s">
        <v>85</v>
      </c>
      <c r="BP193" t="s">
        <v>78</v>
      </c>
      <c r="BQ193" t="s">
        <v>78</v>
      </c>
      <c r="BR193" t="s">
        <v>78</v>
      </c>
    </row>
    <row r="194" customFormat="1" spans="1:70">
      <c r="A194" t="s">
        <v>4064</v>
      </c>
      <c r="B194" t="s">
        <v>4064</v>
      </c>
      <c r="C194" t="s">
        <v>1126</v>
      </c>
      <c r="D194" t="s">
        <v>1504</v>
      </c>
      <c r="E194">
        <v>1</v>
      </c>
      <c r="F194" t="s">
        <v>4004</v>
      </c>
      <c r="G194" t="s">
        <v>1505</v>
      </c>
      <c r="H194">
        <v>249</v>
      </c>
      <c r="I194">
        <v>249</v>
      </c>
      <c r="J194">
        <v>0</v>
      </c>
      <c r="K194">
        <v>0</v>
      </c>
      <c r="L194" t="s">
        <v>78</v>
      </c>
      <c r="M194" t="s">
        <v>78</v>
      </c>
      <c r="N194" t="s">
        <v>78</v>
      </c>
      <c r="O194">
        <v>0</v>
      </c>
      <c r="P194">
        <v>0</v>
      </c>
      <c r="Q194">
        <v>0</v>
      </c>
      <c r="R194" t="s">
        <v>79</v>
      </c>
      <c r="S194">
        <v>0</v>
      </c>
      <c r="T194" t="s">
        <v>80</v>
      </c>
      <c r="U194" t="s">
        <v>80</v>
      </c>
      <c r="V194" t="s">
        <v>271</v>
      </c>
      <c r="W194" t="s">
        <v>1506</v>
      </c>
      <c r="X194" t="s">
        <v>1507</v>
      </c>
      <c r="Y194" t="s">
        <v>1508</v>
      </c>
      <c r="Z194" t="s">
        <v>80</v>
      </c>
      <c r="AA194" t="s">
        <v>85</v>
      </c>
      <c r="AC194" t="s">
        <v>1509</v>
      </c>
      <c r="AD194" t="s">
        <v>87</v>
      </c>
      <c r="AG194" t="s">
        <v>1510</v>
      </c>
      <c r="AH194" t="s">
        <v>91</v>
      </c>
      <c r="AI194" t="s">
        <v>92</v>
      </c>
      <c r="AJ194" t="s">
        <v>131</v>
      </c>
      <c r="AK194" t="s">
        <v>1511</v>
      </c>
      <c r="AL194" t="s">
        <v>95</v>
      </c>
      <c r="AM194" t="s">
        <v>96</v>
      </c>
      <c r="AN194" t="s">
        <v>97</v>
      </c>
      <c r="AO194" t="s">
        <v>98</v>
      </c>
      <c r="AP194" t="s">
        <v>78</v>
      </c>
      <c r="AQ194" t="s">
        <v>99</v>
      </c>
      <c r="AS194" t="s">
        <v>78</v>
      </c>
      <c r="AT194" t="s">
        <v>100</v>
      </c>
      <c r="AU194" t="s">
        <v>100</v>
      </c>
      <c r="AW194" t="s">
        <v>85</v>
      </c>
      <c r="AX194" t="s">
        <v>103</v>
      </c>
      <c r="AY194" t="s">
        <v>159</v>
      </c>
      <c r="AZ194" t="s">
        <v>103</v>
      </c>
      <c r="BA194" t="s">
        <v>419</v>
      </c>
      <c r="BB194" t="s">
        <v>78</v>
      </c>
      <c r="BC194" t="s">
        <v>78</v>
      </c>
      <c r="BE194">
        <v>0</v>
      </c>
      <c r="BF194">
        <v>0</v>
      </c>
      <c r="BG194">
        <v>0</v>
      </c>
      <c r="BH194">
        <v>0</v>
      </c>
      <c r="BJ194" t="s">
        <v>85</v>
      </c>
      <c r="BP194" t="s">
        <v>78</v>
      </c>
      <c r="BQ194" t="s">
        <v>78</v>
      </c>
      <c r="BR194" t="s">
        <v>78</v>
      </c>
    </row>
    <row r="195" customFormat="1" spans="1:70">
      <c r="A195" t="s">
        <v>4065</v>
      </c>
      <c r="B195" t="s">
        <v>4065</v>
      </c>
      <c r="C195" t="s">
        <v>107</v>
      </c>
      <c r="D195" t="s">
        <v>123</v>
      </c>
      <c r="E195">
        <v>1</v>
      </c>
      <c r="F195" t="s">
        <v>3857</v>
      </c>
      <c r="G195" t="s">
        <v>124</v>
      </c>
      <c r="H195">
        <v>289</v>
      </c>
      <c r="I195">
        <v>289</v>
      </c>
      <c r="J195">
        <v>0</v>
      </c>
      <c r="K195">
        <v>0</v>
      </c>
      <c r="L195" t="s">
        <v>78</v>
      </c>
      <c r="M195" t="s">
        <v>78</v>
      </c>
      <c r="N195" t="s">
        <v>78</v>
      </c>
      <c r="O195">
        <v>0</v>
      </c>
      <c r="P195">
        <v>0</v>
      </c>
      <c r="Q195">
        <v>0</v>
      </c>
      <c r="R195" t="s">
        <v>79</v>
      </c>
      <c r="S195">
        <v>0</v>
      </c>
      <c r="T195" t="s">
        <v>80</v>
      </c>
      <c r="U195" t="s">
        <v>80</v>
      </c>
      <c r="V195" t="s">
        <v>112</v>
      </c>
      <c r="W195" t="s">
        <v>198</v>
      </c>
      <c r="X195" t="s">
        <v>199</v>
      </c>
      <c r="Y195" t="s">
        <v>200</v>
      </c>
      <c r="Z195" t="s">
        <v>80</v>
      </c>
      <c r="AA195" t="s">
        <v>85</v>
      </c>
      <c r="AC195" t="s">
        <v>1513</v>
      </c>
      <c r="AD195" t="s">
        <v>87</v>
      </c>
      <c r="AG195" t="s">
        <v>1514</v>
      </c>
      <c r="AH195" t="s">
        <v>91</v>
      </c>
      <c r="AI195" t="s">
        <v>92</v>
      </c>
      <c r="AJ195" t="s">
        <v>131</v>
      </c>
      <c r="AK195" t="s">
        <v>1515</v>
      </c>
      <c r="AL195" t="s">
        <v>95</v>
      </c>
      <c r="AM195" t="s">
        <v>96</v>
      </c>
      <c r="AN195" t="s">
        <v>97</v>
      </c>
      <c r="AO195" t="s">
        <v>98</v>
      </c>
      <c r="AP195" t="s">
        <v>78</v>
      </c>
      <c r="AQ195" t="s">
        <v>99</v>
      </c>
      <c r="AS195" t="s">
        <v>78</v>
      </c>
      <c r="AT195" t="s">
        <v>100</v>
      </c>
      <c r="AU195" t="s">
        <v>100</v>
      </c>
      <c r="AW195" t="s">
        <v>85</v>
      </c>
      <c r="AX195" t="s">
        <v>103</v>
      </c>
      <c r="AY195" t="s">
        <v>159</v>
      </c>
      <c r="AZ195" t="s">
        <v>103</v>
      </c>
      <c r="BA195" t="s">
        <v>102</v>
      </c>
      <c r="BB195" t="s">
        <v>78</v>
      </c>
      <c r="BC195" t="s">
        <v>78</v>
      </c>
      <c r="BE195">
        <v>0</v>
      </c>
      <c r="BF195">
        <v>0</v>
      </c>
      <c r="BG195">
        <v>0</v>
      </c>
      <c r="BH195">
        <v>0</v>
      </c>
      <c r="BJ195" t="s">
        <v>85</v>
      </c>
      <c r="BP195" t="s">
        <v>78</v>
      </c>
      <c r="BQ195" t="s">
        <v>78</v>
      </c>
      <c r="BR195" t="s">
        <v>78</v>
      </c>
    </row>
    <row r="196" customFormat="1" spans="1:70">
      <c r="A196" t="s">
        <v>4066</v>
      </c>
      <c r="B196" t="s">
        <v>4066</v>
      </c>
      <c r="C196" t="s">
        <v>107</v>
      </c>
      <c r="D196" t="s">
        <v>108</v>
      </c>
      <c r="E196">
        <v>1</v>
      </c>
      <c r="F196" t="s">
        <v>3857</v>
      </c>
      <c r="G196" t="s">
        <v>110</v>
      </c>
      <c r="H196">
        <v>289</v>
      </c>
      <c r="I196">
        <v>289</v>
      </c>
      <c r="J196">
        <v>0</v>
      </c>
      <c r="K196">
        <v>0</v>
      </c>
      <c r="L196" t="s">
        <v>78</v>
      </c>
      <c r="M196" t="s">
        <v>78</v>
      </c>
      <c r="N196" t="s">
        <v>78</v>
      </c>
      <c r="O196">
        <v>0</v>
      </c>
      <c r="P196">
        <v>0</v>
      </c>
      <c r="Q196">
        <v>0</v>
      </c>
      <c r="R196" t="s">
        <v>125</v>
      </c>
      <c r="S196">
        <v>0</v>
      </c>
      <c r="T196" t="s">
        <v>80</v>
      </c>
      <c r="U196" t="s">
        <v>80</v>
      </c>
      <c r="V196" t="s">
        <v>221</v>
      </c>
      <c r="W196" t="s">
        <v>599</v>
      </c>
      <c r="X196" t="s">
        <v>1062</v>
      </c>
      <c r="Y196" t="s">
        <v>1063</v>
      </c>
      <c r="Z196" t="s">
        <v>80</v>
      </c>
      <c r="AA196" t="s">
        <v>85</v>
      </c>
      <c r="AC196" t="s">
        <v>1517</v>
      </c>
      <c r="AD196" t="s">
        <v>87</v>
      </c>
      <c r="AG196" t="s">
        <v>1518</v>
      </c>
      <c r="AH196" t="s">
        <v>91</v>
      </c>
      <c r="AI196" t="s">
        <v>92</v>
      </c>
      <c r="AJ196" t="s">
        <v>131</v>
      </c>
      <c r="AK196" t="s">
        <v>1519</v>
      </c>
      <c r="AL196" t="s">
        <v>95</v>
      </c>
      <c r="AM196" t="s">
        <v>96</v>
      </c>
      <c r="AN196" t="s">
        <v>97</v>
      </c>
      <c r="AO196" t="s">
        <v>98</v>
      </c>
      <c r="AP196" t="s">
        <v>78</v>
      </c>
      <c r="AQ196" t="s">
        <v>99</v>
      </c>
      <c r="AS196" t="s">
        <v>78</v>
      </c>
      <c r="AT196" t="s">
        <v>100</v>
      </c>
      <c r="AU196" t="s">
        <v>100</v>
      </c>
      <c r="AW196" t="s">
        <v>85</v>
      </c>
      <c r="AX196" t="s">
        <v>101</v>
      </c>
      <c r="AY196" t="s">
        <v>102</v>
      </c>
      <c r="AZ196" t="s">
        <v>145</v>
      </c>
      <c r="BA196" t="s">
        <v>146</v>
      </c>
      <c r="BB196" t="s">
        <v>78</v>
      </c>
      <c r="BC196" t="s">
        <v>78</v>
      </c>
      <c r="BE196">
        <v>0</v>
      </c>
      <c r="BF196">
        <v>0</v>
      </c>
      <c r="BG196">
        <v>0</v>
      </c>
      <c r="BH196">
        <v>0</v>
      </c>
      <c r="BJ196" t="s">
        <v>85</v>
      </c>
      <c r="BP196" t="s">
        <v>78</v>
      </c>
      <c r="BQ196" t="s">
        <v>78</v>
      </c>
      <c r="BR196" t="s">
        <v>78</v>
      </c>
    </row>
    <row r="197" customFormat="1" spans="1:70">
      <c r="A197" t="s">
        <v>4067</v>
      </c>
      <c r="B197" t="s">
        <v>4067</v>
      </c>
      <c r="C197" t="s">
        <v>1126</v>
      </c>
      <c r="D197" t="s">
        <v>1127</v>
      </c>
      <c r="E197">
        <v>1</v>
      </c>
      <c r="F197" t="s">
        <v>4004</v>
      </c>
      <c r="G197" t="s">
        <v>1129</v>
      </c>
      <c r="H197">
        <v>249</v>
      </c>
      <c r="I197">
        <v>249</v>
      </c>
      <c r="J197">
        <v>0</v>
      </c>
      <c r="K197">
        <v>0</v>
      </c>
      <c r="L197" t="s">
        <v>78</v>
      </c>
      <c r="M197" t="s">
        <v>78</v>
      </c>
      <c r="N197" t="s">
        <v>78</v>
      </c>
      <c r="O197">
        <v>0</v>
      </c>
      <c r="P197">
        <v>0</v>
      </c>
      <c r="Q197">
        <v>0</v>
      </c>
      <c r="R197" t="s">
        <v>79</v>
      </c>
      <c r="S197">
        <v>0</v>
      </c>
      <c r="T197" t="s">
        <v>80</v>
      </c>
      <c r="U197" t="s">
        <v>80</v>
      </c>
      <c r="V197" t="s">
        <v>178</v>
      </c>
      <c r="W197" t="s">
        <v>178</v>
      </c>
      <c r="X197" t="s">
        <v>1332</v>
      </c>
      <c r="Y197" t="s">
        <v>78</v>
      </c>
      <c r="Z197" t="s">
        <v>80</v>
      </c>
      <c r="AA197" t="s">
        <v>85</v>
      </c>
      <c r="AC197" t="s">
        <v>1521</v>
      </c>
      <c r="AD197" t="s">
        <v>202</v>
      </c>
      <c r="AE197" t="s">
        <v>1522</v>
      </c>
      <c r="AG197" t="s">
        <v>1523</v>
      </c>
      <c r="AH197" t="s">
        <v>91</v>
      </c>
      <c r="AI197" t="s">
        <v>92</v>
      </c>
      <c r="AJ197" t="s">
        <v>131</v>
      </c>
      <c r="AK197" t="s">
        <v>1524</v>
      </c>
      <c r="AL197" t="s">
        <v>95</v>
      </c>
      <c r="AM197" t="s">
        <v>96</v>
      </c>
      <c r="AN197" t="s">
        <v>97</v>
      </c>
      <c r="AO197" t="s">
        <v>98</v>
      </c>
      <c r="AP197" t="s">
        <v>78</v>
      </c>
      <c r="AQ197" t="s">
        <v>99</v>
      </c>
      <c r="AS197" t="s">
        <v>78</v>
      </c>
      <c r="AT197" t="s">
        <v>100</v>
      </c>
      <c r="AU197" t="s">
        <v>100</v>
      </c>
      <c r="AW197" t="s">
        <v>85</v>
      </c>
      <c r="AX197" t="s">
        <v>101</v>
      </c>
      <c r="AY197" t="s">
        <v>102</v>
      </c>
      <c r="AZ197" t="s">
        <v>103</v>
      </c>
      <c r="BA197" t="s">
        <v>419</v>
      </c>
      <c r="BB197" t="s">
        <v>78</v>
      </c>
      <c r="BC197" t="s">
        <v>78</v>
      </c>
      <c r="BD197" t="s">
        <v>1220</v>
      </c>
      <c r="BE197">
        <v>0</v>
      </c>
      <c r="BF197">
        <v>0</v>
      </c>
      <c r="BG197">
        <v>0</v>
      </c>
      <c r="BH197">
        <v>0</v>
      </c>
      <c r="BJ197" t="s">
        <v>85</v>
      </c>
      <c r="BP197" t="s">
        <v>78</v>
      </c>
      <c r="BQ197" t="s">
        <v>78</v>
      </c>
      <c r="BR197" t="s">
        <v>78</v>
      </c>
    </row>
    <row r="198" customFormat="1" spans="1:70">
      <c r="A198" t="s">
        <v>4068</v>
      </c>
      <c r="B198" t="s">
        <v>4068</v>
      </c>
      <c r="C198" t="s">
        <v>107</v>
      </c>
      <c r="D198" t="s">
        <v>123</v>
      </c>
      <c r="E198">
        <v>1</v>
      </c>
      <c r="F198" t="s">
        <v>3857</v>
      </c>
      <c r="G198" t="s">
        <v>124</v>
      </c>
      <c r="H198">
        <v>289</v>
      </c>
      <c r="I198">
        <v>289</v>
      </c>
      <c r="J198">
        <v>0</v>
      </c>
      <c r="K198">
        <v>0</v>
      </c>
      <c r="L198" t="s">
        <v>78</v>
      </c>
      <c r="M198" t="s">
        <v>78</v>
      </c>
      <c r="N198" t="s">
        <v>78</v>
      </c>
      <c r="O198">
        <v>0</v>
      </c>
      <c r="P198">
        <v>0</v>
      </c>
      <c r="Q198">
        <v>0</v>
      </c>
      <c r="R198" t="s">
        <v>125</v>
      </c>
      <c r="S198">
        <v>0</v>
      </c>
      <c r="T198" t="s">
        <v>80</v>
      </c>
      <c r="U198" t="s">
        <v>80</v>
      </c>
      <c r="V198" t="s">
        <v>347</v>
      </c>
      <c r="W198" t="s">
        <v>1526</v>
      </c>
      <c r="X198" t="s">
        <v>1527</v>
      </c>
      <c r="Y198" t="s">
        <v>1528</v>
      </c>
      <c r="Z198" t="s">
        <v>80</v>
      </c>
      <c r="AA198" t="s">
        <v>85</v>
      </c>
      <c r="AC198" t="s">
        <v>1529</v>
      </c>
      <c r="AD198" t="s">
        <v>87</v>
      </c>
      <c r="AG198" t="s">
        <v>1530</v>
      </c>
      <c r="AH198" t="s">
        <v>91</v>
      </c>
      <c r="AI198" t="s">
        <v>92</v>
      </c>
      <c r="AJ198" t="s">
        <v>131</v>
      </c>
      <c r="AK198" t="s">
        <v>1531</v>
      </c>
      <c r="AL198" t="s">
        <v>95</v>
      </c>
      <c r="AM198" t="s">
        <v>96</v>
      </c>
      <c r="AN198" t="s">
        <v>97</v>
      </c>
      <c r="AO198" t="s">
        <v>98</v>
      </c>
      <c r="AP198" t="s">
        <v>78</v>
      </c>
      <c r="AQ198" t="s">
        <v>99</v>
      </c>
      <c r="AS198" t="s">
        <v>78</v>
      </c>
      <c r="AT198" t="s">
        <v>100</v>
      </c>
      <c r="AU198" t="s">
        <v>100</v>
      </c>
      <c r="AW198" t="s">
        <v>85</v>
      </c>
      <c r="AX198" t="s">
        <v>103</v>
      </c>
      <c r="AY198" t="s">
        <v>159</v>
      </c>
      <c r="AZ198" t="s">
        <v>103</v>
      </c>
      <c r="BA198" t="s">
        <v>104</v>
      </c>
      <c r="BB198" t="s">
        <v>78</v>
      </c>
      <c r="BC198" t="s">
        <v>78</v>
      </c>
      <c r="BE198">
        <v>0</v>
      </c>
      <c r="BF198">
        <v>0</v>
      </c>
      <c r="BG198">
        <v>0</v>
      </c>
      <c r="BH198">
        <v>0</v>
      </c>
      <c r="BJ198" t="s">
        <v>85</v>
      </c>
      <c r="BP198" t="s">
        <v>78</v>
      </c>
      <c r="BQ198" t="s">
        <v>78</v>
      </c>
      <c r="BR198" t="s">
        <v>78</v>
      </c>
    </row>
    <row r="199" customFormat="1" spans="1:70">
      <c r="A199" t="s">
        <v>4069</v>
      </c>
      <c r="B199" t="s">
        <v>4069</v>
      </c>
      <c r="C199" t="s">
        <v>107</v>
      </c>
      <c r="D199" t="s">
        <v>135</v>
      </c>
      <c r="E199">
        <v>1</v>
      </c>
      <c r="F199" t="s">
        <v>3857</v>
      </c>
      <c r="G199" t="s">
        <v>136</v>
      </c>
      <c r="H199">
        <v>289</v>
      </c>
      <c r="I199">
        <v>289</v>
      </c>
      <c r="J199">
        <v>0</v>
      </c>
      <c r="K199">
        <v>0</v>
      </c>
      <c r="L199" t="s">
        <v>78</v>
      </c>
      <c r="M199" t="s">
        <v>78</v>
      </c>
      <c r="N199" t="s">
        <v>78</v>
      </c>
      <c r="O199">
        <v>0</v>
      </c>
      <c r="P199">
        <v>0</v>
      </c>
      <c r="Q199">
        <v>0</v>
      </c>
      <c r="R199" t="s">
        <v>79</v>
      </c>
      <c r="S199">
        <v>0</v>
      </c>
      <c r="T199" t="s">
        <v>80</v>
      </c>
      <c r="U199" t="s">
        <v>80</v>
      </c>
      <c r="V199" t="s">
        <v>347</v>
      </c>
      <c r="W199" t="s">
        <v>348</v>
      </c>
      <c r="X199" t="s">
        <v>1533</v>
      </c>
      <c r="Y199" t="s">
        <v>1534</v>
      </c>
      <c r="Z199" t="s">
        <v>80</v>
      </c>
      <c r="AA199" t="s">
        <v>85</v>
      </c>
      <c r="AC199" t="s">
        <v>1535</v>
      </c>
      <c r="AD199" t="s">
        <v>87</v>
      </c>
      <c r="AF199" t="s">
        <v>1387</v>
      </c>
      <c r="AG199" t="s">
        <v>1536</v>
      </c>
      <c r="AH199" t="s">
        <v>227</v>
      </c>
      <c r="AI199" t="s">
        <v>92</v>
      </c>
      <c r="AJ199" t="s">
        <v>93</v>
      </c>
      <c r="AK199" t="s">
        <v>1537</v>
      </c>
      <c r="AL199" t="s">
        <v>95</v>
      </c>
      <c r="AM199" t="s">
        <v>96</v>
      </c>
      <c r="AN199" t="s">
        <v>97</v>
      </c>
      <c r="AO199" t="s">
        <v>98</v>
      </c>
      <c r="AP199" t="s">
        <v>78</v>
      </c>
      <c r="AQ199" t="s">
        <v>78</v>
      </c>
      <c r="AS199" t="s">
        <v>78</v>
      </c>
      <c r="AT199" t="s">
        <v>100</v>
      </c>
      <c r="AU199" t="s">
        <v>100</v>
      </c>
      <c r="AW199" t="s">
        <v>85</v>
      </c>
      <c r="AX199" t="s">
        <v>101</v>
      </c>
      <c r="AY199" t="s">
        <v>102</v>
      </c>
      <c r="AZ199" t="s">
        <v>103</v>
      </c>
      <c r="BA199" t="s">
        <v>133</v>
      </c>
      <c r="BB199" t="s">
        <v>78</v>
      </c>
      <c r="BC199" t="s">
        <v>78</v>
      </c>
      <c r="BD199" t="s">
        <v>1375</v>
      </c>
      <c r="BE199">
        <v>0</v>
      </c>
      <c r="BF199">
        <v>0</v>
      </c>
      <c r="BG199">
        <v>0</v>
      </c>
      <c r="BH199">
        <v>0</v>
      </c>
      <c r="BJ199" t="s">
        <v>85</v>
      </c>
      <c r="BP199" t="s">
        <v>78</v>
      </c>
      <c r="BQ199" t="s">
        <v>78</v>
      </c>
      <c r="BR199" t="s">
        <v>78</v>
      </c>
    </row>
    <row r="200" customFormat="1" spans="1:70">
      <c r="A200" t="s">
        <v>4070</v>
      </c>
      <c r="B200" t="s">
        <v>4070</v>
      </c>
      <c r="C200" t="s">
        <v>107</v>
      </c>
      <c r="D200" t="s">
        <v>108</v>
      </c>
      <c r="E200">
        <v>1</v>
      </c>
      <c r="F200" t="s">
        <v>3857</v>
      </c>
      <c r="G200" t="s">
        <v>110</v>
      </c>
      <c r="H200">
        <v>289</v>
      </c>
      <c r="I200">
        <v>289</v>
      </c>
      <c r="J200">
        <v>0</v>
      </c>
      <c r="K200">
        <v>0</v>
      </c>
      <c r="L200" t="s">
        <v>78</v>
      </c>
      <c r="M200" t="s">
        <v>78</v>
      </c>
      <c r="N200" t="s">
        <v>78</v>
      </c>
      <c r="O200">
        <v>0</v>
      </c>
      <c r="P200">
        <v>0</v>
      </c>
      <c r="Q200">
        <v>0</v>
      </c>
      <c r="R200" t="s">
        <v>125</v>
      </c>
      <c r="S200">
        <v>0</v>
      </c>
      <c r="T200" t="s">
        <v>80</v>
      </c>
      <c r="U200" t="s">
        <v>80</v>
      </c>
      <c r="V200" t="s">
        <v>325</v>
      </c>
      <c r="W200" t="s">
        <v>1539</v>
      </c>
      <c r="X200" t="s">
        <v>1540</v>
      </c>
      <c r="Y200" t="s">
        <v>1541</v>
      </c>
      <c r="Z200" t="s">
        <v>80</v>
      </c>
      <c r="AA200" t="s">
        <v>85</v>
      </c>
      <c r="AC200" t="s">
        <v>1542</v>
      </c>
      <c r="AD200" t="s">
        <v>87</v>
      </c>
      <c r="AH200" t="s">
        <v>254</v>
      </c>
      <c r="AI200" t="s">
        <v>92</v>
      </c>
      <c r="AJ200" t="s">
        <v>131</v>
      </c>
      <c r="AK200" t="s">
        <v>1543</v>
      </c>
      <c r="AL200" t="s">
        <v>95</v>
      </c>
      <c r="AM200" t="s">
        <v>96</v>
      </c>
      <c r="AN200" t="s">
        <v>97</v>
      </c>
      <c r="AO200" t="s">
        <v>98</v>
      </c>
      <c r="AP200" t="s">
        <v>78</v>
      </c>
      <c r="AQ200" t="s">
        <v>78</v>
      </c>
      <c r="AR200" t="s">
        <v>353</v>
      </c>
      <c r="AS200" t="s">
        <v>78</v>
      </c>
      <c r="AT200" t="s">
        <v>100</v>
      </c>
      <c r="AU200" t="s">
        <v>100</v>
      </c>
      <c r="AW200" t="s">
        <v>85</v>
      </c>
      <c r="AX200" t="s">
        <v>103</v>
      </c>
      <c r="AY200" t="s">
        <v>159</v>
      </c>
      <c r="AZ200" t="s">
        <v>103</v>
      </c>
      <c r="BA200" t="s">
        <v>102</v>
      </c>
      <c r="BB200" t="s">
        <v>78</v>
      </c>
      <c r="BC200" t="s">
        <v>78</v>
      </c>
      <c r="BE200">
        <v>0</v>
      </c>
      <c r="BF200">
        <v>0</v>
      </c>
      <c r="BG200">
        <v>0</v>
      </c>
      <c r="BH200">
        <v>0</v>
      </c>
      <c r="BJ200" t="s">
        <v>85</v>
      </c>
      <c r="BP200" t="s">
        <v>78</v>
      </c>
      <c r="BQ200" t="s">
        <v>78</v>
      </c>
      <c r="BR200" t="s">
        <v>78</v>
      </c>
    </row>
    <row r="201" customFormat="1" spans="1:70">
      <c r="A201" t="s">
        <v>4071</v>
      </c>
      <c r="B201" t="s">
        <v>4071</v>
      </c>
      <c r="C201" t="s">
        <v>107</v>
      </c>
      <c r="D201" t="s">
        <v>108</v>
      </c>
      <c r="E201">
        <v>1</v>
      </c>
      <c r="F201" t="s">
        <v>3857</v>
      </c>
      <c r="G201" t="s">
        <v>110</v>
      </c>
      <c r="H201">
        <v>289</v>
      </c>
      <c r="I201">
        <v>286</v>
      </c>
      <c r="J201">
        <v>0</v>
      </c>
      <c r="K201">
        <v>3</v>
      </c>
      <c r="L201" t="s">
        <v>1545</v>
      </c>
      <c r="M201" t="s">
        <v>78</v>
      </c>
      <c r="N201" t="s">
        <v>78</v>
      </c>
      <c r="O201">
        <v>0</v>
      </c>
      <c r="P201">
        <v>0</v>
      </c>
      <c r="Q201">
        <v>0</v>
      </c>
      <c r="R201" t="s">
        <v>125</v>
      </c>
      <c r="S201">
        <v>0</v>
      </c>
      <c r="T201" t="s">
        <v>80</v>
      </c>
      <c r="U201" t="s">
        <v>80</v>
      </c>
      <c r="V201" t="s">
        <v>271</v>
      </c>
      <c r="W201" t="s">
        <v>272</v>
      </c>
      <c r="X201" t="s">
        <v>1546</v>
      </c>
      <c r="Y201" t="s">
        <v>1547</v>
      </c>
      <c r="Z201" t="s">
        <v>80</v>
      </c>
      <c r="AA201" t="s">
        <v>85</v>
      </c>
      <c r="AC201" t="s">
        <v>1548</v>
      </c>
      <c r="AD201" t="s">
        <v>87</v>
      </c>
      <c r="AF201" t="s">
        <v>1549</v>
      </c>
      <c r="AG201" t="s">
        <v>1550</v>
      </c>
      <c r="AH201" t="s">
        <v>298</v>
      </c>
      <c r="AI201" t="s">
        <v>92</v>
      </c>
      <c r="AJ201" t="s">
        <v>93</v>
      </c>
      <c r="AK201" t="s">
        <v>1551</v>
      </c>
      <c r="AL201" t="s">
        <v>95</v>
      </c>
      <c r="AM201" t="s">
        <v>96</v>
      </c>
      <c r="AN201" t="s">
        <v>97</v>
      </c>
      <c r="AO201" t="s">
        <v>98</v>
      </c>
      <c r="AP201" t="s">
        <v>78</v>
      </c>
      <c r="AQ201" t="s">
        <v>78</v>
      </c>
      <c r="AS201" t="s">
        <v>78</v>
      </c>
      <c r="AT201" t="s">
        <v>100</v>
      </c>
      <c r="AU201" t="s">
        <v>100</v>
      </c>
      <c r="AW201" t="s">
        <v>85</v>
      </c>
      <c r="AX201" t="s">
        <v>103</v>
      </c>
      <c r="AY201" t="s">
        <v>159</v>
      </c>
      <c r="AZ201" t="s">
        <v>103</v>
      </c>
      <c r="BA201" t="s">
        <v>104</v>
      </c>
      <c r="BB201" t="s">
        <v>78</v>
      </c>
      <c r="BC201" t="s">
        <v>78</v>
      </c>
      <c r="BD201" t="s">
        <v>1375</v>
      </c>
      <c r="BE201">
        <v>0</v>
      </c>
      <c r="BF201">
        <v>3</v>
      </c>
      <c r="BG201">
        <v>0</v>
      </c>
      <c r="BH201">
        <v>0</v>
      </c>
      <c r="BJ201" t="s">
        <v>85</v>
      </c>
      <c r="BP201" t="s">
        <v>78</v>
      </c>
      <c r="BQ201" t="s">
        <v>78</v>
      </c>
      <c r="BR201" t="s">
        <v>78</v>
      </c>
    </row>
    <row r="202" customFormat="1" spans="1:70">
      <c r="A202" t="s">
        <v>4072</v>
      </c>
      <c r="B202" t="s">
        <v>4072</v>
      </c>
      <c r="C202" t="s">
        <v>107</v>
      </c>
      <c r="D202" t="s">
        <v>135</v>
      </c>
      <c r="E202">
        <v>1</v>
      </c>
      <c r="F202" t="s">
        <v>3857</v>
      </c>
      <c r="G202" t="s">
        <v>136</v>
      </c>
      <c r="H202">
        <v>289</v>
      </c>
      <c r="I202">
        <v>287.24</v>
      </c>
      <c r="J202">
        <v>0</v>
      </c>
      <c r="K202">
        <v>2.57</v>
      </c>
      <c r="L202" t="s">
        <v>1553</v>
      </c>
      <c r="M202" t="s">
        <v>78</v>
      </c>
      <c r="N202" t="s">
        <v>78</v>
      </c>
      <c r="O202">
        <v>0</v>
      </c>
      <c r="P202">
        <v>0.81</v>
      </c>
      <c r="Q202">
        <v>0</v>
      </c>
      <c r="R202" t="s">
        <v>125</v>
      </c>
      <c r="S202">
        <v>0</v>
      </c>
      <c r="T202" t="s">
        <v>80</v>
      </c>
      <c r="U202" t="s">
        <v>80</v>
      </c>
      <c r="V202" t="s">
        <v>138</v>
      </c>
      <c r="W202" t="s">
        <v>1554</v>
      </c>
      <c r="X202" t="s">
        <v>1555</v>
      </c>
      <c r="Y202" t="s">
        <v>1556</v>
      </c>
      <c r="Z202" t="s">
        <v>80</v>
      </c>
      <c r="AA202" t="s">
        <v>85</v>
      </c>
      <c r="AC202" t="s">
        <v>1557</v>
      </c>
      <c r="AD202" t="s">
        <v>87</v>
      </c>
      <c r="AF202" t="s">
        <v>1387</v>
      </c>
      <c r="AG202" t="s">
        <v>1558</v>
      </c>
      <c r="AH202" t="s">
        <v>298</v>
      </c>
      <c r="AI202" t="s">
        <v>92</v>
      </c>
      <c r="AJ202" t="s">
        <v>93</v>
      </c>
      <c r="AK202" t="s">
        <v>1559</v>
      </c>
      <c r="AL202" t="s">
        <v>95</v>
      </c>
      <c r="AM202" t="s">
        <v>96</v>
      </c>
      <c r="AN202" t="s">
        <v>97</v>
      </c>
      <c r="AO202" t="s">
        <v>98</v>
      </c>
      <c r="AP202" t="s">
        <v>78</v>
      </c>
      <c r="AQ202" t="s">
        <v>78</v>
      </c>
      <c r="AS202" t="s">
        <v>78</v>
      </c>
      <c r="AT202" t="s">
        <v>100</v>
      </c>
      <c r="AU202" t="s">
        <v>100</v>
      </c>
      <c r="AW202" t="s">
        <v>85</v>
      </c>
      <c r="AX202" t="s">
        <v>101</v>
      </c>
      <c r="AY202" t="s">
        <v>102</v>
      </c>
      <c r="AZ202" t="s">
        <v>103</v>
      </c>
      <c r="BA202" t="s">
        <v>419</v>
      </c>
      <c r="BB202" t="s">
        <v>78</v>
      </c>
      <c r="BC202" t="s">
        <v>78</v>
      </c>
      <c r="BD202" t="s">
        <v>1375</v>
      </c>
      <c r="BE202">
        <v>0</v>
      </c>
      <c r="BF202">
        <v>1.76</v>
      </c>
      <c r="BG202">
        <v>0</v>
      </c>
      <c r="BH202">
        <v>0</v>
      </c>
      <c r="BJ202" t="s">
        <v>85</v>
      </c>
      <c r="BP202" t="s">
        <v>78</v>
      </c>
      <c r="BQ202" t="s">
        <v>78</v>
      </c>
      <c r="BR202" t="s">
        <v>78</v>
      </c>
    </row>
    <row r="203" customFormat="1" spans="1:70">
      <c r="A203" t="s">
        <v>4073</v>
      </c>
      <c r="B203" t="s">
        <v>4073</v>
      </c>
      <c r="C203" t="s">
        <v>107</v>
      </c>
      <c r="D203" t="s">
        <v>135</v>
      </c>
      <c r="E203">
        <v>1</v>
      </c>
      <c r="F203" t="s">
        <v>3857</v>
      </c>
      <c r="G203" t="s">
        <v>136</v>
      </c>
      <c r="H203">
        <v>289</v>
      </c>
      <c r="I203">
        <v>289</v>
      </c>
      <c r="J203">
        <v>0</v>
      </c>
      <c r="K203">
        <v>0</v>
      </c>
      <c r="L203" t="s">
        <v>78</v>
      </c>
      <c r="M203" t="s">
        <v>78</v>
      </c>
      <c r="N203" t="s">
        <v>78</v>
      </c>
      <c r="O203">
        <v>0</v>
      </c>
      <c r="P203">
        <v>0</v>
      </c>
      <c r="Q203">
        <v>0</v>
      </c>
      <c r="R203" t="s">
        <v>79</v>
      </c>
      <c r="S203">
        <v>0</v>
      </c>
      <c r="T203" t="s">
        <v>80</v>
      </c>
      <c r="U203" t="s">
        <v>80</v>
      </c>
      <c r="V203" t="s">
        <v>302</v>
      </c>
      <c r="W203" t="s">
        <v>303</v>
      </c>
      <c r="X203" t="s">
        <v>1561</v>
      </c>
      <c r="Y203" t="s">
        <v>1562</v>
      </c>
      <c r="Z203" t="s">
        <v>80</v>
      </c>
      <c r="AA203" t="s">
        <v>85</v>
      </c>
      <c r="AC203" t="s">
        <v>1563</v>
      </c>
      <c r="AD203" t="s">
        <v>87</v>
      </c>
      <c r="AF203" t="s">
        <v>1387</v>
      </c>
      <c r="AG203" t="s">
        <v>1564</v>
      </c>
      <c r="AH203" t="s">
        <v>91</v>
      </c>
      <c r="AI203" t="s">
        <v>92</v>
      </c>
      <c r="AJ203" t="s">
        <v>93</v>
      </c>
      <c r="AK203" t="s">
        <v>1565</v>
      </c>
      <c r="AL203" t="s">
        <v>95</v>
      </c>
      <c r="AM203" t="s">
        <v>96</v>
      </c>
      <c r="AN203" t="s">
        <v>97</v>
      </c>
      <c r="AO203" t="s">
        <v>98</v>
      </c>
      <c r="AP203" t="s">
        <v>78</v>
      </c>
      <c r="AQ203" t="s">
        <v>78</v>
      </c>
      <c r="AS203" t="s">
        <v>78</v>
      </c>
      <c r="AT203" t="s">
        <v>100</v>
      </c>
      <c r="AU203" t="s">
        <v>100</v>
      </c>
      <c r="AW203" t="s">
        <v>85</v>
      </c>
      <c r="AX203" t="s">
        <v>101</v>
      </c>
      <c r="AY203" t="s">
        <v>102</v>
      </c>
      <c r="AZ203" t="s">
        <v>103</v>
      </c>
      <c r="BA203" t="s">
        <v>133</v>
      </c>
      <c r="BB203" t="s">
        <v>78</v>
      </c>
      <c r="BC203" t="s">
        <v>78</v>
      </c>
      <c r="BD203" t="s">
        <v>1375</v>
      </c>
      <c r="BE203">
        <v>0</v>
      </c>
      <c r="BF203">
        <v>0</v>
      </c>
      <c r="BG203">
        <v>0</v>
      </c>
      <c r="BH203">
        <v>0</v>
      </c>
      <c r="BJ203" t="s">
        <v>85</v>
      </c>
      <c r="BP203" t="s">
        <v>78</v>
      </c>
      <c r="BQ203" t="s">
        <v>78</v>
      </c>
      <c r="BR203" t="s">
        <v>78</v>
      </c>
    </row>
    <row r="204" customFormat="1" spans="1:70">
      <c r="A204" t="s">
        <v>4074</v>
      </c>
      <c r="B204" t="s">
        <v>4074</v>
      </c>
      <c r="C204" t="s">
        <v>107</v>
      </c>
      <c r="D204" t="s">
        <v>135</v>
      </c>
      <c r="E204">
        <v>1</v>
      </c>
      <c r="F204" t="s">
        <v>3857</v>
      </c>
      <c r="G204" t="s">
        <v>136</v>
      </c>
      <c r="H204">
        <v>289</v>
      </c>
      <c r="I204">
        <v>289</v>
      </c>
      <c r="J204">
        <v>0</v>
      </c>
      <c r="K204">
        <v>0</v>
      </c>
      <c r="L204" t="s">
        <v>78</v>
      </c>
      <c r="M204" t="s">
        <v>78</v>
      </c>
      <c r="N204" t="s">
        <v>78</v>
      </c>
      <c r="O204">
        <v>0</v>
      </c>
      <c r="P204">
        <v>0</v>
      </c>
      <c r="Q204">
        <v>0</v>
      </c>
      <c r="R204" t="s">
        <v>125</v>
      </c>
      <c r="S204">
        <v>0</v>
      </c>
      <c r="T204" t="s">
        <v>80</v>
      </c>
      <c r="U204" t="s">
        <v>80</v>
      </c>
      <c r="V204" t="s">
        <v>894</v>
      </c>
      <c r="W204" t="s">
        <v>1567</v>
      </c>
      <c r="X204" t="s">
        <v>1568</v>
      </c>
      <c r="Y204" t="s">
        <v>78</v>
      </c>
      <c r="Z204" t="s">
        <v>80</v>
      </c>
      <c r="AA204" t="s">
        <v>85</v>
      </c>
      <c r="AC204" t="s">
        <v>1569</v>
      </c>
      <c r="AD204" t="s">
        <v>87</v>
      </c>
      <c r="AG204" t="s">
        <v>1570</v>
      </c>
      <c r="AH204" t="s">
        <v>91</v>
      </c>
      <c r="AI204" t="s">
        <v>92</v>
      </c>
      <c r="AJ204" t="s">
        <v>131</v>
      </c>
      <c r="AK204" t="s">
        <v>1571</v>
      </c>
      <c r="AL204" t="s">
        <v>95</v>
      </c>
      <c r="AM204" t="s">
        <v>96</v>
      </c>
      <c r="AN204" t="s">
        <v>97</v>
      </c>
      <c r="AO204" t="s">
        <v>98</v>
      </c>
      <c r="AP204" t="s">
        <v>78</v>
      </c>
      <c r="AQ204" t="s">
        <v>99</v>
      </c>
      <c r="AS204" t="s">
        <v>78</v>
      </c>
      <c r="AT204" t="s">
        <v>100</v>
      </c>
      <c r="AU204" t="s">
        <v>100</v>
      </c>
      <c r="AW204" t="s">
        <v>85</v>
      </c>
      <c r="AX204" t="s">
        <v>101</v>
      </c>
      <c r="AY204" t="s">
        <v>102</v>
      </c>
      <c r="AZ204" t="s">
        <v>103</v>
      </c>
      <c r="BA204" t="s">
        <v>120</v>
      </c>
      <c r="BB204" t="s">
        <v>78</v>
      </c>
      <c r="BC204" t="s">
        <v>78</v>
      </c>
      <c r="BE204">
        <v>0</v>
      </c>
      <c r="BF204">
        <v>0</v>
      </c>
      <c r="BG204">
        <v>0</v>
      </c>
      <c r="BH204">
        <v>0</v>
      </c>
      <c r="BJ204" t="s">
        <v>85</v>
      </c>
      <c r="BP204" t="s">
        <v>78</v>
      </c>
      <c r="BQ204" t="s">
        <v>78</v>
      </c>
      <c r="BR204" t="s">
        <v>78</v>
      </c>
    </row>
    <row r="205" customFormat="1" spans="1:70">
      <c r="A205" t="s">
        <v>4075</v>
      </c>
      <c r="B205" t="s">
        <v>4075</v>
      </c>
      <c r="C205" t="s">
        <v>107</v>
      </c>
      <c r="D205" t="s">
        <v>135</v>
      </c>
      <c r="E205">
        <v>1</v>
      </c>
      <c r="F205" t="s">
        <v>3857</v>
      </c>
      <c r="G205" t="s">
        <v>136</v>
      </c>
      <c r="H205">
        <v>289</v>
      </c>
      <c r="I205">
        <v>289</v>
      </c>
      <c r="J205">
        <v>0</v>
      </c>
      <c r="K205">
        <v>0</v>
      </c>
      <c r="L205" t="s">
        <v>78</v>
      </c>
      <c r="M205" t="s">
        <v>78</v>
      </c>
      <c r="N205" t="s">
        <v>78</v>
      </c>
      <c r="O205">
        <v>0</v>
      </c>
      <c r="P205">
        <v>0</v>
      </c>
      <c r="Q205">
        <v>0</v>
      </c>
      <c r="R205" t="s">
        <v>125</v>
      </c>
      <c r="S205">
        <v>0</v>
      </c>
      <c r="T205" t="s">
        <v>80</v>
      </c>
      <c r="U205" t="s">
        <v>80</v>
      </c>
      <c r="V205" t="s">
        <v>189</v>
      </c>
      <c r="W205" t="s">
        <v>1573</v>
      </c>
      <c r="X205" t="s">
        <v>1574</v>
      </c>
      <c r="Y205" t="s">
        <v>1575</v>
      </c>
      <c r="Z205" t="s">
        <v>80</v>
      </c>
      <c r="AA205" t="s">
        <v>85</v>
      </c>
      <c r="AC205" t="s">
        <v>1576</v>
      </c>
      <c r="AD205" t="s">
        <v>87</v>
      </c>
      <c r="AG205" t="s">
        <v>1577</v>
      </c>
      <c r="AH205" t="s">
        <v>91</v>
      </c>
      <c r="AI205" t="s">
        <v>92</v>
      </c>
      <c r="AJ205" t="s">
        <v>131</v>
      </c>
      <c r="AK205" t="s">
        <v>1578</v>
      </c>
      <c r="AL205" t="s">
        <v>95</v>
      </c>
      <c r="AM205" t="s">
        <v>96</v>
      </c>
      <c r="AN205" t="s">
        <v>97</v>
      </c>
      <c r="AO205" t="s">
        <v>98</v>
      </c>
      <c r="AP205" t="s">
        <v>78</v>
      </c>
      <c r="AQ205" t="s">
        <v>99</v>
      </c>
      <c r="AS205" t="s">
        <v>78</v>
      </c>
      <c r="AT205" t="s">
        <v>100</v>
      </c>
      <c r="AU205" t="s">
        <v>100</v>
      </c>
      <c r="AW205" t="s">
        <v>85</v>
      </c>
      <c r="AX205" t="s">
        <v>101</v>
      </c>
      <c r="AY205" t="s">
        <v>102</v>
      </c>
      <c r="AZ205" t="s">
        <v>103</v>
      </c>
      <c r="BA205" t="s">
        <v>133</v>
      </c>
      <c r="BB205" t="s">
        <v>78</v>
      </c>
      <c r="BC205" t="s">
        <v>78</v>
      </c>
      <c r="BE205">
        <v>0</v>
      </c>
      <c r="BF205">
        <v>0</v>
      </c>
      <c r="BG205">
        <v>0</v>
      </c>
      <c r="BH205">
        <v>0</v>
      </c>
      <c r="BJ205" t="s">
        <v>85</v>
      </c>
      <c r="BP205" t="s">
        <v>78</v>
      </c>
      <c r="BQ205" t="s">
        <v>78</v>
      </c>
      <c r="BR205" t="s">
        <v>78</v>
      </c>
    </row>
    <row r="206" customFormat="1" spans="1:70">
      <c r="A206" t="s">
        <v>4076</v>
      </c>
      <c r="B206" t="s">
        <v>4076</v>
      </c>
      <c r="C206" t="s">
        <v>107</v>
      </c>
      <c r="D206" t="s">
        <v>135</v>
      </c>
      <c r="E206">
        <v>1</v>
      </c>
      <c r="F206" t="s">
        <v>3857</v>
      </c>
      <c r="G206" t="s">
        <v>136</v>
      </c>
      <c r="H206">
        <v>289</v>
      </c>
      <c r="I206">
        <v>289</v>
      </c>
      <c r="J206">
        <v>0</v>
      </c>
      <c r="K206">
        <v>0</v>
      </c>
      <c r="L206" t="s">
        <v>78</v>
      </c>
      <c r="M206" t="s">
        <v>78</v>
      </c>
      <c r="N206" t="s">
        <v>78</v>
      </c>
      <c r="O206">
        <v>0</v>
      </c>
      <c r="P206">
        <v>0</v>
      </c>
      <c r="Q206">
        <v>0</v>
      </c>
      <c r="R206" t="s">
        <v>111</v>
      </c>
      <c r="S206">
        <v>0</v>
      </c>
      <c r="T206" t="s">
        <v>80</v>
      </c>
      <c r="U206" t="s">
        <v>80</v>
      </c>
      <c r="V206" t="s">
        <v>161</v>
      </c>
      <c r="W206" t="s">
        <v>161</v>
      </c>
      <c r="X206" t="s">
        <v>1243</v>
      </c>
      <c r="Y206" t="s">
        <v>1580</v>
      </c>
      <c r="Z206" t="s">
        <v>80</v>
      </c>
      <c r="AA206" t="s">
        <v>85</v>
      </c>
      <c r="AC206" t="s">
        <v>1581</v>
      </c>
      <c r="AD206" t="s">
        <v>87</v>
      </c>
      <c r="AG206" t="s">
        <v>1582</v>
      </c>
      <c r="AH206" t="s">
        <v>91</v>
      </c>
      <c r="AI206" t="s">
        <v>92</v>
      </c>
      <c r="AJ206" t="s">
        <v>131</v>
      </c>
      <c r="AK206" t="s">
        <v>1583</v>
      </c>
      <c r="AL206" t="s">
        <v>95</v>
      </c>
      <c r="AM206" t="s">
        <v>96</v>
      </c>
      <c r="AN206" t="s">
        <v>97</v>
      </c>
      <c r="AO206" t="s">
        <v>98</v>
      </c>
      <c r="AP206" t="s">
        <v>78</v>
      </c>
      <c r="AQ206" t="s">
        <v>99</v>
      </c>
      <c r="AS206" t="s">
        <v>78</v>
      </c>
      <c r="AT206" t="s">
        <v>100</v>
      </c>
      <c r="AU206" t="s">
        <v>100</v>
      </c>
      <c r="AW206" t="s">
        <v>85</v>
      </c>
      <c r="AX206" t="s">
        <v>103</v>
      </c>
      <c r="AY206" t="s">
        <v>159</v>
      </c>
      <c r="AZ206" t="s">
        <v>103</v>
      </c>
      <c r="BA206" t="s">
        <v>245</v>
      </c>
      <c r="BB206" t="s">
        <v>78</v>
      </c>
      <c r="BC206" t="s">
        <v>78</v>
      </c>
      <c r="BE206">
        <v>0</v>
      </c>
      <c r="BF206">
        <v>0</v>
      </c>
      <c r="BG206">
        <v>0</v>
      </c>
      <c r="BH206">
        <v>0</v>
      </c>
      <c r="BJ206" t="s">
        <v>85</v>
      </c>
      <c r="BP206" t="s">
        <v>78</v>
      </c>
      <c r="BQ206" t="s">
        <v>78</v>
      </c>
      <c r="BR206" t="s">
        <v>78</v>
      </c>
    </row>
    <row r="207" customFormat="1" spans="1:70">
      <c r="A207" t="s">
        <v>4077</v>
      </c>
      <c r="B207" t="s">
        <v>4077</v>
      </c>
      <c r="C207" t="s">
        <v>107</v>
      </c>
      <c r="D207" t="s">
        <v>108</v>
      </c>
      <c r="E207">
        <v>1</v>
      </c>
      <c r="F207" t="s">
        <v>3857</v>
      </c>
      <c r="G207" t="s">
        <v>110</v>
      </c>
      <c r="H207">
        <v>289</v>
      </c>
      <c r="I207">
        <v>289</v>
      </c>
      <c r="J207">
        <v>0</v>
      </c>
      <c r="K207">
        <v>0</v>
      </c>
      <c r="L207" t="s">
        <v>78</v>
      </c>
      <c r="M207" t="s">
        <v>78</v>
      </c>
      <c r="N207" t="s">
        <v>78</v>
      </c>
      <c r="O207">
        <v>0</v>
      </c>
      <c r="P207">
        <v>0</v>
      </c>
      <c r="Q207">
        <v>0</v>
      </c>
      <c r="R207" t="s">
        <v>125</v>
      </c>
      <c r="S207">
        <v>0</v>
      </c>
      <c r="T207" t="s">
        <v>80</v>
      </c>
      <c r="U207" t="s">
        <v>80</v>
      </c>
      <c r="V207" t="s">
        <v>464</v>
      </c>
      <c r="W207" t="s">
        <v>542</v>
      </c>
      <c r="X207" t="s">
        <v>1214</v>
      </c>
      <c r="Y207" t="s">
        <v>1585</v>
      </c>
      <c r="Z207" t="s">
        <v>80</v>
      </c>
      <c r="AA207" t="s">
        <v>85</v>
      </c>
      <c r="AC207" t="s">
        <v>1586</v>
      </c>
      <c r="AD207" t="s">
        <v>87</v>
      </c>
      <c r="AG207" t="s">
        <v>1587</v>
      </c>
      <c r="AH207" t="s">
        <v>91</v>
      </c>
      <c r="AI207" t="s">
        <v>92</v>
      </c>
      <c r="AJ207" t="s">
        <v>131</v>
      </c>
      <c r="AK207" t="s">
        <v>1588</v>
      </c>
      <c r="AL207" t="s">
        <v>95</v>
      </c>
      <c r="AM207" t="s">
        <v>96</v>
      </c>
      <c r="AN207" t="s">
        <v>97</v>
      </c>
      <c r="AO207" t="s">
        <v>98</v>
      </c>
      <c r="AP207" t="s">
        <v>78</v>
      </c>
      <c r="AQ207" t="s">
        <v>99</v>
      </c>
      <c r="AS207" t="s">
        <v>78</v>
      </c>
      <c r="AT207" t="s">
        <v>100</v>
      </c>
      <c r="AU207" t="s">
        <v>100</v>
      </c>
      <c r="AW207" t="s">
        <v>85</v>
      </c>
      <c r="AX207" t="s">
        <v>101</v>
      </c>
      <c r="AY207" t="s">
        <v>102</v>
      </c>
      <c r="AZ207" t="s">
        <v>103</v>
      </c>
      <c r="BA207" t="s">
        <v>245</v>
      </c>
      <c r="BB207" t="s">
        <v>78</v>
      </c>
      <c r="BC207" t="s">
        <v>78</v>
      </c>
      <c r="BE207">
        <v>0</v>
      </c>
      <c r="BF207">
        <v>0</v>
      </c>
      <c r="BG207">
        <v>0</v>
      </c>
      <c r="BH207">
        <v>0</v>
      </c>
      <c r="BJ207" t="s">
        <v>85</v>
      </c>
      <c r="BP207" t="s">
        <v>78</v>
      </c>
      <c r="BQ207" t="s">
        <v>78</v>
      </c>
      <c r="BR207" t="s">
        <v>78</v>
      </c>
    </row>
    <row r="208" customFormat="1" spans="1:70">
      <c r="A208" t="s">
        <v>4078</v>
      </c>
      <c r="B208" t="s">
        <v>4078</v>
      </c>
      <c r="C208" t="s">
        <v>107</v>
      </c>
      <c r="D208" t="s">
        <v>135</v>
      </c>
      <c r="E208">
        <v>1</v>
      </c>
      <c r="F208" t="s">
        <v>3857</v>
      </c>
      <c r="G208" t="s">
        <v>136</v>
      </c>
      <c r="H208">
        <v>289</v>
      </c>
      <c r="I208">
        <v>289</v>
      </c>
      <c r="J208">
        <v>0</v>
      </c>
      <c r="K208">
        <v>0</v>
      </c>
      <c r="L208" t="s">
        <v>78</v>
      </c>
      <c r="M208" t="s">
        <v>78</v>
      </c>
      <c r="N208" t="s">
        <v>78</v>
      </c>
      <c r="O208">
        <v>0</v>
      </c>
      <c r="P208">
        <v>0</v>
      </c>
      <c r="Q208">
        <v>0</v>
      </c>
      <c r="R208" t="s">
        <v>79</v>
      </c>
      <c r="S208">
        <v>0</v>
      </c>
      <c r="T208" t="s">
        <v>80</v>
      </c>
      <c r="U208" t="s">
        <v>80</v>
      </c>
      <c r="V208" t="s">
        <v>1261</v>
      </c>
      <c r="W208" t="s">
        <v>1590</v>
      </c>
      <c r="X208" t="s">
        <v>1591</v>
      </c>
      <c r="Y208" t="s">
        <v>1592</v>
      </c>
      <c r="Z208" t="s">
        <v>80</v>
      </c>
      <c r="AA208" t="s">
        <v>85</v>
      </c>
      <c r="AC208" t="s">
        <v>1593</v>
      </c>
      <c r="AD208" t="s">
        <v>87</v>
      </c>
      <c r="AG208" t="s">
        <v>1594</v>
      </c>
      <c r="AH208" t="s">
        <v>91</v>
      </c>
      <c r="AI208" t="s">
        <v>92</v>
      </c>
      <c r="AJ208" t="s">
        <v>131</v>
      </c>
      <c r="AK208" t="s">
        <v>1595</v>
      </c>
      <c r="AL208" t="s">
        <v>95</v>
      </c>
      <c r="AM208" t="s">
        <v>96</v>
      </c>
      <c r="AN208" t="s">
        <v>97</v>
      </c>
      <c r="AO208" t="s">
        <v>98</v>
      </c>
      <c r="AP208" t="s">
        <v>78</v>
      </c>
      <c r="AQ208" t="s">
        <v>99</v>
      </c>
      <c r="AS208" t="s">
        <v>78</v>
      </c>
      <c r="AT208" t="s">
        <v>100</v>
      </c>
      <c r="AU208" t="s">
        <v>100</v>
      </c>
      <c r="AW208" t="s">
        <v>85</v>
      </c>
      <c r="AX208" t="s">
        <v>101</v>
      </c>
      <c r="AY208" t="s">
        <v>102</v>
      </c>
      <c r="AZ208" t="s">
        <v>103</v>
      </c>
      <c r="BA208" t="s">
        <v>133</v>
      </c>
      <c r="BB208" t="s">
        <v>78</v>
      </c>
      <c r="BC208" t="s">
        <v>78</v>
      </c>
      <c r="BE208">
        <v>0</v>
      </c>
      <c r="BF208">
        <v>0</v>
      </c>
      <c r="BG208">
        <v>0</v>
      </c>
      <c r="BH208">
        <v>0</v>
      </c>
      <c r="BJ208" t="s">
        <v>85</v>
      </c>
      <c r="BP208" t="s">
        <v>78</v>
      </c>
      <c r="BQ208" t="s">
        <v>78</v>
      </c>
      <c r="BR208" t="s">
        <v>78</v>
      </c>
    </row>
    <row r="209" customFormat="1" spans="1:70">
      <c r="A209" t="s">
        <v>4079</v>
      </c>
      <c r="B209" t="s">
        <v>4079</v>
      </c>
      <c r="C209" t="s">
        <v>107</v>
      </c>
      <c r="D209" t="s">
        <v>108</v>
      </c>
      <c r="E209">
        <v>1</v>
      </c>
      <c r="F209" t="s">
        <v>3857</v>
      </c>
      <c r="G209" t="s">
        <v>110</v>
      </c>
      <c r="H209">
        <v>289</v>
      </c>
      <c r="I209">
        <v>289</v>
      </c>
      <c r="J209">
        <v>0</v>
      </c>
      <c r="K209">
        <v>0</v>
      </c>
      <c r="L209" t="s">
        <v>78</v>
      </c>
      <c r="M209" t="s">
        <v>78</v>
      </c>
      <c r="N209" t="s">
        <v>78</v>
      </c>
      <c r="O209">
        <v>0</v>
      </c>
      <c r="P209">
        <v>0</v>
      </c>
      <c r="Q209">
        <v>0</v>
      </c>
      <c r="R209" t="s">
        <v>125</v>
      </c>
      <c r="S209">
        <v>0</v>
      </c>
      <c r="T209" t="s">
        <v>80</v>
      </c>
      <c r="U209" t="s">
        <v>80</v>
      </c>
      <c r="V209" t="s">
        <v>347</v>
      </c>
      <c r="W209" t="s">
        <v>1526</v>
      </c>
      <c r="X209" t="s">
        <v>1527</v>
      </c>
      <c r="Y209" t="s">
        <v>1528</v>
      </c>
      <c r="Z209" t="s">
        <v>80</v>
      </c>
      <c r="AA209" t="s">
        <v>85</v>
      </c>
      <c r="AC209" t="s">
        <v>1597</v>
      </c>
      <c r="AD209" t="s">
        <v>87</v>
      </c>
      <c r="AG209" t="s">
        <v>1598</v>
      </c>
      <c r="AH209" t="s">
        <v>91</v>
      </c>
      <c r="AI209" t="s">
        <v>92</v>
      </c>
      <c r="AJ209" t="s">
        <v>131</v>
      </c>
      <c r="AK209" t="s">
        <v>1599</v>
      </c>
      <c r="AL209" t="s">
        <v>95</v>
      </c>
      <c r="AM209" t="s">
        <v>96</v>
      </c>
      <c r="AN209" t="s">
        <v>97</v>
      </c>
      <c r="AO209" t="s">
        <v>98</v>
      </c>
      <c r="AP209" t="s">
        <v>78</v>
      </c>
      <c r="AQ209" t="s">
        <v>99</v>
      </c>
      <c r="AS209" t="s">
        <v>78</v>
      </c>
      <c r="AT209" t="s">
        <v>100</v>
      </c>
      <c r="AU209" t="s">
        <v>100</v>
      </c>
      <c r="AW209" t="s">
        <v>85</v>
      </c>
      <c r="AX209" t="s">
        <v>103</v>
      </c>
      <c r="AY209" t="s">
        <v>159</v>
      </c>
      <c r="AZ209" t="s">
        <v>103</v>
      </c>
      <c r="BA209" t="s">
        <v>218</v>
      </c>
      <c r="BB209" t="s">
        <v>78</v>
      </c>
      <c r="BC209" t="s">
        <v>78</v>
      </c>
      <c r="BE209">
        <v>0</v>
      </c>
      <c r="BF209">
        <v>0</v>
      </c>
      <c r="BG209">
        <v>0</v>
      </c>
      <c r="BH209">
        <v>0</v>
      </c>
      <c r="BJ209" t="s">
        <v>85</v>
      </c>
      <c r="BP209" t="s">
        <v>78</v>
      </c>
      <c r="BQ209" t="s">
        <v>78</v>
      </c>
      <c r="BR209" t="s">
        <v>78</v>
      </c>
    </row>
    <row r="210" customFormat="1" spans="1:70">
      <c r="A210" t="s">
        <v>4080</v>
      </c>
      <c r="B210" t="s">
        <v>4080</v>
      </c>
      <c r="C210" t="s">
        <v>107</v>
      </c>
      <c r="D210" t="s">
        <v>108</v>
      </c>
      <c r="E210">
        <v>1</v>
      </c>
      <c r="F210" t="s">
        <v>3857</v>
      </c>
      <c r="G210" t="s">
        <v>110</v>
      </c>
      <c r="H210">
        <v>289</v>
      </c>
      <c r="I210">
        <v>289</v>
      </c>
      <c r="J210">
        <v>0</v>
      </c>
      <c r="K210">
        <v>0</v>
      </c>
      <c r="L210" t="s">
        <v>78</v>
      </c>
      <c r="M210" t="s">
        <v>78</v>
      </c>
      <c r="N210" t="s">
        <v>78</v>
      </c>
      <c r="O210">
        <v>0</v>
      </c>
      <c r="P210">
        <v>0</v>
      </c>
      <c r="Q210">
        <v>0</v>
      </c>
      <c r="R210" t="s">
        <v>79</v>
      </c>
      <c r="S210">
        <v>0</v>
      </c>
      <c r="T210" t="s">
        <v>80</v>
      </c>
      <c r="U210" t="s">
        <v>80</v>
      </c>
      <c r="V210" t="s">
        <v>447</v>
      </c>
      <c r="W210" t="s">
        <v>1601</v>
      </c>
      <c r="X210" t="s">
        <v>1602</v>
      </c>
      <c r="Y210" t="s">
        <v>1603</v>
      </c>
      <c r="Z210" t="s">
        <v>80</v>
      </c>
      <c r="AA210" t="s">
        <v>85</v>
      </c>
      <c r="AC210" t="s">
        <v>1604</v>
      </c>
      <c r="AD210" t="s">
        <v>87</v>
      </c>
      <c r="AF210" t="s">
        <v>1605</v>
      </c>
      <c r="AG210" t="s">
        <v>1606</v>
      </c>
      <c r="AH210" t="s">
        <v>91</v>
      </c>
      <c r="AI210" t="s">
        <v>92</v>
      </c>
      <c r="AJ210" t="s">
        <v>93</v>
      </c>
      <c r="AK210" t="s">
        <v>1607</v>
      </c>
      <c r="AL210" t="s">
        <v>95</v>
      </c>
      <c r="AM210" t="s">
        <v>96</v>
      </c>
      <c r="AN210" t="s">
        <v>97</v>
      </c>
      <c r="AO210" t="s">
        <v>98</v>
      </c>
      <c r="AP210" t="s">
        <v>78</v>
      </c>
      <c r="AQ210" t="s">
        <v>78</v>
      </c>
      <c r="AS210" t="s">
        <v>78</v>
      </c>
      <c r="AT210" t="s">
        <v>100</v>
      </c>
      <c r="AU210" t="s">
        <v>100</v>
      </c>
      <c r="AW210" t="s">
        <v>85</v>
      </c>
      <c r="AX210" t="s">
        <v>101</v>
      </c>
      <c r="AY210" t="s">
        <v>102</v>
      </c>
      <c r="AZ210" t="s">
        <v>103</v>
      </c>
      <c r="BA210" t="s">
        <v>133</v>
      </c>
      <c r="BB210" t="s">
        <v>78</v>
      </c>
      <c r="BC210" t="s">
        <v>78</v>
      </c>
      <c r="BD210" t="s">
        <v>1608</v>
      </c>
      <c r="BE210">
        <v>0</v>
      </c>
      <c r="BF210">
        <v>0</v>
      </c>
      <c r="BG210">
        <v>0</v>
      </c>
      <c r="BH210">
        <v>0</v>
      </c>
      <c r="BJ210" t="s">
        <v>85</v>
      </c>
      <c r="BP210" t="s">
        <v>78</v>
      </c>
      <c r="BQ210" t="s">
        <v>78</v>
      </c>
      <c r="BR210" t="s">
        <v>78</v>
      </c>
    </row>
    <row r="211" customFormat="1" spans="1:70">
      <c r="A211" t="s">
        <v>4081</v>
      </c>
      <c r="B211" t="s">
        <v>4081</v>
      </c>
      <c r="C211" t="s">
        <v>107</v>
      </c>
      <c r="D211" t="s">
        <v>108</v>
      </c>
      <c r="E211">
        <v>1</v>
      </c>
      <c r="F211" t="s">
        <v>3857</v>
      </c>
      <c r="G211" t="s">
        <v>110</v>
      </c>
      <c r="H211">
        <v>289</v>
      </c>
      <c r="I211">
        <v>289</v>
      </c>
      <c r="J211">
        <v>0</v>
      </c>
      <c r="K211">
        <v>0</v>
      </c>
      <c r="L211" t="s">
        <v>78</v>
      </c>
      <c r="M211" t="s">
        <v>78</v>
      </c>
      <c r="N211" t="s">
        <v>78</v>
      </c>
      <c r="O211">
        <v>0</v>
      </c>
      <c r="P211">
        <v>0</v>
      </c>
      <c r="Q211">
        <v>0</v>
      </c>
      <c r="R211" t="s">
        <v>79</v>
      </c>
      <c r="S211">
        <v>0</v>
      </c>
      <c r="T211" t="s">
        <v>80</v>
      </c>
      <c r="U211" t="s">
        <v>80</v>
      </c>
      <c r="V211" t="s">
        <v>271</v>
      </c>
      <c r="W211" t="s">
        <v>272</v>
      </c>
      <c r="X211" t="s">
        <v>1172</v>
      </c>
      <c r="Y211" t="s">
        <v>1173</v>
      </c>
      <c r="Z211" t="s">
        <v>80</v>
      </c>
      <c r="AA211" t="s">
        <v>85</v>
      </c>
      <c r="AC211" t="s">
        <v>1610</v>
      </c>
      <c r="AD211" t="s">
        <v>87</v>
      </c>
      <c r="AG211" t="s">
        <v>1611</v>
      </c>
      <c r="AH211" t="s">
        <v>91</v>
      </c>
      <c r="AI211" t="s">
        <v>216</v>
      </c>
      <c r="AJ211" t="s">
        <v>131</v>
      </c>
      <c r="AK211" t="s">
        <v>1612</v>
      </c>
      <c r="AL211" t="s">
        <v>95</v>
      </c>
      <c r="AM211" t="s">
        <v>96</v>
      </c>
      <c r="AN211" t="s">
        <v>96</v>
      </c>
      <c r="AP211" t="s">
        <v>78</v>
      </c>
      <c r="AQ211" t="s">
        <v>99</v>
      </c>
      <c r="AS211" t="s">
        <v>78</v>
      </c>
      <c r="AT211" t="s">
        <v>100</v>
      </c>
      <c r="AU211" t="s">
        <v>100</v>
      </c>
      <c r="AW211" t="s">
        <v>85</v>
      </c>
      <c r="AX211" t="s">
        <v>101</v>
      </c>
      <c r="AY211" t="s">
        <v>102</v>
      </c>
      <c r="AZ211" t="s">
        <v>145</v>
      </c>
      <c r="BA211" t="s">
        <v>525</v>
      </c>
      <c r="BB211" t="s">
        <v>78</v>
      </c>
      <c r="BC211" t="s">
        <v>78</v>
      </c>
      <c r="BE211">
        <v>0</v>
      </c>
      <c r="BF211">
        <v>0</v>
      </c>
      <c r="BG211">
        <v>0</v>
      </c>
      <c r="BH211">
        <v>0</v>
      </c>
      <c r="BJ211" t="s">
        <v>85</v>
      </c>
      <c r="BP211" t="s">
        <v>78</v>
      </c>
      <c r="BQ211" t="s">
        <v>78</v>
      </c>
      <c r="BR211" t="s">
        <v>78</v>
      </c>
    </row>
    <row r="212" customFormat="1" spans="1:70">
      <c r="A212" t="s">
        <v>4082</v>
      </c>
      <c r="B212" t="s">
        <v>4082</v>
      </c>
      <c r="C212" t="s">
        <v>107</v>
      </c>
      <c r="D212" t="s">
        <v>108</v>
      </c>
      <c r="E212">
        <v>1</v>
      </c>
      <c r="F212" t="s">
        <v>3857</v>
      </c>
      <c r="G212" t="s">
        <v>110</v>
      </c>
      <c r="H212">
        <v>289</v>
      </c>
      <c r="I212">
        <v>289</v>
      </c>
      <c r="J212">
        <v>0</v>
      </c>
      <c r="K212">
        <v>0</v>
      </c>
      <c r="L212" t="s">
        <v>78</v>
      </c>
      <c r="M212" t="s">
        <v>78</v>
      </c>
      <c r="N212" t="s">
        <v>78</v>
      </c>
      <c r="O212">
        <v>0</v>
      </c>
      <c r="P212">
        <v>0</v>
      </c>
      <c r="Q212">
        <v>0</v>
      </c>
      <c r="R212" t="s">
        <v>79</v>
      </c>
      <c r="S212">
        <v>0</v>
      </c>
      <c r="T212" t="s">
        <v>80</v>
      </c>
      <c r="U212" t="s">
        <v>80</v>
      </c>
      <c r="V212" t="s">
        <v>271</v>
      </c>
      <c r="W212" t="s">
        <v>272</v>
      </c>
      <c r="X212" t="s">
        <v>1172</v>
      </c>
      <c r="Y212" t="s">
        <v>1173</v>
      </c>
      <c r="Z212" t="s">
        <v>80</v>
      </c>
      <c r="AA212" t="s">
        <v>85</v>
      </c>
      <c r="AC212" t="s">
        <v>1614</v>
      </c>
      <c r="AD212" t="s">
        <v>87</v>
      </c>
      <c r="AG212" t="s">
        <v>1615</v>
      </c>
      <c r="AH212" t="s">
        <v>91</v>
      </c>
      <c r="AI212" t="s">
        <v>216</v>
      </c>
      <c r="AJ212" t="s">
        <v>131</v>
      </c>
      <c r="AK212" t="s">
        <v>1616</v>
      </c>
      <c r="AL212" t="s">
        <v>95</v>
      </c>
      <c r="AM212" t="s">
        <v>96</v>
      </c>
      <c r="AN212" t="s">
        <v>96</v>
      </c>
      <c r="AP212" t="s">
        <v>78</v>
      </c>
      <c r="AQ212" t="s">
        <v>99</v>
      </c>
      <c r="AS212" t="s">
        <v>78</v>
      </c>
      <c r="AT212" t="s">
        <v>100</v>
      </c>
      <c r="AU212" t="s">
        <v>100</v>
      </c>
      <c r="AW212" t="s">
        <v>85</v>
      </c>
      <c r="AX212" t="s">
        <v>101</v>
      </c>
      <c r="AY212" t="s">
        <v>102</v>
      </c>
      <c r="AZ212" t="s">
        <v>145</v>
      </c>
      <c r="BA212" t="s">
        <v>218</v>
      </c>
      <c r="BB212" t="s">
        <v>78</v>
      </c>
      <c r="BC212" t="s">
        <v>78</v>
      </c>
      <c r="BE212">
        <v>0</v>
      </c>
      <c r="BF212">
        <v>0</v>
      </c>
      <c r="BG212">
        <v>0</v>
      </c>
      <c r="BH212">
        <v>0</v>
      </c>
      <c r="BJ212" t="s">
        <v>85</v>
      </c>
      <c r="BP212" t="s">
        <v>78</v>
      </c>
      <c r="BQ212" t="s">
        <v>78</v>
      </c>
      <c r="BR212" t="s">
        <v>78</v>
      </c>
    </row>
    <row r="213" customFormat="1" spans="1:70">
      <c r="A213" t="s">
        <v>4083</v>
      </c>
      <c r="B213" t="s">
        <v>4083</v>
      </c>
      <c r="C213" t="s">
        <v>1126</v>
      </c>
      <c r="D213" t="s">
        <v>1127</v>
      </c>
      <c r="E213">
        <v>1</v>
      </c>
      <c r="F213" t="s">
        <v>4004</v>
      </c>
      <c r="G213" t="s">
        <v>1129</v>
      </c>
      <c r="H213">
        <v>249</v>
      </c>
      <c r="I213">
        <v>246.82</v>
      </c>
      <c r="J213">
        <v>0</v>
      </c>
      <c r="K213">
        <v>2.18</v>
      </c>
      <c r="L213" t="s">
        <v>1618</v>
      </c>
      <c r="M213" t="s">
        <v>78</v>
      </c>
      <c r="N213" t="s">
        <v>78</v>
      </c>
      <c r="O213">
        <v>0</v>
      </c>
      <c r="P213">
        <v>0</v>
      </c>
      <c r="Q213">
        <v>0</v>
      </c>
      <c r="R213" t="s">
        <v>111</v>
      </c>
      <c r="S213">
        <v>0</v>
      </c>
      <c r="T213" t="s">
        <v>80</v>
      </c>
      <c r="U213" t="s">
        <v>80</v>
      </c>
      <c r="V213" t="s">
        <v>112</v>
      </c>
      <c r="W213" t="s">
        <v>906</v>
      </c>
      <c r="X213" t="s">
        <v>1619</v>
      </c>
      <c r="Y213" t="s">
        <v>1620</v>
      </c>
      <c r="Z213" t="s">
        <v>80</v>
      </c>
      <c r="AA213" t="s">
        <v>85</v>
      </c>
      <c r="AC213" t="s">
        <v>1621</v>
      </c>
      <c r="AD213" t="s">
        <v>202</v>
      </c>
      <c r="AE213" t="s">
        <v>1622</v>
      </c>
      <c r="AG213" t="s">
        <v>1623</v>
      </c>
      <c r="AH213" t="s">
        <v>91</v>
      </c>
      <c r="AI213" t="s">
        <v>92</v>
      </c>
      <c r="AJ213" t="s">
        <v>131</v>
      </c>
      <c r="AK213" t="s">
        <v>1624</v>
      </c>
      <c r="AL213" t="s">
        <v>95</v>
      </c>
      <c r="AM213" t="s">
        <v>96</v>
      </c>
      <c r="AN213" t="s">
        <v>97</v>
      </c>
      <c r="AO213" t="s">
        <v>98</v>
      </c>
      <c r="AP213" t="s">
        <v>78</v>
      </c>
      <c r="AQ213" t="s">
        <v>99</v>
      </c>
      <c r="AS213" t="s">
        <v>78</v>
      </c>
      <c r="AT213" t="s">
        <v>100</v>
      </c>
      <c r="AU213" t="s">
        <v>100</v>
      </c>
      <c r="AW213" t="s">
        <v>85</v>
      </c>
      <c r="AX213" t="s">
        <v>101</v>
      </c>
      <c r="AY213" t="s">
        <v>102</v>
      </c>
      <c r="AZ213" t="s">
        <v>145</v>
      </c>
      <c r="BA213" t="s">
        <v>146</v>
      </c>
      <c r="BB213" t="s">
        <v>78</v>
      </c>
      <c r="BC213" t="s">
        <v>78</v>
      </c>
      <c r="BD213" t="s">
        <v>1220</v>
      </c>
      <c r="BE213">
        <v>0</v>
      </c>
      <c r="BF213">
        <v>2.18</v>
      </c>
      <c r="BG213">
        <v>0</v>
      </c>
      <c r="BH213">
        <v>0</v>
      </c>
      <c r="BJ213" t="s">
        <v>85</v>
      </c>
      <c r="BP213" t="s">
        <v>78</v>
      </c>
      <c r="BQ213" t="s">
        <v>78</v>
      </c>
      <c r="BR213" t="s">
        <v>78</v>
      </c>
    </row>
    <row r="214" customFormat="1" spans="1:70">
      <c r="A214" t="s">
        <v>4084</v>
      </c>
      <c r="B214" t="s">
        <v>4084</v>
      </c>
      <c r="C214" t="s">
        <v>1080</v>
      </c>
      <c r="D214" t="s">
        <v>123</v>
      </c>
      <c r="E214">
        <v>1</v>
      </c>
      <c r="F214" t="s">
        <v>3996</v>
      </c>
      <c r="G214" t="s">
        <v>1626</v>
      </c>
      <c r="H214">
        <v>289</v>
      </c>
      <c r="I214">
        <v>289</v>
      </c>
      <c r="J214">
        <v>0</v>
      </c>
      <c r="K214">
        <v>0</v>
      </c>
      <c r="L214" t="s">
        <v>78</v>
      </c>
      <c r="M214" t="s">
        <v>78</v>
      </c>
      <c r="N214" t="s">
        <v>78</v>
      </c>
      <c r="O214">
        <v>0</v>
      </c>
      <c r="P214">
        <v>0</v>
      </c>
      <c r="Q214">
        <v>0</v>
      </c>
      <c r="R214" t="s">
        <v>79</v>
      </c>
      <c r="S214">
        <v>0</v>
      </c>
      <c r="T214" t="s">
        <v>80</v>
      </c>
      <c r="U214" t="s">
        <v>80</v>
      </c>
      <c r="V214" t="s">
        <v>221</v>
      </c>
      <c r="W214" t="s">
        <v>336</v>
      </c>
      <c r="X214" t="s">
        <v>1627</v>
      </c>
      <c r="Y214" t="s">
        <v>1628</v>
      </c>
      <c r="Z214" t="s">
        <v>80</v>
      </c>
      <c r="AA214" t="s">
        <v>85</v>
      </c>
      <c r="AC214" t="s">
        <v>1629</v>
      </c>
      <c r="AD214" t="s">
        <v>87</v>
      </c>
      <c r="AG214" t="s">
        <v>1630</v>
      </c>
      <c r="AH214" t="s">
        <v>91</v>
      </c>
      <c r="AI214" t="s">
        <v>92</v>
      </c>
      <c r="AJ214" t="s">
        <v>131</v>
      </c>
      <c r="AK214" t="s">
        <v>1631</v>
      </c>
      <c r="AL214" t="s">
        <v>95</v>
      </c>
      <c r="AM214" t="s">
        <v>96</v>
      </c>
      <c r="AN214" t="s">
        <v>97</v>
      </c>
      <c r="AO214" t="s">
        <v>98</v>
      </c>
      <c r="AP214" t="s">
        <v>78</v>
      </c>
      <c r="AQ214" t="s">
        <v>99</v>
      </c>
      <c r="AS214" t="s">
        <v>78</v>
      </c>
      <c r="AT214" t="s">
        <v>100</v>
      </c>
      <c r="AU214" t="s">
        <v>100</v>
      </c>
      <c r="AW214" t="s">
        <v>85</v>
      </c>
      <c r="AX214" t="s">
        <v>101</v>
      </c>
      <c r="AY214" t="s">
        <v>102</v>
      </c>
      <c r="AZ214" t="s">
        <v>145</v>
      </c>
      <c r="BA214" t="s">
        <v>146</v>
      </c>
      <c r="BB214" t="s">
        <v>78</v>
      </c>
      <c r="BC214" t="s">
        <v>78</v>
      </c>
      <c r="BE214">
        <v>0</v>
      </c>
      <c r="BF214">
        <v>0</v>
      </c>
      <c r="BG214">
        <v>0</v>
      </c>
      <c r="BH214">
        <v>0</v>
      </c>
      <c r="BJ214" t="s">
        <v>85</v>
      </c>
      <c r="BP214" t="s">
        <v>78</v>
      </c>
      <c r="BQ214" t="s">
        <v>78</v>
      </c>
      <c r="BR214" t="s">
        <v>78</v>
      </c>
    </row>
    <row r="215" customFormat="1" spans="1:70">
      <c r="A215" t="s">
        <v>4085</v>
      </c>
      <c r="B215" t="s">
        <v>4085</v>
      </c>
      <c r="C215" t="s">
        <v>107</v>
      </c>
      <c r="D215" t="s">
        <v>123</v>
      </c>
      <c r="E215">
        <v>1</v>
      </c>
      <c r="F215" t="s">
        <v>3857</v>
      </c>
      <c r="G215" t="s">
        <v>124</v>
      </c>
      <c r="H215">
        <v>289</v>
      </c>
      <c r="I215">
        <v>253</v>
      </c>
      <c r="J215">
        <v>0</v>
      </c>
      <c r="K215">
        <v>36</v>
      </c>
      <c r="L215" t="s">
        <v>1633</v>
      </c>
      <c r="M215" t="s">
        <v>78</v>
      </c>
      <c r="N215" t="s">
        <v>78</v>
      </c>
      <c r="O215">
        <v>0</v>
      </c>
      <c r="P215">
        <v>0</v>
      </c>
      <c r="Q215">
        <v>0</v>
      </c>
      <c r="R215" t="s">
        <v>111</v>
      </c>
      <c r="S215">
        <v>0</v>
      </c>
      <c r="T215" t="s">
        <v>80</v>
      </c>
      <c r="U215" t="s">
        <v>80</v>
      </c>
      <c r="V215" t="s">
        <v>271</v>
      </c>
      <c r="W215" t="s">
        <v>717</v>
      </c>
      <c r="X215" t="s">
        <v>1634</v>
      </c>
      <c r="Y215" t="s">
        <v>1462</v>
      </c>
      <c r="Z215" t="s">
        <v>80</v>
      </c>
      <c r="AA215" t="s">
        <v>85</v>
      </c>
      <c r="AC215" t="s">
        <v>1635</v>
      </c>
      <c r="AD215" t="s">
        <v>87</v>
      </c>
      <c r="AG215" t="s">
        <v>1636</v>
      </c>
      <c r="AH215" t="s">
        <v>91</v>
      </c>
      <c r="AI215" t="s">
        <v>216</v>
      </c>
      <c r="AJ215" t="s">
        <v>131</v>
      </c>
      <c r="AK215" t="s">
        <v>1637</v>
      </c>
      <c r="AL215" t="s">
        <v>95</v>
      </c>
      <c r="AM215" t="s">
        <v>96</v>
      </c>
      <c r="AN215" t="s">
        <v>96</v>
      </c>
      <c r="AP215" t="s">
        <v>78</v>
      </c>
      <c r="AQ215" t="s">
        <v>99</v>
      </c>
      <c r="AS215" t="s">
        <v>78</v>
      </c>
      <c r="AT215" t="s">
        <v>100</v>
      </c>
      <c r="AU215" t="s">
        <v>100</v>
      </c>
      <c r="AW215" t="s">
        <v>85</v>
      </c>
      <c r="AX215" t="s">
        <v>101</v>
      </c>
      <c r="AY215" t="s">
        <v>102</v>
      </c>
      <c r="AZ215" t="s">
        <v>145</v>
      </c>
      <c r="BA215" t="s">
        <v>525</v>
      </c>
      <c r="BB215" t="s">
        <v>78</v>
      </c>
      <c r="BC215" t="s">
        <v>78</v>
      </c>
      <c r="BE215">
        <v>0</v>
      </c>
      <c r="BF215">
        <v>36</v>
      </c>
      <c r="BG215">
        <v>0</v>
      </c>
      <c r="BH215">
        <v>0</v>
      </c>
      <c r="BJ215" t="s">
        <v>85</v>
      </c>
      <c r="BP215" t="s">
        <v>78</v>
      </c>
      <c r="BQ215" t="s">
        <v>78</v>
      </c>
      <c r="BR215" t="s">
        <v>78</v>
      </c>
    </row>
    <row r="216" customFormat="1" spans="1:70">
      <c r="A216" t="s">
        <v>4086</v>
      </c>
      <c r="B216" t="s">
        <v>4086</v>
      </c>
      <c r="C216" t="s">
        <v>1080</v>
      </c>
      <c r="D216" t="s">
        <v>135</v>
      </c>
      <c r="E216">
        <v>1</v>
      </c>
      <c r="F216" t="s">
        <v>3996</v>
      </c>
      <c r="G216" t="s">
        <v>1639</v>
      </c>
      <c r="H216">
        <v>289</v>
      </c>
      <c r="I216">
        <v>284</v>
      </c>
      <c r="J216">
        <v>0</v>
      </c>
      <c r="K216">
        <v>5</v>
      </c>
      <c r="L216" t="s">
        <v>659</v>
      </c>
      <c r="M216" t="s">
        <v>78</v>
      </c>
      <c r="N216" t="s">
        <v>78</v>
      </c>
      <c r="O216">
        <v>0</v>
      </c>
      <c r="P216">
        <v>0</v>
      </c>
      <c r="Q216">
        <v>0</v>
      </c>
      <c r="R216" t="s">
        <v>79</v>
      </c>
      <c r="S216">
        <v>0</v>
      </c>
      <c r="T216" t="s">
        <v>80</v>
      </c>
      <c r="U216" t="s">
        <v>80</v>
      </c>
      <c r="V216" t="s">
        <v>302</v>
      </c>
      <c r="W216" t="s">
        <v>1358</v>
      </c>
      <c r="X216" t="s">
        <v>1359</v>
      </c>
      <c r="Y216" t="s">
        <v>1360</v>
      </c>
      <c r="Z216" t="s">
        <v>80</v>
      </c>
      <c r="AA216" t="s">
        <v>85</v>
      </c>
      <c r="AC216" t="s">
        <v>1640</v>
      </c>
      <c r="AD216" t="s">
        <v>87</v>
      </c>
      <c r="AG216" t="s">
        <v>1641</v>
      </c>
      <c r="AH216" t="s">
        <v>91</v>
      </c>
      <c r="AI216" t="s">
        <v>216</v>
      </c>
      <c r="AJ216" t="s">
        <v>131</v>
      </c>
      <c r="AK216" t="s">
        <v>1642</v>
      </c>
      <c r="AL216" t="s">
        <v>95</v>
      </c>
      <c r="AM216" t="s">
        <v>96</v>
      </c>
      <c r="AN216" t="s">
        <v>96</v>
      </c>
      <c r="AP216" t="s">
        <v>78</v>
      </c>
      <c r="AQ216" t="s">
        <v>99</v>
      </c>
      <c r="AS216" t="s">
        <v>78</v>
      </c>
      <c r="AT216" t="s">
        <v>100</v>
      </c>
      <c r="AU216" t="s">
        <v>100</v>
      </c>
      <c r="AW216" t="s">
        <v>85</v>
      </c>
      <c r="AX216" t="s">
        <v>101</v>
      </c>
      <c r="AY216" t="s">
        <v>102</v>
      </c>
      <c r="AZ216" t="s">
        <v>145</v>
      </c>
      <c r="BA216" t="s">
        <v>525</v>
      </c>
      <c r="BB216" t="s">
        <v>78</v>
      </c>
      <c r="BC216" t="s">
        <v>78</v>
      </c>
      <c r="BE216">
        <v>0</v>
      </c>
      <c r="BF216">
        <v>5</v>
      </c>
      <c r="BG216">
        <v>0</v>
      </c>
      <c r="BH216">
        <v>0</v>
      </c>
      <c r="BJ216" t="s">
        <v>85</v>
      </c>
      <c r="BP216" t="s">
        <v>78</v>
      </c>
      <c r="BQ216" t="s">
        <v>78</v>
      </c>
      <c r="BR216" t="s">
        <v>78</v>
      </c>
    </row>
    <row r="217" customFormat="1" spans="1:70">
      <c r="A217" t="s">
        <v>4087</v>
      </c>
      <c r="B217" t="s">
        <v>4087</v>
      </c>
      <c r="C217" t="s">
        <v>107</v>
      </c>
      <c r="D217" t="s">
        <v>135</v>
      </c>
      <c r="E217">
        <v>1</v>
      </c>
      <c r="F217" t="s">
        <v>3857</v>
      </c>
      <c r="G217" t="s">
        <v>136</v>
      </c>
      <c r="H217">
        <v>289</v>
      </c>
      <c r="I217">
        <v>289</v>
      </c>
      <c r="J217">
        <v>0</v>
      </c>
      <c r="K217">
        <v>0</v>
      </c>
      <c r="L217" t="s">
        <v>78</v>
      </c>
      <c r="M217" t="s">
        <v>78</v>
      </c>
      <c r="N217" t="s">
        <v>78</v>
      </c>
      <c r="O217">
        <v>0</v>
      </c>
      <c r="P217">
        <v>0</v>
      </c>
      <c r="Q217">
        <v>0</v>
      </c>
      <c r="R217" t="s">
        <v>79</v>
      </c>
      <c r="S217">
        <v>0</v>
      </c>
      <c r="T217" t="s">
        <v>80</v>
      </c>
      <c r="U217" t="s">
        <v>80</v>
      </c>
      <c r="V217" t="s">
        <v>447</v>
      </c>
      <c r="W217" t="s">
        <v>448</v>
      </c>
      <c r="X217" t="s">
        <v>449</v>
      </c>
      <c r="Y217" t="s">
        <v>450</v>
      </c>
      <c r="Z217" t="s">
        <v>80</v>
      </c>
      <c r="AA217" t="s">
        <v>85</v>
      </c>
      <c r="AC217" t="s">
        <v>1644</v>
      </c>
      <c r="AD217" t="s">
        <v>362</v>
      </c>
      <c r="AE217" t="s">
        <v>1645</v>
      </c>
      <c r="AG217" t="s">
        <v>1646</v>
      </c>
      <c r="AH217" t="s">
        <v>91</v>
      </c>
      <c r="AI217" t="s">
        <v>216</v>
      </c>
      <c r="AJ217" t="s">
        <v>131</v>
      </c>
      <c r="AK217" t="s">
        <v>1647</v>
      </c>
      <c r="AL217" t="s">
        <v>95</v>
      </c>
      <c r="AM217" t="s">
        <v>96</v>
      </c>
      <c r="AN217" t="s">
        <v>96</v>
      </c>
      <c r="AP217" t="s">
        <v>78</v>
      </c>
      <c r="AQ217" t="s">
        <v>99</v>
      </c>
      <c r="AS217" t="s">
        <v>78</v>
      </c>
      <c r="AT217" t="s">
        <v>100</v>
      </c>
      <c r="AU217" t="s">
        <v>100</v>
      </c>
      <c r="AW217" t="s">
        <v>85</v>
      </c>
      <c r="AX217" t="s">
        <v>101</v>
      </c>
      <c r="AY217" t="s">
        <v>102</v>
      </c>
      <c r="AZ217" t="s">
        <v>145</v>
      </c>
      <c r="BA217" t="s">
        <v>525</v>
      </c>
      <c r="BB217" t="s">
        <v>78</v>
      </c>
      <c r="BC217" t="s">
        <v>78</v>
      </c>
      <c r="BE217">
        <v>0</v>
      </c>
      <c r="BF217">
        <v>0</v>
      </c>
      <c r="BG217">
        <v>0</v>
      </c>
      <c r="BH217">
        <v>0</v>
      </c>
      <c r="BJ217" t="s">
        <v>85</v>
      </c>
      <c r="BP217" t="s">
        <v>78</v>
      </c>
      <c r="BQ217" t="s">
        <v>78</v>
      </c>
      <c r="BR217" t="s">
        <v>78</v>
      </c>
    </row>
    <row r="218" customFormat="1" spans="1:70">
      <c r="A218" t="s">
        <v>4088</v>
      </c>
      <c r="B218" t="s">
        <v>4088</v>
      </c>
      <c r="C218" t="s">
        <v>1649</v>
      </c>
      <c r="D218" t="s">
        <v>175</v>
      </c>
      <c r="E218">
        <v>1</v>
      </c>
      <c r="F218" t="s">
        <v>4089</v>
      </c>
      <c r="G218" t="s">
        <v>1651</v>
      </c>
      <c r="H218">
        <v>359</v>
      </c>
      <c r="I218">
        <v>359</v>
      </c>
      <c r="J218">
        <v>0</v>
      </c>
      <c r="K218">
        <v>0</v>
      </c>
      <c r="L218" t="s">
        <v>78</v>
      </c>
      <c r="M218" t="s">
        <v>78</v>
      </c>
      <c r="N218" t="s">
        <v>78</v>
      </c>
      <c r="O218">
        <v>0</v>
      </c>
      <c r="P218">
        <v>0</v>
      </c>
      <c r="Q218">
        <v>0</v>
      </c>
      <c r="R218" t="s">
        <v>79</v>
      </c>
      <c r="S218">
        <v>0</v>
      </c>
      <c r="T218" t="s">
        <v>80</v>
      </c>
      <c r="U218" t="s">
        <v>80</v>
      </c>
      <c r="V218" t="s">
        <v>574</v>
      </c>
      <c r="W218" t="s">
        <v>574</v>
      </c>
      <c r="X218" t="s">
        <v>1428</v>
      </c>
      <c r="Y218" t="s">
        <v>1652</v>
      </c>
      <c r="Z218" t="s">
        <v>80</v>
      </c>
      <c r="AA218" t="s">
        <v>85</v>
      </c>
      <c r="AC218" t="s">
        <v>1653</v>
      </c>
      <c r="AD218" t="s">
        <v>202</v>
      </c>
      <c r="AE218" t="s">
        <v>1654</v>
      </c>
      <c r="AG218" t="s">
        <v>1655</v>
      </c>
      <c r="AH218" t="s">
        <v>91</v>
      </c>
      <c r="AI218" t="s">
        <v>216</v>
      </c>
      <c r="AJ218" t="s">
        <v>131</v>
      </c>
      <c r="AK218" t="s">
        <v>1656</v>
      </c>
      <c r="AL218" t="s">
        <v>95</v>
      </c>
      <c r="AM218" t="s">
        <v>96</v>
      </c>
      <c r="AN218" t="s">
        <v>96</v>
      </c>
      <c r="AP218" t="s">
        <v>78</v>
      </c>
      <c r="AQ218" t="s">
        <v>99</v>
      </c>
      <c r="AS218" t="s">
        <v>78</v>
      </c>
      <c r="AT218" t="s">
        <v>100</v>
      </c>
      <c r="AU218" t="s">
        <v>100</v>
      </c>
      <c r="AW218" t="s">
        <v>85</v>
      </c>
      <c r="AX218" t="s">
        <v>101</v>
      </c>
      <c r="AY218" t="s">
        <v>102</v>
      </c>
      <c r="AZ218" t="s">
        <v>145</v>
      </c>
      <c r="BA218" t="s">
        <v>354</v>
      </c>
      <c r="BB218" t="s">
        <v>78</v>
      </c>
      <c r="BC218" t="s">
        <v>78</v>
      </c>
      <c r="BD218" t="s">
        <v>1657</v>
      </c>
      <c r="BE218">
        <v>0</v>
      </c>
      <c r="BF218">
        <v>0</v>
      </c>
      <c r="BG218">
        <v>0</v>
      </c>
      <c r="BH218">
        <v>0</v>
      </c>
      <c r="BJ218" t="s">
        <v>85</v>
      </c>
      <c r="BP218" t="s">
        <v>78</v>
      </c>
      <c r="BQ218" t="s">
        <v>78</v>
      </c>
      <c r="BR218" t="s">
        <v>78</v>
      </c>
    </row>
    <row r="219" customFormat="1" spans="1:70">
      <c r="A219" t="s">
        <v>4090</v>
      </c>
      <c r="B219" t="s">
        <v>4090</v>
      </c>
      <c r="C219" t="s">
        <v>107</v>
      </c>
      <c r="D219" t="s">
        <v>123</v>
      </c>
      <c r="E219">
        <v>1</v>
      </c>
      <c r="F219" t="s">
        <v>3857</v>
      </c>
      <c r="G219" t="s">
        <v>124</v>
      </c>
      <c r="H219">
        <v>289</v>
      </c>
      <c r="I219">
        <v>289</v>
      </c>
      <c r="J219">
        <v>0</v>
      </c>
      <c r="K219">
        <v>2</v>
      </c>
      <c r="L219" t="s">
        <v>78</v>
      </c>
      <c r="M219" t="s">
        <v>78</v>
      </c>
      <c r="N219" t="s">
        <v>78</v>
      </c>
      <c r="O219">
        <v>0</v>
      </c>
      <c r="P219">
        <v>2</v>
      </c>
      <c r="Q219">
        <v>0</v>
      </c>
      <c r="R219" t="s">
        <v>79</v>
      </c>
      <c r="S219">
        <v>0</v>
      </c>
      <c r="T219" t="s">
        <v>80</v>
      </c>
      <c r="U219" t="s">
        <v>80</v>
      </c>
      <c r="V219" t="s">
        <v>347</v>
      </c>
      <c r="W219" t="s">
        <v>901</v>
      </c>
      <c r="X219" t="s">
        <v>1659</v>
      </c>
      <c r="Y219" t="s">
        <v>1660</v>
      </c>
      <c r="Z219" t="s">
        <v>80</v>
      </c>
      <c r="AA219" t="s">
        <v>85</v>
      </c>
      <c r="AC219" t="s">
        <v>1661</v>
      </c>
      <c r="AD219" t="s">
        <v>87</v>
      </c>
      <c r="AG219" t="s">
        <v>1662</v>
      </c>
      <c r="AH219" t="s">
        <v>91</v>
      </c>
      <c r="AI219" t="s">
        <v>92</v>
      </c>
      <c r="AJ219" t="s">
        <v>131</v>
      </c>
      <c r="AK219" t="s">
        <v>1663</v>
      </c>
      <c r="AL219" t="s">
        <v>95</v>
      </c>
      <c r="AM219" t="s">
        <v>96</v>
      </c>
      <c r="AN219" t="s">
        <v>97</v>
      </c>
      <c r="AO219" t="s">
        <v>98</v>
      </c>
      <c r="AP219" t="s">
        <v>78</v>
      </c>
      <c r="AQ219" t="s">
        <v>99</v>
      </c>
      <c r="AS219" t="s">
        <v>78</v>
      </c>
      <c r="AT219" t="s">
        <v>100</v>
      </c>
      <c r="AU219" t="s">
        <v>100</v>
      </c>
      <c r="AW219" t="s">
        <v>85</v>
      </c>
      <c r="AX219" t="s">
        <v>101</v>
      </c>
      <c r="AY219" t="s">
        <v>102</v>
      </c>
      <c r="AZ219" t="s">
        <v>145</v>
      </c>
      <c r="BA219" t="s">
        <v>146</v>
      </c>
      <c r="BB219" t="s">
        <v>78</v>
      </c>
      <c r="BC219" t="s">
        <v>78</v>
      </c>
      <c r="BE219">
        <v>0</v>
      </c>
      <c r="BF219">
        <v>0</v>
      </c>
      <c r="BG219">
        <v>0</v>
      </c>
      <c r="BH219">
        <v>0</v>
      </c>
      <c r="BJ219" t="s">
        <v>85</v>
      </c>
      <c r="BP219" t="s">
        <v>78</v>
      </c>
      <c r="BQ219" t="s">
        <v>78</v>
      </c>
      <c r="BR219" t="s">
        <v>78</v>
      </c>
    </row>
    <row r="220" customFormat="1" spans="1:70">
      <c r="A220" t="s">
        <v>4091</v>
      </c>
      <c r="B220" t="s">
        <v>4091</v>
      </c>
      <c r="C220" t="s">
        <v>1092</v>
      </c>
      <c r="D220" t="s">
        <v>1391</v>
      </c>
      <c r="E220">
        <v>1</v>
      </c>
      <c r="F220" t="s">
        <v>3998</v>
      </c>
      <c r="G220" t="s">
        <v>1392</v>
      </c>
      <c r="H220">
        <v>289</v>
      </c>
      <c r="I220">
        <v>289</v>
      </c>
      <c r="J220">
        <v>0</v>
      </c>
      <c r="K220">
        <v>0</v>
      </c>
      <c r="L220" t="s">
        <v>78</v>
      </c>
      <c r="M220" t="s">
        <v>78</v>
      </c>
      <c r="N220" t="s">
        <v>78</v>
      </c>
      <c r="O220">
        <v>0</v>
      </c>
      <c r="P220">
        <v>0</v>
      </c>
      <c r="Q220">
        <v>0</v>
      </c>
      <c r="R220" t="s">
        <v>79</v>
      </c>
      <c r="S220">
        <v>0</v>
      </c>
      <c r="T220" t="s">
        <v>80</v>
      </c>
      <c r="U220" t="s">
        <v>80</v>
      </c>
      <c r="V220" t="s">
        <v>1665</v>
      </c>
      <c r="W220" t="s">
        <v>1666</v>
      </c>
      <c r="X220" t="s">
        <v>1667</v>
      </c>
      <c r="Y220" t="s">
        <v>1668</v>
      </c>
      <c r="Z220" t="s">
        <v>80</v>
      </c>
      <c r="AA220" t="s">
        <v>85</v>
      </c>
      <c r="AC220" t="s">
        <v>1669</v>
      </c>
      <c r="AD220" t="s">
        <v>202</v>
      </c>
      <c r="AE220" t="s">
        <v>1670</v>
      </c>
      <c r="AG220" t="s">
        <v>1671</v>
      </c>
      <c r="AH220" t="s">
        <v>91</v>
      </c>
      <c r="AI220" t="s">
        <v>92</v>
      </c>
      <c r="AJ220" t="s">
        <v>131</v>
      </c>
      <c r="AK220" t="s">
        <v>1672</v>
      </c>
      <c r="AL220" t="s">
        <v>95</v>
      </c>
      <c r="AM220" t="s">
        <v>96</v>
      </c>
      <c r="AN220" t="s">
        <v>97</v>
      </c>
      <c r="AO220" t="s">
        <v>98</v>
      </c>
      <c r="AP220" t="s">
        <v>78</v>
      </c>
      <c r="AQ220" t="s">
        <v>99</v>
      </c>
      <c r="AS220" t="s">
        <v>78</v>
      </c>
      <c r="AT220" t="s">
        <v>100</v>
      </c>
      <c r="AU220" t="s">
        <v>100</v>
      </c>
      <c r="AW220" t="s">
        <v>85</v>
      </c>
      <c r="AX220" t="s">
        <v>101</v>
      </c>
      <c r="AY220" t="s">
        <v>102</v>
      </c>
      <c r="AZ220" t="s">
        <v>145</v>
      </c>
      <c r="BA220" t="s">
        <v>146</v>
      </c>
      <c r="BB220" t="s">
        <v>78</v>
      </c>
      <c r="BC220" t="s">
        <v>78</v>
      </c>
      <c r="BD220" t="s">
        <v>1401</v>
      </c>
      <c r="BE220">
        <v>0</v>
      </c>
      <c r="BF220">
        <v>0</v>
      </c>
      <c r="BG220">
        <v>0</v>
      </c>
      <c r="BH220">
        <v>0</v>
      </c>
      <c r="BJ220" t="s">
        <v>85</v>
      </c>
      <c r="BP220" t="s">
        <v>78</v>
      </c>
      <c r="BQ220" t="s">
        <v>78</v>
      </c>
      <c r="BR220" t="s">
        <v>78</v>
      </c>
    </row>
    <row r="221" customFormat="1" spans="1:70">
      <c r="A221" t="s">
        <v>4092</v>
      </c>
      <c r="B221" t="s">
        <v>4092</v>
      </c>
      <c r="C221" t="s">
        <v>107</v>
      </c>
      <c r="D221" t="s">
        <v>123</v>
      </c>
      <c r="E221">
        <v>1</v>
      </c>
      <c r="F221" t="s">
        <v>3857</v>
      </c>
      <c r="G221" t="s">
        <v>124</v>
      </c>
      <c r="H221">
        <v>289</v>
      </c>
      <c r="I221">
        <v>289</v>
      </c>
      <c r="J221">
        <v>0</v>
      </c>
      <c r="K221">
        <v>0</v>
      </c>
      <c r="L221" t="s">
        <v>78</v>
      </c>
      <c r="M221" t="s">
        <v>78</v>
      </c>
      <c r="N221" t="s">
        <v>78</v>
      </c>
      <c r="O221">
        <v>0</v>
      </c>
      <c r="P221">
        <v>0</v>
      </c>
      <c r="Q221">
        <v>0</v>
      </c>
      <c r="R221" t="s">
        <v>125</v>
      </c>
      <c r="S221">
        <v>0</v>
      </c>
      <c r="T221" t="s">
        <v>80</v>
      </c>
      <c r="U221" t="s">
        <v>80</v>
      </c>
      <c r="V221" t="s">
        <v>239</v>
      </c>
      <c r="W221" t="s">
        <v>967</v>
      </c>
      <c r="X221" t="s">
        <v>1674</v>
      </c>
      <c r="Y221" t="s">
        <v>1675</v>
      </c>
      <c r="Z221" t="s">
        <v>80</v>
      </c>
      <c r="AA221" t="s">
        <v>85</v>
      </c>
      <c r="AC221" t="s">
        <v>1676</v>
      </c>
      <c r="AD221" t="s">
        <v>87</v>
      </c>
      <c r="AG221" t="s">
        <v>1677</v>
      </c>
      <c r="AH221" t="s">
        <v>91</v>
      </c>
      <c r="AI221" t="s">
        <v>92</v>
      </c>
      <c r="AJ221" t="s">
        <v>131</v>
      </c>
      <c r="AK221" t="s">
        <v>1678</v>
      </c>
      <c r="AL221" t="s">
        <v>95</v>
      </c>
      <c r="AM221" t="s">
        <v>96</v>
      </c>
      <c r="AN221" t="s">
        <v>97</v>
      </c>
      <c r="AO221" t="s">
        <v>98</v>
      </c>
      <c r="AP221" t="s">
        <v>78</v>
      </c>
      <c r="AQ221" t="s">
        <v>99</v>
      </c>
      <c r="AS221" t="s">
        <v>78</v>
      </c>
      <c r="AT221" t="s">
        <v>100</v>
      </c>
      <c r="AU221" t="s">
        <v>100</v>
      </c>
      <c r="AW221" t="s">
        <v>85</v>
      </c>
      <c r="AX221" t="s">
        <v>101</v>
      </c>
      <c r="AY221" t="s">
        <v>102</v>
      </c>
      <c r="AZ221" t="s">
        <v>103</v>
      </c>
      <c r="BA221" t="s">
        <v>133</v>
      </c>
      <c r="BB221" t="s">
        <v>78</v>
      </c>
      <c r="BC221" t="s">
        <v>78</v>
      </c>
      <c r="BE221">
        <v>0</v>
      </c>
      <c r="BF221">
        <v>0</v>
      </c>
      <c r="BG221">
        <v>0</v>
      </c>
      <c r="BH221">
        <v>0</v>
      </c>
      <c r="BJ221" t="s">
        <v>85</v>
      </c>
      <c r="BP221" t="s">
        <v>78</v>
      </c>
      <c r="BQ221" t="s">
        <v>78</v>
      </c>
      <c r="BR221" t="s">
        <v>78</v>
      </c>
    </row>
    <row r="222" customFormat="1" spans="1:70">
      <c r="A222" t="s">
        <v>4093</v>
      </c>
      <c r="B222" t="s">
        <v>4093</v>
      </c>
      <c r="C222" t="s">
        <v>1050</v>
      </c>
      <c r="D222" t="s">
        <v>1377</v>
      </c>
      <c r="E222">
        <v>1</v>
      </c>
      <c r="F222" t="s">
        <v>3991</v>
      </c>
      <c r="G222" t="s">
        <v>1378</v>
      </c>
      <c r="H222">
        <v>129</v>
      </c>
      <c r="I222">
        <v>129</v>
      </c>
      <c r="J222">
        <v>0</v>
      </c>
      <c r="K222">
        <v>0</v>
      </c>
      <c r="L222" t="s">
        <v>78</v>
      </c>
      <c r="M222" t="s">
        <v>78</v>
      </c>
      <c r="N222" t="s">
        <v>78</v>
      </c>
      <c r="O222">
        <v>0</v>
      </c>
      <c r="P222">
        <v>0</v>
      </c>
      <c r="Q222">
        <v>0</v>
      </c>
      <c r="R222" t="s">
        <v>125</v>
      </c>
      <c r="S222">
        <v>0</v>
      </c>
      <c r="T222" t="s">
        <v>80</v>
      </c>
      <c r="U222" t="s">
        <v>80</v>
      </c>
      <c r="V222" t="s">
        <v>152</v>
      </c>
      <c r="W222" t="s">
        <v>1680</v>
      </c>
      <c r="X222" t="s">
        <v>1681</v>
      </c>
      <c r="Y222" t="s">
        <v>78</v>
      </c>
      <c r="Z222" t="s">
        <v>80</v>
      </c>
      <c r="AA222" t="s">
        <v>85</v>
      </c>
      <c r="AC222" t="s">
        <v>1682</v>
      </c>
      <c r="AD222" t="s">
        <v>202</v>
      </c>
      <c r="AE222" t="s">
        <v>1683</v>
      </c>
      <c r="AG222" t="s">
        <v>1684</v>
      </c>
      <c r="AH222" t="s">
        <v>91</v>
      </c>
      <c r="AI222" t="s">
        <v>92</v>
      </c>
      <c r="AJ222" t="s">
        <v>131</v>
      </c>
      <c r="AK222" t="s">
        <v>1685</v>
      </c>
      <c r="AL222" t="s">
        <v>95</v>
      </c>
      <c r="AM222" t="s">
        <v>96</v>
      </c>
      <c r="AN222" t="s">
        <v>97</v>
      </c>
      <c r="AO222" t="s">
        <v>98</v>
      </c>
      <c r="AP222" t="s">
        <v>78</v>
      </c>
      <c r="AQ222" t="s">
        <v>99</v>
      </c>
      <c r="AS222" t="s">
        <v>78</v>
      </c>
      <c r="AT222" t="s">
        <v>100</v>
      </c>
      <c r="AU222" t="s">
        <v>100</v>
      </c>
      <c r="AW222" t="s">
        <v>85</v>
      </c>
      <c r="AX222" t="s">
        <v>101</v>
      </c>
      <c r="AY222" t="s">
        <v>102</v>
      </c>
      <c r="AZ222" t="s">
        <v>103</v>
      </c>
      <c r="BA222" t="s">
        <v>133</v>
      </c>
      <c r="BB222" t="s">
        <v>78</v>
      </c>
      <c r="BC222" t="s">
        <v>78</v>
      </c>
      <c r="BD222" t="s">
        <v>1686</v>
      </c>
      <c r="BE222">
        <v>0</v>
      </c>
      <c r="BF222">
        <v>0</v>
      </c>
      <c r="BG222">
        <v>0</v>
      </c>
      <c r="BH222">
        <v>0</v>
      </c>
      <c r="BJ222" t="s">
        <v>85</v>
      </c>
      <c r="BP222" t="s">
        <v>78</v>
      </c>
      <c r="BQ222" t="s">
        <v>78</v>
      </c>
      <c r="BR222" t="s">
        <v>78</v>
      </c>
    </row>
    <row r="223" customFormat="1" spans="1:70">
      <c r="A223" t="s">
        <v>4094</v>
      </c>
      <c r="B223" t="s">
        <v>4094</v>
      </c>
      <c r="C223" t="s">
        <v>1050</v>
      </c>
      <c r="D223" t="s">
        <v>1051</v>
      </c>
      <c r="E223">
        <v>1</v>
      </c>
      <c r="F223" t="s">
        <v>3991</v>
      </c>
      <c r="G223" t="s">
        <v>1053</v>
      </c>
      <c r="H223">
        <v>129</v>
      </c>
      <c r="I223">
        <v>129</v>
      </c>
      <c r="J223">
        <v>0</v>
      </c>
      <c r="K223">
        <v>0</v>
      </c>
      <c r="L223" t="s">
        <v>78</v>
      </c>
      <c r="M223" t="s">
        <v>78</v>
      </c>
      <c r="N223" t="s">
        <v>78</v>
      </c>
      <c r="O223">
        <v>0</v>
      </c>
      <c r="P223">
        <v>0</v>
      </c>
      <c r="Q223">
        <v>0</v>
      </c>
      <c r="R223" t="s">
        <v>111</v>
      </c>
      <c r="S223">
        <v>0</v>
      </c>
      <c r="T223" t="s">
        <v>80</v>
      </c>
      <c r="U223" t="s">
        <v>80</v>
      </c>
      <c r="V223" t="s">
        <v>271</v>
      </c>
      <c r="W223" t="s">
        <v>421</v>
      </c>
      <c r="X223" t="s">
        <v>809</v>
      </c>
      <c r="Y223" t="s">
        <v>1423</v>
      </c>
      <c r="Z223" t="s">
        <v>80</v>
      </c>
      <c r="AA223" t="s">
        <v>504</v>
      </c>
      <c r="AC223" t="s">
        <v>1688</v>
      </c>
      <c r="AD223" t="s">
        <v>87</v>
      </c>
      <c r="AG223" t="s">
        <v>1689</v>
      </c>
      <c r="AH223" t="s">
        <v>227</v>
      </c>
      <c r="AI223" t="s">
        <v>92</v>
      </c>
      <c r="AJ223" t="s">
        <v>131</v>
      </c>
      <c r="AK223" t="s">
        <v>1690</v>
      </c>
      <c r="AL223" t="s">
        <v>95</v>
      </c>
      <c r="AM223" t="s">
        <v>96</v>
      </c>
      <c r="AN223" t="s">
        <v>97</v>
      </c>
      <c r="AO223" t="s">
        <v>98</v>
      </c>
      <c r="AP223" t="s">
        <v>78</v>
      </c>
      <c r="AQ223" t="s">
        <v>99</v>
      </c>
      <c r="AS223" t="s">
        <v>78</v>
      </c>
      <c r="AT223" t="s">
        <v>100</v>
      </c>
      <c r="AU223" t="s">
        <v>100</v>
      </c>
      <c r="AW223" t="s">
        <v>85</v>
      </c>
      <c r="AX223" t="s">
        <v>101</v>
      </c>
      <c r="AY223" t="s">
        <v>102</v>
      </c>
      <c r="AZ223" t="s">
        <v>103</v>
      </c>
      <c r="BA223" t="s">
        <v>120</v>
      </c>
      <c r="BB223" t="s">
        <v>78</v>
      </c>
      <c r="BC223" t="s">
        <v>78</v>
      </c>
      <c r="BE223">
        <v>0</v>
      </c>
      <c r="BF223">
        <v>0</v>
      </c>
      <c r="BG223">
        <v>0</v>
      </c>
      <c r="BH223">
        <v>0</v>
      </c>
      <c r="BJ223" t="s">
        <v>85</v>
      </c>
      <c r="BP223" t="s">
        <v>78</v>
      </c>
      <c r="BQ223" t="s">
        <v>78</v>
      </c>
      <c r="BR223" t="s">
        <v>78</v>
      </c>
    </row>
    <row r="224" customFormat="1" spans="1:70">
      <c r="A224" t="s">
        <v>4095</v>
      </c>
      <c r="B224" t="s">
        <v>4095</v>
      </c>
      <c r="C224" t="s">
        <v>107</v>
      </c>
      <c r="D224" t="s">
        <v>123</v>
      </c>
      <c r="E224">
        <v>1</v>
      </c>
      <c r="F224" t="s">
        <v>3857</v>
      </c>
      <c r="G224" t="s">
        <v>124</v>
      </c>
      <c r="H224">
        <v>289</v>
      </c>
      <c r="I224">
        <v>261</v>
      </c>
      <c r="J224">
        <v>0</v>
      </c>
      <c r="K224">
        <v>28</v>
      </c>
      <c r="L224" t="s">
        <v>488</v>
      </c>
      <c r="M224" t="s">
        <v>78</v>
      </c>
      <c r="N224" t="s">
        <v>78</v>
      </c>
      <c r="O224">
        <v>0</v>
      </c>
      <c r="P224">
        <v>0</v>
      </c>
      <c r="Q224">
        <v>0</v>
      </c>
      <c r="R224" t="s">
        <v>111</v>
      </c>
      <c r="S224">
        <v>0</v>
      </c>
      <c r="T224" t="s">
        <v>80</v>
      </c>
      <c r="U224" t="s">
        <v>80</v>
      </c>
      <c r="V224" t="s">
        <v>271</v>
      </c>
      <c r="W224" t="s">
        <v>717</v>
      </c>
      <c r="X224" t="s">
        <v>1634</v>
      </c>
      <c r="Y224" t="s">
        <v>1462</v>
      </c>
      <c r="Z224" t="s">
        <v>80</v>
      </c>
      <c r="AA224" t="s">
        <v>85</v>
      </c>
      <c r="AC224" t="s">
        <v>1692</v>
      </c>
      <c r="AD224" t="s">
        <v>87</v>
      </c>
      <c r="AG224" t="s">
        <v>1693</v>
      </c>
      <c r="AH224" t="s">
        <v>91</v>
      </c>
      <c r="AI224" t="s">
        <v>92</v>
      </c>
      <c r="AJ224" t="s">
        <v>131</v>
      </c>
      <c r="AK224" t="s">
        <v>1694</v>
      </c>
      <c r="AL224" t="s">
        <v>95</v>
      </c>
      <c r="AM224" t="s">
        <v>96</v>
      </c>
      <c r="AN224" t="s">
        <v>97</v>
      </c>
      <c r="AO224" t="s">
        <v>98</v>
      </c>
      <c r="AP224" t="s">
        <v>78</v>
      </c>
      <c r="AQ224" t="s">
        <v>99</v>
      </c>
      <c r="AS224" t="s">
        <v>78</v>
      </c>
      <c r="AT224" t="s">
        <v>100</v>
      </c>
      <c r="AU224" t="s">
        <v>100</v>
      </c>
      <c r="AW224" t="s">
        <v>85</v>
      </c>
      <c r="AX224" t="s">
        <v>101</v>
      </c>
      <c r="AY224" t="s">
        <v>102</v>
      </c>
      <c r="AZ224" t="s">
        <v>103</v>
      </c>
      <c r="BA224" t="s">
        <v>104</v>
      </c>
      <c r="BB224" t="s">
        <v>78</v>
      </c>
      <c r="BC224" t="s">
        <v>78</v>
      </c>
      <c r="BE224">
        <v>0</v>
      </c>
      <c r="BF224">
        <v>28</v>
      </c>
      <c r="BG224">
        <v>0</v>
      </c>
      <c r="BH224">
        <v>0</v>
      </c>
      <c r="BJ224" t="s">
        <v>85</v>
      </c>
      <c r="BP224" t="s">
        <v>78</v>
      </c>
      <c r="BQ224" t="s">
        <v>78</v>
      </c>
      <c r="BR224" t="s">
        <v>78</v>
      </c>
    </row>
    <row r="225" customFormat="1" spans="1:70">
      <c r="A225" t="s">
        <v>4096</v>
      </c>
      <c r="B225" t="s">
        <v>4096</v>
      </c>
      <c r="C225" t="s">
        <v>1092</v>
      </c>
      <c r="D225" t="s">
        <v>108</v>
      </c>
      <c r="E225">
        <v>1</v>
      </c>
      <c r="F225" t="s">
        <v>3998</v>
      </c>
      <c r="G225" t="s">
        <v>1094</v>
      </c>
      <c r="H225">
        <v>289</v>
      </c>
      <c r="I225">
        <v>289</v>
      </c>
      <c r="J225">
        <v>0</v>
      </c>
      <c r="K225">
        <v>0</v>
      </c>
      <c r="L225" t="s">
        <v>78</v>
      </c>
      <c r="M225" t="s">
        <v>78</v>
      </c>
      <c r="N225" t="s">
        <v>78</v>
      </c>
      <c r="O225">
        <v>0</v>
      </c>
      <c r="P225">
        <v>0</v>
      </c>
      <c r="Q225">
        <v>0</v>
      </c>
      <c r="R225" t="s">
        <v>111</v>
      </c>
      <c r="S225">
        <v>0</v>
      </c>
      <c r="T225" t="s">
        <v>80</v>
      </c>
      <c r="U225" t="s">
        <v>80</v>
      </c>
      <c r="V225" t="s">
        <v>509</v>
      </c>
      <c r="W225" t="s">
        <v>1696</v>
      </c>
      <c r="X225" t="s">
        <v>1697</v>
      </c>
      <c r="Y225" t="s">
        <v>1698</v>
      </c>
      <c r="Z225" t="s">
        <v>80</v>
      </c>
      <c r="AA225" t="s">
        <v>85</v>
      </c>
      <c r="AC225" t="s">
        <v>1699</v>
      </c>
      <c r="AD225" t="s">
        <v>202</v>
      </c>
      <c r="AE225" t="s">
        <v>1700</v>
      </c>
      <c r="AF225" t="s">
        <v>1701</v>
      </c>
      <c r="AG225" t="s">
        <v>1702</v>
      </c>
      <c r="AH225" t="s">
        <v>91</v>
      </c>
      <c r="AI225" t="s">
        <v>92</v>
      </c>
      <c r="AJ225" t="s">
        <v>93</v>
      </c>
      <c r="AK225" t="s">
        <v>1703</v>
      </c>
      <c r="AL225" t="s">
        <v>95</v>
      </c>
      <c r="AM225" t="s">
        <v>96</v>
      </c>
      <c r="AN225" t="s">
        <v>97</v>
      </c>
      <c r="AO225" t="s">
        <v>98</v>
      </c>
      <c r="AP225" t="s">
        <v>78</v>
      </c>
      <c r="AQ225" t="s">
        <v>99</v>
      </c>
      <c r="AS225" t="s">
        <v>78</v>
      </c>
      <c r="AT225" t="s">
        <v>100</v>
      </c>
      <c r="AU225" t="s">
        <v>100</v>
      </c>
      <c r="AW225" t="s">
        <v>85</v>
      </c>
      <c r="AX225" t="s">
        <v>101</v>
      </c>
      <c r="AY225" t="s">
        <v>102</v>
      </c>
      <c r="AZ225" t="s">
        <v>103</v>
      </c>
      <c r="BA225" t="s">
        <v>133</v>
      </c>
      <c r="BB225" t="s">
        <v>78</v>
      </c>
      <c r="BC225" t="s">
        <v>78</v>
      </c>
      <c r="BD225" t="s">
        <v>1704</v>
      </c>
      <c r="BE225">
        <v>0</v>
      </c>
      <c r="BF225">
        <v>0</v>
      </c>
      <c r="BG225">
        <v>0</v>
      </c>
      <c r="BH225">
        <v>0</v>
      </c>
      <c r="BJ225" t="s">
        <v>85</v>
      </c>
      <c r="BP225" t="s">
        <v>78</v>
      </c>
      <c r="BQ225" t="s">
        <v>78</v>
      </c>
      <c r="BR225" t="s">
        <v>78</v>
      </c>
    </row>
    <row r="226" customFormat="1" spans="1:70">
      <c r="A226" t="s">
        <v>4097</v>
      </c>
      <c r="B226" t="s">
        <v>4097</v>
      </c>
      <c r="C226" t="s">
        <v>107</v>
      </c>
      <c r="D226" t="s">
        <v>135</v>
      </c>
      <c r="E226">
        <v>1</v>
      </c>
      <c r="F226" t="s">
        <v>3857</v>
      </c>
      <c r="G226" t="s">
        <v>136</v>
      </c>
      <c r="H226">
        <v>289</v>
      </c>
      <c r="I226">
        <v>289</v>
      </c>
      <c r="J226">
        <v>0</v>
      </c>
      <c r="K226">
        <v>0</v>
      </c>
      <c r="L226" t="s">
        <v>78</v>
      </c>
      <c r="M226" t="s">
        <v>78</v>
      </c>
      <c r="N226" t="s">
        <v>78</v>
      </c>
      <c r="O226">
        <v>0</v>
      </c>
      <c r="P226">
        <v>0</v>
      </c>
      <c r="Q226">
        <v>0</v>
      </c>
      <c r="R226" t="s">
        <v>111</v>
      </c>
      <c r="S226">
        <v>0</v>
      </c>
      <c r="T226" t="s">
        <v>80</v>
      </c>
      <c r="U226" t="s">
        <v>80</v>
      </c>
      <c r="V226" t="s">
        <v>302</v>
      </c>
      <c r="W226" t="s">
        <v>1358</v>
      </c>
      <c r="X226" t="s">
        <v>1706</v>
      </c>
      <c r="Y226" t="s">
        <v>1707</v>
      </c>
      <c r="Z226" t="s">
        <v>80</v>
      </c>
      <c r="AA226" t="s">
        <v>85</v>
      </c>
      <c r="AC226" t="s">
        <v>1708</v>
      </c>
      <c r="AD226" t="s">
        <v>87</v>
      </c>
      <c r="AG226" t="s">
        <v>1709</v>
      </c>
      <c r="AH226" t="s">
        <v>873</v>
      </c>
      <c r="AI226" t="s">
        <v>92</v>
      </c>
      <c r="AJ226" t="s">
        <v>131</v>
      </c>
      <c r="AK226" t="s">
        <v>1710</v>
      </c>
      <c r="AL226" t="s">
        <v>95</v>
      </c>
      <c r="AM226" t="s">
        <v>96</v>
      </c>
      <c r="AN226" t="s">
        <v>97</v>
      </c>
      <c r="AO226" t="s">
        <v>98</v>
      </c>
      <c r="AP226" t="s">
        <v>78</v>
      </c>
      <c r="AQ226" t="s">
        <v>99</v>
      </c>
      <c r="AS226" t="s">
        <v>78</v>
      </c>
      <c r="AT226" t="s">
        <v>100</v>
      </c>
      <c r="AU226" t="s">
        <v>100</v>
      </c>
      <c r="AW226" t="s">
        <v>85</v>
      </c>
      <c r="AX226" t="s">
        <v>101</v>
      </c>
      <c r="AY226" t="s">
        <v>102</v>
      </c>
      <c r="AZ226" t="s">
        <v>103</v>
      </c>
      <c r="BA226" t="s">
        <v>185</v>
      </c>
      <c r="BB226" t="s">
        <v>78</v>
      </c>
      <c r="BC226" t="s">
        <v>78</v>
      </c>
      <c r="BE226">
        <v>0</v>
      </c>
      <c r="BF226">
        <v>0</v>
      </c>
      <c r="BG226">
        <v>0</v>
      </c>
      <c r="BH226">
        <v>0</v>
      </c>
      <c r="BJ226" t="s">
        <v>85</v>
      </c>
      <c r="BP226" t="s">
        <v>78</v>
      </c>
      <c r="BQ226" t="s">
        <v>78</v>
      </c>
      <c r="BR226" t="s">
        <v>78</v>
      </c>
    </row>
    <row r="227" customFormat="1" spans="1:70">
      <c r="A227" t="s">
        <v>4098</v>
      </c>
      <c r="B227" t="s">
        <v>4098</v>
      </c>
      <c r="C227" t="s">
        <v>107</v>
      </c>
      <c r="D227" t="s">
        <v>108</v>
      </c>
      <c r="E227">
        <v>1</v>
      </c>
      <c r="F227" t="s">
        <v>3857</v>
      </c>
      <c r="G227" t="s">
        <v>110</v>
      </c>
      <c r="H227">
        <v>289</v>
      </c>
      <c r="I227">
        <v>289</v>
      </c>
      <c r="J227">
        <v>0</v>
      </c>
      <c r="K227">
        <v>0</v>
      </c>
      <c r="L227" t="s">
        <v>78</v>
      </c>
      <c r="M227" t="s">
        <v>78</v>
      </c>
      <c r="N227" t="s">
        <v>78</v>
      </c>
      <c r="O227">
        <v>0</v>
      </c>
      <c r="P227">
        <v>0</v>
      </c>
      <c r="Q227">
        <v>0</v>
      </c>
      <c r="R227" t="s">
        <v>79</v>
      </c>
      <c r="S227">
        <v>0</v>
      </c>
      <c r="T227" t="s">
        <v>80</v>
      </c>
      <c r="U227" t="s">
        <v>80</v>
      </c>
      <c r="V227" t="s">
        <v>189</v>
      </c>
      <c r="W227" t="s">
        <v>1712</v>
      </c>
      <c r="X227" t="s">
        <v>1713</v>
      </c>
      <c r="Y227" t="s">
        <v>1714</v>
      </c>
      <c r="Z227" t="s">
        <v>80</v>
      </c>
      <c r="AA227" t="s">
        <v>85</v>
      </c>
      <c r="AC227" t="s">
        <v>1715</v>
      </c>
      <c r="AD227" t="s">
        <v>202</v>
      </c>
      <c r="AE227" t="s">
        <v>1716</v>
      </c>
      <c r="AF227" t="s">
        <v>1717</v>
      </c>
      <c r="AG227" t="s">
        <v>1718</v>
      </c>
      <c r="AH227" t="s">
        <v>91</v>
      </c>
      <c r="AI227" t="s">
        <v>92</v>
      </c>
      <c r="AJ227" t="s">
        <v>93</v>
      </c>
      <c r="AK227" t="s">
        <v>1719</v>
      </c>
      <c r="AL227" t="s">
        <v>95</v>
      </c>
      <c r="AM227" t="s">
        <v>96</v>
      </c>
      <c r="AN227" t="s">
        <v>97</v>
      </c>
      <c r="AO227" t="s">
        <v>98</v>
      </c>
      <c r="AP227" t="s">
        <v>78</v>
      </c>
      <c r="AQ227" t="s">
        <v>99</v>
      </c>
      <c r="AS227" t="s">
        <v>78</v>
      </c>
      <c r="AT227" t="s">
        <v>100</v>
      </c>
      <c r="AU227" t="s">
        <v>100</v>
      </c>
      <c r="AW227" t="s">
        <v>85</v>
      </c>
      <c r="AX227" t="s">
        <v>103</v>
      </c>
      <c r="AY227" t="s">
        <v>159</v>
      </c>
      <c r="AZ227" t="s">
        <v>103</v>
      </c>
      <c r="BA227" t="s">
        <v>104</v>
      </c>
      <c r="BB227" t="s">
        <v>78</v>
      </c>
      <c r="BC227" t="s">
        <v>78</v>
      </c>
      <c r="BD227" t="s">
        <v>1720</v>
      </c>
      <c r="BE227">
        <v>0</v>
      </c>
      <c r="BF227">
        <v>0</v>
      </c>
      <c r="BG227">
        <v>0</v>
      </c>
      <c r="BH227">
        <v>0</v>
      </c>
      <c r="BJ227" t="s">
        <v>85</v>
      </c>
      <c r="BP227" t="s">
        <v>78</v>
      </c>
      <c r="BQ227" t="s">
        <v>78</v>
      </c>
      <c r="BR227" t="s">
        <v>78</v>
      </c>
    </row>
    <row r="228" customFormat="1" spans="1:70">
      <c r="A228" t="s">
        <v>4099</v>
      </c>
      <c r="B228" t="s">
        <v>4099</v>
      </c>
      <c r="C228" t="s">
        <v>107</v>
      </c>
      <c r="D228" t="s">
        <v>108</v>
      </c>
      <c r="E228">
        <v>1</v>
      </c>
      <c r="F228" t="s">
        <v>3857</v>
      </c>
      <c r="G228" t="s">
        <v>110</v>
      </c>
      <c r="H228">
        <v>289</v>
      </c>
      <c r="I228">
        <v>289</v>
      </c>
      <c r="J228">
        <v>0</v>
      </c>
      <c r="K228">
        <v>0</v>
      </c>
      <c r="L228" t="s">
        <v>78</v>
      </c>
      <c r="M228" t="s">
        <v>78</v>
      </c>
      <c r="N228" t="s">
        <v>78</v>
      </c>
      <c r="O228">
        <v>0</v>
      </c>
      <c r="P228">
        <v>0</v>
      </c>
      <c r="Q228">
        <v>0</v>
      </c>
      <c r="R228" t="s">
        <v>79</v>
      </c>
      <c r="S228">
        <v>0</v>
      </c>
      <c r="T228" t="s">
        <v>80</v>
      </c>
      <c r="U228" t="s">
        <v>80</v>
      </c>
      <c r="V228" t="s">
        <v>221</v>
      </c>
      <c r="W228" t="s">
        <v>599</v>
      </c>
      <c r="X228" t="s">
        <v>600</v>
      </c>
      <c r="Y228" t="s">
        <v>1722</v>
      </c>
      <c r="Z228" t="s">
        <v>80</v>
      </c>
      <c r="AA228" t="s">
        <v>85</v>
      </c>
      <c r="AC228" t="s">
        <v>1723</v>
      </c>
      <c r="AD228" t="s">
        <v>87</v>
      </c>
      <c r="AF228" t="s">
        <v>1724</v>
      </c>
      <c r="AG228" t="s">
        <v>1725</v>
      </c>
      <c r="AH228" t="s">
        <v>91</v>
      </c>
      <c r="AI228" t="s">
        <v>92</v>
      </c>
      <c r="AJ228" t="s">
        <v>93</v>
      </c>
      <c r="AK228" t="s">
        <v>1726</v>
      </c>
      <c r="AL228" t="s">
        <v>95</v>
      </c>
      <c r="AM228" t="s">
        <v>96</v>
      </c>
      <c r="AN228" t="s">
        <v>97</v>
      </c>
      <c r="AO228" t="s">
        <v>98</v>
      </c>
      <c r="AP228" t="s">
        <v>78</v>
      </c>
      <c r="AQ228" t="s">
        <v>78</v>
      </c>
      <c r="AS228" t="s">
        <v>78</v>
      </c>
      <c r="AT228" t="s">
        <v>100</v>
      </c>
      <c r="AU228" t="s">
        <v>100</v>
      </c>
      <c r="AW228" t="s">
        <v>85</v>
      </c>
      <c r="AX228" t="s">
        <v>101</v>
      </c>
      <c r="AY228" t="s">
        <v>102</v>
      </c>
      <c r="AZ228" t="s">
        <v>103</v>
      </c>
      <c r="BA228" t="s">
        <v>120</v>
      </c>
      <c r="BB228" t="s">
        <v>78</v>
      </c>
      <c r="BC228" t="s">
        <v>78</v>
      </c>
      <c r="BD228" t="s">
        <v>1727</v>
      </c>
      <c r="BE228">
        <v>0</v>
      </c>
      <c r="BF228">
        <v>0</v>
      </c>
      <c r="BG228">
        <v>0</v>
      </c>
      <c r="BH228">
        <v>0</v>
      </c>
      <c r="BJ228" t="s">
        <v>85</v>
      </c>
      <c r="BP228" t="s">
        <v>78</v>
      </c>
      <c r="BQ228" t="s">
        <v>78</v>
      </c>
      <c r="BR228" t="s">
        <v>78</v>
      </c>
    </row>
    <row r="229" customFormat="1" spans="1:70">
      <c r="A229" t="s">
        <v>4100</v>
      </c>
      <c r="B229" t="s">
        <v>4100</v>
      </c>
      <c r="C229" t="s">
        <v>107</v>
      </c>
      <c r="D229" t="s">
        <v>108</v>
      </c>
      <c r="E229">
        <v>1</v>
      </c>
      <c r="F229" t="s">
        <v>3857</v>
      </c>
      <c r="G229" t="s">
        <v>110</v>
      </c>
      <c r="H229">
        <v>289</v>
      </c>
      <c r="I229">
        <v>289</v>
      </c>
      <c r="J229">
        <v>0</v>
      </c>
      <c r="K229">
        <v>0</v>
      </c>
      <c r="L229" t="s">
        <v>78</v>
      </c>
      <c r="M229" t="s">
        <v>78</v>
      </c>
      <c r="N229" t="s">
        <v>78</v>
      </c>
      <c r="O229">
        <v>0</v>
      </c>
      <c r="P229">
        <v>0</v>
      </c>
      <c r="Q229">
        <v>0</v>
      </c>
      <c r="R229" t="s">
        <v>79</v>
      </c>
      <c r="S229">
        <v>0</v>
      </c>
      <c r="T229" t="s">
        <v>80</v>
      </c>
      <c r="U229" t="s">
        <v>80</v>
      </c>
      <c r="V229" t="s">
        <v>271</v>
      </c>
      <c r="W229" t="s">
        <v>272</v>
      </c>
      <c r="X229" t="s">
        <v>1172</v>
      </c>
      <c r="Y229" t="s">
        <v>1173</v>
      </c>
      <c r="Z229" t="s">
        <v>80</v>
      </c>
      <c r="AA229" t="s">
        <v>85</v>
      </c>
      <c r="AC229" t="s">
        <v>1729</v>
      </c>
      <c r="AD229" t="s">
        <v>87</v>
      </c>
      <c r="AG229" t="s">
        <v>1730</v>
      </c>
      <c r="AH229" t="s">
        <v>91</v>
      </c>
      <c r="AI229" t="s">
        <v>92</v>
      </c>
      <c r="AJ229" t="s">
        <v>131</v>
      </c>
      <c r="AK229" t="s">
        <v>1731</v>
      </c>
      <c r="AL229" t="s">
        <v>95</v>
      </c>
      <c r="AM229" t="s">
        <v>96</v>
      </c>
      <c r="AN229" t="s">
        <v>97</v>
      </c>
      <c r="AO229" t="s">
        <v>98</v>
      </c>
      <c r="AP229" t="s">
        <v>78</v>
      </c>
      <c r="AQ229" t="s">
        <v>99</v>
      </c>
      <c r="AS229" t="s">
        <v>78</v>
      </c>
      <c r="AT229" t="s">
        <v>100</v>
      </c>
      <c r="AU229" t="s">
        <v>100</v>
      </c>
      <c r="AW229" t="s">
        <v>85</v>
      </c>
      <c r="AX229" t="s">
        <v>101</v>
      </c>
      <c r="AY229" t="s">
        <v>102</v>
      </c>
      <c r="AZ229" t="s">
        <v>103</v>
      </c>
      <c r="BA229" t="s">
        <v>133</v>
      </c>
      <c r="BB229" t="s">
        <v>78</v>
      </c>
      <c r="BC229" t="s">
        <v>78</v>
      </c>
      <c r="BE229">
        <v>0</v>
      </c>
      <c r="BF229">
        <v>0</v>
      </c>
      <c r="BG229">
        <v>0</v>
      </c>
      <c r="BH229">
        <v>0</v>
      </c>
      <c r="BJ229" t="s">
        <v>85</v>
      </c>
      <c r="BP229" t="s">
        <v>78</v>
      </c>
      <c r="BQ229" t="s">
        <v>78</v>
      </c>
      <c r="BR229" t="s">
        <v>78</v>
      </c>
    </row>
    <row r="230" customFormat="1" spans="1:70">
      <c r="A230" t="s">
        <v>4101</v>
      </c>
      <c r="B230" t="s">
        <v>4101</v>
      </c>
      <c r="C230" t="s">
        <v>107</v>
      </c>
      <c r="D230" t="s">
        <v>108</v>
      </c>
      <c r="E230">
        <v>1</v>
      </c>
      <c r="F230" t="s">
        <v>3857</v>
      </c>
      <c r="G230" t="s">
        <v>110</v>
      </c>
      <c r="H230">
        <v>289</v>
      </c>
      <c r="I230">
        <v>289</v>
      </c>
      <c r="J230">
        <v>0</v>
      </c>
      <c r="K230">
        <v>0</v>
      </c>
      <c r="L230" t="s">
        <v>78</v>
      </c>
      <c r="M230" t="s">
        <v>78</v>
      </c>
      <c r="N230" t="s">
        <v>78</v>
      </c>
      <c r="O230">
        <v>0</v>
      </c>
      <c r="P230">
        <v>0</v>
      </c>
      <c r="Q230">
        <v>0</v>
      </c>
      <c r="R230" t="s">
        <v>79</v>
      </c>
      <c r="S230">
        <v>0</v>
      </c>
      <c r="T230" t="s">
        <v>80</v>
      </c>
      <c r="U230" t="s">
        <v>80</v>
      </c>
      <c r="V230" t="s">
        <v>1261</v>
      </c>
      <c r="W230" t="s">
        <v>1590</v>
      </c>
      <c r="X230" t="s">
        <v>1733</v>
      </c>
      <c r="Y230" t="s">
        <v>1734</v>
      </c>
      <c r="Z230" t="s">
        <v>80</v>
      </c>
      <c r="AA230" t="s">
        <v>85</v>
      </c>
      <c r="AC230" t="s">
        <v>1735</v>
      </c>
      <c r="AD230" t="s">
        <v>87</v>
      </c>
      <c r="AF230" t="s">
        <v>1736</v>
      </c>
      <c r="AG230" t="s">
        <v>1737</v>
      </c>
      <c r="AH230" t="s">
        <v>91</v>
      </c>
      <c r="AI230" t="s">
        <v>92</v>
      </c>
      <c r="AJ230" t="s">
        <v>93</v>
      </c>
      <c r="AK230" t="s">
        <v>1738</v>
      </c>
      <c r="AL230" t="s">
        <v>95</v>
      </c>
      <c r="AM230" t="s">
        <v>96</v>
      </c>
      <c r="AN230" t="s">
        <v>97</v>
      </c>
      <c r="AO230" t="s">
        <v>98</v>
      </c>
      <c r="AP230" t="s">
        <v>78</v>
      </c>
      <c r="AQ230" t="s">
        <v>78</v>
      </c>
      <c r="AS230" t="s">
        <v>78</v>
      </c>
      <c r="AT230" t="s">
        <v>100</v>
      </c>
      <c r="AU230" t="s">
        <v>100</v>
      </c>
      <c r="AW230" t="s">
        <v>85</v>
      </c>
      <c r="AX230" t="s">
        <v>103</v>
      </c>
      <c r="AY230" t="s">
        <v>159</v>
      </c>
      <c r="AZ230" t="s">
        <v>103</v>
      </c>
      <c r="BA230" t="s">
        <v>419</v>
      </c>
      <c r="BB230" t="s">
        <v>78</v>
      </c>
      <c r="BC230" t="s">
        <v>78</v>
      </c>
      <c r="BD230" t="s">
        <v>1739</v>
      </c>
      <c r="BE230">
        <v>0</v>
      </c>
      <c r="BF230">
        <v>0</v>
      </c>
      <c r="BG230">
        <v>0</v>
      </c>
      <c r="BH230">
        <v>0</v>
      </c>
      <c r="BJ230" t="s">
        <v>85</v>
      </c>
      <c r="BP230" t="s">
        <v>78</v>
      </c>
      <c r="BQ230" t="s">
        <v>78</v>
      </c>
      <c r="BR230" t="s">
        <v>78</v>
      </c>
    </row>
    <row r="231" customFormat="1" spans="1:70">
      <c r="A231" t="s">
        <v>4102</v>
      </c>
      <c r="B231" t="s">
        <v>4102</v>
      </c>
      <c r="C231" t="s">
        <v>107</v>
      </c>
      <c r="D231" t="s">
        <v>108</v>
      </c>
      <c r="E231">
        <v>1</v>
      </c>
      <c r="F231" t="s">
        <v>3857</v>
      </c>
      <c r="G231" t="s">
        <v>110</v>
      </c>
      <c r="H231">
        <v>289</v>
      </c>
      <c r="I231">
        <v>289</v>
      </c>
      <c r="J231">
        <v>0</v>
      </c>
      <c r="K231">
        <v>0</v>
      </c>
      <c r="L231" t="s">
        <v>78</v>
      </c>
      <c r="M231" t="s">
        <v>78</v>
      </c>
      <c r="N231" t="s">
        <v>78</v>
      </c>
      <c r="O231">
        <v>0</v>
      </c>
      <c r="P231">
        <v>0</v>
      </c>
      <c r="Q231">
        <v>0</v>
      </c>
      <c r="R231" t="s">
        <v>79</v>
      </c>
      <c r="S231">
        <v>0</v>
      </c>
      <c r="T231" t="s">
        <v>80</v>
      </c>
      <c r="U231" t="s">
        <v>80</v>
      </c>
      <c r="V231" t="s">
        <v>167</v>
      </c>
      <c r="W231" t="s">
        <v>168</v>
      </c>
      <c r="X231" t="s">
        <v>973</v>
      </c>
      <c r="Y231" t="s">
        <v>1741</v>
      </c>
      <c r="Z231" t="s">
        <v>80</v>
      </c>
      <c r="AA231" t="s">
        <v>85</v>
      </c>
      <c r="AC231" t="s">
        <v>1742</v>
      </c>
      <c r="AD231" t="s">
        <v>87</v>
      </c>
      <c r="AF231" t="s">
        <v>1743</v>
      </c>
      <c r="AG231" t="s">
        <v>1744</v>
      </c>
      <c r="AH231" t="s">
        <v>91</v>
      </c>
      <c r="AI231" t="s">
        <v>92</v>
      </c>
      <c r="AJ231" t="s">
        <v>93</v>
      </c>
      <c r="AK231" t="s">
        <v>1745</v>
      </c>
      <c r="AL231" t="s">
        <v>95</v>
      </c>
      <c r="AM231" t="s">
        <v>96</v>
      </c>
      <c r="AN231" t="s">
        <v>97</v>
      </c>
      <c r="AO231" t="s">
        <v>98</v>
      </c>
      <c r="AP231" t="s">
        <v>78</v>
      </c>
      <c r="AQ231" t="s">
        <v>78</v>
      </c>
      <c r="AS231" t="s">
        <v>78</v>
      </c>
      <c r="AT231" t="s">
        <v>100</v>
      </c>
      <c r="AU231" t="s">
        <v>100</v>
      </c>
      <c r="AW231" t="s">
        <v>85</v>
      </c>
      <c r="AX231" t="s">
        <v>103</v>
      </c>
      <c r="AY231" t="s">
        <v>159</v>
      </c>
      <c r="AZ231" t="s">
        <v>103</v>
      </c>
      <c r="BA231" t="s">
        <v>218</v>
      </c>
      <c r="BB231" t="s">
        <v>78</v>
      </c>
      <c r="BC231" t="s">
        <v>78</v>
      </c>
      <c r="BD231" t="s">
        <v>1746</v>
      </c>
      <c r="BE231">
        <v>0</v>
      </c>
      <c r="BF231">
        <v>0</v>
      </c>
      <c r="BG231">
        <v>0</v>
      </c>
      <c r="BH231">
        <v>0</v>
      </c>
      <c r="BJ231" t="s">
        <v>85</v>
      </c>
      <c r="BP231" t="s">
        <v>78</v>
      </c>
      <c r="BQ231" t="s">
        <v>78</v>
      </c>
      <c r="BR231" t="s">
        <v>78</v>
      </c>
    </row>
    <row r="232" customFormat="1" spans="1:70">
      <c r="A232" t="s">
        <v>4103</v>
      </c>
      <c r="B232" t="s">
        <v>4103</v>
      </c>
      <c r="C232" t="s">
        <v>107</v>
      </c>
      <c r="D232" t="s">
        <v>123</v>
      </c>
      <c r="E232">
        <v>1</v>
      </c>
      <c r="F232" t="s">
        <v>3857</v>
      </c>
      <c r="G232" t="s">
        <v>124</v>
      </c>
      <c r="H232">
        <v>289</v>
      </c>
      <c r="I232">
        <v>289</v>
      </c>
      <c r="J232">
        <v>0</v>
      </c>
      <c r="K232">
        <v>1.46</v>
      </c>
      <c r="L232" t="s">
        <v>78</v>
      </c>
      <c r="M232" t="s">
        <v>78</v>
      </c>
      <c r="N232" t="s">
        <v>78</v>
      </c>
      <c r="O232">
        <v>0</v>
      </c>
      <c r="P232">
        <v>1.46</v>
      </c>
      <c r="Q232">
        <v>0</v>
      </c>
      <c r="R232" t="s">
        <v>125</v>
      </c>
      <c r="S232">
        <v>0</v>
      </c>
      <c r="T232" t="s">
        <v>80</v>
      </c>
      <c r="U232" t="s">
        <v>80</v>
      </c>
      <c r="V232" t="s">
        <v>126</v>
      </c>
      <c r="W232" t="s">
        <v>1748</v>
      </c>
      <c r="X232" t="s">
        <v>1749</v>
      </c>
      <c r="Y232" t="s">
        <v>1750</v>
      </c>
      <c r="Z232" t="s">
        <v>80</v>
      </c>
      <c r="AA232" t="s">
        <v>85</v>
      </c>
      <c r="AC232" t="s">
        <v>1751</v>
      </c>
      <c r="AD232" t="s">
        <v>87</v>
      </c>
      <c r="AF232" t="s">
        <v>1752</v>
      </c>
      <c r="AG232" t="s">
        <v>1753</v>
      </c>
      <c r="AH232" t="s">
        <v>91</v>
      </c>
      <c r="AI232" t="s">
        <v>92</v>
      </c>
      <c r="AJ232" t="s">
        <v>93</v>
      </c>
      <c r="AK232" t="s">
        <v>1754</v>
      </c>
      <c r="AL232" t="s">
        <v>95</v>
      </c>
      <c r="AM232" t="s">
        <v>96</v>
      </c>
      <c r="AN232" t="s">
        <v>97</v>
      </c>
      <c r="AO232" t="s">
        <v>98</v>
      </c>
      <c r="AP232" t="s">
        <v>78</v>
      </c>
      <c r="AQ232" t="s">
        <v>78</v>
      </c>
      <c r="AS232" t="s">
        <v>78</v>
      </c>
      <c r="AT232" t="s">
        <v>100</v>
      </c>
      <c r="AU232" t="s">
        <v>100</v>
      </c>
      <c r="AW232" t="s">
        <v>85</v>
      </c>
      <c r="AX232" t="s">
        <v>101</v>
      </c>
      <c r="AY232" t="s">
        <v>102</v>
      </c>
      <c r="AZ232" t="s">
        <v>103</v>
      </c>
      <c r="BA232" t="s">
        <v>133</v>
      </c>
      <c r="BB232" t="s">
        <v>78</v>
      </c>
      <c r="BC232" t="s">
        <v>78</v>
      </c>
      <c r="BD232" t="s">
        <v>1755</v>
      </c>
      <c r="BE232">
        <v>0</v>
      </c>
      <c r="BF232">
        <v>0</v>
      </c>
      <c r="BG232">
        <v>0</v>
      </c>
      <c r="BH232">
        <v>0</v>
      </c>
      <c r="BJ232" t="s">
        <v>85</v>
      </c>
      <c r="BP232" t="s">
        <v>78</v>
      </c>
      <c r="BQ232" t="s">
        <v>78</v>
      </c>
      <c r="BR232" t="s">
        <v>78</v>
      </c>
    </row>
    <row r="233" customFormat="1" spans="1:70">
      <c r="A233" t="s">
        <v>4104</v>
      </c>
      <c r="B233" t="s">
        <v>4104</v>
      </c>
      <c r="C233" t="s">
        <v>107</v>
      </c>
      <c r="D233" t="s">
        <v>108</v>
      </c>
      <c r="E233">
        <v>1</v>
      </c>
      <c r="F233" t="s">
        <v>3857</v>
      </c>
      <c r="G233" t="s">
        <v>110</v>
      </c>
      <c r="H233">
        <v>289</v>
      </c>
      <c r="I233">
        <v>289</v>
      </c>
      <c r="J233">
        <v>0</v>
      </c>
      <c r="K233">
        <v>0</v>
      </c>
      <c r="L233" t="s">
        <v>78</v>
      </c>
      <c r="M233" t="s">
        <v>78</v>
      </c>
      <c r="N233" t="s">
        <v>78</v>
      </c>
      <c r="O233">
        <v>0</v>
      </c>
      <c r="P233">
        <v>0</v>
      </c>
      <c r="Q233">
        <v>0</v>
      </c>
      <c r="R233" t="s">
        <v>125</v>
      </c>
      <c r="S233">
        <v>0</v>
      </c>
      <c r="T233" t="s">
        <v>80</v>
      </c>
      <c r="U233" t="s">
        <v>80</v>
      </c>
      <c r="V233" t="s">
        <v>126</v>
      </c>
      <c r="W233" t="s">
        <v>1757</v>
      </c>
      <c r="X233" t="s">
        <v>1758</v>
      </c>
      <c r="Y233" t="s">
        <v>1759</v>
      </c>
      <c r="Z233" t="s">
        <v>80</v>
      </c>
      <c r="AA233" t="s">
        <v>85</v>
      </c>
      <c r="AC233" t="s">
        <v>1760</v>
      </c>
      <c r="AD233" t="s">
        <v>87</v>
      </c>
      <c r="AF233" t="s">
        <v>1761</v>
      </c>
      <c r="AG233" t="s">
        <v>1762</v>
      </c>
      <c r="AH233" t="s">
        <v>91</v>
      </c>
      <c r="AI233" t="s">
        <v>92</v>
      </c>
      <c r="AJ233" t="s">
        <v>93</v>
      </c>
      <c r="AK233" t="s">
        <v>1763</v>
      </c>
      <c r="AL233" t="s">
        <v>95</v>
      </c>
      <c r="AM233" t="s">
        <v>96</v>
      </c>
      <c r="AN233" t="s">
        <v>97</v>
      </c>
      <c r="AO233" t="s">
        <v>98</v>
      </c>
      <c r="AP233" t="s">
        <v>78</v>
      </c>
      <c r="AQ233" t="s">
        <v>78</v>
      </c>
      <c r="AS233" t="s">
        <v>78</v>
      </c>
      <c r="AT233" t="s">
        <v>100</v>
      </c>
      <c r="AU233" t="s">
        <v>100</v>
      </c>
      <c r="AW233" t="s">
        <v>85</v>
      </c>
      <c r="AX233" t="s">
        <v>101</v>
      </c>
      <c r="AY233" t="s">
        <v>102</v>
      </c>
      <c r="AZ233" t="s">
        <v>103</v>
      </c>
      <c r="BA233" t="s">
        <v>133</v>
      </c>
      <c r="BB233" t="s">
        <v>78</v>
      </c>
      <c r="BC233" t="s">
        <v>78</v>
      </c>
      <c r="BD233" t="s">
        <v>1764</v>
      </c>
      <c r="BE233">
        <v>0</v>
      </c>
      <c r="BF233">
        <v>0</v>
      </c>
      <c r="BG233">
        <v>0</v>
      </c>
      <c r="BH233">
        <v>0</v>
      </c>
      <c r="BJ233" t="s">
        <v>85</v>
      </c>
      <c r="BP233" t="s">
        <v>78</v>
      </c>
      <c r="BQ233" t="s">
        <v>78</v>
      </c>
      <c r="BR233" t="s">
        <v>78</v>
      </c>
    </row>
    <row r="234" customFormat="1" spans="1:70">
      <c r="A234" t="s">
        <v>4105</v>
      </c>
      <c r="B234" t="s">
        <v>4105</v>
      </c>
      <c r="C234" t="s">
        <v>107</v>
      </c>
      <c r="D234" t="s">
        <v>135</v>
      </c>
      <c r="E234">
        <v>1</v>
      </c>
      <c r="F234" t="s">
        <v>3857</v>
      </c>
      <c r="G234" t="s">
        <v>136</v>
      </c>
      <c r="H234">
        <v>289</v>
      </c>
      <c r="I234">
        <v>289</v>
      </c>
      <c r="J234">
        <v>0</v>
      </c>
      <c r="K234">
        <v>0</v>
      </c>
      <c r="L234" t="s">
        <v>78</v>
      </c>
      <c r="M234" t="s">
        <v>78</v>
      </c>
      <c r="N234" t="s">
        <v>78</v>
      </c>
      <c r="O234">
        <v>0</v>
      </c>
      <c r="P234">
        <v>0</v>
      </c>
      <c r="Q234">
        <v>0</v>
      </c>
      <c r="R234" t="s">
        <v>111</v>
      </c>
      <c r="S234">
        <v>0</v>
      </c>
      <c r="T234" t="s">
        <v>80</v>
      </c>
      <c r="U234" t="s">
        <v>80</v>
      </c>
      <c r="V234" t="s">
        <v>112</v>
      </c>
      <c r="W234" t="s">
        <v>906</v>
      </c>
      <c r="X234" t="s">
        <v>907</v>
      </c>
      <c r="Y234" t="s">
        <v>1448</v>
      </c>
      <c r="Z234" t="s">
        <v>80</v>
      </c>
      <c r="AA234" t="s">
        <v>85</v>
      </c>
      <c r="AC234" t="s">
        <v>1766</v>
      </c>
      <c r="AD234" t="s">
        <v>87</v>
      </c>
      <c r="AH234" t="s">
        <v>91</v>
      </c>
      <c r="AI234" t="s">
        <v>92</v>
      </c>
      <c r="AJ234" t="s">
        <v>131</v>
      </c>
      <c r="AK234" t="s">
        <v>1767</v>
      </c>
      <c r="AL234" t="s">
        <v>95</v>
      </c>
      <c r="AM234" t="s">
        <v>96</v>
      </c>
      <c r="AN234" t="s">
        <v>97</v>
      </c>
      <c r="AO234" t="s">
        <v>98</v>
      </c>
      <c r="AP234" t="s">
        <v>78</v>
      </c>
      <c r="AQ234" t="s">
        <v>78</v>
      </c>
      <c r="AR234" t="s">
        <v>353</v>
      </c>
      <c r="AS234" t="s">
        <v>78</v>
      </c>
      <c r="AT234" t="s">
        <v>100</v>
      </c>
      <c r="AU234" t="s">
        <v>100</v>
      </c>
      <c r="AW234" t="s">
        <v>85</v>
      </c>
      <c r="AX234" t="s">
        <v>101</v>
      </c>
      <c r="AY234" t="s">
        <v>102</v>
      </c>
      <c r="AZ234" t="s">
        <v>103</v>
      </c>
      <c r="BA234" t="s">
        <v>120</v>
      </c>
      <c r="BB234" t="s">
        <v>78</v>
      </c>
      <c r="BC234" t="s">
        <v>78</v>
      </c>
      <c r="BE234">
        <v>0</v>
      </c>
      <c r="BF234">
        <v>0</v>
      </c>
      <c r="BG234">
        <v>0</v>
      </c>
      <c r="BH234">
        <v>0</v>
      </c>
      <c r="BJ234" t="s">
        <v>85</v>
      </c>
      <c r="BP234" t="s">
        <v>78</v>
      </c>
      <c r="BQ234" t="s">
        <v>78</v>
      </c>
      <c r="BR234" t="s">
        <v>78</v>
      </c>
    </row>
    <row r="235" customFormat="1" spans="1:70">
      <c r="A235" t="s">
        <v>4106</v>
      </c>
      <c r="B235" t="s">
        <v>4106</v>
      </c>
      <c r="C235" t="s">
        <v>107</v>
      </c>
      <c r="D235" t="s">
        <v>108</v>
      </c>
      <c r="E235">
        <v>1</v>
      </c>
      <c r="F235" t="s">
        <v>3857</v>
      </c>
      <c r="G235" t="s">
        <v>110</v>
      </c>
      <c r="H235">
        <v>289</v>
      </c>
      <c r="I235">
        <v>289</v>
      </c>
      <c r="J235">
        <v>0</v>
      </c>
      <c r="K235">
        <v>0</v>
      </c>
      <c r="L235" t="s">
        <v>78</v>
      </c>
      <c r="M235" t="s">
        <v>78</v>
      </c>
      <c r="N235" t="s">
        <v>78</v>
      </c>
      <c r="O235">
        <v>0</v>
      </c>
      <c r="P235">
        <v>0</v>
      </c>
      <c r="Q235">
        <v>0</v>
      </c>
      <c r="R235" t="s">
        <v>125</v>
      </c>
      <c r="S235">
        <v>0</v>
      </c>
      <c r="T235" t="s">
        <v>80</v>
      </c>
      <c r="U235" t="s">
        <v>80</v>
      </c>
      <c r="V235" t="s">
        <v>302</v>
      </c>
      <c r="W235" t="s">
        <v>412</v>
      </c>
      <c r="X235" t="s">
        <v>1769</v>
      </c>
      <c r="Y235" t="s">
        <v>1770</v>
      </c>
      <c r="Z235" t="s">
        <v>80</v>
      </c>
      <c r="AA235" t="s">
        <v>85</v>
      </c>
      <c r="AC235" t="s">
        <v>1771</v>
      </c>
      <c r="AD235" t="s">
        <v>87</v>
      </c>
      <c r="AF235" t="s">
        <v>1772</v>
      </c>
      <c r="AG235" t="s">
        <v>1773</v>
      </c>
      <c r="AH235" t="s">
        <v>91</v>
      </c>
      <c r="AI235" t="s">
        <v>92</v>
      </c>
      <c r="AJ235" t="s">
        <v>93</v>
      </c>
      <c r="AK235" t="s">
        <v>1774</v>
      </c>
      <c r="AL235" t="s">
        <v>95</v>
      </c>
      <c r="AM235" t="s">
        <v>96</v>
      </c>
      <c r="AN235" t="s">
        <v>97</v>
      </c>
      <c r="AO235" t="s">
        <v>98</v>
      </c>
      <c r="AP235" t="s">
        <v>78</v>
      </c>
      <c r="AQ235" t="s">
        <v>78</v>
      </c>
      <c r="AS235" t="s">
        <v>78</v>
      </c>
      <c r="AT235" t="s">
        <v>100</v>
      </c>
      <c r="AU235" t="s">
        <v>100</v>
      </c>
      <c r="AW235" t="s">
        <v>85</v>
      </c>
      <c r="AX235" t="s">
        <v>101</v>
      </c>
      <c r="AY235" t="s">
        <v>102</v>
      </c>
      <c r="AZ235" t="s">
        <v>103</v>
      </c>
      <c r="BA235" t="s">
        <v>120</v>
      </c>
      <c r="BB235" t="s">
        <v>78</v>
      </c>
      <c r="BC235" t="s">
        <v>78</v>
      </c>
      <c r="BD235" t="s">
        <v>1775</v>
      </c>
      <c r="BE235">
        <v>0</v>
      </c>
      <c r="BF235">
        <v>0</v>
      </c>
      <c r="BG235">
        <v>0</v>
      </c>
      <c r="BH235">
        <v>0</v>
      </c>
      <c r="BJ235" t="s">
        <v>85</v>
      </c>
      <c r="BP235" t="s">
        <v>78</v>
      </c>
      <c r="BQ235" t="s">
        <v>78</v>
      </c>
      <c r="BR235" t="s">
        <v>78</v>
      </c>
    </row>
    <row r="236" customFormat="1" spans="1:70">
      <c r="A236" t="s">
        <v>4107</v>
      </c>
      <c r="B236" t="s">
        <v>4107</v>
      </c>
      <c r="C236" t="s">
        <v>107</v>
      </c>
      <c r="D236" t="s">
        <v>135</v>
      </c>
      <c r="E236">
        <v>1</v>
      </c>
      <c r="F236" t="s">
        <v>3857</v>
      </c>
      <c r="G236" t="s">
        <v>136</v>
      </c>
      <c r="H236">
        <v>289</v>
      </c>
      <c r="I236">
        <v>289</v>
      </c>
      <c r="J236">
        <v>0</v>
      </c>
      <c r="K236">
        <v>0</v>
      </c>
      <c r="L236" t="s">
        <v>78</v>
      </c>
      <c r="M236" t="s">
        <v>78</v>
      </c>
      <c r="N236" t="s">
        <v>78</v>
      </c>
      <c r="O236">
        <v>0</v>
      </c>
      <c r="P236">
        <v>0</v>
      </c>
      <c r="Q236">
        <v>0</v>
      </c>
      <c r="R236" t="s">
        <v>79</v>
      </c>
      <c r="S236">
        <v>0</v>
      </c>
      <c r="T236" t="s">
        <v>80</v>
      </c>
      <c r="U236" t="s">
        <v>80</v>
      </c>
      <c r="V236" t="s">
        <v>574</v>
      </c>
      <c r="W236" t="s">
        <v>574</v>
      </c>
      <c r="X236" t="s">
        <v>1428</v>
      </c>
      <c r="Y236" t="s">
        <v>1652</v>
      </c>
      <c r="Z236" t="s">
        <v>80</v>
      </c>
      <c r="AA236" t="s">
        <v>85</v>
      </c>
      <c r="AC236" t="s">
        <v>1777</v>
      </c>
      <c r="AD236" t="s">
        <v>87</v>
      </c>
      <c r="AG236" t="s">
        <v>1778</v>
      </c>
      <c r="AH236" t="s">
        <v>91</v>
      </c>
      <c r="AI236" t="s">
        <v>92</v>
      </c>
      <c r="AJ236" t="s">
        <v>131</v>
      </c>
      <c r="AK236" t="s">
        <v>1779</v>
      </c>
      <c r="AL236" t="s">
        <v>95</v>
      </c>
      <c r="AM236" t="s">
        <v>96</v>
      </c>
      <c r="AN236" t="s">
        <v>97</v>
      </c>
      <c r="AO236" t="s">
        <v>98</v>
      </c>
      <c r="AP236" t="s">
        <v>78</v>
      </c>
      <c r="AQ236" t="s">
        <v>99</v>
      </c>
      <c r="AS236" t="s">
        <v>78</v>
      </c>
      <c r="AT236" t="s">
        <v>100</v>
      </c>
      <c r="AU236" t="s">
        <v>100</v>
      </c>
      <c r="AW236" t="s">
        <v>85</v>
      </c>
      <c r="AX236" t="s">
        <v>103</v>
      </c>
      <c r="AY236" t="s">
        <v>159</v>
      </c>
      <c r="AZ236" t="s">
        <v>103</v>
      </c>
      <c r="BA236" t="s">
        <v>104</v>
      </c>
      <c r="BB236" t="s">
        <v>78</v>
      </c>
      <c r="BC236" t="s">
        <v>78</v>
      </c>
      <c r="BE236">
        <v>0</v>
      </c>
      <c r="BF236">
        <v>0</v>
      </c>
      <c r="BG236">
        <v>0</v>
      </c>
      <c r="BH236">
        <v>0</v>
      </c>
      <c r="BJ236" t="s">
        <v>85</v>
      </c>
      <c r="BP236" t="s">
        <v>78</v>
      </c>
      <c r="BQ236" t="s">
        <v>78</v>
      </c>
      <c r="BR236" t="s">
        <v>78</v>
      </c>
    </row>
    <row r="237" customFormat="1" spans="1:70">
      <c r="A237" t="s">
        <v>4108</v>
      </c>
      <c r="B237" t="s">
        <v>4108</v>
      </c>
      <c r="C237" t="s">
        <v>107</v>
      </c>
      <c r="D237" t="s">
        <v>108</v>
      </c>
      <c r="E237">
        <v>1</v>
      </c>
      <c r="F237" t="s">
        <v>3857</v>
      </c>
      <c r="G237" t="s">
        <v>110</v>
      </c>
      <c r="H237">
        <v>289</v>
      </c>
      <c r="I237">
        <v>289</v>
      </c>
      <c r="J237">
        <v>0</v>
      </c>
      <c r="K237">
        <v>0</v>
      </c>
      <c r="L237" t="s">
        <v>78</v>
      </c>
      <c r="M237" t="s">
        <v>78</v>
      </c>
      <c r="N237" t="s">
        <v>78</v>
      </c>
      <c r="O237">
        <v>0</v>
      </c>
      <c r="P237">
        <v>0</v>
      </c>
      <c r="Q237">
        <v>0</v>
      </c>
      <c r="R237" t="s">
        <v>111</v>
      </c>
      <c r="S237">
        <v>0</v>
      </c>
      <c r="T237" t="s">
        <v>80</v>
      </c>
      <c r="U237" t="s">
        <v>80</v>
      </c>
      <c r="V237" t="s">
        <v>583</v>
      </c>
      <c r="W237" t="s">
        <v>685</v>
      </c>
      <c r="X237" t="s">
        <v>686</v>
      </c>
      <c r="Y237" t="s">
        <v>687</v>
      </c>
      <c r="Z237" t="s">
        <v>80</v>
      </c>
      <c r="AA237" t="s">
        <v>85</v>
      </c>
      <c r="AC237" t="s">
        <v>1781</v>
      </c>
      <c r="AD237" t="s">
        <v>87</v>
      </c>
      <c r="AF237" t="s">
        <v>1782</v>
      </c>
      <c r="AG237" t="s">
        <v>1783</v>
      </c>
      <c r="AH237" t="s">
        <v>91</v>
      </c>
      <c r="AI237" t="s">
        <v>92</v>
      </c>
      <c r="AJ237" t="s">
        <v>93</v>
      </c>
      <c r="AK237" t="s">
        <v>1784</v>
      </c>
      <c r="AL237" t="s">
        <v>95</v>
      </c>
      <c r="AM237" t="s">
        <v>96</v>
      </c>
      <c r="AN237" t="s">
        <v>97</v>
      </c>
      <c r="AO237" t="s">
        <v>98</v>
      </c>
      <c r="AP237" t="s">
        <v>78</v>
      </c>
      <c r="AQ237" t="s">
        <v>78</v>
      </c>
      <c r="AS237" t="s">
        <v>78</v>
      </c>
      <c r="AT237" t="s">
        <v>100</v>
      </c>
      <c r="AU237" t="s">
        <v>100</v>
      </c>
      <c r="AW237" t="s">
        <v>85</v>
      </c>
      <c r="AX237" t="s">
        <v>101</v>
      </c>
      <c r="AY237" t="s">
        <v>102</v>
      </c>
      <c r="AZ237" t="s">
        <v>103</v>
      </c>
      <c r="BA237" t="s">
        <v>133</v>
      </c>
      <c r="BB237" t="s">
        <v>78</v>
      </c>
      <c r="BC237" t="s">
        <v>78</v>
      </c>
      <c r="BD237" t="s">
        <v>1755</v>
      </c>
      <c r="BE237">
        <v>0</v>
      </c>
      <c r="BF237">
        <v>0</v>
      </c>
      <c r="BG237">
        <v>0</v>
      </c>
      <c r="BH237">
        <v>0</v>
      </c>
      <c r="BJ237" t="s">
        <v>85</v>
      </c>
      <c r="BP237" t="s">
        <v>78</v>
      </c>
      <c r="BQ237" t="s">
        <v>78</v>
      </c>
      <c r="BR237" t="s">
        <v>78</v>
      </c>
    </row>
    <row r="238" customFormat="1" spans="1:70">
      <c r="A238" t="s">
        <v>4109</v>
      </c>
      <c r="B238" t="s">
        <v>4109</v>
      </c>
      <c r="C238" t="s">
        <v>107</v>
      </c>
      <c r="D238" t="s">
        <v>135</v>
      </c>
      <c r="E238">
        <v>1</v>
      </c>
      <c r="F238" t="s">
        <v>3857</v>
      </c>
      <c r="G238" t="s">
        <v>136</v>
      </c>
      <c r="H238">
        <v>289</v>
      </c>
      <c r="I238">
        <v>289</v>
      </c>
      <c r="J238">
        <v>0</v>
      </c>
      <c r="K238">
        <v>0</v>
      </c>
      <c r="L238" t="s">
        <v>78</v>
      </c>
      <c r="M238" t="s">
        <v>78</v>
      </c>
      <c r="N238" t="s">
        <v>78</v>
      </c>
      <c r="O238">
        <v>0</v>
      </c>
      <c r="P238">
        <v>0</v>
      </c>
      <c r="Q238">
        <v>0</v>
      </c>
      <c r="R238" t="s">
        <v>111</v>
      </c>
      <c r="S238">
        <v>0</v>
      </c>
      <c r="T238" t="s">
        <v>80</v>
      </c>
      <c r="U238" t="s">
        <v>80</v>
      </c>
      <c r="V238" t="s">
        <v>167</v>
      </c>
      <c r="W238" t="s">
        <v>168</v>
      </c>
      <c r="X238" t="s">
        <v>1786</v>
      </c>
      <c r="Y238" t="s">
        <v>78</v>
      </c>
      <c r="Z238" t="s">
        <v>80</v>
      </c>
      <c r="AA238" t="s">
        <v>85</v>
      </c>
      <c r="AC238" t="s">
        <v>1787</v>
      </c>
      <c r="AD238" t="s">
        <v>202</v>
      </c>
      <c r="AE238" t="s">
        <v>1788</v>
      </c>
      <c r="AF238" t="s">
        <v>1752</v>
      </c>
      <c r="AG238" t="s">
        <v>1789</v>
      </c>
      <c r="AH238" t="s">
        <v>91</v>
      </c>
      <c r="AI238" t="s">
        <v>92</v>
      </c>
      <c r="AJ238" t="s">
        <v>93</v>
      </c>
      <c r="AK238" t="s">
        <v>1790</v>
      </c>
      <c r="AL238" t="s">
        <v>95</v>
      </c>
      <c r="AM238" t="s">
        <v>96</v>
      </c>
      <c r="AN238" t="s">
        <v>97</v>
      </c>
      <c r="AO238" t="s">
        <v>98</v>
      </c>
      <c r="AP238" t="s">
        <v>78</v>
      </c>
      <c r="AQ238" t="s">
        <v>99</v>
      </c>
      <c r="AS238" t="s">
        <v>78</v>
      </c>
      <c r="AT238" t="s">
        <v>100</v>
      </c>
      <c r="AU238" t="s">
        <v>100</v>
      </c>
      <c r="AW238" t="s">
        <v>85</v>
      </c>
      <c r="AX238" t="s">
        <v>101</v>
      </c>
      <c r="AY238" t="s">
        <v>102</v>
      </c>
      <c r="AZ238" t="s">
        <v>103</v>
      </c>
      <c r="BA238" t="s">
        <v>133</v>
      </c>
      <c r="BB238" t="s">
        <v>78</v>
      </c>
      <c r="BC238" t="s">
        <v>78</v>
      </c>
      <c r="BD238" t="s">
        <v>1755</v>
      </c>
      <c r="BE238">
        <v>0</v>
      </c>
      <c r="BF238">
        <v>0</v>
      </c>
      <c r="BG238">
        <v>0</v>
      </c>
      <c r="BH238">
        <v>0</v>
      </c>
      <c r="BJ238" t="s">
        <v>85</v>
      </c>
      <c r="BP238" t="s">
        <v>78</v>
      </c>
      <c r="BQ238" t="s">
        <v>78</v>
      </c>
      <c r="BR238" t="s">
        <v>78</v>
      </c>
    </row>
    <row r="239" customFormat="1" spans="1:70">
      <c r="A239" t="s">
        <v>4110</v>
      </c>
      <c r="B239" t="s">
        <v>4110</v>
      </c>
      <c r="C239" t="s">
        <v>107</v>
      </c>
      <c r="D239" t="s">
        <v>108</v>
      </c>
      <c r="E239">
        <v>1</v>
      </c>
      <c r="F239" t="s">
        <v>3857</v>
      </c>
      <c r="G239" t="s">
        <v>110</v>
      </c>
      <c r="H239">
        <v>289</v>
      </c>
      <c r="I239">
        <v>289</v>
      </c>
      <c r="J239">
        <v>0</v>
      </c>
      <c r="K239">
        <v>0</v>
      </c>
      <c r="L239" t="s">
        <v>78</v>
      </c>
      <c r="M239" t="s">
        <v>78</v>
      </c>
      <c r="N239" t="s">
        <v>78</v>
      </c>
      <c r="O239">
        <v>0</v>
      </c>
      <c r="P239">
        <v>0</v>
      </c>
      <c r="Q239">
        <v>0</v>
      </c>
      <c r="R239" t="s">
        <v>79</v>
      </c>
      <c r="S239">
        <v>0</v>
      </c>
      <c r="T239" t="s">
        <v>80</v>
      </c>
      <c r="U239" t="s">
        <v>80</v>
      </c>
      <c r="V239" t="s">
        <v>583</v>
      </c>
      <c r="W239" t="s">
        <v>584</v>
      </c>
      <c r="X239" t="s">
        <v>1792</v>
      </c>
      <c r="Y239" t="s">
        <v>1793</v>
      </c>
      <c r="Z239" t="s">
        <v>80</v>
      </c>
      <c r="AA239" t="s">
        <v>85</v>
      </c>
      <c r="AC239" t="s">
        <v>1794</v>
      </c>
      <c r="AD239" t="s">
        <v>87</v>
      </c>
      <c r="AG239" t="s">
        <v>1795</v>
      </c>
      <c r="AH239" t="s">
        <v>91</v>
      </c>
      <c r="AI239" t="s">
        <v>92</v>
      </c>
      <c r="AJ239" t="s">
        <v>131</v>
      </c>
      <c r="AK239" t="s">
        <v>1796</v>
      </c>
      <c r="AL239" t="s">
        <v>95</v>
      </c>
      <c r="AM239" t="s">
        <v>96</v>
      </c>
      <c r="AN239" t="s">
        <v>97</v>
      </c>
      <c r="AO239" t="s">
        <v>98</v>
      </c>
      <c r="AP239" t="s">
        <v>78</v>
      </c>
      <c r="AQ239" t="s">
        <v>99</v>
      </c>
      <c r="AS239" t="s">
        <v>78</v>
      </c>
      <c r="AT239" t="s">
        <v>100</v>
      </c>
      <c r="AU239" t="s">
        <v>100</v>
      </c>
      <c r="AW239" t="s">
        <v>85</v>
      </c>
      <c r="AX239" t="s">
        <v>101</v>
      </c>
      <c r="AY239" t="s">
        <v>102</v>
      </c>
      <c r="AZ239" t="s">
        <v>103</v>
      </c>
      <c r="BA239" t="s">
        <v>133</v>
      </c>
      <c r="BB239" t="s">
        <v>78</v>
      </c>
      <c r="BC239" t="s">
        <v>78</v>
      </c>
      <c r="BE239">
        <v>0</v>
      </c>
      <c r="BF239">
        <v>0</v>
      </c>
      <c r="BG239">
        <v>0</v>
      </c>
      <c r="BH239">
        <v>0</v>
      </c>
      <c r="BJ239" t="s">
        <v>85</v>
      </c>
      <c r="BP239" t="s">
        <v>78</v>
      </c>
      <c r="BQ239" t="s">
        <v>78</v>
      </c>
      <c r="BR239" t="s">
        <v>78</v>
      </c>
    </row>
    <row r="240" customFormat="1" spans="1:70">
      <c r="A240" t="s">
        <v>4111</v>
      </c>
      <c r="B240" t="s">
        <v>4111</v>
      </c>
      <c r="C240" t="s">
        <v>107</v>
      </c>
      <c r="D240" t="s">
        <v>135</v>
      </c>
      <c r="E240">
        <v>1</v>
      </c>
      <c r="F240" t="s">
        <v>3857</v>
      </c>
      <c r="G240" t="s">
        <v>136</v>
      </c>
      <c r="H240">
        <v>289</v>
      </c>
      <c r="I240">
        <v>280</v>
      </c>
      <c r="J240">
        <v>0</v>
      </c>
      <c r="K240">
        <v>9</v>
      </c>
      <c r="L240" t="s">
        <v>1798</v>
      </c>
      <c r="M240" t="s">
        <v>78</v>
      </c>
      <c r="N240" t="s">
        <v>78</v>
      </c>
      <c r="O240">
        <v>0</v>
      </c>
      <c r="P240">
        <v>0</v>
      </c>
      <c r="Q240">
        <v>0</v>
      </c>
      <c r="R240" t="s">
        <v>111</v>
      </c>
      <c r="S240">
        <v>0</v>
      </c>
      <c r="T240" t="s">
        <v>80</v>
      </c>
      <c r="U240" t="s">
        <v>80</v>
      </c>
      <c r="V240" t="s">
        <v>271</v>
      </c>
      <c r="W240" t="s">
        <v>1506</v>
      </c>
      <c r="X240" t="s">
        <v>1799</v>
      </c>
      <c r="Y240" t="s">
        <v>1800</v>
      </c>
      <c r="Z240" t="s">
        <v>80</v>
      </c>
      <c r="AA240" t="s">
        <v>85</v>
      </c>
      <c r="AB240" t="s">
        <v>1801</v>
      </c>
      <c r="AC240" t="s">
        <v>1802</v>
      </c>
      <c r="AD240" t="s">
        <v>87</v>
      </c>
      <c r="AF240" t="s">
        <v>1803</v>
      </c>
      <c r="AG240" t="s">
        <v>1804</v>
      </c>
      <c r="AH240" t="s">
        <v>254</v>
      </c>
      <c r="AI240" t="s">
        <v>92</v>
      </c>
      <c r="AJ240" t="s">
        <v>93</v>
      </c>
      <c r="AK240" t="s">
        <v>1805</v>
      </c>
      <c r="AL240" t="s">
        <v>95</v>
      </c>
      <c r="AM240" t="s">
        <v>96</v>
      </c>
      <c r="AN240" t="s">
        <v>97</v>
      </c>
      <c r="AO240" t="s">
        <v>98</v>
      </c>
      <c r="AP240" t="s">
        <v>78</v>
      </c>
      <c r="AQ240" t="s">
        <v>78</v>
      </c>
      <c r="AS240" t="s">
        <v>78</v>
      </c>
      <c r="AT240" t="s">
        <v>100</v>
      </c>
      <c r="AU240" t="s">
        <v>100</v>
      </c>
      <c r="AW240" t="s">
        <v>85</v>
      </c>
      <c r="AX240" t="s">
        <v>103</v>
      </c>
      <c r="AY240" t="s">
        <v>159</v>
      </c>
      <c r="AZ240" t="s">
        <v>103</v>
      </c>
      <c r="BA240" t="s">
        <v>102</v>
      </c>
      <c r="BB240" t="s">
        <v>78</v>
      </c>
      <c r="BC240" t="s">
        <v>78</v>
      </c>
      <c r="BD240" t="s">
        <v>1755</v>
      </c>
      <c r="BE240">
        <v>0</v>
      </c>
      <c r="BF240">
        <v>9</v>
      </c>
      <c r="BG240">
        <v>0</v>
      </c>
      <c r="BH240">
        <v>0</v>
      </c>
      <c r="BJ240" t="s">
        <v>85</v>
      </c>
      <c r="BP240" t="s">
        <v>78</v>
      </c>
      <c r="BQ240" t="s">
        <v>78</v>
      </c>
      <c r="BR240" t="s">
        <v>78</v>
      </c>
    </row>
    <row r="241" customFormat="1" spans="1:70">
      <c r="A241" t="s">
        <v>4112</v>
      </c>
      <c r="B241" t="s">
        <v>4112</v>
      </c>
      <c r="C241" t="s">
        <v>107</v>
      </c>
      <c r="D241" t="s">
        <v>123</v>
      </c>
      <c r="E241">
        <v>1</v>
      </c>
      <c r="F241" t="s">
        <v>3857</v>
      </c>
      <c r="G241" t="s">
        <v>124</v>
      </c>
      <c r="H241">
        <v>289</v>
      </c>
      <c r="I241">
        <v>289</v>
      </c>
      <c r="J241">
        <v>0</v>
      </c>
      <c r="K241">
        <v>0</v>
      </c>
      <c r="L241" t="s">
        <v>78</v>
      </c>
      <c r="M241" t="s">
        <v>78</v>
      </c>
      <c r="N241" t="s">
        <v>78</v>
      </c>
      <c r="O241">
        <v>0</v>
      </c>
      <c r="P241">
        <v>0</v>
      </c>
      <c r="Q241">
        <v>0</v>
      </c>
      <c r="R241" t="s">
        <v>125</v>
      </c>
      <c r="S241">
        <v>0</v>
      </c>
      <c r="T241" t="s">
        <v>80</v>
      </c>
      <c r="U241" t="s">
        <v>80</v>
      </c>
      <c r="V241" t="s">
        <v>221</v>
      </c>
      <c r="W241" t="s">
        <v>599</v>
      </c>
      <c r="X241" t="s">
        <v>1337</v>
      </c>
      <c r="Y241" t="s">
        <v>78</v>
      </c>
      <c r="Z241" t="s">
        <v>80</v>
      </c>
      <c r="AA241" t="s">
        <v>85</v>
      </c>
      <c r="AC241" t="s">
        <v>1807</v>
      </c>
      <c r="AD241" t="s">
        <v>87</v>
      </c>
      <c r="AF241" t="s">
        <v>1808</v>
      </c>
      <c r="AG241" t="s">
        <v>1809</v>
      </c>
      <c r="AH241" t="s">
        <v>91</v>
      </c>
      <c r="AI241" t="s">
        <v>92</v>
      </c>
      <c r="AJ241" t="s">
        <v>93</v>
      </c>
      <c r="AK241" t="s">
        <v>1810</v>
      </c>
      <c r="AL241" t="s">
        <v>95</v>
      </c>
      <c r="AM241" t="s">
        <v>96</v>
      </c>
      <c r="AN241" t="s">
        <v>97</v>
      </c>
      <c r="AO241" t="s">
        <v>98</v>
      </c>
      <c r="AP241" t="s">
        <v>78</v>
      </c>
      <c r="AQ241" t="s">
        <v>78</v>
      </c>
      <c r="AS241" t="s">
        <v>78</v>
      </c>
      <c r="AT241" t="s">
        <v>100</v>
      </c>
      <c r="AU241" t="s">
        <v>100</v>
      </c>
      <c r="AW241" t="s">
        <v>85</v>
      </c>
      <c r="AX241" t="s">
        <v>101</v>
      </c>
      <c r="AY241" t="s">
        <v>102</v>
      </c>
      <c r="AZ241" t="s">
        <v>103</v>
      </c>
      <c r="BA241" t="s">
        <v>419</v>
      </c>
      <c r="BB241" t="s">
        <v>78</v>
      </c>
      <c r="BC241" t="s">
        <v>78</v>
      </c>
      <c r="BD241" t="s">
        <v>1811</v>
      </c>
      <c r="BE241">
        <v>0</v>
      </c>
      <c r="BF241">
        <v>0</v>
      </c>
      <c r="BG241">
        <v>0</v>
      </c>
      <c r="BH241">
        <v>0</v>
      </c>
      <c r="BJ241" t="s">
        <v>85</v>
      </c>
      <c r="BP241" t="s">
        <v>78</v>
      </c>
      <c r="BQ241" t="s">
        <v>78</v>
      </c>
      <c r="BR241" t="s">
        <v>78</v>
      </c>
    </row>
    <row r="242" customFormat="1" spans="1:70">
      <c r="A242" t="s">
        <v>4113</v>
      </c>
      <c r="B242" t="s">
        <v>4113</v>
      </c>
      <c r="C242" t="s">
        <v>107</v>
      </c>
      <c r="D242" t="s">
        <v>108</v>
      </c>
      <c r="E242">
        <v>1</v>
      </c>
      <c r="F242" t="s">
        <v>3857</v>
      </c>
      <c r="G242" t="s">
        <v>110</v>
      </c>
      <c r="H242">
        <v>289</v>
      </c>
      <c r="I242">
        <v>289</v>
      </c>
      <c r="J242">
        <v>0</v>
      </c>
      <c r="K242">
        <v>0</v>
      </c>
      <c r="L242" t="s">
        <v>78</v>
      </c>
      <c r="M242" t="s">
        <v>78</v>
      </c>
      <c r="N242" t="s">
        <v>78</v>
      </c>
      <c r="O242">
        <v>0</v>
      </c>
      <c r="P242">
        <v>0</v>
      </c>
      <c r="Q242">
        <v>0</v>
      </c>
      <c r="R242" t="s">
        <v>125</v>
      </c>
      <c r="S242">
        <v>0</v>
      </c>
      <c r="T242" t="s">
        <v>80</v>
      </c>
      <c r="U242" t="s">
        <v>80</v>
      </c>
      <c r="V242" t="s">
        <v>126</v>
      </c>
      <c r="W242" t="s">
        <v>377</v>
      </c>
      <c r="X242" t="s">
        <v>378</v>
      </c>
      <c r="Y242" t="s">
        <v>1813</v>
      </c>
      <c r="Z242" t="s">
        <v>80</v>
      </c>
      <c r="AA242" t="s">
        <v>85</v>
      </c>
      <c r="AC242" t="s">
        <v>1814</v>
      </c>
      <c r="AD242" t="s">
        <v>202</v>
      </c>
      <c r="AE242" t="s">
        <v>1815</v>
      </c>
      <c r="AG242" t="s">
        <v>1816</v>
      </c>
      <c r="AH242" t="s">
        <v>91</v>
      </c>
      <c r="AI242" t="s">
        <v>92</v>
      </c>
      <c r="AJ242" t="s">
        <v>131</v>
      </c>
      <c r="AK242" t="s">
        <v>1817</v>
      </c>
      <c r="AL242" t="s">
        <v>95</v>
      </c>
      <c r="AM242" t="s">
        <v>96</v>
      </c>
      <c r="AN242" t="s">
        <v>97</v>
      </c>
      <c r="AO242" t="s">
        <v>98</v>
      </c>
      <c r="AP242" t="s">
        <v>78</v>
      </c>
      <c r="AQ242" t="s">
        <v>99</v>
      </c>
      <c r="AS242" t="s">
        <v>78</v>
      </c>
      <c r="AT242" t="s">
        <v>100</v>
      </c>
      <c r="AU242" t="s">
        <v>100</v>
      </c>
      <c r="AW242" t="s">
        <v>85</v>
      </c>
      <c r="AX242" t="s">
        <v>101</v>
      </c>
      <c r="AY242" t="s">
        <v>102</v>
      </c>
      <c r="AZ242" t="s">
        <v>103</v>
      </c>
      <c r="BA242" t="s">
        <v>133</v>
      </c>
      <c r="BB242" t="s">
        <v>78</v>
      </c>
      <c r="BC242" t="s">
        <v>78</v>
      </c>
      <c r="BD242" t="s">
        <v>1755</v>
      </c>
      <c r="BE242">
        <v>0</v>
      </c>
      <c r="BF242">
        <v>0</v>
      </c>
      <c r="BG242">
        <v>0</v>
      </c>
      <c r="BH242">
        <v>0</v>
      </c>
      <c r="BJ242" t="s">
        <v>85</v>
      </c>
      <c r="BP242" t="s">
        <v>78</v>
      </c>
      <c r="BQ242" t="s">
        <v>78</v>
      </c>
      <c r="BR242" t="s">
        <v>78</v>
      </c>
    </row>
    <row r="243" customFormat="1" spans="1:70">
      <c r="A243" t="s">
        <v>4114</v>
      </c>
      <c r="B243" t="s">
        <v>4114</v>
      </c>
      <c r="C243" t="s">
        <v>107</v>
      </c>
      <c r="D243" t="s">
        <v>123</v>
      </c>
      <c r="E243">
        <v>1</v>
      </c>
      <c r="F243" t="s">
        <v>3857</v>
      </c>
      <c r="G243" t="s">
        <v>124</v>
      </c>
      <c r="H243">
        <v>289</v>
      </c>
      <c r="I243">
        <v>289</v>
      </c>
      <c r="J243">
        <v>0</v>
      </c>
      <c r="K243">
        <v>0</v>
      </c>
      <c r="L243" t="s">
        <v>78</v>
      </c>
      <c r="M243" t="s">
        <v>78</v>
      </c>
      <c r="N243" t="s">
        <v>78</v>
      </c>
      <c r="O243">
        <v>0</v>
      </c>
      <c r="P243">
        <v>0</v>
      </c>
      <c r="Q243">
        <v>0</v>
      </c>
      <c r="R243" t="s">
        <v>125</v>
      </c>
      <c r="S243">
        <v>0</v>
      </c>
      <c r="T243" t="s">
        <v>80</v>
      </c>
      <c r="U243" t="s">
        <v>80</v>
      </c>
      <c r="V243" t="s">
        <v>221</v>
      </c>
      <c r="W243" t="s">
        <v>336</v>
      </c>
      <c r="X243" t="s">
        <v>1819</v>
      </c>
      <c r="Y243" t="s">
        <v>1820</v>
      </c>
      <c r="Z243" t="s">
        <v>80</v>
      </c>
      <c r="AA243" t="s">
        <v>85</v>
      </c>
      <c r="AC243" t="s">
        <v>1821</v>
      </c>
      <c r="AD243" t="s">
        <v>87</v>
      </c>
      <c r="AF243" t="s">
        <v>1822</v>
      </c>
      <c r="AG243" t="s">
        <v>1823</v>
      </c>
      <c r="AH243" t="s">
        <v>91</v>
      </c>
      <c r="AI243" t="s">
        <v>92</v>
      </c>
      <c r="AJ243" t="s">
        <v>93</v>
      </c>
      <c r="AK243" t="s">
        <v>1824</v>
      </c>
      <c r="AL243" t="s">
        <v>95</v>
      </c>
      <c r="AM243" t="s">
        <v>96</v>
      </c>
      <c r="AN243" t="s">
        <v>97</v>
      </c>
      <c r="AO243" t="s">
        <v>98</v>
      </c>
      <c r="AP243" t="s">
        <v>78</v>
      </c>
      <c r="AQ243" t="s">
        <v>78</v>
      </c>
      <c r="AS243" t="s">
        <v>78</v>
      </c>
      <c r="AT243" t="s">
        <v>100</v>
      </c>
      <c r="AU243" t="s">
        <v>100</v>
      </c>
      <c r="AW243" t="s">
        <v>85</v>
      </c>
      <c r="AX243" t="s">
        <v>101</v>
      </c>
      <c r="AY243" t="s">
        <v>102</v>
      </c>
      <c r="AZ243" t="s">
        <v>103</v>
      </c>
      <c r="BA243" t="s">
        <v>133</v>
      </c>
      <c r="BB243" t="s">
        <v>78</v>
      </c>
      <c r="BC243" t="s">
        <v>78</v>
      </c>
      <c r="BD243" t="s">
        <v>1825</v>
      </c>
      <c r="BE243">
        <v>0</v>
      </c>
      <c r="BF243">
        <v>0</v>
      </c>
      <c r="BG243">
        <v>0</v>
      </c>
      <c r="BH243">
        <v>0</v>
      </c>
      <c r="BJ243" t="s">
        <v>85</v>
      </c>
      <c r="BP243" t="s">
        <v>78</v>
      </c>
      <c r="BQ243" t="s">
        <v>78</v>
      </c>
      <c r="BR243" t="s">
        <v>78</v>
      </c>
    </row>
    <row r="244" customFormat="1" spans="1:70">
      <c r="A244" t="s">
        <v>4115</v>
      </c>
      <c r="B244" t="s">
        <v>4115</v>
      </c>
      <c r="C244" t="s">
        <v>107</v>
      </c>
      <c r="D244" t="s">
        <v>135</v>
      </c>
      <c r="E244">
        <v>1</v>
      </c>
      <c r="F244" t="s">
        <v>3857</v>
      </c>
      <c r="G244" t="s">
        <v>136</v>
      </c>
      <c r="H244">
        <v>289</v>
      </c>
      <c r="I244">
        <v>289</v>
      </c>
      <c r="J244">
        <v>0</v>
      </c>
      <c r="K244">
        <v>0</v>
      </c>
      <c r="L244" t="s">
        <v>78</v>
      </c>
      <c r="M244" t="s">
        <v>78</v>
      </c>
      <c r="N244" t="s">
        <v>78</v>
      </c>
      <c r="O244">
        <v>0</v>
      </c>
      <c r="P244">
        <v>0</v>
      </c>
      <c r="Q244">
        <v>0</v>
      </c>
      <c r="R244" t="s">
        <v>79</v>
      </c>
      <c r="S244">
        <v>0</v>
      </c>
      <c r="T244" t="s">
        <v>80</v>
      </c>
      <c r="U244" t="s">
        <v>80</v>
      </c>
      <c r="V244" t="s">
        <v>221</v>
      </c>
      <c r="W244" t="s">
        <v>599</v>
      </c>
      <c r="X244" t="s">
        <v>1827</v>
      </c>
      <c r="Y244" t="s">
        <v>1828</v>
      </c>
      <c r="Z244" t="s">
        <v>80</v>
      </c>
      <c r="AA244" t="s">
        <v>85</v>
      </c>
      <c r="AC244" t="s">
        <v>1829</v>
      </c>
      <c r="AD244" t="s">
        <v>202</v>
      </c>
      <c r="AE244" t="s">
        <v>1830</v>
      </c>
      <c r="AG244" t="s">
        <v>1831</v>
      </c>
      <c r="AH244" t="s">
        <v>91</v>
      </c>
      <c r="AI244" t="s">
        <v>92</v>
      </c>
      <c r="AJ244" t="s">
        <v>131</v>
      </c>
      <c r="AK244" t="s">
        <v>1832</v>
      </c>
      <c r="AL244" t="s">
        <v>95</v>
      </c>
      <c r="AM244" t="s">
        <v>96</v>
      </c>
      <c r="AN244" t="s">
        <v>97</v>
      </c>
      <c r="AO244" t="s">
        <v>98</v>
      </c>
      <c r="AP244" t="s">
        <v>78</v>
      </c>
      <c r="AQ244" t="s">
        <v>99</v>
      </c>
      <c r="AS244" t="s">
        <v>78</v>
      </c>
      <c r="AT244" t="s">
        <v>100</v>
      </c>
      <c r="AU244" t="s">
        <v>100</v>
      </c>
      <c r="AW244" t="s">
        <v>85</v>
      </c>
      <c r="AX244" t="s">
        <v>101</v>
      </c>
      <c r="AY244" t="s">
        <v>102</v>
      </c>
      <c r="AZ244" t="s">
        <v>103</v>
      </c>
      <c r="BA244" t="s">
        <v>245</v>
      </c>
      <c r="BB244" t="s">
        <v>78</v>
      </c>
      <c r="BC244" t="s">
        <v>78</v>
      </c>
      <c r="BD244" t="s">
        <v>1755</v>
      </c>
      <c r="BE244">
        <v>0</v>
      </c>
      <c r="BF244">
        <v>0</v>
      </c>
      <c r="BG244">
        <v>0</v>
      </c>
      <c r="BH244">
        <v>0</v>
      </c>
      <c r="BJ244" t="s">
        <v>85</v>
      </c>
      <c r="BP244" t="s">
        <v>78</v>
      </c>
      <c r="BQ244" t="s">
        <v>78</v>
      </c>
      <c r="BR244" t="s">
        <v>78</v>
      </c>
    </row>
    <row r="245" customFormat="1" spans="1:70">
      <c r="A245" t="s">
        <v>4116</v>
      </c>
      <c r="B245" t="s">
        <v>4116</v>
      </c>
      <c r="C245" t="s">
        <v>107</v>
      </c>
      <c r="D245" t="s">
        <v>135</v>
      </c>
      <c r="E245">
        <v>1</v>
      </c>
      <c r="F245" t="s">
        <v>3857</v>
      </c>
      <c r="G245" t="s">
        <v>136</v>
      </c>
      <c r="H245">
        <v>289</v>
      </c>
      <c r="I245">
        <v>289</v>
      </c>
      <c r="J245">
        <v>0</v>
      </c>
      <c r="K245">
        <v>0</v>
      </c>
      <c r="L245" t="s">
        <v>78</v>
      </c>
      <c r="M245" t="s">
        <v>78</v>
      </c>
      <c r="N245" t="s">
        <v>78</v>
      </c>
      <c r="O245">
        <v>0</v>
      </c>
      <c r="P245">
        <v>0</v>
      </c>
      <c r="Q245">
        <v>0</v>
      </c>
      <c r="R245" t="s">
        <v>79</v>
      </c>
      <c r="S245">
        <v>0</v>
      </c>
      <c r="T245" t="s">
        <v>80</v>
      </c>
      <c r="U245" t="s">
        <v>80</v>
      </c>
      <c r="V245" t="s">
        <v>302</v>
      </c>
      <c r="W245" t="s">
        <v>1834</v>
      </c>
      <c r="X245" t="s">
        <v>1835</v>
      </c>
      <c r="Y245" t="s">
        <v>512</v>
      </c>
      <c r="Z245" t="s">
        <v>80</v>
      </c>
      <c r="AA245" t="s">
        <v>85</v>
      </c>
      <c r="AC245" t="s">
        <v>1836</v>
      </c>
      <c r="AD245" t="s">
        <v>87</v>
      </c>
      <c r="AG245" t="s">
        <v>1837</v>
      </c>
      <c r="AH245" t="s">
        <v>91</v>
      </c>
      <c r="AI245" t="s">
        <v>92</v>
      </c>
      <c r="AJ245" t="s">
        <v>131</v>
      </c>
      <c r="AK245" t="s">
        <v>1838</v>
      </c>
      <c r="AL245" t="s">
        <v>95</v>
      </c>
      <c r="AM245" t="s">
        <v>96</v>
      </c>
      <c r="AN245" t="s">
        <v>97</v>
      </c>
      <c r="AO245" t="s">
        <v>98</v>
      </c>
      <c r="AP245" t="s">
        <v>78</v>
      </c>
      <c r="AQ245" t="s">
        <v>99</v>
      </c>
      <c r="AS245" t="s">
        <v>78</v>
      </c>
      <c r="AT245" t="s">
        <v>100</v>
      </c>
      <c r="AU245" t="s">
        <v>100</v>
      </c>
      <c r="AW245" t="s">
        <v>85</v>
      </c>
      <c r="AX245" t="s">
        <v>103</v>
      </c>
      <c r="AY245" t="s">
        <v>159</v>
      </c>
      <c r="AZ245" t="s">
        <v>103</v>
      </c>
      <c r="BA245" t="s">
        <v>104</v>
      </c>
      <c r="BB245" t="s">
        <v>78</v>
      </c>
      <c r="BC245" t="s">
        <v>78</v>
      </c>
      <c r="BE245">
        <v>0</v>
      </c>
      <c r="BF245">
        <v>0</v>
      </c>
      <c r="BG245">
        <v>0</v>
      </c>
      <c r="BH245">
        <v>0</v>
      </c>
      <c r="BJ245" t="s">
        <v>85</v>
      </c>
      <c r="BP245" t="s">
        <v>78</v>
      </c>
      <c r="BQ245" t="s">
        <v>78</v>
      </c>
      <c r="BR245" t="s">
        <v>78</v>
      </c>
    </row>
    <row r="246" customFormat="1" spans="1:70">
      <c r="A246" t="s">
        <v>4117</v>
      </c>
      <c r="B246" t="s">
        <v>4117</v>
      </c>
      <c r="C246" t="s">
        <v>107</v>
      </c>
      <c r="D246" t="s">
        <v>123</v>
      </c>
      <c r="E246">
        <v>1</v>
      </c>
      <c r="F246" t="s">
        <v>3857</v>
      </c>
      <c r="G246" t="s">
        <v>124</v>
      </c>
      <c r="H246">
        <v>289</v>
      </c>
      <c r="I246">
        <v>253</v>
      </c>
      <c r="J246">
        <v>0</v>
      </c>
      <c r="K246">
        <v>36</v>
      </c>
      <c r="L246" t="s">
        <v>1633</v>
      </c>
      <c r="M246" t="s">
        <v>78</v>
      </c>
      <c r="N246" t="s">
        <v>78</v>
      </c>
      <c r="O246">
        <v>0</v>
      </c>
      <c r="P246">
        <v>0</v>
      </c>
      <c r="Q246">
        <v>0</v>
      </c>
      <c r="R246" t="s">
        <v>111</v>
      </c>
      <c r="S246">
        <v>0</v>
      </c>
      <c r="T246" t="s">
        <v>80</v>
      </c>
      <c r="U246" t="s">
        <v>80</v>
      </c>
      <c r="V246" t="s">
        <v>271</v>
      </c>
      <c r="W246" t="s">
        <v>717</v>
      </c>
      <c r="X246" t="s">
        <v>1634</v>
      </c>
      <c r="Y246" t="s">
        <v>1462</v>
      </c>
      <c r="Z246" t="s">
        <v>80</v>
      </c>
      <c r="AA246" t="s">
        <v>85</v>
      </c>
      <c r="AC246" t="s">
        <v>1840</v>
      </c>
      <c r="AD246" t="s">
        <v>87</v>
      </c>
      <c r="AG246" t="s">
        <v>1841</v>
      </c>
      <c r="AH246" t="s">
        <v>91</v>
      </c>
      <c r="AI246" t="s">
        <v>92</v>
      </c>
      <c r="AJ246" t="s">
        <v>131</v>
      </c>
      <c r="AK246" t="s">
        <v>1842</v>
      </c>
      <c r="AL246" t="s">
        <v>95</v>
      </c>
      <c r="AM246" t="s">
        <v>96</v>
      </c>
      <c r="AN246" t="s">
        <v>97</v>
      </c>
      <c r="AO246" t="s">
        <v>98</v>
      </c>
      <c r="AP246" t="s">
        <v>78</v>
      </c>
      <c r="AQ246" t="s">
        <v>99</v>
      </c>
      <c r="AS246" t="s">
        <v>78</v>
      </c>
      <c r="AT246" t="s">
        <v>100</v>
      </c>
      <c r="AU246" t="s">
        <v>100</v>
      </c>
      <c r="AW246" t="s">
        <v>85</v>
      </c>
      <c r="AX246" t="s">
        <v>101</v>
      </c>
      <c r="AY246" t="s">
        <v>102</v>
      </c>
      <c r="AZ246" t="s">
        <v>103</v>
      </c>
      <c r="BA246" t="s">
        <v>104</v>
      </c>
      <c r="BB246" t="s">
        <v>78</v>
      </c>
      <c r="BC246" t="s">
        <v>78</v>
      </c>
      <c r="BE246">
        <v>0</v>
      </c>
      <c r="BF246">
        <v>36</v>
      </c>
      <c r="BG246">
        <v>0</v>
      </c>
      <c r="BH246">
        <v>0</v>
      </c>
      <c r="BJ246" t="s">
        <v>85</v>
      </c>
      <c r="BP246" t="s">
        <v>78</v>
      </c>
      <c r="BQ246" t="s">
        <v>78</v>
      </c>
      <c r="BR246" t="s">
        <v>78</v>
      </c>
    </row>
    <row r="247" customFormat="1" spans="1:70">
      <c r="A247" t="s">
        <v>4118</v>
      </c>
      <c r="B247" t="s">
        <v>4118</v>
      </c>
      <c r="C247" t="s">
        <v>1092</v>
      </c>
      <c r="D247" t="s">
        <v>1391</v>
      </c>
      <c r="E247">
        <v>1</v>
      </c>
      <c r="F247" t="s">
        <v>3998</v>
      </c>
      <c r="G247" t="s">
        <v>1392</v>
      </c>
      <c r="H247">
        <v>289</v>
      </c>
      <c r="I247">
        <v>279</v>
      </c>
      <c r="J247">
        <v>0</v>
      </c>
      <c r="K247">
        <v>10</v>
      </c>
      <c r="L247" t="s">
        <v>1844</v>
      </c>
      <c r="M247" t="s">
        <v>78</v>
      </c>
      <c r="N247" t="s">
        <v>78</v>
      </c>
      <c r="O247">
        <v>0</v>
      </c>
      <c r="P247">
        <v>0</v>
      </c>
      <c r="Q247">
        <v>0</v>
      </c>
      <c r="R247" t="s">
        <v>125</v>
      </c>
      <c r="S247">
        <v>0</v>
      </c>
      <c r="T247" t="s">
        <v>80</v>
      </c>
      <c r="U247" t="s">
        <v>80</v>
      </c>
      <c r="V247" t="s">
        <v>302</v>
      </c>
      <c r="W247" t="s">
        <v>1845</v>
      </c>
      <c r="X247" t="s">
        <v>1846</v>
      </c>
      <c r="Y247" t="s">
        <v>1847</v>
      </c>
      <c r="Z247" t="s">
        <v>80</v>
      </c>
      <c r="AA247" t="s">
        <v>85</v>
      </c>
      <c r="AC247" t="s">
        <v>1848</v>
      </c>
      <c r="AD247" t="s">
        <v>87</v>
      </c>
      <c r="AF247" t="s">
        <v>1849</v>
      </c>
      <c r="AG247" t="s">
        <v>1850</v>
      </c>
      <c r="AH247" t="s">
        <v>91</v>
      </c>
      <c r="AI247" t="s">
        <v>92</v>
      </c>
      <c r="AJ247" t="s">
        <v>93</v>
      </c>
      <c r="AK247" t="s">
        <v>1851</v>
      </c>
      <c r="AL247" t="s">
        <v>95</v>
      </c>
      <c r="AM247" t="s">
        <v>96</v>
      </c>
      <c r="AN247" t="s">
        <v>97</v>
      </c>
      <c r="AO247" t="s">
        <v>98</v>
      </c>
      <c r="AP247" t="s">
        <v>78</v>
      </c>
      <c r="AQ247" t="s">
        <v>78</v>
      </c>
      <c r="AS247" t="s">
        <v>78</v>
      </c>
      <c r="AT247" t="s">
        <v>100</v>
      </c>
      <c r="AU247" t="s">
        <v>100</v>
      </c>
      <c r="AW247" t="s">
        <v>85</v>
      </c>
      <c r="AX247" t="s">
        <v>101</v>
      </c>
      <c r="AY247" t="s">
        <v>102</v>
      </c>
      <c r="AZ247" t="s">
        <v>103</v>
      </c>
      <c r="BA247" t="s">
        <v>133</v>
      </c>
      <c r="BB247" t="s">
        <v>78</v>
      </c>
      <c r="BC247" t="s">
        <v>78</v>
      </c>
      <c r="BD247" t="s">
        <v>1401</v>
      </c>
      <c r="BE247">
        <v>0</v>
      </c>
      <c r="BF247">
        <v>10</v>
      </c>
      <c r="BG247">
        <v>0</v>
      </c>
      <c r="BH247">
        <v>0</v>
      </c>
      <c r="BJ247" t="s">
        <v>85</v>
      </c>
      <c r="BP247" t="s">
        <v>78</v>
      </c>
      <c r="BQ247" t="s">
        <v>78</v>
      </c>
      <c r="BR247" t="s">
        <v>78</v>
      </c>
    </row>
    <row r="248" customFormat="1" spans="1:70">
      <c r="A248" t="s">
        <v>4119</v>
      </c>
      <c r="B248" t="s">
        <v>4119</v>
      </c>
      <c r="C248" t="s">
        <v>107</v>
      </c>
      <c r="D248" t="s">
        <v>123</v>
      </c>
      <c r="E248">
        <v>1</v>
      </c>
      <c r="F248" t="s">
        <v>3857</v>
      </c>
      <c r="G248" t="s">
        <v>124</v>
      </c>
      <c r="H248">
        <v>289</v>
      </c>
      <c r="I248">
        <v>253</v>
      </c>
      <c r="J248">
        <v>0</v>
      </c>
      <c r="K248">
        <v>36</v>
      </c>
      <c r="L248" t="s">
        <v>1633</v>
      </c>
      <c r="M248" t="s">
        <v>78</v>
      </c>
      <c r="N248" t="s">
        <v>78</v>
      </c>
      <c r="O248">
        <v>0</v>
      </c>
      <c r="P248">
        <v>0</v>
      </c>
      <c r="Q248">
        <v>0</v>
      </c>
      <c r="R248" t="s">
        <v>111</v>
      </c>
      <c r="S248">
        <v>0</v>
      </c>
      <c r="T248" t="s">
        <v>80</v>
      </c>
      <c r="U248" t="s">
        <v>80</v>
      </c>
      <c r="V248" t="s">
        <v>271</v>
      </c>
      <c r="W248" t="s">
        <v>717</v>
      </c>
      <c r="X248" t="s">
        <v>1634</v>
      </c>
      <c r="Y248" t="s">
        <v>1462</v>
      </c>
      <c r="Z248" t="s">
        <v>80</v>
      </c>
      <c r="AA248" t="s">
        <v>85</v>
      </c>
      <c r="AC248" t="s">
        <v>1853</v>
      </c>
      <c r="AD248" t="s">
        <v>87</v>
      </c>
      <c r="AG248" t="s">
        <v>1854</v>
      </c>
      <c r="AH248" t="s">
        <v>91</v>
      </c>
      <c r="AI248" t="s">
        <v>92</v>
      </c>
      <c r="AJ248" t="s">
        <v>131</v>
      </c>
      <c r="AK248" t="s">
        <v>1855</v>
      </c>
      <c r="AL248" t="s">
        <v>95</v>
      </c>
      <c r="AM248" t="s">
        <v>96</v>
      </c>
      <c r="AN248" t="s">
        <v>97</v>
      </c>
      <c r="AO248" t="s">
        <v>98</v>
      </c>
      <c r="AP248" t="s">
        <v>78</v>
      </c>
      <c r="AQ248" t="s">
        <v>99</v>
      </c>
      <c r="AS248" t="s">
        <v>78</v>
      </c>
      <c r="AT248" t="s">
        <v>100</v>
      </c>
      <c r="AU248" t="s">
        <v>100</v>
      </c>
      <c r="AW248" t="s">
        <v>85</v>
      </c>
      <c r="AX248" t="s">
        <v>101</v>
      </c>
      <c r="AY248" t="s">
        <v>102</v>
      </c>
      <c r="AZ248" t="s">
        <v>103</v>
      </c>
      <c r="BA248" t="s">
        <v>683</v>
      </c>
      <c r="BB248" t="s">
        <v>78</v>
      </c>
      <c r="BC248" t="s">
        <v>78</v>
      </c>
      <c r="BE248">
        <v>0</v>
      </c>
      <c r="BF248">
        <v>36</v>
      </c>
      <c r="BG248">
        <v>0</v>
      </c>
      <c r="BH248">
        <v>0</v>
      </c>
      <c r="BJ248" t="s">
        <v>85</v>
      </c>
      <c r="BP248" t="s">
        <v>78</v>
      </c>
      <c r="BQ248" t="s">
        <v>78</v>
      </c>
      <c r="BR248" t="s">
        <v>78</v>
      </c>
    </row>
    <row r="249" customFormat="1" spans="1:70">
      <c r="A249" t="s">
        <v>4120</v>
      </c>
      <c r="B249" t="s">
        <v>4120</v>
      </c>
      <c r="C249" t="s">
        <v>107</v>
      </c>
      <c r="D249" t="s">
        <v>135</v>
      </c>
      <c r="E249">
        <v>1</v>
      </c>
      <c r="F249" t="s">
        <v>3857</v>
      </c>
      <c r="G249" t="s">
        <v>136</v>
      </c>
      <c r="H249">
        <v>289</v>
      </c>
      <c r="I249">
        <v>289</v>
      </c>
      <c r="J249">
        <v>0</v>
      </c>
      <c r="K249">
        <v>0</v>
      </c>
      <c r="L249" t="s">
        <v>78</v>
      </c>
      <c r="M249" t="s">
        <v>78</v>
      </c>
      <c r="N249" t="s">
        <v>78</v>
      </c>
      <c r="O249">
        <v>0</v>
      </c>
      <c r="P249">
        <v>0</v>
      </c>
      <c r="Q249">
        <v>0</v>
      </c>
      <c r="R249" t="s">
        <v>79</v>
      </c>
      <c r="S249">
        <v>0</v>
      </c>
      <c r="T249" t="s">
        <v>80</v>
      </c>
      <c r="U249" t="s">
        <v>80</v>
      </c>
      <c r="V249" t="s">
        <v>112</v>
      </c>
      <c r="W249" t="s">
        <v>1207</v>
      </c>
      <c r="X249" t="s">
        <v>1207</v>
      </c>
      <c r="Y249" t="s">
        <v>1208</v>
      </c>
      <c r="Z249" t="s">
        <v>80</v>
      </c>
      <c r="AA249" t="s">
        <v>85</v>
      </c>
      <c r="AC249" t="s">
        <v>1857</v>
      </c>
      <c r="AD249" t="s">
        <v>87</v>
      </c>
      <c r="AG249" t="s">
        <v>1858</v>
      </c>
      <c r="AH249" t="s">
        <v>91</v>
      </c>
      <c r="AI249" t="s">
        <v>92</v>
      </c>
      <c r="AJ249" t="s">
        <v>131</v>
      </c>
      <c r="AK249" t="s">
        <v>1859</v>
      </c>
      <c r="AL249" t="s">
        <v>95</v>
      </c>
      <c r="AM249" t="s">
        <v>96</v>
      </c>
      <c r="AN249" t="s">
        <v>97</v>
      </c>
      <c r="AO249" t="s">
        <v>98</v>
      </c>
      <c r="AP249" t="s">
        <v>78</v>
      </c>
      <c r="AQ249" t="s">
        <v>99</v>
      </c>
      <c r="AS249" t="s">
        <v>78</v>
      </c>
      <c r="AT249" t="s">
        <v>100</v>
      </c>
      <c r="AU249" t="s">
        <v>100</v>
      </c>
      <c r="AW249" t="s">
        <v>85</v>
      </c>
      <c r="AX249" t="s">
        <v>101</v>
      </c>
      <c r="AY249" t="s">
        <v>102</v>
      </c>
      <c r="AZ249" t="s">
        <v>103</v>
      </c>
      <c r="BA249" t="s">
        <v>133</v>
      </c>
      <c r="BB249" t="s">
        <v>78</v>
      </c>
      <c r="BC249" t="s">
        <v>78</v>
      </c>
      <c r="BE249">
        <v>0</v>
      </c>
      <c r="BF249">
        <v>0</v>
      </c>
      <c r="BG249">
        <v>0</v>
      </c>
      <c r="BH249">
        <v>0</v>
      </c>
      <c r="BJ249" t="s">
        <v>85</v>
      </c>
      <c r="BP249" t="s">
        <v>78</v>
      </c>
      <c r="BQ249" t="s">
        <v>78</v>
      </c>
      <c r="BR249" t="s">
        <v>78</v>
      </c>
    </row>
    <row r="250" customFormat="1" spans="1:70">
      <c r="A250" t="s">
        <v>4121</v>
      </c>
      <c r="B250" t="s">
        <v>4121</v>
      </c>
      <c r="C250" t="s">
        <v>107</v>
      </c>
      <c r="D250" t="s">
        <v>108</v>
      </c>
      <c r="E250">
        <v>1</v>
      </c>
      <c r="F250" t="s">
        <v>3857</v>
      </c>
      <c r="G250" t="s">
        <v>110</v>
      </c>
      <c r="H250">
        <v>289</v>
      </c>
      <c r="I250">
        <v>289</v>
      </c>
      <c r="J250">
        <v>0</v>
      </c>
      <c r="K250">
        <v>0</v>
      </c>
      <c r="L250" t="s">
        <v>78</v>
      </c>
      <c r="M250" t="s">
        <v>78</v>
      </c>
      <c r="N250" t="s">
        <v>78</v>
      </c>
      <c r="O250">
        <v>0</v>
      </c>
      <c r="P250">
        <v>0</v>
      </c>
      <c r="Q250">
        <v>0</v>
      </c>
      <c r="R250" t="s">
        <v>79</v>
      </c>
      <c r="S250">
        <v>0</v>
      </c>
      <c r="T250" t="s">
        <v>80</v>
      </c>
      <c r="U250" t="s">
        <v>80</v>
      </c>
      <c r="V250" t="s">
        <v>574</v>
      </c>
      <c r="W250" t="s">
        <v>574</v>
      </c>
      <c r="X250" t="s">
        <v>809</v>
      </c>
      <c r="Y250" t="s">
        <v>1861</v>
      </c>
      <c r="Z250" t="s">
        <v>80</v>
      </c>
      <c r="AA250" t="s">
        <v>85</v>
      </c>
      <c r="AC250" t="s">
        <v>1862</v>
      </c>
      <c r="AD250" t="s">
        <v>87</v>
      </c>
      <c r="AG250" t="s">
        <v>1863</v>
      </c>
      <c r="AH250" t="s">
        <v>91</v>
      </c>
      <c r="AI250" t="s">
        <v>92</v>
      </c>
      <c r="AJ250" t="s">
        <v>131</v>
      </c>
      <c r="AK250" t="s">
        <v>1864</v>
      </c>
      <c r="AL250" t="s">
        <v>95</v>
      </c>
      <c r="AM250" t="s">
        <v>96</v>
      </c>
      <c r="AN250" t="s">
        <v>97</v>
      </c>
      <c r="AO250" t="s">
        <v>98</v>
      </c>
      <c r="AP250" t="s">
        <v>78</v>
      </c>
      <c r="AQ250" t="s">
        <v>99</v>
      </c>
      <c r="AS250" t="s">
        <v>78</v>
      </c>
      <c r="AT250" t="s">
        <v>100</v>
      </c>
      <c r="AU250" t="s">
        <v>100</v>
      </c>
      <c r="AW250" t="s">
        <v>85</v>
      </c>
      <c r="AX250" t="s">
        <v>101</v>
      </c>
      <c r="AY250" t="s">
        <v>102</v>
      </c>
      <c r="AZ250" t="s">
        <v>103</v>
      </c>
      <c r="BA250" t="s">
        <v>133</v>
      </c>
      <c r="BB250" t="s">
        <v>78</v>
      </c>
      <c r="BC250" t="s">
        <v>78</v>
      </c>
      <c r="BE250">
        <v>0</v>
      </c>
      <c r="BF250">
        <v>0</v>
      </c>
      <c r="BG250">
        <v>0</v>
      </c>
      <c r="BH250">
        <v>0</v>
      </c>
      <c r="BJ250" t="s">
        <v>85</v>
      </c>
      <c r="BP250" t="s">
        <v>78</v>
      </c>
      <c r="BQ250" t="s">
        <v>78</v>
      </c>
      <c r="BR250" t="s">
        <v>78</v>
      </c>
    </row>
    <row r="251" customFormat="1" spans="1:70">
      <c r="A251" t="s">
        <v>4122</v>
      </c>
      <c r="B251" t="s">
        <v>4122</v>
      </c>
      <c r="C251" t="s">
        <v>107</v>
      </c>
      <c r="D251" t="s">
        <v>108</v>
      </c>
      <c r="E251">
        <v>1</v>
      </c>
      <c r="F251" t="s">
        <v>3857</v>
      </c>
      <c r="G251" t="s">
        <v>110</v>
      </c>
      <c r="H251">
        <v>289</v>
      </c>
      <c r="I251">
        <v>289</v>
      </c>
      <c r="J251">
        <v>0</v>
      </c>
      <c r="K251">
        <v>0</v>
      </c>
      <c r="L251" t="s">
        <v>78</v>
      </c>
      <c r="M251" t="s">
        <v>78</v>
      </c>
      <c r="N251" t="s">
        <v>78</v>
      </c>
      <c r="O251">
        <v>0</v>
      </c>
      <c r="P251">
        <v>0</v>
      </c>
      <c r="Q251">
        <v>0</v>
      </c>
      <c r="R251" t="s">
        <v>111</v>
      </c>
      <c r="S251">
        <v>0</v>
      </c>
      <c r="T251" t="s">
        <v>80</v>
      </c>
      <c r="U251" t="s">
        <v>80</v>
      </c>
      <c r="V251" t="s">
        <v>509</v>
      </c>
      <c r="W251" t="s">
        <v>623</v>
      </c>
      <c r="X251" t="s">
        <v>1866</v>
      </c>
      <c r="Y251" t="s">
        <v>1867</v>
      </c>
      <c r="Z251" t="s">
        <v>80</v>
      </c>
      <c r="AA251" t="s">
        <v>85</v>
      </c>
      <c r="AC251" t="s">
        <v>1868</v>
      </c>
      <c r="AD251" t="s">
        <v>87</v>
      </c>
      <c r="AG251" t="s">
        <v>1869</v>
      </c>
      <c r="AH251" t="s">
        <v>91</v>
      </c>
      <c r="AI251" t="s">
        <v>92</v>
      </c>
      <c r="AJ251" t="s">
        <v>131</v>
      </c>
      <c r="AK251" t="s">
        <v>1870</v>
      </c>
      <c r="AL251" t="s">
        <v>95</v>
      </c>
      <c r="AM251" t="s">
        <v>96</v>
      </c>
      <c r="AN251" t="s">
        <v>97</v>
      </c>
      <c r="AO251" t="s">
        <v>98</v>
      </c>
      <c r="AP251" t="s">
        <v>78</v>
      </c>
      <c r="AQ251" t="s">
        <v>99</v>
      </c>
      <c r="AS251" t="s">
        <v>78</v>
      </c>
      <c r="AT251" t="s">
        <v>100</v>
      </c>
      <c r="AU251" t="s">
        <v>100</v>
      </c>
      <c r="AW251" t="s">
        <v>85</v>
      </c>
      <c r="AX251" t="s">
        <v>101</v>
      </c>
      <c r="AY251" t="s">
        <v>102</v>
      </c>
      <c r="AZ251" t="s">
        <v>103</v>
      </c>
      <c r="BA251" t="s">
        <v>133</v>
      </c>
      <c r="BB251" t="s">
        <v>78</v>
      </c>
      <c r="BC251" t="s">
        <v>78</v>
      </c>
      <c r="BE251">
        <v>0</v>
      </c>
      <c r="BF251">
        <v>0</v>
      </c>
      <c r="BG251">
        <v>0</v>
      </c>
      <c r="BH251">
        <v>0</v>
      </c>
      <c r="BJ251" t="s">
        <v>85</v>
      </c>
      <c r="BP251" t="s">
        <v>78</v>
      </c>
      <c r="BQ251" t="s">
        <v>78</v>
      </c>
      <c r="BR251" t="s">
        <v>78</v>
      </c>
    </row>
    <row r="252" customFormat="1" spans="1:70">
      <c r="A252" t="s">
        <v>4123</v>
      </c>
      <c r="B252" t="s">
        <v>4123</v>
      </c>
      <c r="C252" t="s">
        <v>107</v>
      </c>
      <c r="D252" t="s">
        <v>123</v>
      </c>
      <c r="E252">
        <v>1</v>
      </c>
      <c r="F252" t="s">
        <v>3857</v>
      </c>
      <c r="G252" t="s">
        <v>124</v>
      </c>
      <c r="H252">
        <v>289</v>
      </c>
      <c r="I252">
        <v>289</v>
      </c>
      <c r="J252">
        <v>0</v>
      </c>
      <c r="K252">
        <v>0</v>
      </c>
      <c r="L252" t="s">
        <v>78</v>
      </c>
      <c r="M252" t="s">
        <v>78</v>
      </c>
      <c r="N252" t="s">
        <v>78</v>
      </c>
      <c r="O252">
        <v>0</v>
      </c>
      <c r="P252">
        <v>0</v>
      </c>
      <c r="Q252">
        <v>0</v>
      </c>
      <c r="R252" t="s">
        <v>125</v>
      </c>
      <c r="S252">
        <v>0</v>
      </c>
      <c r="T252" t="s">
        <v>80</v>
      </c>
      <c r="U252" t="s">
        <v>80</v>
      </c>
      <c r="V252" t="s">
        <v>271</v>
      </c>
      <c r="W252" t="s">
        <v>717</v>
      </c>
      <c r="X252" t="s">
        <v>1872</v>
      </c>
      <c r="Y252" t="s">
        <v>1873</v>
      </c>
      <c r="Z252" t="s">
        <v>80</v>
      </c>
      <c r="AA252" t="s">
        <v>85</v>
      </c>
      <c r="AC252" t="s">
        <v>1874</v>
      </c>
      <c r="AD252" t="s">
        <v>202</v>
      </c>
      <c r="AE252" t="s">
        <v>1875</v>
      </c>
      <c r="AG252" t="s">
        <v>1876</v>
      </c>
      <c r="AH252" t="s">
        <v>91</v>
      </c>
      <c r="AI252" t="s">
        <v>92</v>
      </c>
      <c r="AJ252" t="s">
        <v>131</v>
      </c>
      <c r="AK252" t="s">
        <v>1877</v>
      </c>
      <c r="AL252" t="s">
        <v>95</v>
      </c>
      <c r="AM252" t="s">
        <v>96</v>
      </c>
      <c r="AN252" t="s">
        <v>97</v>
      </c>
      <c r="AO252" t="s">
        <v>98</v>
      </c>
      <c r="AP252" t="s">
        <v>78</v>
      </c>
      <c r="AQ252" t="s">
        <v>99</v>
      </c>
      <c r="AS252" t="s">
        <v>78</v>
      </c>
      <c r="AT252" t="s">
        <v>100</v>
      </c>
      <c r="AU252" t="s">
        <v>100</v>
      </c>
      <c r="AW252" t="s">
        <v>85</v>
      </c>
      <c r="AX252" t="s">
        <v>101</v>
      </c>
      <c r="AY252" t="s">
        <v>102</v>
      </c>
      <c r="AZ252" t="s">
        <v>103</v>
      </c>
      <c r="BA252" t="s">
        <v>104</v>
      </c>
      <c r="BB252" t="s">
        <v>78</v>
      </c>
      <c r="BC252" t="s">
        <v>78</v>
      </c>
      <c r="BD252" t="s">
        <v>1878</v>
      </c>
      <c r="BE252">
        <v>0</v>
      </c>
      <c r="BF252">
        <v>0</v>
      </c>
      <c r="BG252">
        <v>0</v>
      </c>
      <c r="BH252">
        <v>0</v>
      </c>
      <c r="BJ252" t="s">
        <v>85</v>
      </c>
      <c r="BP252" t="s">
        <v>78</v>
      </c>
      <c r="BQ252" t="s">
        <v>78</v>
      </c>
      <c r="BR252" t="s">
        <v>78</v>
      </c>
    </row>
    <row r="253" customFormat="1" spans="1:70">
      <c r="A253" t="s">
        <v>4124</v>
      </c>
      <c r="B253" t="s">
        <v>4124</v>
      </c>
      <c r="C253" t="s">
        <v>107</v>
      </c>
      <c r="D253" t="s">
        <v>135</v>
      </c>
      <c r="E253">
        <v>1</v>
      </c>
      <c r="F253" t="s">
        <v>3857</v>
      </c>
      <c r="G253" t="s">
        <v>136</v>
      </c>
      <c r="H253">
        <v>289</v>
      </c>
      <c r="I253">
        <v>289</v>
      </c>
      <c r="J253">
        <v>0</v>
      </c>
      <c r="K253">
        <v>0</v>
      </c>
      <c r="L253" t="s">
        <v>78</v>
      </c>
      <c r="M253" t="s">
        <v>78</v>
      </c>
      <c r="N253" t="s">
        <v>78</v>
      </c>
      <c r="O253">
        <v>0</v>
      </c>
      <c r="P253">
        <v>0</v>
      </c>
      <c r="Q253">
        <v>0</v>
      </c>
      <c r="R253" t="s">
        <v>125</v>
      </c>
      <c r="S253">
        <v>0</v>
      </c>
      <c r="T253" t="s">
        <v>80</v>
      </c>
      <c r="U253" t="s">
        <v>80</v>
      </c>
      <c r="V253" t="s">
        <v>126</v>
      </c>
      <c r="W253" t="s">
        <v>377</v>
      </c>
      <c r="X253" t="s">
        <v>378</v>
      </c>
      <c r="Y253" t="s">
        <v>1027</v>
      </c>
      <c r="Z253" t="s">
        <v>80</v>
      </c>
      <c r="AA253" t="s">
        <v>85</v>
      </c>
      <c r="AC253" t="s">
        <v>1880</v>
      </c>
      <c r="AD253" t="s">
        <v>87</v>
      </c>
      <c r="AG253" t="s">
        <v>1881</v>
      </c>
      <c r="AH253" t="s">
        <v>91</v>
      </c>
      <c r="AI253" t="s">
        <v>216</v>
      </c>
      <c r="AJ253" t="s">
        <v>131</v>
      </c>
      <c r="AK253" t="s">
        <v>1882</v>
      </c>
      <c r="AL253" t="s">
        <v>95</v>
      </c>
      <c r="AM253" t="s">
        <v>96</v>
      </c>
      <c r="AN253" t="s">
        <v>96</v>
      </c>
      <c r="AP253" t="s">
        <v>78</v>
      </c>
      <c r="AQ253" t="s">
        <v>99</v>
      </c>
      <c r="AS253" t="s">
        <v>78</v>
      </c>
      <c r="AT253" t="s">
        <v>100</v>
      </c>
      <c r="AU253" t="s">
        <v>100</v>
      </c>
      <c r="AW253" t="s">
        <v>85</v>
      </c>
      <c r="AX253" t="s">
        <v>101</v>
      </c>
      <c r="AY253" t="s">
        <v>102</v>
      </c>
      <c r="AZ253" t="s">
        <v>145</v>
      </c>
      <c r="BA253" t="s">
        <v>525</v>
      </c>
      <c r="BB253" t="s">
        <v>78</v>
      </c>
      <c r="BC253" t="s">
        <v>78</v>
      </c>
      <c r="BE253">
        <v>0</v>
      </c>
      <c r="BF253">
        <v>0</v>
      </c>
      <c r="BG253">
        <v>0</v>
      </c>
      <c r="BH253">
        <v>0</v>
      </c>
      <c r="BJ253" t="s">
        <v>85</v>
      </c>
      <c r="BP253" t="s">
        <v>78</v>
      </c>
      <c r="BQ253" t="s">
        <v>78</v>
      </c>
      <c r="BR253" t="s">
        <v>78</v>
      </c>
    </row>
    <row r="254" customFormat="1" spans="1:70">
      <c r="A254" t="s">
        <v>4125</v>
      </c>
      <c r="B254" t="s">
        <v>4125</v>
      </c>
      <c r="C254" t="s">
        <v>1126</v>
      </c>
      <c r="D254" t="s">
        <v>1127</v>
      </c>
      <c r="E254">
        <v>1</v>
      </c>
      <c r="F254" t="s">
        <v>4004</v>
      </c>
      <c r="G254" t="s">
        <v>1129</v>
      </c>
      <c r="H254">
        <v>249</v>
      </c>
      <c r="I254">
        <v>249</v>
      </c>
      <c r="J254">
        <v>0</v>
      </c>
      <c r="K254">
        <v>0</v>
      </c>
      <c r="L254" t="s">
        <v>78</v>
      </c>
      <c r="M254" t="s">
        <v>78</v>
      </c>
      <c r="N254" t="s">
        <v>78</v>
      </c>
      <c r="O254">
        <v>0</v>
      </c>
      <c r="P254">
        <v>0</v>
      </c>
      <c r="Q254">
        <v>0</v>
      </c>
      <c r="R254" t="s">
        <v>111</v>
      </c>
      <c r="S254">
        <v>0</v>
      </c>
      <c r="T254" t="s">
        <v>80</v>
      </c>
      <c r="U254" t="s">
        <v>80</v>
      </c>
      <c r="V254" t="s">
        <v>271</v>
      </c>
      <c r="W254" t="s">
        <v>939</v>
      </c>
      <c r="X254" t="s">
        <v>940</v>
      </c>
      <c r="Y254" t="s">
        <v>1884</v>
      </c>
      <c r="Z254" t="s">
        <v>80</v>
      </c>
      <c r="AA254" t="s">
        <v>85</v>
      </c>
      <c r="AC254" t="s">
        <v>1885</v>
      </c>
      <c r="AD254" t="s">
        <v>87</v>
      </c>
      <c r="AH254" t="s">
        <v>227</v>
      </c>
      <c r="AI254" t="s">
        <v>92</v>
      </c>
      <c r="AJ254" t="s">
        <v>131</v>
      </c>
      <c r="AK254" t="s">
        <v>1886</v>
      </c>
      <c r="AL254" t="s">
        <v>95</v>
      </c>
      <c r="AM254" t="s">
        <v>96</v>
      </c>
      <c r="AN254" t="s">
        <v>97</v>
      </c>
      <c r="AO254" t="s">
        <v>98</v>
      </c>
      <c r="AP254" t="s">
        <v>78</v>
      </c>
      <c r="AQ254" t="s">
        <v>78</v>
      </c>
      <c r="AR254" t="s">
        <v>353</v>
      </c>
      <c r="AS254" t="s">
        <v>78</v>
      </c>
      <c r="AT254" t="s">
        <v>100</v>
      </c>
      <c r="AU254" t="s">
        <v>100</v>
      </c>
      <c r="AW254" t="s">
        <v>85</v>
      </c>
      <c r="AX254" t="s">
        <v>101</v>
      </c>
      <c r="AY254" t="s">
        <v>102</v>
      </c>
      <c r="AZ254" t="s">
        <v>103</v>
      </c>
      <c r="BA254" t="s">
        <v>133</v>
      </c>
      <c r="BB254" t="s">
        <v>78</v>
      </c>
      <c r="BC254" t="s">
        <v>78</v>
      </c>
      <c r="BE254">
        <v>0</v>
      </c>
      <c r="BF254">
        <v>0</v>
      </c>
      <c r="BG254">
        <v>0</v>
      </c>
      <c r="BH254">
        <v>0</v>
      </c>
      <c r="BJ254" t="s">
        <v>85</v>
      </c>
      <c r="BP254" t="s">
        <v>78</v>
      </c>
      <c r="BQ254" t="s">
        <v>78</v>
      </c>
      <c r="BR254" t="s">
        <v>78</v>
      </c>
    </row>
    <row r="255" customFormat="1" spans="1:70">
      <c r="A255" t="s">
        <v>4126</v>
      </c>
      <c r="B255" t="s">
        <v>4126</v>
      </c>
      <c r="C255" t="s">
        <v>1126</v>
      </c>
      <c r="D255" t="s">
        <v>187</v>
      </c>
      <c r="E255">
        <v>1</v>
      </c>
      <c r="F255" t="s">
        <v>4004</v>
      </c>
      <c r="G255" t="s">
        <v>1205</v>
      </c>
      <c r="H255">
        <v>249</v>
      </c>
      <c r="I255">
        <v>249</v>
      </c>
      <c r="J255">
        <v>0</v>
      </c>
      <c r="K255">
        <v>0</v>
      </c>
      <c r="L255" t="s">
        <v>78</v>
      </c>
      <c r="M255" t="s">
        <v>78</v>
      </c>
      <c r="N255" t="s">
        <v>78</v>
      </c>
      <c r="O255">
        <v>0</v>
      </c>
      <c r="P255">
        <v>0</v>
      </c>
      <c r="Q255">
        <v>0</v>
      </c>
      <c r="R255" t="s">
        <v>111</v>
      </c>
      <c r="S255">
        <v>0</v>
      </c>
      <c r="T255" t="s">
        <v>80</v>
      </c>
      <c r="U255" t="s">
        <v>80</v>
      </c>
      <c r="V255" t="s">
        <v>509</v>
      </c>
      <c r="W255" t="s">
        <v>1696</v>
      </c>
      <c r="X255" t="s">
        <v>1888</v>
      </c>
      <c r="Y255" t="s">
        <v>1889</v>
      </c>
      <c r="Z255" t="s">
        <v>80</v>
      </c>
      <c r="AA255" t="s">
        <v>85</v>
      </c>
      <c r="AC255" t="s">
        <v>1890</v>
      </c>
      <c r="AD255" t="s">
        <v>87</v>
      </c>
      <c r="AG255" t="s">
        <v>1891</v>
      </c>
      <c r="AH255" t="s">
        <v>91</v>
      </c>
      <c r="AI255" t="s">
        <v>92</v>
      </c>
      <c r="AJ255" t="s">
        <v>131</v>
      </c>
      <c r="AK255" t="s">
        <v>1892</v>
      </c>
      <c r="AL255" t="s">
        <v>95</v>
      </c>
      <c r="AM255" t="s">
        <v>96</v>
      </c>
      <c r="AN255" t="s">
        <v>97</v>
      </c>
      <c r="AO255" t="s">
        <v>98</v>
      </c>
      <c r="AP255" t="s">
        <v>78</v>
      </c>
      <c r="AQ255" t="s">
        <v>99</v>
      </c>
      <c r="AS255" t="s">
        <v>78</v>
      </c>
      <c r="AT255" t="s">
        <v>100</v>
      </c>
      <c r="AU255" t="s">
        <v>100</v>
      </c>
      <c r="AW255" t="s">
        <v>85</v>
      </c>
      <c r="AX255" t="s">
        <v>101</v>
      </c>
      <c r="AY255" t="s">
        <v>102</v>
      </c>
      <c r="AZ255" t="s">
        <v>103</v>
      </c>
      <c r="BA255" t="s">
        <v>104</v>
      </c>
      <c r="BB255" t="s">
        <v>78</v>
      </c>
      <c r="BC255" t="s">
        <v>78</v>
      </c>
      <c r="BE255">
        <v>0</v>
      </c>
      <c r="BF255">
        <v>0</v>
      </c>
      <c r="BG255">
        <v>0</v>
      </c>
      <c r="BH255">
        <v>0</v>
      </c>
      <c r="BJ255" t="s">
        <v>85</v>
      </c>
      <c r="BP255" t="s">
        <v>78</v>
      </c>
      <c r="BQ255" t="s">
        <v>78</v>
      </c>
      <c r="BR255" t="s">
        <v>78</v>
      </c>
    </row>
    <row r="256" customFormat="1" spans="1:70">
      <c r="A256" t="s">
        <v>4127</v>
      </c>
      <c r="B256" t="s">
        <v>4127</v>
      </c>
      <c r="C256" t="s">
        <v>1126</v>
      </c>
      <c r="D256" t="s">
        <v>1127</v>
      </c>
      <c r="E256">
        <v>1</v>
      </c>
      <c r="F256" t="s">
        <v>4004</v>
      </c>
      <c r="G256" t="s">
        <v>1129</v>
      </c>
      <c r="H256">
        <v>249</v>
      </c>
      <c r="I256">
        <v>249</v>
      </c>
      <c r="J256">
        <v>0</v>
      </c>
      <c r="K256">
        <v>0</v>
      </c>
      <c r="L256" t="s">
        <v>78</v>
      </c>
      <c r="M256" t="s">
        <v>78</v>
      </c>
      <c r="N256" t="s">
        <v>78</v>
      </c>
      <c r="O256">
        <v>0</v>
      </c>
      <c r="P256">
        <v>0</v>
      </c>
      <c r="Q256">
        <v>0</v>
      </c>
      <c r="R256" t="s">
        <v>125</v>
      </c>
      <c r="S256">
        <v>0</v>
      </c>
      <c r="T256" t="s">
        <v>80</v>
      </c>
      <c r="U256" t="s">
        <v>80</v>
      </c>
      <c r="V256" t="s">
        <v>126</v>
      </c>
      <c r="W256" t="s">
        <v>518</v>
      </c>
      <c r="X256" t="s">
        <v>979</v>
      </c>
      <c r="Y256" t="s">
        <v>1352</v>
      </c>
      <c r="Z256" t="s">
        <v>80</v>
      </c>
      <c r="AA256" t="s">
        <v>85</v>
      </c>
      <c r="AC256" t="s">
        <v>1894</v>
      </c>
      <c r="AD256" t="s">
        <v>87</v>
      </c>
      <c r="AG256" t="s">
        <v>1890</v>
      </c>
      <c r="AH256" t="s">
        <v>227</v>
      </c>
      <c r="AI256" t="s">
        <v>92</v>
      </c>
      <c r="AJ256" t="s">
        <v>131</v>
      </c>
      <c r="AK256" t="s">
        <v>1895</v>
      </c>
      <c r="AL256" t="s">
        <v>95</v>
      </c>
      <c r="AM256" t="s">
        <v>96</v>
      </c>
      <c r="AN256" t="s">
        <v>97</v>
      </c>
      <c r="AO256" t="s">
        <v>98</v>
      </c>
      <c r="AP256" t="s">
        <v>78</v>
      </c>
      <c r="AQ256" t="s">
        <v>99</v>
      </c>
      <c r="AS256" t="s">
        <v>78</v>
      </c>
      <c r="AT256" t="s">
        <v>100</v>
      </c>
      <c r="AU256" t="s">
        <v>100</v>
      </c>
      <c r="AW256" t="s">
        <v>85</v>
      </c>
      <c r="AX256" t="s">
        <v>101</v>
      </c>
      <c r="AY256" t="s">
        <v>102</v>
      </c>
      <c r="AZ256" t="s">
        <v>103</v>
      </c>
      <c r="BA256" t="s">
        <v>104</v>
      </c>
      <c r="BB256" t="s">
        <v>78</v>
      </c>
      <c r="BC256" t="s">
        <v>78</v>
      </c>
      <c r="BE256">
        <v>0</v>
      </c>
      <c r="BF256">
        <v>0</v>
      </c>
      <c r="BG256">
        <v>0</v>
      </c>
      <c r="BH256">
        <v>0</v>
      </c>
      <c r="BJ256" t="s">
        <v>85</v>
      </c>
      <c r="BP256" t="s">
        <v>78</v>
      </c>
      <c r="BQ256" t="s">
        <v>78</v>
      </c>
      <c r="BR256" t="s">
        <v>78</v>
      </c>
    </row>
    <row r="257" customFormat="1" spans="1:70">
      <c r="A257" t="s">
        <v>4128</v>
      </c>
      <c r="B257" t="s">
        <v>4128</v>
      </c>
      <c r="C257" t="s">
        <v>1126</v>
      </c>
      <c r="D257" t="s">
        <v>187</v>
      </c>
      <c r="E257">
        <v>1</v>
      </c>
      <c r="F257" t="s">
        <v>4004</v>
      </c>
      <c r="G257" t="s">
        <v>1205</v>
      </c>
      <c r="H257">
        <v>249</v>
      </c>
      <c r="I257">
        <v>249</v>
      </c>
      <c r="J257">
        <v>0</v>
      </c>
      <c r="K257">
        <v>0</v>
      </c>
      <c r="L257" t="s">
        <v>78</v>
      </c>
      <c r="M257" t="s">
        <v>78</v>
      </c>
      <c r="N257" t="s">
        <v>78</v>
      </c>
      <c r="O257">
        <v>0</v>
      </c>
      <c r="P257">
        <v>0</v>
      </c>
      <c r="Q257">
        <v>0</v>
      </c>
      <c r="R257" t="s">
        <v>111</v>
      </c>
      <c r="S257">
        <v>0</v>
      </c>
      <c r="T257" t="s">
        <v>80</v>
      </c>
      <c r="U257" t="s">
        <v>80</v>
      </c>
      <c r="V257" t="s">
        <v>302</v>
      </c>
      <c r="W257" t="s">
        <v>303</v>
      </c>
      <c r="X257" t="s">
        <v>310</v>
      </c>
      <c r="Y257" t="s">
        <v>311</v>
      </c>
      <c r="Z257" t="s">
        <v>80</v>
      </c>
      <c r="AA257" t="s">
        <v>85</v>
      </c>
      <c r="AC257" t="s">
        <v>1897</v>
      </c>
      <c r="AD257" t="s">
        <v>87</v>
      </c>
      <c r="AG257" t="s">
        <v>1890</v>
      </c>
      <c r="AH257" t="s">
        <v>91</v>
      </c>
      <c r="AI257" t="s">
        <v>92</v>
      </c>
      <c r="AJ257" t="s">
        <v>131</v>
      </c>
      <c r="AK257" t="s">
        <v>1895</v>
      </c>
      <c r="AL257" t="s">
        <v>95</v>
      </c>
      <c r="AM257" t="s">
        <v>96</v>
      </c>
      <c r="AN257" t="s">
        <v>97</v>
      </c>
      <c r="AO257" t="s">
        <v>98</v>
      </c>
      <c r="AP257" t="s">
        <v>78</v>
      </c>
      <c r="AQ257" t="s">
        <v>99</v>
      </c>
      <c r="AS257" t="s">
        <v>78</v>
      </c>
      <c r="AT257" t="s">
        <v>100</v>
      </c>
      <c r="AU257" t="s">
        <v>100</v>
      </c>
      <c r="AW257" t="s">
        <v>85</v>
      </c>
      <c r="AX257" t="s">
        <v>101</v>
      </c>
      <c r="AY257" t="s">
        <v>102</v>
      </c>
      <c r="AZ257" t="s">
        <v>103</v>
      </c>
      <c r="BA257" t="s">
        <v>245</v>
      </c>
      <c r="BB257" t="s">
        <v>78</v>
      </c>
      <c r="BC257" t="s">
        <v>78</v>
      </c>
      <c r="BE257">
        <v>0</v>
      </c>
      <c r="BF257">
        <v>0</v>
      </c>
      <c r="BG257">
        <v>0</v>
      </c>
      <c r="BH257">
        <v>0</v>
      </c>
      <c r="BJ257" t="s">
        <v>85</v>
      </c>
      <c r="BP257" t="s">
        <v>78</v>
      </c>
      <c r="BQ257" t="s">
        <v>78</v>
      </c>
      <c r="BR257" t="s">
        <v>78</v>
      </c>
    </row>
    <row r="258" customFormat="1" spans="1:70">
      <c r="A258" t="s">
        <v>4129</v>
      </c>
      <c r="B258" t="s">
        <v>4129</v>
      </c>
      <c r="C258" t="s">
        <v>1126</v>
      </c>
      <c r="D258" t="s">
        <v>1504</v>
      </c>
      <c r="E258">
        <v>1</v>
      </c>
      <c r="F258" t="s">
        <v>4004</v>
      </c>
      <c r="G258" t="s">
        <v>1505</v>
      </c>
      <c r="H258">
        <v>249</v>
      </c>
      <c r="I258">
        <v>249</v>
      </c>
      <c r="J258">
        <v>0</v>
      </c>
      <c r="K258">
        <v>0</v>
      </c>
      <c r="L258" t="s">
        <v>78</v>
      </c>
      <c r="M258" t="s">
        <v>78</v>
      </c>
      <c r="N258" t="s">
        <v>78</v>
      </c>
      <c r="O258">
        <v>0</v>
      </c>
      <c r="P258">
        <v>0</v>
      </c>
      <c r="Q258">
        <v>0</v>
      </c>
      <c r="R258" t="s">
        <v>125</v>
      </c>
      <c r="S258">
        <v>0</v>
      </c>
      <c r="T258" t="s">
        <v>80</v>
      </c>
      <c r="U258" t="s">
        <v>80</v>
      </c>
      <c r="V258" t="s">
        <v>161</v>
      </c>
      <c r="W258" t="s">
        <v>161</v>
      </c>
      <c r="X258" t="s">
        <v>1899</v>
      </c>
      <c r="Y258" t="s">
        <v>1900</v>
      </c>
      <c r="Z258" t="s">
        <v>80</v>
      </c>
      <c r="AA258" t="s">
        <v>85</v>
      </c>
      <c r="AC258" t="s">
        <v>1901</v>
      </c>
      <c r="AD258" t="s">
        <v>202</v>
      </c>
      <c r="AE258" t="s">
        <v>1902</v>
      </c>
      <c r="AG258" t="s">
        <v>1903</v>
      </c>
      <c r="AH258" t="s">
        <v>91</v>
      </c>
      <c r="AI258" t="s">
        <v>92</v>
      </c>
      <c r="AJ258" t="s">
        <v>131</v>
      </c>
      <c r="AK258" t="s">
        <v>1904</v>
      </c>
      <c r="AL258" t="s">
        <v>95</v>
      </c>
      <c r="AM258" t="s">
        <v>96</v>
      </c>
      <c r="AN258" t="s">
        <v>97</v>
      </c>
      <c r="AO258" t="s">
        <v>98</v>
      </c>
      <c r="AP258" t="s">
        <v>78</v>
      </c>
      <c r="AQ258" t="s">
        <v>99</v>
      </c>
      <c r="AS258" t="s">
        <v>78</v>
      </c>
      <c r="AT258" t="s">
        <v>100</v>
      </c>
      <c r="AU258" t="s">
        <v>100</v>
      </c>
      <c r="AW258" t="s">
        <v>85</v>
      </c>
      <c r="AX258" t="s">
        <v>101</v>
      </c>
      <c r="AY258" t="s">
        <v>102</v>
      </c>
      <c r="AZ258" t="s">
        <v>103</v>
      </c>
      <c r="BA258" t="s">
        <v>133</v>
      </c>
      <c r="BB258" t="s">
        <v>78</v>
      </c>
      <c r="BC258" t="s">
        <v>78</v>
      </c>
      <c r="BD258" t="s">
        <v>1905</v>
      </c>
      <c r="BE258">
        <v>0</v>
      </c>
      <c r="BF258">
        <v>0</v>
      </c>
      <c r="BG258">
        <v>0</v>
      </c>
      <c r="BH258">
        <v>0</v>
      </c>
      <c r="BJ258" t="s">
        <v>85</v>
      </c>
      <c r="BP258" t="s">
        <v>78</v>
      </c>
      <c r="BQ258" t="s">
        <v>78</v>
      </c>
      <c r="BR258" t="s">
        <v>78</v>
      </c>
    </row>
    <row r="259" customFormat="1" spans="1:70">
      <c r="A259" t="s">
        <v>4130</v>
      </c>
      <c r="B259" t="s">
        <v>4130</v>
      </c>
      <c r="C259" t="s">
        <v>1126</v>
      </c>
      <c r="D259" t="s">
        <v>187</v>
      </c>
      <c r="E259">
        <v>1</v>
      </c>
      <c r="F259" t="s">
        <v>4004</v>
      </c>
      <c r="G259" t="s">
        <v>1205</v>
      </c>
      <c r="H259">
        <v>249</v>
      </c>
      <c r="I259">
        <v>249</v>
      </c>
      <c r="J259">
        <v>0</v>
      </c>
      <c r="K259">
        <v>0</v>
      </c>
      <c r="L259" t="s">
        <v>78</v>
      </c>
      <c r="M259" t="s">
        <v>78</v>
      </c>
      <c r="N259" t="s">
        <v>78</v>
      </c>
      <c r="O259">
        <v>0</v>
      </c>
      <c r="P259">
        <v>0</v>
      </c>
      <c r="Q259">
        <v>0</v>
      </c>
      <c r="R259" t="s">
        <v>111</v>
      </c>
      <c r="S259">
        <v>0</v>
      </c>
      <c r="T259" t="s">
        <v>80</v>
      </c>
      <c r="U259" t="s">
        <v>80</v>
      </c>
      <c r="V259" t="s">
        <v>161</v>
      </c>
      <c r="W259" t="s">
        <v>161</v>
      </c>
      <c r="X259" t="s">
        <v>1243</v>
      </c>
      <c r="Y259" t="s">
        <v>1580</v>
      </c>
      <c r="Z259" t="s">
        <v>80</v>
      </c>
      <c r="AA259" t="s">
        <v>85</v>
      </c>
      <c r="AC259" t="s">
        <v>1907</v>
      </c>
      <c r="AD259" t="s">
        <v>87</v>
      </c>
      <c r="AG259" t="s">
        <v>1908</v>
      </c>
      <c r="AH259" t="s">
        <v>91</v>
      </c>
      <c r="AI259" t="s">
        <v>92</v>
      </c>
      <c r="AJ259" t="s">
        <v>131</v>
      </c>
      <c r="AK259" t="s">
        <v>1909</v>
      </c>
      <c r="AL259" t="s">
        <v>95</v>
      </c>
      <c r="AM259" t="s">
        <v>96</v>
      </c>
      <c r="AN259" t="s">
        <v>97</v>
      </c>
      <c r="AO259" t="s">
        <v>98</v>
      </c>
      <c r="AP259" t="s">
        <v>78</v>
      </c>
      <c r="AQ259" t="s">
        <v>99</v>
      </c>
      <c r="AS259" t="s">
        <v>78</v>
      </c>
      <c r="AT259" t="s">
        <v>100</v>
      </c>
      <c r="AU259" t="s">
        <v>100</v>
      </c>
      <c r="AW259" t="s">
        <v>85</v>
      </c>
      <c r="AX259" t="s">
        <v>101</v>
      </c>
      <c r="AY259" t="s">
        <v>102</v>
      </c>
      <c r="AZ259" t="s">
        <v>103</v>
      </c>
      <c r="BA259" t="s">
        <v>133</v>
      </c>
      <c r="BB259" t="s">
        <v>78</v>
      </c>
      <c r="BC259" t="s">
        <v>78</v>
      </c>
      <c r="BE259">
        <v>0</v>
      </c>
      <c r="BF259">
        <v>0</v>
      </c>
      <c r="BG259">
        <v>0</v>
      </c>
      <c r="BH259">
        <v>0</v>
      </c>
      <c r="BJ259" t="s">
        <v>85</v>
      </c>
      <c r="BP259" t="s">
        <v>78</v>
      </c>
      <c r="BQ259" t="s">
        <v>78</v>
      </c>
      <c r="BR259" t="s">
        <v>78</v>
      </c>
    </row>
    <row r="260" customFormat="1" spans="1:70">
      <c r="A260" t="s">
        <v>4131</v>
      </c>
      <c r="B260" t="s">
        <v>4131</v>
      </c>
      <c r="C260" t="s">
        <v>1126</v>
      </c>
      <c r="D260" t="s">
        <v>1127</v>
      </c>
      <c r="E260">
        <v>1</v>
      </c>
      <c r="F260" t="s">
        <v>4004</v>
      </c>
      <c r="G260" t="s">
        <v>1129</v>
      </c>
      <c r="H260">
        <v>249</v>
      </c>
      <c r="I260">
        <v>249</v>
      </c>
      <c r="J260">
        <v>0</v>
      </c>
      <c r="K260">
        <v>0</v>
      </c>
      <c r="L260" t="s">
        <v>78</v>
      </c>
      <c r="M260" t="s">
        <v>78</v>
      </c>
      <c r="N260" t="s">
        <v>78</v>
      </c>
      <c r="O260">
        <v>0</v>
      </c>
      <c r="P260">
        <v>0</v>
      </c>
      <c r="Q260">
        <v>0</v>
      </c>
      <c r="R260" t="s">
        <v>79</v>
      </c>
      <c r="S260">
        <v>0</v>
      </c>
      <c r="T260" t="s">
        <v>80</v>
      </c>
      <c r="U260" t="s">
        <v>80</v>
      </c>
      <c r="V260" t="s">
        <v>676</v>
      </c>
      <c r="W260" t="s">
        <v>1911</v>
      </c>
      <c r="X260" t="s">
        <v>1912</v>
      </c>
      <c r="Y260" t="s">
        <v>1913</v>
      </c>
      <c r="Z260" t="s">
        <v>80</v>
      </c>
      <c r="AA260" t="s">
        <v>85</v>
      </c>
      <c r="AC260" t="s">
        <v>1914</v>
      </c>
      <c r="AD260" t="s">
        <v>87</v>
      </c>
      <c r="AF260" t="s">
        <v>1915</v>
      </c>
      <c r="AG260" t="s">
        <v>1916</v>
      </c>
      <c r="AH260" t="s">
        <v>91</v>
      </c>
      <c r="AI260" t="s">
        <v>92</v>
      </c>
      <c r="AJ260" t="s">
        <v>93</v>
      </c>
      <c r="AK260" t="s">
        <v>1917</v>
      </c>
      <c r="AL260" t="s">
        <v>95</v>
      </c>
      <c r="AM260" t="s">
        <v>96</v>
      </c>
      <c r="AN260" t="s">
        <v>97</v>
      </c>
      <c r="AO260" t="s">
        <v>98</v>
      </c>
      <c r="AP260" t="s">
        <v>78</v>
      </c>
      <c r="AQ260" t="s">
        <v>78</v>
      </c>
      <c r="AS260" t="s">
        <v>78</v>
      </c>
      <c r="AT260" t="s">
        <v>100</v>
      </c>
      <c r="AU260" t="s">
        <v>100</v>
      </c>
      <c r="AW260" t="s">
        <v>85</v>
      </c>
      <c r="AX260" t="s">
        <v>103</v>
      </c>
      <c r="AY260" t="s">
        <v>159</v>
      </c>
      <c r="AZ260" t="s">
        <v>103</v>
      </c>
      <c r="BA260" t="s">
        <v>218</v>
      </c>
      <c r="BB260" t="s">
        <v>78</v>
      </c>
      <c r="BC260" t="s">
        <v>78</v>
      </c>
      <c r="BD260" t="s">
        <v>1918</v>
      </c>
      <c r="BE260">
        <v>0</v>
      </c>
      <c r="BF260">
        <v>0</v>
      </c>
      <c r="BG260">
        <v>0</v>
      </c>
      <c r="BH260">
        <v>0</v>
      </c>
      <c r="BJ260" t="s">
        <v>85</v>
      </c>
      <c r="BP260" t="s">
        <v>78</v>
      </c>
      <c r="BQ260" t="s">
        <v>78</v>
      </c>
      <c r="BR260" t="s">
        <v>78</v>
      </c>
    </row>
    <row r="261" customFormat="1" spans="1:70">
      <c r="A261" t="s">
        <v>4132</v>
      </c>
      <c r="B261" t="s">
        <v>4132</v>
      </c>
      <c r="C261" t="s">
        <v>1126</v>
      </c>
      <c r="D261" t="s">
        <v>1127</v>
      </c>
      <c r="E261">
        <v>1</v>
      </c>
      <c r="F261" t="s">
        <v>4004</v>
      </c>
      <c r="G261" t="s">
        <v>1129</v>
      </c>
      <c r="H261">
        <v>249</v>
      </c>
      <c r="I261">
        <v>249</v>
      </c>
      <c r="J261">
        <v>0</v>
      </c>
      <c r="K261">
        <v>0</v>
      </c>
      <c r="L261" t="s">
        <v>78</v>
      </c>
      <c r="M261" t="s">
        <v>78</v>
      </c>
      <c r="N261" t="s">
        <v>78</v>
      </c>
      <c r="O261">
        <v>0</v>
      </c>
      <c r="P261">
        <v>0</v>
      </c>
      <c r="Q261">
        <v>0</v>
      </c>
      <c r="R261" t="s">
        <v>125</v>
      </c>
      <c r="S261">
        <v>0</v>
      </c>
      <c r="T261" t="s">
        <v>80</v>
      </c>
      <c r="U261" t="s">
        <v>80</v>
      </c>
      <c r="V261" t="s">
        <v>152</v>
      </c>
      <c r="W261" t="s">
        <v>1920</v>
      </c>
      <c r="X261" t="s">
        <v>1921</v>
      </c>
      <c r="Y261" t="s">
        <v>1922</v>
      </c>
      <c r="Z261" t="s">
        <v>80</v>
      </c>
      <c r="AA261" t="s">
        <v>85</v>
      </c>
      <c r="AC261" t="s">
        <v>1923</v>
      </c>
      <c r="AD261" t="s">
        <v>87</v>
      </c>
      <c r="AG261" t="s">
        <v>1924</v>
      </c>
      <c r="AH261" t="s">
        <v>91</v>
      </c>
      <c r="AI261" t="s">
        <v>92</v>
      </c>
      <c r="AJ261" t="s">
        <v>131</v>
      </c>
      <c r="AK261" t="s">
        <v>1925</v>
      </c>
      <c r="AL261" t="s">
        <v>95</v>
      </c>
      <c r="AM261" t="s">
        <v>96</v>
      </c>
      <c r="AN261" t="s">
        <v>97</v>
      </c>
      <c r="AO261" t="s">
        <v>98</v>
      </c>
      <c r="AP261" t="s">
        <v>78</v>
      </c>
      <c r="AQ261" t="s">
        <v>99</v>
      </c>
      <c r="AS261" t="s">
        <v>78</v>
      </c>
      <c r="AT261" t="s">
        <v>100</v>
      </c>
      <c r="AU261" t="s">
        <v>100</v>
      </c>
      <c r="AW261" t="s">
        <v>85</v>
      </c>
      <c r="AX261" t="s">
        <v>101</v>
      </c>
      <c r="AY261" t="s">
        <v>102</v>
      </c>
      <c r="AZ261" t="s">
        <v>103</v>
      </c>
      <c r="BA261" t="s">
        <v>120</v>
      </c>
      <c r="BB261" t="s">
        <v>78</v>
      </c>
      <c r="BC261" t="s">
        <v>78</v>
      </c>
      <c r="BE261">
        <v>0</v>
      </c>
      <c r="BF261">
        <v>0</v>
      </c>
      <c r="BG261">
        <v>0</v>
      </c>
      <c r="BH261">
        <v>0</v>
      </c>
      <c r="BJ261" t="s">
        <v>85</v>
      </c>
      <c r="BP261" t="s">
        <v>78</v>
      </c>
      <c r="BQ261" t="s">
        <v>78</v>
      </c>
      <c r="BR261" t="s">
        <v>78</v>
      </c>
    </row>
    <row r="262" customFormat="1" spans="1:70">
      <c r="A262" t="s">
        <v>4133</v>
      </c>
      <c r="B262" t="s">
        <v>4133</v>
      </c>
      <c r="C262" t="s">
        <v>1126</v>
      </c>
      <c r="D262" t="s">
        <v>1504</v>
      </c>
      <c r="E262">
        <v>1</v>
      </c>
      <c r="F262" t="s">
        <v>4004</v>
      </c>
      <c r="G262" t="s">
        <v>1505</v>
      </c>
      <c r="H262">
        <v>249</v>
      </c>
      <c r="I262">
        <v>249</v>
      </c>
      <c r="J262">
        <v>0</v>
      </c>
      <c r="K262">
        <v>0</v>
      </c>
      <c r="L262" t="s">
        <v>78</v>
      </c>
      <c r="M262" t="s">
        <v>78</v>
      </c>
      <c r="N262" t="s">
        <v>78</v>
      </c>
      <c r="O262">
        <v>0</v>
      </c>
      <c r="P262">
        <v>0</v>
      </c>
      <c r="Q262">
        <v>0</v>
      </c>
      <c r="R262" t="s">
        <v>125</v>
      </c>
      <c r="S262">
        <v>0</v>
      </c>
      <c r="T262" t="s">
        <v>80</v>
      </c>
      <c r="U262" t="s">
        <v>80</v>
      </c>
      <c r="V262" t="s">
        <v>887</v>
      </c>
      <c r="W262" t="s">
        <v>1927</v>
      </c>
      <c r="X262" t="s">
        <v>1928</v>
      </c>
      <c r="Y262" t="s">
        <v>1929</v>
      </c>
      <c r="Z262" t="s">
        <v>80</v>
      </c>
      <c r="AA262" t="s">
        <v>85</v>
      </c>
      <c r="AC262" t="s">
        <v>1930</v>
      </c>
      <c r="AD262" t="s">
        <v>87</v>
      </c>
      <c r="AF262" t="s">
        <v>1931</v>
      </c>
      <c r="AG262" t="s">
        <v>1932</v>
      </c>
      <c r="AH262" t="s">
        <v>91</v>
      </c>
      <c r="AI262" t="s">
        <v>92</v>
      </c>
      <c r="AJ262" t="s">
        <v>93</v>
      </c>
      <c r="AK262" t="s">
        <v>1933</v>
      </c>
      <c r="AL262" t="s">
        <v>95</v>
      </c>
      <c r="AM262" t="s">
        <v>96</v>
      </c>
      <c r="AN262" t="s">
        <v>97</v>
      </c>
      <c r="AO262" t="s">
        <v>98</v>
      </c>
      <c r="AP262" t="s">
        <v>78</v>
      </c>
      <c r="AQ262" t="s">
        <v>78</v>
      </c>
      <c r="AS262" t="s">
        <v>78</v>
      </c>
      <c r="AT262" t="s">
        <v>100</v>
      </c>
      <c r="AU262" t="s">
        <v>100</v>
      </c>
      <c r="AW262" t="s">
        <v>85</v>
      </c>
      <c r="AX262" t="s">
        <v>101</v>
      </c>
      <c r="AY262" t="s">
        <v>102</v>
      </c>
      <c r="AZ262" t="s">
        <v>103</v>
      </c>
      <c r="BA262" t="s">
        <v>120</v>
      </c>
      <c r="BB262" t="s">
        <v>78</v>
      </c>
      <c r="BC262" t="s">
        <v>78</v>
      </c>
      <c r="BD262" t="s">
        <v>1905</v>
      </c>
      <c r="BE262">
        <v>0</v>
      </c>
      <c r="BF262">
        <v>0</v>
      </c>
      <c r="BG262">
        <v>0</v>
      </c>
      <c r="BH262">
        <v>0</v>
      </c>
      <c r="BJ262" t="s">
        <v>85</v>
      </c>
      <c r="BP262" t="s">
        <v>78</v>
      </c>
      <c r="BQ262" t="s">
        <v>78</v>
      </c>
      <c r="BR262" t="s">
        <v>78</v>
      </c>
    </row>
    <row r="263" customFormat="1" spans="1:70">
      <c r="A263" t="s">
        <v>4134</v>
      </c>
      <c r="B263" t="s">
        <v>4134</v>
      </c>
      <c r="C263" t="s">
        <v>1126</v>
      </c>
      <c r="D263" t="s">
        <v>1127</v>
      </c>
      <c r="E263">
        <v>1</v>
      </c>
      <c r="F263" t="s">
        <v>4004</v>
      </c>
      <c r="G263" t="s">
        <v>1129</v>
      </c>
      <c r="H263">
        <v>249</v>
      </c>
      <c r="I263">
        <v>249</v>
      </c>
      <c r="J263">
        <v>0</v>
      </c>
      <c r="K263">
        <v>0</v>
      </c>
      <c r="L263" t="s">
        <v>78</v>
      </c>
      <c r="M263" t="s">
        <v>78</v>
      </c>
      <c r="N263" t="s">
        <v>78</v>
      </c>
      <c r="O263">
        <v>0</v>
      </c>
      <c r="P263">
        <v>0</v>
      </c>
      <c r="Q263">
        <v>0</v>
      </c>
      <c r="R263" t="s">
        <v>79</v>
      </c>
      <c r="S263">
        <v>0</v>
      </c>
      <c r="T263" t="s">
        <v>80</v>
      </c>
      <c r="U263" t="s">
        <v>80</v>
      </c>
      <c r="V263" t="s">
        <v>302</v>
      </c>
      <c r="W263" t="s">
        <v>1834</v>
      </c>
      <c r="X263" t="s">
        <v>1935</v>
      </c>
      <c r="Y263" t="s">
        <v>1936</v>
      </c>
      <c r="Z263" t="s">
        <v>80</v>
      </c>
      <c r="AA263" t="s">
        <v>85</v>
      </c>
      <c r="AC263" t="s">
        <v>1937</v>
      </c>
      <c r="AD263" t="s">
        <v>87</v>
      </c>
      <c r="AF263" t="s">
        <v>1938</v>
      </c>
      <c r="AG263" t="s">
        <v>1939</v>
      </c>
      <c r="AH263" t="s">
        <v>227</v>
      </c>
      <c r="AI263" t="s">
        <v>92</v>
      </c>
      <c r="AJ263" t="s">
        <v>93</v>
      </c>
      <c r="AK263" t="s">
        <v>1940</v>
      </c>
      <c r="AL263" t="s">
        <v>95</v>
      </c>
      <c r="AM263" t="s">
        <v>96</v>
      </c>
      <c r="AN263" t="s">
        <v>97</v>
      </c>
      <c r="AO263" t="s">
        <v>98</v>
      </c>
      <c r="AP263" t="s">
        <v>78</v>
      </c>
      <c r="AQ263" t="s">
        <v>78</v>
      </c>
      <c r="AS263" t="s">
        <v>78</v>
      </c>
      <c r="AT263" t="s">
        <v>100</v>
      </c>
      <c r="AU263" t="s">
        <v>100</v>
      </c>
      <c r="AW263" t="s">
        <v>85</v>
      </c>
      <c r="AX263" t="s">
        <v>101</v>
      </c>
      <c r="AY263" t="s">
        <v>102</v>
      </c>
      <c r="AZ263" t="s">
        <v>103</v>
      </c>
      <c r="BA263" t="s">
        <v>245</v>
      </c>
      <c r="BB263" t="s">
        <v>78</v>
      </c>
      <c r="BC263" t="s">
        <v>78</v>
      </c>
      <c r="BD263" t="s">
        <v>1941</v>
      </c>
      <c r="BE263">
        <v>0</v>
      </c>
      <c r="BF263">
        <v>0</v>
      </c>
      <c r="BG263">
        <v>0</v>
      </c>
      <c r="BH263">
        <v>0</v>
      </c>
      <c r="BJ263" t="s">
        <v>85</v>
      </c>
      <c r="BP263" t="s">
        <v>78</v>
      </c>
      <c r="BQ263" t="s">
        <v>78</v>
      </c>
      <c r="BR263" t="s">
        <v>78</v>
      </c>
    </row>
    <row r="264" customFormat="1" spans="1:70">
      <c r="A264" t="s">
        <v>4135</v>
      </c>
      <c r="B264" t="s">
        <v>4135</v>
      </c>
      <c r="C264" t="s">
        <v>1126</v>
      </c>
      <c r="D264" t="s">
        <v>187</v>
      </c>
      <c r="E264">
        <v>1</v>
      </c>
      <c r="F264" t="s">
        <v>4004</v>
      </c>
      <c r="G264" t="s">
        <v>1205</v>
      </c>
      <c r="H264">
        <v>249</v>
      </c>
      <c r="I264">
        <v>249</v>
      </c>
      <c r="J264">
        <v>0</v>
      </c>
      <c r="K264">
        <v>0</v>
      </c>
      <c r="L264" t="s">
        <v>78</v>
      </c>
      <c r="M264" t="s">
        <v>78</v>
      </c>
      <c r="N264" t="s">
        <v>78</v>
      </c>
      <c r="O264">
        <v>0</v>
      </c>
      <c r="P264">
        <v>0</v>
      </c>
      <c r="Q264">
        <v>0</v>
      </c>
      <c r="R264" t="s">
        <v>79</v>
      </c>
      <c r="S264">
        <v>0</v>
      </c>
      <c r="T264" t="s">
        <v>80</v>
      </c>
      <c r="U264" t="s">
        <v>80</v>
      </c>
      <c r="V264" t="s">
        <v>509</v>
      </c>
      <c r="W264" t="s">
        <v>623</v>
      </c>
      <c r="X264" t="s">
        <v>1943</v>
      </c>
      <c r="Y264" t="s">
        <v>1944</v>
      </c>
      <c r="Z264" t="s">
        <v>80</v>
      </c>
      <c r="AA264" t="s">
        <v>85</v>
      </c>
      <c r="AC264" t="s">
        <v>1945</v>
      </c>
      <c r="AD264" t="s">
        <v>87</v>
      </c>
      <c r="AG264" t="s">
        <v>1946</v>
      </c>
      <c r="AH264" t="s">
        <v>91</v>
      </c>
      <c r="AI264" t="s">
        <v>92</v>
      </c>
      <c r="AJ264" t="s">
        <v>131</v>
      </c>
      <c r="AK264" t="s">
        <v>1947</v>
      </c>
      <c r="AL264" t="s">
        <v>95</v>
      </c>
      <c r="AM264" t="s">
        <v>96</v>
      </c>
      <c r="AN264" t="s">
        <v>97</v>
      </c>
      <c r="AO264" t="s">
        <v>98</v>
      </c>
      <c r="AP264" t="s">
        <v>78</v>
      </c>
      <c r="AQ264" t="s">
        <v>99</v>
      </c>
      <c r="AS264" t="s">
        <v>78</v>
      </c>
      <c r="AT264" t="s">
        <v>100</v>
      </c>
      <c r="AU264" t="s">
        <v>100</v>
      </c>
      <c r="AW264" t="s">
        <v>85</v>
      </c>
      <c r="AX264" t="s">
        <v>101</v>
      </c>
      <c r="AY264" t="s">
        <v>102</v>
      </c>
      <c r="AZ264" t="s">
        <v>103</v>
      </c>
      <c r="BA264" t="s">
        <v>104</v>
      </c>
      <c r="BB264" t="s">
        <v>78</v>
      </c>
      <c r="BC264" t="s">
        <v>78</v>
      </c>
      <c r="BE264">
        <v>0</v>
      </c>
      <c r="BF264">
        <v>0</v>
      </c>
      <c r="BG264">
        <v>0</v>
      </c>
      <c r="BH264">
        <v>0</v>
      </c>
      <c r="BJ264" t="s">
        <v>85</v>
      </c>
      <c r="BP264" t="s">
        <v>78</v>
      </c>
      <c r="BQ264" t="s">
        <v>78</v>
      </c>
      <c r="BR264" t="s">
        <v>78</v>
      </c>
    </row>
    <row r="265" customFormat="1" spans="1:70">
      <c r="A265" t="s">
        <v>4136</v>
      </c>
      <c r="B265" t="s">
        <v>4136</v>
      </c>
      <c r="C265" t="s">
        <v>107</v>
      </c>
      <c r="D265" t="s">
        <v>135</v>
      </c>
      <c r="E265">
        <v>2</v>
      </c>
      <c r="F265" t="s">
        <v>3857</v>
      </c>
      <c r="G265" t="s">
        <v>136</v>
      </c>
      <c r="H265">
        <v>289</v>
      </c>
      <c r="I265">
        <v>578</v>
      </c>
      <c r="J265">
        <v>0</v>
      </c>
      <c r="K265">
        <v>0</v>
      </c>
      <c r="L265" t="s">
        <v>78</v>
      </c>
      <c r="M265" t="s">
        <v>78</v>
      </c>
      <c r="N265" t="s">
        <v>78</v>
      </c>
      <c r="O265">
        <v>0</v>
      </c>
      <c r="P265">
        <v>0</v>
      </c>
      <c r="Q265">
        <v>0</v>
      </c>
      <c r="R265" t="s">
        <v>125</v>
      </c>
      <c r="S265">
        <v>0</v>
      </c>
      <c r="T265" t="s">
        <v>80</v>
      </c>
      <c r="U265" t="s">
        <v>80</v>
      </c>
      <c r="V265" t="s">
        <v>126</v>
      </c>
      <c r="W265" t="s">
        <v>377</v>
      </c>
      <c r="X265" t="s">
        <v>378</v>
      </c>
      <c r="Y265" t="s">
        <v>1027</v>
      </c>
      <c r="Z265" t="s">
        <v>80</v>
      </c>
      <c r="AA265" t="s">
        <v>85</v>
      </c>
      <c r="AC265" t="s">
        <v>1949</v>
      </c>
      <c r="AD265" t="s">
        <v>87</v>
      </c>
      <c r="AG265" t="s">
        <v>1950</v>
      </c>
      <c r="AH265" t="s">
        <v>91</v>
      </c>
      <c r="AI265" t="s">
        <v>92</v>
      </c>
      <c r="AJ265" t="s">
        <v>131</v>
      </c>
      <c r="AK265" t="s">
        <v>1951</v>
      </c>
      <c r="AL265" t="s">
        <v>95</v>
      </c>
      <c r="AM265" t="s">
        <v>96</v>
      </c>
      <c r="AN265" t="s">
        <v>97</v>
      </c>
      <c r="AO265" t="s">
        <v>98</v>
      </c>
      <c r="AP265" t="s">
        <v>78</v>
      </c>
      <c r="AQ265" t="s">
        <v>99</v>
      </c>
      <c r="AS265" t="s">
        <v>78</v>
      </c>
      <c r="AT265" t="s">
        <v>100</v>
      </c>
      <c r="AU265" t="s">
        <v>100</v>
      </c>
      <c r="AW265" t="s">
        <v>85</v>
      </c>
      <c r="AX265" t="s">
        <v>101</v>
      </c>
      <c r="AY265" t="s">
        <v>102</v>
      </c>
      <c r="AZ265" t="s">
        <v>103</v>
      </c>
      <c r="BA265" t="s">
        <v>133</v>
      </c>
      <c r="BB265" t="s">
        <v>78</v>
      </c>
      <c r="BC265" t="s">
        <v>78</v>
      </c>
      <c r="BE265">
        <v>0</v>
      </c>
      <c r="BF265">
        <v>0</v>
      </c>
      <c r="BG265">
        <v>0</v>
      </c>
      <c r="BH265">
        <v>0</v>
      </c>
      <c r="BJ265" t="s">
        <v>85</v>
      </c>
      <c r="BP265" t="s">
        <v>78</v>
      </c>
      <c r="BQ265" t="s">
        <v>78</v>
      </c>
      <c r="BR265" t="s">
        <v>78</v>
      </c>
    </row>
    <row r="266" customFormat="1" spans="1:70">
      <c r="A266" t="s">
        <v>4137</v>
      </c>
      <c r="B266" t="s">
        <v>4137</v>
      </c>
      <c r="C266" t="s">
        <v>107</v>
      </c>
      <c r="D266" t="s">
        <v>123</v>
      </c>
      <c r="E266">
        <v>1</v>
      </c>
      <c r="F266" t="s">
        <v>3857</v>
      </c>
      <c r="G266" t="s">
        <v>124</v>
      </c>
      <c r="H266">
        <v>289</v>
      </c>
      <c r="I266">
        <v>289</v>
      </c>
      <c r="J266">
        <v>0</v>
      </c>
      <c r="K266">
        <v>0</v>
      </c>
      <c r="L266" t="s">
        <v>78</v>
      </c>
      <c r="M266" t="s">
        <v>78</v>
      </c>
      <c r="N266" t="s">
        <v>78</v>
      </c>
      <c r="O266">
        <v>0</v>
      </c>
      <c r="P266">
        <v>0</v>
      </c>
      <c r="Q266">
        <v>0</v>
      </c>
      <c r="R266" t="s">
        <v>79</v>
      </c>
      <c r="S266">
        <v>0</v>
      </c>
      <c r="T266" t="s">
        <v>80</v>
      </c>
      <c r="U266" t="s">
        <v>80</v>
      </c>
      <c r="V266" t="s">
        <v>112</v>
      </c>
      <c r="W266" t="s">
        <v>198</v>
      </c>
      <c r="X266" t="s">
        <v>199</v>
      </c>
      <c r="Y266" t="s">
        <v>200</v>
      </c>
      <c r="Z266" t="s">
        <v>80</v>
      </c>
      <c r="AA266" t="s">
        <v>85</v>
      </c>
      <c r="AC266" t="s">
        <v>1953</v>
      </c>
      <c r="AD266" t="s">
        <v>87</v>
      </c>
      <c r="AG266" t="s">
        <v>1954</v>
      </c>
      <c r="AH266" t="s">
        <v>91</v>
      </c>
      <c r="AI266" t="s">
        <v>92</v>
      </c>
      <c r="AJ266" t="s">
        <v>131</v>
      </c>
      <c r="AK266" t="s">
        <v>1955</v>
      </c>
      <c r="AL266" t="s">
        <v>95</v>
      </c>
      <c r="AM266" t="s">
        <v>96</v>
      </c>
      <c r="AN266" t="s">
        <v>97</v>
      </c>
      <c r="AO266" t="s">
        <v>98</v>
      </c>
      <c r="AP266" t="s">
        <v>78</v>
      </c>
      <c r="AQ266" t="s">
        <v>99</v>
      </c>
      <c r="AS266" t="s">
        <v>78</v>
      </c>
      <c r="AT266" t="s">
        <v>100</v>
      </c>
      <c r="AU266" t="s">
        <v>100</v>
      </c>
      <c r="AW266" t="s">
        <v>85</v>
      </c>
      <c r="AX266" t="s">
        <v>103</v>
      </c>
      <c r="AY266" t="s">
        <v>159</v>
      </c>
      <c r="AZ266" t="s">
        <v>103</v>
      </c>
      <c r="BA266" t="s">
        <v>133</v>
      </c>
      <c r="BB266" t="s">
        <v>78</v>
      </c>
      <c r="BC266" t="s">
        <v>78</v>
      </c>
      <c r="BE266">
        <v>0</v>
      </c>
      <c r="BF266">
        <v>0</v>
      </c>
      <c r="BG266">
        <v>0</v>
      </c>
      <c r="BH266">
        <v>0</v>
      </c>
      <c r="BJ266" t="s">
        <v>85</v>
      </c>
      <c r="BP266" t="s">
        <v>78</v>
      </c>
      <c r="BQ266" t="s">
        <v>78</v>
      </c>
      <c r="BR266" t="s">
        <v>78</v>
      </c>
    </row>
    <row r="267" customFormat="1" spans="1:70">
      <c r="A267" t="s">
        <v>4138</v>
      </c>
      <c r="B267" t="s">
        <v>4138</v>
      </c>
      <c r="C267" t="s">
        <v>107</v>
      </c>
      <c r="D267" t="s">
        <v>135</v>
      </c>
      <c r="E267">
        <v>1</v>
      </c>
      <c r="F267" t="s">
        <v>3857</v>
      </c>
      <c r="G267" t="s">
        <v>136</v>
      </c>
      <c r="H267">
        <v>289</v>
      </c>
      <c r="I267">
        <v>289</v>
      </c>
      <c r="J267">
        <v>0</v>
      </c>
      <c r="K267">
        <v>0</v>
      </c>
      <c r="L267" t="s">
        <v>78</v>
      </c>
      <c r="M267" t="s">
        <v>78</v>
      </c>
      <c r="N267" t="s">
        <v>78</v>
      </c>
      <c r="O267">
        <v>0</v>
      </c>
      <c r="P267">
        <v>0</v>
      </c>
      <c r="Q267">
        <v>0</v>
      </c>
      <c r="R267" t="s">
        <v>125</v>
      </c>
      <c r="S267">
        <v>0</v>
      </c>
      <c r="T267" t="s">
        <v>80</v>
      </c>
      <c r="U267" t="s">
        <v>80</v>
      </c>
      <c r="V267" t="s">
        <v>126</v>
      </c>
      <c r="W267" t="s">
        <v>377</v>
      </c>
      <c r="X267" t="s">
        <v>378</v>
      </c>
      <c r="Y267" t="s">
        <v>1027</v>
      </c>
      <c r="Z267" t="s">
        <v>80</v>
      </c>
      <c r="AA267" t="s">
        <v>85</v>
      </c>
      <c r="AC267" t="s">
        <v>1957</v>
      </c>
      <c r="AD267" t="s">
        <v>87</v>
      </c>
      <c r="AH267" t="s">
        <v>91</v>
      </c>
      <c r="AI267" t="s">
        <v>92</v>
      </c>
      <c r="AJ267" t="s">
        <v>131</v>
      </c>
      <c r="AK267" t="s">
        <v>1958</v>
      </c>
      <c r="AL267" t="s">
        <v>95</v>
      </c>
      <c r="AM267" t="s">
        <v>96</v>
      </c>
      <c r="AN267" t="s">
        <v>97</v>
      </c>
      <c r="AO267" t="s">
        <v>98</v>
      </c>
      <c r="AP267" t="s">
        <v>78</v>
      </c>
      <c r="AQ267" t="s">
        <v>78</v>
      </c>
      <c r="AR267" t="s">
        <v>1959</v>
      </c>
      <c r="AS267" t="s">
        <v>78</v>
      </c>
      <c r="AT267" t="s">
        <v>100</v>
      </c>
      <c r="AU267" t="s">
        <v>100</v>
      </c>
      <c r="AW267" t="s">
        <v>85</v>
      </c>
      <c r="AX267" t="s">
        <v>101</v>
      </c>
      <c r="AY267" t="s">
        <v>102</v>
      </c>
      <c r="AZ267" t="s">
        <v>103</v>
      </c>
      <c r="BA267" t="s">
        <v>133</v>
      </c>
      <c r="BB267" t="s">
        <v>78</v>
      </c>
      <c r="BC267" t="s">
        <v>78</v>
      </c>
      <c r="BE267">
        <v>0</v>
      </c>
      <c r="BF267">
        <v>0</v>
      </c>
      <c r="BG267">
        <v>0</v>
      </c>
      <c r="BH267">
        <v>0</v>
      </c>
      <c r="BJ267" t="s">
        <v>85</v>
      </c>
      <c r="BP267" t="s">
        <v>78</v>
      </c>
      <c r="BQ267" t="s">
        <v>78</v>
      </c>
      <c r="BR267" t="s">
        <v>78</v>
      </c>
    </row>
    <row r="268" customFormat="1" spans="1:70">
      <c r="A268" t="s">
        <v>4139</v>
      </c>
      <c r="B268" t="s">
        <v>4139</v>
      </c>
      <c r="C268" t="s">
        <v>107</v>
      </c>
      <c r="D268" t="s">
        <v>108</v>
      </c>
      <c r="E268">
        <v>1</v>
      </c>
      <c r="F268" t="s">
        <v>3857</v>
      </c>
      <c r="G268" t="s">
        <v>110</v>
      </c>
      <c r="H268">
        <v>289</v>
      </c>
      <c r="I268">
        <v>289</v>
      </c>
      <c r="J268">
        <v>0</v>
      </c>
      <c r="K268">
        <v>0</v>
      </c>
      <c r="L268" t="s">
        <v>78</v>
      </c>
      <c r="M268" t="s">
        <v>78</v>
      </c>
      <c r="N268" t="s">
        <v>78</v>
      </c>
      <c r="O268">
        <v>0</v>
      </c>
      <c r="P268">
        <v>0</v>
      </c>
      <c r="Q268">
        <v>0</v>
      </c>
      <c r="R268" t="s">
        <v>111</v>
      </c>
      <c r="S268">
        <v>0</v>
      </c>
      <c r="T268" t="s">
        <v>80</v>
      </c>
      <c r="U268" t="s">
        <v>80</v>
      </c>
      <c r="V268" t="s">
        <v>112</v>
      </c>
      <c r="W268" t="s">
        <v>1207</v>
      </c>
      <c r="X268" t="s">
        <v>1207</v>
      </c>
      <c r="Y268" t="s">
        <v>1961</v>
      </c>
      <c r="Z268" t="s">
        <v>80</v>
      </c>
      <c r="AA268" t="s">
        <v>85</v>
      </c>
      <c r="AC268" t="s">
        <v>1962</v>
      </c>
      <c r="AD268" t="s">
        <v>87</v>
      </c>
      <c r="AH268" t="s">
        <v>227</v>
      </c>
      <c r="AI268" t="s">
        <v>92</v>
      </c>
      <c r="AJ268" t="s">
        <v>131</v>
      </c>
      <c r="AK268" t="s">
        <v>1963</v>
      </c>
      <c r="AL268" t="s">
        <v>95</v>
      </c>
      <c r="AM268" t="s">
        <v>96</v>
      </c>
      <c r="AN268" t="s">
        <v>97</v>
      </c>
      <c r="AO268" t="s">
        <v>98</v>
      </c>
      <c r="AP268" t="s">
        <v>78</v>
      </c>
      <c r="AQ268" t="s">
        <v>78</v>
      </c>
      <c r="AR268" t="s">
        <v>353</v>
      </c>
      <c r="AS268" t="s">
        <v>78</v>
      </c>
      <c r="AT268" t="s">
        <v>100</v>
      </c>
      <c r="AU268" t="s">
        <v>100</v>
      </c>
      <c r="AW268" t="s">
        <v>85</v>
      </c>
      <c r="AX268" t="s">
        <v>103</v>
      </c>
      <c r="AY268" t="s">
        <v>159</v>
      </c>
      <c r="AZ268" t="s">
        <v>103</v>
      </c>
      <c r="BA268" t="s">
        <v>133</v>
      </c>
      <c r="BB268" t="s">
        <v>78</v>
      </c>
      <c r="BC268" t="s">
        <v>78</v>
      </c>
      <c r="BE268">
        <v>0</v>
      </c>
      <c r="BF268">
        <v>0</v>
      </c>
      <c r="BG268">
        <v>0</v>
      </c>
      <c r="BH268">
        <v>0</v>
      </c>
      <c r="BJ268" t="s">
        <v>85</v>
      </c>
      <c r="BP268" t="s">
        <v>78</v>
      </c>
      <c r="BQ268" t="s">
        <v>78</v>
      </c>
      <c r="BR268" t="s">
        <v>78</v>
      </c>
    </row>
    <row r="269" customFormat="1" spans="1:70">
      <c r="A269" t="s">
        <v>4140</v>
      </c>
      <c r="B269" t="s">
        <v>4140</v>
      </c>
      <c r="C269" t="s">
        <v>107</v>
      </c>
      <c r="D269" t="s">
        <v>108</v>
      </c>
      <c r="E269">
        <v>1</v>
      </c>
      <c r="F269" t="s">
        <v>3857</v>
      </c>
      <c r="G269" t="s">
        <v>110</v>
      </c>
      <c r="H269">
        <v>289</v>
      </c>
      <c r="I269">
        <v>289</v>
      </c>
      <c r="J269">
        <v>0</v>
      </c>
      <c r="K269">
        <v>0</v>
      </c>
      <c r="L269" t="s">
        <v>78</v>
      </c>
      <c r="M269" t="s">
        <v>78</v>
      </c>
      <c r="N269" t="s">
        <v>78</v>
      </c>
      <c r="O269">
        <v>0</v>
      </c>
      <c r="P269">
        <v>0</v>
      </c>
      <c r="Q269">
        <v>0</v>
      </c>
      <c r="R269" t="s">
        <v>111</v>
      </c>
      <c r="S269">
        <v>0</v>
      </c>
      <c r="T269" t="s">
        <v>80</v>
      </c>
      <c r="U269" t="s">
        <v>80</v>
      </c>
      <c r="V269" t="s">
        <v>302</v>
      </c>
      <c r="W269" t="s">
        <v>1845</v>
      </c>
      <c r="X269" t="s">
        <v>1965</v>
      </c>
      <c r="Y269" t="s">
        <v>1966</v>
      </c>
      <c r="Z269" t="s">
        <v>80</v>
      </c>
      <c r="AA269" t="s">
        <v>85</v>
      </c>
      <c r="AC269" t="s">
        <v>1967</v>
      </c>
      <c r="AD269" t="s">
        <v>87</v>
      </c>
      <c r="AF269" t="s">
        <v>1968</v>
      </c>
      <c r="AG269" t="s">
        <v>1969</v>
      </c>
      <c r="AH269" t="s">
        <v>91</v>
      </c>
      <c r="AI269" t="s">
        <v>92</v>
      </c>
      <c r="AJ269" t="s">
        <v>93</v>
      </c>
      <c r="AK269" t="s">
        <v>1970</v>
      </c>
      <c r="AL269" t="s">
        <v>95</v>
      </c>
      <c r="AM269" t="s">
        <v>96</v>
      </c>
      <c r="AN269" t="s">
        <v>97</v>
      </c>
      <c r="AO269" t="s">
        <v>98</v>
      </c>
      <c r="AP269" t="s">
        <v>78</v>
      </c>
      <c r="AQ269" t="s">
        <v>78</v>
      </c>
      <c r="AS269" t="s">
        <v>78</v>
      </c>
      <c r="AT269" t="s">
        <v>100</v>
      </c>
      <c r="AU269" t="s">
        <v>100</v>
      </c>
      <c r="AW269" t="s">
        <v>85</v>
      </c>
      <c r="AX269" t="s">
        <v>101</v>
      </c>
      <c r="AY269" t="s">
        <v>102</v>
      </c>
      <c r="AZ269" t="s">
        <v>103</v>
      </c>
      <c r="BA269" t="s">
        <v>133</v>
      </c>
      <c r="BB269" t="s">
        <v>78</v>
      </c>
      <c r="BC269" t="s">
        <v>78</v>
      </c>
      <c r="BD269" t="s">
        <v>1971</v>
      </c>
      <c r="BE269">
        <v>0</v>
      </c>
      <c r="BF269">
        <v>0</v>
      </c>
      <c r="BG269">
        <v>0</v>
      </c>
      <c r="BH269">
        <v>0</v>
      </c>
      <c r="BJ269" t="s">
        <v>85</v>
      </c>
      <c r="BP269" t="s">
        <v>78</v>
      </c>
      <c r="BQ269" t="s">
        <v>78</v>
      </c>
      <c r="BR269" t="s">
        <v>78</v>
      </c>
    </row>
    <row r="270" customFormat="1" spans="1:70">
      <c r="A270" t="s">
        <v>4141</v>
      </c>
      <c r="B270" t="s">
        <v>4141</v>
      </c>
      <c r="C270" t="s">
        <v>107</v>
      </c>
      <c r="D270" t="s">
        <v>108</v>
      </c>
      <c r="E270">
        <v>1</v>
      </c>
      <c r="F270" t="s">
        <v>3857</v>
      </c>
      <c r="G270" t="s">
        <v>110</v>
      </c>
      <c r="H270">
        <v>289</v>
      </c>
      <c r="I270">
        <v>286</v>
      </c>
      <c r="J270">
        <v>0</v>
      </c>
      <c r="K270">
        <v>3</v>
      </c>
      <c r="L270" t="s">
        <v>1973</v>
      </c>
      <c r="M270" t="s">
        <v>78</v>
      </c>
      <c r="N270" t="s">
        <v>78</v>
      </c>
      <c r="O270">
        <v>0</v>
      </c>
      <c r="P270">
        <v>0</v>
      </c>
      <c r="Q270">
        <v>0</v>
      </c>
      <c r="R270" t="s">
        <v>111</v>
      </c>
      <c r="S270">
        <v>0</v>
      </c>
      <c r="T270" t="s">
        <v>80</v>
      </c>
      <c r="U270" t="s">
        <v>80</v>
      </c>
      <c r="V270" t="s">
        <v>302</v>
      </c>
      <c r="W270" t="s">
        <v>1845</v>
      </c>
      <c r="X270" t="s">
        <v>1965</v>
      </c>
      <c r="Y270" t="s">
        <v>1966</v>
      </c>
      <c r="Z270" t="s">
        <v>80</v>
      </c>
      <c r="AA270" t="s">
        <v>85</v>
      </c>
      <c r="AC270" t="s">
        <v>1974</v>
      </c>
      <c r="AD270" t="s">
        <v>87</v>
      </c>
      <c r="AH270" t="s">
        <v>91</v>
      </c>
      <c r="AI270" t="s">
        <v>92</v>
      </c>
      <c r="AJ270" t="s">
        <v>131</v>
      </c>
      <c r="AK270" t="s">
        <v>1975</v>
      </c>
      <c r="AL270" t="s">
        <v>95</v>
      </c>
      <c r="AM270" t="s">
        <v>96</v>
      </c>
      <c r="AN270" t="s">
        <v>97</v>
      </c>
      <c r="AO270" t="s">
        <v>98</v>
      </c>
      <c r="AP270" t="s">
        <v>78</v>
      </c>
      <c r="AQ270" t="s">
        <v>78</v>
      </c>
      <c r="AR270" t="s">
        <v>195</v>
      </c>
      <c r="AS270" t="s">
        <v>78</v>
      </c>
      <c r="AT270" t="s">
        <v>100</v>
      </c>
      <c r="AU270" t="s">
        <v>100</v>
      </c>
      <c r="AW270" t="s">
        <v>85</v>
      </c>
      <c r="AX270" t="s">
        <v>101</v>
      </c>
      <c r="AY270" t="s">
        <v>102</v>
      </c>
      <c r="AZ270" t="s">
        <v>103</v>
      </c>
      <c r="BA270" t="s">
        <v>133</v>
      </c>
      <c r="BB270" t="s">
        <v>78</v>
      </c>
      <c r="BC270" t="s">
        <v>78</v>
      </c>
      <c r="BE270">
        <v>0</v>
      </c>
      <c r="BF270">
        <v>3</v>
      </c>
      <c r="BG270">
        <v>0</v>
      </c>
      <c r="BH270">
        <v>0</v>
      </c>
      <c r="BJ270" t="s">
        <v>85</v>
      </c>
      <c r="BP270" t="s">
        <v>78</v>
      </c>
      <c r="BQ270" t="s">
        <v>78</v>
      </c>
      <c r="BR270" t="s">
        <v>78</v>
      </c>
    </row>
    <row r="271" customFormat="1" spans="1:70">
      <c r="A271" t="s">
        <v>4142</v>
      </c>
      <c r="B271" t="s">
        <v>4142</v>
      </c>
      <c r="C271" t="s">
        <v>1092</v>
      </c>
      <c r="D271" t="s">
        <v>108</v>
      </c>
      <c r="E271">
        <v>1</v>
      </c>
      <c r="F271" t="s">
        <v>3998</v>
      </c>
      <c r="G271" t="s">
        <v>1094</v>
      </c>
      <c r="H271">
        <v>289</v>
      </c>
      <c r="I271">
        <v>289</v>
      </c>
      <c r="J271">
        <v>0</v>
      </c>
      <c r="K271">
        <v>0</v>
      </c>
      <c r="L271" t="s">
        <v>78</v>
      </c>
      <c r="M271" t="s">
        <v>78</v>
      </c>
      <c r="N271" t="s">
        <v>78</v>
      </c>
      <c r="O271">
        <v>0</v>
      </c>
      <c r="P271">
        <v>0</v>
      </c>
      <c r="Q271">
        <v>0</v>
      </c>
      <c r="R271" t="s">
        <v>125</v>
      </c>
      <c r="S271">
        <v>0</v>
      </c>
      <c r="T271" t="s">
        <v>80</v>
      </c>
      <c r="U271" t="s">
        <v>80</v>
      </c>
      <c r="V271" t="s">
        <v>221</v>
      </c>
      <c r="W271" t="s">
        <v>1977</v>
      </c>
      <c r="X271" t="s">
        <v>1978</v>
      </c>
      <c r="Y271" t="s">
        <v>1979</v>
      </c>
      <c r="Z271" t="s">
        <v>80</v>
      </c>
      <c r="AA271" t="s">
        <v>85</v>
      </c>
      <c r="AC271" t="s">
        <v>1980</v>
      </c>
      <c r="AD271" t="s">
        <v>87</v>
      </c>
      <c r="AF271" t="s">
        <v>1981</v>
      </c>
      <c r="AG271" t="s">
        <v>1982</v>
      </c>
      <c r="AH271" t="s">
        <v>91</v>
      </c>
      <c r="AI271" t="s">
        <v>92</v>
      </c>
      <c r="AJ271" t="s">
        <v>93</v>
      </c>
      <c r="AK271" t="s">
        <v>1983</v>
      </c>
      <c r="AL271" t="s">
        <v>95</v>
      </c>
      <c r="AM271" t="s">
        <v>96</v>
      </c>
      <c r="AN271" t="s">
        <v>97</v>
      </c>
      <c r="AO271" t="s">
        <v>98</v>
      </c>
      <c r="AP271" t="s">
        <v>78</v>
      </c>
      <c r="AQ271" t="s">
        <v>78</v>
      </c>
      <c r="AS271" t="s">
        <v>78</v>
      </c>
      <c r="AT271" t="s">
        <v>100</v>
      </c>
      <c r="AU271" t="s">
        <v>100</v>
      </c>
      <c r="AW271" t="s">
        <v>85</v>
      </c>
      <c r="AX271" t="s">
        <v>103</v>
      </c>
      <c r="AY271" t="s">
        <v>159</v>
      </c>
      <c r="AZ271" t="s">
        <v>103</v>
      </c>
      <c r="BA271" t="s">
        <v>218</v>
      </c>
      <c r="BB271" t="s">
        <v>78</v>
      </c>
      <c r="BC271" t="s">
        <v>78</v>
      </c>
      <c r="BD271" t="s">
        <v>1984</v>
      </c>
      <c r="BE271">
        <v>0</v>
      </c>
      <c r="BF271">
        <v>0</v>
      </c>
      <c r="BG271">
        <v>0</v>
      </c>
      <c r="BH271">
        <v>0</v>
      </c>
      <c r="BJ271" t="s">
        <v>85</v>
      </c>
      <c r="BP271" t="s">
        <v>78</v>
      </c>
      <c r="BQ271" t="s">
        <v>78</v>
      </c>
      <c r="BR271" t="s">
        <v>78</v>
      </c>
    </row>
    <row r="272" customFormat="1" spans="1:70">
      <c r="A272" t="s">
        <v>4143</v>
      </c>
      <c r="B272" t="s">
        <v>4143</v>
      </c>
      <c r="C272" t="s">
        <v>1092</v>
      </c>
      <c r="D272" t="s">
        <v>123</v>
      </c>
      <c r="E272">
        <v>1</v>
      </c>
      <c r="F272" t="s">
        <v>3998</v>
      </c>
      <c r="G272" t="s">
        <v>1986</v>
      </c>
      <c r="H272">
        <v>289</v>
      </c>
      <c r="I272">
        <v>253.89</v>
      </c>
      <c r="J272">
        <v>0</v>
      </c>
      <c r="K272">
        <v>35.11</v>
      </c>
      <c r="L272" t="s">
        <v>1987</v>
      </c>
      <c r="M272" t="s">
        <v>78</v>
      </c>
      <c r="N272" t="s">
        <v>78</v>
      </c>
      <c r="O272">
        <v>0</v>
      </c>
      <c r="P272">
        <v>0</v>
      </c>
      <c r="Q272">
        <v>0</v>
      </c>
      <c r="R272" t="s">
        <v>79</v>
      </c>
      <c r="S272">
        <v>0</v>
      </c>
      <c r="T272" t="s">
        <v>80</v>
      </c>
      <c r="U272" t="s">
        <v>80</v>
      </c>
      <c r="V272" t="s">
        <v>161</v>
      </c>
      <c r="W272" t="s">
        <v>161</v>
      </c>
      <c r="X272" t="s">
        <v>1243</v>
      </c>
      <c r="Y272" t="s">
        <v>1244</v>
      </c>
      <c r="Z272" t="s">
        <v>80</v>
      </c>
      <c r="AA272" t="s">
        <v>85</v>
      </c>
      <c r="AC272" t="s">
        <v>1988</v>
      </c>
      <c r="AD272" t="s">
        <v>87</v>
      </c>
      <c r="AG272" t="s">
        <v>1989</v>
      </c>
      <c r="AH272" t="s">
        <v>91</v>
      </c>
      <c r="AI272" t="s">
        <v>92</v>
      </c>
      <c r="AJ272" t="s">
        <v>131</v>
      </c>
      <c r="AK272" t="s">
        <v>1990</v>
      </c>
      <c r="AL272" t="s">
        <v>95</v>
      </c>
      <c r="AM272" t="s">
        <v>96</v>
      </c>
      <c r="AN272" t="s">
        <v>97</v>
      </c>
      <c r="AO272" t="s">
        <v>98</v>
      </c>
      <c r="AP272" t="s">
        <v>78</v>
      </c>
      <c r="AQ272" t="s">
        <v>99</v>
      </c>
      <c r="AS272" t="s">
        <v>78</v>
      </c>
      <c r="AT272" t="s">
        <v>100</v>
      </c>
      <c r="AU272" t="s">
        <v>100</v>
      </c>
      <c r="AW272" t="s">
        <v>85</v>
      </c>
      <c r="AX272" t="s">
        <v>103</v>
      </c>
      <c r="AY272" t="s">
        <v>159</v>
      </c>
      <c r="AZ272" t="s">
        <v>103</v>
      </c>
      <c r="BA272" t="s">
        <v>104</v>
      </c>
      <c r="BB272" t="s">
        <v>78</v>
      </c>
      <c r="BC272" t="s">
        <v>78</v>
      </c>
      <c r="BE272">
        <v>0</v>
      </c>
      <c r="BF272">
        <v>35.11</v>
      </c>
      <c r="BG272">
        <v>0</v>
      </c>
      <c r="BH272">
        <v>0</v>
      </c>
      <c r="BJ272" t="s">
        <v>85</v>
      </c>
      <c r="BP272" t="s">
        <v>78</v>
      </c>
      <c r="BQ272" t="s">
        <v>78</v>
      </c>
      <c r="BR272" t="s">
        <v>78</v>
      </c>
    </row>
    <row r="273" customFormat="1" spans="1:70">
      <c r="A273" t="s">
        <v>4144</v>
      </c>
      <c r="B273" t="s">
        <v>4144</v>
      </c>
      <c r="C273" t="s">
        <v>1092</v>
      </c>
      <c r="D273" t="s">
        <v>123</v>
      </c>
      <c r="E273">
        <v>1</v>
      </c>
      <c r="F273" t="s">
        <v>3998</v>
      </c>
      <c r="G273" t="s">
        <v>1986</v>
      </c>
      <c r="H273">
        <v>289</v>
      </c>
      <c r="I273">
        <v>289</v>
      </c>
      <c r="J273">
        <v>0</v>
      </c>
      <c r="K273">
        <v>0</v>
      </c>
      <c r="L273" t="s">
        <v>78</v>
      </c>
      <c r="M273" t="s">
        <v>78</v>
      </c>
      <c r="N273" t="s">
        <v>78</v>
      </c>
      <c r="O273">
        <v>0</v>
      </c>
      <c r="P273">
        <v>0</v>
      </c>
      <c r="Q273">
        <v>0</v>
      </c>
      <c r="R273" t="s">
        <v>125</v>
      </c>
      <c r="S273">
        <v>0</v>
      </c>
      <c r="T273" t="s">
        <v>80</v>
      </c>
      <c r="U273" t="s">
        <v>80</v>
      </c>
      <c r="V273" t="s">
        <v>152</v>
      </c>
      <c r="W273" t="s">
        <v>1920</v>
      </c>
      <c r="X273" t="s">
        <v>1921</v>
      </c>
      <c r="Y273" t="s">
        <v>1922</v>
      </c>
      <c r="Z273" t="s">
        <v>80</v>
      </c>
      <c r="AA273" t="s">
        <v>85</v>
      </c>
      <c r="AC273" t="s">
        <v>1992</v>
      </c>
      <c r="AD273" t="s">
        <v>87</v>
      </c>
      <c r="AG273" t="s">
        <v>1993</v>
      </c>
      <c r="AH273" t="s">
        <v>91</v>
      </c>
      <c r="AI273" t="s">
        <v>92</v>
      </c>
      <c r="AJ273" t="s">
        <v>131</v>
      </c>
      <c r="AK273" t="s">
        <v>1994</v>
      </c>
      <c r="AL273" t="s">
        <v>95</v>
      </c>
      <c r="AM273" t="s">
        <v>96</v>
      </c>
      <c r="AN273" t="s">
        <v>97</v>
      </c>
      <c r="AO273" t="s">
        <v>98</v>
      </c>
      <c r="AP273" t="s">
        <v>78</v>
      </c>
      <c r="AQ273" t="s">
        <v>99</v>
      </c>
      <c r="AS273" t="s">
        <v>78</v>
      </c>
      <c r="AT273" t="s">
        <v>100</v>
      </c>
      <c r="AU273" t="s">
        <v>100</v>
      </c>
      <c r="AW273" t="s">
        <v>85</v>
      </c>
      <c r="AX273" t="s">
        <v>101</v>
      </c>
      <c r="AY273" t="s">
        <v>102</v>
      </c>
      <c r="AZ273" t="s">
        <v>103</v>
      </c>
      <c r="BA273" t="s">
        <v>120</v>
      </c>
      <c r="BB273" t="s">
        <v>78</v>
      </c>
      <c r="BC273" t="s">
        <v>78</v>
      </c>
      <c r="BE273">
        <v>0</v>
      </c>
      <c r="BF273">
        <v>0</v>
      </c>
      <c r="BG273">
        <v>0</v>
      </c>
      <c r="BH273">
        <v>0</v>
      </c>
      <c r="BJ273" t="s">
        <v>85</v>
      </c>
      <c r="BP273" t="s">
        <v>78</v>
      </c>
      <c r="BQ273" t="s">
        <v>78</v>
      </c>
      <c r="BR273" t="s">
        <v>78</v>
      </c>
    </row>
    <row r="274" customFormat="1" spans="1:70">
      <c r="A274" t="s">
        <v>4145</v>
      </c>
      <c r="B274" t="s">
        <v>4145</v>
      </c>
      <c r="C274" t="s">
        <v>1092</v>
      </c>
      <c r="D274" t="s">
        <v>108</v>
      </c>
      <c r="E274">
        <v>1</v>
      </c>
      <c r="F274" t="s">
        <v>3998</v>
      </c>
      <c r="G274" t="s">
        <v>1094</v>
      </c>
      <c r="H274">
        <v>289</v>
      </c>
      <c r="I274">
        <v>289</v>
      </c>
      <c r="J274">
        <v>0</v>
      </c>
      <c r="K274">
        <v>0</v>
      </c>
      <c r="L274" t="s">
        <v>78</v>
      </c>
      <c r="M274" t="s">
        <v>78</v>
      </c>
      <c r="N274" t="s">
        <v>78</v>
      </c>
      <c r="O274">
        <v>0</v>
      </c>
      <c r="P274">
        <v>0</v>
      </c>
      <c r="Q274">
        <v>0</v>
      </c>
      <c r="R274" t="s">
        <v>125</v>
      </c>
      <c r="S274">
        <v>0</v>
      </c>
      <c r="T274" t="s">
        <v>80</v>
      </c>
      <c r="U274" t="s">
        <v>80</v>
      </c>
      <c r="V274" t="s">
        <v>1261</v>
      </c>
      <c r="W274" t="s">
        <v>1996</v>
      </c>
      <c r="X274" t="s">
        <v>1997</v>
      </c>
      <c r="Y274" t="s">
        <v>1998</v>
      </c>
      <c r="Z274" t="s">
        <v>80</v>
      </c>
      <c r="AA274" t="s">
        <v>85</v>
      </c>
      <c r="AC274" t="s">
        <v>1999</v>
      </c>
      <c r="AD274" t="s">
        <v>87</v>
      </c>
      <c r="AG274" t="s">
        <v>2000</v>
      </c>
      <c r="AH274" t="s">
        <v>91</v>
      </c>
      <c r="AI274" t="s">
        <v>92</v>
      </c>
      <c r="AJ274" t="s">
        <v>131</v>
      </c>
      <c r="AK274" t="s">
        <v>2001</v>
      </c>
      <c r="AL274" t="s">
        <v>95</v>
      </c>
      <c r="AM274" t="s">
        <v>96</v>
      </c>
      <c r="AN274" t="s">
        <v>97</v>
      </c>
      <c r="AO274" t="s">
        <v>98</v>
      </c>
      <c r="AP274" t="s">
        <v>78</v>
      </c>
      <c r="AQ274" t="s">
        <v>99</v>
      </c>
      <c r="AS274" t="s">
        <v>78</v>
      </c>
      <c r="AT274" t="s">
        <v>100</v>
      </c>
      <c r="AU274" t="s">
        <v>100</v>
      </c>
      <c r="AW274" t="s">
        <v>85</v>
      </c>
      <c r="AX274" t="s">
        <v>103</v>
      </c>
      <c r="AY274" t="s">
        <v>159</v>
      </c>
      <c r="AZ274" t="s">
        <v>103</v>
      </c>
      <c r="BA274" t="s">
        <v>104</v>
      </c>
      <c r="BB274" t="s">
        <v>78</v>
      </c>
      <c r="BC274" t="s">
        <v>78</v>
      </c>
      <c r="BE274">
        <v>0</v>
      </c>
      <c r="BF274">
        <v>0</v>
      </c>
      <c r="BG274">
        <v>0</v>
      </c>
      <c r="BH274">
        <v>0</v>
      </c>
      <c r="BJ274" t="s">
        <v>85</v>
      </c>
      <c r="BP274" t="s">
        <v>78</v>
      </c>
      <c r="BQ274" t="s">
        <v>78</v>
      </c>
      <c r="BR274" t="s">
        <v>78</v>
      </c>
    </row>
    <row r="275" customFormat="1" spans="1:70">
      <c r="A275" t="s">
        <v>4146</v>
      </c>
      <c r="B275" t="s">
        <v>4146</v>
      </c>
      <c r="C275" t="s">
        <v>1092</v>
      </c>
      <c r="D275" t="s">
        <v>1391</v>
      </c>
      <c r="E275">
        <v>1</v>
      </c>
      <c r="F275" t="s">
        <v>3998</v>
      </c>
      <c r="G275" t="s">
        <v>1392</v>
      </c>
      <c r="H275">
        <v>289</v>
      </c>
      <c r="I275">
        <v>289</v>
      </c>
      <c r="J275">
        <v>0</v>
      </c>
      <c r="K275">
        <v>0</v>
      </c>
      <c r="L275" t="s">
        <v>78</v>
      </c>
      <c r="M275" t="s">
        <v>78</v>
      </c>
      <c r="N275" t="s">
        <v>78</v>
      </c>
      <c r="O275">
        <v>0</v>
      </c>
      <c r="P275">
        <v>0</v>
      </c>
      <c r="Q275">
        <v>0</v>
      </c>
      <c r="R275" t="s">
        <v>79</v>
      </c>
      <c r="S275">
        <v>0</v>
      </c>
      <c r="T275" t="s">
        <v>80</v>
      </c>
      <c r="U275" t="s">
        <v>80</v>
      </c>
      <c r="V275" t="s">
        <v>509</v>
      </c>
      <c r="W275" t="s">
        <v>623</v>
      </c>
      <c r="X275" t="s">
        <v>1943</v>
      </c>
      <c r="Y275" t="s">
        <v>1944</v>
      </c>
      <c r="Z275" t="s">
        <v>80</v>
      </c>
      <c r="AA275" t="s">
        <v>85</v>
      </c>
      <c r="AC275" t="s">
        <v>1999</v>
      </c>
      <c r="AD275" t="s">
        <v>87</v>
      </c>
      <c r="AG275" t="s">
        <v>2003</v>
      </c>
      <c r="AH275" t="s">
        <v>91</v>
      </c>
      <c r="AI275" t="s">
        <v>92</v>
      </c>
      <c r="AJ275" t="s">
        <v>131</v>
      </c>
      <c r="AK275" t="s">
        <v>2004</v>
      </c>
      <c r="AL275" t="s">
        <v>95</v>
      </c>
      <c r="AM275" t="s">
        <v>96</v>
      </c>
      <c r="AN275" t="s">
        <v>97</v>
      </c>
      <c r="AO275" t="s">
        <v>98</v>
      </c>
      <c r="AP275" t="s">
        <v>78</v>
      </c>
      <c r="AQ275" t="s">
        <v>99</v>
      </c>
      <c r="AS275" t="s">
        <v>78</v>
      </c>
      <c r="AT275" t="s">
        <v>100</v>
      </c>
      <c r="AU275" t="s">
        <v>100</v>
      </c>
      <c r="AW275" t="s">
        <v>85</v>
      </c>
      <c r="AX275" t="s">
        <v>101</v>
      </c>
      <c r="AY275" t="s">
        <v>102</v>
      </c>
      <c r="AZ275" t="s">
        <v>103</v>
      </c>
      <c r="BA275" t="s">
        <v>104</v>
      </c>
      <c r="BB275" t="s">
        <v>78</v>
      </c>
      <c r="BC275" t="s">
        <v>78</v>
      </c>
      <c r="BE275">
        <v>0</v>
      </c>
      <c r="BF275">
        <v>0</v>
      </c>
      <c r="BG275">
        <v>0</v>
      </c>
      <c r="BH275">
        <v>0</v>
      </c>
      <c r="BJ275" t="s">
        <v>85</v>
      </c>
      <c r="BP275" t="s">
        <v>78</v>
      </c>
      <c r="BQ275" t="s">
        <v>78</v>
      </c>
      <c r="BR275" t="s">
        <v>78</v>
      </c>
    </row>
    <row r="276" customFormat="1" spans="1:70">
      <c r="A276" t="s">
        <v>4147</v>
      </c>
      <c r="B276" t="s">
        <v>4147</v>
      </c>
      <c r="C276" t="s">
        <v>107</v>
      </c>
      <c r="D276" t="s">
        <v>108</v>
      </c>
      <c r="E276">
        <v>1</v>
      </c>
      <c r="F276" t="s">
        <v>3857</v>
      </c>
      <c r="G276" t="s">
        <v>110</v>
      </c>
      <c r="H276">
        <v>289</v>
      </c>
      <c r="I276">
        <v>289</v>
      </c>
      <c r="J276">
        <v>0</v>
      </c>
      <c r="K276">
        <v>0</v>
      </c>
      <c r="L276" t="s">
        <v>78</v>
      </c>
      <c r="M276" t="s">
        <v>78</v>
      </c>
      <c r="N276" t="s">
        <v>78</v>
      </c>
      <c r="O276">
        <v>0</v>
      </c>
      <c r="P276">
        <v>0</v>
      </c>
      <c r="Q276">
        <v>0</v>
      </c>
      <c r="R276" t="s">
        <v>79</v>
      </c>
      <c r="S276">
        <v>0</v>
      </c>
      <c r="T276" t="s">
        <v>80</v>
      </c>
      <c r="U276" t="s">
        <v>80</v>
      </c>
      <c r="V276" t="s">
        <v>302</v>
      </c>
      <c r="W276" t="s">
        <v>1394</v>
      </c>
      <c r="X276" t="s">
        <v>2006</v>
      </c>
      <c r="Y276" t="s">
        <v>2007</v>
      </c>
      <c r="Z276" t="s">
        <v>80</v>
      </c>
      <c r="AA276" t="s">
        <v>85</v>
      </c>
      <c r="AC276" t="s">
        <v>2008</v>
      </c>
      <c r="AD276" t="s">
        <v>202</v>
      </c>
      <c r="AE276" t="s">
        <v>2009</v>
      </c>
      <c r="AG276" t="s">
        <v>2010</v>
      </c>
      <c r="AH276" t="s">
        <v>91</v>
      </c>
      <c r="AI276" t="s">
        <v>92</v>
      </c>
      <c r="AJ276" t="s">
        <v>131</v>
      </c>
      <c r="AK276" t="s">
        <v>2011</v>
      </c>
      <c r="AL276" t="s">
        <v>95</v>
      </c>
      <c r="AM276" t="s">
        <v>96</v>
      </c>
      <c r="AN276" t="s">
        <v>97</v>
      </c>
      <c r="AO276" t="s">
        <v>98</v>
      </c>
      <c r="AP276" t="s">
        <v>78</v>
      </c>
      <c r="AQ276" t="s">
        <v>99</v>
      </c>
      <c r="AS276" t="s">
        <v>78</v>
      </c>
      <c r="AT276" t="s">
        <v>100</v>
      </c>
      <c r="AU276" t="s">
        <v>100</v>
      </c>
      <c r="AW276" t="s">
        <v>85</v>
      </c>
      <c r="AX276" t="s">
        <v>101</v>
      </c>
      <c r="AY276" t="s">
        <v>102</v>
      </c>
      <c r="AZ276" t="s">
        <v>103</v>
      </c>
      <c r="BA276" t="s">
        <v>133</v>
      </c>
      <c r="BB276" t="s">
        <v>78</v>
      </c>
      <c r="BC276" t="s">
        <v>78</v>
      </c>
      <c r="BD276" t="s">
        <v>2012</v>
      </c>
      <c r="BE276">
        <v>0</v>
      </c>
      <c r="BF276">
        <v>0</v>
      </c>
      <c r="BG276">
        <v>0</v>
      </c>
      <c r="BH276">
        <v>0</v>
      </c>
      <c r="BJ276" t="s">
        <v>85</v>
      </c>
      <c r="BP276" t="s">
        <v>78</v>
      </c>
      <c r="BQ276" t="s">
        <v>78</v>
      </c>
      <c r="BR276" t="s">
        <v>78</v>
      </c>
    </row>
    <row r="277" customFormat="1" spans="1:70">
      <c r="A277" t="s">
        <v>4148</v>
      </c>
      <c r="B277" t="s">
        <v>4148</v>
      </c>
      <c r="C277" t="s">
        <v>1092</v>
      </c>
      <c r="D277" t="s">
        <v>123</v>
      </c>
      <c r="E277">
        <v>1</v>
      </c>
      <c r="F277" t="s">
        <v>3998</v>
      </c>
      <c r="G277" t="s">
        <v>1986</v>
      </c>
      <c r="H277">
        <v>289</v>
      </c>
      <c r="I277">
        <v>284</v>
      </c>
      <c r="J277">
        <v>0</v>
      </c>
      <c r="K277">
        <v>5</v>
      </c>
      <c r="L277" t="s">
        <v>659</v>
      </c>
      <c r="M277" t="s">
        <v>78</v>
      </c>
      <c r="N277" t="s">
        <v>78</v>
      </c>
      <c r="O277">
        <v>0</v>
      </c>
      <c r="P277">
        <v>0</v>
      </c>
      <c r="Q277">
        <v>0</v>
      </c>
      <c r="R277" t="s">
        <v>79</v>
      </c>
      <c r="S277">
        <v>0</v>
      </c>
      <c r="T277" t="s">
        <v>80</v>
      </c>
      <c r="U277" t="s">
        <v>80</v>
      </c>
      <c r="V277" t="s">
        <v>221</v>
      </c>
      <c r="W277" t="s">
        <v>599</v>
      </c>
      <c r="X277" t="s">
        <v>1827</v>
      </c>
      <c r="Y277" t="s">
        <v>2014</v>
      </c>
      <c r="Z277" t="s">
        <v>80</v>
      </c>
      <c r="AA277" t="s">
        <v>85</v>
      </c>
      <c r="AC277" t="s">
        <v>2015</v>
      </c>
      <c r="AD277" t="s">
        <v>87</v>
      </c>
      <c r="AF277" t="s">
        <v>2016</v>
      </c>
      <c r="AG277" t="s">
        <v>2017</v>
      </c>
      <c r="AH277" t="s">
        <v>91</v>
      </c>
      <c r="AI277" t="s">
        <v>92</v>
      </c>
      <c r="AJ277" t="s">
        <v>93</v>
      </c>
      <c r="AK277" t="s">
        <v>2018</v>
      </c>
      <c r="AL277" t="s">
        <v>95</v>
      </c>
      <c r="AM277" t="s">
        <v>96</v>
      </c>
      <c r="AN277" t="s">
        <v>97</v>
      </c>
      <c r="AO277" t="s">
        <v>98</v>
      </c>
      <c r="AP277" t="s">
        <v>78</v>
      </c>
      <c r="AQ277" t="s">
        <v>78</v>
      </c>
      <c r="AS277" t="s">
        <v>78</v>
      </c>
      <c r="AT277" t="s">
        <v>100</v>
      </c>
      <c r="AU277" t="s">
        <v>100</v>
      </c>
      <c r="AW277" t="s">
        <v>85</v>
      </c>
      <c r="AX277" t="s">
        <v>103</v>
      </c>
      <c r="AY277" t="s">
        <v>159</v>
      </c>
      <c r="AZ277" t="s">
        <v>103</v>
      </c>
      <c r="BA277" t="s">
        <v>104</v>
      </c>
      <c r="BB277" t="s">
        <v>78</v>
      </c>
      <c r="BC277" t="s">
        <v>78</v>
      </c>
      <c r="BD277" t="s">
        <v>2019</v>
      </c>
      <c r="BE277">
        <v>0</v>
      </c>
      <c r="BF277">
        <v>5</v>
      </c>
      <c r="BG277">
        <v>0</v>
      </c>
      <c r="BH277">
        <v>0</v>
      </c>
      <c r="BJ277" t="s">
        <v>85</v>
      </c>
      <c r="BP277" t="s">
        <v>78</v>
      </c>
      <c r="BQ277" t="s">
        <v>78</v>
      </c>
      <c r="BR277" t="s">
        <v>78</v>
      </c>
    </row>
    <row r="278" customFormat="1" spans="1:70">
      <c r="A278" t="s">
        <v>4149</v>
      </c>
      <c r="B278" t="s">
        <v>4149</v>
      </c>
      <c r="C278" t="s">
        <v>1092</v>
      </c>
      <c r="D278" t="s">
        <v>2021</v>
      </c>
      <c r="E278">
        <v>1</v>
      </c>
      <c r="F278" t="s">
        <v>3998</v>
      </c>
      <c r="G278" t="s">
        <v>2022</v>
      </c>
      <c r="H278">
        <v>289</v>
      </c>
      <c r="I278">
        <v>289</v>
      </c>
      <c r="J278">
        <v>0</v>
      </c>
      <c r="K278">
        <v>0</v>
      </c>
      <c r="L278" t="s">
        <v>78</v>
      </c>
      <c r="M278" t="s">
        <v>78</v>
      </c>
      <c r="N278" t="s">
        <v>78</v>
      </c>
      <c r="O278">
        <v>0</v>
      </c>
      <c r="P278">
        <v>0</v>
      </c>
      <c r="Q278">
        <v>0</v>
      </c>
      <c r="R278" t="s">
        <v>125</v>
      </c>
      <c r="S278">
        <v>0</v>
      </c>
      <c r="T278" t="s">
        <v>80</v>
      </c>
      <c r="U278" t="s">
        <v>80</v>
      </c>
      <c r="V278" t="s">
        <v>126</v>
      </c>
      <c r="W278" t="s">
        <v>377</v>
      </c>
      <c r="X278" t="s">
        <v>2023</v>
      </c>
      <c r="Y278" t="s">
        <v>2024</v>
      </c>
      <c r="Z278" t="s">
        <v>80</v>
      </c>
      <c r="AA278" t="s">
        <v>85</v>
      </c>
      <c r="AC278" t="s">
        <v>2025</v>
      </c>
      <c r="AD278" t="s">
        <v>87</v>
      </c>
      <c r="AF278" t="s">
        <v>2026</v>
      </c>
      <c r="AG278" t="s">
        <v>2027</v>
      </c>
      <c r="AH278" t="s">
        <v>91</v>
      </c>
      <c r="AI278" t="s">
        <v>92</v>
      </c>
      <c r="AJ278" t="s">
        <v>93</v>
      </c>
      <c r="AK278" t="s">
        <v>2028</v>
      </c>
      <c r="AL278" t="s">
        <v>95</v>
      </c>
      <c r="AM278" t="s">
        <v>96</v>
      </c>
      <c r="AN278" t="s">
        <v>97</v>
      </c>
      <c r="AO278" t="s">
        <v>98</v>
      </c>
      <c r="AP278" t="s">
        <v>78</v>
      </c>
      <c r="AQ278" t="s">
        <v>78</v>
      </c>
      <c r="AS278" t="s">
        <v>78</v>
      </c>
      <c r="AT278" t="s">
        <v>100</v>
      </c>
      <c r="AU278" t="s">
        <v>100</v>
      </c>
      <c r="AW278" t="s">
        <v>85</v>
      </c>
      <c r="AX278" t="s">
        <v>101</v>
      </c>
      <c r="AY278" t="s">
        <v>102</v>
      </c>
      <c r="AZ278" t="s">
        <v>103</v>
      </c>
      <c r="BA278" t="s">
        <v>120</v>
      </c>
      <c r="BB278" t="s">
        <v>78</v>
      </c>
      <c r="BC278" t="s">
        <v>78</v>
      </c>
      <c r="BD278" t="s">
        <v>2029</v>
      </c>
      <c r="BE278">
        <v>0</v>
      </c>
      <c r="BF278">
        <v>0</v>
      </c>
      <c r="BG278">
        <v>0</v>
      </c>
      <c r="BH278">
        <v>0</v>
      </c>
      <c r="BJ278" t="s">
        <v>85</v>
      </c>
      <c r="BP278" t="s">
        <v>78</v>
      </c>
      <c r="BQ278" t="s">
        <v>78</v>
      </c>
      <c r="BR278" t="s">
        <v>78</v>
      </c>
    </row>
    <row r="279" customFormat="1" spans="1:70">
      <c r="A279" t="s">
        <v>4150</v>
      </c>
      <c r="B279" t="s">
        <v>4150</v>
      </c>
      <c r="C279" t="s">
        <v>1092</v>
      </c>
      <c r="D279" t="s">
        <v>108</v>
      </c>
      <c r="E279">
        <v>1</v>
      </c>
      <c r="F279" t="s">
        <v>3998</v>
      </c>
      <c r="G279" t="s">
        <v>1094</v>
      </c>
      <c r="H279">
        <v>289</v>
      </c>
      <c r="I279">
        <v>289</v>
      </c>
      <c r="J279">
        <v>0</v>
      </c>
      <c r="K279">
        <v>0</v>
      </c>
      <c r="L279" t="s">
        <v>78</v>
      </c>
      <c r="M279" t="s">
        <v>78</v>
      </c>
      <c r="N279" t="s">
        <v>78</v>
      </c>
      <c r="O279">
        <v>0</v>
      </c>
      <c r="P279">
        <v>0</v>
      </c>
      <c r="Q279">
        <v>0</v>
      </c>
      <c r="R279" t="s">
        <v>79</v>
      </c>
      <c r="S279">
        <v>0</v>
      </c>
      <c r="T279" t="s">
        <v>80</v>
      </c>
      <c r="U279" t="s">
        <v>80</v>
      </c>
      <c r="V279" t="s">
        <v>325</v>
      </c>
      <c r="W279" t="s">
        <v>788</v>
      </c>
      <c r="X279" t="s">
        <v>2031</v>
      </c>
      <c r="Y279" t="s">
        <v>2032</v>
      </c>
      <c r="Z279" t="s">
        <v>80</v>
      </c>
      <c r="AA279" t="s">
        <v>85</v>
      </c>
      <c r="AC279" t="s">
        <v>2033</v>
      </c>
      <c r="AD279" t="s">
        <v>87</v>
      </c>
      <c r="AG279" t="s">
        <v>2034</v>
      </c>
      <c r="AH279" t="s">
        <v>91</v>
      </c>
      <c r="AI279" t="s">
        <v>92</v>
      </c>
      <c r="AJ279" t="s">
        <v>131</v>
      </c>
      <c r="AK279" t="s">
        <v>2035</v>
      </c>
      <c r="AL279" t="s">
        <v>95</v>
      </c>
      <c r="AM279" t="s">
        <v>96</v>
      </c>
      <c r="AN279" t="s">
        <v>97</v>
      </c>
      <c r="AO279" t="s">
        <v>98</v>
      </c>
      <c r="AP279" t="s">
        <v>78</v>
      </c>
      <c r="AQ279" t="s">
        <v>99</v>
      </c>
      <c r="AS279" t="s">
        <v>78</v>
      </c>
      <c r="AT279" t="s">
        <v>100</v>
      </c>
      <c r="AU279" t="s">
        <v>100</v>
      </c>
      <c r="AW279" t="s">
        <v>85</v>
      </c>
      <c r="AX279" t="s">
        <v>101</v>
      </c>
      <c r="AY279" t="s">
        <v>102</v>
      </c>
      <c r="AZ279" t="s">
        <v>103</v>
      </c>
      <c r="BA279" t="s">
        <v>104</v>
      </c>
      <c r="BB279" t="s">
        <v>78</v>
      </c>
      <c r="BC279" t="s">
        <v>78</v>
      </c>
      <c r="BE279">
        <v>0</v>
      </c>
      <c r="BF279">
        <v>0</v>
      </c>
      <c r="BG279">
        <v>0</v>
      </c>
      <c r="BH279">
        <v>0</v>
      </c>
      <c r="BJ279" t="s">
        <v>85</v>
      </c>
      <c r="BP279" t="s">
        <v>78</v>
      </c>
      <c r="BQ279" t="s">
        <v>78</v>
      </c>
      <c r="BR279" t="s">
        <v>78</v>
      </c>
    </row>
    <row r="280" customFormat="1" spans="1:70">
      <c r="A280" t="s">
        <v>4151</v>
      </c>
      <c r="B280" t="s">
        <v>4151</v>
      </c>
      <c r="C280" t="s">
        <v>1092</v>
      </c>
      <c r="D280" t="s">
        <v>108</v>
      </c>
      <c r="E280">
        <v>1</v>
      </c>
      <c r="F280" t="s">
        <v>3998</v>
      </c>
      <c r="G280" t="s">
        <v>1094</v>
      </c>
      <c r="H280">
        <v>289</v>
      </c>
      <c r="I280">
        <v>289</v>
      </c>
      <c r="J280">
        <v>0</v>
      </c>
      <c r="K280">
        <v>0</v>
      </c>
      <c r="L280" t="s">
        <v>78</v>
      </c>
      <c r="M280" t="s">
        <v>78</v>
      </c>
      <c r="N280" t="s">
        <v>78</v>
      </c>
      <c r="O280">
        <v>0</v>
      </c>
      <c r="P280">
        <v>0</v>
      </c>
      <c r="Q280">
        <v>0</v>
      </c>
      <c r="R280" t="s">
        <v>125</v>
      </c>
      <c r="S280">
        <v>0</v>
      </c>
      <c r="T280" t="s">
        <v>80</v>
      </c>
      <c r="U280" t="s">
        <v>80</v>
      </c>
      <c r="V280" t="s">
        <v>189</v>
      </c>
      <c r="W280" t="s">
        <v>2037</v>
      </c>
      <c r="X280" t="s">
        <v>2038</v>
      </c>
      <c r="Y280" t="s">
        <v>2039</v>
      </c>
      <c r="Z280" t="s">
        <v>80</v>
      </c>
      <c r="AA280" t="s">
        <v>85</v>
      </c>
      <c r="AC280" t="s">
        <v>2040</v>
      </c>
      <c r="AD280" t="s">
        <v>87</v>
      </c>
      <c r="AF280" t="s">
        <v>2041</v>
      </c>
      <c r="AG280" t="s">
        <v>2042</v>
      </c>
      <c r="AH280" t="s">
        <v>91</v>
      </c>
      <c r="AI280" t="s">
        <v>92</v>
      </c>
      <c r="AJ280" t="s">
        <v>93</v>
      </c>
      <c r="AK280" t="s">
        <v>2043</v>
      </c>
      <c r="AL280" t="s">
        <v>95</v>
      </c>
      <c r="AM280" t="s">
        <v>96</v>
      </c>
      <c r="AN280" t="s">
        <v>97</v>
      </c>
      <c r="AO280" t="s">
        <v>98</v>
      </c>
      <c r="AP280" t="s">
        <v>78</v>
      </c>
      <c r="AQ280" t="s">
        <v>78</v>
      </c>
      <c r="AS280" t="s">
        <v>78</v>
      </c>
      <c r="AT280" t="s">
        <v>100</v>
      </c>
      <c r="AU280" t="s">
        <v>100</v>
      </c>
      <c r="AW280" t="s">
        <v>85</v>
      </c>
      <c r="AX280" t="s">
        <v>101</v>
      </c>
      <c r="AY280" t="s">
        <v>102</v>
      </c>
      <c r="AZ280" t="s">
        <v>103</v>
      </c>
      <c r="BA280" t="s">
        <v>133</v>
      </c>
      <c r="BB280" t="s">
        <v>78</v>
      </c>
      <c r="BC280" t="s">
        <v>78</v>
      </c>
      <c r="BD280" t="s">
        <v>2044</v>
      </c>
      <c r="BE280">
        <v>0</v>
      </c>
      <c r="BF280">
        <v>0</v>
      </c>
      <c r="BG280">
        <v>0</v>
      </c>
      <c r="BH280">
        <v>0</v>
      </c>
      <c r="BJ280" t="s">
        <v>85</v>
      </c>
      <c r="BP280" t="s">
        <v>78</v>
      </c>
      <c r="BQ280" t="s">
        <v>78</v>
      </c>
      <c r="BR280" t="s">
        <v>78</v>
      </c>
    </row>
    <row r="281" customFormat="1" spans="1:70">
      <c r="A281" t="s">
        <v>4152</v>
      </c>
      <c r="B281" t="s">
        <v>4152</v>
      </c>
      <c r="C281" t="s">
        <v>1092</v>
      </c>
      <c r="D281" t="s">
        <v>123</v>
      </c>
      <c r="E281">
        <v>1</v>
      </c>
      <c r="F281" t="s">
        <v>3998</v>
      </c>
      <c r="G281" t="s">
        <v>1986</v>
      </c>
      <c r="H281">
        <v>289</v>
      </c>
      <c r="I281">
        <v>289</v>
      </c>
      <c r="J281">
        <v>0</v>
      </c>
      <c r="K281">
        <v>0</v>
      </c>
      <c r="L281" t="s">
        <v>78</v>
      </c>
      <c r="M281" t="s">
        <v>78</v>
      </c>
      <c r="N281" t="s">
        <v>78</v>
      </c>
      <c r="O281">
        <v>0</v>
      </c>
      <c r="P281">
        <v>0</v>
      </c>
      <c r="Q281">
        <v>0</v>
      </c>
      <c r="R281" t="s">
        <v>125</v>
      </c>
      <c r="S281">
        <v>0</v>
      </c>
      <c r="T281" t="s">
        <v>80</v>
      </c>
      <c r="U281" t="s">
        <v>80</v>
      </c>
      <c r="V281" t="s">
        <v>126</v>
      </c>
      <c r="W281" t="s">
        <v>377</v>
      </c>
      <c r="X281" t="s">
        <v>2023</v>
      </c>
      <c r="Y281" t="s">
        <v>2024</v>
      </c>
      <c r="Z281" t="s">
        <v>80</v>
      </c>
      <c r="AA281" t="s">
        <v>85</v>
      </c>
      <c r="AC281" t="s">
        <v>2046</v>
      </c>
      <c r="AD281" t="s">
        <v>87</v>
      </c>
      <c r="AF281" t="s">
        <v>2047</v>
      </c>
      <c r="AG281" t="s">
        <v>2048</v>
      </c>
      <c r="AH281" t="s">
        <v>91</v>
      </c>
      <c r="AI281" t="s">
        <v>92</v>
      </c>
      <c r="AJ281" t="s">
        <v>93</v>
      </c>
      <c r="AK281" t="s">
        <v>2049</v>
      </c>
      <c r="AL281" t="s">
        <v>95</v>
      </c>
      <c r="AM281" t="s">
        <v>96</v>
      </c>
      <c r="AN281" t="s">
        <v>97</v>
      </c>
      <c r="AO281" t="s">
        <v>98</v>
      </c>
      <c r="AP281" t="s">
        <v>78</v>
      </c>
      <c r="AQ281" t="s">
        <v>78</v>
      </c>
      <c r="AS281" t="s">
        <v>78</v>
      </c>
      <c r="AT281" t="s">
        <v>100</v>
      </c>
      <c r="AU281" t="s">
        <v>100</v>
      </c>
      <c r="AW281" t="s">
        <v>85</v>
      </c>
      <c r="AX281" t="s">
        <v>101</v>
      </c>
      <c r="AY281" t="s">
        <v>102</v>
      </c>
      <c r="AZ281" t="s">
        <v>103</v>
      </c>
      <c r="BA281" t="s">
        <v>120</v>
      </c>
      <c r="BB281" t="s">
        <v>78</v>
      </c>
      <c r="BC281" t="s">
        <v>78</v>
      </c>
      <c r="BD281" t="s">
        <v>2050</v>
      </c>
      <c r="BE281">
        <v>0</v>
      </c>
      <c r="BF281">
        <v>0</v>
      </c>
      <c r="BG281">
        <v>0</v>
      </c>
      <c r="BH281">
        <v>0</v>
      </c>
      <c r="BJ281" t="s">
        <v>85</v>
      </c>
      <c r="BP281" t="s">
        <v>78</v>
      </c>
      <c r="BQ281" t="s">
        <v>78</v>
      </c>
      <c r="BR281" t="s">
        <v>78</v>
      </c>
    </row>
    <row r="282" customFormat="1" spans="1:70">
      <c r="A282" t="s">
        <v>4153</v>
      </c>
      <c r="B282" t="s">
        <v>4153</v>
      </c>
      <c r="C282" t="s">
        <v>107</v>
      </c>
      <c r="D282" t="s">
        <v>108</v>
      </c>
      <c r="E282">
        <v>1</v>
      </c>
      <c r="F282" t="s">
        <v>3857</v>
      </c>
      <c r="G282" t="s">
        <v>110</v>
      </c>
      <c r="H282">
        <v>289</v>
      </c>
      <c r="I282">
        <v>289</v>
      </c>
      <c r="J282">
        <v>0</v>
      </c>
      <c r="K282">
        <v>0</v>
      </c>
      <c r="L282" t="s">
        <v>78</v>
      </c>
      <c r="M282" t="s">
        <v>78</v>
      </c>
      <c r="N282" t="s">
        <v>78</v>
      </c>
      <c r="O282">
        <v>0</v>
      </c>
      <c r="P282">
        <v>0</v>
      </c>
      <c r="Q282">
        <v>0</v>
      </c>
      <c r="R282" t="s">
        <v>79</v>
      </c>
      <c r="S282">
        <v>0</v>
      </c>
      <c r="T282" t="s">
        <v>80</v>
      </c>
      <c r="U282" t="s">
        <v>80</v>
      </c>
      <c r="V282" t="s">
        <v>271</v>
      </c>
      <c r="W282" t="s">
        <v>272</v>
      </c>
      <c r="X282" t="s">
        <v>1172</v>
      </c>
      <c r="Y282" t="s">
        <v>1173</v>
      </c>
      <c r="Z282" t="s">
        <v>80</v>
      </c>
      <c r="AA282" t="s">
        <v>85</v>
      </c>
      <c r="AC282" t="s">
        <v>2052</v>
      </c>
      <c r="AD282" t="s">
        <v>87</v>
      </c>
      <c r="AG282" t="s">
        <v>2053</v>
      </c>
      <c r="AH282" t="s">
        <v>91</v>
      </c>
      <c r="AI282" t="s">
        <v>92</v>
      </c>
      <c r="AJ282" t="s">
        <v>131</v>
      </c>
      <c r="AK282" t="s">
        <v>2054</v>
      </c>
      <c r="AL282" t="s">
        <v>95</v>
      </c>
      <c r="AM282" t="s">
        <v>96</v>
      </c>
      <c r="AN282" t="s">
        <v>97</v>
      </c>
      <c r="AO282" t="s">
        <v>98</v>
      </c>
      <c r="AP282" t="s">
        <v>78</v>
      </c>
      <c r="AQ282" t="s">
        <v>99</v>
      </c>
      <c r="AS282" t="s">
        <v>78</v>
      </c>
      <c r="AT282" t="s">
        <v>100</v>
      </c>
      <c r="AU282" t="s">
        <v>100</v>
      </c>
      <c r="AW282" t="s">
        <v>85</v>
      </c>
      <c r="AX282" t="s">
        <v>101</v>
      </c>
      <c r="AY282" t="s">
        <v>102</v>
      </c>
      <c r="AZ282" t="s">
        <v>103</v>
      </c>
      <c r="BA282" t="s">
        <v>133</v>
      </c>
      <c r="BB282" t="s">
        <v>78</v>
      </c>
      <c r="BC282" t="s">
        <v>78</v>
      </c>
      <c r="BE282">
        <v>0</v>
      </c>
      <c r="BF282">
        <v>0</v>
      </c>
      <c r="BG282">
        <v>0</v>
      </c>
      <c r="BH282">
        <v>0</v>
      </c>
      <c r="BJ282" t="s">
        <v>85</v>
      </c>
      <c r="BP282" t="s">
        <v>78</v>
      </c>
      <c r="BQ282" t="s">
        <v>78</v>
      </c>
      <c r="BR282" t="s">
        <v>78</v>
      </c>
    </row>
    <row r="283" customFormat="1" spans="1:70">
      <c r="A283" t="s">
        <v>4154</v>
      </c>
      <c r="B283" t="s">
        <v>4154</v>
      </c>
      <c r="C283" t="s">
        <v>107</v>
      </c>
      <c r="D283" t="s">
        <v>123</v>
      </c>
      <c r="E283">
        <v>1</v>
      </c>
      <c r="F283" t="s">
        <v>3857</v>
      </c>
      <c r="G283" t="s">
        <v>124</v>
      </c>
      <c r="H283">
        <v>289</v>
      </c>
      <c r="I283">
        <v>276</v>
      </c>
      <c r="J283">
        <v>0</v>
      </c>
      <c r="K283">
        <v>13</v>
      </c>
      <c r="L283" t="s">
        <v>2056</v>
      </c>
      <c r="M283" t="s">
        <v>78</v>
      </c>
      <c r="N283" t="s">
        <v>78</v>
      </c>
      <c r="O283">
        <v>0</v>
      </c>
      <c r="P283">
        <v>0</v>
      </c>
      <c r="Q283">
        <v>0</v>
      </c>
      <c r="R283" t="s">
        <v>111</v>
      </c>
      <c r="S283">
        <v>0</v>
      </c>
      <c r="T283" t="s">
        <v>80</v>
      </c>
      <c r="U283" t="s">
        <v>80</v>
      </c>
      <c r="V283" t="s">
        <v>239</v>
      </c>
      <c r="W283" t="s">
        <v>913</v>
      </c>
      <c r="X283" t="s">
        <v>2057</v>
      </c>
      <c r="Y283" t="s">
        <v>2058</v>
      </c>
      <c r="Z283" t="s">
        <v>80</v>
      </c>
      <c r="AA283" t="s">
        <v>85</v>
      </c>
      <c r="AC283" t="s">
        <v>2059</v>
      </c>
      <c r="AD283" t="s">
        <v>202</v>
      </c>
      <c r="AE283" t="s">
        <v>2060</v>
      </c>
      <c r="AG283" t="s">
        <v>2061</v>
      </c>
      <c r="AH283" t="s">
        <v>91</v>
      </c>
      <c r="AI283" t="s">
        <v>92</v>
      </c>
      <c r="AJ283" t="s">
        <v>131</v>
      </c>
      <c r="AK283" t="s">
        <v>2062</v>
      </c>
      <c r="AL283" t="s">
        <v>95</v>
      </c>
      <c r="AM283" t="s">
        <v>96</v>
      </c>
      <c r="AN283" t="s">
        <v>97</v>
      </c>
      <c r="AO283" t="s">
        <v>98</v>
      </c>
      <c r="AP283" t="s">
        <v>78</v>
      </c>
      <c r="AQ283" t="s">
        <v>99</v>
      </c>
      <c r="AS283" t="s">
        <v>78</v>
      </c>
      <c r="AT283" t="s">
        <v>100</v>
      </c>
      <c r="AU283" t="s">
        <v>100</v>
      </c>
      <c r="AW283" t="s">
        <v>85</v>
      </c>
      <c r="AX283" t="s">
        <v>103</v>
      </c>
      <c r="AY283" t="s">
        <v>159</v>
      </c>
      <c r="AZ283" t="s">
        <v>103</v>
      </c>
      <c r="BA283" t="s">
        <v>104</v>
      </c>
      <c r="BB283" t="s">
        <v>78</v>
      </c>
      <c r="BC283" t="s">
        <v>78</v>
      </c>
      <c r="BD283" t="s">
        <v>1878</v>
      </c>
      <c r="BE283">
        <v>0</v>
      </c>
      <c r="BF283">
        <v>13</v>
      </c>
      <c r="BG283">
        <v>0</v>
      </c>
      <c r="BH283">
        <v>0</v>
      </c>
      <c r="BJ283" t="s">
        <v>85</v>
      </c>
      <c r="BP283" t="s">
        <v>78</v>
      </c>
      <c r="BQ283" t="s">
        <v>78</v>
      </c>
      <c r="BR283" t="s">
        <v>78</v>
      </c>
    </row>
    <row r="284" customFormat="1" spans="1:70">
      <c r="A284" t="s">
        <v>4155</v>
      </c>
      <c r="B284" t="s">
        <v>4155</v>
      </c>
      <c r="C284" t="s">
        <v>107</v>
      </c>
      <c r="D284" t="s">
        <v>123</v>
      </c>
      <c r="E284">
        <v>1</v>
      </c>
      <c r="F284" t="s">
        <v>3857</v>
      </c>
      <c r="G284" t="s">
        <v>124</v>
      </c>
      <c r="H284">
        <v>289</v>
      </c>
      <c r="I284">
        <v>289</v>
      </c>
      <c r="J284">
        <v>0</v>
      </c>
      <c r="K284">
        <v>0</v>
      </c>
      <c r="L284" t="s">
        <v>78</v>
      </c>
      <c r="M284" t="s">
        <v>78</v>
      </c>
      <c r="N284" t="s">
        <v>78</v>
      </c>
      <c r="O284">
        <v>0</v>
      </c>
      <c r="P284">
        <v>0</v>
      </c>
      <c r="Q284">
        <v>0</v>
      </c>
      <c r="R284" t="s">
        <v>111</v>
      </c>
      <c r="S284">
        <v>0</v>
      </c>
      <c r="T284" t="s">
        <v>80</v>
      </c>
      <c r="U284" t="s">
        <v>80</v>
      </c>
      <c r="V284" t="s">
        <v>239</v>
      </c>
      <c r="W284" t="s">
        <v>913</v>
      </c>
      <c r="X284" t="s">
        <v>2057</v>
      </c>
      <c r="Y284" t="s">
        <v>2058</v>
      </c>
      <c r="Z284" t="s">
        <v>80</v>
      </c>
      <c r="AA284" t="s">
        <v>85</v>
      </c>
      <c r="AC284" t="s">
        <v>2064</v>
      </c>
      <c r="AD284" t="s">
        <v>87</v>
      </c>
      <c r="AG284" t="s">
        <v>2065</v>
      </c>
      <c r="AH284" t="s">
        <v>91</v>
      </c>
      <c r="AI284" t="s">
        <v>92</v>
      </c>
      <c r="AJ284" t="s">
        <v>131</v>
      </c>
      <c r="AK284" t="s">
        <v>2066</v>
      </c>
      <c r="AL284" t="s">
        <v>95</v>
      </c>
      <c r="AM284" t="s">
        <v>96</v>
      </c>
      <c r="AN284" t="s">
        <v>97</v>
      </c>
      <c r="AO284" t="s">
        <v>98</v>
      </c>
      <c r="AP284" t="s">
        <v>78</v>
      </c>
      <c r="AQ284" t="s">
        <v>99</v>
      </c>
      <c r="AS284" t="s">
        <v>78</v>
      </c>
      <c r="AT284" t="s">
        <v>100</v>
      </c>
      <c r="AU284" t="s">
        <v>100</v>
      </c>
      <c r="AW284" t="s">
        <v>85</v>
      </c>
      <c r="AX284" t="s">
        <v>103</v>
      </c>
      <c r="AY284" t="s">
        <v>159</v>
      </c>
      <c r="AZ284" t="s">
        <v>103</v>
      </c>
      <c r="BA284" t="s">
        <v>104</v>
      </c>
      <c r="BB284" t="s">
        <v>78</v>
      </c>
      <c r="BC284" t="s">
        <v>78</v>
      </c>
      <c r="BE284">
        <v>0</v>
      </c>
      <c r="BF284">
        <v>0</v>
      </c>
      <c r="BG284">
        <v>0</v>
      </c>
      <c r="BH284">
        <v>0</v>
      </c>
      <c r="BJ284" t="s">
        <v>85</v>
      </c>
      <c r="BP284" t="s">
        <v>78</v>
      </c>
      <c r="BQ284" t="s">
        <v>78</v>
      </c>
      <c r="BR284" t="s">
        <v>78</v>
      </c>
    </row>
    <row r="285" customFormat="1" spans="1:70">
      <c r="A285" t="s">
        <v>4156</v>
      </c>
      <c r="B285" t="s">
        <v>4156</v>
      </c>
      <c r="C285" t="s">
        <v>107</v>
      </c>
      <c r="D285" t="s">
        <v>135</v>
      </c>
      <c r="E285">
        <v>1</v>
      </c>
      <c r="F285" t="s">
        <v>3857</v>
      </c>
      <c r="G285" t="s">
        <v>136</v>
      </c>
      <c r="H285">
        <v>289</v>
      </c>
      <c r="I285">
        <v>271</v>
      </c>
      <c r="J285">
        <v>0</v>
      </c>
      <c r="K285">
        <v>18</v>
      </c>
      <c r="L285" t="s">
        <v>2068</v>
      </c>
      <c r="M285" t="s">
        <v>78</v>
      </c>
      <c r="N285" t="s">
        <v>78</v>
      </c>
      <c r="O285">
        <v>0</v>
      </c>
      <c r="P285">
        <v>0</v>
      </c>
      <c r="Q285">
        <v>0</v>
      </c>
      <c r="R285" t="s">
        <v>125</v>
      </c>
      <c r="S285">
        <v>0</v>
      </c>
      <c r="T285" t="s">
        <v>80</v>
      </c>
      <c r="U285" t="s">
        <v>80</v>
      </c>
      <c r="V285" t="s">
        <v>447</v>
      </c>
      <c r="W285" t="s">
        <v>2069</v>
      </c>
      <c r="X285" t="s">
        <v>2070</v>
      </c>
      <c r="Y285" t="s">
        <v>78</v>
      </c>
      <c r="Z285" t="s">
        <v>80</v>
      </c>
      <c r="AA285" t="s">
        <v>85</v>
      </c>
      <c r="AC285" t="s">
        <v>2071</v>
      </c>
      <c r="AD285" t="s">
        <v>87</v>
      </c>
      <c r="AG285" t="s">
        <v>2072</v>
      </c>
      <c r="AH285" t="s">
        <v>91</v>
      </c>
      <c r="AI285" t="s">
        <v>92</v>
      </c>
      <c r="AJ285" t="s">
        <v>131</v>
      </c>
      <c r="AK285" t="s">
        <v>2073</v>
      </c>
      <c r="AL285" t="s">
        <v>95</v>
      </c>
      <c r="AM285" t="s">
        <v>96</v>
      </c>
      <c r="AN285" t="s">
        <v>97</v>
      </c>
      <c r="AO285" t="s">
        <v>98</v>
      </c>
      <c r="AP285" t="s">
        <v>78</v>
      </c>
      <c r="AQ285" t="s">
        <v>99</v>
      </c>
      <c r="AS285" t="s">
        <v>78</v>
      </c>
      <c r="AT285" t="s">
        <v>100</v>
      </c>
      <c r="AU285" t="s">
        <v>100</v>
      </c>
      <c r="AW285" t="s">
        <v>85</v>
      </c>
      <c r="AX285" t="s">
        <v>103</v>
      </c>
      <c r="AY285" t="s">
        <v>159</v>
      </c>
      <c r="AZ285" t="s">
        <v>103</v>
      </c>
      <c r="BA285" t="s">
        <v>104</v>
      </c>
      <c r="BB285" t="s">
        <v>78</v>
      </c>
      <c r="BC285" t="s">
        <v>78</v>
      </c>
      <c r="BE285">
        <v>0</v>
      </c>
      <c r="BF285">
        <v>18</v>
      </c>
      <c r="BG285">
        <v>0</v>
      </c>
      <c r="BH285">
        <v>0</v>
      </c>
      <c r="BJ285" t="s">
        <v>85</v>
      </c>
      <c r="BP285" t="s">
        <v>78</v>
      </c>
      <c r="BQ285" t="s">
        <v>78</v>
      </c>
      <c r="BR285" t="s">
        <v>78</v>
      </c>
    </row>
    <row r="286" customFormat="1" spans="1:70">
      <c r="A286" t="s">
        <v>4157</v>
      </c>
      <c r="B286" t="s">
        <v>4157</v>
      </c>
      <c r="C286" t="s">
        <v>107</v>
      </c>
      <c r="D286" t="s">
        <v>108</v>
      </c>
      <c r="E286">
        <v>1</v>
      </c>
      <c r="F286" t="s">
        <v>3857</v>
      </c>
      <c r="G286" t="s">
        <v>110</v>
      </c>
      <c r="H286">
        <v>289</v>
      </c>
      <c r="I286">
        <v>289</v>
      </c>
      <c r="J286">
        <v>0</v>
      </c>
      <c r="K286">
        <v>0</v>
      </c>
      <c r="L286" t="s">
        <v>78</v>
      </c>
      <c r="M286" t="s">
        <v>78</v>
      </c>
      <c r="N286" t="s">
        <v>78</v>
      </c>
      <c r="O286">
        <v>0</v>
      </c>
      <c r="P286">
        <v>0</v>
      </c>
      <c r="Q286">
        <v>0</v>
      </c>
      <c r="R286" t="s">
        <v>79</v>
      </c>
      <c r="S286">
        <v>0</v>
      </c>
      <c r="T286" t="s">
        <v>80</v>
      </c>
      <c r="U286" t="s">
        <v>80</v>
      </c>
      <c r="V286" t="s">
        <v>161</v>
      </c>
      <c r="W286" t="s">
        <v>161</v>
      </c>
      <c r="X286" t="s">
        <v>2075</v>
      </c>
      <c r="Y286" t="s">
        <v>78</v>
      </c>
      <c r="Z286" t="s">
        <v>80</v>
      </c>
      <c r="AA286" t="s">
        <v>85</v>
      </c>
      <c r="AC286" t="s">
        <v>2076</v>
      </c>
      <c r="AD286" t="s">
        <v>87</v>
      </c>
      <c r="AG286" t="s">
        <v>2077</v>
      </c>
      <c r="AH286" t="s">
        <v>91</v>
      </c>
      <c r="AI286" t="s">
        <v>92</v>
      </c>
      <c r="AJ286" t="s">
        <v>131</v>
      </c>
      <c r="AK286" t="s">
        <v>2078</v>
      </c>
      <c r="AL286" t="s">
        <v>95</v>
      </c>
      <c r="AM286" t="s">
        <v>96</v>
      </c>
      <c r="AN286" t="s">
        <v>97</v>
      </c>
      <c r="AO286" t="s">
        <v>98</v>
      </c>
      <c r="AP286" t="s">
        <v>78</v>
      </c>
      <c r="AQ286" t="s">
        <v>99</v>
      </c>
      <c r="AS286" t="s">
        <v>78</v>
      </c>
      <c r="AT286" t="s">
        <v>100</v>
      </c>
      <c r="AU286" t="s">
        <v>100</v>
      </c>
      <c r="AW286" t="s">
        <v>85</v>
      </c>
      <c r="AX286" t="s">
        <v>101</v>
      </c>
      <c r="AY286" t="s">
        <v>102</v>
      </c>
      <c r="AZ286" t="s">
        <v>103</v>
      </c>
      <c r="BA286" t="s">
        <v>104</v>
      </c>
      <c r="BB286" t="s">
        <v>78</v>
      </c>
      <c r="BC286" t="s">
        <v>78</v>
      </c>
      <c r="BE286">
        <v>0</v>
      </c>
      <c r="BF286">
        <v>0</v>
      </c>
      <c r="BG286">
        <v>0</v>
      </c>
      <c r="BH286">
        <v>0</v>
      </c>
      <c r="BJ286" t="s">
        <v>85</v>
      </c>
      <c r="BP286" t="s">
        <v>78</v>
      </c>
      <c r="BQ286" t="s">
        <v>78</v>
      </c>
      <c r="BR286" t="s">
        <v>78</v>
      </c>
    </row>
    <row r="287" customFormat="1" spans="1:70">
      <c r="A287" t="s">
        <v>4158</v>
      </c>
      <c r="B287" t="s">
        <v>4158</v>
      </c>
      <c r="C287" t="s">
        <v>107</v>
      </c>
      <c r="D287" t="s">
        <v>108</v>
      </c>
      <c r="E287">
        <v>1</v>
      </c>
      <c r="F287" t="s">
        <v>3857</v>
      </c>
      <c r="G287" t="s">
        <v>110</v>
      </c>
      <c r="H287">
        <v>289</v>
      </c>
      <c r="I287">
        <v>269</v>
      </c>
      <c r="J287">
        <v>0</v>
      </c>
      <c r="K287">
        <v>20</v>
      </c>
      <c r="L287" t="s">
        <v>495</v>
      </c>
      <c r="M287" t="s">
        <v>78</v>
      </c>
      <c r="N287" t="s">
        <v>78</v>
      </c>
      <c r="O287">
        <v>0</v>
      </c>
      <c r="P287">
        <v>0</v>
      </c>
      <c r="Q287">
        <v>0</v>
      </c>
      <c r="R287" t="s">
        <v>79</v>
      </c>
      <c r="S287">
        <v>0</v>
      </c>
      <c r="T287" t="s">
        <v>80</v>
      </c>
      <c r="U287" t="s">
        <v>80</v>
      </c>
      <c r="V287" t="s">
        <v>112</v>
      </c>
      <c r="W287" t="s">
        <v>198</v>
      </c>
      <c r="X287" t="s">
        <v>199</v>
      </c>
      <c r="Y287" t="s">
        <v>200</v>
      </c>
      <c r="Z287" t="s">
        <v>80</v>
      </c>
      <c r="AA287" t="s">
        <v>85</v>
      </c>
      <c r="AC287" t="s">
        <v>2080</v>
      </c>
      <c r="AD287" t="s">
        <v>202</v>
      </c>
      <c r="AE287" t="s">
        <v>2081</v>
      </c>
      <c r="AF287" t="s">
        <v>2082</v>
      </c>
      <c r="AG287" t="s">
        <v>2083</v>
      </c>
      <c r="AH287" t="s">
        <v>91</v>
      </c>
      <c r="AI287" t="s">
        <v>92</v>
      </c>
      <c r="AJ287" t="s">
        <v>93</v>
      </c>
      <c r="AK287" t="s">
        <v>2084</v>
      </c>
      <c r="AL287" t="s">
        <v>95</v>
      </c>
      <c r="AM287" t="s">
        <v>96</v>
      </c>
      <c r="AN287" t="s">
        <v>97</v>
      </c>
      <c r="AO287" t="s">
        <v>98</v>
      </c>
      <c r="AP287" t="s">
        <v>78</v>
      </c>
      <c r="AQ287" t="s">
        <v>99</v>
      </c>
      <c r="AS287" t="s">
        <v>78</v>
      </c>
      <c r="AT287" t="s">
        <v>100</v>
      </c>
      <c r="AU287" t="s">
        <v>100</v>
      </c>
      <c r="AW287" t="s">
        <v>85</v>
      </c>
      <c r="AX287" t="s">
        <v>101</v>
      </c>
      <c r="AY287" t="s">
        <v>102</v>
      </c>
      <c r="AZ287" t="s">
        <v>103</v>
      </c>
      <c r="BA287" t="s">
        <v>683</v>
      </c>
      <c r="BB287" t="s">
        <v>78</v>
      </c>
      <c r="BC287" t="s">
        <v>78</v>
      </c>
      <c r="BD287" t="s">
        <v>1878</v>
      </c>
      <c r="BE287">
        <v>0</v>
      </c>
      <c r="BF287">
        <v>20</v>
      </c>
      <c r="BG287">
        <v>0</v>
      </c>
      <c r="BH287">
        <v>0</v>
      </c>
      <c r="BJ287" t="s">
        <v>85</v>
      </c>
      <c r="BP287" t="s">
        <v>78</v>
      </c>
      <c r="BQ287" t="s">
        <v>78</v>
      </c>
      <c r="BR287" t="s">
        <v>78</v>
      </c>
    </row>
    <row r="288" customFormat="1" spans="1:70">
      <c r="A288" t="s">
        <v>4159</v>
      </c>
      <c r="B288" t="s">
        <v>4159</v>
      </c>
      <c r="C288" t="s">
        <v>107</v>
      </c>
      <c r="D288" t="s">
        <v>135</v>
      </c>
      <c r="E288">
        <v>1</v>
      </c>
      <c r="F288" t="s">
        <v>3857</v>
      </c>
      <c r="G288" t="s">
        <v>136</v>
      </c>
      <c r="H288">
        <v>289</v>
      </c>
      <c r="I288">
        <v>289</v>
      </c>
      <c r="J288">
        <v>0</v>
      </c>
      <c r="K288">
        <v>0</v>
      </c>
      <c r="L288" t="s">
        <v>78</v>
      </c>
      <c r="M288" t="s">
        <v>78</v>
      </c>
      <c r="N288" t="s">
        <v>78</v>
      </c>
      <c r="O288">
        <v>0</v>
      </c>
      <c r="P288">
        <v>0</v>
      </c>
      <c r="Q288">
        <v>0</v>
      </c>
      <c r="R288" t="s">
        <v>125</v>
      </c>
      <c r="S288">
        <v>0</v>
      </c>
      <c r="T288" t="s">
        <v>80</v>
      </c>
      <c r="U288" t="s">
        <v>80</v>
      </c>
      <c r="V288" t="s">
        <v>138</v>
      </c>
      <c r="W288" t="s">
        <v>2086</v>
      </c>
      <c r="X288" t="s">
        <v>2087</v>
      </c>
      <c r="Y288" t="s">
        <v>2088</v>
      </c>
      <c r="Z288" t="s">
        <v>80</v>
      </c>
      <c r="AA288" t="s">
        <v>85</v>
      </c>
      <c r="AC288" t="s">
        <v>2089</v>
      </c>
      <c r="AD288" t="s">
        <v>87</v>
      </c>
      <c r="AF288" t="s">
        <v>1752</v>
      </c>
      <c r="AG288" t="s">
        <v>2090</v>
      </c>
      <c r="AH288" t="s">
        <v>91</v>
      </c>
      <c r="AI288" t="s">
        <v>92</v>
      </c>
      <c r="AJ288" t="s">
        <v>93</v>
      </c>
      <c r="AK288" t="s">
        <v>2091</v>
      </c>
      <c r="AL288" t="s">
        <v>95</v>
      </c>
      <c r="AM288" t="s">
        <v>96</v>
      </c>
      <c r="AN288" t="s">
        <v>97</v>
      </c>
      <c r="AO288" t="s">
        <v>98</v>
      </c>
      <c r="AP288" t="s">
        <v>78</v>
      </c>
      <c r="AQ288" t="s">
        <v>78</v>
      </c>
      <c r="AS288" t="s">
        <v>78</v>
      </c>
      <c r="AT288" t="s">
        <v>100</v>
      </c>
      <c r="AU288" t="s">
        <v>100</v>
      </c>
      <c r="AW288" t="s">
        <v>85</v>
      </c>
      <c r="AX288" t="s">
        <v>101</v>
      </c>
      <c r="AY288" t="s">
        <v>102</v>
      </c>
      <c r="AZ288" t="s">
        <v>103</v>
      </c>
      <c r="BA288" t="s">
        <v>133</v>
      </c>
      <c r="BB288" t="s">
        <v>78</v>
      </c>
      <c r="BC288" t="s">
        <v>78</v>
      </c>
      <c r="BD288" t="s">
        <v>1755</v>
      </c>
      <c r="BE288">
        <v>0</v>
      </c>
      <c r="BF288">
        <v>0</v>
      </c>
      <c r="BG288">
        <v>0</v>
      </c>
      <c r="BH288">
        <v>0</v>
      </c>
      <c r="BJ288" t="s">
        <v>85</v>
      </c>
      <c r="BP288" t="s">
        <v>78</v>
      </c>
      <c r="BQ288" t="s">
        <v>78</v>
      </c>
      <c r="BR288" t="s">
        <v>78</v>
      </c>
    </row>
    <row r="289" customFormat="1" spans="1:70">
      <c r="A289" t="s">
        <v>4160</v>
      </c>
      <c r="B289" t="s">
        <v>4160</v>
      </c>
      <c r="C289" t="s">
        <v>107</v>
      </c>
      <c r="D289" t="s">
        <v>123</v>
      </c>
      <c r="E289">
        <v>1</v>
      </c>
      <c r="F289" t="s">
        <v>3857</v>
      </c>
      <c r="G289" t="s">
        <v>124</v>
      </c>
      <c r="H289">
        <v>289</v>
      </c>
      <c r="I289">
        <v>289</v>
      </c>
      <c r="J289">
        <v>0</v>
      </c>
      <c r="K289">
        <v>0</v>
      </c>
      <c r="L289" t="s">
        <v>78</v>
      </c>
      <c r="M289" t="s">
        <v>78</v>
      </c>
      <c r="N289" t="s">
        <v>78</v>
      </c>
      <c r="O289">
        <v>0</v>
      </c>
      <c r="P289">
        <v>0</v>
      </c>
      <c r="Q289">
        <v>0</v>
      </c>
      <c r="R289" t="s">
        <v>125</v>
      </c>
      <c r="S289">
        <v>0</v>
      </c>
      <c r="T289" t="s">
        <v>80</v>
      </c>
      <c r="U289" t="s">
        <v>80</v>
      </c>
      <c r="V289" t="s">
        <v>221</v>
      </c>
      <c r="W289" t="s">
        <v>2093</v>
      </c>
      <c r="X289" t="s">
        <v>2094</v>
      </c>
      <c r="Y289" t="s">
        <v>2095</v>
      </c>
      <c r="Z289" t="s">
        <v>80</v>
      </c>
      <c r="AA289" t="s">
        <v>85</v>
      </c>
      <c r="AC289" t="s">
        <v>2096</v>
      </c>
      <c r="AD289" t="s">
        <v>202</v>
      </c>
      <c r="AE289" t="s">
        <v>2097</v>
      </c>
      <c r="AG289" t="s">
        <v>2098</v>
      </c>
      <c r="AH289" t="s">
        <v>227</v>
      </c>
      <c r="AI289" t="s">
        <v>92</v>
      </c>
      <c r="AJ289" t="s">
        <v>131</v>
      </c>
      <c r="AK289" t="s">
        <v>2099</v>
      </c>
      <c r="AL289" t="s">
        <v>95</v>
      </c>
      <c r="AM289" t="s">
        <v>96</v>
      </c>
      <c r="AN289" t="s">
        <v>97</v>
      </c>
      <c r="AO289" t="s">
        <v>98</v>
      </c>
      <c r="AP289" t="s">
        <v>78</v>
      </c>
      <c r="AQ289" t="s">
        <v>99</v>
      </c>
      <c r="AS289" t="s">
        <v>78</v>
      </c>
      <c r="AT289" t="s">
        <v>100</v>
      </c>
      <c r="AU289" t="s">
        <v>100</v>
      </c>
      <c r="AW289" t="s">
        <v>85</v>
      </c>
      <c r="AX289" t="s">
        <v>101</v>
      </c>
      <c r="AY289" t="s">
        <v>102</v>
      </c>
      <c r="AZ289" t="s">
        <v>103</v>
      </c>
      <c r="BA289" t="s">
        <v>133</v>
      </c>
      <c r="BB289" t="s">
        <v>78</v>
      </c>
      <c r="BC289" t="s">
        <v>78</v>
      </c>
      <c r="BD289" t="s">
        <v>1878</v>
      </c>
      <c r="BE289">
        <v>0</v>
      </c>
      <c r="BF289">
        <v>0</v>
      </c>
      <c r="BG289">
        <v>0</v>
      </c>
      <c r="BH289">
        <v>0</v>
      </c>
      <c r="BJ289" t="s">
        <v>85</v>
      </c>
      <c r="BP289" t="s">
        <v>78</v>
      </c>
      <c r="BQ289" t="s">
        <v>78</v>
      </c>
      <c r="BR289" t="s">
        <v>78</v>
      </c>
    </row>
    <row r="290" customFormat="1" spans="1:70">
      <c r="A290" t="s">
        <v>4161</v>
      </c>
      <c r="B290" t="s">
        <v>4161</v>
      </c>
      <c r="C290" t="s">
        <v>107</v>
      </c>
      <c r="D290" t="s">
        <v>108</v>
      </c>
      <c r="E290">
        <v>1</v>
      </c>
      <c r="F290" t="s">
        <v>3857</v>
      </c>
      <c r="G290" t="s">
        <v>110</v>
      </c>
      <c r="H290">
        <v>289</v>
      </c>
      <c r="I290">
        <v>289</v>
      </c>
      <c r="J290">
        <v>0</v>
      </c>
      <c r="K290">
        <v>0</v>
      </c>
      <c r="L290" t="s">
        <v>78</v>
      </c>
      <c r="M290" t="s">
        <v>78</v>
      </c>
      <c r="N290" t="s">
        <v>78</v>
      </c>
      <c r="O290">
        <v>0</v>
      </c>
      <c r="P290">
        <v>0</v>
      </c>
      <c r="Q290">
        <v>0</v>
      </c>
      <c r="R290" t="s">
        <v>111</v>
      </c>
      <c r="S290">
        <v>0</v>
      </c>
      <c r="T290" t="s">
        <v>80</v>
      </c>
      <c r="U290" t="s">
        <v>80</v>
      </c>
      <c r="V290" t="s">
        <v>152</v>
      </c>
      <c r="W290" t="s">
        <v>2101</v>
      </c>
      <c r="X290" t="s">
        <v>2102</v>
      </c>
      <c r="Y290" t="s">
        <v>2103</v>
      </c>
      <c r="Z290" t="s">
        <v>80</v>
      </c>
      <c r="AA290" t="s">
        <v>85</v>
      </c>
      <c r="AC290" t="s">
        <v>2104</v>
      </c>
      <c r="AD290" t="s">
        <v>87</v>
      </c>
      <c r="AG290" t="s">
        <v>2105</v>
      </c>
      <c r="AH290" t="s">
        <v>91</v>
      </c>
      <c r="AI290" t="s">
        <v>92</v>
      </c>
      <c r="AJ290" t="s">
        <v>131</v>
      </c>
      <c r="AK290" t="s">
        <v>2106</v>
      </c>
      <c r="AL290" t="s">
        <v>95</v>
      </c>
      <c r="AM290" t="s">
        <v>96</v>
      </c>
      <c r="AN290" t="s">
        <v>97</v>
      </c>
      <c r="AO290" t="s">
        <v>98</v>
      </c>
      <c r="AP290" t="s">
        <v>78</v>
      </c>
      <c r="AQ290" t="s">
        <v>99</v>
      </c>
      <c r="AS290" t="s">
        <v>78</v>
      </c>
      <c r="AT290" t="s">
        <v>100</v>
      </c>
      <c r="AU290" t="s">
        <v>100</v>
      </c>
      <c r="AW290" t="s">
        <v>85</v>
      </c>
      <c r="AX290" t="s">
        <v>103</v>
      </c>
      <c r="AY290" t="s">
        <v>159</v>
      </c>
      <c r="AZ290" t="s">
        <v>103</v>
      </c>
      <c r="BA290" t="s">
        <v>104</v>
      </c>
      <c r="BB290" t="s">
        <v>78</v>
      </c>
      <c r="BC290" t="s">
        <v>78</v>
      </c>
      <c r="BE290">
        <v>0</v>
      </c>
      <c r="BF290">
        <v>0</v>
      </c>
      <c r="BG290">
        <v>0</v>
      </c>
      <c r="BH290">
        <v>0</v>
      </c>
      <c r="BJ290" t="s">
        <v>85</v>
      </c>
      <c r="BP290" t="s">
        <v>78</v>
      </c>
      <c r="BQ290" t="s">
        <v>78</v>
      </c>
      <c r="BR290" t="s">
        <v>78</v>
      </c>
    </row>
    <row r="291" customFormat="1" spans="1:70">
      <c r="A291" t="s">
        <v>4162</v>
      </c>
      <c r="B291" t="s">
        <v>4162</v>
      </c>
      <c r="C291" t="s">
        <v>107</v>
      </c>
      <c r="D291" t="s">
        <v>135</v>
      </c>
      <c r="E291">
        <v>1</v>
      </c>
      <c r="F291" t="s">
        <v>3857</v>
      </c>
      <c r="G291" t="s">
        <v>136</v>
      </c>
      <c r="H291">
        <v>289</v>
      </c>
      <c r="I291">
        <v>289</v>
      </c>
      <c r="J291">
        <v>0</v>
      </c>
      <c r="K291">
        <v>0</v>
      </c>
      <c r="L291" t="s">
        <v>78</v>
      </c>
      <c r="M291" t="s">
        <v>78</v>
      </c>
      <c r="N291" t="s">
        <v>78</v>
      </c>
      <c r="O291">
        <v>0</v>
      </c>
      <c r="P291">
        <v>0</v>
      </c>
      <c r="Q291">
        <v>0</v>
      </c>
      <c r="R291" t="s">
        <v>125</v>
      </c>
      <c r="S291">
        <v>0</v>
      </c>
      <c r="T291" t="s">
        <v>80</v>
      </c>
      <c r="U291" t="s">
        <v>80</v>
      </c>
      <c r="V291" t="s">
        <v>325</v>
      </c>
      <c r="W291" t="s">
        <v>788</v>
      </c>
      <c r="X291" t="s">
        <v>2108</v>
      </c>
      <c r="Y291" t="s">
        <v>84</v>
      </c>
      <c r="Z291" t="s">
        <v>80</v>
      </c>
      <c r="AA291" t="s">
        <v>85</v>
      </c>
      <c r="AC291" t="s">
        <v>2109</v>
      </c>
      <c r="AD291" t="s">
        <v>87</v>
      </c>
      <c r="AG291" t="s">
        <v>2110</v>
      </c>
      <c r="AH291" t="s">
        <v>91</v>
      </c>
      <c r="AI291" t="s">
        <v>92</v>
      </c>
      <c r="AJ291" t="s">
        <v>131</v>
      </c>
      <c r="AK291" t="s">
        <v>2111</v>
      </c>
      <c r="AL291" t="s">
        <v>95</v>
      </c>
      <c r="AM291" t="s">
        <v>96</v>
      </c>
      <c r="AN291" t="s">
        <v>97</v>
      </c>
      <c r="AO291" t="s">
        <v>98</v>
      </c>
      <c r="AP291" t="s">
        <v>78</v>
      </c>
      <c r="AQ291" t="s">
        <v>99</v>
      </c>
      <c r="AS291" t="s">
        <v>78</v>
      </c>
      <c r="AT291" t="s">
        <v>100</v>
      </c>
      <c r="AU291" t="s">
        <v>100</v>
      </c>
      <c r="AW291" t="s">
        <v>85</v>
      </c>
      <c r="AX291" t="s">
        <v>101</v>
      </c>
      <c r="AY291" t="s">
        <v>102</v>
      </c>
      <c r="AZ291" t="s">
        <v>103</v>
      </c>
      <c r="BA291" t="s">
        <v>133</v>
      </c>
      <c r="BB291" t="s">
        <v>78</v>
      </c>
      <c r="BC291" t="s">
        <v>78</v>
      </c>
      <c r="BE291">
        <v>0</v>
      </c>
      <c r="BF291">
        <v>0</v>
      </c>
      <c r="BG291">
        <v>0</v>
      </c>
      <c r="BH291">
        <v>0</v>
      </c>
      <c r="BJ291" t="s">
        <v>85</v>
      </c>
      <c r="BP291" t="s">
        <v>78</v>
      </c>
      <c r="BQ291" t="s">
        <v>78</v>
      </c>
      <c r="BR291" t="s">
        <v>78</v>
      </c>
    </row>
    <row r="292" customFormat="1" spans="1:70">
      <c r="A292" t="s">
        <v>4163</v>
      </c>
      <c r="B292" t="s">
        <v>4163</v>
      </c>
      <c r="C292" t="s">
        <v>107</v>
      </c>
      <c r="D292" t="s">
        <v>135</v>
      </c>
      <c r="E292">
        <v>1</v>
      </c>
      <c r="F292" t="s">
        <v>3857</v>
      </c>
      <c r="G292" t="s">
        <v>136</v>
      </c>
      <c r="H292">
        <v>289</v>
      </c>
      <c r="I292">
        <v>289</v>
      </c>
      <c r="J292">
        <v>0</v>
      </c>
      <c r="K292">
        <v>0</v>
      </c>
      <c r="L292" t="s">
        <v>78</v>
      </c>
      <c r="M292" t="s">
        <v>78</v>
      </c>
      <c r="N292" t="s">
        <v>78</v>
      </c>
      <c r="O292">
        <v>0</v>
      </c>
      <c r="P292">
        <v>0</v>
      </c>
      <c r="Q292">
        <v>0</v>
      </c>
      <c r="R292" t="s">
        <v>125</v>
      </c>
      <c r="S292">
        <v>0</v>
      </c>
      <c r="T292" t="s">
        <v>80</v>
      </c>
      <c r="U292" t="s">
        <v>80</v>
      </c>
      <c r="V292" t="s">
        <v>112</v>
      </c>
      <c r="W292" t="s">
        <v>2113</v>
      </c>
      <c r="X292" t="s">
        <v>2114</v>
      </c>
      <c r="Y292" t="s">
        <v>2115</v>
      </c>
      <c r="Z292" t="s">
        <v>80</v>
      </c>
      <c r="AA292" t="s">
        <v>85</v>
      </c>
      <c r="AC292" t="s">
        <v>2109</v>
      </c>
      <c r="AD292" t="s">
        <v>87</v>
      </c>
      <c r="AG292" t="s">
        <v>2104</v>
      </c>
      <c r="AH292" t="s">
        <v>91</v>
      </c>
      <c r="AI292" t="s">
        <v>92</v>
      </c>
      <c r="AJ292" t="s">
        <v>131</v>
      </c>
      <c r="AK292" t="s">
        <v>2111</v>
      </c>
      <c r="AL292" t="s">
        <v>95</v>
      </c>
      <c r="AM292" t="s">
        <v>96</v>
      </c>
      <c r="AN292" t="s">
        <v>97</v>
      </c>
      <c r="AO292" t="s">
        <v>98</v>
      </c>
      <c r="AP292" t="s">
        <v>78</v>
      </c>
      <c r="AQ292" t="s">
        <v>99</v>
      </c>
      <c r="AS292" t="s">
        <v>78</v>
      </c>
      <c r="AT292" t="s">
        <v>100</v>
      </c>
      <c r="AU292" t="s">
        <v>100</v>
      </c>
      <c r="AW292" t="s">
        <v>85</v>
      </c>
      <c r="AX292" t="s">
        <v>101</v>
      </c>
      <c r="AY292" t="s">
        <v>102</v>
      </c>
      <c r="AZ292" t="s">
        <v>103</v>
      </c>
      <c r="BA292" t="s">
        <v>104</v>
      </c>
      <c r="BB292" t="s">
        <v>78</v>
      </c>
      <c r="BC292" t="s">
        <v>78</v>
      </c>
      <c r="BE292">
        <v>0</v>
      </c>
      <c r="BF292">
        <v>0</v>
      </c>
      <c r="BG292">
        <v>0</v>
      </c>
      <c r="BH292">
        <v>0</v>
      </c>
      <c r="BJ292" t="s">
        <v>85</v>
      </c>
      <c r="BP292" t="s">
        <v>78</v>
      </c>
      <c r="BQ292" t="s">
        <v>78</v>
      </c>
      <c r="BR292" t="s">
        <v>78</v>
      </c>
    </row>
    <row r="293" customFormat="1" spans="1:70">
      <c r="A293" t="s">
        <v>4164</v>
      </c>
      <c r="B293" t="s">
        <v>4164</v>
      </c>
      <c r="C293" t="s">
        <v>107</v>
      </c>
      <c r="D293" t="s">
        <v>108</v>
      </c>
      <c r="E293">
        <v>1</v>
      </c>
      <c r="F293" t="s">
        <v>3857</v>
      </c>
      <c r="G293" t="s">
        <v>110</v>
      </c>
      <c r="H293">
        <v>289</v>
      </c>
      <c r="I293">
        <v>289</v>
      </c>
      <c r="J293">
        <v>0</v>
      </c>
      <c r="K293">
        <v>0</v>
      </c>
      <c r="L293" t="s">
        <v>78</v>
      </c>
      <c r="M293" t="s">
        <v>78</v>
      </c>
      <c r="N293" t="s">
        <v>78</v>
      </c>
      <c r="O293">
        <v>0</v>
      </c>
      <c r="P293">
        <v>0</v>
      </c>
      <c r="Q293">
        <v>0</v>
      </c>
      <c r="R293" t="s">
        <v>79</v>
      </c>
      <c r="S293">
        <v>0</v>
      </c>
      <c r="T293" t="s">
        <v>80</v>
      </c>
      <c r="U293" t="s">
        <v>80</v>
      </c>
      <c r="V293" t="s">
        <v>239</v>
      </c>
      <c r="W293" t="s">
        <v>240</v>
      </c>
      <c r="X293" t="s">
        <v>2117</v>
      </c>
      <c r="Y293" t="s">
        <v>2118</v>
      </c>
      <c r="Z293" t="s">
        <v>80</v>
      </c>
      <c r="AA293" t="s">
        <v>85</v>
      </c>
      <c r="AC293" t="s">
        <v>2109</v>
      </c>
      <c r="AD293" t="s">
        <v>87</v>
      </c>
      <c r="AG293" t="s">
        <v>2104</v>
      </c>
      <c r="AH293" t="s">
        <v>91</v>
      </c>
      <c r="AI293" t="s">
        <v>92</v>
      </c>
      <c r="AJ293" t="s">
        <v>131</v>
      </c>
      <c r="AK293" t="s">
        <v>2119</v>
      </c>
      <c r="AL293" t="s">
        <v>95</v>
      </c>
      <c r="AM293" t="s">
        <v>96</v>
      </c>
      <c r="AN293" t="s">
        <v>97</v>
      </c>
      <c r="AO293" t="s">
        <v>98</v>
      </c>
      <c r="AP293" t="s">
        <v>78</v>
      </c>
      <c r="AQ293" t="s">
        <v>99</v>
      </c>
      <c r="AS293" t="s">
        <v>78</v>
      </c>
      <c r="AT293" t="s">
        <v>100</v>
      </c>
      <c r="AU293" t="s">
        <v>100</v>
      </c>
      <c r="AW293" t="s">
        <v>85</v>
      </c>
      <c r="AX293" t="s">
        <v>101</v>
      </c>
      <c r="AY293" t="s">
        <v>102</v>
      </c>
      <c r="AZ293" t="s">
        <v>103</v>
      </c>
      <c r="BA293" t="s">
        <v>133</v>
      </c>
      <c r="BB293" t="s">
        <v>78</v>
      </c>
      <c r="BC293" t="s">
        <v>78</v>
      </c>
      <c r="BE293">
        <v>0</v>
      </c>
      <c r="BF293">
        <v>0</v>
      </c>
      <c r="BG293">
        <v>0</v>
      </c>
      <c r="BH293">
        <v>0</v>
      </c>
      <c r="BJ293" t="s">
        <v>85</v>
      </c>
      <c r="BP293" t="s">
        <v>78</v>
      </c>
      <c r="BQ293" t="s">
        <v>78</v>
      </c>
      <c r="BR293" t="s">
        <v>78</v>
      </c>
    </row>
    <row r="294" customFormat="1" spans="1:70">
      <c r="A294" t="s">
        <v>4165</v>
      </c>
      <c r="B294" t="s">
        <v>4165</v>
      </c>
      <c r="C294" t="s">
        <v>107</v>
      </c>
      <c r="D294" t="s">
        <v>108</v>
      </c>
      <c r="E294">
        <v>1</v>
      </c>
      <c r="F294" t="s">
        <v>3857</v>
      </c>
      <c r="G294" t="s">
        <v>110</v>
      </c>
      <c r="H294">
        <v>289</v>
      </c>
      <c r="I294">
        <v>289</v>
      </c>
      <c r="J294">
        <v>0</v>
      </c>
      <c r="K294">
        <v>0</v>
      </c>
      <c r="L294" t="s">
        <v>78</v>
      </c>
      <c r="M294" t="s">
        <v>78</v>
      </c>
      <c r="N294" t="s">
        <v>78</v>
      </c>
      <c r="O294">
        <v>0</v>
      </c>
      <c r="P294">
        <v>0</v>
      </c>
      <c r="Q294">
        <v>0</v>
      </c>
      <c r="R294" t="s">
        <v>125</v>
      </c>
      <c r="S294">
        <v>0</v>
      </c>
      <c r="T294" t="s">
        <v>80</v>
      </c>
      <c r="U294" t="s">
        <v>80</v>
      </c>
      <c r="V294" t="s">
        <v>302</v>
      </c>
      <c r="W294" t="s">
        <v>1358</v>
      </c>
      <c r="X294" t="s">
        <v>1706</v>
      </c>
      <c r="Y294" t="s">
        <v>2121</v>
      </c>
      <c r="Z294" t="s">
        <v>80</v>
      </c>
      <c r="AA294" t="s">
        <v>85</v>
      </c>
      <c r="AC294" t="s">
        <v>2122</v>
      </c>
      <c r="AD294" t="s">
        <v>87</v>
      </c>
      <c r="AF294" t="s">
        <v>2082</v>
      </c>
      <c r="AG294" t="s">
        <v>2123</v>
      </c>
      <c r="AH294" t="s">
        <v>91</v>
      </c>
      <c r="AI294" t="s">
        <v>92</v>
      </c>
      <c r="AJ294" t="s">
        <v>93</v>
      </c>
      <c r="AK294" t="s">
        <v>2124</v>
      </c>
      <c r="AL294" t="s">
        <v>95</v>
      </c>
      <c r="AM294" t="s">
        <v>96</v>
      </c>
      <c r="AN294" t="s">
        <v>97</v>
      </c>
      <c r="AO294" t="s">
        <v>98</v>
      </c>
      <c r="AP294" t="s">
        <v>78</v>
      </c>
      <c r="AQ294" t="s">
        <v>78</v>
      </c>
      <c r="AS294" t="s">
        <v>78</v>
      </c>
      <c r="AT294" t="s">
        <v>100</v>
      </c>
      <c r="AU294" t="s">
        <v>100</v>
      </c>
      <c r="AW294" t="s">
        <v>85</v>
      </c>
      <c r="AX294" t="s">
        <v>101</v>
      </c>
      <c r="AY294" t="s">
        <v>102</v>
      </c>
      <c r="AZ294" t="s">
        <v>103</v>
      </c>
      <c r="BA294" t="s">
        <v>245</v>
      </c>
      <c r="BB294" t="s">
        <v>78</v>
      </c>
      <c r="BC294" t="s">
        <v>78</v>
      </c>
      <c r="BD294" t="s">
        <v>1878</v>
      </c>
      <c r="BE294">
        <v>0</v>
      </c>
      <c r="BF294">
        <v>0</v>
      </c>
      <c r="BG294">
        <v>0</v>
      </c>
      <c r="BH294">
        <v>0</v>
      </c>
      <c r="BJ294" t="s">
        <v>85</v>
      </c>
      <c r="BP294" t="s">
        <v>78</v>
      </c>
      <c r="BQ294" t="s">
        <v>78</v>
      </c>
      <c r="BR294" t="s">
        <v>78</v>
      </c>
    </row>
    <row r="295" customFormat="1" spans="1:70">
      <c r="A295" t="s">
        <v>4166</v>
      </c>
      <c r="B295" t="s">
        <v>4166</v>
      </c>
      <c r="C295" t="s">
        <v>107</v>
      </c>
      <c r="D295" t="s">
        <v>123</v>
      </c>
      <c r="E295">
        <v>1</v>
      </c>
      <c r="F295" t="s">
        <v>3857</v>
      </c>
      <c r="G295" t="s">
        <v>124</v>
      </c>
      <c r="H295">
        <v>289</v>
      </c>
      <c r="I295">
        <v>289</v>
      </c>
      <c r="J295">
        <v>0</v>
      </c>
      <c r="K295">
        <v>0</v>
      </c>
      <c r="L295" t="s">
        <v>78</v>
      </c>
      <c r="M295" t="s">
        <v>78</v>
      </c>
      <c r="N295" t="s">
        <v>78</v>
      </c>
      <c r="O295">
        <v>0</v>
      </c>
      <c r="P295">
        <v>0</v>
      </c>
      <c r="Q295">
        <v>0</v>
      </c>
      <c r="R295" t="s">
        <v>125</v>
      </c>
      <c r="S295">
        <v>0</v>
      </c>
      <c r="T295" t="s">
        <v>80</v>
      </c>
      <c r="U295" t="s">
        <v>80</v>
      </c>
      <c r="V295" t="s">
        <v>152</v>
      </c>
      <c r="W295" t="s">
        <v>1920</v>
      </c>
      <c r="X295" t="s">
        <v>1921</v>
      </c>
      <c r="Y295" t="s">
        <v>1922</v>
      </c>
      <c r="Z295" t="s">
        <v>80</v>
      </c>
      <c r="AA295" t="s">
        <v>85</v>
      </c>
      <c r="AC295" t="s">
        <v>2126</v>
      </c>
      <c r="AD295" t="s">
        <v>202</v>
      </c>
      <c r="AE295" t="s">
        <v>2127</v>
      </c>
      <c r="AG295" t="s">
        <v>2128</v>
      </c>
      <c r="AH295" t="s">
        <v>91</v>
      </c>
      <c r="AI295" t="s">
        <v>92</v>
      </c>
      <c r="AJ295" t="s">
        <v>131</v>
      </c>
      <c r="AK295" t="s">
        <v>2129</v>
      </c>
      <c r="AL295" t="s">
        <v>95</v>
      </c>
      <c r="AM295" t="s">
        <v>96</v>
      </c>
      <c r="AN295" t="s">
        <v>97</v>
      </c>
      <c r="AO295" t="s">
        <v>98</v>
      </c>
      <c r="AP295" t="s">
        <v>78</v>
      </c>
      <c r="AQ295" t="s">
        <v>99</v>
      </c>
      <c r="AS295" t="s">
        <v>78</v>
      </c>
      <c r="AT295" t="s">
        <v>100</v>
      </c>
      <c r="AU295" t="s">
        <v>100</v>
      </c>
      <c r="AW295" t="s">
        <v>85</v>
      </c>
      <c r="AX295" t="s">
        <v>103</v>
      </c>
      <c r="AY295" t="s">
        <v>159</v>
      </c>
      <c r="AZ295" t="s">
        <v>103</v>
      </c>
      <c r="BA295" t="s">
        <v>419</v>
      </c>
      <c r="BB295" t="s">
        <v>78</v>
      </c>
      <c r="BC295" t="s">
        <v>78</v>
      </c>
      <c r="BD295" t="s">
        <v>1878</v>
      </c>
      <c r="BE295">
        <v>0</v>
      </c>
      <c r="BF295">
        <v>0</v>
      </c>
      <c r="BG295">
        <v>0</v>
      </c>
      <c r="BH295">
        <v>0</v>
      </c>
      <c r="BJ295" t="s">
        <v>85</v>
      </c>
      <c r="BP295" t="s">
        <v>78</v>
      </c>
      <c r="BQ295" t="s">
        <v>78</v>
      </c>
      <c r="BR295" t="s">
        <v>78</v>
      </c>
    </row>
    <row r="296" customFormat="1" spans="1:70">
      <c r="A296" t="s">
        <v>4167</v>
      </c>
      <c r="B296" t="s">
        <v>4167</v>
      </c>
      <c r="C296" t="s">
        <v>107</v>
      </c>
      <c r="D296" t="s">
        <v>108</v>
      </c>
      <c r="E296">
        <v>1</v>
      </c>
      <c r="F296" t="s">
        <v>3857</v>
      </c>
      <c r="G296" t="s">
        <v>110</v>
      </c>
      <c r="H296">
        <v>289</v>
      </c>
      <c r="I296">
        <v>289</v>
      </c>
      <c r="J296">
        <v>0</v>
      </c>
      <c r="K296">
        <v>0</v>
      </c>
      <c r="L296" t="s">
        <v>78</v>
      </c>
      <c r="M296" t="s">
        <v>78</v>
      </c>
      <c r="N296" t="s">
        <v>78</v>
      </c>
      <c r="O296">
        <v>0</v>
      </c>
      <c r="P296">
        <v>0</v>
      </c>
      <c r="Q296">
        <v>0</v>
      </c>
      <c r="R296" t="s">
        <v>111</v>
      </c>
      <c r="S296">
        <v>0</v>
      </c>
      <c r="T296" t="s">
        <v>80</v>
      </c>
      <c r="U296" t="s">
        <v>80</v>
      </c>
      <c r="V296" t="s">
        <v>161</v>
      </c>
      <c r="W296" t="s">
        <v>161</v>
      </c>
      <c r="X296" t="s">
        <v>2131</v>
      </c>
      <c r="Y296" t="s">
        <v>2132</v>
      </c>
      <c r="Z296" t="s">
        <v>80</v>
      </c>
      <c r="AA296" t="s">
        <v>85</v>
      </c>
      <c r="AC296" t="s">
        <v>2133</v>
      </c>
      <c r="AD296" t="s">
        <v>87</v>
      </c>
      <c r="AG296" t="s">
        <v>2134</v>
      </c>
      <c r="AH296" t="s">
        <v>91</v>
      </c>
      <c r="AI296" t="s">
        <v>92</v>
      </c>
      <c r="AJ296" t="s">
        <v>131</v>
      </c>
      <c r="AK296" t="s">
        <v>2135</v>
      </c>
      <c r="AL296" t="s">
        <v>95</v>
      </c>
      <c r="AM296" t="s">
        <v>96</v>
      </c>
      <c r="AN296" t="s">
        <v>97</v>
      </c>
      <c r="AO296" t="s">
        <v>98</v>
      </c>
      <c r="AP296" t="s">
        <v>78</v>
      </c>
      <c r="AQ296" t="s">
        <v>99</v>
      </c>
      <c r="AS296" t="s">
        <v>78</v>
      </c>
      <c r="AT296" t="s">
        <v>100</v>
      </c>
      <c r="AU296" t="s">
        <v>100</v>
      </c>
      <c r="AW296" t="s">
        <v>85</v>
      </c>
      <c r="AX296" t="s">
        <v>103</v>
      </c>
      <c r="AY296" t="s">
        <v>159</v>
      </c>
      <c r="AZ296" t="s">
        <v>103</v>
      </c>
      <c r="BA296" t="s">
        <v>120</v>
      </c>
      <c r="BB296" t="s">
        <v>78</v>
      </c>
      <c r="BC296" t="s">
        <v>78</v>
      </c>
      <c r="BE296">
        <v>0</v>
      </c>
      <c r="BF296">
        <v>0</v>
      </c>
      <c r="BG296">
        <v>0</v>
      </c>
      <c r="BH296">
        <v>0</v>
      </c>
      <c r="BJ296" t="s">
        <v>85</v>
      </c>
      <c r="BP296" t="s">
        <v>78</v>
      </c>
      <c r="BQ296" t="s">
        <v>78</v>
      </c>
      <c r="BR296" t="s">
        <v>78</v>
      </c>
    </row>
    <row r="297" customFormat="1" spans="1:70">
      <c r="A297" t="s">
        <v>4168</v>
      </c>
      <c r="B297" t="s">
        <v>4168</v>
      </c>
      <c r="C297" t="s">
        <v>107</v>
      </c>
      <c r="D297" t="s">
        <v>108</v>
      </c>
      <c r="E297">
        <v>1</v>
      </c>
      <c r="F297" t="s">
        <v>3857</v>
      </c>
      <c r="G297" t="s">
        <v>110</v>
      </c>
      <c r="H297">
        <v>289</v>
      </c>
      <c r="I297">
        <v>289</v>
      </c>
      <c r="J297">
        <v>0</v>
      </c>
      <c r="K297">
        <v>0</v>
      </c>
      <c r="L297" t="s">
        <v>78</v>
      </c>
      <c r="M297" t="s">
        <v>78</v>
      </c>
      <c r="N297" t="s">
        <v>78</v>
      </c>
      <c r="O297">
        <v>0</v>
      </c>
      <c r="P297">
        <v>0</v>
      </c>
      <c r="Q297">
        <v>0</v>
      </c>
      <c r="R297" t="s">
        <v>125</v>
      </c>
      <c r="S297">
        <v>0</v>
      </c>
      <c r="T297" t="s">
        <v>80</v>
      </c>
      <c r="U297" t="s">
        <v>80</v>
      </c>
      <c r="V297" t="s">
        <v>126</v>
      </c>
      <c r="W297" t="s">
        <v>518</v>
      </c>
      <c r="X297" t="s">
        <v>979</v>
      </c>
      <c r="Y297" t="s">
        <v>1352</v>
      </c>
      <c r="Z297" t="s">
        <v>80</v>
      </c>
      <c r="AA297" t="s">
        <v>85</v>
      </c>
      <c r="AC297" t="s">
        <v>2137</v>
      </c>
      <c r="AD297" t="s">
        <v>87</v>
      </c>
      <c r="AG297" t="s">
        <v>2138</v>
      </c>
      <c r="AH297" t="s">
        <v>227</v>
      </c>
      <c r="AI297" t="s">
        <v>92</v>
      </c>
      <c r="AJ297" t="s">
        <v>131</v>
      </c>
      <c r="AK297" t="s">
        <v>2139</v>
      </c>
      <c r="AL297" t="s">
        <v>95</v>
      </c>
      <c r="AM297" t="s">
        <v>96</v>
      </c>
      <c r="AN297" t="s">
        <v>97</v>
      </c>
      <c r="AO297" t="s">
        <v>98</v>
      </c>
      <c r="AP297" t="s">
        <v>78</v>
      </c>
      <c r="AQ297" t="s">
        <v>99</v>
      </c>
      <c r="AS297" t="s">
        <v>78</v>
      </c>
      <c r="AT297" t="s">
        <v>100</v>
      </c>
      <c r="AU297" t="s">
        <v>100</v>
      </c>
      <c r="AW297" t="s">
        <v>85</v>
      </c>
      <c r="AX297" t="s">
        <v>101</v>
      </c>
      <c r="AY297" t="s">
        <v>102</v>
      </c>
      <c r="AZ297" t="s">
        <v>103</v>
      </c>
      <c r="BA297" t="s">
        <v>133</v>
      </c>
      <c r="BB297" t="s">
        <v>78</v>
      </c>
      <c r="BC297" t="s">
        <v>78</v>
      </c>
      <c r="BE297">
        <v>0</v>
      </c>
      <c r="BF297">
        <v>0</v>
      </c>
      <c r="BG297">
        <v>0</v>
      </c>
      <c r="BH297">
        <v>0</v>
      </c>
      <c r="BJ297" t="s">
        <v>85</v>
      </c>
      <c r="BP297" t="s">
        <v>78</v>
      </c>
      <c r="BQ297" t="s">
        <v>78</v>
      </c>
      <c r="BR297" t="s">
        <v>78</v>
      </c>
    </row>
    <row r="298" customFormat="1" spans="1:70">
      <c r="A298" t="s">
        <v>4169</v>
      </c>
      <c r="B298" t="s">
        <v>4169</v>
      </c>
      <c r="C298" t="s">
        <v>107</v>
      </c>
      <c r="D298" t="s">
        <v>135</v>
      </c>
      <c r="E298">
        <v>1</v>
      </c>
      <c r="F298" t="s">
        <v>3857</v>
      </c>
      <c r="G298" t="s">
        <v>136</v>
      </c>
      <c r="H298">
        <v>289</v>
      </c>
      <c r="I298">
        <v>289</v>
      </c>
      <c r="J298">
        <v>0</v>
      </c>
      <c r="K298">
        <v>0</v>
      </c>
      <c r="L298" t="s">
        <v>78</v>
      </c>
      <c r="M298" t="s">
        <v>78</v>
      </c>
      <c r="N298" t="s">
        <v>78</v>
      </c>
      <c r="O298">
        <v>0</v>
      </c>
      <c r="P298">
        <v>0</v>
      </c>
      <c r="Q298">
        <v>0</v>
      </c>
      <c r="R298" t="s">
        <v>79</v>
      </c>
      <c r="S298">
        <v>0</v>
      </c>
      <c r="T298" t="s">
        <v>80</v>
      </c>
      <c r="U298" t="s">
        <v>80</v>
      </c>
      <c r="V298" t="s">
        <v>221</v>
      </c>
      <c r="W298" t="s">
        <v>599</v>
      </c>
      <c r="X298" t="s">
        <v>2141</v>
      </c>
      <c r="Y298" t="s">
        <v>2142</v>
      </c>
      <c r="Z298" t="s">
        <v>80</v>
      </c>
      <c r="AA298" t="s">
        <v>85</v>
      </c>
      <c r="AC298" t="s">
        <v>2143</v>
      </c>
      <c r="AD298" t="s">
        <v>87</v>
      </c>
      <c r="AG298" t="s">
        <v>2144</v>
      </c>
      <c r="AH298" t="s">
        <v>91</v>
      </c>
      <c r="AI298" t="s">
        <v>92</v>
      </c>
      <c r="AJ298" t="s">
        <v>131</v>
      </c>
      <c r="AK298" t="s">
        <v>2145</v>
      </c>
      <c r="AL298" t="s">
        <v>95</v>
      </c>
      <c r="AM298" t="s">
        <v>96</v>
      </c>
      <c r="AN298" t="s">
        <v>97</v>
      </c>
      <c r="AO298" t="s">
        <v>98</v>
      </c>
      <c r="AP298" t="s">
        <v>78</v>
      </c>
      <c r="AQ298" t="s">
        <v>99</v>
      </c>
      <c r="AS298" t="s">
        <v>78</v>
      </c>
      <c r="AT298" t="s">
        <v>100</v>
      </c>
      <c r="AU298" t="s">
        <v>100</v>
      </c>
      <c r="AW298" t="s">
        <v>85</v>
      </c>
      <c r="AX298" t="s">
        <v>101</v>
      </c>
      <c r="AY298" t="s">
        <v>102</v>
      </c>
      <c r="AZ298" t="s">
        <v>103</v>
      </c>
      <c r="BA298" t="s">
        <v>133</v>
      </c>
      <c r="BB298" t="s">
        <v>78</v>
      </c>
      <c r="BC298" t="s">
        <v>78</v>
      </c>
      <c r="BE298">
        <v>0</v>
      </c>
      <c r="BF298">
        <v>0</v>
      </c>
      <c r="BG298">
        <v>0</v>
      </c>
      <c r="BH298">
        <v>0</v>
      </c>
      <c r="BJ298" t="s">
        <v>85</v>
      </c>
      <c r="BP298" t="s">
        <v>78</v>
      </c>
      <c r="BQ298" t="s">
        <v>78</v>
      </c>
      <c r="BR298" t="s">
        <v>78</v>
      </c>
    </row>
    <row r="299" customFormat="1" spans="1:70">
      <c r="A299" t="s">
        <v>4170</v>
      </c>
      <c r="B299" t="s">
        <v>4170</v>
      </c>
      <c r="C299" t="s">
        <v>107</v>
      </c>
      <c r="D299" t="s">
        <v>108</v>
      </c>
      <c r="E299">
        <v>1</v>
      </c>
      <c r="F299" t="s">
        <v>3857</v>
      </c>
      <c r="G299" t="s">
        <v>110</v>
      </c>
      <c r="H299">
        <v>289</v>
      </c>
      <c r="I299">
        <v>267</v>
      </c>
      <c r="J299">
        <v>0</v>
      </c>
      <c r="K299">
        <v>22</v>
      </c>
      <c r="L299" t="s">
        <v>2147</v>
      </c>
      <c r="M299" t="s">
        <v>78</v>
      </c>
      <c r="N299" t="s">
        <v>78</v>
      </c>
      <c r="O299">
        <v>0</v>
      </c>
      <c r="P299">
        <v>0</v>
      </c>
      <c r="Q299">
        <v>0</v>
      </c>
      <c r="R299" t="s">
        <v>125</v>
      </c>
      <c r="S299">
        <v>0</v>
      </c>
      <c r="T299" t="s">
        <v>80</v>
      </c>
      <c r="U299" t="s">
        <v>80</v>
      </c>
      <c r="V299" t="s">
        <v>464</v>
      </c>
      <c r="W299" t="s">
        <v>542</v>
      </c>
      <c r="X299" t="s">
        <v>2148</v>
      </c>
      <c r="Y299" t="s">
        <v>2149</v>
      </c>
      <c r="Z299" t="s">
        <v>80</v>
      </c>
      <c r="AA299" t="s">
        <v>85</v>
      </c>
      <c r="AC299" t="s">
        <v>2150</v>
      </c>
      <c r="AD299" t="s">
        <v>87</v>
      </c>
      <c r="AF299" t="s">
        <v>2151</v>
      </c>
      <c r="AG299" t="s">
        <v>2152</v>
      </c>
      <c r="AH299" t="s">
        <v>91</v>
      </c>
      <c r="AI299" t="s">
        <v>216</v>
      </c>
      <c r="AJ299" t="s">
        <v>93</v>
      </c>
      <c r="AK299" t="s">
        <v>2153</v>
      </c>
      <c r="AL299" t="s">
        <v>95</v>
      </c>
      <c r="AM299" t="s">
        <v>96</v>
      </c>
      <c r="AN299" t="s">
        <v>96</v>
      </c>
      <c r="AP299" t="s">
        <v>78</v>
      </c>
      <c r="AQ299" t="s">
        <v>78</v>
      </c>
      <c r="AS299" t="s">
        <v>78</v>
      </c>
      <c r="AT299" t="s">
        <v>100</v>
      </c>
      <c r="AU299" t="s">
        <v>100</v>
      </c>
      <c r="AW299" t="s">
        <v>85</v>
      </c>
      <c r="AX299" t="s">
        <v>101</v>
      </c>
      <c r="AY299" t="s">
        <v>102</v>
      </c>
      <c r="AZ299" t="s">
        <v>145</v>
      </c>
      <c r="BA299" t="s">
        <v>354</v>
      </c>
      <c r="BB299" t="s">
        <v>78</v>
      </c>
      <c r="BC299" t="s">
        <v>78</v>
      </c>
      <c r="BD299" t="s">
        <v>1878</v>
      </c>
      <c r="BE299">
        <v>0</v>
      </c>
      <c r="BF299">
        <v>22</v>
      </c>
      <c r="BG299">
        <v>0</v>
      </c>
      <c r="BH299">
        <v>0</v>
      </c>
      <c r="BJ299" t="s">
        <v>85</v>
      </c>
      <c r="BP299" t="s">
        <v>78</v>
      </c>
      <c r="BQ299" t="s">
        <v>78</v>
      </c>
      <c r="BR299" t="s">
        <v>78</v>
      </c>
    </row>
    <row r="300" customFormat="1" spans="1:70">
      <c r="A300" t="s">
        <v>4171</v>
      </c>
      <c r="B300" t="s">
        <v>4171</v>
      </c>
      <c r="C300" t="s">
        <v>2155</v>
      </c>
      <c r="D300" t="s">
        <v>2156</v>
      </c>
      <c r="E300">
        <v>1</v>
      </c>
      <c r="F300" t="s">
        <v>4172</v>
      </c>
      <c r="G300" t="s">
        <v>2158</v>
      </c>
      <c r="H300">
        <v>239</v>
      </c>
      <c r="I300">
        <v>239</v>
      </c>
      <c r="J300">
        <v>0</v>
      </c>
      <c r="K300">
        <v>0</v>
      </c>
      <c r="L300" t="s">
        <v>78</v>
      </c>
      <c r="M300" t="s">
        <v>78</v>
      </c>
      <c r="N300" t="s">
        <v>78</v>
      </c>
      <c r="O300">
        <v>0</v>
      </c>
      <c r="P300">
        <v>0</v>
      </c>
      <c r="Q300">
        <v>0</v>
      </c>
      <c r="R300" t="s">
        <v>125</v>
      </c>
      <c r="S300">
        <v>0</v>
      </c>
      <c r="T300" t="s">
        <v>80</v>
      </c>
      <c r="U300" t="s">
        <v>80</v>
      </c>
      <c r="V300" t="s">
        <v>574</v>
      </c>
      <c r="W300" t="s">
        <v>574</v>
      </c>
      <c r="X300" t="s">
        <v>926</v>
      </c>
      <c r="Y300" t="s">
        <v>927</v>
      </c>
      <c r="Z300" t="s">
        <v>80</v>
      </c>
      <c r="AA300" t="s">
        <v>85</v>
      </c>
      <c r="AC300" t="s">
        <v>2159</v>
      </c>
      <c r="AD300" t="s">
        <v>87</v>
      </c>
      <c r="AF300" t="s">
        <v>2160</v>
      </c>
      <c r="AG300" t="s">
        <v>2161</v>
      </c>
      <c r="AH300" t="s">
        <v>91</v>
      </c>
      <c r="AI300" t="s">
        <v>216</v>
      </c>
      <c r="AJ300" t="s">
        <v>93</v>
      </c>
      <c r="AK300" t="s">
        <v>2162</v>
      </c>
      <c r="AL300" t="s">
        <v>95</v>
      </c>
      <c r="AM300" t="s">
        <v>96</v>
      </c>
      <c r="AN300" t="s">
        <v>96</v>
      </c>
      <c r="AP300" t="s">
        <v>78</v>
      </c>
      <c r="AQ300" t="s">
        <v>78</v>
      </c>
      <c r="AS300" t="s">
        <v>78</v>
      </c>
      <c r="AT300" t="s">
        <v>100</v>
      </c>
      <c r="AU300" t="s">
        <v>100</v>
      </c>
      <c r="AW300" t="s">
        <v>85</v>
      </c>
      <c r="AX300" t="s">
        <v>101</v>
      </c>
      <c r="AY300" t="s">
        <v>102</v>
      </c>
      <c r="AZ300" t="s">
        <v>145</v>
      </c>
      <c r="BA300" t="s">
        <v>354</v>
      </c>
      <c r="BB300" t="s">
        <v>78</v>
      </c>
      <c r="BC300" t="s">
        <v>78</v>
      </c>
      <c r="BD300" t="s">
        <v>2163</v>
      </c>
      <c r="BE300">
        <v>0</v>
      </c>
      <c r="BF300">
        <v>0</v>
      </c>
      <c r="BG300">
        <v>0</v>
      </c>
      <c r="BH300">
        <v>0</v>
      </c>
      <c r="BJ300" t="s">
        <v>85</v>
      </c>
      <c r="BP300" t="s">
        <v>78</v>
      </c>
      <c r="BQ300" t="s">
        <v>78</v>
      </c>
      <c r="BR300" t="s">
        <v>78</v>
      </c>
    </row>
    <row r="301" customFormat="1" spans="1:70">
      <c r="A301" t="s">
        <v>4171</v>
      </c>
      <c r="B301" t="s">
        <v>4173</v>
      </c>
      <c r="C301" t="s">
        <v>1050</v>
      </c>
      <c r="D301" t="s">
        <v>1051</v>
      </c>
      <c r="E301">
        <v>1</v>
      </c>
      <c r="F301" t="s">
        <v>3991</v>
      </c>
      <c r="G301" t="s">
        <v>1053</v>
      </c>
      <c r="H301">
        <v>129</v>
      </c>
      <c r="I301">
        <v>129</v>
      </c>
      <c r="J301">
        <v>0</v>
      </c>
      <c r="K301">
        <v>0</v>
      </c>
      <c r="L301" t="s">
        <v>78</v>
      </c>
      <c r="M301" t="s">
        <v>78</v>
      </c>
      <c r="N301" t="s">
        <v>78</v>
      </c>
      <c r="O301">
        <v>0</v>
      </c>
      <c r="P301">
        <v>0</v>
      </c>
      <c r="Q301">
        <v>0</v>
      </c>
      <c r="R301" t="s">
        <v>125</v>
      </c>
      <c r="S301">
        <v>0</v>
      </c>
      <c r="T301" t="s">
        <v>80</v>
      </c>
      <c r="U301" t="s">
        <v>80</v>
      </c>
      <c r="V301" t="s">
        <v>574</v>
      </c>
      <c r="W301" t="s">
        <v>574</v>
      </c>
      <c r="X301" t="s">
        <v>926</v>
      </c>
      <c r="Y301" t="s">
        <v>927</v>
      </c>
      <c r="Z301" t="s">
        <v>80</v>
      </c>
      <c r="AA301" t="s">
        <v>85</v>
      </c>
      <c r="AC301" t="s">
        <v>2159</v>
      </c>
      <c r="AD301" t="s">
        <v>87</v>
      </c>
      <c r="AF301" t="s">
        <v>2160</v>
      </c>
      <c r="AG301" t="s">
        <v>2161</v>
      </c>
      <c r="AH301" t="s">
        <v>91</v>
      </c>
      <c r="AI301" t="s">
        <v>92</v>
      </c>
      <c r="AJ301" t="s">
        <v>93</v>
      </c>
      <c r="AK301" t="s">
        <v>2162</v>
      </c>
      <c r="AL301" t="s">
        <v>95</v>
      </c>
      <c r="AM301" t="s">
        <v>96</v>
      </c>
      <c r="AN301" t="s">
        <v>97</v>
      </c>
      <c r="AO301" t="s">
        <v>98</v>
      </c>
      <c r="AP301" t="s">
        <v>78</v>
      </c>
      <c r="AQ301" t="s">
        <v>78</v>
      </c>
      <c r="AS301" t="s">
        <v>78</v>
      </c>
      <c r="AT301" t="s">
        <v>100</v>
      </c>
      <c r="AU301" t="s">
        <v>100</v>
      </c>
      <c r="AW301" t="s">
        <v>85</v>
      </c>
      <c r="AX301" t="s">
        <v>101</v>
      </c>
      <c r="AY301" t="s">
        <v>102</v>
      </c>
      <c r="AZ301" t="s">
        <v>103</v>
      </c>
      <c r="BA301" t="s">
        <v>120</v>
      </c>
      <c r="BB301" t="s">
        <v>78</v>
      </c>
      <c r="BC301" t="s">
        <v>78</v>
      </c>
      <c r="BD301" t="s">
        <v>2165</v>
      </c>
      <c r="BE301">
        <v>0</v>
      </c>
      <c r="BF301">
        <v>0</v>
      </c>
      <c r="BG301">
        <v>0</v>
      </c>
      <c r="BH301">
        <v>0</v>
      </c>
      <c r="BJ301" t="s">
        <v>85</v>
      </c>
      <c r="BP301" t="s">
        <v>78</v>
      </c>
      <c r="BQ301" t="s">
        <v>78</v>
      </c>
      <c r="BR301" t="s">
        <v>78</v>
      </c>
    </row>
    <row r="302" customFormat="1" spans="1:70">
      <c r="A302" t="s">
        <v>4174</v>
      </c>
      <c r="B302" t="s">
        <v>4174</v>
      </c>
      <c r="C302" t="s">
        <v>1080</v>
      </c>
      <c r="D302" t="s">
        <v>108</v>
      </c>
      <c r="E302">
        <v>1</v>
      </c>
      <c r="F302" t="s">
        <v>3996</v>
      </c>
      <c r="G302" t="s">
        <v>1082</v>
      </c>
      <c r="H302">
        <v>289</v>
      </c>
      <c r="I302">
        <v>289</v>
      </c>
      <c r="J302">
        <v>0</v>
      </c>
      <c r="K302">
        <v>0</v>
      </c>
      <c r="L302" t="s">
        <v>78</v>
      </c>
      <c r="M302" t="s">
        <v>78</v>
      </c>
      <c r="N302" t="s">
        <v>78</v>
      </c>
      <c r="O302">
        <v>0</v>
      </c>
      <c r="P302">
        <v>0</v>
      </c>
      <c r="Q302">
        <v>0</v>
      </c>
      <c r="R302" t="s">
        <v>79</v>
      </c>
      <c r="S302">
        <v>0</v>
      </c>
      <c r="T302" t="s">
        <v>80</v>
      </c>
      <c r="U302" t="s">
        <v>80</v>
      </c>
      <c r="V302" t="s">
        <v>464</v>
      </c>
      <c r="W302" t="s">
        <v>1460</v>
      </c>
      <c r="X302" t="s">
        <v>2167</v>
      </c>
      <c r="Y302" t="s">
        <v>2168</v>
      </c>
      <c r="Z302" t="s">
        <v>80</v>
      </c>
      <c r="AA302" t="s">
        <v>85</v>
      </c>
      <c r="AC302" t="s">
        <v>2169</v>
      </c>
      <c r="AD302" t="s">
        <v>87</v>
      </c>
      <c r="AF302" t="s">
        <v>2170</v>
      </c>
      <c r="AG302" t="s">
        <v>2171</v>
      </c>
      <c r="AH302" t="s">
        <v>227</v>
      </c>
      <c r="AI302" t="s">
        <v>216</v>
      </c>
      <c r="AJ302" t="s">
        <v>93</v>
      </c>
      <c r="AK302" t="s">
        <v>2172</v>
      </c>
      <c r="AL302" t="s">
        <v>95</v>
      </c>
      <c r="AM302" t="s">
        <v>96</v>
      </c>
      <c r="AN302" t="s">
        <v>96</v>
      </c>
      <c r="AP302" t="s">
        <v>78</v>
      </c>
      <c r="AQ302" t="s">
        <v>78</v>
      </c>
      <c r="AS302" t="s">
        <v>78</v>
      </c>
      <c r="AT302" t="s">
        <v>100</v>
      </c>
      <c r="AU302" t="s">
        <v>100</v>
      </c>
      <c r="AW302" t="s">
        <v>85</v>
      </c>
      <c r="AX302" t="s">
        <v>101</v>
      </c>
      <c r="AY302" t="s">
        <v>102</v>
      </c>
      <c r="AZ302" t="s">
        <v>145</v>
      </c>
      <c r="BA302" t="s">
        <v>525</v>
      </c>
      <c r="BB302" t="s">
        <v>78</v>
      </c>
      <c r="BC302" t="s">
        <v>78</v>
      </c>
      <c r="BD302" t="s">
        <v>2173</v>
      </c>
      <c r="BE302">
        <v>0</v>
      </c>
      <c r="BF302">
        <v>0</v>
      </c>
      <c r="BG302">
        <v>0</v>
      </c>
      <c r="BH302">
        <v>0</v>
      </c>
      <c r="BJ302" t="s">
        <v>85</v>
      </c>
      <c r="BP302" t="s">
        <v>78</v>
      </c>
      <c r="BQ302" t="s">
        <v>78</v>
      </c>
      <c r="BR302" t="s">
        <v>78</v>
      </c>
    </row>
    <row r="303" customFormat="1" spans="1:70">
      <c r="A303" t="s">
        <v>4175</v>
      </c>
      <c r="B303" t="s">
        <v>4175</v>
      </c>
      <c r="C303" t="s">
        <v>1068</v>
      </c>
      <c r="D303" t="s">
        <v>75</v>
      </c>
      <c r="E303">
        <v>1</v>
      </c>
      <c r="F303" t="s">
        <v>3994</v>
      </c>
      <c r="G303" t="s">
        <v>1070</v>
      </c>
      <c r="H303">
        <v>180</v>
      </c>
      <c r="I303">
        <v>175</v>
      </c>
      <c r="J303">
        <v>0</v>
      </c>
      <c r="K303">
        <v>5</v>
      </c>
      <c r="L303" t="s">
        <v>2175</v>
      </c>
      <c r="M303" t="s">
        <v>78</v>
      </c>
      <c r="N303" t="s">
        <v>78</v>
      </c>
      <c r="O303">
        <v>0</v>
      </c>
      <c r="P303">
        <v>0</v>
      </c>
      <c r="Q303">
        <v>0</v>
      </c>
      <c r="R303" t="s">
        <v>111</v>
      </c>
      <c r="S303">
        <v>0</v>
      </c>
      <c r="T303" t="s">
        <v>80</v>
      </c>
      <c r="U303" t="s">
        <v>80</v>
      </c>
      <c r="V303" t="s">
        <v>302</v>
      </c>
      <c r="W303" t="s">
        <v>1834</v>
      </c>
      <c r="X303" t="s">
        <v>2176</v>
      </c>
      <c r="Y303" t="s">
        <v>2177</v>
      </c>
      <c r="Z303" t="s">
        <v>80</v>
      </c>
      <c r="AA303" t="s">
        <v>85</v>
      </c>
      <c r="AC303" t="s">
        <v>2178</v>
      </c>
      <c r="AD303" t="s">
        <v>87</v>
      </c>
      <c r="AF303" t="s">
        <v>2179</v>
      </c>
      <c r="AG303" t="s">
        <v>2180</v>
      </c>
      <c r="AH303" t="s">
        <v>91</v>
      </c>
      <c r="AI303" t="s">
        <v>92</v>
      </c>
      <c r="AJ303" t="s">
        <v>93</v>
      </c>
      <c r="AK303" t="s">
        <v>2181</v>
      </c>
      <c r="AL303" t="s">
        <v>95</v>
      </c>
      <c r="AM303" t="s">
        <v>96</v>
      </c>
      <c r="AN303" t="s">
        <v>97</v>
      </c>
      <c r="AO303" t="s">
        <v>98</v>
      </c>
      <c r="AP303" t="s">
        <v>78</v>
      </c>
      <c r="AQ303" t="s">
        <v>78</v>
      </c>
      <c r="AS303" t="s">
        <v>78</v>
      </c>
      <c r="AT303" t="s">
        <v>100</v>
      </c>
      <c r="AU303" t="s">
        <v>100</v>
      </c>
      <c r="AW303" t="s">
        <v>85</v>
      </c>
      <c r="AX303" t="s">
        <v>101</v>
      </c>
      <c r="AY303" t="s">
        <v>102</v>
      </c>
      <c r="AZ303" t="s">
        <v>145</v>
      </c>
      <c r="BA303" t="s">
        <v>146</v>
      </c>
      <c r="BB303" t="s">
        <v>78</v>
      </c>
      <c r="BC303" t="s">
        <v>78</v>
      </c>
      <c r="BD303" t="s">
        <v>1078</v>
      </c>
      <c r="BE303">
        <v>0</v>
      </c>
      <c r="BF303">
        <v>5</v>
      </c>
      <c r="BG303">
        <v>0</v>
      </c>
      <c r="BH303">
        <v>0</v>
      </c>
      <c r="BJ303" t="s">
        <v>85</v>
      </c>
      <c r="BP303" t="s">
        <v>78</v>
      </c>
      <c r="BQ303" t="s">
        <v>78</v>
      </c>
      <c r="BR303" t="s">
        <v>78</v>
      </c>
    </row>
    <row r="304" customFormat="1" spans="1:70">
      <c r="A304" t="s">
        <v>4176</v>
      </c>
      <c r="B304" t="s">
        <v>4176</v>
      </c>
      <c r="C304" t="s">
        <v>1178</v>
      </c>
      <c r="D304" t="s">
        <v>123</v>
      </c>
      <c r="E304">
        <v>1</v>
      </c>
      <c r="F304" t="s">
        <v>4012</v>
      </c>
      <c r="G304" t="s">
        <v>2183</v>
      </c>
      <c r="H304">
        <v>189</v>
      </c>
      <c r="I304">
        <v>189</v>
      </c>
      <c r="J304">
        <v>0</v>
      </c>
      <c r="K304">
        <v>0</v>
      </c>
      <c r="L304" t="s">
        <v>78</v>
      </c>
      <c r="M304" t="s">
        <v>78</v>
      </c>
      <c r="N304" t="s">
        <v>78</v>
      </c>
      <c r="O304">
        <v>0</v>
      </c>
      <c r="P304">
        <v>0</v>
      </c>
      <c r="Q304">
        <v>0</v>
      </c>
      <c r="R304" t="s">
        <v>125</v>
      </c>
      <c r="S304">
        <v>0</v>
      </c>
      <c r="T304" t="s">
        <v>80</v>
      </c>
      <c r="U304" t="s">
        <v>80</v>
      </c>
      <c r="V304" t="s">
        <v>302</v>
      </c>
      <c r="W304" t="s">
        <v>412</v>
      </c>
      <c r="X304" t="s">
        <v>2184</v>
      </c>
      <c r="Y304" t="s">
        <v>2185</v>
      </c>
      <c r="Z304" t="s">
        <v>80</v>
      </c>
      <c r="AA304" t="s">
        <v>85</v>
      </c>
      <c r="AC304" t="s">
        <v>2186</v>
      </c>
      <c r="AD304" t="s">
        <v>202</v>
      </c>
      <c r="AE304" t="s">
        <v>2187</v>
      </c>
      <c r="AG304" t="s">
        <v>2188</v>
      </c>
      <c r="AH304" t="s">
        <v>91</v>
      </c>
      <c r="AI304" t="s">
        <v>216</v>
      </c>
      <c r="AJ304" t="s">
        <v>131</v>
      </c>
      <c r="AK304" t="s">
        <v>2189</v>
      </c>
      <c r="AL304" t="s">
        <v>95</v>
      </c>
      <c r="AM304" t="s">
        <v>96</v>
      </c>
      <c r="AN304" t="s">
        <v>96</v>
      </c>
      <c r="AP304" t="s">
        <v>78</v>
      </c>
      <c r="AQ304" t="s">
        <v>99</v>
      </c>
      <c r="AS304" t="s">
        <v>78</v>
      </c>
      <c r="AT304" t="s">
        <v>100</v>
      </c>
      <c r="AU304" t="s">
        <v>100</v>
      </c>
      <c r="AW304" t="s">
        <v>85</v>
      </c>
      <c r="AX304" t="s">
        <v>101</v>
      </c>
      <c r="AY304" t="s">
        <v>102</v>
      </c>
      <c r="AZ304" t="s">
        <v>145</v>
      </c>
      <c r="BA304" t="s">
        <v>218</v>
      </c>
      <c r="BB304" t="s">
        <v>78</v>
      </c>
      <c r="BC304" t="s">
        <v>78</v>
      </c>
      <c r="BD304" t="s">
        <v>2190</v>
      </c>
      <c r="BE304">
        <v>0</v>
      </c>
      <c r="BF304">
        <v>0</v>
      </c>
      <c r="BG304">
        <v>0</v>
      </c>
      <c r="BH304">
        <v>0</v>
      </c>
      <c r="BJ304" t="s">
        <v>85</v>
      </c>
      <c r="BP304" t="s">
        <v>78</v>
      </c>
      <c r="BQ304" t="s">
        <v>78</v>
      </c>
      <c r="BR304" t="s">
        <v>78</v>
      </c>
    </row>
    <row r="305" customFormat="1" spans="1:70">
      <c r="A305" t="s">
        <v>4177</v>
      </c>
      <c r="B305" t="s">
        <v>4177</v>
      </c>
      <c r="C305" t="s">
        <v>2192</v>
      </c>
      <c r="D305" t="s">
        <v>1038</v>
      </c>
      <c r="E305">
        <v>1</v>
      </c>
      <c r="F305" t="s">
        <v>4178</v>
      </c>
      <c r="G305" t="s">
        <v>2194</v>
      </c>
      <c r="H305">
        <v>319</v>
      </c>
      <c r="I305">
        <v>297</v>
      </c>
      <c r="J305">
        <v>0</v>
      </c>
      <c r="K305">
        <v>22</v>
      </c>
      <c r="L305" t="s">
        <v>2147</v>
      </c>
      <c r="M305" t="s">
        <v>78</v>
      </c>
      <c r="N305" t="s">
        <v>78</v>
      </c>
      <c r="O305">
        <v>0</v>
      </c>
      <c r="P305">
        <v>0</v>
      </c>
      <c r="Q305">
        <v>0</v>
      </c>
      <c r="R305" t="s">
        <v>125</v>
      </c>
      <c r="S305">
        <v>0</v>
      </c>
      <c r="T305" t="s">
        <v>80</v>
      </c>
      <c r="U305" t="s">
        <v>80</v>
      </c>
      <c r="V305" t="s">
        <v>464</v>
      </c>
      <c r="W305" t="s">
        <v>542</v>
      </c>
      <c r="X305" t="s">
        <v>2148</v>
      </c>
      <c r="Y305" t="s">
        <v>2149</v>
      </c>
      <c r="Z305" t="s">
        <v>80</v>
      </c>
      <c r="AA305" t="s">
        <v>85</v>
      </c>
      <c r="AC305" t="s">
        <v>2195</v>
      </c>
      <c r="AD305" t="s">
        <v>202</v>
      </c>
      <c r="AE305" t="s">
        <v>2196</v>
      </c>
      <c r="AG305" t="s">
        <v>2197</v>
      </c>
      <c r="AH305" t="s">
        <v>91</v>
      </c>
      <c r="AI305" t="s">
        <v>216</v>
      </c>
      <c r="AJ305" t="s">
        <v>131</v>
      </c>
      <c r="AK305" t="s">
        <v>2198</v>
      </c>
      <c r="AL305" t="s">
        <v>95</v>
      </c>
      <c r="AM305" t="s">
        <v>96</v>
      </c>
      <c r="AN305" t="s">
        <v>96</v>
      </c>
      <c r="AP305" t="s">
        <v>78</v>
      </c>
      <c r="AQ305" t="s">
        <v>99</v>
      </c>
      <c r="AS305" t="s">
        <v>78</v>
      </c>
      <c r="AT305" t="s">
        <v>100</v>
      </c>
      <c r="AU305" t="s">
        <v>100</v>
      </c>
      <c r="AW305" t="s">
        <v>85</v>
      </c>
      <c r="AX305" t="s">
        <v>101</v>
      </c>
      <c r="AY305" t="s">
        <v>102</v>
      </c>
      <c r="AZ305" t="s">
        <v>145</v>
      </c>
      <c r="BA305" t="s">
        <v>525</v>
      </c>
      <c r="BB305" t="s">
        <v>78</v>
      </c>
      <c r="BC305" t="s">
        <v>78</v>
      </c>
      <c r="BD305" t="s">
        <v>2199</v>
      </c>
      <c r="BE305">
        <v>0</v>
      </c>
      <c r="BF305">
        <v>22</v>
      </c>
      <c r="BG305">
        <v>0</v>
      </c>
      <c r="BH305">
        <v>0</v>
      </c>
      <c r="BJ305" t="s">
        <v>85</v>
      </c>
      <c r="BP305" t="s">
        <v>78</v>
      </c>
      <c r="BQ305" t="s">
        <v>78</v>
      </c>
      <c r="BR305" t="s">
        <v>78</v>
      </c>
    </row>
    <row r="306" customFormat="1" spans="1:70">
      <c r="A306" t="s">
        <v>4179</v>
      </c>
      <c r="B306" t="s">
        <v>4179</v>
      </c>
      <c r="C306" t="s">
        <v>107</v>
      </c>
      <c r="D306" t="s">
        <v>108</v>
      </c>
      <c r="E306">
        <v>1</v>
      </c>
      <c r="F306" t="s">
        <v>3857</v>
      </c>
      <c r="G306" t="s">
        <v>110</v>
      </c>
      <c r="H306">
        <v>289</v>
      </c>
      <c r="I306">
        <v>289</v>
      </c>
      <c r="J306">
        <v>0</v>
      </c>
      <c r="K306">
        <v>0</v>
      </c>
      <c r="L306" t="s">
        <v>78</v>
      </c>
      <c r="M306" t="s">
        <v>78</v>
      </c>
      <c r="N306" t="s">
        <v>78</v>
      </c>
      <c r="O306">
        <v>0</v>
      </c>
      <c r="P306">
        <v>0</v>
      </c>
      <c r="Q306">
        <v>0</v>
      </c>
      <c r="R306" t="s">
        <v>125</v>
      </c>
      <c r="S306">
        <v>0</v>
      </c>
      <c r="T306" t="s">
        <v>80</v>
      </c>
      <c r="U306" t="s">
        <v>80</v>
      </c>
      <c r="V306" t="s">
        <v>138</v>
      </c>
      <c r="W306" t="s">
        <v>2201</v>
      </c>
      <c r="X306" t="s">
        <v>2202</v>
      </c>
      <c r="Y306" t="s">
        <v>2203</v>
      </c>
      <c r="Z306" t="s">
        <v>80</v>
      </c>
      <c r="AA306" t="s">
        <v>85</v>
      </c>
      <c r="AC306" t="s">
        <v>2204</v>
      </c>
      <c r="AD306" t="s">
        <v>362</v>
      </c>
      <c r="AE306" t="s">
        <v>2205</v>
      </c>
      <c r="AF306" t="s">
        <v>2082</v>
      </c>
      <c r="AG306" t="s">
        <v>2206</v>
      </c>
      <c r="AH306" t="s">
        <v>91</v>
      </c>
      <c r="AI306" t="s">
        <v>92</v>
      </c>
      <c r="AJ306" t="s">
        <v>93</v>
      </c>
      <c r="AK306" t="s">
        <v>2207</v>
      </c>
      <c r="AL306" t="s">
        <v>95</v>
      </c>
      <c r="AM306" t="s">
        <v>96</v>
      </c>
      <c r="AN306" t="s">
        <v>97</v>
      </c>
      <c r="AO306" t="s">
        <v>98</v>
      </c>
      <c r="AP306" t="s">
        <v>78</v>
      </c>
      <c r="AQ306" t="s">
        <v>78</v>
      </c>
      <c r="AS306" t="s">
        <v>78</v>
      </c>
      <c r="AT306" t="s">
        <v>100</v>
      </c>
      <c r="AU306" t="s">
        <v>100</v>
      </c>
      <c r="AW306" t="s">
        <v>85</v>
      </c>
      <c r="AX306" t="s">
        <v>101</v>
      </c>
      <c r="AY306" t="s">
        <v>102</v>
      </c>
      <c r="AZ306" t="s">
        <v>145</v>
      </c>
      <c r="BA306" t="s">
        <v>146</v>
      </c>
      <c r="BB306" t="s">
        <v>78</v>
      </c>
      <c r="BC306" t="s">
        <v>78</v>
      </c>
      <c r="BD306" t="s">
        <v>1878</v>
      </c>
      <c r="BE306">
        <v>0</v>
      </c>
      <c r="BF306">
        <v>0</v>
      </c>
      <c r="BG306">
        <v>0</v>
      </c>
      <c r="BH306">
        <v>0</v>
      </c>
      <c r="BJ306" t="s">
        <v>85</v>
      </c>
      <c r="BP306" t="s">
        <v>78</v>
      </c>
      <c r="BQ306" t="s">
        <v>78</v>
      </c>
      <c r="BR306" t="s">
        <v>78</v>
      </c>
    </row>
    <row r="307" customFormat="1" spans="1:70">
      <c r="A307" t="s">
        <v>4180</v>
      </c>
      <c r="B307" t="s">
        <v>4180</v>
      </c>
      <c r="C307" t="s">
        <v>1050</v>
      </c>
      <c r="D307" t="s">
        <v>1153</v>
      </c>
      <c r="E307">
        <v>1</v>
      </c>
      <c r="F307" t="s">
        <v>3991</v>
      </c>
      <c r="G307" t="s">
        <v>1154</v>
      </c>
      <c r="H307">
        <v>129</v>
      </c>
      <c r="I307">
        <v>129</v>
      </c>
      <c r="J307">
        <v>0</v>
      </c>
      <c r="K307">
        <v>0</v>
      </c>
      <c r="L307" t="s">
        <v>78</v>
      </c>
      <c r="M307" t="s">
        <v>78</v>
      </c>
      <c r="N307" t="s">
        <v>78</v>
      </c>
      <c r="O307">
        <v>0</v>
      </c>
      <c r="P307">
        <v>0</v>
      </c>
      <c r="Q307">
        <v>0</v>
      </c>
      <c r="R307" t="s">
        <v>79</v>
      </c>
      <c r="S307">
        <v>0</v>
      </c>
      <c r="T307" t="s">
        <v>80</v>
      </c>
      <c r="U307" t="s">
        <v>80</v>
      </c>
      <c r="V307" t="s">
        <v>112</v>
      </c>
      <c r="W307" t="s">
        <v>906</v>
      </c>
      <c r="X307" t="s">
        <v>2209</v>
      </c>
      <c r="Y307" t="s">
        <v>2210</v>
      </c>
      <c r="Z307" t="s">
        <v>80</v>
      </c>
      <c r="AA307" t="s">
        <v>85</v>
      </c>
      <c r="AC307" t="s">
        <v>2211</v>
      </c>
      <c r="AD307" t="s">
        <v>87</v>
      </c>
      <c r="AG307" t="s">
        <v>2212</v>
      </c>
      <c r="AH307" t="s">
        <v>91</v>
      </c>
      <c r="AI307" t="s">
        <v>216</v>
      </c>
      <c r="AJ307" t="s">
        <v>131</v>
      </c>
      <c r="AK307" t="s">
        <v>2213</v>
      </c>
      <c r="AL307" t="s">
        <v>95</v>
      </c>
      <c r="AM307" t="s">
        <v>96</v>
      </c>
      <c r="AN307" t="s">
        <v>96</v>
      </c>
      <c r="AP307" t="s">
        <v>78</v>
      </c>
      <c r="AQ307" t="s">
        <v>99</v>
      </c>
      <c r="AS307" t="s">
        <v>78</v>
      </c>
      <c r="AT307" t="s">
        <v>100</v>
      </c>
      <c r="AU307" t="s">
        <v>100</v>
      </c>
      <c r="AW307" t="s">
        <v>85</v>
      </c>
      <c r="AX307" t="s">
        <v>101</v>
      </c>
      <c r="AY307" t="s">
        <v>102</v>
      </c>
      <c r="AZ307" t="s">
        <v>145</v>
      </c>
      <c r="BA307" t="s">
        <v>218</v>
      </c>
      <c r="BB307" t="s">
        <v>78</v>
      </c>
      <c r="BC307" t="s">
        <v>78</v>
      </c>
      <c r="BE307">
        <v>0</v>
      </c>
      <c r="BF307">
        <v>0</v>
      </c>
      <c r="BG307">
        <v>0</v>
      </c>
      <c r="BH307">
        <v>0</v>
      </c>
      <c r="BJ307" t="s">
        <v>85</v>
      </c>
      <c r="BP307" t="s">
        <v>78</v>
      </c>
      <c r="BQ307" t="s">
        <v>78</v>
      </c>
      <c r="BR307" t="s">
        <v>78</v>
      </c>
    </row>
    <row r="308" customFormat="1" spans="1:70">
      <c r="A308" t="s">
        <v>4181</v>
      </c>
      <c r="B308" t="s">
        <v>4181</v>
      </c>
      <c r="C308" t="s">
        <v>107</v>
      </c>
      <c r="D308" t="s">
        <v>108</v>
      </c>
      <c r="E308">
        <v>1</v>
      </c>
      <c r="F308" t="s">
        <v>3857</v>
      </c>
      <c r="G308" t="s">
        <v>110</v>
      </c>
      <c r="H308">
        <v>289</v>
      </c>
      <c r="I308">
        <v>289</v>
      </c>
      <c r="J308">
        <v>0</v>
      </c>
      <c r="K308">
        <v>0</v>
      </c>
      <c r="L308" t="s">
        <v>78</v>
      </c>
      <c r="M308" t="s">
        <v>78</v>
      </c>
      <c r="N308" t="s">
        <v>78</v>
      </c>
      <c r="O308">
        <v>0</v>
      </c>
      <c r="P308">
        <v>0</v>
      </c>
      <c r="Q308">
        <v>0</v>
      </c>
      <c r="R308" t="s">
        <v>125</v>
      </c>
      <c r="S308">
        <v>0</v>
      </c>
      <c r="T308" t="s">
        <v>80</v>
      </c>
      <c r="U308" t="s">
        <v>80</v>
      </c>
      <c r="V308" t="s">
        <v>509</v>
      </c>
      <c r="W308" t="s">
        <v>510</v>
      </c>
      <c r="X308" t="s">
        <v>511</v>
      </c>
      <c r="Y308" t="s">
        <v>512</v>
      </c>
      <c r="Z308" t="s">
        <v>80</v>
      </c>
      <c r="AA308" t="s">
        <v>85</v>
      </c>
      <c r="AC308" t="s">
        <v>2215</v>
      </c>
      <c r="AD308" t="s">
        <v>87</v>
      </c>
      <c r="AG308" t="s">
        <v>2216</v>
      </c>
      <c r="AH308" t="s">
        <v>91</v>
      </c>
      <c r="AI308" t="s">
        <v>92</v>
      </c>
      <c r="AJ308" t="s">
        <v>131</v>
      </c>
      <c r="AK308" t="s">
        <v>2217</v>
      </c>
      <c r="AL308" t="s">
        <v>95</v>
      </c>
      <c r="AM308" t="s">
        <v>96</v>
      </c>
      <c r="AN308" t="s">
        <v>97</v>
      </c>
      <c r="AO308" t="s">
        <v>98</v>
      </c>
      <c r="AP308" t="s">
        <v>78</v>
      </c>
      <c r="AQ308" t="s">
        <v>99</v>
      </c>
      <c r="AS308" t="s">
        <v>78</v>
      </c>
      <c r="AT308" t="s">
        <v>100</v>
      </c>
      <c r="AU308" t="s">
        <v>100</v>
      </c>
      <c r="AW308" t="s">
        <v>85</v>
      </c>
      <c r="AX308" t="s">
        <v>101</v>
      </c>
      <c r="AY308" t="s">
        <v>102</v>
      </c>
      <c r="AZ308" t="s">
        <v>145</v>
      </c>
      <c r="BA308" t="s">
        <v>146</v>
      </c>
      <c r="BB308" t="s">
        <v>78</v>
      </c>
      <c r="BC308" t="s">
        <v>78</v>
      </c>
      <c r="BE308">
        <v>0</v>
      </c>
      <c r="BF308">
        <v>0</v>
      </c>
      <c r="BG308">
        <v>0</v>
      </c>
      <c r="BH308">
        <v>0</v>
      </c>
      <c r="BJ308" t="s">
        <v>85</v>
      </c>
      <c r="BP308" t="s">
        <v>78</v>
      </c>
      <c r="BQ308" t="s">
        <v>78</v>
      </c>
      <c r="BR308" t="s">
        <v>78</v>
      </c>
    </row>
    <row r="309" customFormat="1" spans="1:70">
      <c r="A309" t="s">
        <v>4182</v>
      </c>
      <c r="B309" t="s">
        <v>4182</v>
      </c>
      <c r="C309" t="s">
        <v>1068</v>
      </c>
      <c r="D309" t="s">
        <v>230</v>
      </c>
      <c r="E309">
        <v>1</v>
      </c>
      <c r="F309" t="s">
        <v>3994</v>
      </c>
      <c r="G309" t="s">
        <v>2219</v>
      </c>
      <c r="H309">
        <v>180</v>
      </c>
      <c r="I309">
        <v>172</v>
      </c>
      <c r="J309">
        <v>0</v>
      </c>
      <c r="K309">
        <v>8</v>
      </c>
      <c r="L309" t="s">
        <v>2220</v>
      </c>
      <c r="M309" t="s">
        <v>78</v>
      </c>
      <c r="N309" t="s">
        <v>78</v>
      </c>
      <c r="O309">
        <v>0</v>
      </c>
      <c r="P309">
        <v>0</v>
      </c>
      <c r="Q309">
        <v>0</v>
      </c>
      <c r="R309" t="s">
        <v>79</v>
      </c>
      <c r="S309">
        <v>0</v>
      </c>
      <c r="T309" t="s">
        <v>80</v>
      </c>
      <c r="U309" t="s">
        <v>80</v>
      </c>
      <c r="V309" t="s">
        <v>302</v>
      </c>
      <c r="W309" t="s">
        <v>1358</v>
      </c>
      <c r="X309" t="s">
        <v>1359</v>
      </c>
      <c r="Y309" t="s">
        <v>1360</v>
      </c>
      <c r="Z309" t="s">
        <v>80</v>
      </c>
      <c r="AA309" t="s">
        <v>85</v>
      </c>
      <c r="AC309" t="s">
        <v>2221</v>
      </c>
      <c r="AD309" t="s">
        <v>87</v>
      </c>
      <c r="AG309" t="s">
        <v>2222</v>
      </c>
      <c r="AH309" t="s">
        <v>91</v>
      </c>
      <c r="AI309" t="s">
        <v>216</v>
      </c>
      <c r="AJ309" t="s">
        <v>131</v>
      </c>
      <c r="AK309" t="s">
        <v>2223</v>
      </c>
      <c r="AL309" t="s">
        <v>95</v>
      </c>
      <c r="AM309" t="s">
        <v>96</v>
      </c>
      <c r="AN309" t="s">
        <v>96</v>
      </c>
      <c r="AP309" t="s">
        <v>78</v>
      </c>
      <c r="AQ309" t="s">
        <v>99</v>
      </c>
      <c r="AS309" t="s">
        <v>78</v>
      </c>
      <c r="AT309" t="s">
        <v>100</v>
      </c>
      <c r="AU309" t="s">
        <v>100</v>
      </c>
      <c r="AW309" t="s">
        <v>85</v>
      </c>
      <c r="AX309" t="s">
        <v>101</v>
      </c>
      <c r="AY309" t="s">
        <v>102</v>
      </c>
      <c r="AZ309" t="s">
        <v>145</v>
      </c>
      <c r="BA309" t="s">
        <v>525</v>
      </c>
      <c r="BB309" t="s">
        <v>78</v>
      </c>
      <c r="BC309" t="s">
        <v>78</v>
      </c>
      <c r="BE309">
        <v>0</v>
      </c>
      <c r="BF309">
        <v>8</v>
      </c>
      <c r="BG309">
        <v>0</v>
      </c>
      <c r="BH309">
        <v>0</v>
      </c>
      <c r="BJ309" t="s">
        <v>85</v>
      </c>
      <c r="BP309" t="s">
        <v>78</v>
      </c>
      <c r="BQ309" t="s">
        <v>78</v>
      </c>
      <c r="BR309" t="s">
        <v>78</v>
      </c>
    </row>
    <row r="310" customFormat="1" spans="1:70">
      <c r="A310" t="s">
        <v>4183</v>
      </c>
      <c r="B310" t="s">
        <v>4183</v>
      </c>
      <c r="C310" t="s">
        <v>2225</v>
      </c>
      <c r="D310" t="s">
        <v>108</v>
      </c>
      <c r="E310">
        <v>1</v>
      </c>
      <c r="F310" t="s">
        <v>4184</v>
      </c>
      <c r="G310" t="s">
        <v>2227</v>
      </c>
      <c r="H310">
        <v>499</v>
      </c>
      <c r="I310">
        <v>499</v>
      </c>
      <c r="J310">
        <v>0</v>
      </c>
      <c r="K310">
        <v>0</v>
      </c>
      <c r="L310" t="s">
        <v>78</v>
      </c>
      <c r="M310" t="s">
        <v>78</v>
      </c>
      <c r="N310" t="s">
        <v>78</v>
      </c>
      <c r="O310">
        <v>0</v>
      </c>
      <c r="P310">
        <v>0</v>
      </c>
      <c r="Q310">
        <v>0</v>
      </c>
      <c r="R310" t="s">
        <v>111</v>
      </c>
      <c r="S310">
        <v>0</v>
      </c>
      <c r="T310" t="s">
        <v>80</v>
      </c>
      <c r="U310" t="s">
        <v>80</v>
      </c>
      <c r="V310" t="s">
        <v>138</v>
      </c>
      <c r="W310" t="s">
        <v>2228</v>
      </c>
      <c r="X310" t="s">
        <v>2229</v>
      </c>
      <c r="Y310" t="s">
        <v>2088</v>
      </c>
      <c r="Z310" t="s">
        <v>80</v>
      </c>
      <c r="AA310" t="s">
        <v>85</v>
      </c>
      <c r="AC310" t="s">
        <v>2230</v>
      </c>
      <c r="AD310" t="s">
        <v>87</v>
      </c>
      <c r="AF310" t="s">
        <v>2231</v>
      </c>
      <c r="AG310" t="s">
        <v>2232</v>
      </c>
      <c r="AH310" t="s">
        <v>91</v>
      </c>
      <c r="AI310" t="s">
        <v>216</v>
      </c>
      <c r="AJ310" t="s">
        <v>93</v>
      </c>
      <c r="AK310" t="s">
        <v>2233</v>
      </c>
      <c r="AL310" t="s">
        <v>95</v>
      </c>
      <c r="AM310" t="s">
        <v>96</v>
      </c>
      <c r="AN310" t="s">
        <v>96</v>
      </c>
      <c r="AP310" t="s">
        <v>78</v>
      </c>
      <c r="AQ310" t="s">
        <v>78</v>
      </c>
      <c r="AS310" t="s">
        <v>78</v>
      </c>
      <c r="AT310" t="s">
        <v>100</v>
      </c>
      <c r="AU310" t="s">
        <v>100</v>
      </c>
      <c r="AW310" t="s">
        <v>85</v>
      </c>
      <c r="AX310" t="s">
        <v>101</v>
      </c>
      <c r="AY310" t="s">
        <v>102</v>
      </c>
      <c r="AZ310" t="s">
        <v>145</v>
      </c>
      <c r="BA310" t="s">
        <v>218</v>
      </c>
      <c r="BB310" t="s">
        <v>78</v>
      </c>
      <c r="BC310" t="s">
        <v>78</v>
      </c>
      <c r="BD310" t="s">
        <v>2234</v>
      </c>
      <c r="BE310">
        <v>0</v>
      </c>
      <c r="BF310">
        <v>0</v>
      </c>
      <c r="BG310">
        <v>0</v>
      </c>
      <c r="BH310">
        <v>0</v>
      </c>
      <c r="BJ310" t="s">
        <v>85</v>
      </c>
      <c r="BP310" t="s">
        <v>78</v>
      </c>
      <c r="BQ310" t="s">
        <v>78</v>
      </c>
      <c r="BR310" t="s">
        <v>78</v>
      </c>
    </row>
    <row r="311" customFormat="1" spans="1:70">
      <c r="A311" t="s">
        <v>4185</v>
      </c>
      <c r="B311" t="s">
        <v>4185</v>
      </c>
      <c r="C311" t="s">
        <v>2225</v>
      </c>
      <c r="D311" t="s">
        <v>135</v>
      </c>
      <c r="E311">
        <v>1</v>
      </c>
      <c r="F311" t="s">
        <v>4184</v>
      </c>
      <c r="G311" t="s">
        <v>2236</v>
      </c>
      <c r="H311">
        <v>499</v>
      </c>
      <c r="I311">
        <v>481</v>
      </c>
      <c r="J311">
        <v>0</v>
      </c>
      <c r="K311">
        <v>18</v>
      </c>
      <c r="L311" t="s">
        <v>2068</v>
      </c>
      <c r="M311" t="s">
        <v>78</v>
      </c>
      <c r="N311" t="s">
        <v>78</v>
      </c>
      <c r="O311">
        <v>0</v>
      </c>
      <c r="P311">
        <v>0</v>
      </c>
      <c r="Q311">
        <v>0</v>
      </c>
      <c r="R311" t="s">
        <v>125</v>
      </c>
      <c r="S311">
        <v>0</v>
      </c>
      <c r="T311" t="s">
        <v>80</v>
      </c>
      <c r="U311" t="s">
        <v>80</v>
      </c>
      <c r="V311" t="s">
        <v>271</v>
      </c>
      <c r="W311" t="s">
        <v>272</v>
      </c>
      <c r="X311" t="s">
        <v>1546</v>
      </c>
      <c r="Y311" t="s">
        <v>2237</v>
      </c>
      <c r="Z311" t="s">
        <v>80</v>
      </c>
      <c r="AA311" t="s">
        <v>85</v>
      </c>
      <c r="AC311" t="s">
        <v>2238</v>
      </c>
      <c r="AD311" t="s">
        <v>87</v>
      </c>
      <c r="AG311" t="s">
        <v>2239</v>
      </c>
      <c r="AH311" t="s">
        <v>91</v>
      </c>
      <c r="AI311" t="s">
        <v>92</v>
      </c>
      <c r="AJ311" t="s">
        <v>131</v>
      </c>
      <c r="AK311" t="s">
        <v>2240</v>
      </c>
      <c r="AL311" t="s">
        <v>95</v>
      </c>
      <c r="AM311" t="s">
        <v>96</v>
      </c>
      <c r="AN311" t="s">
        <v>97</v>
      </c>
      <c r="AO311" t="s">
        <v>98</v>
      </c>
      <c r="AP311" t="s">
        <v>78</v>
      </c>
      <c r="AQ311" t="s">
        <v>99</v>
      </c>
      <c r="AS311" t="s">
        <v>78</v>
      </c>
      <c r="AT311" t="s">
        <v>100</v>
      </c>
      <c r="AU311" t="s">
        <v>100</v>
      </c>
      <c r="AW311" t="s">
        <v>85</v>
      </c>
      <c r="AX311" t="s">
        <v>101</v>
      </c>
      <c r="AY311" t="s">
        <v>102</v>
      </c>
      <c r="AZ311" t="s">
        <v>145</v>
      </c>
      <c r="BA311" t="s">
        <v>683</v>
      </c>
      <c r="BB311" t="s">
        <v>78</v>
      </c>
      <c r="BC311" t="s">
        <v>78</v>
      </c>
      <c r="BE311">
        <v>0</v>
      </c>
      <c r="BF311">
        <v>18</v>
      </c>
      <c r="BG311">
        <v>0</v>
      </c>
      <c r="BH311">
        <v>0</v>
      </c>
      <c r="BJ311" t="s">
        <v>85</v>
      </c>
      <c r="BP311" t="s">
        <v>78</v>
      </c>
      <c r="BQ311" t="s">
        <v>78</v>
      </c>
      <c r="BR311" t="s">
        <v>78</v>
      </c>
    </row>
    <row r="312" customFormat="1" spans="1:70">
      <c r="A312" t="s">
        <v>4186</v>
      </c>
      <c r="B312" t="s">
        <v>4186</v>
      </c>
      <c r="C312" t="s">
        <v>2242</v>
      </c>
      <c r="D312" t="s">
        <v>108</v>
      </c>
      <c r="E312">
        <v>1</v>
      </c>
      <c r="F312" t="s">
        <v>4187</v>
      </c>
      <c r="G312" t="s">
        <v>2244</v>
      </c>
      <c r="H312">
        <v>299</v>
      </c>
      <c r="I312">
        <v>299</v>
      </c>
      <c r="J312">
        <v>0</v>
      </c>
      <c r="K312">
        <v>0</v>
      </c>
      <c r="L312" t="s">
        <v>78</v>
      </c>
      <c r="M312" t="s">
        <v>78</v>
      </c>
      <c r="N312" t="s">
        <v>78</v>
      </c>
      <c r="O312">
        <v>0</v>
      </c>
      <c r="P312">
        <v>0</v>
      </c>
      <c r="Q312">
        <v>0</v>
      </c>
      <c r="R312" t="s">
        <v>125</v>
      </c>
      <c r="S312">
        <v>0</v>
      </c>
      <c r="T312" t="s">
        <v>80</v>
      </c>
      <c r="U312" t="s">
        <v>80</v>
      </c>
      <c r="V312" t="s">
        <v>574</v>
      </c>
      <c r="W312" t="s">
        <v>574</v>
      </c>
      <c r="X312" t="s">
        <v>926</v>
      </c>
      <c r="Y312" t="s">
        <v>927</v>
      </c>
      <c r="Z312" t="s">
        <v>80</v>
      </c>
      <c r="AA312" t="s">
        <v>85</v>
      </c>
      <c r="AC312" t="s">
        <v>2245</v>
      </c>
      <c r="AD312" t="s">
        <v>87</v>
      </c>
      <c r="AF312" t="s">
        <v>2246</v>
      </c>
      <c r="AG312" t="s">
        <v>2247</v>
      </c>
      <c r="AH312" t="s">
        <v>91</v>
      </c>
      <c r="AI312" t="s">
        <v>216</v>
      </c>
      <c r="AJ312" t="s">
        <v>93</v>
      </c>
      <c r="AK312" t="s">
        <v>2248</v>
      </c>
      <c r="AL312" t="s">
        <v>95</v>
      </c>
      <c r="AM312" t="s">
        <v>96</v>
      </c>
      <c r="AN312" t="s">
        <v>96</v>
      </c>
      <c r="AP312" t="s">
        <v>78</v>
      </c>
      <c r="AQ312" t="s">
        <v>78</v>
      </c>
      <c r="AS312" t="s">
        <v>78</v>
      </c>
      <c r="AT312" t="s">
        <v>100</v>
      </c>
      <c r="AU312" t="s">
        <v>100</v>
      </c>
      <c r="AW312" t="s">
        <v>85</v>
      </c>
      <c r="AX312" t="s">
        <v>101</v>
      </c>
      <c r="AY312" t="s">
        <v>102</v>
      </c>
      <c r="AZ312" t="s">
        <v>145</v>
      </c>
      <c r="BA312" t="s">
        <v>1077</v>
      </c>
      <c r="BB312" t="s">
        <v>78</v>
      </c>
      <c r="BC312" t="s">
        <v>78</v>
      </c>
      <c r="BD312" t="s">
        <v>2249</v>
      </c>
      <c r="BE312">
        <v>0</v>
      </c>
      <c r="BF312">
        <v>0</v>
      </c>
      <c r="BG312">
        <v>0</v>
      </c>
      <c r="BH312">
        <v>0</v>
      </c>
      <c r="BJ312" t="s">
        <v>85</v>
      </c>
      <c r="BP312" t="s">
        <v>78</v>
      </c>
      <c r="BQ312" t="s">
        <v>78</v>
      </c>
      <c r="BR312" t="s">
        <v>78</v>
      </c>
    </row>
    <row r="313" customFormat="1" spans="1:70">
      <c r="A313" t="s">
        <v>4188</v>
      </c>
      <c r="B313" t="s">
        <v>4188</v>
      </c>
      <c r="C313" t="s">
        <v>1068</v>
      </c>
      <c r="D313" t="s">
        <v>247</v>
      </c>
      <c r="E313">
        <v>1</v>
      </c>
      <c r="F313" t="s">
        <v>3994</v>
      </c>
      <c r="G313" t="s">
        <v>1104</v>
      </c>
      <c r="H313">
        <v>180</v>
      </c>
      <c r="I313">
        <v>180</v>
      </c>
      <c r="J313">
        <v>0</v>
      </c>
      <c r="K313">
        <v>0</v>
      </c>
      <c r="L313" t="s">
        <v>78</v>
      </c>
      <c r="M313" t="s">
        <v>78</v>
      </c>
      <c r="N313" t="s">
        <v>78</v>
      </c>
      <c r="O313">
        <v>0</v>
      </c>
      <c r="P313">
        <v>0</v>
      </c>
      <c r="Q313">
        <v>0</v>
      </c>
      <c r="R313" t="s">
        <v>125</v>
      </c>
      <c r="S313">
        <v>0</v>
      </c>
      <c r="T313" t="s">
        <v>80</v>
      </c>
      <c r="U313" t="s">
        <v>80</v>
      </c>
      <c r="V313" t="s">
        <v>221</v>
      </c>
      <c r="W313" t="s">
        <v>599</v>
      </c>
      <c r="X313" t="s">
        <v>1062</v>
      </c>
      <c r="Y313" t="s">
        <v>1063</v>
      </c>
      <c r="Z313" t="s">
        <v>80</v>
      </c>
      <c r="AA313" t="s">
        <v>85</v>
      </c>
      <c r="AC313" t="s">
        <v>2251</v>
      </c>
      <c r="AD313" t="s">
        <v>87</v>
      </c>
      <c r="AG313" t="s">
        <v>2252</v>
      </c>
      <c r="AH313" t="s">
        <v>91</v>
      </c>
      <c r="AI313" t="s">
        <v>92</v>
      </c>
      <c r="AJ313" t="s">
        <v>131</v>
      </c>
      <c r="AK313" t="s">
        <v>2253</v>
      </c>
      <c r="AL313" t="s">
        <v>95</v>
      </c>
      <c r="AM313" t="s">
        <v>96</v>
      </c>
      <c r="AN313" t="s">
        <v>97</v>
      </c>
      <c r="AO313" t="s">
        <v>98</v>
      </c>
      <c r="AP313" t="s">
        <v>78</v>
      </c>
      <c r="AQ313" t="s">
        <v>99</v>
      </c>
      <c r="AS313" t="s">
        <v>78</v>
      </c>
      <c r="AT313" t="s">
        <v>100</v>
      </c>
      <c r="AU313" t="s">
        <v>100</v>
      </c>
      <c r="AW313" t="s">
        <v>85</v>
      </c>
      <c r="AX313" t="s">
        <v>103</v>
      </c>
      <c r="AY313" t="s">
        <v>159</v>
      </c>
      <c r="AZ313" t="s">
        <v>103</v>
      </c>
      <c r="BA313" t="s">
        <v>104</v>
      </c>
      <c r="BB313" t="s">
        <v>78</v>
      </c>
      <c r="BC313" t="s">
        <v>78</v>
      </c>
      <c r="BE313">
        <v>0</v>
      </c>
      <c r="BF313">
        <v>0</v>
      </c>
      <c r="BG313">
        <v>0</v>
      </c>
      <c r="BH313">
        <v>0</v>
      </c>
      <c r="BJ313" t="s">
        <v>85</v>
      </c>
      <c r="BP313" t="s">
        <v>78</v>
      </c>
      <c r="BQ313" t="s">
        <v>78</v>
      </c>
      <c r="BR313" t="s">
        <v>78</v>
      </c>
    </row>
    <row r="314" customFormat="1" spans="1:70">
      <c r="A314" t="s">
        <v>4189</v>
      </c>
      <c r="B314" t="s">
        <v>4189</v>
      </c>
      <c r="C314" t="s">
        <v>1050</v>
      </c>
      <c r="D314" t="s">
        <v>2255</v>
      </c>
      <c r="E314">
        <v>1</v>
      </c>
      <c r="F314" t="s">
        <v>3991</v>
      </c>
      <c r="G314" t="s">
        <v>2256</v>
      </c>
      <c r="H314">
        <v>129</v>
      </c>
      <c r="I314">
        <v>129</v>
      </c>
      <c r="J314">
        <v>0</v>
      </c>
      <c r="K314">
        <v>0</v>
      </c>
      <c r="L314" t="s">
        <v>78</v>
      </c>
      <c r="M314" t="s">
        <v>78</v>
      </c>
      <c r="N314" t="s">
        <v>78</v>
      </c>
      <c r="O314">
        <v>0</v>
      </c>
      <c r="P314">
        <v>0</v>
      </c>
      <c r="Q314">
        <v>0</v>
      </c>
      <c r="R314" t="s">
        <v>79</v>
      </c>
      <c r="S314">
        <v>0</v>
      </c>
      <c r="T314" t="s">
        <v>80</v>
      </c>
      <c r="U314" t="s">
        <v>80</v>
      </c>
      <c r="V314" t="s">
        <v>271</v>
      </c>
      <c r="W314" t="s">
        <v>2257</v>
      </c>
      <c r="X314" t="s">
        <v>2258</v>
      </c>
      <c r="Y314" t="s">
        <v>2259</v>
      </c>
      <c r="Z314" t="s">
        <v>80</v>
      </c>
      <c r="AA314" t="s">
        <v>85</v>
      </c>
      <c r="AC314" t="s">
        <v>2260</v>
      </c>
      <c r="AD314" t="s">
        <v>87</v>
      </c>
      <c r="AG314" t="s">
        <v>2261</v>
      </c>
      <c r="AH314" t="s">
        <v>91</v>
      </c>
      <c r="AI314" t="s">
        <v>92</v>
      </c>
      <c r="AJ314" t="s">
        <v>131</v>
      </c>
      <c r="AK314" t="s">
        <v>2262</v>
      </c>
      <c r="AL314" t="s">
        <v>95</v>
      </c>
      <c r="AM314" t="s">
        <v>96</v>
      </c>
      <c r="AN314" t="s">
        <v>97</v>
      </c>
      <c r="AO314" t="s">
        <v>98</v>
      </c>
      <c r="AP314" t="s">
        <v>78</v>
      </c>
      <c r="AQ314" t="s">
        <v>99</v>
      </c>
      <c r="AS314" t="s">
        <v>78</v>
      </c>
      <c r="AT314" t="s">
        <v>100</v>
      </c>
      <c r="AU314" t="s">
        <v>100</v>
      </c>
      <c r="AW314" t="s">
        <v>85</v>
      </c>
      <c r="AX314" t="s">
        <v>101</v>
      </c>
      <c r="AY314" t="s">
        <v>102</v>
      </c>
      <c r="AZ314" t="s">
        <v>103</v>
      </c>
      <c r="BA314" t="s">
        <v>120</v>
      </c>
      <c r="BB314" t="s">
        <v>78</v>
      </c>
      <c r="BC314" t="s">
        <v>78</v>
      </c>
      <c r="BE314">
        <v>0</v>
      </c>
      <c r="BF314">
        <v>0</v>
      </c>
      <c r="BG314">
        <v>0</v>
      </c>
      <c r="BH314">
        <v>0</v>
      </c>
      <c r="BJ314" t="s">
        <v>85</v>
      </c>
      <c r="BP314" t="s">
        <v>78</v>
      </c>
      <c r="BQ314" t="s">
        <v>78</v>
      </c>
      <c r="BR314" t="s">
        <v>78</v>
      </c>
    </row>
    <row r="315" customFormat="1" spans="1:70">
      <c r="A315" t="s">
        <v>4190</v>
      </c>
      <c r="B315" t="s">
        <v>4190</v>
      </c>
      <c r="C315" t="s">
        <v>1080</v>
      </c>
      <c r="D315" t="s">
        <v>108</v>
      </c>
      <c r="E315">
        <v>1</v>
      </c>
      <c r="F315" t="s">
        <v>3996</v>
      </c>
      <c r="G315" t="s">
        <v>1082</v>
      </c>
      <c r="H315">
        <v>289</v>
      </c>
      <c r="I315">
        <v>289</v>
      </c>
      <c r="J315">
        <v>0</v>
      </c>
      <c r="K315">
        <v>0</v>
      </c>
      <c r="L315" t="s">
        <v>78</v>
      </c>
      <c r="M315" t="s">
        <v>78</v>
      </c>
      <c r="N315" t="s">
        <v>78</v>
      </c>
      <c r="O315">
        <v>0</v>
      </c>
      <c r="P315">
        <v>0</v>
      </c>
      <c r="Q315">
        <v>0</v>
      </c>
      <c r="R315" t="s">
        <v>125</v>
      </c>
      <c r="S315">
        <v>0</v>
      </c>
      <c r="T315" t="s">
        <v>80</v>
      </c>
      <c r="U315" t="s">
        <v>80</v>
      </c>
      <c r="V315" t="s">
        <v>221</v>
      </c>
      <c r="W315" t="s">
        <v>599</v>
      </c>
      <c r="X315" t="s">
        <v>1062</v>
      </c>
      <c r="Y315" t="s">
        <v>1063</v>
      </c>
      <c r="Z315" t="s">
        <v>80</v>
      </c>
      <c r="AA315" t="s">
        <v>85</v>
      </c>
      <c r="AC315" t="s">
        <v>2264</v>
      </c>
      <c r="AD315" t="s">
        <v>87</v>
      </c>
      <c r="AG315" t="s">
        <v>2265</v>
      </c>
      <c r="AH315" t="s">
        <v>91</v>
      </c>
      <c r="AI315" t="s">
        <v>92</v>
      </c>
      <c r="AJ315" t="s">
        <v>131</v>
      </c>
      <c r="AK315" t="s">
        <v>2266</v>
      </c>
      <c r="AL315" t="s">
        <v>95</v>
      </c>
      <c r="AM315" t="s">
        <v>96</v>
      </c>
      <c r="AN315" t="s">
        <v>97</v>
      </c>
      <c r="AO315" t="s">
        <v>98</v>
      </c>
      <c r="AP315" t="s">
        <v>78</v>
      </c>
      <c r="AQ315" t="s">
        <v>99</v>
      </c>
      <c r="AS315" t="s">
        <v>78</v>
      </c>
      <c r="AT315" t="s">
        <v>100</v>
      </c>
      <c r="AU315" t="s">
        <v>100</v>
      </c>
      <c r="AW315" t="s">
        <v>85</v>
      </c>
      <c r="AX315" t="s">
        <v>103</v>
      </c>
      <c r="AY315" t="s">
        <v>159</v>
      </c>
      <c r="AZ315" t="s">
        <v>103</v>
      </c>
      <c r="BA315" t="s">
        <v>104</v>
      </c>
      <c r="BB315" t="s">
        <v>78</v>
      </c>
      <c r="BC315" t="s">
        <v>78</v>
      </c>
      <c r="BE315">
        <v>0</v>
      </c>
      <c r="BF315">
        <v>0</v>
      </c>
      <c r="BG315">
        <v>0</v>
      </c>
      <c r="BH315">
        <v>0</v>
      </c>
      <c r="BJ315" t="s">
        <v>85</v>
      </c>
      <c r="BP315" t="s">
        <v>78</v>
      </c>
      <c r="BQ315" t="s">
        <v>78</v>
      </c>
      <c r="BR315" t="s">
        <v>78</v>
      </c>
    </row>
    <row r="316" customFormat="1" spans="1:70">
      <c r="A316" t="s">
        <v>4191</v>
      </c>
      <c r="B316" t="s">
        <v>4191</v>
      </c>
      <c r="C316" t="s">
        <v>1050</v>
      </c>
      <c r="D316" t="s">
        <v>2255</v>
      </c>
      <c r="E316">
        <v>1</v>
      </c>
      <c r="F316" t="s">
        <v>3991</v>
      </c>
      <c r="G316" t="s">
        <v>2256</v>
      </c>
      <c r="H316">
        <v>129</v>
      </c>
      <c r="I316">
        <v>129</v>
      </c>
      <c r="J316">
        <v>0</v>
      </c>
      <c r="K316">
        <v>0</v>
      </c>
      <c r="L316" t="s">
        <v>78</v>
      </c>
      <c r="M316" t="s">
        <v>78</v>
      </c>
      <c r="N316" t="s">
        <v>78</v>
      </c>
      <c r="O316">
        <v>0</v>
      </c>
      <c r="P316">
        <v>0</v>
      </c>
      <c r="Q316">
        <v>0</v>
      </c>
      <c r="R316" t="s">
        <v>79</v>
      </c>
      <c r="S316">
        <v>0</v>
      </c>
      <c r="T316" t="s">
        <v>80</v>
      </c>
      <c r="U316" t="s">
        <v>80</v>
      </c>
      <c r="V316" t="s">
        <v>152</v>
      </c>
      <c r="W316" t="s">
        <v>2268</v>
      </c>
      <c r="X316" t="s">
        <v>2269</v>
      </c>
      <c r="Y316" t="s">
        <v>2270</v>
      </c>
      <c r="Z316" t="s">
        <v>80</v>
      </c>
      <c r="AA316" t="s">
        <v>85</v>
      </c>
      <c r="AC316" t="s">
        <v>2271</v>
      </c>
      <c r="AD316" t="s">
        <v>87</v>
      </c>
      <c r="AH316" t="s">
        <v>91</v>
      </c>
      <c r="AI316" t="s">
        <v>92</v>
      </c>
      <c r="AJ316" t="s">
        <v>131</v>
      </c>
      <c r="AK316" t="s">
        <v>2272</v>
      </c>
      <c r="AL316" t="s">
        <v>95</v>
      </c>
      <c r="AM316" t="s">
        <v>96</v>
      </c>
      <c r="AN316" t="s">
        <v>97</v>
      </c>
      <c r="AO316" t="s">
        <v>98</v>
      </c>
      <c r="AP316" t="s">
        <v>78</v>
      </c>
      <c r="AQ316" t="s">
        <v>78</v>
      </c>
      <c r="AR316" t="s">
        <v>353</v>
      </c>
      <c r="AS316" t="s">
        <v>78</v>
      </c>
      <c r="AT316" t="s">
        <v>100</v>
      </c>
      <c r="AU316" t="s">
        <v>100</v>
      </c>
      <c r="AW316" t="s">
        <v>85</v>
      </c>
      <c r="AX316" t="s">
        <v>101</v>
      </c>
      <c r="AY316" t="s">
        <v>102</v>
      </c>
      <c r="AZ316" t="s">
        <v>103</v>
      </c>
      <c r="BA316" t="s">
        <v>102</v>
      </c>
      <c r="BB316" t="s">
        <v>78</v>
      </c>
      <c r="BC316" t="s">
        <v>78</v>
      </c>
      <c r="BE316">
        <v>0</v>
      </c>
      <c r="BF316">
        <v>0</v>
      </c>
      <c r="BG316">
        <v>0</v>
      </c>
      <c r="BH316">
        <v>0</v>
      </c>
      <c r="BJ316" t="s">
        <v>85</v>
      </c>
      <c r="BP316" t="s">
        <v>78</v>
      </c>
      <c r="BQ316" t="s">
        <v>78</v>
      </c>
      <c r="BR316" t="s">
        <v>78</v>
      </c>
    </row>
    <row r="317" customFormat="1" spans="1:70">
      <c r="A317" t="s">
        <v>4192</v>
      </c>
      <c r="B317" t="s">
        <v>4192</v>
      </c>
      <c r="C317" t="s">
        <v>1050</v>
      </c>
      <c r="D317" t="s">
        <v>2255</v>
      </c>
      <c r="E317">
        <v>1</v>
      </c>
      <c r="F317" t="s">
        <v>3991</v>
      </c>
      <c r="G317" t="s">
        <v>2256</v>
      </c>
      <c r="H317">
        <v>129</v>
      </c>
      <c r="I317">
        <v>129</v>
      </c>
      <c r="J317">
        <v>0</v>
      </c>
      <c r="K317">
        <v>0</v>
      </c>
      <c r="L317" t="s">
        <v>78</v>
      </c>
      <c r="M317" t="s">
        <v>78</v>
      </c>
      <c r="N317" t="s">
        <v>78</v>
      </c>
      <c r="O317">
        <v>0</v>
      </c>
      <c r="P317">
        <v>0</v>
      </c>
      <c r="Q317">
        <v>0</v>
      </c>
      <c r="R317" t="s">
        <v>111</v>
      </c>
      <c r="S317">
        <v>0</v>
      </c>
      <c r="T317" t="s">
        <v>80</v>
      </c>
      <c r="U317" t="s">
        <v>80</v>
      </c>
      <c r="V317" t="s">
        <v>152</v>
      </c>
      <c r="W317" t="s">
        <v>2268</v>
      </c>
      <c r="X317" t="s">
        <v>2269</v>
      </c>
      <c r="Y317" t="s">
        <v>2270</v>
      </c>
      <c r="Z317" t="s">
        <v>80</v>
      </c>
      <c r="AA317" t="s">
        <v>85</v>
      </c>
      <c r="AC317" t="s">
        <v>2274</v>
      </c>
      <c r="AD317" t="s">
        <v>87</v>
      </c>
      <c r="AH317" t="s">
        <v>91</v>
      </c>
      <c r="AI317" t="s">
        <v>92</v>
      </c>
      <c r="AJ317" t="s">
        <v>131</v>
      </c>
      <c r="AK317" t="s">
        <v>2275</v>
      </c>
      <c r="AL317" t="s">
        <v>95</v>
      </c>
      <c r="AM317" t="s">
        <v>96</v>
      </c>
      <c r="AN317" t="s">
        <v>97</v>
      </c>
      <c r="AO317" t="s">
        <v>98</v>
      </c>
      <c r="AP317" t="s">
        <v>78</v>
      </c>
      <c r="AQ317" t="s">
        <v>78</v>
      </c>
      <c r="AR317" t="s">
        <v>353</v>
      </c>
      <c r="AS317" t="s">
        <v>78</v>
      </c>
      <c r="AT317" t="s">
        <v>100</v>
      </c>
      <c r="AU317" t="s">
        <v>100</v>
      </c>
      <c r="AW317" t="s">
        <v>85</v>
      </c>
      <c r="AX317" t="s">
        <v>101</v>
      </c>
      <c r="AY317" t="s">
        <v>102</v>
      </c>
      <c r="AZ317" t="s">
        <v>103</v>
      </c>
      <c r="BA317" t="s">
        <v>102</v>
      </c>
      <c r="BB317" t="s">
        <v>78</v>
      </c>
      <c r="BC317" t="s">
        <v>78</v>
      </c>
      <c r="BE317">
        <v>0</v>
      </c>
      <c r="BF317">
        <v>0</v>
      </c>
      <c r="BG317">
        <v>0</v>
      </c>
      <c r="BH317">
        <v>0</v>
      </c>
      <c r="BJ317" t="s">
        <v>85</v>
      </c>
      <c r="BP317" t="s">
        <v>78</v>
      </c>
      <c r="BQ317" t="s">
        <v>78</v>
      </c>
      <c r="BR317" t="s">
        <v>78</v>
      </c>
    </row>
    <row r="318" customFormat="1" spans="1:70">
      <c r="A318" t="s">
        <v>4193</v>
      </c>
      <c r="B318" t="s">
        <v>4193</v>
      </c>
      <c r="C318" t="s">
        <v>1050</v>
      </c>
      <c r="D318" t="s">
        <v>1153</v>
      </c>
      <c r="E318">
        <v>1</v>
      </c>
      <c r="F318" t="s">
        <v>3991</v>
      </c>
      <c r="G318" t="s">
        <v>1154</v>
      </c>
      <c r="H318">
        <v>129</v>
      </c>
      <c r="I318">
        <v>129</v>
      </c>
      <c r="J318">
        <v>0</v>
      </c>
      <c r="K318">
        <v>0</v>
      </c>
      <c r="L318" t="s">
        <v>78</v>
      </c>
      <c r="M318" t="s">
        <v>78</v>
      </c>
      <c r="N318" t="s">
        <v>78</v>
      </c>
      <c r="O318">
        <v>0</v>
      </c>
      <c r="P318">
        <v>0</v>
      </c>
      <c r="Q318">
        <v>0</v>
      </c>
      <c r="R318" t="s">
        <v>125</v>
      </c>
      <c r="S318">
        <v>0</v>
      </c>
      <c r="T318" t="s">
        <v>80</v>
      </c>
      <c r="U318" t="s">
        <v>80</v>
      </c>
      <c r="V318" t="s">
        <v>447</v>
      </c>
      <c r="W318" t="s">
        <v>448</v>
      </c>
      <c r="X318" t="s">
        <v>2277</v>
      </c>
      <c r="Y318" t="s">
        <v>2278</v>
      </c>
      <c r="Z318" t="s">
        <v>80</v>
      </c>
      <c r="AA318" t="s">
        <v>85</v>
      </c>
      <c r="AC318" t="s">
        <v>2279</v>
      </c>
      <c r="AD318" t="s">
        <v>87</v>
      </c>
      <c r="AG318" t="s">
        <v>2280</v>
      </c>
      <c r="AH318" t="s">
        <v>91</v>
      </c>
      <c r="AI318" t="s">
        <v>92</v>
      </c>
      <c r="AJ318" t="s">
        <v>131</v>
      </c>
      <c r="AK318" t="s">
        <v>2281</v>
      </c>
      <c r="AL318" t="s">
        <v>95</v>
      </c>
      <c r="AM318" t="s">
        <v>96</v>
      </c>
      <c r="AN318" t="s">
        <v>97</v>
      </c>
      <c r="AO318" t="s">
        <v>98</v>
      </c>
      <c r="AP318" t="s">
        <v>78</v>
      </c>
      <c r="AQ318" t="s">
        <v>99</v>
      </c>
      <c r="AS318" t="s">
        <v>78</v>
      </c>
      <c r="AT318" t="s">
        <v>100</v>
      </c>
      <c r="AU318" t="s">
        <v>100</v>
      </c>
      <c r="AW318" t="s">
        <v>85</v>
      </c>
      <c r="AX318" t="s">
        <v>103</v>
      </c>
      <c r="AY318" t="s">
        <v>159</v>
      </c>
      <c r="AZ318" t="s">
        <v>103</v>
      </c>
      <c r="BA318" t="s">
        <v>133</v>
      </c>
      <c r="BB318" t="s">
        <v>78</v>
      </c>
      <c r="BC318" t="s">
        <v>78</v>
      </c>
      <c r="BE318">
        <v>0</v>
      </c>
      <c r="BF318">
        <v>0</v>
      </c>
      <c r="BG318">
        <v>0</v>
      </c>
      <c r="BH318">
        <v>0</v>
      </c>
      <c r="BJ318" t="s">
        <v>85</v>
      </c>
      <c r="BP318" t="s">
        <v>78</v>
      </c>
      <c r="BQ318" t="s">
        <v>78</v>
      </c>
      <c r="BR318" t="s">
        <v>78</v>
      </c>
    </row>
    <row r="319" customFormat="1" spans="1:70">
      <c r="A319" t="s">
        <v>4194</v>
      </c>
      <c r="B319" t="s">
        <v>4194</v>
      </c>
      <c r="C319" t="s">
        <v>1050</v>
      </c>
      <c r="D319" t="s">
        <v>2255</v>
      </c>
      <c r="E319">
        <v>1</v>
      </c>
      <c r="F319" t="s">
        <v>3991</v>
      </c>
      <c r="G319" t="s">
        <v>2256</v>
      </c>
      <c r="H319">
        <v>129</v>
      </c>
      <c r="I319">
        <v>129</v>
      </c>
      <c r="J319">
        <v>0</v>
      </c>
      <c r="K319">
        <v>0</v>
      </c>
      <c r="L319" t="s">
        <v>78</v>
      </c>
      <c r="M319" t="s">
        <v>78</v>
      </c>
      <c r="N319" t="s">
        <v>78</v>
      </c>
      <c r="O319">
        <v>0</v>
      </c>
      <c r="P319">
        <v>0</v>
      </c>
      <c r="Q319">
        <v>0</v>
      </c>
      <c r="R319" t="s">
        <v>125</v>
      </c>
      <c r="S319">
        <v>0</v>
      </c>
      <c r="T319" t="s">
        <v>80</v>
      </c>
      <c r="U319" t="s">
        <v>80</v>
      </c>
      <c r="V319" t="s">
        <v>152</v>
      </c>
      <c r="W319" t="s">
        <v>2268</v>
      </c>
      <c r="X319" t="s">
        <v>2269</v>
      </c>
      <c r="Y319" t="s">
        <v>2270</v>
      </c>
      <c r="Z319" t="s">
        <v>80</v>
      </c>
      <c r="AA319" t="s">
        <v>85</v>
      </c>
      <c r="AC319" t="s">
        <v>2279</v>
      </c>
      <c r="AD319" t="s">
        <v>87</v>
      </c>
      <c r="AH319" t="s">
        <v>91</v>
      </c>
      <c r="AI319" t="s">
        <v>92</v>
      </c>
      <c r="AJ319" t="s">
        <v>131</v>
      </c>
      <c r="AK319" t="s">
        <v>2283</v>
      </c>
      <c r="AL319" t="s">
        <v>95</v>
      </c>
      <c r="AM319" t="s">
        <v>96</v>
      </c>
      <c r="AN319" t="s">
        <v>97</v>
      </c>
      <c r="AO319" t="s">
        <v>98</v>
      </c>
      <c r="AP319" t="s">
        <v>78</v>
      </c>
      <c r="AQ319" t="s">
        <v>78</v>
      </c>
      <c r="AR319" t="s">
        <v>353</v>
      </c>
      <c r="AS319" t="s">
        <v>78</v>
      </c>
      <c r="AT319" t="s">
        <v>100</v>
      </c>
      <c r="AU319" t="s">
        <v>100</v>
      </c>
      <c r="AW319" t="s">
        <v>85</v>
      </c>
      <c r="AX319" t="s">
        <v>101</v>
      </c>
      <c r="AY319" t="s">
        <v>102</v>
      </c>
      <c r="AZ319" t="s">
        <v>103</v>
      </c>
      <c r="BA319" t="s">
        <v>419</v>
      </c>
      <c r="BB319" t="s">
        <v>78</v>
      </c>
      <c r="BC319" t="s">
        <v>78</v>
      </c>
      <c r="BE319">
        <v>0</v>
      </c>
      <c r="BF319">
        <v>0</v>
      </c>
      <c r="BG319">
        <v>0</v>
      </c>
      <c r="BH319">
        <v>0</v>
      </c>
      <c r="BJ319" t="s">
        <v>85</v>
      </c>
      <c r="BP319" t="s">
        <v>78</v>
      </c>
      <c r="BQ319" t="s">
        <v>78</v>
      </c>
      <c r="BR319" t="s">
        <v>78</v>
      </c>
    </row>
    <row r="320" customFormat="1" spans="1:70">
      <c r="A320" t="s">
        <v>4195</v>
      </c>
      <c r="B320" t="s">
        <v>4195</v>
      </c>
      <c r="C320" t="s">
        <v>1050</v>
      </c>
      <c r="D320" t="s">
        <v>1051</v>
      </c>
      <c r="E320">
        <v>1</v>
      </c>
      <c r="F320" t="s">
        <v>3991</v>
      </c>
      <c r="G320" t="s">
        <v>1053</v>
      </c>
      <c r="H320">
        <v>129</v>
      </c>
      <c r="I320">
        <v>129</v>
      </c>
      <c r="J320">
        <v>0</v>
      </c>
      <c r="K320">
        <v>0</v>
      </c>
      <c r="L320" t="s">
        <v>78</v>
      </c>
      <c r="M320" t="s">
        <v>78</v>
      </c>
      <c r="N320" t="s">
        <v>78</v>
      </c>
      <c r="O320">
        <v>0</v>
      </c>
      <c r="P320">
        <v>0</v>
      </c>
      <c r="Q320">
        <v>0</v>
      </c>
      <c r="R320" t="s">
        <v>79</v>
      </c>
      <c r="S320">
        <v>0</v>
      </c>
      <c r="T320" t="s">
        <v>80</v>
      </c>
      <c r="U320" t="s">
        <v>80</v>
      </c>
      <c r="V320" t="s">
        <v>221</v>
      </c>
      <c r="W320" t="s">
        <v>2285</v>
      </c>
      <c r="X320" t="s">
        <v>2286</v>
      </c>
      <c r="Y320" t="s">
        <v>2287</v>
      </c>
      <c r="Z320" t="s">
        <v>80</v>
      </c>
      <c r="AA320" t="s">
        <v>85</v>
      </c>
      <c r="AC320" t="s">
        <v>2288</v>
      </c>
      <c r="AD320" t="s">
        <v>202</v>
      </c>
      <c r="AE320" t="s">
        <v>2289</v>
      </c>
      <c r="AF320" t="s">
        <v>2290</v>
      </c>
      <c r="AG320" t="s">
        <v>2291</v>
      </c>
      <c r="AH320" t="s">
        <v>91</v>
      </c>
      <c r="AI320" t="s">
        <v>92</v>
      </c>
      <c r="AJ320" t="s">
        <v>93</v>
      </c>
      <c r="AK320" t="s">
        <v>2292</v>
      </c>
      <c r="AL320" t="s">
        <v>95</v>
      </c>
      <c r="AM320" t="s">
        <v>96</v>
      </c>
      <c r="AN320" t="s">
        <v>97</v>
      </c>
      <c r="AO320" t="s">
        <v>98</v>
      </c>
      <c r="AP320" t="s">
        <v>78</v>
      </c>
      <c r="AQ320" t="s">
        <v>99</v>
      </c>
      <c r="AS320" t="s">
        <v>78</v>
      </c>
      <c r="AT320" t="s">
        <v>100</v>
      </c>
      <c r="AU320" t="s">
        <v>100</v>
      </c>
      <c r="AW320" t="s">
        <v>85</v>
      </c>
      <c r="AX320" t="s">
        <v>101</v>
      </c>
      <c r="AY320" t="s">
        <v>102</v>
      </c>
      <c r="AZ320" t="s">
        <v>103</v>
      </c>
      <c r="BA320" t="s">
        <v>133</v>
      </c>
      <c r="BB320" t="s">
        <v>78</v>
      </c>
      <c r="BC320" t="s">
        <v>78</v>
      </c>
      <c r="BD320" t="s">
        <v>2293</v>
      </c>
      <c r="BE320">
        <v>0</v>
      </c>
      <c r="BF320">
        <v>0</v>
      </c>
      <c r="BG320">
        <v>0</v>
      </c>
      <c r="BH320">
        <v>0</v>
      </c>
      <c r="BJ320" t="s">
        <v>85</v>
      </c>
      <c r="BP320" t="s">
        <v>78</v>
      </c>
      <c r="BQ320" t="s">
        <v>78</v>
      </c>
      <c r="BR320" t="s">
        <v>78</v>
      </c>
    </row>
    <row r="321" customFormat="1" spans="1:70">
      <c r="A321" t="s">
        <v>4196</v>
      </c>
      <c r="B321" t="s">
        <v>4196</v>
      </c>
      <c r="C321" t="s">
        <v>1068</v>
      </c>
      <c r="D321" t="s">
        <v>75</v>
      </c>
      <c r="E321">
        <v>1</v>
      </c>
      <c r="F321" t="s">
        <v>3994</v>
      </c>
      <c r="G321" t="s">
        <v>1070</v>
      </c>
      <c r="H321">
        <v>180</v>
      </c>
      <c r="I321">
        <v>180</v>
      </c>
      <c r="J321">
        <v>0</v>
      </c>
      <c r="K321">
        <v>0</v>
      </c>
      <c r="L321" t="s">
        <v>78</v>
      </c>
      <c r="M321" t="s">
        <v>78</v>
      </c>
      <c r="N321" t="s">
        <v>78</v>
      </c>
      <c r="O321">
        <v>0</v>
      </c>
      <c r="P321">
        <v>0</v>
      </c>
      <c r="Q321">
        <v>0</v>
      </c>
      <c r="R321" t="s">
        <v>111</v>
      </c>
      <c r="S321">
        <v>0</v>
      </c>
      <c r="T321" t="s">
        <v>80</v>
      </c>
      <c r="U321" t="s">
        <v>80</v>
      </c>
      <c r="V321" t="s">
        <v>112</v>
      </c>
      <c r="W321" t="s">
        <v>2295</v>
      </c>
      <c r="X321" t="s">
        <v>2296</v>
      </c>
      <c r="Y321" t="s">
        <v>2297</v>
      </c>
      <c r="Z321" t="s">
        <v>80</v>
      </c>
      <c r="AA321" t="s">
        <v>85</v>
      </c>
      <c r="AC321" t="s">
        <v>2298</v>
      </c>
      <c r="AD321" t="s">
        <v>87</v>
      </c>
      <c r="AF321" t="s">
        <v>2299</v>
      </c>
      <c r="AG321" t="s">
        <v>2300</v>
      </c>
      <c r="AH321" t="s">
        <v>91</v>
      </c>
      <c r="AI321" t="s">
        <v>216</v>
      </c>
      <c r="AJ321" t="s">
        <v>93</v>
      </c>
      <c r="AK321" t="s">
        <v>2301</v>
      </c>
      <c r="AL321" t="s">
        <v>95</v>
      </c>
      <c r="AM321" t="s">
        <v>96</v>
      </c>
      <c r="AN321" t="s">
        <v>96</v>
      </c>
      <c r="AP321" t="s">
        <v>78</v>
      </c>
      <c r="AQ321" t="s">
        <v>78</v>
      </c>
      <c r="AS321" t="s">
        <v>78</v>
      </c>
      <c r="AT321" t="s">
        <v>100</v>
      </c>
      <c r="AU321" t="s">
        <v>100</v>
      </c>
      <c r="AW321" t="s">
        <v>85</v>
      </c>
      <c r="AX321" t="s">
        <v>101</v>
      </c>
      <c r="AY321" t="s">
        <v>102</v>
      </c>
      <c r="AZ321" t="s">
        <v>145</v>
      </c>
      <c r="BA321" t="s">
        <v>525</v>
      </c>
      <c r="BB321" t="s">
        <v>78</v>
      </c>
      <c r="BC321" t="s">
        <v>78</v>
      </c>
      <c r="BD321" t="s">
        <v>1078</v>
      </c>
      <c r="BE321">
        <v>0</v>
      </c>
      <c r="BF321">
        <v>0</v>
      </c>
      <c r="BG321">
        <v>0</v>
      </c>
      <c r="BH321">
        <v>0</v>
      </c>
      <c r="BJ321" t="s">
        <v>85</v>
      </c>
      <c r="BP321" t="s">
        <v>78</v>
      </c>
      <c r="BQ321" t="s">
        <v>78</v>
      </c>
      <c r="BR321" t="s">
        <v>78</v>
      </c>
    </row>
    <row r="322" customFormat="1" spans="1:70">
      <c r="A322" t="s">
        <v>4197</v>
      </c>
      <c r="B322" t="s">
        <v>4197</v>
      </c>
      <c r="C322" t="s">
        <v>1068</v>
      </c>
      <c r="D322" t="s">
        <v>247</v>
      </c>
      <c r="E322">
        <v>1</v>
      </c>
      <c r="F322" t="s">
        <v>3994</v>
      </c>
      <c r="G322" t="s">
        <v>1104</v>
      </c>
      <c r="H322">
        <v>180</v>
      </c>
      <c r="I322">
        <v>180</v>
      </c>
      <c r="J322">
        <v>0</v>
      </c>
      <c r="K322">
        <v>0</v>
      </c>
      <c r="L322" t="s">
        <v>78</v>
      </c>
      <c r="M322" t="s">
        <v>78</v>
      </c>
      <c r="N322" t="s">
        <v>78</v>
      </c>
      <c r="O322">
        <v>0</v>
      </c>
      <c r="P322">
        <v>0</v>
      </c>
      <c r="Q322">
        <v>0</v>
      </c>
      <c r="R322" t="s">
        <v>111</v>
      </c>
      <c r="S322">
        <v>0</v>
      </c>
      <c r="T322" t="s">
        <v>80</v>
      </c>
      <c r="U322" t="s">
        <v>80</v>
      </c>
      <c r="V322" t="s">
        <v>112</v>
      </c>
      <c r="W322" t="s">
        <v>2295</v>
      </c>
      <c r="X322" t="s">
        <v>2296</v>
      </c>
      <c r="Y322" t="s">
        <v>2297</v>
      </c>
      <c r="Z322" t="s">
        <v>80</v>
      </c>
      <c r="AA322" t="s">
        <v>85</v>
      </c>
      <c r="AC322" t="s">
        <v>2303</v>
      </c>
      <c r="AD322" t="s">
        <v>87</v>
      </c>
      <c r="AG322" t="s">
        <v>2304</v>
      </c>
      <c r="AH322" t="s">
        <v>91</v>
      </c>
      <c r="AI322" t="s">
        <v>92</v>
      </c>
      <c r="AJ322" t="s">
        <v>131</v>
      </c>
      <c r="AK322" t="s">
        <v>2305</v>
      </c>
      <c r="AL322" t="s">
        <v>95</v>
      </c>
      <c r="AM322" t="s">
        <v>96</v>
      </c>
      <c r="AN322" t="s">
        <v>97</v>
      </c>
      <c r="AO322" t="s">
        <v>98</v>
      </c>
      <c r="AP322" t="s">
        <v>78</v>
      </c>
      <c r="AQ322" t="s">
        <v>99</v>
      </c>
      <c r="AS322" t="s">
        <v>78</v>
      </c>
      <c r="AT322" t="s">
        <v>100</v>
      </c>
      <c r="AU322" t="s">
        <v>100</v>
      </c>
      <c r="AW322" t="s">
        <v>85</v>
      </c>
      <c r="AX322" t="s">
        <v>103</v>
      </c>
      <c r="AY322" t="s">
        <v>159</v>
      </c>
      <c r="AZ322" t="s">
        <v>103</v>
      </c>
      <c r="BA322" t="s">
        <v>104</v>
      </c>
      <c r="BB322" t="s">
        <v>78</v>
      </c>
      <c r="BC322" t="s">
        <v>78</v>
      </c>
      <c r="BE322">
        <v>0</v>
      </c>
      <c r="BF322">
        <v>0</v>
      </c>
      <c r="BG322">
        <v>0</v>
      </c>
      <c r="BH322">
        <v>0</v>
      </c>
      <c r="BJ322" t="s">
        <v>85</v>
      </c>
      <c r="BP322" t="s">
        <v>78</v>
      </c>
      <c r="BQ322" t="s">
        <v>78</v>
      </c>
      <c r="BR322" t="s">
        <v>78</v>
      </c>
    </row>
    <row r="323" customFormat="1" spans="1:70">
      <c r="A323" t="s">
        <v>4198</v>
      </c>
      <c r="B323" t="s">
        <v>4198</v>
      </c>
      <c r="C323" t="s">
        <v>1068</v>
      </c>
      <c r="D323" t="s">
        <v>75</v>
      </c>
      <c r="E323">
        <v>1</v>
      </c>
      <c r="F323" t="s">
        <v>3994</v>
      </c>
      <c r="G323" t="s">
        <v>1070</v>
      </c>
      <c r="H323">
        <v>180</v>
      </c>
      <c r="I323">
        <v>180</v>
      </c>
      <c r="J323">
        <v>0</v>
      </c>
      <c r="K323">
        <v>0</v>
      </c>
      <c r="L323" t="s">
        <v>78</v>
      </c>
      <c r="M323" t="s">
        <v>78</v>
      </c>
      <c r="N323" t="s">
        <v>78</v>
      </c>
      <c r="O323">
        <v>0</v>
      </c>
      <c r="P323">
        <v>0</v>
      </c>
      <c r="Q323">
        <v>0</v>
      </c>
      <c r="R323" t="s">
        <v>125</v>
      </c>
      <c r="S323">
        <v>0</v>
      </c>
      <c r="T323" t="s">
        <v>80</v>
      </c>
      <c r="U323" t="s">
        <v>80</v>
      </c>
      <c r="V323" t="s">
        <v>1261</v>
      </c>
      <c r="W323" t="s">
        <v>2307</v>
      </c>
      <c r="X323" t="s">
        <v>2308</v>
      </c>
      <c r="Y323" t="s">
        <v>2309</v>
      </c>
      <c r="Z323" t="s">
        <v>80</v>
      </c>
      <c r="AA323" t="s">
        <v>85</v>
      </c>
      <c r="AC323" t="s">
        <v>2310</v>
      </c>
      <c r="AD323" t="s">
        <v>87</v>
      </c>
      <c r="AG323" t="s">
        <v>2311</v>
      </c>
      <c r="AH323" t="s">
        <v>91</v>
      </c>
      <c r="AI323" t="s">
        <v>92</v>
      </c>
      <c r="AJ323" t="s">
        <v>131</v>
      </c>
      <c r="AK323" t="s">
        <v>2312</v>
      </c>
      <c r="AL323" t="s">
        <v>95</v>
      </c>
      <c r="AM323" t="s">
        <v>96</v>
      </c>
      <c r="AN323" t="s">
        <v>97</v>
      </c>
      <c r="AO323" t="s">
        <v>98</v>
      </c>
      <c r="AP323" t="s">
        <v>78</v>
      </c>
      <c r="AQ323" t="s">
        <v>99</v>
      </c>
      <c r="AS323" t="s">
        <v>78</v>
      </c>
      <c r="AT323" t="s">
        <v>100</v>
      </c>
      <c r="AU323" t="s">
        <v>100</v>
      </c>
      <c r="AW323" t="s">
        <v>85</v>
      </c>
      <c r="AX323" t="s">
        <v>101</v>
      </c>
      <c r="AY323" t="s">
        <v>102</v>
      </c>
      <c r="AZ323" t="s">
        <v>103</v>
      </c>
      <c r="BA323" t="s">
        <v>104</v>
      </c>
      <c r="BB323" t="s">
        <v>78</v>
      </c>
      <c r="BC323" t="s">
        <v>78</v>
      </c>
      <c r="BE323">
        <v>0</v>
      </c>
      <c r="BF323">
        <v>0</v>
      </c>
      <c r="BG323">
        <v>0</v>
      </c>
      <c r="BH323">
        <v>0</v>
      </c>
      <c r="BJ323" t="s">
        <v>85</v>
      </c>
      <c r="BP323" t="s">
        <v>78</v>
      </c>
      <c r="BQ323" t="s">
        <v>78</v>
      </c>
      <c r="BR323" t="s">
        <v>78</v>
      </c>
    </row>
    <row r="324" customFormat="1" spans="1:70">
      <c r="A324" t="s">
        <v>4199</v>
      </c>
      <c r="B324" t="s">
        <v>4199</v>
      </c>
      <c r="C324" t="s">
        <v>107</v>
      </c>
      <c r="D324" t="s">
        <v>123</v>
      </c>
      <c r="E324">
        <v>1</v>
      </c>
      <c r="F324" t="s">
        <v>3857</v>
      </c>
      <c r="G324" t="s">
        <v>124</v>
      </c>
      <c r="H324">
        <v>289</v>
      </c>
      <c r="I324">
        <v>289</v>
      </c>
      <c r="J324">
        <v>0</v>
      </c>
      <c r="K324">
        <v>0</v>
      </c>
      <c r="L324" t="s">
        <v>78</v>
      </c>
      <c r="M324" t="s">
        <v>78</v>
      </c>
      <c r="N324" t="s">
        <v>78</v>
      </c>
      <c r="O324">
        <v>0</v>
      </c>
      <c r="P324">
        <v>0</v>
      </c>
      <c r="Q324">
        <v>0</v>
      </c>
      <c r="R324" t="s">
        <v>79</v>
      </c>
      <c r="S324">
        <v>0</v>
      </c>
      <c r="T324" t="s">
        <v>80</v>
      </c>
      <c r="U324" t="s">
        <v>80</v>
      </c>
      <c r="V324" t="s">
        <v>583</v>
      </c>
      <c r="W324" t="s">
        <v>2314</v>
      </c>
      <c r="X324" t="s">
        <v>2315</v>
      </c>
      <c r="Y324" t="s">
        <v>2316</v>
      </c>
      <c r="Z324" t="s">
        <v>80</v>
      </c>
      <c r="AA324" t="s">
        <v>85</v>
      </c>
      <c r="AC324" t="s">
        <v>2317</v>
      </c>
      <c r="AD324" t="s">
        <v>87</v>
      </c>
      <c r="AF324" t="s">
        <v>2082</v>
      </c>
      <c r="AG324" t="s">
        <v>2318</v>
      </c>
      <c r="AH324" t="s">
        <v>91</v>
      </c>
      <c r="AI324" t="s">
        <v>92</v>
      </c>
      <c r="AJ324" t="s">
        <v>93</v>
      </c>
      <c r="AK324" t="s">
        <v>2319</v>
      </c>
      <c r="AL324" t="s">
        <v>95</v>
      </c>
      <c r="AM324" t="s">
        <v>96</v>
      </c>
      <c r="AN324" t="s">
        <v>97</v>
      </c>
      <c r="AO324" t="s">
        <v>98</v>
      </c>
      <c r="AP324" t="s">
        <v>78</v>
      </c>
      <c r="AQ324" t="s">
        <v>78</v>
      </c>
      <c r="AS324" t="s">
        <v>78</v>
      </c>
      <c r="AT324" t="s">
        <v>100</v>
      </c>
      <c r="AU324" t="s">
        <v>100</v>
      </c>
      <c r="AW324" t="s">
        <v>85</v>
      </c>
      <c r="AX324" t="s">
        <v>101</v>
      </c>
      <c r="AY324" t="s">
        <v>102</v>
      </c>
      <c r="AZ324" t="s">
        <v>103</v>
      </c>
      <c r="BA324" t="s">
        <v>133</v>
      </c>
      <c r="BB324" t="s">
        <v>78</v>
      </c>
      <c r="BC324" t="s">
        <v>78</v>
      </c>
      <c r="BD324" t="s">
        <v>1878</v>
      </c>
      <c r="BE324">
        <v>0</v>
      </c>
      <c r="BF324">
        <v>0</v>
      </c>
      <c r="BG324">
        <v>0</v>
      </c>
      <c r="BH324">
        <v>0</v>
      </c>
      <c r="BJ324" t="s">
        <v>85</v>
      </c>
      <c r="BP324" t="s">
        <v>78</v>
      </c>
      <c r="BQ324" t="s">
        <v>78</v>
      </c>
      <c r="BR324" t="s">
        <v>78</v>
      </c>
    </row>
    <row r="325" customFormat="1" spans="1:70">
      <c r="A325" t="s">
        <v>4200</v>
      </c>
      <c r="B325" t="s">
        <v>4200</v>
      </c>
      <c r="C325" t="s">
        <v>2225</v>
      </c>
      <c r="D325" t="s">
        <v>135</v>
      </c>
      <c r="E325">
        <v>1</v>
      </c>
      <c r="F325" t="s">
        <v>4184</v>
      </c>
      <c r="G325" t="s">
        <v>2236</v>
      </c>
      <c r="H325">
        <v>499</v>
      </c>
      <c r="I325">
        <v>499</v>
      </c>
      <c r="J325">
        <v>0</v>
      </c>
      <c r="K325">
        <v>0</v>
      </c>
      <c r="L325" t="s">
        <v>78</v>
      </c>
      <c r="M325" t="s">
        <v>78</v>
      </c>
      <c r="N325" t="s">
        <v>78</v>
      </c>
      <c r="O325">
        <v>0</v>
      </c>
      <c r="P325">
        <v>0</v>
      </c>
      <c r="Q325">
        <v>0</v>
      </c>
      <c r="R325" t="s">
        <v>79</v>
      </c>
      <c r="S325">
        <v>0</v>
      </c>
      <c r="T325" t="s">
        <v>80</v>
      </c>
      <c r="U325" t="s">
        <v>80</v>
      </c>
      <c r="V325" t="s">
        <v>302</v>
      </c>
      <c r="W325" t="s">
        <v>303</v>
      </c>
      <c r="X325" t="s">
        <v>304</v>
      </c>
      <c r="Y325" t="s">
        <v>2321</v>
      </c>
      <c r="Z325" t="s">
        <v>80</v>
      </c>
      <c r="AA325" t="s">
        <v>85</v>
      </c>
      <c r="AC325" t="s">
        <v>2322</v>
      </c>
      <c r="AD325" t="s">
        <v>87</v>
      </c>
      <c r="AG325" t="s">
        <v>2323</v>
      </c>
      <c r="AH325" t="s">
        <v>91</v>
      </c>
      <c r="AI325" t="s">
        <v>92</v>
      </c>
      <c r="AJ325" t="s">
        <v>131</v>
      </c>
      <c r="AK325" t="s">
        <v>2324</v>
      </c>
      <c r="AL325" t="s">
        <v>95</v>
      </c>
      <c r="AM325" t="s">
        <v>96</v>
      </c>
      <c r="AN325" t="s">
        <v>97</v>
      </c>
      <c r="AO325" t="s">
        <v>98</v>
      </c>
      <c r="AP325" t="s">
        <v>78</v>
      </c>
      <c r="AQ325" t="s">
        <v>99</v>
      </c>
      <c r="AS325" t="s">
        <v>78</v>
      </c>
      <c r="AT325" t="s">
        <v>100</v>
      </c>
      <c r="AU325" t="s">
        <v>100</v>
      </c>
      <c r="AW325" t="s">
        <v>85</v>
      </c>
      <c r="AX325" t="s">
        <v>101</v>
      </c>
      <c r="AY325" t="s">
        <v>102</v>
      </c>
      <c r="AZ325" t="s">
        <v>103</v>
      </c>
      <c r="BA325" t="s">
        <v>133</v>
      </c>
      <c r="BB325" t="s">
        <v>78</v>
      </c>
      <c r="BC325" t="s">
        <v>78</v>
      </c>
      <c r="BE325">
        <v>0</v>
      </c>
      <c r="BF325">
        <v>0</v>
      </c>
      <c r="BG325">
        <v>0</v>
      </c>
      <c r="BH325">
        <v>0</v>
      </c>
      <c r="BJ325" t="s">
        <v>85</v>
      </c>
      <c r="BP325" t="s">
        <v>78</v>
      </c>
      <c r="BQ325" t="s">
        <v>78</v>
      </c>
      <c r="BR325" t="s">
        <v>78</v>
      </c>
    </row>
    <row r="326" customFormat="1" spans="1:70">
      <c r="A326" t="s">
        <v>4201</v>
      </c>
      <c r="B326" t="s">
        <v>4201</v>
      </c>
      <c r="C326" t="s">
        <v>2225</v>
      </c>
      <c r="D326" t="s">
        <v>108</v>
      </c>
      <c r="E326">
        <v>1</v>
      </c>
      <c r="F326" t="s">
        <v>4184</v>
      </c>
      <c r="G326" t="s">
        <v>2227</v>
      </c>
      <c r="H326">
        <v>499</v>
      </c>
      <c r="I326">
        <v>499</v>
      </c>
      <c r="J326">
        <v>0</v>
      </c>
      <c r="K326">
        <v>0</v>
      </c>
      <c r="L326" t="s">
        <v>78</v>
      </c>
      <c r="M326" t="s">
        <v>78</v>
      </c>
      <c r="N326" t="s">
        <v>78</v>
      </c>
      <c r="O326">
        <v>0</v>
      </c>
      <c r="P326">
        <v>0</v>
      </c>
      <c r="Q326">
        <v>0</v>
      </c>
      <c r="R326" t="s">
        <v>125</v>
      </c>
      <c r="S326">
        <v>0</v>
      </c>
      <c r="T326" t="s">
        <v>80</v>
      </c>
      <c r="U326" t="s">
        <v>80</v>
      </c>
      <c r="V326" t="s">
        <v>112</v>
      </c>
      <c r="W326" t="s">
        <v>906</v>
      </c>
      <c r="X326" t="s">
        <v>2326</v>
      </c>
      <c r="Y326" t="s">
        <v>2327</v>
      </c>
      <c r="Z326" t="s">
        <v>80</v>
      </c>
      <c r="AA326" t="s">
        <v>85</v>
      </c>
      <c r="AC326" t="s">
        <v>2328</v>
      </c>
      <c r="AD326" t="s">
        <v>202</v>
      </c>
      <c r="AE326" t="s">
        <v>2329</v>
      </c>
      <c r="AG326" t="s">
        <v>2330</v>
      </c>
      <c r="AH326" t="s">
        <v>91</v>
      </c>
      <c r="AI326" t="s">
        <v>92</v>
      </c>
      <c r="AJ326" t="s">
        <v>131</v>
      </c>
      <c r="AK326" t="s">
        <v>2331</v>
      </c>
      <c r="AL326" t="s">
        <v>95</v>
      </c>
      <c r="AM326" t="s">
        <v>96</v>
      </c>
      <c r="AN326" t="s">
        <v>97</v>
      </c>
      <c r="AO326" t="s">
        <v>98</v>
      </c>
      <c r="AP326" t="s">
        <v>78</v>
      </c>
      <c r="AQ326" t="s">
        <v>99</v>
      </c>
      <c r="AS326" t="s">
        <v>78</v>
      </c>
      <c r="AT326" t="s">
        <v>100</v>
      </c>
      <c r="AU326" t="s">
        <v>100</v>
      </c>
      <c r="AW326" t="s">
        <v>85</v>
      </c>
      <c r="AX326" t="s">
        <v>103</v>
      </c>
      <c r="AY326" t="s">
        <v>159</v>
      </c>
      <c r="AZ326" t="s">
        <v>103</v>
      </c>
      <c r="BA326" t="s">
        <v>104</v>
      </c>
      <c r="BB326" t="s">
        <v>78</v>
      </c>
      <c r="BC326" t="s">
        <v>78</v>
      </c>
      <c r="BD326" t="s">
        <v>2332</v>
      </c>
      <c r="BE326">
        <v>0</v>
      </c>
      <c r="BF326">
        <v>0</v>
      </c>
      <c r="BG326">
        <v>0</v>
      </c>
      <c r="BH326">
        <v>0</v>
      </c>
      <c r="BJ326" t="s">
        <v>85</v>
      </c>
      <c r="BP326" t="s">
        <v>78</v>
      </c>
      <c r="BQ326" t="s">
        <v>78</v>
      </c>
      <c r="BR326" t="s">
        <v>78</v>
      </c>
    </row>
    <row r="327" customFormat="1" spans="1:70">
      <c r="A327" t="s">
        <v>4202</v>
      </c>
      <c r="B327" t="s">
        <v>4202</v>
      </c>
      <c r="C327" t="s">
        <v>2225</v>
      </c>
      <c r="D327" t="s">
        <v>123</v>
      </c>
      <c r="E327">
        <v>1</v>
      </c>
      <c r="F327" t="s">
        <v>4184</v>
      </c>
      <c r="G327" t="s">
        <v>2334</v>
      </c>
      <c r="H327">
        <v>499</v>
      </c>
      <c r="I327">
        <v>499</v>
      </c>
      <c r="J327">
        <v>0</v>
      </c>
      <c r="K327">
        <v>2</v>
      </c>
      <c r="L327" t="s">
        <v>78</v>
      </c>
      <c r="M327" t="s">
        <v>78</v>
      </c>
      <c r="N327" t="s">
        <v>78</v>
      </c>
      <c r="O327">
        <v>0</v>
      </c>
      <c r="P327">
        <v>2</v>
      </c>
      <c r="Q327">
        <v>0</v>
      </c>
      <c r="R327" t="s">
        <v>79</v>
      </c>
      <c r="S327">
        <v>0</v>
      </c>
      <c r="T327" t="s">
        <v>80</v>
      </c>
      <c r="U327" t="s">
        <v>80</v>
      </c>
      <c r="V327" t="s">
        <v>583</v>
      </c>
      <c r="W327" t="s">
        <v>2314</v>
      </c>
      <c r="X327" t="s">
        <v>2315</v>
      </c>
      <c r="Y327" t="s">
        <v>2316</v>
      </c>
      <c r="Z327" t="s">
        <v>80</v>
      </c>
      <c r="AA327" t="s">
        <v>85</v>
      </c>
      <c r="AC327" t="s">
        <v>2335</v>
      </c>
      <c r="AD327" t="s">
        <v>87</v>
      </c>
      <c r="AF327" t="s">
        <v>2336</v>
      </c>
      <c r="AG327" t="s">
        <v>2337</v>
      </c>
      <c r="AH327" t="s">
        <v>91</v>
      </c>
      <c r="AI327" t="s">
        <v>92</v>
      </c>
      <c r="AJ327" t="s">
        <v>93</v>
      </c>
      <c r="AK327" t="s">
        <v>2338</v>
      </c>
      <c r="AL327" t="s">
        <v>95</v>
      </c>
      <c r="AM327" t="s">
        <v>96</v>
      </c>
      <c r="AN327" t="s">
        <v>97</v>
      </c>
      <c r="AO327" t="s">
        <v>98</v>
      </c>
      <c r="AP327" t="s">
        <v>78</v>
      </c>
      <c r="AQ327" t="s">
        <v>78</v>
      </c>
      <c r="AS327" t="s">
        <v>78</v>
      </c>
      <c r="AT327" t="s">
        <v>100</v>
      </c>
      <c r="AU327" t="s">
        <v>100</v>
      </c>
      <c r="AW327" t="s">
        <v>85</v>
      </c>
      <c r="AX327" t="s">
        <v>101</v>
      </c>
      <c r="AY327" t="s">
        <v>102</v>
      </c>
      <c r="AZ327" t="s">
        <v>103</v>
      </c>
      <c r="BA327" t="s">
        <v>133</v>
      </c>
      <c r="BB327" t="s">
        <v>78</v>
      </c>
      <c r="BC327" t="s">
        <v>78</v>
      </c>
      <c r="BD327" t="s">
        <v>2339</v>
      </c>
      <c r="BE327">
        <v>0</v>
      </c>
      <c r="BF327">
        <v>0</v>
      </c>
      <c r="BG327">
        <v>0</v>
      </c>
      <c r="BH327">
        <v>0</v>
      </c>
      <c r="BJ327" t="s">
        <v>85</v>
      </c>
      <c r="BP327" t="s">
        <v>78</v>
      </c>
      <c r="BQ327" t="s">
        <v>78</v>
      </c>
      <c r="BR327" t="s">
        <v>78</v>
      </c>
    </row>
    <row r="328" customFormat="1" spans="1:70">
      <c r="A328" t="s">
        <v>4203</v>
      </c>
      <c r="B328" t="s">
        <v>4203</v>
      </c>
      <c r="C328" t="s">
        <v>2225</v>
      </c>
      <c r="D328" t="s">
        <v>108</v>
      </c>
      <c r="E328">
        <v>1</v>
      </c>
      <c r="F328" t="s">
        <v>4184</v>
      </c>
      <c r="G328" t="s">
        <v>2227</v>
      </c>
      <c r="H328">
        <v>499</v>
      </c>
      <c r="I328">
        <v>499</v>
      </c>
      <c r="J328">
        <v>0</v>
      </c>
      <c r="K328">
        <v>0</v>
      </c>
      <c r="L328" t="s">
        <v>78</v>
      </c>
      <c r="M328" t="s">
        <v>78</v>
      </c>
      <c r="N328" t="s">
        <v>78</v>
      </c>
      <c r="O328">
        <v>0</v>
      </c>
      <c r="P328">
        <v>0</v>
      </c>
      <c r="Q328">
        <v>0</v>
      </c>
      <c r="R328" t="s">
        <v>125</v>
      </c>
      <c r="S328">
        <v>0</v>
      </c>
      <c r="T328" t="s">
        <v>80</v>
      </c>
      <c r="U328" t="s">
        <v>80</v>
      </c>
      <c r="V328" t="s">
        <v>1665</v>
      </c>
      <c r="W328" t="s">
        <v>1666</v>
      </c>
      <c r="X328" t="s">
        <v>2341</v>
      </c>
      <c r="Y328" t="s">
        <v>78</v>
      </c>
      <c r="Z328" t="s">
        <v>80</v>
      </c>
      <c r="AA328" t="s">
        <v>85</v>
      </c>
      <c r="AC328" t="s">
        <v>2342</v>
      </c>
      <c r="AD328" t="s">
        <v>87</v>
      </c>
      <c r="AG328" t="s">
        <v>2343</v>
      </c>
      <c r="AH328" t="s">
        <v>91</v>
      </c>
      <c r="AI328" t="s">
        <v>92</v>
      </c>
      <c r="AJ328" t="s">
        <v>131</v>
      </c>
      <c r="AK328" t="s">
        <v>2344</v>
      </c>
      <c r="AL328" t="s">
        <v>95</v>
      </c>
      <c r="AM328" t="s">
        <v>96</v>
      </c>
      <c r="AN328" t="s">
        <v>97</v>
      </c>
      <c r="AO328" t="s">
        <v>98</v>
      </c>
      <c r="AP328" t="s">
        <v>78</v>
      </c>
      <c r="AQ328" t="s">
        <v>99</v>
      </c>
      <c r="AS328" t="s">
        <v>78</v>
      </c>
      <c r="AT328" t="s">
        <v>100</v>
      </c>
      <c r="AU328" t="s">
        <v>100</v>
      </c>
      <c r="AW328" t="s">
        <v>85</v>
      </c>
      <c r="AX328" t="s">
        <v>101</v>
      </c>
      <c r="AY328" t="s">
        <v>102</v>
      </c>
      <c r="AZ328" t="s">
        <v>103</v>
      </c>
      <c r="BA328" t="s">
        <v>133</v>
      </c>
      <c r="BB328" t="s">
        <v>78</v>
      </c>
      <c r="BC328" t="s">
        <v>78</v>
      </c>
      <c r="BE328">
        <v>0</v>
      </c>
      <c r="BF328">
        <v>0</v>
      </c>
      <c r="BG328">
        <v>0</v>
      </c>
      <c r="BH328">
        <v>0</v>
      </c>
      <c r="BJ328" t="s">
        <v>85</v>
      </c>
      <c r="BP328" t="s">
        <v>78</v>
      </c>
      <c r="BQ328" t="s">
        <v>78</v>
      </c>
      <c r="BR328" t="s">
        <v>78</v>
      </c>
    </row>
    <row r="329" customFormat="1" spans="1:70">
      <c r="A329" t="s">
        <v>4204</v>
      </c>
      <c r="B329" t="s">
        <v>4204</v>
      </c>
      <c r="C329" t="s">
        <v>2225</v>
      </c>
      <c r="D329" t="s">
        <v>108</v>
      </c>
      <c r="E329">
        <v>1</v>
      </c>
      <c r="F329" t="s">
        <v>4184</v>
      </c>
      <c r="G329" t="s">
        <v>2227</v>
      </c>
      <c r="H329">
        <v>499</v>
      </c>
      <c r="I329">
        <v>499</v>
      </c>
      <c r="J329">
        <v>0</v>
      </c>
      <c r="K329">
        <v>0</v>
      </c>
      <c r="L329" t="s">
        <v>78</v>
      </c>
      <c r="M329" t="s">
        <v>78</v>
      </c>
      <c r="N329" t="s">
        <v>78</v>
      </c>
      <c r="O329">
        <v>0</v>
      </c>
      <c r="P329">
        <v>0</v>
      </c>
      <c r="Q329">
        <v>0</v>
      </c>
      <c r="R329" t="s">
        <v>125</v>
      </c>
      <c r="S329">
        <v>0</v>
      </c>
      <c r="T329" t="s">
        <v>80</v>
      </c>
      <c r="U329" t="s">
        <v>80</v>
      </c>
      <c r="V329" t="s">
        <v>302</v>
      </c>
      <c r="W329" t="s">
        <v>1394</v>
      </c>
      <c r="X329" t="s">
        <v>2346</v>
      </c>
      <c r="Y329" t="s">
        <v>2347</v>
      </c>
      <c r="Z329" t="s">
        <v>80</v>
      </c>
      <c r="AA329" t="s">
        <v>85</v>
      </c>
      <c r="AC329" t="s">
        <v>2348</v>
      </c>
      <c r="AD329" t="s">
        <v>87</v>
      </c>
      <c r="AF329" t="s">
        <v>2349</v>
      </c>
      <c r="AG329" t="s">
        <v>2350</v>
      </c>
      <c r="AH329" t="s">
        <v>91</v>
      </c>
      <c r="AI329" t="s">
        <v>92</v>
      </c>
      <c r="AJ329" t="s">
        <v>93</v>
      </c>
      <c r="AK329" t="s">
        <v>2351</v>
      </c>
      <c r="AL329" t="s">
        <v>95</v>
      </c>
      <c r="AM329" t="s">
        <v>96</v>
      </c>
      <c r="AN329" t="s">
        <v>97</v>
      </c>
      <c r="AO329" t="s">
        <v>98</v>
      </c>
      <c r="AP329" t="s">
        <v>78</v>
      </c>
      <c r="AQ329" t="s">
        <v>78</v>
      </c>
      <c r="AS329" t="s">
        <v>78</v>
      </c>
      <c r="AT329" t="s">
        <v>100</v>
      </c>
      <c r="AU329" t="s">
        <v>100</v>
      </c>
      <c r="AW329" t="s">
        <v>85</v>
      </c>
      <c r="AX329" t="s">
        <v>101</v>
      </c>
      <c r="AY329" t="s">
        <v>102</v>
      </c>
      <c r="AZ329" t="s">
        <v>103</v>
      </c>
      <c r="BA329" t="s">
        <v>133</v>
      </c>
      <c r="BB329" t="s">
        <v>78</v>
      </c>
      <c r="BC329" t="s">
        <v>78</v>
      </c>
      <c r="BD329" t="s">
        <v>2352</v>
      </c>
      <c r="BE329">
        <v>0</v>
      </c>
      <c r="BF329">
        <v>0</v>
      </c>
      <c r="BG329">
        <v>0</v>
      </c>
      <c r="BH329">
        <v>0</v>
      </c>
      <c r="BJ329" t="s">
        <v>85</v>
      </c>
      <c r="BP329" t="s">
        <v>78</v>
      </c>
      <c r="BQ329" t="s">
        <v>78</v>
      </c>
      <c r="BR329" t="s">
        <v>78</v>
      </c>
    </row>
    <row r="330" customFormat="1" spans="1:70">
      <c r="A330" t="s">
        <v>4205</v>
      </c>
      <c r="B330" t="s">
        <v>4205</v>
      </c>
      <c r="C330" t="s">
        <v>2225</v>
      </c>
      <c r="D330" t="s">
        <v>108</v>
      </c>
      <c r="E330">
        <v>1</v>
      </c>
      <c r="F330" t="s">
        <v>4184</v>
      </c>
      <c r="G330" t="s">
        <v>2227</v>
      </c>
      <c r="H330">
        <v>499</v>
      </c>
      <c r="I330">
        <v>499</v>
      </c>
      <c r="J330">
        <v>0</v>
      </c>
      <c r="K330">
        <v>0</v>
      </c>
      <c r="L330" t="s">
        <v>78</v>
      </c>
      <c r="M330" t="s">
        <v>78</v>
      </c>
      <c r="N330" t="s">
        <v>78</v>
      </c>
      <c r="O330">
        <v>0</v>
      </c>
      <c r="P330">
        <v>0</v>
      </c>
      <c r="Q330">
        <v>0</v>
      </c>
      <c r="R330" t="s">
        <v>125</v>
      </c>
      <c r="S330">
        <v>0</v>
      </c>
      <c r="T330" t="s">
        <v>80</v>
      </c>
      <c r="U330" t="s">
        <v>80</v>
      </c>
      <c r="V330" t="s">
        <v>221</v>
      </c>
      <c r="W330" t="s">
        <v>599</v>
      </c>
      <c r="X330" t="s">
        <v>2354</v>
      </c>
      <c r="Y330" t="s">
        <v>2355</v>
      </c>
      <c r="Z330" t="s">
        <v>80</v>
      </c>
      <c r="AA330" t="s">
        <v>85</v>
      </c>
      <c r="AC330" t="s">
        <v>2356</v>
      </c>
      <c r="AD330" t="s">
        <v>87</v>
      </c>
      <c r="AF330" t="s">
        <v>2357</v>
      </c>
      <c r="AG330" t="s">
        <v>2358</v>
      </c>
      <c r="AH330" t="s">
        <v>91</v>
      </c>
      <c r="AI330" t="s">
        <v>92</v>
      </c>
      <c r="AJ330" t="s">
        <v>93</v>
      </c>
      <c r="AK330" t="s">
        <v>2359</v>
      </c>
      <c r="AL330" t="s">
        <v>95</v>
      </c>
      <c r="AM330" t="s">
        <v>96</v>
      </c>
      <c r="AN330" t="s">
        <v>97</v>
      </c>
      <c r="AO330" t="s">
        <v>98</v>
      </c>
      <c r="AP330" t="s">
        <v>78</v>
      </c>
      <c r="AQ330" t="s">
        <v>78</v>
      </c>
      <c r="AS330" t="s">
        <v>78</v>
      </c>
      <c r="AT330" t="s">
        <v>100</v>
      </c>
      <c r="AU330" t="s">
        <v>100</v>
      </c>
      <c r="AW330" t="s">
        <v>85</v>
      </c>
      <c r="AX330" t="s">
        <v>101</v>
      </c>
      <c r="AY330" t="s">
        <v>102</v>
      </c>
      <c r="AZ330" t="s">
        <v>103</v>
      </c>
      <c r="BA330" t="s">
        <v>104</v>
      </c>
      <c r="BB330" t="s">
        <v>78</v>
      </c>
      <c r="BC330" t="s">
        <v>78</v>
      </c>
      <c r="BD330" t="s">
        <v>2352</v>
      </c>
      <c r="BE330">
        <v>0</v>
      </c>
      <c r="BF330">
        <v>0</v>
      </c>
      <c r="BG330">
        <v>0</v>
      </c>
      <c r="BH330">
        <v>0</v>
      </c>
      <c r="BJ330" t="s">
        <v>85</v>
      </c>
      <c r="BP330" t="s">
        <v>78</v>
      </c>
      <c r="BQ330" t="s">
        <v>78</v>
      </c>
      <c r="BR330" t="s">
        <v>78</v>
      </c>
    </row>
    <row r="331" customFormat="1" spans="1:70">
      <c r="A331" t="s">
        <v>4206</v>
      </c>
      <c r="B331" t="s">
        <v>4206</v>
      </c>
      <c r="C331" t="s">
        <v>2225</v>
      </c>
      <c r="D331" t="s">
        <v>135</v>
      </c>
      <c r="E331">
        <v>1</v>
      </c>
      <c r="F331" t="s">
        <v>4184</v>
      </c>
      <c r="G331" t="s">
        <v>2236</v>
      </c>
      <c r="H331">
        <v>499</v>
      </c>
      <c r="I331">
        <v>480</v>
      </c>
      <c r="J331">
        <v>0</v>
      </c>
      <c r="K331">
        <v>19</v>
      </c>
      <c r="L331" t="s">
        <v>2361</v>
      </c>
      <c r="M331" t="s">
        <v>78</v>
      </c>
      <c r="N331" t="s">
        <v>78</v>
      </c>
      <c r="O331">
        <v>0</v>
      </c>
      <c r="P331">
        <v>0</v>
      </c>
      <c r="Q331">
        <v>0</v>
      </c>
      <c r="R331" t="s">
        <v>111</v>
      </c>
      <c r="S331">
        <v>0</v>
      </c>
      <c r="T331" t="s">
        <v>80</v>
      </c>
      <c r="U331" t="s">
        <v>80</v>
      </c>
      <c r="V331" t="s">
        <v>161</v>
      </c>
      <c r="W331" t="s">
        <v>161</v>
      </c>
      <c r="X331" t="s">
        <v>162</v>
      </c>
      <c r="Y331" t="s">
        <v>700</v>
      </c>
      <c r="Z331" t="s">
        <v>80</v>
      </c>
      <c r="AA331" t="s">
        <v>85</v>
      </c>
      <c r="AC331" t="s">
        <v>2362</v>
      </c>
      <c r="AD331" t="s">
        <v>87</v>
      </c>
      <c r="AF331" t="s">
        <v>2363</v>
      </c>
      <c r="AG331" t="s">
        <v>2364</v>
      </c>
      <c r="AH331" t="s">
        <v>91</v>
      </c>
      <c r="AI331" t="s">
        <v>92</v>
      </c>
      <c r="AJ331" t="s">
        <v>93</v>
      </c>
      <c r="AK331" t="s">
        <v>2365</v>
      </c>
      <c r="AL331" t="s">
        <v>95</v>
      </c>
      <c r="AM331" t="s">
        <v>96</v>
      </c>
      <c r="AN331" t="s">
        <v>97</v>
      </c>
      <c r="AO331" t="s">
        <v>98</v>
      </c>
      <c r="AP331" t="s">
        <v>78</v>
      </c>
      <c r="AQ331" t="s">
        <v>78</v>
      </c>
      <c r="AS331" t="s">
        <v>78</v>
      </c>
      <c r="AT331" t="s">
        <v>100</v>
      </c>
      <c r="AU331" t="s">
        <v>100</v>
      </c>
      <c r="AW331" t="s">
        <v>85</v>
      </c>
      <c r="AX331" t="s">
        <v>103</v>
      </c>
      <c r="AY331" t="s">
        <v>159</v>
      </c>
      <c r="AZ331" t="s">
        <v>103</v>
      </c>
      <c r="BA331" t="s">
        <v>104</v>
      </c>
      <c r="BB331" t="s">
        <v>78</v>
      </c>
      <c r="BC331" t="s">
        <v>78</v>
      </c>
      <c r="BD331" t="s">
        <v>2366</v>
      </c>
      <c r="BE331">
        <v>0</v>
      </c>
      <c r="BF331">
        <v>19</v>
      </c>
      <c r="BG331">
        <v>0</v>
      </c>
      <c r="BH331">
        <v>0</v>
      </c>
      <c r="BJ331" t="s">
        <v>85</v>
      </c>
      <c r="BP331" t="s">
        <v>78</v>
      </c>
      <c r="BQ331" t="s">
        <v>78</v>
      </c>
      <c r="BR331" t="s">
        <v>78</v>
      </c>
    </row>
    <row r="332" customFormat="1" spans="1:70">
      <c r="A332" t="s">
        <v>4207</v>
      </c>
      <c r="B332" t="s">
        <v>4207</v>
      </c>
      <c r="C332" t="s">
        <v>1050</v>
      </c>
      <c r="D332" t="s">
        <v>1051</v>
      </c>
      <c r="E332">
        <v>1</v>
      </c>
      <c r="F332" t="s">
        <v>3991</v>
      </c>
      <c r="G332" t="s">
        <v>1053</v>
      </c>
      <c r="H332">
        <v>129</v>
      </c>
      <c r="I332">
        <v>105</v>
      </c>
      <c r="J332">
        <v>0</v>
      </c>
      <c r="K332">
        <v>24</v>
      </c>
      <c r="L332" t="s">
        <v>2368</v>
      </c>
      <c r="M332" t="s">
        <v>78</v>
      </c>
      <c r="N332" t="s">
        <v>78</v>
      </c>
      <c r="O332">
        <v>0</v>
      </c>
      <c r="P332">
        <v>0</v>
      </c>
      <c r="Q332">
        <v>0</v>
      </c>
      <c r="R332" t="s">
        <v>125</v>
      </c>
      <c r="S332">
        <v>0</v>
      </c>
      <c r="T332" t="s">
        <v>80</v>
      </c>
      <c r="U332" t="s">
        <v>80</v>
      </c>
      <c r="V332" t="s">
        <v>167</v>
      </c>
      <c r="W332" t="s">
        <v>168</v>
      </c>
      <c r="X332" t="s">
        <v>398</v>
      </c>
      <c r="Y332" t="s">
        <v>2369</v>
      </c>
      <c r="Z332" t="s">
        <v>80</v>
      </c>
      <c r="AA332" t="s">
        <v>85</v>
      </c>
      <c r="AC332" t="s">
        <v>2370</v>
      </c>
      <c r="AD332" t="s">
        <v>87</v>
      </c>
      <c r="AG332" t="s">
        <v>2371</v>
      </c>
      <c r="AH332" t="s">
        <v>873</v>
      </c>
      <c r="AI332" t="s">
        <v>92</v>
      </c>
      <c r="AJ332" t="s">
        <v>131</v>
      </c>
      <c r="AK332" t="s">
        <v>2372</v>
      </c>
      <c r="AL332" t="s">
        <v>95</v>
      </c>
      <c r="AM332" t="s">
        <v>96</v>
      </c>
      <c r="AN332" t="s">
        <v>97</v>
      </c>
      <c r="AO332" t="s">
        <v>98</v>
      </c>
      <c r="AP332" t="s">
        <v>78</v>
      </c>
      <c r="AQ332" t="s">
        <v>99</v>
      </c>
      <c r="AS332" t="s">
        <v>78</v>
      </c>
      <c r="AT332" t="s">
        <v>100</v>
      </c>
      <c r="AU332" t="s">
        <v>100</v>
      </c>
      <c r="AW332" t="s">
        <v>85</v>
      </c>
      <c r="AX332" t="s">
        <v>103</v>
      </c>
      <c r="AY332" t="s">
        <v>159</v>
      </c>
      <c r="AZ332" t="s">
        <v>103</v>
      </c>
      <c r="BA332" t="s">
        <v>185</v>
      </c>
      <c r="BB332" t="s">
        <v>78</v>
      </c>
      <c r="BC332" t="s">
        <v>78</v>
      </c>
      <c r="BE332">
        <v>0</v>
      </c>
      <c r="BF332">
        <v>24</v>
      </c>
      <c r="BG332">
        <v>0</v>
      </c>
      <c r="BH332">
        <v>0</v>
      </c>
      <c r="BJ332" t="s">
        <v>85</v>
      </c>
      <c r="BP332" t="s">
        <v>78</v>
      </c>
      <c r="BQ332" t="s">
        <v>78</v>
      </c>
      <c r="BR332" t="s">
        <v>78</v>
      </c>
    </row>
    <row r="333" customFormat="1" spans="1:70">
      <c r="A333" t="s">
        <v>4208</v>
      </c>
      <c r="B333" t="s">
        <v>4208</v>
      </c>
      <c r="C333" t="s">
        <v>1068</v>
      </c>
      <c r="D333" t="s">
        <v>75</v>
      </c>
      <c r="E333">
        <v>1</v>
      </c>
      <c r="F333" t="s">
        <v>3994</v>
      </c>
      <c r="G333" t="s">
        <v>1070</v>
      </c>
      <c r="H333">
        <v>180</v>
      </c>
      <c r="I333">
        <v>180</v>
      </c>
      <c r="J333">
        <v>0</v>
      </c>
      <c r="K333">
        <v>0</v>
      </c>
      <c r="L333" t="s">
        <v>78</v>
      </c>
      <c r="M333" t="s">
        <v>78</v>
      </c>
      <c r="N333" t="s">
        <v>78</v>
      </c>
      <c r="O333">
        <v>0</v>
      </c>
      <c r="P333">
        <v>0</v>
      </c>
      <c r="Q333">
        <v>0</v>
      </c>
      <c r="R333" t="s">
        <v>79</v>
      </c>
      <c r="S333">
        <v>0</v>
      </c>
      <c r="T333" t="s">
        <v>80</v>
      </c>
      <c r="U333" t="s">
        <v>80</v>
      </c>
      <c r="V333" t="s">
        <v>347</v>
      </c>
      <c r="W333" t="s">
        <v>727</v>
      </c>
      <c r="X333" t="s">
        <v>728</v>
      </c>
      <c r="Y333" t="s">
        <v>729</v>
      </c>
      <c r="Z333" t="s">
        <v>80</v>
      </c>
      <c r="AA333" t="s">
        <v>85</v>
      </c>
      <c r="AC333" t="s">
        <v>2374</v>
      </c>
      <c r="AD333" t="s">
        <v>87</v>
      </c>
      <c r="AG333" t="s">
        <v>2375</v>
      </c>
      <c r="AH333" t="s">
        <v>227</v>
      </c>
      <c r="AI333" t="s">
        <v>92</v>
      </c>
      <c r="AJ333" t="s">
        <v>131</v>
      </c>
      <c r="AK333" t="s">
        <v>2376</v>
      </c>
      <c r="AL333" t="s">
        <v>95</v>
      </c>
      <c r="AM333" t="s">
        <v>96</v>
      </c>
      <c r="AN333" t="s">
        <v>97</v>
      </c>
      <c r="AO333" t="s">
        <v>98</v>
      </c>
      <c r="AP333" t="s">
        <v>78</v>
      </c>
      <c r="AQ333" t="s">
        <v>99</v>
      </c>
      <c r="AS333" t="s">
        <v>78</v>
      </c>
      <c r="AT333" t="s">
        <v>100</v>
      </c>
      <c r="AU333" t="s">
        <v>100</v>
      </c>
      <c r="AW333" t="s">
        <v>85</v>
      </c>
      <c r="AX333" t="s">
        <v>101</v>
      </c>
      <c r="AY333" t="s">
        <v>102</v>
      </c>
      <c r="AZ333" t="s">
        <v>103</v>
      </c>
      <c r="BA333" t="s">
        <v>120</v>
      </c>
      <c r="BB333" t="s">
        <v>78</v>
      </c>
      <c r="BC333" t="s">
        <v>78</v>
      </c>
      <c r="BE333">
        <v>0</v>
      </c>
      <c r="BF333">
        <v>0</v>
      </c>
      <c r="BG333">
        <v>0</v>
      </c>
      <c r="BH333">
        <v>0</v>
      </c>
      <c r="BJ333" t="s">
        <v>85</v>
      </c>
      <c r="BP333" t="s">
        <v>78</v>
      </c>
      <c r="BQ333" t="s">
        <v>78</v>
      </c>
      <c r="BR333" t="s">
        <v>78</v>
      </c>
    </row>
    <row r="334" customFormat="1" spans="1:70">
      <c r="A334" t="s">
        <v>4209</v>
      </c>
      <c r="B334" t="s">
        <v>4209</v>
      </c>
      <c r="C334" t="s">
        <v>1080</v>
      </c>
      <c r="D334" t="s">
        <v>135</v>
      </c>
      <c r="E334">
        <v>1</v>
      </c>
      <c r="F334" t="s">
        <v>3996</v>
      </c>
      <c r="G334" t="s">
        <v>1639</v>
      </c>
      <c r="H334">
        <v>289</v>
      </c>
      <c r="I334">
        <v>270.52</v>
      </c>
      <c r="J334">
        <v>0</v>
      </c>
      <c r="K334">
        <v>18.48</v>
      </c>
      <c r="L334" t="s">
        <v>2378</v>
      </c>
      <c r="M334" t="s">
        <v>78</v>
      </c>
      <c r="N334" t="s">
        <v>78</v>
      </c>
      <c r="O334">
        <v>0</v>
      </c>
      <c r="P334">
        <v>0</v>
      </c>
      <c r="Q334">
        <v>0</v>
      </c>
      <c r="R334" t="s">
        <v>79</v>
      </c>
      <c r="S334">
        <v>0</v>
      </c>
      <c r="T334" t="s">
        <v>80</v>
      </c>
      <c r="U334" t="s">
        <v>80</v>
      </c>
      <c r="V334" t="s">
        <v>178</v>
      </c>
      <c r="W334" t="s">
        <v>178</v>
      </c>
      <c r="X334" t="s">
        <v>2379</v>
      </c>
      <c r="Y334" t="s">
        <v>2380</v>
      </c>
      <c r="Z334" t="s">
        <v>80</v>
      </c>
      <c r="AA334" t="s">
        <v>85</v>
      </c>
      <c r="AC334" t="s">
        <v>2381</v>
      </c>
      <c r="AD334" t="s">
        <v>87</v>
      </c>
      <c r="AG334" t="s">
        <v>2382</v>
      </c>
      <c r="AH334" t="s">
        <v>91</v>
      </c>
      <c r="AI334" t="s">
        <v>92</v>
      </c>
      <c r="AJ334" t="s">
        <v>131</v>
      </c>
      <c r="AK334" t="s">
        <v>2383</v>
      </c>
      <c r="AL334" t="s">
        <v>95</v>
      </c>
      <c r="AM334" t="s">
        <v>96</v>
      </c>
      <c r="AN334" t="s">
        <v>97</v>
      </c>
      <c r="AO334" t="s">
        <v>98</v>
      </c>
      <c r="AP334" t="s">
        <v>78</v>
      </c>
      <c r="AQ334" t="s">
        <v>99</v>
      </c>
      <c r="AS334" t="s">
        <v>78</v>
      </c>
      <c r="AT334" t="s">
        <v>100</v>
      </c>
      <c r="AU334" t="s">
        <v>100</v>
      </c>
      <c r="AW334" t="s">
        <v>85</v>
      </c>
      <c r="AX334" t="s">
        <v>103</v>
      </c>
      <c r="AY334" t="s">
        <v>159</v>
      </c>
      <c r="AZ334" t="s">
        <v>103</v>
      </c>
      <c r="BA334" t="s">
        <v>104</v>
      </c>
      <c r="BB334" t="s">
        <v>78</v>
      </c>
      <c r="BC334" t="s">
        <v>78</v>
      </c>
      <c r="BE334">
        <v>0</v>
      </c>
      <c r="BF334">
        <v>18.48</v>
      </c>
      <c r="BG334">
        <v>0</v>
      </c>
      <c r="BH334">
        <v>0</v>
      </c>
      <c r="BJ334" t="s">
        <v>85</v>
      </c>
      <c r="BP334" t="s">
        <v>78</v>
      </c>
      <c r="BQ334" t="s">
        <v>78</v>
      </c>
      <c r="BR334" t="s">
        <v>78</v>
      </c>
    </row>
    <row r="335" customFormat="1" spans="1:70">
      <c r="A335" t="s">
        <v>4209</v>
      </c>
      <c r="B335" t="s">
        <v>4210</v>
      </c>
      <c r="C335" t="s">
        <v>1068</v>
      </c>
      <c r="D335" t="s">
        <v>230</v>
      </c>
      <c r="E335">
        <v>1</v>
      </c>
      <c r="F335" t="s">
        <v>3994</v>
      </c>
      <c r="G335" t="s">
        <v>2219</v>
      </c>
      <c r="H335">
        <v>180</v>
      </c>
      <c r="I335">
        <v>168.48</v>
      </c>
      <c r="J335">
        <v>0</v>
      </c>
      <c r="K335">
        <v>11.52</v>
      </c>
      <c r="L335" t="s">
        <v>2385</v>
      </c>
      <c r="M335" t="s">
        <v>78</v>
      </c>
      <c r="N335" t="s">
        <v>78</v>
      </c>
      <c r="O335">
        <v>0</v>
      </c>
      <c r="P335">
        <v>0</v>
      </c>
      <c r="Q335">
        <v>0</v>
      </c>
      <c r="R335" t="s">
        <v>79</v>
      </c>
      <c r="S335">
        <v>0</v>
      </c>
      <c r="T335" t="s">
        <v>80</v>
      </c>
      <c r="U335" t="s">
        <v>80</v>
      </c>
      <c r="V335" t="s">
        <v>178</v>
      </c>
      <c r="W335" t="s">
        <v>178</v>
      </c>
      <c r="X335" t="s">
        <v>2379</v>
      </c>
      <c r="Y335" t="s">
        <v>2380</v>
      </c>
      <c r="Z335" t="s">
        <v>80</v>
      </c>
      <c r="AA335" t="s">
        <v>85</v>
      </c>
      <c r="AC335" t="s">
        <v>2381</v>
      </c>
      <c r="AD335" t="s">
        <v>87</v>
      </c>
      <c r="AG335" t="s">
        <v>2382</v>
      </c>
      <c r="AH335" t="s">
        <v>91</v>
      </c>
      <c r="AI335" t="s">
        <v>92</v>
      </c>
      <c r="AJ335" t="s">
        <v>131</v>
      </c>
      <c r="AK335" t="s">
        <v>2383</v>
      </c>
      <c r="AL335" t="s">
        <v>95</v>
      </c>
      <c r="AM335" t="s">
        <v>96</v>
      </c>
      <c r="AN335" t="s">
        <v>97</v>
      </c>
      <c r="AO335" t="s">
        <v>98</v>
      </c>
      <c r="AP335" t="s">
        <v>78</v>
      </c>
      <c r="AQ335" t="s">
        <v>99</v>
      </c>
      <c r="AS335" t="s">
        <v>78</v>
      </c>
      <c r="AT335" t="s">
        <v>100</v>
      </c>
      <c r="AU335" t="s">
        <v>100</v>
      </c>
      <c r="AW335" t="s">
        <v>85</v>
      </c>
      <c r="AX335" t="s">
        <v>103</v>
      </c>
      <c r="AY335" t="s">
        <v>159</v>
      </c>
      <c r="AZ335" t="s">
        <v>103</v>
      </c>
      <c r="BA335" t="s">
        <v>104</v>
      </c>
      <c r="BB335" t="s">
        <v>78</v>
      </c>
      <c r="BC335" t="s">
        <v>78</v>
      </c>
      <c r="BE335">
        <v>0</v>
      </c>
      <c r="BF335">
        <v>11.52</v>
      </c>
      <c r="BG335">
        <v>0</v>
      </c>
      <c r="BH335">
        <v>0</v>
      </c>
      <c r="BJ335" t="s">
        <v>85</v>
      </c>
      <c r="BP335" t="s">
        <v>78</v>
      </c>
      <c r="BQ335" t="s">
        <v>78</v>
      </c>
      <c r="BR335" t="s">
        <v>78</v>
      </c>
    </row>
    <row r="336" customFormat="1" spans="1:70">
      <c r="A336" t="s">
        <v>4211</v>
      </c>
      <c r="B336" t="s">
        <v>4211</v>
      </c>
      <c r="C336" t="s">
        <v>1080</v>
      </c>
      <c r="D336" t="s">
        <v>135</v>
      </c>
      <c r="E336">
        <v>1</v>
      </c>
      <c r="F336" t="s">
        <v>3996</v>
      </c>
      <c r="G336" t="s">
        <v>1639</v>
      </c>
      <c r="H336">
        <v>289</v>
      </c>
      <c r="I336">
        <v>289</v>
      </c>
      <c r="J336">
        <v>0</v>
      </c>
      <c r="K336">
        <v>0</v>
      </c>
      <c r="L336" t="s">
        <v>78</v>
      </c>
      <c r="M336" t="s">
        <v>78</v>
      </c>
      <c r="N336" t="s">
        <v>78</v>
      </c>
      <c r="O336">
        <v>0</v>
      </c>
      <c r="P336">
        <v>0</v>
      </c>
      <c r="Q336">
        <v>0</v>
      </c>
      <c r="R336" t="s">
        <v>79</v>
      </c>
      <c r="S336">
        <v>0</v>
      </c>
      <c r="T336" t="s">
        <v>80</v>
      </c>
      <c r="U336" t="s">
        <v>80</v>
      </c>
      <c r="V336" t="s">
        <v>347</v>
      </c>
      <c r="W336" t="s">
        <v>727</v>
      </c>
      <c r="X336" t="s">
        <v>728</v>
      </c>
      <c r="Y336" t="s">
        <v>729</v>
      </c>
      <c r="Z336" t="s">
        <v>80</v>
      </c>
      <c r="AA336" t="s">
        <v>85</v>
      </c>
      <c r="AC336" t="s">
        <v>2387</v>
      </c>
      <c r="AD336" t="s">
        <v>87</v>
      </c>
      <c r="AG336" t="s">
        <v>2388</v>
      </c>
      <c r="AH336" t="s">
        <v>227</v>
      </c>
      <c r="AI336" t="s">
        <v>92</v>
      </c>
      <c r="AJ336" t="s">
        <v>131</v>
      </c>
      <c r="AK336" t="s">
        <v>2389</v>
      </c>
      <c r="AL336" t="s">
        <v>95</v>
      </c>
      <c r="AM336" t="s">
        <v>96</v>
      </c>
      <c r="AN336" t="s">
        <v>97</v>
      </c>
      <c r="AO336" t="s">
        <v>98</v>
      </c>
      <c r="AP336" t="s">
        <v>78</v>
      </c>
      <c r="AQ336" t="s">
        <v>99</v>
      </c>
      <c r="AS336" t="s">
        <v>78</v>
      </c>
      <c r="AT336" t="s">
        <v>100</v>
      </c>
      <c r="AU336" t="s">
        <v>100</v>
      </c>
      <c r="AW336" t="s">
        <v>85</v>
      </c>
      <c r="AX336" t="s">
        <v>101</v>
      </c>
      <c r="AY336" t="s">
        <v>102</v>
      </c>
      <c r="AZ336" t="s">
        <v>103</v>
      </c>
      <c r="BA336" t="s">
        <v>120</v>
      </c>
      <c r="BB336" t="s">
        <v>78</v>
      </c>
      <c r="BC336" t="s">
        <v>78</v>
      </c>
      <c r="BE336">
        <v>0</v>
      </c>
      <c r="BF336">
        <v>0</v>
      </c>
      <c r="BG336">
        <v>0</v>
      </c>
      <c r="BH336">
        <v>0</v>
      </c>
      <c r="BJ336" t="s">
        <v>85</v>
      </c>
      <c r="BP336" t="s">
        <v>78</v>
      </c>
      <c r="BQ336" t="s">
        <v>78</v>
      </c>
      <c r="BR336" t="s">
        <v>78</v>
      </c>
    </row>
    <row r="337" customFormat="1" spans="1:70">
      <c r="A337" t="s">
        <v>4212</v>
      </c>
      <c r="B337" t="s">
        <v>4212</v>
      </c>
      <c r="C337" t="s">
        <v>1068</v>
      </c>
      <c r="D337" t="s">
        <v>75</v>
      </c>
      <c r="E337">
        <v>1</v>
      </c>
      <c r="F337" t="s">
        <v>3994</v>
      </c>
      <c r="G337" t="s">
        <v>1070</v>
      </c>
      <c r="H337">
        <v>180</v>
      </c>
      <c r="I337">
        <v>180</v>
      </c>
      <c r="J337">
        <v>0</v>
      </c>
      <c r="K337">
        <v>0</v>
      </c>
      <c r="L337" t="s">
        <v>78</v>
      </c>
      <c r="M337" t="s">
        <v>78</v>
      </c>
      <c r="N337" t="s">
        <v>78</v>
      </c>
      <c r="O337">
        <v>0</v>
      </c>
      <c r="P337">
        <v>0</v>
      </c>
      <c r="Q337">
        <v>0</v>
      </c>
      <c r="R337" t="s">
        <v>125</v>
      </c>
      <c r="S337">
        <v>0</v>
      </c>
      <c r="T337" t="s">
        <v>80</v>
      </c>
      <c r="U337" t="s">
        <v>80</v>
      </c>
      <c r="V337" t="s">
        <v>239</v>
      </c>
      <c r="W337" t="s">
        <v>913</v>
      </c>
      <c r="X337" t="s">
        <v>2391</v>
      </c>
      <c r="Y337" t="s">
        <v>2392</v>
      </c>
      <c r="Z337" t="s">
        <v>80</v>
      </c>
      <c r="AA337" t="s">
        <v>85</v>
      </c>
      <c r="AC337" t="s">
        <v>2393</v>
      </c>
      <c r="AD337" t="s">
        <v>87</v>
      </c>
      <c r="AG337" t="s">
        <v>2394</v>
      </c>
      <c r="AH337" t="s">
        <v>227</v>
      </c>
      <c r="AI337" t="s">
        <v>92</v>
      </c>
      <c r="AJ337" t="s">
        <v>131</v>
      </c>
      <c r="AK337" t="s">
        <v>2395</v>
      </c>
      <c r="AL337" t="s">
        <v>95</v>
      </c>
      <c r="AM337" t="s">
        <v>96</v>
      </c>
      <c r="AN337" t="s">
        <v>97</v>
      </c>
      <c r="AO337" t="s">
        <v>98</v>
      </c>
      <c r="AP337" t="s">
        <v>78</v>
      </c>
      <c r="AQ337" t="s">
        <v>99</v>
      </c>
      <c r="AS337" t="s">
        <v>78</v>
      </c>
      <c r="AT337" t="s">
        <v>100</v>
      </c>
      <c r="AU337" t="s">
        <v>100</v>
      </c>
      <c r="AW337" t="s">
        <v>85</v>
      </c>
      <c r="AX337" t="s">
        <v>103</v>
      </c>
      <c r="AY337" t="s">
        <v>159</v>
      </c>
      <c r="AZ337" t="s">
        <v>103</v>
      </c>
      <c r="BA337" t="s">
        <v>133</v>
      </c>
      <c r="BB337" t="s">
        <v>78</v>
      </c>
      <c r="BC337" t="s">
        <v>78</v>
      </c>
      <c r="BE337">
        <v>0</v>
      </c>
      <c r="BF337">
        <v>0</v>
      </c>
      <c r="BG337">
        <v>0</v>
      </c>
      <c r="BH337">
        <v>0</v>
      </c>
      <c r="BJ337" t="s">
        <v>85</v>
      </c>
      <c r="BP337" t="s">
        <v>78</v>
      </c>
      <c r="BQ337" t="s">
        <v>78</v>
      </c>
      <c r="BR337" t="s">
        <v>78</v>
      </c>
    </row>
    <row r="338" customFormat="1" spans="1:70">
      <c r="A338" t="s">
        <v>4213</v>
      </c>
      <c r="B338" t="s">
        <v>4213</v>
      </c>
      <c r="C338" t="s">
        <v>1080</v>
      </c>
      <c r="D338" t="s">
        <v>108</v>
      </c>
      <c r="E338">
        <v>1</v>
      </c>
      <c r="F338" t="s">
        <v>3996</v>
      </c>
      <c r="G338" t="s">
        <v>1082</v>
      </c>
      <c r="H338">
        <v>289</v>
      </c>
      <c r="I338">
        <v>289</v>
      </c>
      <c r="J338">
        <v>0</v>
      </c>
      <c r="K338">
        <v>0</v>
      </c>
      <c r="L338" t="s">
        <v>78</v>
      </c>
      <c r="M338" t="s">
        <v>78</v>
      </c>
      <c r="N338" t="s">
        <v>78</v>
      </c>
      <c r="O338">
        <v>0</v>
      </c>
      <c r="P338">
        <v>0</v>
      </c>
      <c r="Q338">
        <v>0</v>
      </c>
      <c r="R338" t="s">
        <v>79</v>
      </c>
      <c r="S338">
        <v>0</v>
      </c>
      <c r="T338" t="s">
        <v>80</v>
      </c>
      <c r="U338" t="s">
        <v>80</v>
      </c>
      <c r="V338" t="s">
        <v>347</v>
      </c>
      <c r="W338" t="s">
        <v>727</v>
      </c>
      <c r="X338" t="s">
        <v>728</v>
      </c>
      <c r="Y338" t="s">
        <v>729</v>
      </c>
      <c r="Z338" t="s">
        <v>80</v>
      </c>
      <c r="AA338" t="s">
        <v>85</v>
      </c>
      <c r="AC338" t="s">
        <v>2397</v>
      </c>
      <c r="AD338" t="s">
        <v>87</v>
      </c>
      <c r="AF338" t="s">
        <v>2398</v>
      </c>
      <c r="AG338" t="s">
        <v>2399</v>
      </c>
      <c r="AH338" t="s">
        <v>227</v>
      </c>
      <c r="AI338" t="s">
        <v>92</v>
      </c>
      <c r="AJ338" t="s">
        <v>93</v>
      </c>
      <c r="AK338" t="s">
        <v>2400</v>
      </c>
      <c r="AL338" t="s">
        <v>95</v>
      </c>
      <c r="AM338" t="s">
        <v>96</v>
      </c>
      <c r="AN338" t="s">
        <v>97</v>
      </c>
      <c r="AO338" t="s">
        <v>98</v>
      </c>
      <c r="AP338" t="s">
        <v>78</v>
      </c>
      <c r="AQ338" t="s">
        <v>78</v>
      </c>
      <c r="AS338" t="s">
        <v>78</v>
      </c>
      <c r="AT338" t="s">
        <v>100</v>
      </c>
      <c r="AU338" t="s">
        <v>100</v>
      </c>
      <c r="AW338" t="s">
        <v>85</v>
      </c>
      <c r="AX338" t="s">
        <v>101</v>
      </c>
      <c r="AY338" t="s">
        <v>102</v>
      </c>
      <c r="AZ338" t="s">
        <v>103</v>
      </c>
      <c r="BA338" t="s">
        <v>120</v>
      </c>
      <c r="BB338" t="s">
        <v>78</v>
      </c>
      <c r="BC338" t="s">
        <v>78</v>
      </c>
      <c r="BD338" t="s">
        <v>2173</v>
      </c>
      <c r="BE338">
        <v>0</v>
      </c>
      <c r="BF338">
        <v>0</v>
      </c>
      <c r="BG338">
        <v>0</v>
      </c>
      <c r="BH338">
        <v>0</v>
      </c>
      <c r="BJ338" t="s">
        <v>85</v>
      </c>
      <c r="BP338" t="s">
        <v>78</v>
      </c>
      <c r="BQ338" t="s">
        <v>78</v>
      </c>
      <c r="BR338" t="s">
        <v>78</v>
      </c>
    </row>
    <row r="339" customFormat="1" spans="1:70">
      <c r="A339" t="s">
        <v>4214</v>
      </c>
      <c r="B339" t="s">
        <v>4214</v>
      </c>
      <c r="C339" t="s">
        <v>1080</v>
      </c>
      <c r="D339" t="s">
        <v>123</v>
      </c>
      <c r="E339">
        <v>1</v>
      </c>
      <c r="F339" t="s">
        <v>3996</v>
      </c>
      <c r="G339" t="s">
        <v>1626</v>
      </c>
      <c r="H339">
        <v>289</v>
      </c>
      <c r="I339">
        <v>289</v>
      </c>
      <c r="J339">
        <v>0</v>
      </c>
      <c r="K339">
        <v>0</v>
      </c>
      <c r="L339" t="s">
        <v>78</v>
      </c>
      <c r="M339" t="s">
        <v>78</v>
      </c>
      <c r="N339" t="s">
        <v>78</v>
      </c>
      <c r="O339">
        <v>0</v>
      </c>
      <c r="P339">
        <v>0</v>
      </c>
      <c r="Q339">
        <v>0</v>
      </c>
      <c r="R339" t="s">
        <v>125</v>
      </c>
      <c r="S339">
        <v>0</v>
      </c>
      <c r="T339" t="s">
        <v>80</v>
      </c>
      <c r="U339" t="s">
        <v>80</v>
      </c>
      <c r="V339" t="s">
        <v>239</v>
      </c>
      <c r="W339" t="s">
        <v>913</v>
      </c>
      <c r="X339" t="s">
        <v>2391</v>
      </c>
      <c r="Y339" t="s">
        <v>2392</v>
      </c>
      <c r="Z339" t="s">
        <v>80</v>
      </c>
      <c r="AA339" t="s">
        <v>85</v>
      </c>
      <c r="AC339" t="s">
        <v>2402</v>
      </c>
      <c r="AD339" t="s">
        <v>87</v>
      </c>
      <c r="AG339" t="s">
        <v>2403</v>
      </c>
      <c r="AH339" t="s">
        <v>227</v>
      </c>
      <c r="AI339" t="s">
        <v>92</v>
      </c>
      <c r="AJ339" t="s">
        <v>131</v>
      </c>
      <c r="AK339" t="s">
        <v>2404</v>
      </c>
      <c r="AL339" t="s">
        <v>95</v>
      </c>
      <c r="AM339" t="s">
        <v>96</v>
      </c>
      <c r="AN339" t="s">
        <v>97</v>
      </c>
      <c r="AO339" t="s">
        <v>98</v>
      </c>
      <c r="AP339" t="s">
        <v>78</v>
      </c>
      <c r="AQ339" t="s">
        <v>99</v>
      </c>
      <c r="AS339" t="s">
        <v>78</v>
      </c>
      <c r="AT339" t="s">
        <v>100</v>
      </c>
      <c r="AU339" t="s">
        <v>100</v>
      </c>
      <c r="AW339" t="s">
        <v>85</v>
      </c>
      <c r="AX339" t="s">
        <v>103</v>
      </c>
      <c r="AY339" t="s">
        <v>159</v>
      </c>
      <c r="AZ339" t="s">
        <v>103</v>
      </c>
      <c r="BA339" t="s">
        <v>133</v>
      </c>
      <c r="BB339" t="s">
        <v>78</v>
      </c>
      <c r="BC339" t="s">
        <v>78</v>
      </c>
      <c r="BE339">
        <v>0</v>
      </c>
      <c r="BF339">
        <v>0</v>
      </c>
      <c r="BG339">
        <v>0</v>
      </c>
      <c r="BH339">
        <v>0</v>
      </c>
      <c r="BJ339" t="s">
        <v>85</v>
      </c>
      <c r="BP339" t="s">
        <v>78</v>
      </c>
      <c r="BQ339" t="s">
        <v>78</v>
      </c>
      <c r="BR339" t="s">
        <v>78</v>
      </c>
    </row>
    <row r="340" customFormat="1" spans="1:70">
      <c r="A340" t="s">
        <v>4215</v>
      </c>
      <c r="B340" t="s">
        <v>4215</v>
      </c>
      <c r="C340" t="s">
        <v>1080</v>
      </c>
      <c r="D340" t="s">
        <v>135</v>
      </c>
      <c r="E340">
        <v>1</v>
      </c>
      <c r="F340" t="s">
        <v>3996</v>
      </c>
      <c r="G340" t="s">
        <v>1639</v>
      </c>
      <c r="H340">
        <v>289</v>
      </c>
      <c r="I340">
        <v>289</v>
      </c>
      <c r="J340">
        <v>0</v>
      </c>
      <c r="K340">
        <v>0</v>
      </c>
      <c r="L340" t="s">
        <v>78</v>
      </c>
      <c r="M340" t="s">
        <v>78</v>
      </c>
      <c r="N340" t="s">
        <v>78</v>
      </c>
      <c r="O340">
        <v>0</v>
      </c>
      <c r="P340">
        <v>0</v>
      </c>
      <c r="Q340">
        <v>0</v>
      </c>
      <c r="R340" t="s">
        <v>125</v>
      </c>
      <c r="S340">
        <v>0</v>
      </c>
      <c r="T340" t="s">
        <v>80</v>
      </c>
      <c r="U340" t="s">
        <v>80</v>
      </c>
      <c r="V340" t="s">
        <v>221</v>
      </c>
      <c r="W340" t="s">
        <v>2406</v>
      </c>
      <c r="X340" t="s">
        <v>2407</v>
      </c>
      <c r="Y340" t="s">
        <v>817</v>
      </c>
      <c r="Z340" t="s">
        <v>80</v>
      </c>
      <c r="AA340" t="s">
        <v>85</v>
      </c>
      <c r="AC340" t="s">
        <v>2408</v>
      </c>
      <c r="AD340" t="s">
        <v>87</v>
      </c>
      <c r="AH340" t="s">
        <v>227</v>
      </c>
      <c r="AI340" t="s">
        <v>92</v>
      </c>
      <c r="AJ340" t="s">
        <v>131</v>
      </c>
      <c r="AK340" t="s">
        <v>2409</v>
      </c>
      <c r="AL340" t="s">
        <v>95</v>
      </c>
      <c r="AM340" t="s">
        <v>96</v>
      </c>
      <c r="AN340" t="s">
        <v>97</v>
      </c>
      <c r="AO340" t="s">
        <v>98</v>
      </c>
      <c r="AP340" t="s">
        <v>78</v>
      </c>
      <c r="AQ340" t="s">
        <v>78</v>
      </c>
      <c r="AR340" t="s">
        <v>195</v>
      </c>
      <c r="AS340" t="s">
        <v>78</v>
      </c>
      <c r="AT340" t="s">
        <v>100</v>
      </c>
      <c r="AU340" t="s">
        <v>100</v>
      </c>
      <c r="AW340" t="s">
        <v>85</v>
      </c>
      <c r="AX340" t="s">
        <v>101</v>
      </c>
      <c r="AY340" t="s">
        <v>102</v>
      </c>
      <c r="AZ340" t="s">
        <v>103</v>
      </c>
      <c r="BA340" t="s">
        <v>104</v>
      </c>
      <c r="BB340" t="s">
        <v>78</v>
      </c>
      <c r="BC340" t="s">
        <v>78</v>
      </c>
      <c r="BE340">
        <v>0</v>
      </c>
      <c r="BF340">
        <v>0</v>
      </c>
      <c r="BG340">
        <v>0</v>
      </c>
      <c r="BH340">
        <v>0</v>
      </c>
      <c r="BJ340" t="s">
        <v>85</v>
      </c>
      <c r="BP340" t="s">
        <v>78</v>
      </c>
      <c r="BQ340" t="s">
        <v>78</v>
      </c>
      <c r="BR340" t="s">
        <v>78</v>
      </c>
    </row>
    <row r="341" customFormat="1" spans="1:70">
      <c r="A341" t="s">
        <v>4216</v>
      </c>
      <c r="B341" t="s">
        <v>4216</v>
      </c>
      <c r="C341" t="s">
        <v>1080</v>
      </c>
      <c r="D341" t="s">
        <v>108</v>
      </c>
      <c r="E341">
        <v>1</v>
      </c>
      <c r="F341" t="s">
        <v>3996</v>
      </c>
      <c r="G341" t="s">
        <v>1082</v>
      </c>
      <c r="H341">
        <v>289</v>
      </c>
      <c r="I341">
        <v>289</v>
      </c>
      <c r="J341">
        <v>0</v>
      </c>
      <c r="K341">
        <v>0</v>
      </c>
      <c r="L341" t="s">
        <v>78</v>
      </c>
      <c r="M341" t="s">
        <v>78</v>
      </c>
      <c r="N341" t="s">
        <v>78</v>
      </c>
      <c r="O341">
        <v>0</v>
      </c>
      <c r="P341">
        <v>0</v>
      </c>
      <c r="Q341">
        <v>0</v>
      </c>
      <c r="R341" t="s">
        <v>111</v>
      </c>
      <c r="S341">
        <v>0</v>
      </c>
      <c r="T341" t="s">
        <v>80</v>
      </c>
      <c r="U341" t="s">
        <v>80</v>
      </c>
      <c r="V341" t="s">
        <v>161</v>
      </c>
      <c r="W341" t="s">
        <v>161</v>
      </c>
      <c r="X341" t="s">
        <v>1243</v>
      </c>
      <c r="Y341" t="s">
        <v>1580</v>
      </c>
      <c r="Z341" t="s">
        <v>80</v>
      </c>
      <c r="AA341" t="s">
        <v>85</v>
      </c>
      <c r="AC341" t="s">
        <v>2411</v>
      </c>
      <c r="AD341" t="s">
        <v>87</v>
      </c>
      <c r="AG341" t="s">
        <v>2412</v>
      </c>
      <c r="AH341" t="s">
        <v>91</v>
      </c>
      <c r="AI341" t="s">
        <v>92</v>
      </c>
      <c r="AJ341" t="s">
        <v>131</v>
      </c>
      <c r="AK341" t="s">
        <v>2409</v>
      </c>
      <c r="AL341" t="s">
        <v>95</v>
      </c>
      <c r="AM341" t="s">
        <v>96</v>
      </c>
      <c r="AN341" t="s">
        <v>97</v>
      </c>
      <c r="AO341" t="s">
        <v>98</v>
      </c>
      <c r="AP341" t="s">
        <v>78</v>
      </c>
      <c r="AQ341" t="s">
        <v>99</v>
      </c>
      <c r="AS341" t="s">
        <v>78</v>
      </c>
      <c r="AT341" t="s">
        <v>100</v>
      </c>
      <c r="AU341" t="s">
        <v>100</v>
      </c>
      <c r="AW341" t="s">
        <v>85</v>
      </c>
      <c r="AX341" t="s">
        <v>101</v>
      </c>
      <c r="AY341" t="s">
        <v>102</v>
      </c>
      <c r="AZ341" t="s">
        <v>103</v>
      </c>
      <c r="BA341" t="s">
        <v>245</v>
      </c>
      <c r="BB341" t="s">
        <v>78</v>
      </c>
      <c r="BC341" t="s">
        <v>78</v>
      </c>
      <c r="BE341">
        <v>0</v>
      </c>
      <c r="BF341">
        <v>0</v>
      </c>
      <c r="BG341">
        <v>0</v>
      </c>
      <c r="BH341">
        <v>0</v>
      </c>
      <c r="BJ341" t="s">
        <v>85</v>
      </c>
      <c r="BP341" t="s">
        <v>78</v>
      </c>
      <c r="BQ341" t="s">
        <v>78</v>
      </c>
      <c r="BR341" t="s">
        <v>78</v>
      </c>
    </row>
    <row r="342" customFormat="1" spans="1:70">
      <c r="A342" t="s">
        <v>4217</v>
      </c>
      <c r="B342" t="s">
        <v>4217</v>
      </c>
      <c r="C342" t="s">
        <v>1068</v>
      </c>
      <c r="D342" t="s">
        <v>247</v>
      </c>
      <c r="E342">
        <v>1</v>
      </c>
      <c r="F342" t="s">
        <v>3994</v>
      </c>
      <c r="G342" t="s">
        <v>1104</v>
      </c>
      <c r="H342">
        <v>180</v>
      </c>
      <c r="I342">
        <v>180</v>
      </c>
      <c r="J342">
        <v>0</v>
      </c>
      <c r="K342">
        <v>0</v>
      </c>
      <c r="L342" t="s">
        <v>78</v>
      </c>
      <c r="M342" t="s">
        <v>78</v>
      </c>
      <c r="N342" t="s">
        <v>78</v>
      </c>
      <c r="O342">
        <v>0</v>
      </c>
      <c r="P342">
        <v>0</v>
      </c>
      <c r="Q342">
        <v>0</v>
      </c>
      <c r="R342" t="s">
        <v>125</v>
      </c>
      <c r="S342">
        <v>0</v>
      </c>
      <c r="T342" t="s">
        <v>80</v>
      </c>
      <c r="U342" t="s">
        <v>80</v>
      </c>
      <c r="V342" t="s">
        <v>152</v>
      </c>
      <c r="W342" t="s">
        <v>2268</v>
      </c>
      <c r="X342" t="s">
        <v>2414</v>
      </c>
      <c r="Y342" t="s">
        <v>503</v>
      </c>
      <c r="Z342" t="s">
        <v>80</v>
      </c>
      <c r="AA342" t="s">
        <v>85</v>
      </c>
      <c r="AC342" t="s">
        <v>2415</v>
      </c>
      <c r="AD342" t="s">
        <v>87</v>
      </c>
      <c r="AG342" t="s">
        <v>2416</v>
      </c>
      <c r="AH342" t="s">
        <v>91</v>
      </c>
      <c r="AI342" t="s">
        <v>92</v>
      </c>
      <c r="AJ342" t="s">
        <v>131</v>
      </c>
      <c r="AK342" t="s">
        <v>2417</v>
      </c>
      <c r="AL342" t="s">
        <v>95</v>
      </c>
      <c r="AM342" t="s">
        <v>96</v>
      </c>
      <c r="AN342" t="s">
        <v>97</v>
      </c>
      <c r="AO342" t="s">
        <v>98</v>
      </c>
      <c r="AP342" t="s">
        <v>78</v>
      </c>
      <c r="AQ342" t="s">
        <v>99</v>
      </c>
      <c r="AS342" t="s">
        <v>78</v>
      </c>
      <c r="AT342" t="s">
        <v>100</v>
      </c>
      <c r="AU342" t="s">
        <v>100</v>
      </c>
      <c r="AW342" t="s">
        <v>85</v>
      </c>
      <c r="AX342" t="s">
        <v>101</v>
      </c>
      <c r="AY342" t="s">
        <v>102</v>
      </c>
      <c r="AZ342" t="s">
        <v>103</v>
      </c>
      <c r="BA342" t="s">
        <v>133</v>
      </c>
      <c r="BB342" t="s">
        <v>78</v>
      </c>
      <c r="BC342" t="s">
        <v>78</v>
      </c>
      <c r="BE342">
        <v>0</v>
      </c>
      <c r="BF342">
        <v>0</v>
      </c>
      <c r="BG342">
        <v>0</v>
      </c>
      <c r="BH342">
        <v>0</v>
      </c>
      <c r="BJ342" t="s">
        <v>85</v>
      </c>
      <c r="BP342" t="s">
        <v>78</v>
      </c>
      <c r="BQ342" t="s">
        <v>78</v>
      </c>
      <c r="BR342" t="s">
        <v>78</v>
      </c>
    </row>
    <row r="343" customFormat="1" spans="1:70">
      <c r="A343" t="s">
        <v>4218</v>
      </c>
      <c r="B343" t="s">
        <v>4218</v>
      </c>
      <c r="C343" t="s">
        <v>1080</v>
      </c>
      <c r="D343" t="s">
        <v>108</v>
      </c>
      <c r="E343">
        <v>1</v>
      </c>
      <c r="F343" t="s">
        <v>3996</v>
      </c>
      <c r="G343" t="s">
        <v>1082</v>
      </c>
      <c r="H343">
        <v>289</v>
      </c>
      <c r="I343">
        <v>289</v>
      </c>
      <c r="J343">
        <v>0</v>
      </c>
      <c r="K343">
        <v>0</v>
      </c>
      <c r="L343" t="s">
        <v>78</v>
      </c>
      <c r="M343" t="s">
        <v>78</v>
      </c>
      <c r="N343" t="s">
        <v>78</v>
      </c>
      <c r="O343">
        <v>0</v>
      </c>
      <c r="P343">
        <v>0</v>
      </c>
      <c r="Q343">
        <v>0</v>
      </c>
      <c r="R343" t="s">
        <v>125</v>
      </c>
      <c r="S343">
        <v>0</v>
      </c>
      <c r="T343" t="s">
        <v>80</v>
      </c>
      <c r="U343" t="s">
        <v>80</v>
      </c>
      <c r="V343" t="s">
        <v>126</v>
      </c>
      <c r="W343" t="s">
        <v>945</v>
      </c>
      <c r="X343" t="s">
        <v>2419</v>
      </c>
      <c r="Y343" t="s">
        <v>2420</v>
      </c>
      <c r="Z343" t="s">
        <v>80</v>
      </c>
      <c r="AA343" t="s">
        <v>85</v>
      </c>
      <c r="AC343" t="s">
        <v>2421</v>
      </c>
      <c r="AD343" t="s">
        <v>87</v>
      </c>
      <c r="AG343" t="s">
        <v>2422</v>
      </c>
      <c r="AH343" t="s">
        <v>91</v>
      </c>
      <c r="AI343" t="s">
        <v>92</v>
      </c>
      <c r="AJ343" t="s">
        <v>131</v>
      </c>
      <c r="AK343" t="s">
        <v>2423</v>
      </c>
      <c r="AL343" t="s">
        <v>95</v>
      </c>
      <c r="AM343" t="s">
        <v>96</v>
      </c>
      <c r="AN343" t="s">
        <v>97</v>
      </c>
      <c r="AO343" t="s">
        <v>98</v>
      </c>
      <c r="AP343" t="s">
        <v>78</v>
      </c>
      <c r="AQ343" t="s">
        <v>99</v>
      </c>
      <c r="AS343" t="s">
        <v>78</v>
      </c>
      <c r="AT343" t="s">
        <v>100</v>
      </c>
      <c r="AU343" t="s">
        <v>100</v>
      </c>
      <c r="AW343" t="s">
        <v>85</v>
      </c>
      <c r="AX343" t="s">
        <v>101</v>
      </c>
      <c r="AY343" t="s">
        <v>102</v>
      </c>
      <c r="AZ343" t="s">
        <v>103</v>
      </c>
      <c r="BA343" t="s">
        <v>133</v>
      </c>
      <c r="BB343" t="s">
        <v>78</v>
      </c>
      <c r="BC343" t="s">
        <v>78</v>
      </c>
      <c r="BE343">
        <v>0</v>
      </c>
      <c r="BF343">
        <v>0</v>
      </c>
      <c r="BG343">
        <v>0</v>
      </c>
      <c r="BH343">
        <v>0</v>
      </c>
      <c r="BJ343" t="s">
        <v>85</v>
      </c>
      <c r="BP343" t="s">
        <v>78</v>
      </c>
      <c r="BQ343" t="s">
        <v>78</v>
      </c>
      <c r="BR343" t="s">
        <v>78</v>
      </c>
    </row>
    <row r="344" customFormat="1" spans="1:70">
      <c r="A344" t="s">
        <v>4219</v>
      </c>
      <c r="B344" t="s">
        <v>4219</v>
      </c>
      <c r="C344" t="s">
        <v>1080</v>
      </c>
      <c r="D344" t="s">
        <v>135</v>
      </c>
      <c r="E344">
        <v>1</v>
      </c>
      <c r="F344" t="s">
        <v>3996</v>
      </c>
      <c r="G344" t="s">
        <v>1639</v>
      </c>
      <c r="H344">
        <v>289</v>
      </c>
      <c r="I344">
        <v>289</v>
      </c>
      <c r="J344">
        <v>0</v>
      </c>
      <c r="K344">
        <v>0</v>
      </c>
      <c r="L344" t="s">
        <v>78</v>
      </c>
      <c r="M344" t="s">
        <v>78</v>
      </c>
      <c r="N344" t="s">
        <v>78</v>
      </c>
      <c r="O344">
        <v>0</v>
      </c>
      <c r="P344">
        <v>0</v>
      </c>
      <c r="Q344">
        <v>0</v>
      </c>
      <c r="R344" t="s">
        <v>111</v>
      </c>
      <c r="S344">
        <v>0</v>
      </c>
      <c r="T344" t="s">
        <v>80</v>
      </c>
      <c r="U344" t="s">
        <v>80</v>
      </c>
      <c r="V344" t="s">
        <v>221</v>
      </c>
      <c r="W344" t="s">
        <v>2406</v>
      </c>
      <c r="X344" t="s">
        <v>2407</v>
      </c>
      <c r="Y344" t="s">
        <v>817</v>
      </c>
      <c r="Z344" t="s">
        <v>80</v>
      </c>
      <c r="AA344" t="s">
        <v>85</v>
      </c>
      <c r="AC344" t="s">
        <v>2425</v>
      </c>
      <c r="AD344" t="s">
        <v>87</v>
      </c>
      <c r="AH344" t="s">
        <v>227</v>
      </c>
      <c r="AI344" t="s">
        <v>92</v>
      </c>
      <c r="AJ344" t="s">
        <v>131</v>
      </c>
      <c r="AK344" t="s">
        <v>2426</v>
      </c>
      <c r="AL344" t="s">
        <v>95</v>
      </c>
      <c r="AM344" t="s">
        <v>96</v>
      </c>
      <c r="AN344" t="s">
        <v>97</v>
      </c>
      <c r="AO344" t="s">
        <v>98</v>
      </c>
      <c r="AP344" t="s">
        <v>78</v>
      </c>
      <c r="AQ344" t="s">
        <v>78</v>
      </c>
      <c r="AR344" t="s">
        <v>195</v>
      </c>
      <c r="AS344" t="s">
        <v>78</v>
      </c>
      <c r="AT344" t="s">
        <v>100</v>
      </c>
      <c r="AU344" t="s">
        <v>100</v>
      </c>
      <c r="AW344" t="s">
        <v>85</v>
      </c>
      <c r="AX344" t="s">
        <v>101</v>
      </c>
      <c r="AY344" t="s">
        <v>102</v>
      </c>
      <c r="AZ344" t="s">
        <v>103</v>
      </c>
      <c r="BA344" t="s">
        <v>104</v>
      </c>
      <c r="BB344" t="s">
        <v>78</v>
      </c>
      <c r="BC344" t="s">
        <v>78</v>
      </c>
      <c r="BE344">
        <v>0</v>
      </c>
      <c r="BF344">
        <v>0</v>
      </c>
      <c r="BG344">
        <v>0</v>
      </c>
      <c r="BH344">
        <v>0</v>
      </c>
      <c r="BJ344" t="s">
        <v>85</v>
      </c>
      <c r="BP344" t="s">
        <v>78</v>
      </c>
      <c r="BQ344" t="s">
        <v>78</v>
      </c>
      <c r="BR344" t="s">
        <v>78</v>
      </c>
    </row>
    <row r="345" customFormat="1" spans="1:70">
      <c r="A345" t="s">
        <v>4220</v>
      </c>
      <c r="B345" t="s">
        <v>4220</v>
      </c>
      <c r="C345" t="s">
        <v>1080</v>
      </c>
      <c r="D345" t="s">
        <v>108</v>
      </c>
      <c r="E345">
        <v>1</v>
      </c>
      <c r="F345" t="s">
        <v>3996</v>
      </c>
      <c r="G345" t="s">
        <v>1082</v>
      </c>
      <c r="H345">
        <v>289</v>
      </c>
      <c r="I345">
        <v>289</v>
      </c>
      <c r="J345">
        <v>0</v>
      </c>
      <c r="K345">
        <v>0</v>
      </c>
      <c r="L345" t="s">
        <v>78</v>
      </c>
      <c r="M345" t="s">
        <v>78</v>
      </c>
      <c r="N345" t="s">
        <v>78</v>
      </c>
      <c r="O345">
        <v>0</v>
      </c>
      <c r="P345">
        <v>0</v>
      </c>
      <c r="Q345">
        <v>0</v>
      </c>
      <c r="R345" t="s">
        <v>125</v>
      </c>
      <c r="S345">
        <v>0</v>
      </c>
      <c r="T345" t="s">
        <v>80</v>
      </c>
      <c r="U345" t="s">
        <v>80</v>
      </c>
      <c r="V345" t="s">
        <v>152</v>
      </c>
      <c r="W345" t="s">
        <v>2268</v>
      </c>
      <c r="X345" t="s">
        <v>2414</v>
      </c>
      <c r="Y345" t="s">
        <v>503</v>
      </c>
      <c r="Z345" t="s">
        <v>80</v>
      </c>
      <c r="AA345" t="s">
        <v>85</v>
      </c>
      <c r="AC345" t="s">
        <v>2428</v>
      </c>
      <c r="AD345" t="s">
        <v>87</v>
      </c>
      <c r="AF345" t="s">
        <v>2429</v>
      </c>
      <c r="AG345" t="s">
        <v>2430</v>
      </c>
      <c r="AH345" t="s">
        <v>91</v>
      </c>
      <c r="AI345" t="s">
        <v>92</v>
      </c>
      <c r="AJ345" t="s">
        <v>93</v>
      </c>
      <c r="AK345" t="s">
        <v>2431</v>
      </c>
      <c r="AL345" t="s">
        <v>95</v>
      </c>
      <c r="AM345" t="s">
        <v>96</v>
      </c>
      <c r="AN345" t="s">
        <v>97</v>
      </c>
      <c r="AO345" t="s">
        <v>98</v>
      </c>
      <c r="AP345" t="s">
        <v>78</v>
      </c>
      <c r="AQ345" t="s">
        <v>78</v>
      </c>
      <c r="AS345" t="s">
        <v>78</v>
      </c>
      <c r="AT345" t="s">
        <v>100</v>
      </c>
      <c r="AU345" t="s">
        <v>100</v>
      </c>
      <c r="AW345" t="s">
        <v>85</v>
      </c>
      <c r="AX345" t="s">
        <v>101</v>
      </c>
      <c r="AY345" t="s">
        <v>102</v>
      </c>
      <c r="AZ345" t="s">
        <v>103</v>
      </c>
      <c r="BA345" t="s">
        <v>133</v>
      </c>
      <c r="BB345" t="s">
        <v>78</v>
      </c>
      <c r="BC345" t="s">
        <v>78</v>
      </c>
      <c r="BD345" t="s">
        <v>2432</v>
      </c>
      <c r="BE345">
        <v>0</v>
      </c>
      <c r="BF345">
        <v>0</v>
      </c>
      <c r="BG345">
        <v>0</v>
      </c>
      <c r="BH345">
        <v>0</v>
      </c>
      <c r="BJ345" t="s">
        <v>85</v>
      </c>
      <c r="BP345" t="s">
        <v>78</v>
      </c>
      <c r="BQ345" t="s">
        <v>78</v>
      </c>
      <c r="BR345" t="s">
        <v>78</v>
      </c>
    </row>
    <row r="346" customFormat="1" spans="1:70">
      <c r="A346" t="s">
        <v>4221</v>
      </c>
      <c r="B346" t="s">
        <v>4221</v>
      </c>
      <c r="C346" t="s">
        <v>1080</v>
      </c>
      <c r="D346" t="s">
        <v>135</v>
      </c>
      <c r="E346">
        <v>1</v>
      </c>
      <c r="F346" t="s">
        <v>3996</v>
      </c>
      <c r="G346" t="s">
        <v>1639</v>
      </c>
      <c r="H346">
        <v>289</v>
      </c>
      <c r="I346">
        <v>289</v>
      </c>
      <c r="J346">
        <v>0</v>
      </c>
      <c r="K346">
        <v>0</v>
      </c>
      <c r="L346" t="s">
        <v>78</v>
      </c>
      <c r="M346" t="s">
        <v>78</v>
      </c>
      <c r="N346" t="s">
        <v>78</v>
      </c>
      <c r="O346">
        <v>0</v>
      </c>
      <c r="P346">
        <v>0</v>
      </c>
      <c r="Q346">
        <v>0</v>
      </c>
      <c r="R346" t="s">
        <v>125</v>
      </c>
      <c r="S346">
        <v>0</v>
      </c>
      <c r="T346" t="s">
        <v>80</v>
      </c>
      <c r="U346" t="s">
        <v>80</v>
      </c>
      <c r="V346" t="s">
        <v>161</v>
      </c>
      <c r="W346" t="s">
        <v>161</v>
      </c>
      <c r="X346" t="s">
        <v>162</v>
      </c>
      <c r="Y346" t="s">
        <v>2434</v>
      </c>
      <c r="Z346" t="s">
        <v>80</v>
      </c>
      <c r="AA346" t="s">
        <v>85</v>
      </c>
      <c r="AC346" t="s">
        <v>2435</v>
      </c>
      <c r="AD346" t="s">
        <v>87</v>
      </c>
      <c r="AG346" t="s">
        <v>2436</v>
      </c>
      <c r="AH346" t="s">
        <v>91</v>
      </c>
      <c r="AI346" t="s">
        <v>92</v>
      </c>
      <c r="AJ346" t="s">
        <v>131</v>
      </c>
      <c r="AK346" t="s">
        <v>2437</v>
      </c>
      <c r="AL346" t="s">
        <v>95</v>
      </c>
      <c r="AM346" t="s">
        <v>96</v>
      </c>
      <c r="AN346" t="s">
        <v>97</v>
      </c>
      <c r="AO346" t="s">
        <v>98</v>
      </c>
      <c r="AP346" t="s">
        <v>78</v>
      </c>
      <c r="AQ346" t="s">
        <v>99</v>
      </c>
      <c r="AS346" t="s">
        <v>78</v>
      </c>
      <c r="AT346" t="s">
        <v>100</v>
      </c>
      <c r="AU346" t="s">
        <v>100</v>
      </c>
      <c r="AW346" t="s">
        <v>85</v>
      </c>
      <c r="AX346" t="s">
        <v>101</v>
      </c>
      <c r="AY346" t="s">
        <v>102</v>
      </c>
      <c r="AZ346" t="s">
        <v>103</v>
      </c>
      <c r="BA346" t="s">
        <v>133</v>
      </c>
      <c r="BB346" t="s">
        <v>78</v>
      </c>
      <c r="BC346" t="s">
        <v>78</v>
      </c>
      <c r="BE346">
        <v>0</v>
      </c>
      <c r="BF346">
        <v>0</v>
      </c>
      <c r="BG346">
        <v>0</v>
      </c>
      <c r="BH346">
        <v>0</v>
      </c>
      <c r="BJ346" t="s">
        <v>85</v>
      </c>
      <c r="BP346" t="s">
        <v>78</v>
      </c>
      <c r="BQ346" t="s">
        <v>78</v>
      </c>
      <c r="BR346" t="s">
        <v>78</v>
      </c>
    </row>
    <row r="347" customFormat="1" spans="1:70">
      <c r="A347" t="s">
        <v>4222</v>
      </c>
      <c r="B347" t="s">
        <v>4222</v>
      </c>
      <c r="C347" t="s">
        <v>1068</v>
      </c>
      <c r="D347" t="s">
        <v>75</v>
      </c>
      <c r="E347">
        <v>1</v>
      </c>
      <c r="F347" t="s">
        <v>3994</v>
      </c>
      <c r="G347" t="s">
        <v>1070</v>
      </c>
      <c r="H347">
        <v>180</v>
      </c>
      <c r="I347">
        <v>180</v>
      </c>
      <c r="J347">
        <v>0</v>
      </c>
      <c r="K347">
        <v>0</v>
      </c>
      <c r="L347" t="s">
        <v>78</v>
      </c>
      <c r="M347" t="s">
        <v>78</v>
      </c>
      <c r="N347" t="s">
        <v>78</v>
      </c>
      <c r="O347">
        <v>0</v>
      </c>
      <c r="P347">
        <v>0</v>
      </c>
      <c r="Q347">
        <v>0</v>
      </c>
      <c r="R347" t="s">
        <v>79</v>
      </c>
      <c r="S347">
        <v>0</v>
      </c>
      <c r="T347" t="s">
        <v>80</v>
      </c>
      <c r="U347" t="s">
        <v>80</v>
      </c>
      <c r="V347" t="s">
        <v>239</v>
      </c>
      <c r="W347" t="s">
        <v>2439</v>
      </c>
      <c r="X347" t="s">
        <v>2440</v>
      </c>
      <c r="Y347" t="s">
        <v>2441</v>
      </c>
      <c r="Z347" t="s">
        <v>80</v>
      </c>
      <c r="AA347" t="s">
        <v>85</v>
      </c>
      <c r="AC347" t="s">
        <v>2442</v>
      </c>
      <c r="AD347" t="s">
        <v>202</v>
      </c>
      <c r="AE347" t="s">
        <v>2443</v>
      </c>
      <c r="AG347" t="s">
        <v>2444</v>
      </c>
      <c r="AH347" t="s">
        <v>91</v>
      </c>
      <c r="AI347" t="s">
        <v>92</v>
      </c>
      <c r="AJ347" t="s">
        <v>131</v>
      </c>
      <c r="AK347" t="s">
        <v>2445</v>
      </c>
      <c r="AL347" t="s">
        <v>95</v>
      </c>
      <c r="AM347" t="s">
        <v>96</v>
      </c>
      <c r="AN347" t="s">
        <v>97</v>
      </c>
      <c r="AO347" t="s">
        <v>98</v>
      </c>
      <c r="AP347" t="s">
        <v>78</v>
      </c>
      <c r="AQ347" t="s">
        <v>99</v>
      </c>
      <c r="AS347" t="s">
        <v>78</v>
      </c>
      <c r="AT347" t="s">
        <v>100</v>
      </c>
      <c r="AU347" t="s">
        <v>100</v>
      </c>
      <c r="AW347" t="s">
        <v>85</v>
      </c>
      <c r="AX347" t="s">
        <v>101</v>
      </c>
      <c r="AY347" t="s">
        <v>102</v>
      </c>
      <c r="AZ347" t="s">
        <v>103</v>
      </c>
      <c r="BA347" t="s">
        <v>102</v>
      </c>
      <c r="BB347" t="s">
        <v>78</v>
      </c>
      <c r="BC347" t="s">
        <v>78</v>
      </c>
      <c r="BD347" t="s">
        <v>2446</v>
      </c>
      <c r="BE347">
        <v>0</v>
      </c>
      <c r="BF347">
        <v>0</v>
      </c>
      <c r="BG347">
        <v>0</v>
      </c>
      <c r="BH347">
        <v>0</v>
      </c>
      <c r="BJ347" t="s">
        <v>85</v>
      </c>
      <c r="BP347" t="s">
        <v>78</v>
      </c>
      <c r="BQ347" t="s">
        <v>78</v>
      </c>
      <c r="BR347" t="s">
        <v>78</v>
      </c>
    </row>
    <row r="348" customFormat="1" spans="1:70">
      <c r="A348" t="s">
        <v>4223</v>
      </c>
      <c r="B348" t="s">
        <v>4223</v>
      </c>
      <c r="C348" t="s">
        <v>1080</v>
      </c>
      <c r="D348" t="s">
        <v>123</v>
      </c>
      <c r="E348">
        <v>1</v>
      </c>
      <c r="F348" t="s">
        <v>3996</v>
      </c>
      <c r="G348" t="s">
        <v>1626</v>
      </c>
      <c r="H348">
        <v>289</v>
      </c>
      <c r="I348">
        <v>289</v>
      </c>
      <c r="J348">
        <v>0</v>
      </c>
      <c r="K348">
        <v>0</v>
      </c>
      <c r="L348" t="s">
        <v>78</v>
      </c>
      <c r="M348" t="s">
        <v>78</v>
      </c>
      <c r="N348" t="s">
        <v>78</v>
      </c>
      <c r="O348">
        <v>0</v>
      </c>
      <c r="P348">
        <v>0</v>
      </c>
      <c r="Q348">
        <v>0</v>
      </c>
      <c r="R348" t="s">
        <v>79</v>
      </c>
      <c r="S348">
        <v>0</v>
      </c>
      <c r="T348" t="s">
        <v>80</v>
      </c>
      <c r="U348" t="s">
        <v>80</v>
      </c>
      <c r="V348" t="s">
        <v>239</v>
      </c>
      <c r="W348" t="s">
        <v>2439</v>
      </c>
      <c r="X348" t="s">
        <v>2440</v>
      </c>
      <c r="Y348" t="s">
        <v>2441</v>
      </c>
      <c r="Z348" t="s">
        <v>80</v>
      </c>
      <c r="AA348" t="s">
        <v>85</v>
      </c>
      <c r="AC348" t="s">
        <v>2448</v>
      </c>
      <c r="AD348" t="s">
        <v>87</v>
      </c>
      <c r="AF348" t="s">
        <v>2449</v>
      </c>
      <c r="AG348" t="s">
        <v>2450</v>
      </c>
      <c r="AH348" t="s">
        <v>91</v>
      </c>
      <c r="AI348" t="s">
        <v>92</v>
      </c>
      <c r="AJ348" t="s">
        <v>93</v>
      </c>
      <c r="AK348" t="s">
        <v>2451</v>
      </c>
      <c r="AL348" t="s">
        <v>95</v>
      </c>
      <c r="AM348" t="s">
        <v>96</v>
      </c>
      <c r="AN348" t="s">
        <v>97</v>
      </c>
      <c r="AO348" t="s">
        <v>98</v>
      </c>
      <c r="AP348" t="s">
        <v>78</v>
      </c>
      <c r="AQ348" t="s">
        <v>78</v>
      </c>
      <c r="AS348" t="s">
        <v>78</v>
      </c>
      <c r="AT348" t="s">
        <v>100</v>
      </c>
      <c r="AU348" t="s">
        <v>100</v>
      </c>
      <c r="AW348" t="s">
        <v>85</v>
      </c>
      <c r="AX348" t="s">
        <v>101</v>
      </c>
      <c r="AY348" t="s">
        <v>102</v>
      </c>
      <c r="AZ348" t="s">
        <v>103</v>
      </c>
      <c r="BA348" t="s">
        <v>102</v>
      </c>
      <c r="BB348" t="s">
        <v>78</v>
      </c>
      <c r="BC348" t="s">
        <v>78</v>
      </c>
      <c r="BD348" t="s">
        <v>2452</v>
      </c>
      <c r="BE348">
        <v>0</v>
      </c>
      <c r="BF348">
        <v>0</v>
      </c>
      <c r="BG348">
        <v>0</v>
      </c>
      <c r="BH348">
        <v>0</v>
      </c>
      <c r="BJ348" t="s">
        <v>85</v>
      </c>
      <c r="BP348" t="s">
        <v>78</v>
      </c>
      <c r="BQ348" t="s">
        <v>78</v>
      </c>
      <c r="BR348" t="s">
        <v>78</v>
      </c>
    </row>
    <row r="349" customFormat="1" spans="1:70">
      <c r="A349" t="s">
        <v>4224</v>
      </c>
      <c r="B349" t="s">
        <v>4224</v>
      </c>
      <c r="C349" t="s">
        <v>1068</v>
      </c>
      <c r="D349" t="s">
        <v>247</v>
      </c>
      <c r="E349">
        <v>1</v>
      </c>
      <c r="F349" t="s">
        <v>3994</v>
      </c>
      <c r="G349" t="s">
        <v>1104</v>
      </c>
      <c r="H349">
        <v>180</v>
      </c>
      <c r="I349">
        <v>180</v>
      </c>
      <c r="J349">
        <v>0</v>
      </c>
      <c r="K349">
        <v>0</v>
      </c>
      <c r="L349" t="s">
        <v>78</v>
      </c>
      <c r="M349" t="s">
        <v>78</v>
      </c>
      <c r="N349" t="s">
        <v>78</v>
      </c>
      <c r="O349">
        <v>0</v>
      </c>
      <c r="P349">
        <v>0</v>
      </c>
      <c r="Q349">
        <v>0</v>
      </c>
      <c r="R349" t="s">
        <v>79</v>
      </c>
      <c r="S349">
        <v>0</v>
      </c>
      <c r="T349" t="s">
        <v>80</v>
      </c>
      <c r="U349" t="s">
        <v>80</v>
      </c>
      <c r="V349" t="s">
        <v>112</v>
      </c>
      <c r="W349" t="s">
        <v>1207</v>
      </c>
      <c r="X349" t="s">
        <v>1207</v>
      </c>
      <c r="Y349" t="s">
        <v>1208</v>
      </c>
      <c r="Z349" t="s">
        <v>80</v>
      </c>
      <c r="AA349" t="s">
        <v>85</v>
      </c>
      <c r="AC349" t="s">
        <v>2454</v>
      </c>
      <c r="AD349" t="s">
        <v>202</v>
      </c>
      <c r="AE349" t="s">
        <v>2455</v>
      </c>
      <c r="AG349" t="s">
        <v>2456</v>
      </c>
      <c r="AH349" t="s">
        <v>298</v>
      </c>
      <c r="AI349" t="s">
        <v>92</v>
      </c>
      <c r="AJ349" t="s">
        <v>131</v>
      </c>
      <c r="AK349" t="s">
        <v>2457</v>
      </c>
      <c r="AL349" t="s">
        <v>95</v>
      </c>
      <c r="AM349" t="s">
        <v>96</v>
      </c>
      <c r="AN349" t="s">
        <v>97</v>
      </c>
      <c r="AO349" t="s">
        <v>98</v>
      </c>
      <c r="AP349" t="s">
        <v>78</v>
      </c>
      <c r="AQ349" t="s">
        <v>99</v>
      </c>
      <c r="AS349" t="s">
        <v>78</v>
      </c>
      <c r="AT349" t="s">
        <v>100</v>
      </c>
      <c r="AU349" t="s">
        <v>100</v>
      </c>
      <c r="AW349" t="s">
        <v>85</v>
      </c>
      <c r="AX349" t="s">
        <v>101</v>
      </c>
      <c r="AY349" t="s">
        <v>102</v>
      </c>
      <c r="AZ349" t="s">
        <v>103</v>
      </c>
      <c r="BA349" t="s">
        <v>104</v>
      </c>
      <c r="BB349" t="s">
        <v>78</v>
      </c>
      <c r="BC349" t="s">
        <v>78</v>
      </c>
      <c r="BD349" t="s">
        <v>2458</v>
      </c>
      <c r="BE349">
        <v>0</v>
      </c>
      <c r="BF349">
        <v>0</v>
      </c>
      <c r="BG349">
        <v>0</v>
      </c>
      <c r="BH349">
        <v>0</v>
      </c>
      <c r="BJ349" t="s">
        <v>85</v>
      </c>
      <c r="BP349" t="s">
        <v>78</v>
      </c>
      <c r="BQ349" t="s">
        <v>78</v>
      </c>
      <c r="BR349" t="s">
        <v>78</v>
      </c>
    </row>
    <row r="350" customFormat="1" spans="1:70">
      <c r="A350" t="s">
        <v>4225</v>
      </c>
      <c r="B350" t="s">
        <v>4225</v>
      </c>
      <c r="C350" t="s">
        <v>1080</v>
      </c>
      <c r="D350" t="s">
        <v>108</v>
      </c>
      <c r="E350">
        <v>1</v>
      </c>
      <c r="F350" t="s">
        <v>3996</v>
      </c>
      <c r="G350" t="s">
        <v>1082</v>
      </c>
      <c r="H350">
        <v>289</v>
      </c>
      <c r="I350">
        <v>289</v>
      </c>
      <c r="J350">
        <v>0</v>
      </c>
      <c r="K350">
        <v>0</v>
      </c>
      <c r="L350" t="s">
        <v>78</v>
      </c>
      <c r="M350" t="s">
        <v>78</v>
      </c>
      <c r="N350" t="s">
        <v>78</v>
      </c>
      <c r="O350">
        <v>0</v>
      </c>
      <c r="P350">
        <v>0</v>
      </c>
      <c r="Q350">
        <v>0</v>
      </c>
      <c r="R350" t="s">
        <v>111</v>
      </c>
      <c r="S350">
        <v>0</v>
      </c>
      <c r="T350" t="s">
        <v>80</v>
      </c>
      <c r="U350" t="s">
        <v>80</v>
      </c>
      <c r="V350" t="s">
        <v>152</v>
      </c>
      <c r="W350" t="s">
        <v>2460</v>
      </c>
      <c r="X350" t="s">
        <v>2461</v>
      </c>
      <c r="Y350" t="s">
        <v>2462</v>
      </c>
      <c r="Z350" t="s">
        <v>80</v>
      </c>
      <c r="AA350" t="s">
        <v>85</v>
      </c>
      <c r="AC350" t="s">
        <v>2463</v>
      </c>
      <c r="AD350" t="s">
        <v>87</v>
      </c>
      <c r="AH350" t="s">
        <v>401</v>
      </c>
      <c r="AI350" t="s">
        <v>92</v>
      </c>
      <c r="AJ350" t="s">
        <v>131</v>
      </c>
      <c r="AK350" t="s">
        <v>2464</v>
      </c>
      <c r="AL350" t="s">
        <v>95</v>
      </c>
      <c r="AM350" t="s">
        <v>96</v>
      </c>
      <c r="AN350" t="s">
        <v>97</v>
      </c>
      <c r="AO350" t="s">
        <v>98</v>
      </c>
      <c r="AP350" t="s">
        <v>78</v>
      </c>
      <c r="AQ350" t="s">
        <v>78</v>
      </c>
      <c r="AR350" t="s">
        <v>353</v>
      </c>
      <c r="AS350" t="s">
        <v>78</v>
      </c>
      <c r="AT350" t="s">
        <v>100</v>
      </c>
      <c r="AU350" t="s">
        <v>100</v>
      </c>
      <c r="AW350" t="s">
        <v>85</v>
      </c>
      <c r="AX350" t="s">
        <v>103</v>
      </c>
      <c r="AY350" t="s">
        <v>159</v>
      </c>
      <c r="AZ350" t="s">
        <v>103</v>
      </c>
      <c r="BA350" t="s">
        <v>102</v>
      </c>
      <c r="BB350" t="s">
        <v>78</v>
      </c>
      <c r="BC350" t="s">
        <v>78</v>
      </c>
      <c r="BE350">
        <v>0</v>
      </c>
      <c r="BF350">
        <v>0</v>
      </c>
      <c r="BG350">
        <v>0</v>
      </c>
      <c r="BH350">
        <v>0</v>
      </c>
      <c r="BJ350" t="s">
        <v>85</v>
      </c>
      <c r="BP350" t="s">
        <v>78</v>
      </c>
      <c r="BQ350" t="s">
        <v>78</v>
      </c>
      <c r="BR350" t="s">
        <v>78</v>
      </c>
    </row>
    <row r="351" customFormat="1" spans="1:70">
      <c r="A351" t="s">
        <v>4226</v>
      </c>
      <c r="B351" t="s">
        <v>4226</v>
      </c>
      <c r="C351" t="s">
        <v>1050</v>
      </c>
      <c r="D351" t="s">
        <v>1377</v>
      </c>
      <c r="E351">
        <v>1</v>
      </c>
      <c r="F351" t="s">
        <v>3991</v>
      </c>
      <c r="G351" t="s">
        <v>1378</v>
      </c>
      <c r="H351">
        <v>129</v>
      </c>
      <c r="I351">
        <v>114</v>
      </c>
      <c r="J351">
        <v>0</v>
      </c>
      <c r="K351">
        <v>17</v>
      </c>
      <c r="L351" t="s">
        <v>2466</v>
      </c>
      <c r="M351" t="s">
        <v>78</v>
      </c>
      <c r="N351" t="s">
        <v>78</v>
      </c>
      <c r="O351">
        <v>0</v>
      </c>
      <c r="P351">
        <v>2</v>
      </c>
      <c r="Q351">
        <v>0</v>
      </c>
      <c r="R351" t="s">
        <v>79</v>
      </c>
      <c r="S351">
        <v>0</v>
      </c>
      <c r="T351" t="s">
        <v>80</v>
      </c>
      <c r="U351" t="s">
        <v>80</v>
      </c>
      <c r="V351" t="s">
        <v>161</v>
      </c>
      <c r="W351" t="s">
        <v>161</v>
      </c>
      <c r="X351" t="s">
        <v>1899</v>
      </c>
      <c r="Y351" t="s">
        <v>2467</v>
      </c>
      <c r="Z351" t="s">
        <v>80</v>
      </c>
      <c r="AA351" t="s">
        <v>85</v>
      </c>
      <c r="AC351" t="s">
        <v>2468</v>
      </c>
      <c r="AD351" t="s">
        <v>87</v>
      </c>
      <c r="AF351" t="s">
        <v>2469</v>
      </c>
      <c r="AG351" t="s">
        <v>2470</v>
      </c>
      <c r="AH351" t="s">
        <v>91</v>
      </c>
      <c r="AI351" t="s">
        <v>92</v>
      </c>
      <c r="AJ351" t="s">
        <v>93</v>
      </c>
      <c r="AK351" t="s">
        <v>2471</v>
      </c>
      <c r="AL351" t="s">
        <v>95</v>
      </c>
      <c r="AM351" t="s">
        <v>96</v>
      </c>
      <c r="AN351" t="s">
        <v>97</v>
      </c>
      <c r="AO351" t="s">
        <v>98</v>
      </c>
      <c r="AP351" t="s">
        <v>78</v>
      </c>
      <c r="AQ351" t="s">
        <v>78</v>
      </c>
      <c r="AS351" t="s">
        <v>78</v>
      </c>
      <c r="AT351" t="s">
        <v>100</v>
      </c>
      <c r="AU351" t="s">
        <v>100</v>
      </c>
      <c r="AW351" t="s">
        <v>85</v>
      </c>
      <c r="AX351" t="s">
        <v>103</v>
      </c>
      <c r="AY351" t="s">
        <v>159</v>
      </c>
      <c r="AZ351" t="s">
        <v>103</v>
      </c>
      <c r="BA351" t="s">
        <v>104</v>
      </c>
      <c r="BB351" t="s">
        <v>78</v>
      </c>
      <c r="BC351" t="s">
        <v>78</v>
      </c>
      <c r="BD351" t="s">
        <v>2472</v>
      </c>
      <c r="BE351">
        <v>0</v>
      </c>
      <c r="BF351">
        <v>15</v>
      </c>
      <c r="BG351">
        <v>0</v>
      </c>
      <c r="BH351">
        <v>0</v>
      </c>
      <c r="BJ351" t="s">
        <v>85</v>
      </c>
      <c r="BP351" t="s">
        <v>78</v>
      </c>
      <c r="BQ351" t="s">
        <v>78</v>
      </c>
      <c r="BR351" t="s">
        <v>78</v>
      </c>
    </row>
    <row r="352" customFormat="1" spans="1:70">
      <c r="A352" t="s">
        <v>4227</v>
      </c>
      <c r="B352" t="s">
        <v>4227</v>
      </c>
      <c r="C352" t="s">
        <v>1080</v>
      </c>
      <c r="D352" t="s">
        <v>108</v>
      </c>
      <c r="E352">
        <v>1</v>
      </c>
      <c r="F352" t="s">
        <v>3996</v>
      </c>
      <c r="G352" t="s">
        <v>1082</v>
      </c>
      <c r="H352">
        <v>289</v>
      </c>
      <c r="I352">
        <v>289</v>
      </c>
      <c r="J352">
        <v>0</v>
      </c>
      <c r="K352">
        <v>0</v>
      </c>
      <c r="L352" t="s">
        <v>78</v>
      </c>
      <c r="M352" t="s">
        <v>78</v>
      </c>
      <c r="N352" t="s">
        <v>78</v>
      </c>
      <c r="O352">
        <v>0</v>
      </c>
      <c r="P352">
        <v>0</v>
      </c>
      <c r="Q352">
        <v>0</v>
      </c>
      <c r="R352" t="s">
        <v>111</v>
      </c>
      <c r="S352">
        <v>0</v>
      </c>
      <c r="T352" t="s">
        <v>80</v>
      </c>
      <c r="U352" t="s">
        <v>80</v>
      </c>
      <c r="V352" t="s">
        <v>152</v>
      </c>
      <c r="W352" t="s">
        <v>2460</v>
      </c>
      <c r="X352" t="s">
        <v>2461</v>
      </c>
      <c r="Y352" t="s">
        <v>2462</v>
      </c>
      <c r="Z352" t="s">
        <v>80</v>
      </c>
      <c r="AA352" t="s">
        <v>85</v>
      </c>
      <c r="AC352" t="s">
        <v>2474</v>
      </c>
      <c r="AD352" t="s">
        <v>87</v>
      </c>
      <c r="AH352" t="s">
        <v>401</v>
      </c>
      <c r="AI352" t="s">
        <v>92</v>
      </c>
      <c r="AJ352" t="s">
        <v>131</v>
      </c>
      <c r="AK352" t="s">
        <v>2475</v>
      </c>
      <c r="AL352" t="s">
        <v>95</v>
      </c>
      <c r="AM352" t="s">
        <v>96</v>
      </c>
      <c r="AN352" t="s">
        <v>97</v>
      </c>
      <c r="AO352" t="s">
        <v>98</v>
      </c>
      <c r="AP352" t="s">
        <v>78</v>
      </c>
      <c r="AQ352" t="s">
        <v>78</v>
      </c>
      <c r="AR352" t="s">
        <v>353</v>
      </c>
      <c r="AS352" t="s">
        <v>78</v>
      </c>
      <c r="AT352" t="s">
        <v>100</v>
      </c>
      <c r="AU352" t="s">
        <v>100</v>
      </c>
      <c r="AW352" t="s">
        <v>85</v>
      </c>
      <c r="AX352" t="s">
        <v>103</v>
      </c>
      <c r="AY352" t="s">
        <v>159</v>
      </c>
      <c r="AZ352" t="s">
        <v>103</v>
      </c>
      <c r="BA352" t="s">
        <v>102</v>
      </c>
      <c r="BB352" t="s">
        <v>78</v>
      </c>
      <c r="BC352" t="s">
        <v>78</v>
      </c>
      <c r="BE352">
        <v>0</v>
      </c>
      <c r="BF352">
        <v>0</v>
      </c>
      <c r="BG352">
        <v>0</v>
      </c>
      <c r="BH352">
        <v>0</v>
      </c>
      <c r="BJ352" t="s">
        <v>85</v>
      </c>
      <c r="BP352" t="s">
        <v>78</v>
      </c>
      <c r="BQ352" t="s">
        <v>78</v>
      </c>
      <c r="BR352" t="s">
        <v>78</v>
      </c>
    </row>
    <row r="353" customFormat="1" spans="1:70">
      <c r="A353" t="s">
        <v>4228</v>
      </c>
      <c r="B353" t="s">
        <v>4228</v>
      </c>
      <c r="C353" t="s">
        <v>1068</v>
      </c>
      <c r="D353" t="s">
        <v>247</v>
      </c>
      <c r="E353">
        <v>1</v>
      </c>
      <c r="F353" t="s">
        <v>3994</v>
      </c>
      <c r="G353" t="s">
        <v>1104</v>
      </c>
      <c r="H353">
        <v>180</v>
      </c>
      <c r="I353">
        <v>175</v>
      </c>
      <c r="J353">
        <v>0</v>
      </c>
      <c r="K353">
        <v>5</v>
      </c>
      <c r="L353" t="s">
        <v>2477</v>
      </c>
      <c r="M353" t="s">
        <v>78</v>
      </c>
      <c r="N353" t="s">
        <v>78</v>
      </c>
      <c r="O353">
        <v>0</v>
      </c>
      <c r="P353">
        <v>0</v>
      </c>
      <c r="Q353">
        <v>0</v>
      </c>
      <c r="R353" t="s">
        <v>79</v>
      </c>
      <c r="S353">
        <v>0</v>
      </c>
      <c r="T353" t="s">
        <v>80</v>
      </c>
      <c r="U353" t="s">
        <v>80</v>
      </c>
      <c r="V353" t="s">
        <v>112</v>
      </c>
      <c r="W353" t="s">
        <v>1207</v>
      </c>
      <c r="X353" t="s">
        <v>1207</v>
      </c>
      <c r="Y353" t="s">
        <v>1208</v>
      </c>
      <c r="Z353" t="s">
        <v>80</v>
      </c>
      <c r="AA353" t="s">
        <v>85</v>
      </c>
      <c r="AC353" t="s">
        <v>2478</v>
      </c>
      <c r="AD353" t="s">
        <v>87</v>
      </c>
      <c r="AG353" t="s">
        <v>2479</v>
      </c>
      <c r="AH353" t="s">
        <v>298</v>
      </c>
      <c r="AI353" t="s">
        <v>92</v>
      </c>
      <c r="AJ353" t="s">
        <v>131</v>
      </c>
      <c r="AK353" t="s">
        <v>2480</v>
      </c>
      <c r="AL353" t="s">
        <v>95</v>
      </c>
      <c r="AM353" t="s">
        <v>96</v>
      </c>
      <c r="AN353" t="s">
        <v>97</v>
      </c>
      <c r="AO353" t="s">
        <v>98</v>
      </c>
      <c r="AP353" t="s">
        <v>78</v>
      </c>
      <c r="AQ353" t="s">
        <v>99</v>
      </c>
      <c r="AS353" t="s">
        <v>78</v>
      </c>
      <c r="AT353" t="s">
        <v>100</v>
      </c>
      <c r="AU353" t="s">
        <v>100</v>
      </c>
      <c r="AW353" t="s">
        <v>85</v>
      </c>
      <c r="AX353" t="s">
        <v>101</v>
      </c>
      <c r="AY353" t="s">
        <v>102</v>
      </c>
      <c r="AZ353" t="s">
        <v>103</v>
      </c>
      <c r="BA353" t="s">
        <v>104</v>
      </c>
      <c r="BB353" t="s">
        <v>78</v>
      </c>
      <c r="BC353" t="s">
        <v>78</v>
      </c>
      <c r="BE353">
        <v>0</v>
      </c>
      <c r="BF353">
        <v>5</v>
      </c>
      <c r="BG353">
        <v>0</v>
      </c>
      <c r="BH353">
        <v>0</v>
      </c>
      <c r="BJ353" t="s">
        <v>85</v>
      </c>
      <c r="BP353" t="s">
        <v>78</v>
      </c>
      <c r="BQ353" t="s">
        <v>78</v>
      </c>
      <c r="BR353" t="s">
        <v>78</v>
      </c>
    </row>
    <row r="354" customFormat="1" spans="1:70">
      <c r="A354" t="s">
        <v>4229</v>
      </c>
      <c r="B354" t="s">
        <v>4229</v>
      </c>
      <c r="C354" t="s">
        <v>1068</v>
      </c>
      <c r="D354" t="s">
        <v>230</v>
      </c>
      <c r="E354">
        <v>1</v>
      </c>
      <c r="F354" t="s">
        <v>3994</v>
      </c>
      <c r="G354" t="s">
        <v>2219</v>
      </c>
      <c r="H354">
        <v>180</v>
      </c>
      <c r="I354">
        <v>180</v>
      </c>
      <c r="J354">
        <v>0</v>
      </c>
      <c r="K354">
        <v>0</v>
      </c>
      <c r="L354" t="s">
        <v>78</v>
      </c>
      <c r="M354" t="s">
        <v>78</v>
      </c>
      <c r="N354" t="s">
        <v>78</v>
      </c>
      <c r="O354">
        <v>0</v>
      </c>
      <c r="P354">
        <v>0</v>
      </c>
      <c r="Q354">
        <v>0</v>
      </c>
      <c r="R354" t="s">
        <v>79</v>
      </c>
      <c r="S354">
        <v>0</v>
      </c>
      <c r="T354" t="s">
        <v>80</v>
      </c>
      <c r="U354" t="s">
        <v>80</v>
      </c>
      <c r="V354" t="s">
        <v>1261</v>
      </c>
      <c r="W354" t="s">
        <v>2482</v>
      </c>
      <c r="X354" t="s">
        <v>2483</v>
      </c>
      <c r="Y354" t="s">
        <v>2484</v>
      </c>
      <c r="Z354" t="s">
        <v>80</v>
      </c>
      <c r="AA354" t="s">
        <v>85</v>
      </c>
      <c r="AC354" t="s">
        <v>2485</v>
      </c>
      <c r="AD354" t="s">
        <v>87</v>
      </c>
      <c r="AF354" t="s">
        <v>2486</v>
      </c>
      <c r="AG354" t="s">
        <v>2487</v>
      </c>
      <c r="AH354" t="s">
        <v>91</v>
      </c>
      <c r="AI354" t="s">
        <v>92</v>
      </c>
      <c r="AJ354" t="s">
        <v>93</v>
      </c>
      <c r="AK354" t="s">
        <v>2488</v>
      </c>
      <c r="AL354" t="s">
        <v>95</v>
      </c>
      <c r="AM354" t="s">
        <v>96</v>
      </c>
      <c r="AN354" t="s">
        <v>97</v>
      </c>
      <c r="AO354" t="s">
        <v>98</v>
      </c>
      <c r="AP354" t="s">
        <v>78</v>
      </c>
      <c r="AQ354" t="s">
        <v>78</v>
      </c>
      <c r="AS354" t="s">
        <v>78</v>
      </c>
      <c r="AT354" t="s">
        <v>100</v>
      </c>
      <c r="AU354" t="s">
        <v>100</v>
      </c>
      <c r="AW354" t="s">
        <v>85</v>
      </c>
      <c r="AX354" t="s">
        <v>103</v>
      </c>
      <c r="AY354" t="s">
        <v>159</v>
      </c>
      <c r="AZ354" t="s">
        <v>103</v>
      </c>
      <c r="BA354" t="s">
        <v>104</v>
      </c>
      <c r="BB354" t="s">
        <v>78</v>
      </c>
      <c r="BC354" t="s">
        <v>78</v>
      </c>
      <c r="BD354" t="s">
        <v>2489</v>
      </c>
      <c r="BE354">
        <v>0</v>
      </c>
      <c r="BF354">
        <v>0</v>
      </c>
      <c r="BG354">
        <v>0</v>
      </c>
      <c r="BH354">
        <v>0</v>
      </c>
      <c r="BJ354" t="s">
        <v>85</v>
      </c>
      <c r="BP354" t="s">
        <v>78</v>
      </c>
      <c r="BQ354" t="s">
        <v>78</v>
      </c>
      <c r="BR354" t="s">
        <v>78</v>
      </c>
    </row>
    <row r="355" customFormat="1" spans="1:70">
      <c r="A355" t="s">
        <v>4230</v>
      </c>
      <c r="B355" t="s">
        <v>4230</v>
      </c>
      <c r="C355" t="s">
        <v>1068</v>
      </c>
      <c r="D355" t="s">
        <v>247</v>
      </c>
      <c r="E355">
        <v>1</v>
      </c>
      <c r="F355" t="s">
        <v>3994</v>
      </c>
      <c r="G355" t="s">
        <v>1104</v>
      </c>
      <c r="H355">
        <v>180</v>
      </c>
      <c r="I355">
        <v>180</v>
      </c>
      <c r="J355">
        <v>0</v>
      </c>
      <c r="K355">
        <v>0</v>
      </c>
      <c r="L355" t="s">
        <v>78</v>
      </c>
      <c r="M355" t="s">
        <v>78</v>
      </c>
      <c r="N355" t="s">
        <v>78</v>
      </c>
      <c r="O355">
        <v>0</v>
      </c>
      <c r="P355">
        <v>0</v>
      </c>
      <c r="Q355">
        <v>0</v>
      </c>
      <c r="R355" t="s">
        <v>79</v>
      </c>
      <c r="S355">
        <v>0</v>
      </c>
      <c r="T355" t="s">
        <v>80</v>
      </c>
      <c r="U355" t="s">
        <v>80</v>
      </c>
      <c r="V355" t="s">
        <v>509</v>
      </c>
      <c r="W355" t="s">
        <v>2491</v>
      </c>
      <c r="X355" t="s">
        <v>2492</v>
      </c>
      <c r="Y355" t="s">
        <v>2493</v>
      </c>
      <c r="Z355" t="s">
        <v>80</v>
      </c>
      <c r="AA355" t="s">
        <v>85</v>
      </c>
      <c r="AC355" t="s">
        <v>2494</v>
      </c>
      <c r="AD355" t="s">
        <v>87</v>
      </c>
      <c r="AF355" t="s">
        <v>2495</v>
      </c>
      <c r="AG355" t="s">
        <v>2496</v>
      </c>
      <c r="AH355" t="s">
        <v>91</v>
      </c>
      <c r="AI355" t="s">
        <v>92</v>
      </c>
      <c r="AJ355" t="s">
        <v>93</v>
      </c>
      <c r="AK355" t="s">
        <v>2497</v>
      </c>
      <c r="AL355" t="s">
        <v>95</v>
      </c>
      <c r="AM355" t="s">
        <v>96</v>
      </c>
      <c r="AN355" t="s">
        <v>97</v>
      </c>
      <c r="AO355" t="s">
        <v>98</v>
      </c>
      <c r="AP355" t="s">
        <v>78</v>
      </c>
      <c r="AQ355" t="s">
        <v>78</v>
      </c>
      <c r="AS355" t="s">
        <v>78</v>
      </c>
      <c r="AT355" t="s">
        <v>100</v>
      </c>
      <c r="AU355" t="s">
        <v>100</v>
      </c>
      <c r="AW355" t="s">
        <v>85</v>
      </c>
      <c r="AX355" t="s">
        <v>103</v>
      </c>
      <c r="AY355" t="s">
        <v>159</v>
      </c>
      <c r="AZ355" t="s">
        <v>103</v>
      </c>
      <c r="BA355" t="s">
        <v>120</v>
      </c>
      <c r="BB355" t="s">
        <v>78</v>
      </c>
      <c r="BC355" t="s">
        <v>78</v>
      </c>
      <c r="BD355" t="s">
        <v>2498</v>
      </c>
      <c r="BE355">
        <v>0</v>
      </c>
      <c r="BF355">
        <v>0</v>
      </c>
      <c r="BG355">
        <v>0</v>
      </c>
      <c r="BH355">
        <v>0</v>
      </c>
      <c r="BJ355" t="s">
        <v>85</v>
      </c>
      <c r="BP355" t="s">
        <v>78</v>
      </c>
      <c r="BQ355" t="s">
        <v>78</v>
      </c>
      <c r="BR355" t="s">
        <v>78</v>
      </c>
    </row>
    <row r="356" customFormat="1" spans="1:70">
      <c r="A356" t="s">
        <v>4231</v>
      </c>
      <c r="B356" t="s">
        <v>4231</v>
      </c>
      <c r="C356" t="s">
        <v>1080</v>
      </c>
      <c r="D356" t="s">
        <v>108</v>
      </c>
      <c r="E356">
        <v>1</v>
      </c>
      <c r="F356" t="s">
        <v>3996</v>
      </c>
      <c r="G356" t="s">
        <v>1082</v>
      </c>
      <c r="H356">
        <v>289</v>
      </c>
      <c r="I356">
        <v>289</v>
      </c>
      <c r="J356">
        <v>0</v>
      </c>
      <c r="K356">
        <v>0</v>
      </c>
      <c r="L356" t="s">
        <v>78</v>
      </c>
      <c r="M356" t="s">
        <v>78</v>
      </c>
      <c r="N356" t="s">
        <v>78</v>
      </c>
      <c r="O356">
        <v>0</v>
      </c>
      <c r="P356">
        <v>0</v>
      </c>
      <c r="Q356">
        <v>0</v>
      </c>
      <c r="R356" t="s">
        <v>79</v>
      </c>
      <c r="S356">
        <v>0</v>
      </c>
      <c r="T356" t="s">
        <v>80</v>
      </c>
      <c r="U356" t="s">
        <v>80</v>
      </c>
      <c r="V356" t="s">
        <v>509</v>
      </c>
      <c r="W356" t="s">
        <v>2491</v>
      </c>
      <c r="X356" t="s">
        <v>2492</v>
      </c>
      <c r="Y356" t="s">
        <v>2493</v>
      </c>
      <c r="Z356" t="s">
        <v>80</v>
      </c>
      <c r="AA356" t="s">
        <v>85</v>
      </c>
      <c r="AC356" t="s">
        <v>2500</v>
      </c>
      <c r="AD356" t="s">
        <v>87</v>
      </c>
      <c r="AF356" t="s">
        <v>2501</v>
      </c>
      <c r="AG356" t="s">
        <v>2502</v>
      </c>
      <c r="AH356" t="s">
        <v>91</v>
      </c>
      <c r="AI356" t="s">
        <v>92</v>
      </c>
      <c r="AJ356" t="s">
        <v>93</v>
      </c>
      <c r="AK356" t="s">
        <v>2503</v>
      </c>
      <c r="AL356" t="s">
        <v>95</v>
      </c>
      <c r="AM356" t="s">
        <v>96</v>
      </c>
      <c r="AN356" t="s">
        <v>97</v>
      </c>
      <c r="AO356" t="s">
        <v>98</v>
      </c>
      <c r="AP356" t="s">
        <v>78</v>
      </c>
      <c r="AQ356" t="s">
        <v>78</v>
      </c>
      <c r="AS356" t="s">
        <v>78</v>
      </c>
      <c r="AT356" t="s">
        <v>100</v>
      </c>
      <c r="AU356" t="s">
        <v>100</v>
      </c>
      <c r="AW356" t="s">
        <v>85</v>
      </c>
      <c r="AX356" t="s">
        <v>103</v>
      </c>
      <c r="AY356" t="s">
        <v>159</v>
      </c>
      <c r="AZ356" t="s">
        <v>103</v>
      </c>
      <c r="BA356" t="s">
        <v>120</v>
      </c>
      <c r="BB356" t="s">
        <v>78</v>
      </c>
      <c r="BC356" t="s">
        <v>78</v>
      </c>
      <c r="BD356" t="s">
        <v>2504</v>
      </c>
      <c r="BE356">
        <v>0</v>
      </c>
      <c r="BF356">
        <v>0</v>
      </c>
      <c r="BG356">
        <v>0</v>
      </c>
      <c r="BH356">
        <v>0</v>
      </c>
      <c r="BJ356" t="s">
        <v>85</v>
      </c>
      <c r="BP356" t="s">
        <v>78</v>
      </c>
      <c r="BQ356" t="s">
        <v>78</v>
      </c>
      <c r="BR356" t="s">
        <v>78</v>
      </c>
    </row>
    <row r="357" customFormat="1" spans="1:70">
      <c r="A357" t="s">
        <v>4232</v>
      </c>
      <c r="B357" t="s">
        <v>4232</v>
      </c>
      <c r="C357" t="s">
        <v>1080</v>
      </c>
      <c r="D357" t="s">
        <v>108</v>
      </c>
      <c r="E357">
        <v>1</v>
      </c>
      <c r="F357" t="s">
        <v>3996</v>
      </c>
      <c r="G357" t="s">
        <v>1082</v>
      </c>
      <c r="H357">
        <v>289</v>
      </c>
      <c r="I357">
        <v>289</v>
      </c>
      <c r="J357">
        <v>0</v>
      </c>
      <c r="K357">
        <v>0</v>
      </c>
      <c r="L357" t="s">
        <v>78</v>
      </c>
      <c r="M357" t="s">
        <v>78</v>
      </c>
      <c r="N357" t="s">
        <v>78</v>
      </c>
      <c r="O357">
        <v>0</v>
      </c>
      <c r="P357">
        <v>0</v>
      </c>
      <c r="Q357">
        <v>0</v>
      </c>
      <c r="R357" t="s">
        <v>125</v>
      </c>
      <c r="S357">
        <v>0</v>
      </c>
      <c r="T357" t="s">
        <v>80</v>
      </c>
      <c r="U357" t="s">
        <v>80</v>
      </c>
      <c r="V357" t="s">
        <v>464</v>
      </c>
      <c r="W357" t="s">
        <v>637</v>
      </c>
      <c r="X357" t="s">
        <v>2506</v>
      </c>
      <c r="Y357" t="s">
        <v>78</v>
      </c>
      <c r="Z357" t="s">
        <v>80</v>
      </c>
      <c r="AA357" t="s">
        <v>85</v>
      </c>
      <c r="AC357" t="s">
        <v>2507</v>
      </c>
      <c r="AD357" t="s">
        <v>87</v>
      </c>
      <c r="AG357" t="s">
        <v>2508</v>
      </c>
      <c r="AH357" t="s">
        <v>91</v>
      </c>
      <c r="AI357" t="s">
        <v>92</v>
      </c>
      <c r="AJ357" t="s">
        <v>131</v>
      </c>
      <c r="AK357" t="s">
        <v>2509</v>
      </c>
      <c r="AL357" t="s">
        <v>95</v>
      </c>
      <c r="AM357" t="s">
        <v>96</v>
      </c>
      <c r="AN357" t="s">
        <v>97</v>
      </c>
      <c r="AO357" t="s">
        <v>98</v>
      </c>
      <c r="AP357" t="s">
        <v>78</v>
      </c>
      <c r="AQ357" t="s">
        <v>99</v>
      </c>
      <c r="AS357" t="s">
        <v>78</v>
      </c>
      <c r="AT357" t="s">
        <v>100</v>
      </c>
      <c r="AU357" t="s">
        <v>100</v>
      </c>
      <c r="AW357" t="s">
        <v>85</v>
      </c>
      <c r="AX357" t="s">
        <v>101</v>
      </c>
      <c r="AY357" t="s">
        <v>102</v>
      </c>
      <c r="AZ357" t="s">
        <v>103</v>
      </c>
      <c r="BA357" t="s">
        <v>104</v>
      </c>
      <c r="BB357" t="s">
        <v>78</v>
      </c>
      <c r="BC357" t="s">
        <v>78</v>
      </c>
      <c r="BE357">
        <v>0</v>
      </c>
      <c r="BF357">
        <v>0</v>
      </c>
      <c r="BG357">
        <v>0</v>
      </c>
      <c r="BH357">
        <v>0</v>
      </c>
      <c r="BJ357" t="s">
        <v>85</v>
      </c>
      <c r="BP357" t="s">
        <v>78</v>
      </c>
      <c r="BQ357" t="s">
        <v>78</v>
      </c>
      <c r="BR357" t="s">
        <v>78</v>
      </c>
    </row>
    <row r="358" customFormat="1" spans="1:70">
      <c r="A358" t="s">
        <v>4233</v>
      </c>
      <c r="B358" t="s">
        <v>4233</v>
      </c>
      <c r="C358" t="s">
        <v>1068</v>
      </c>
      <c r="D358" t="s">
        <v>247</v>
      </c>
      <c r="E358">
        <v>1</v>
      </c>
      <c r="F358" t="s">
        <v>3994</v>
      </c>
      <c r="G358" t="s">
        <v>1104</v>
      </c>
      <c r="H358">
        <v>180</v>
      </c>
      <c r="I358">
        <v>180</v>
      </c>
      <c r="J358">
        <v>0</v>
      </c>
      <c r="K358">
        <v>0</v>
      </c>
      <c r="L358" t="s">
        <v>78</v>
      </c>
      <c r="M358" t="s">
        <v>78</v>
      </c>
      <c r="N358" t="s">
        <v>78</v>
      </c>
      <c r="O358">
        <v>0</v>
      </c>
      <c r="P358">
        <v>0</v>
      </c>
      <c r="Q358">
        <v>0</v>
      </c>
      <c r="R358" t="s">
        <v>79</v>
      </c>
      <c r="S358">
        <v>0</v>
      </c>
      <c r="T358" t="s">
        <v>80</v>
      </c>
      <c r="U358" t="s">
        <v>80</v>
      </c>
      <c r="V358" t="s">
        <v>1261</v>
      </c>
      <c r="W358" t="s">
        <v>2482</v>
      </c>
      <c r="X358" t="s">
        <v>2483</v>
      </c>
      <c r="Y358" t="s">
        <v>2484</v>
      </c>
      <c r="Z358" t="s">
        <v>80</v>
      </c>
      <c r="AA358" t="s">
        <v>85</v>
      </c>
      <c r="AC358" t="s">
        <v>2511</v>
      </c>
      <c r="AD358" t="s">
        <v>87</v>
      </c>
      <c r="AG358" t="s">
        <v>2512</v>
      </c>
      <c r="AH358" t="s">
        <v>91</v>
      </c>
      <c r="AI358" t="s">
        <v>92</v>
      </c>
      <c r="AJ358" t="s">
        <v>131</v>
      </c>
      <c r="AK358" t="s">
        <v>2513</v>
      </c>
      <c r="AL358" t="s">
        <v>95</v>
      </c>
      <c r="AM358" t="s">
        <v>96</v>
      </c>
      <c r="AN358" t="s">
        <v>97</v>
      </c>
      <c r="AO358" t="s">
        <v>98</v>
      </c>
      <c r="AP358" t="s">
        <v>78</v>
      </c>
      <c r="AQ358" t="s">
        <v>99</v>
      </c>
      <c r="AS358" t="s">
        <v>78</v>
      </c>
      <c r="AT358" t="s">
        <v>100</v>
      </c>
      <c r="AU358" t="s">
        <v>100</v>
      </c>
      <c r="AW358" t="s">
        <v>85</v>
      </c>
      <c r="AX358" t="s">
        <v>103</v>
      </c>
      <c r="AY358" t="s">
        <v>159</v>
      </c>
      <c r="AZ358" t="s">
        <v>103</v>
      </c>
      <c r="BA358" t="s">
        <v>104</v>
      </c>
      <c r="BB358" t="s">
        <v>78</v>
      </c>
      <c r="BC358" t="s">
        <v>78</v>
      </c>
      <c r="BE358">
        <v>0</v>
      </c>
      <c r="BF358">
        <v>0</v>
      </c>
      <c r="BG358">
        <v>0</v>
      </c>
      <c r="BH358">
        <v>0</v>
      </c>
      <c r="BJ358" t="s">
        <v>85</v>
      </c>
      <c r="BP358" t="s">
        <v>78</v>
      </c>
      <c r="BQ358" t="s">
        <v>78</v>
      </c>
      <c r="BR358" t="s">
        <v>78</v>
      </c>
    </row>
    <row r="359" customFormat="1" spans="1:70">
      <c r="A359" t="s">
        <v>4234</v>
      </c>
      <c r="B359" t="s">
        <v>4234</v>
      </c>
      <c r="C359" t="s">
        <v>1080</v>
      </c>
      <c r="D359" t="s">
        <v>108</v>
      </c>
      <c r="E359">
        <v>1</v>
      </c>
      <c r="F359" t="s">
        <v>3996</v>
      </c>
      <c r="G359" t="s">
        <v>1082</v>
      </c>
      <c r="H359">
        <v>289</v>
      </c>
      <c r="I359">
        <v>289</v>
      </c>
      <c r="J359">
        <v>0</v>
      </c>
      <c r="K359">
        <v>0</v>
      </c>
      <c r="L359" t="s">
        <v>78</v>
      </c>
      <c r="M359" t="s">
        <v>78</v>
      </c>
      <c r="N359" t="s">
        <v>78</v>
      </c>
      <c r="O359">
        <v>0</v>
      </c>
      <c r="P359">
        <v>0</v>
      </c>
      <c r="Q359">
        <v>0</v>
      </c>
      <c r="R359" t="s">
        <v>125</v>
      </c>
      <c r="S359">
        <v>0</v>
      </c>
      <c r="T359" t="s">
        <v>80</v>
      </c>
      <c r="U359" t="s">
        <v>80</v>
      </c>
      <c r="V359" t="s">
        <v>126</v>
      </c>
      <c r="W359" t="s">
        <v>518</v>
      </c>
      <c r="X359" t="s">
        <v>979</v>
      </c>
      <c r="Y359" t="s">
        <v>980</v>
      </c>
      <c r="Z359" t="s">
        <v>80</v>
      </c>
      <c r="AA359" t="s">
        <v>85</v>
      </c>
      <c r="AC359" t="s">
        <v>2515</v>
      </c>
      <c r="AD359" t="s">
        <v>202</v>
      </c>
      <c r="AE359" t="s">
        <v>2516</v>
      </c>
      <c r="AG359" t="s">
        <v>2517</v>
      </c>
      <c r="AH359" t="s">
        <v>91</v>
      </c>
      <c r="AI359" t="s">
        <v>92</v>
      </c>
      <c r="AJ359" t="s">
        <v>131</v>
      </c>
      <c r="AK359" t="s">
        <v>2518</v>
      </c>
      <c r="AL359" t="s">
        <v>95</v>
      </c>
      <c r="AM359" t="s">
        <v>96</v>
      </c>
      <c r="AN359" t="s">
        <v>97</v>
      </c>
      <c r="AO359" t="s">
        <v>98</v>
      </c>
      <c r="AP359" t="s">
        <v>78</v>
      </c>
      <c r="AQ359" t="s">
        <v>99</v>
      </c>
      <c r="AS359" t="s">
        <v>78</v>
      </c>
      <c r="AT359" t="s">
        <v>100</v>
      </c>
      <c r="AU359" t="s">
        <v>100</v>
      </c>
      <c r="AW359" t="s">
        <v>85</v>
      </c>
      <c r="AX359" t="s">
        <v>101</v>
      </c>
      <c r="AY359" t="s">
        <v>102</v>
      </c>
      <c r="AZ359" t="s">
        <v>103</v>
      </c>
      <c r="BA359" t="s">
        <v>133</v>
      </c>
      <c r="BB359" t="s">
        <v>78</v>
      </c>
      <c r="BC359" t="s">
        <v>78</v>
      </c>
      <c r="BD359" t="s">
        <v>2519</v>
      </c>
      <c r="BE359">
        <v>0</v>
      </c>
      <c r="BF359">
        <v>0</v>
      </c>
      <c r="BG359">
        <v>0</v>
      </c>
      <c r="BH359">
        <v>0</v>
      </c>
      <c r="BJ359" t="s">
        <v>85</v>
      </c>
      <c r="BP359" t="s">
        <v>78</v>
      </c>
      <c r="BQ359" t="s">
        <v>78</v>
      </c>
      <c r="BR359" t="s">
        <v>78</v>
      </c>
    </row>
    <row r="360" customFormat="1" spans="1:70">
      <c r="A360" t="s">
        <v>4235</v>
      </c>
      <c r="B360" t="s">
        <v>4235</v>
      </c>
      <c r="C360" t="s">
        <v>1080</v>
      </c>
      <c r="D360" t="s">
        <v>135</v>
      </c>
      <c r="E360">
        <v>1</v>
      </c>
      <c r="F360" t="s">
        <v>3996</v>
      </c>
      <c r="G360" t="s">
        <v>1639</v>
      </c>
      <c r="H360">
        <v>289</v>
      </c>
      <c r="I360">
        <v>289</v>
      </c>
      <c r="J360">
        <v>0</v>
      </c>
      <c r="K360">
        <v>0</v>
      </c>
      <c r="L360" t="s">
        <v>78</v>
      </c>
      <c r="M360" t="s">
        <v>78</v>
      </c>
      <c r="N360" t="s">
        <v>78</v>
      </c>
      <c r="O360">
        <v>0</v>
      </c>
      <c r="P360">
        <v>0</v>
      </c>
      <c r="Q360">
        <v>0</v>
      </c>
      <c r="R360" t="s">
        <v>79</v>
      </c>
      <c r="S360">
        <v>0</v>
      </c>
      <c r="T360" t="s">
        <v>80</v>
      </c>
      <c r="U360" t="s">
        <v>80</v>
      </c>
      <c r="V360" t="s">
        <v>302</v>
      </c>
      <c r="W360" t="s">
        <v>1358</v>
      </c>
      <c r="X360" t="s">
        <v>1359</v>
      </c>
      <c r="Y360" t="s">
        <v>1360</v>
      </c>
      <c r="Z360" t="s">
        <v>80</v>
      </c>
      <c r="AA360" t="s">
        <v>85</v>
      </c>
      <c r="AC360" t="s">
        <v>2521</v>
      </c>
      <c r="AD360" t="s">
        <v>87</v>
      </c>
      <c r="AF360" t="s">
        <v>2522</v>
      </c>
      <c r="AG360" t="s">
        <v>2515</v>
      </c>
      <c r="AH360" t="s">
        <v>254</v>
      </c>
      <c r="AI360" t="s">
        <v>92</v>
      </c>
      <c r="AJ360" t="s">
        <v>93</v>
      </c>
      <c r="AK360" t="s">
        <v>2523</v>
      </c>
      <c r="AL360" t="s">
        <v>95</v>
      </c>
      <c r="AM360" t="s">
        <v>96</v>
      </c>
      <c r="AN360" t="s">
        <v>97</v>
      </c>
      <c r="AO360" t="s">
        <v>98</v>
      </c>
      <c r="AP360" t="s">
        <v>78</v>
      </c>
      <c r="AQ360" t="s">
        <v>78</v>
      </c>
      <c r="AS360" t="s">
        <v>78</v>
      </c>
      <c r="AT360" t="s">
        <v>100</v>
      </c>
      <c r="AU360" t="s">
        <v>100</v>
      </c>
      <c r="AW360" t="s">
        <v>85</v>
      </c>
      <c r="AX360" t="s">
        <v>103</v>
      </c>
      <c r="AY360" t="s">
        <v>159</v>
      </c>
      <c r="AZ360" t="s">
        <v>103</v>
      </c>
      <c r="BA360" t="s">
        <v>102</v>
      </c>
      <c r="BB360" t="s">
        <v>78</v>
      </c>
      <c r="BC360" t="s">
        <v>78</v>
      </c>
      <c r="BD360" t="s">
        <v>2524</v>
      </c>
      <c r="BE360">
        <v>0</v>
      </c>
      <c r="BF360">
        <v>0</v>
      </c>
      <c r="BG360">
        <v>0</v>
      </c>
      <c r="BH360">
        <v>0</v>
      </c>
      <c r="BJ360" t="s">
        <v>85</v>
      </c>
      <c r="BP360" t="s">
        <v>78</v>
      </c>
      <c r="BQ360" t="s">
        <v>78</v>
      </c>
      <c r="BR360" t="s">
        <v>78</v>
      </c>
    </row>
    <row r="361" customFormat="1" spans="1:70">
      <c r="A361" t="s">
        <v>4236</v>
      </c>
      <c r="B361" t="s">
        <v>4236</v>
      </c>
      <c r="C361" t="s">
        <v>1068</v>
      </c>
      <c r="D361" t="s">
        <v>247</v>
      </c>
      <c r="E361">
        <v>1</v>
      </c>
      <c r="F361" t="s">
        <v>3994</v>
      </c>
      <c r="G361" t="s">
        <v>1104</v>
      </c>
      <c r="H361">
        <v>180</v>
      </c>
      <c r="I361">
        <v>180</v>
      </c>
      <c r="J361">
        <v>0</v>
      </c>
      <c r="K361">
        <v>0</v>
      </c>
      <c r="L361" t="s">
        <v>78</v>
      </c>
      <c r="M361" t="s">
        <v>78</v>
      </c>
      <c r="N361" t="s">
        <v>78</v>
      </c>
      <c r="O361">
        <v>0</v>
      </c>
      <c r="P361">
        <v>0</v>
      </c>
      <c r="Q361">
        <v>0</v>
      </c>
      <c r="R361" t="s">
        <v>125</v>
      </c>
      <c r="S361">
        <v>0</v>
      </c>
      <c r="T361" t="s">
        <v>80</v>
      </c>
      <c r="U361" t="s">
        <v>80</v>
      </c>
      <c r="V361" t="s">
        <v>887</v>
      </c>
      <c r="W361" t="s">
        <v>2526</v>
      </c>
      <c r="X361" t="s">
        <v>2527</v>
      </c>
      <c r="Y361" t="s">
        <v>2528</v>
      </c>
      <c r="Z361" t="s">
        <v>80</v>
      </c>
      <c r="AA361" t="s">
        <v>85</v>
      </c>
      <c r="AC361" t="s">
        <v>2529</v>
      </c>
      <c r="AD361" t="s">
        <v>87</v>
      </c>
      <c r="AF361" t="s">
        <v>2495</v>
      </c>
      <c r="AG361" t="s">
        <v>2530</v>
      </c>
      <c r="AH361" t="s">
        <v>91</v>
      </c>
      <c r="AI361" t="s">
        <v>92</v>
      </c>
      <c r="AJ361" t="s">
        <v>93</v>
      </c>
      <c r="AK361" t="s">
        <v>2531</v>
      </c>
      <c r="AL361" t="s">
        <v>95</v>
      </c>
      <c r="AM361" t="s">
        <v>96</v>
      </c>
      <c r="AN361" t="s">
        <v>97</v>
      </c>
      <c r="AO361" t="s">
        <v>98</v>
      </c>
      <c r="AP361" t="s">
        <v>78</v>
      </c>
      <c r="AQ361" t="s">
        <v>78</v>
      </c>
      <c r="AS361" t="s">
        <v>78</v>
      </c>
      <c r="AT361" t="s">
        <v>100</v>
      </c>
      <c r="AU361" t="s">
        <v>100</v>
      </c>
      <c r="AW361" t="s">
        <v>85</v>
      </c>
      <c r="AX361" t="s">
        <v>101</v>
      </c>
      <c r="AY361" t="s">
        <v>102</v>
      </c>
      <c r="AZ361" t="s">
        <v>103</v>
      </c>
      <c r="BA361" t="s">
        <v>120</v>
      </c>
      <c r="BB361" t="s">
        <v>78</v>
      </c>
      <c r="BC361" t="s">
        <v>78</v>
      </c>
      <c r="BD361" t="s">
        <v>2498</v>
      </c>
      <c r="BE361">
        <v>0</v>
      </c>
      <c r="BF361">
        <v>0</v>
      </c>
      <c r="BG361">
        <v>0</v>
      </c>
      <c r="BH361">
        <v>0</v>
      </c>
      <c r="BJ361" t="s">
        <v>85</v>
      </c>
      <c r="BP361" t="s">
        <v>78</v>
      </c>
      <c r="BQ361" t="s">
        <v>78</v>
      </c>
      <c r="BR361" t="s">
        <v>78</v>
      </c>
    </row>
    <row r="362" customFormat="1" spans="1:70">
      <c r="A362" t="s">
        <v>4237</v>
      </c>
      <c r="B362" t="s">
        <v>4237</v>
      </c>
      <c r="C362" t="s">
        <v>1068</v>
      </c>
      <c r="D362" t="s">
        <v>230</v>
      </c>
      <c r="E362">
        <v>1</v>
      </c>
      <c r="F362" t="s">
        <v>3994</v>
      </c>
      <c r="G362" t="s">
        <v>2219</v>
      </c>
      <c r="H362">
        <v>180</v>
      </c>
      <c r="I362">
        <v>180</v>
      </c>
      <c r="J362">
        <v>0</v>
      </c>
      <c r="K362">
        <v>0</v>
      </c>
      <c r="L362" t="s">
        <v>78</v>
      </c>
      <c r="M362" t="s">
        <v>78</v>
      </c>
      <c r="N362" t="s">
        <v>78</v>
      </c>
      <c r="O362">
        <v>0</v>
      </c>
      <c r="P362">
        <v>0</v>
      </c>
      <c r="Q362">
        <v>0</v>
      </c>
      <c r="R362" t="s">
        <v>79</v>
      </c>
      <c r="S362">
        <v>0</v>
      </c>
      <c r="T362" t="s">
        <v>80</v>
      </c>
      <c r="U362" t="s">
        <v>80</v>
      </c>
      <c r="V362" t="s">
        <v>509</v>
      </c>
      <c r="W362" t="s">
        <v>623</v>
      </c>
      <c r="X362" t="s">
        <v>1943</v>
      </c>
      <c r="Y362" t="s">
        <v>1944</v>
      </c>
      <c r="Z362" t="s">
        <v>80</v>
      </c>
      <c r="AA362" t="s">
        <v>85</v>
      </c>
      <c r="AC362" t="s">
        <v>2533</v>
      </c>
      <c r="AD362" t="s">
        <v>87</v>
      </c>
      <c r="AG362" t="s">
        <v>2534</v>
      </c>
      <c r="AH362" t="s">
        <v>91</v>
      </c>
      <c r="AI362" t="s">
        <v>92</v>
      </c>
      <c r="AJ362" t="s">
        <v>131</v>
      </c>
      <c r="AK362" t="s">
        <v>2535</v>
      </c>
      <c r="AL362" t="s">
        <v>95</v>
      </c>
      <c r="AM362" t="s">
        <v>96</v>
      </c>
      <c r="AN362" t="s">
        <v>97</v>
      </c>
      <c r="AO362" t="s">
        <v>98</v>
      </c>
      <c r="AP362" t="s">
        <v>78</v>
      </c>
      <c r="AQ362" t="s">
        <v>99</v>
      </c>
      <c r="AS362" t="s">
        <v>78</v>
      </c>
      <c r="AT362" t="s">
        <v>100</v>
      </c>
      <c r="AU362" t="s">
        <v>100</v>
      </c>
      <c r="AW362" t="s">
        <v>85</v>
      </c>
      <c r="AX362" t="s">
        <v>103</v>
      </c>
      <c r="AY362" t="s">
        <v>159</v>
      </c>
      <c r="AZ362" t="s">
        <v>103</v>
      </c>
      <c r="BA362" t="s">
        <v>218</v>
      </c>
      <c r="BB362" t="s">
        <v>78</v>
      </c>
      <c r="BC362" t="s">
        <v>78</v>
      </c>
      <c r="BE362">
        <v>0</v>
      </c>
      <c r="BF362">
        <v>0</v>
      </c>
      <c r="BG362">
        <v>0</v>
      </c>
      <c r="BH362">
        <v>0</v>
      </c>
      <c r="BJ362" t="s">
        <v>85</v>
      </c>
      <c r="BP362" t="s">
        <v>78</v>
      </c>
      <c r="BQ362" t="s">
        <v>78</v>
      </c>
      <c r="BR362" t="s">
        <v>78</v>
      </c>
    </row>
    <row r="363" customFormat="1" spans="1:70">
      <c r="A363" t="s">
        <v>4238</v>
      </c>
      <c r="B363" t="s">
        <v>4238</v>
      </c>
      <c r="C363" t="s">
        <v>1068</v>
      </c>
      <c r="D363" t="s">
        <v>230</v>
      </c>
      <c r="E363">
        <v>1</v>
      </c>
      <c r="F363" t="s">
        <v>3994</v>
      </c>
      <c r="G363" t="s">
        <v>2219</v>
      </c>
      <c r="H363">
        <v>180</v>
      </c>
      <c r="I363">
        <v>180</v>
      </c>
      <c r="J363">
        <v>0</v>
      </c>
      <c r="K363">
        <v>0</v>
      </c>
      <c r="L363" t="s">
        <v>78</v>
      </c>
      <c r="M363" t="s">
        <v>78</v>
      </c>
      <c r="N363" t="s">
        <v>78</v>
      </c>
      <c r="O363">
        <v>0</v>
      </c>
      <c r="P363">
        <v>0</v>
      </c>
      <c r="Q363">
        <v>0</v>
      </c>
      <c r="R363" t="s">
        <v>125</v>
      </c>
      <c r="S363">
        <v>0</v>
      </c>
      <c r="T363" t="s">
        <v>80</v>
      </c>
      <c r="U363" t="s">
        <v>80</v>
      </c>
      <c r="V363" t="s">
        <v>239</v>
      </c>
      <c r="W363" t="s">
        <v>263</v>
      </c>
      <c r="X363" t="s">
        <v>2537</v>
      </c>
      <c r="Y363" t="s">
        <v>2538</v>
      </c>
      <c r="Z363" t="s">
        <v>80</v>
      </c>
      <c r="AA363" t="s">
        <v>85</v>
      </c>
      <c r="AC363" t="s">
        <v>2539</v>
      </c>
      <c r="AD363" t="s">
        <v>87</v>
      </c>
      <c r="AG363" t="s">
        <v>2540</v>
      </c>
      <c r="AH363" t="s">
        <v>91</v>
      </c>
      <c r="AI363" t="s">
        <v>92</v>
      </c>
      <c r="AJ363" t="s">
        <v>131</v>
      </c>
      <c r="AK363" t="s">
        <v>2541</v>
      </c>
      <c r="AL363" t="s">
        <v>95</v>
      </c>
      <c r="AM363" t="s">
        <v>96</v>
      </c>
      <c r="AN363" t="s">
        <v>97</v>
      </c>
      <c r="AO363" t="s">
        <v>98</v>
      </c>
      <c r="AP363" t="s">
        <v>78</v>
      </c>
      <c r="AQ363" t="s">
        <v>99</v>
      </c>
      <c r="AS363" t="s">
        <v>78</v>
      </c>
      <c r="AT363" t="s">
        <v>100</v>
      </c>
      <c r="AU363" t="s">
        <v>100</v>
      </c>
      <c r="AW363" t="s">
        <v>85</v>
      </c>
      <c r="AX363" t="s">
        <v>101</v>
      </c>
      <c r="AY363" t="s">
        <v>102</v>
      </c>
      <c r="AZ363" t="s">
        <v>103</v>
      </c>
      <c r="BA363" t="s">
        <v>133</v>
      </c>
      <c r="BB363" t="s">
        <v>78</v>
      </c>
      <c r="BC363" t="s">
        <v>78</v>
      </c>
      <c r="BE363">
        <v>0</v>
      </c>
      <c r="BF363">
        <v>0</v>
      </c>
      <c r="BG363">
        <v>0</v>
      </c>
      <c r="BH363">
        <v>0</v>
      </c>
      <c r="BJ363" t="s">
        <v>85</v>
      </c>
      <c r="BP363" t="s">
        <v>78</v>
      </c>
      <c r="BQ363" t="s">
        <v>78</v>
      </c>
      <c r="BR363" t="s">
        <v>78</v>
      </c>
    </row>
    <row r="364" customFormat="1" spans="1:70">
      <c r="A364" t="s">
        <v>4239</v>
      </c>
      <c r="B364" t="s">
        <v>4239</v>
      </c>
      <c r="C364" t="s">
        <v>1068</v>
      </c>
      <c r="D364" t="s">
        <v>247</v>
      </c>
      <c r="E364">
        <v>1</v>
      </c>
      <c r="F364" t="s">
        <v>3994</v>
      </c>
      <c r="G364" t="s">
        <v>1104</v>
      </c>
      <c r="H364">
        <v>180</v>
      </c>
      <c r="I364">
        <v>180</v>
      </c>
      <c r="J364">
        <v>0</v>
      </c>
      <c r="K364">
        <v>0</v>
      </c>
      <c r="L364" t="s">
        <v>78</v>
      </c>
      <c r="M364" t="s">
        <v>78</v>
      </c>
      <c r="N364" t="s">
        <v>78</v>
      </c>
      <c r="O364">
        <v>0</v>
      </c>
      <c r="P364">
        <v>0</v>
      </c>
      <c r="Q364">
        <v>0</v>
      </c>
      <c r="R364" t="s">
        <v>79</v>
      </c>
      <c r="S364">
        <v>0</v>
      </c>
      <c r="T364" t="s">
        <v>80</v>
      </c>
      <c r="U364" t="s">
        <v>80</v>
      </c>
      <c r="V364" t="s">
        <v>464</v>
      </c>
      <c r="W364" t="s">
        <v>1249</v>
      </c>
      <c r="X364" t="s">
        <v>2543</v>
      </c>
      <c r="Y364" t="s">
        <v>2544</v>
      </c>
      <c r="Z364" t="s">
        <v>80</v>
      </c>
      <c r="AA364" t="s">
        <v>85</v>
      </c>
      <c r="AC364" t="s">
        <v>2539</v>
      </c>
      <c r="AD364" t="s">
        <v>87</v>
      </c>
      <c r="AG364" t="s">
        <v>2545</v>
      </c>
      <c r="AH364" t="s">
        <v>91</v>
      </c>
      <c r="AI364" t="s">
        <v>92</v>
      </c>
      <c r="AJ364" t="s">
        <v>131</v>
      </c>
      <c r="AK364" t="s">
        <v>2546</v>
      </c>
      <c r="AL364" t="s">
        <v>95</v>
      </c>
      <c r="AM364" t="s">
        <v>96</v>
      </c>
      <c r="AN364" t="s">
        <v>97</v>
      </c>
      <c r="AO364" t="s">
        <v>98</v>
      </c>
      <c r="AP364" t="s">
        <v>78</v>
      </c>
      <c r="AQ364" t="s">
        <v>99</v>
      </c>
      <c r="AS364" t="s">
        <v>78</v>
      </c>
      <c r="AT364" t="s">
        <v>100</v>
      </c>
      <c r="AU364" t="s">
        <v>100</v>
      </c>
      <c r="AW364" t="s">
        <v>85</v>
      </c>
      <c r="AX364" t="s">
        <v>101</v>
      </c>
      <c r="AY364" t="s">
        <v>102</v>
      </c>
      <c r="AZ364" t="s">
        <v>103</v>
      </c>
      <c r="BA364" t="s">
        <v>133</v>
      </c>
      <c r="BB364" t="s">
        <v>78</v>
      </c>
      <c r="BC364" t="s">
        <v>78</v>
      </c>
      <c r="BE364">
        <v>0</v>
      </c>
      <c r="BF364">
        <v>0</v>
      </c>
      <c r="BG364">
        <v>0</v>
      </c>
      <c r="BH364">
        <v>0</v>
      </c>
      <c r="BJ364" t="s">
        <v>85</v>
      </c>
      <c r="BP364" t="s">
        <v>78</v>
      </c>
      <c r="BQ364" t="s">
        <v>78</v>
      </c>
      <c r="BR364" t="s">
        <v>78</v>
      </c>
    </row>
    <row r="365" customFormat="1" spans="1:70">
      <c r="A365" t="s">
        <v>4240</v>
      </c>
      <c r="B365" t="s">
        <v>4240</v>
      </c>
      <c r="C365" t="s">
        <v>1068</v>
      </c>
      <c r="D365" t="s">
        <v>247</v>
      </c>
      <c r="E365">
        <v>1</v>
      </c>
      <c r="F365" t="s">
        <v>3994</v>
      </c>
      <c r="G365" t="s">
        <v>1104</v>
      </c>
      <c r="H365">
        <v>180</v>
      </c>
      <c r="I365">
        <v>180</v>
      </c>
      <c r="J365">
        <v>0</v>
      </c>
      <c r="K365">
        <v>0</v>
      </c>
      <c r="L365" t="s">
        <v>78</v>
      </c>
      <c r="M365" t="s">
        <v>78</v>
      </c>
      <c r="N365" t="s">
        <v>78</v>
      </c>
      <c r="O365">
        <v>0</v>
      </c>
      <c r="P365">
        <v>0</v>
      </c>
      <c r="Q365">
        <v>0</v>
      </c>
      <c r="R365" t="s">
        <v>125</v>
      </c>
      <c r="S365">
        <v>0</v>
      </c>
      <c r="T365" t="s">
        <v>80</v>
      </c>
      <c r="U365" t="s">
        <v>80</v>
      </c>
      <c r="V365" t="s">
        <v>126</v>
      </c>
      <c r="W365" t="s">
        <v>518</v>
      </c>
      <c r="X365" t="s">
        <v>979</v>
      </c>
      <c r="Y365" t="s">
        <v>980</v>
      </c>
      <c r="Z365" t="s">
        <v>80</v>
      </c>
      <c r="AA365" t="s">
        <v>85</v>
      </c>
      <c r="AC365" t="s">
        <v>2548</v>
      </c>
      <c r="AD365" t="s">
        <v>202</v>
      </c>
      <c r="AE365" t="s">
        <v>2549</v>
      </c>
      <c r="AG365" t="s">
        <v>2550</v>
      </c>
      <c r="AH365" t="s">
        <v>91</v>
      </c>
      <c r="AI365" t="s">
        <v>92</v>
      </c>
      <c r="AJ365" t="s">
        <v>131</v>
      </c>
      <c r="AK365" t="s">
        <v>2551</v>
      </c>
      <c r="AL365" t="s">
        <v>95</v>
      </c>
      <c r="AM365" t="s">
        <v>96</v>
      </c>
      <c r="AN365" t="s">
        <v>97</v>
      </c>
      <c r="AO365" t="s">
        <v>98</v>
      </c>
      <c r="AP365" t="s">
        <v>78</v>
      </c>
      <c r="AQ365" t="s">
        <v>99</v>
      </c>
      <c r="AS365" t="s">
        <v>78</v>
      </c>
      <c r="AT365" t="s">
        <v>100</v>
      </c>
      <c r="AU365" t="s">
        <v>100</v>
      </c>
      <c r="AW365" t="s">
        <v>85</v>
      </c>
      <c r="AX365" t="s">
        <v>101</v>
      </c>
      <c r="AY365" t="s">
        <v>102</v>
      </c>
      <c r="AZ365" t="s">
        <v>103</v>
      </c>
      <c r="BA365" t="s">
        <v>133</v>
      </c>
      <c r="BB365" t="s">
        <v>78</v>
      </c>
      <c r="BC365" t="s">
        <v>78</v>
      </c>
      <c r="BD365" t="s">
        <v>2458</v>
      </c>
      <c r="BE365">
        <v>0</v>
      </c>
      <c r="BF365">
        <v>0</v>
      </c>
      <c r="BG365">
        <v>0</v>
      </c>
      <c r="BH365">
        <v>0</v>
      </c>
      <c r="BJ365" t="s">
        <v>85</v>
      </c>
      <c r="BP365" t="s">
        <v>78</v>
      </c>
      <c r="BQ365" t="s">
        <v>78</v>
      </c>
      <c r="BR365" t="s">
        <v>78</v>
      </c>
    </row>
    <row r="366" customFormat="1" spans="1:70">
      <c r="A366" t="s">
        <v>4241</v>
      </c>
      <c r="B366" t="s">
        <v>4241</v>
      </c>
      <c r="C366" t="s">
        <v>1068</v>
      </c>
      <c r="D366" t="s">
        <v>75</v>
      </c>
      <c r="E366">
        <v>1</v>
      </c>
      <c r="F366" t="s">
        <v>3994</v>
      </c>
      <c r="G366" t="s">
        <v>1070</v>
      </c>
      <c r="H366">
        <v>180</v>
      </c>
      <c r="I366">
        <v>180</v>
      </c>
      <c r="J366">
        <v>0</v>
      </c>
      <c r="K366">
        <v>0</v>
      </c>
      <c r="L366" t="s">
        <v>78</v>
      </c>
      <c r="M366" t="s">
        <v>78</v>
      </c>
      <c r="N366" t="s">
        <v>78</v>
      </c>
      <c r="O366">
        <v>0</v>
      </c>
      <c r="P366">
        <v>0</v>
      </c>
      <c r="Q366">
        <v>0</v>
      </c>
      <c r="R366" t="s">
        <v>125</v>
      </c>
      <c r="S366">
        <v>0</v>
      </c>
      <c r="T366" t="s">
        <v>80</v>
      </c>
      <c r="U366" t="s">
        <v>80</v>
      </c>
      <c r="V366" t="s">
        <v>583</v>
      </c>
      <c r="W366" t="s">
        <v>584</v>
      </c>
      <c r="X366" t="s">
        <v>2553</v>
      </c>
      <c r="Y366" t="s">
        <v>2554</v>
      </c>
      <c r="Z366" t="s">
        <v>80</v>
      </c>
      <c r="AA366" t="s">
        <v>85</v>
      </c>
      <c r="AC366" t="s">
        <v>2555</v>
      </c>
      <c r="AD366" t="s">
        <v>87</v>
      </c>
      <c r="AF366" t="s">
        <v>2556</v>
      </c>
      <c r="AG366" t="s">
        <v>2557</v>
      </c>
      <c r="AH366" t="s">
        <v>91</v>
      </c>
      <c r="AI366" t="s">
        <v>92</v>
      </c>
      <c r="AJ366" t="s">
        <v>93</v>
      </c>
      <c r="AK366" t="s">
        <v>2551</v>
      </c>
      <c r="AL366" t="s">
        <v>95</v>
      </c>
      <c r="AM366" t="s">
        <v>96</v>
      </c>
      <c r="AN366" t="s">
        <v>97</v>
      </c>
      <c r="AO366" t="s">
        <v>98</v>
      </c>
      <c r="AP366" t="s">
        <v>78</v>
      </c>
      <c r="AQ366" t="s">
        <v>78</v>
      </c>
      <c r="AS366" t="s">
        <v>78</v>
      </c>
      <c r="AT366" t="s">
        <v>100</v>
      </c>
      <c r="AU366" t="s">
        <v>100</v>
      </c>
      <c r="AW366" t="s">
        <v>85</v>
      </c>
      <c r="AX366" t="s">
        <v>103</v>
      </c>
      <c r="AY366" t="s">
        <v>159</v>
      </c>
      <c r="AZ366" t="s">
        <v>103</v>
      </c>
      <c r="BA366" t="s">
        <v>133</v>
      </c>
      <c r="BB366" t="s">
        <v>78</v>
      </c>
      <c r="BC366" t="s">
        <v>78</v>
      </c>
      <c r="BD366" t="s">
        <v>2558</v>
      </c>
      <c r="BE366">
        <v>0</v>
      </c>
      <c r="BF366">
        <v>0</v>
      </c>
      <c r="BG366">
        <v>0</v>
      </c>
      <c r="BH366">
        <v>0</v>
      </c>
      <c r="BJ366" t="s">
        <v>85</v>
      </c>
      <c r="BP366" t="s">
        <v>78</v>
      </c>
      <c r="BQ366" t="s">
        <v>78</v>
      </c>
      <c r="BR366" t="s">
        <v>78</v>
      </c>
    </row>
    <row r="367" customFormat="1" spans="1:70">
      <c r="A367" t="s">
        <v>4242</v>
      </c>
      <c r="B367" t="s">
        <v>4242</v>
      </c>
      <c r="C367" t="s">
        <v>1068</v>
      </c>
      <c r="D367" t="s">
        <v>75</v>
      </c>
      <c r="E367">
        <v>1</v>
      </c>
      <c r="F367" t="s">
        <v>3994</v>
      </c>
      <c r="G367" t="s">
        <v>1070</v>
      </c>
      <c r="H367">
        <v>180</v>
      </c>
      <c r="I367">
        <v>180</v>
      </c>
      <c r="J367">
        <v>0</v>
      </c>
      <c r="K367">
        <v>0.25</v>
      </c>
      <c r="L367" t="s">
        <v>78</v>
      </c>
      <c r="M367" t="s">
        <v>78</v>
      </c>
      <c r="N367" t="s">
        <v>78</v>
      </c>
      <c r="O367">
        <v>0</v>
      </c>
      <c r="P367">
        <v>0.25</v>
      </c>
      <c r="Q367">
        <v>0</v>
      </c>
      <c r="R367" t="s">
        <v>125</v>
      </c>
      <c r="S367">
        <v>0</v>
      </c>
      <c r="T367" t="s">
        <v>80</v>
      </c>
      <c r="U367" t="s">
        <v>80</v>
      </c>
      <c r="V367" t="s">
        <v>178</v>
      </c>
      <c r="W367" t="s">
        <v>178</v>
      </c>
      <c r="X367" t="s">
        <v>2560</v>
      </c>
      <c r="Y367" t="s">
        <v>2561</v>
      </c>
      <c r="Z367" t="s">
        <v>80</v>
      </c>
      <c r="AA367" t="s">
        <v>85</v>
      </c>
      <c r="AC367" t="s">
        <v>2562</v>
      </c>
      <c r="AD367" t="s">
        <v>87</v>
      </c>
      <c r="AG367" t="s">
        <v>2563</v>
      </c>
      <c r="AH367" t="s">
        <v>91</v>
      </c>
      <c r="AI367" t="s">
        <v>92</v>
      </c>
      <c r="AJ367" t="s">
        <v>131</v>
      </c>
      <c r="AK367" t="s">
        <v>2564</v>
      </c>
      <c r="AL367" t="s">
        <v>95</v>
      </c>
      <c r="AM367" t="s">
        <v>96</v>
      </c>
      <c r="AN367" t="s">
        <v>97</v>
      </c>
      <c r="AO367" t="s">
        <v>98</v>
      </c>
      <c r="AP367" t="s">
        <v>78</v>
      </c>
      <c r="AQ367" t="s">
        <v>99</v>
      </c>
      <c r="AS367" t="s">
        <v>78</v>
      </c>
      <c r="AT367" t="s">
        <v>100</v>
      </c>
      <c r="AU367" t="s">
        <v>100</v>
      </c>
      <c r="AW367" t="s">
        <v>85</v>
      </c>
      <c r="AX367" t="s">
        <v>101</v>
      </c>
      <c r="AY367" t="s">
        <v>102</v>
      </c>
      <c r="AZ367" t="s">
        <v>103</v>
      </c>
      <c r="BA367" t="s">
        <v>120</v>
      </c>
      <c r="BB367" t="s">
        <v>78</v>
      </c>
      <c r="BC367" t="s">
        <v>78</v>
      </c>
      <c r="BE367">
        <v>0</v>
      </c>
      <c r="BF367">
        <v>0</v>
      </c>
      <c r="BG367">
        <v>0</v>
      </c>
      <c r="BH367">
        <v>0</v>
      </c>
      <c r="BJ367" t="s">
        <v>85</v>
      </c>
      <c r="BP367" t="s">
        <v>78</v>
      </c>
      <c r="BQ367" t="s">
        <v>78</v>
      </c>
      <c r="BR367" t="s">
        <v>78</v>
      </c>
    </row>
    <row r="368" customFormat="1" spans="1:70">
      <c r="A368" t="s">
        <v>4243</v>
      </c>
      <c r="B368" t="s">
        <v>4243</v>
      </c>
      <c r="C368" t="s">
        <v>1068</v>
      </c>
      <c r="D368" t="s">
        <v>230</v>
      </c>
      <c r="E368">
        <v>1</v>
      </c>
      <c r="F368" t="s">
        <v>3994</v>
      </c>
      <c r="G368" t="s">
        <v>2219</v>
      </c>
      <c r="H368">
        <v>180</v>
      </c>
      <c r="I368">
        <v>176</v>
      </c>
      <c r="J368">
        <v>0</v>
      </c>
      <c r="K368">
        <v>4</v>
      </c>
      <c r="L368" t="s">
        <v>2566</v>
      </c>
      <c r="M368" t="s">
        <v>78</v>
      </c>
      <c r="N368" t="s">
        <v>78</v>
      </c>
      <c r="O368">
        <v>0</v>
      </c>
      <c r="P368">
        <v>0</v>
      </c>
      <c r="Q368">
        <v>0</v>
      </c>
      <c r="R368" t="s">
        <v>125</v>
      </c>
      <c r="S368">
        <v>0</v>
      </c>
      <c r="T368" t="s">
        <v>80</v>
      </c>
      <c r="U368" t="s">
        <v>80</v>
      </c>
      <c r="V368" t="s">
        <v>509</v>
      </c>
      <c r="W368" t="s">
        <v>623</v>
      </c>
      <c r="X368" t="s">
        <v>1943</v>
      </c>
      <c r="Y368" t="s">
        <v>1944</v>
      </c>
      <c r="Z368" t="s">
        <v>80</v>
      </c>
      <c r="AA368" t="s">
        <v>85</v>
      </c>
      <c r="AC368" t="s">
        <v>2567</v>
      </c>
      <c r="AD368" t="s">
        <v>87</v>
      </c>
      <c r="AG368" t="s">
        <v>2548</v>
      </c>
      <c r="AH368" t="s">
        <v>91</v>
      </c>
      <c r="AI368" t="s">
        <v>92</v>
      </c>
      <c r="AJ368" t="s">
        <v>131</v>
      </c>
      <c r="AK368" t="s">
        <v>2568</v>
      </c>
      <c r="AL368" t="s">
        <v>95</v>
      </c>
      <c r="AM368" t="s">
        <v>96</v>
      </c>
      <c r="AN368" t="s">
        <v>97</v>
      </c>
      <c r="AO368" t="s">
        <v>98</v>
      </c>
      <c r="AP368" t="s">
        <v>78</v>
      </c>
      <c r="AQ368" t="s">
        <v>99</v>
      </c>
      <c r="AS368" t="s">
        <v>78</v>
      </c>
      <c r="AT368" t="s">
        <v>100</v>
      </c>
      <c r="AU368" t="s">
        <v>100</v>
      </c>
      <c r="AW368" t="s">
        <v>85</v>
      </c>
      <c r="AX368" t="s">
        <v>103</v>
      </c>
      <c r="AY368" t="s">
        <v>159</v>
      </c>
      <c r="AZ368" t="s">
        <v>103</v>
      </c>
      <c r="BA368" t="s">
        <v>218</v>
      </c>
      <c r="BB368" t="s">
        <v>78</v>
      </c>
      <c r="BC368" t="s">
        <v>78</v>
      </c>
      <c r="BE368">
        <v>0</v>
      </c>
      <c r="BF368">
        <v>4</v>
      </c>
      <c r="BG368">
        <v>0</v>
      </c>
      <c r="BH368">
        <v>0</v>
      </c>
      <c r="BJ368" t="s">
        <v>85</v>
      </c>
      <c r="BP368" t="s">
        <v>78</v>
      </c>
      <c r="BQ368" t="s">
        <v>78</v>
      </c>
      <c r="BR368" t="s">
        <v>78</v>
      </c>
    </row>
    <row r="369" customFormat="1" spans="1:70">
      <c r="A369" t="s">
        <v>4244</v>
      </c>
      <c r="B369" t="s">
        <v>4244</v>
      </c>
      <c r="C369" t="s">
        <v>1068</v>
      </c>
      <c r="D369" t="s">
        <v>230</v>
      </c>
      <c r="E369">
        <v>1</v>
      </c>
      <c r="F369" t="s">
        <v>3994</v>
      </c>
      <c r="G369" t="s">
        <v>2219</v>
      </c>
      <c r="H369">
        <v>180</v>
      </c>
      <c r="I369">
        <v>180</v>
      </c>
      <c r="J369">
        <v>0</v>
      </c>
      <c r="K369">
        <v>0</v>
      </c>
      <c r="L369" t="s">
        <v>78</v>
      </c>
      <c r="M369" t="s">
        <v>78</v>
      </c>
      <c r="N369" t="s">
        <v>78</v>
      </c>
      <c r="O369">
        <v>0</v>
      </c>
      <c r="P369">
        <v>0</v>
      </c>
      <c r="Q369">
        <v>0</v>
      </c>
      <c r="R369" t="s">
        <v>79</v>
      </c>
      <c r="S369">
        <v>0</v>
      </c>
      <c r="T369" t="s">
        <v>80</v>
      </c>
      <c r="U369" t="s">
        <v>80</v>
      </c>
      <c r="V369" t="s">
        <v>302</v>
      </c>
      <c r="W369" t="s">
        <v>1358</v>
      </c>
      <c r="X369" t="s">
        <v>1359</v>
      </c>
      <c r="Y369" t="s">
        <v>1360</v>
      </c>
      <c r="Z369" t="s">
        <v>80</v>
      </c>
      <c r="AA369" t="s">
        <v>85</v>
      </c>
      <c r="AC369" t="s">
        <v>2570</v>
      </c>
      <c r="AD369" t="s">
        <v>87</v>
      </c>
      <c r="AG369" t="s">
        <v>2571</v>
      </c>
      <c r="AH369" t="s">
        <v>254</v>
      </c>
      <c r="AI369" t="s">
        <v>92</v>
      </c>
      <c r="AJ369" t="s">
        <v>131</v>
      </c>
      <c r="AK369" t="s">
        <v>2572</v>
      </c>
      <c r="AL369" t="s">
        <v>95</v>
      </c>
      <c r="AM369" t="s">
        <v>96</v>
      </c>
      <c r="AN369" t="s">
        <v>97</v>
      </c>
      <c r="AO369" t="s">
        <v>98</v>
      </c>
      <c r="AP369" t="s">
        <v>78</v>
      </c>
      <c r="AQ369" t="s">
        <v>99</v>
      </c>
      <c r="AS369" t="s">
        <v>78</v>
      </c>
      <c r="AT369" t="s">
        <v>100</v>
      </c>
      <c r="AU369" t="s">
        <v>100</v>
      </c>
      <c r="AW369" t="s">
        <v>85</v>
      </c>
      <c r="AX369" t="s">
        <v>103</v>
      </c>
      <c r="AY369" t="s">
        <v>159</v>
      </c>
      <c r="AZ369" t="s">
        <v>103</v>
      </c>
      <c r="BA369" t="s">
        <v>102</v>
      </c>
      <c r="BB369" t="s">
        <v>78</v>
      </c>
      <c r="BC369" t="s">
        <v>78</v>
      </c>
      <c r="BE369">
        <v>0</v>
      </c>
      <c r="BF369">
        <v>0</v>
      </c>
      <c r="BG369">
        <v>0</v>
      </c>
      <c r="BH369">
        <v>0</v>
      </c>
      <c r="BJ369" t="s">
        <v>85</v>
      </c>
      <c r="BP369" t="s">
        <v>78</v>
      </c>
      <c r="BQ369" t="s">
        <v>78</v>
      </c>
      <c r="BR369" t="s">
        <v>78</v>
      </c>
    </row>
    <row r="370" customFormat="1" spans="1:70">
      <c r="A370" t="s">
        <v>4245</v>
      </c>
      <c r="B370" t="s">
        <v>4245</v>
      </c>
      <c r="C370" t="s">
        <v>107</v>
      </c>
      <c r="D370" t="s">
        <v>108</v>
      </c>
      <c r="E370">
        <v>1</v>
      </c>
      <c r="F370" t="s">
        <v>3857</v>
      </c>
      <c r="G370" t="s">
        <v>110</v>
      </c>
      <c r="H370">
        <v>289</v>
      </c>
      <c r="I370">
        <v>289</v>
      </c>
      <c r="J370">
        <v>0</v>
      </c>
      <c r="K370">
        <v>0</v>
      </c>
      <c r="L370" t="s">
        <v>78</v>
      </c>
      <c r="M370" t="s">
        <v>78</v>
      </c>
      <c r="N370" t="s">
        <v>78</v>
      </c>
      <c r="O370">
        <v>0</v>
      </c>
      <c r="P370">
        <v>0</v>
      </c>
      <c r="Q370">
        <v>0</v>
      </c>
      <c r="R370" t="s">
        <v>125</v>
      </c>
      <c r="S370">
        <v>0</v>
      </c>
      <c r="T370" t="s">
        <v>80</v>
      </c>
      <c r="U370" t="s">
        <v>80</v>
      </c>
      <c r="V370" t="s">
        <v>464</v>
      </c>
      <c r="W370" t="s">
        <v>637</v>
      </c>
      <c r="X370" t="s">
        <v>2506</v>
      </c>
      <c r="Y370" t="s">
        <v>78</v>
      </c>
      <c r="Z370" t="s">
        <v>80</v>
      </c>
      <c r="AA370" t="s">
        <v>85</v>
      </c>
      <c r="AC370" t="s">
        <v>2574</v>
      </c>
      <c r="AD370" t="s">
        <v>87</v>
      </c>
      <c r="AG370" t="s">
        <v>2575</v>
      </c>
      <c r="AH370" t="s">
        <v>91</v>
      </c>
      <c r="AI370" t="s">
        <v>92</v>
      </c>
      <c r="AJ370" t="s">
        <v>131</v>
      </c>
      <c r="AK370" t="s">
        <v>2576</v>
      </c>
      <c r="AL370" t="s">
        <v>95</v>
      </c>
      <c r="AM370" t="s">
        <v>96</v>
      </c>
      <c r="AN370" t="s">
        <v>97</v>
      </c>
      <c r="AO370" t="s">
        <v>98</v>
      </c>
      <c r="AP370" t="s">
        <v>78</v>
      </c>
      <c r="AQ370" t="s">
        <v>99</v>
      </c>
      <c r="AS370" t="s">
        <v>78</v>
      </c>
      <c r="AT370" t="s">
        <v>100</v>
      </c>
      <c r="AU370" t="s">
        <v>100</v>
      </c>
      <c r="AW370" t="s">
        <v>85</v>
      </c>
      <c r="AX370" t="s">
        <v>101</v>
      </c>
      <c r="AY370" t="s">
        <v>102</v>
      </c>
      <c r="AZ370" t="s">
        <v>103</v>
      </c>
      <c r="BA370" t="s">
        <v>133</v>
      </c>
      <c r="BB370" t="s">
        <v>78</v>
      </c>
      <c r="BC370" t="s">
        <v>78</v>
      </c>
      <c r="BE370">
        <v>0</v>
      </c>
      <c r="BF370">
        <v>0</v>
      </c>
      <c r="BG370">
        <v>0</v>
      </c>
      <c r="BH370">
        <v>0</v>
      </c>
      <c r="BJ370" t="s">
        <v>85</v>
      </c>
      <c r="BP370" t="s">
        <v>78</v>
      </c>
      <c r="BQ370" t="s">
        <v>78</v>
      </c>
      <c r="BR370" t="s">
        <v>78</v>
      </c>
    </row>
    <row r="371" customFormat="1" spans="1:70">
      <c r="A371" t="s">
        <v>4246</v>
      </c>
      <c r="B371" t="s">
        <v>4246</v>
      </c>
      <c r="C371" t="s">
        <v>1068</v>
      </c>
      <c r="D371" t="s">
        <v>247</v>
      </c>
      <c r="E371">
        <v>1</v>
      </c>
      <c r="F371" t="s">
        <v>3994</v>
      </c>
      <c r="G371" t="s">
        <v>1104</v>
      </c>
      <c r="H371">
        <v>180</v>
      </c>
      <c r="I371">
        <v>180</v>
      </c>
      <c r="J371">
        <v>0</v>
      </c>
      <c r="K371">
        <v>0</v>
      </c>
      <c r="L371" t="s">
        <v>78</v>
      </c>
      <c r="M371" t="s">
        <v>78</v>
      </c>
      <c r="N371" t="s">
        <v>78</v>
      </c>
      <c r="O371">
        <v>0</v>
      </c>
      <c r="P371">
        <v>0</v>
      </c>
      <c r="Q371">
        <v>0</v>
      </c>
      <c r="R371" t="s">
        <v>111</v>
      </c>
      <c r="S371">
        <v>0</v>
      </c>
      <c r="T371" t="s">
        <v>80</v>
      </c>
      <c r="U371" t="s">
        <v>80</v>
      </c>
      <c r="V371" t="s">
        <v>271</v>
      </c>
      <c r="W371" t="s">
        <v>421</v>
      </c>
      <c r="X371" t="s">
        <v>809</v>
      </c>
      <c r="Y371" t="s">
        <v>1423</v>
      </c>
      <c r="Z371" t="s">
        <v>80</v>
      </c>
      <c r="AA371" t="s">
        <v>85</v>
      </c>
      <c r="AC371" t="s">
        <v>2578</v>
      </c>
      <c r="AD371" t="s">
        <v>87</v>
      </c>
      <c r="AF371" t="s">
        <v>2495</v>
      </c>
      <c r="AG371" t="s">
        <v>2575</v>
      </c>
      <c r="AH371" t="s">
        <v>227</v>
      </c>
      <c r="AI371" t="s">
        <v>92</v>
      </c>
      <c r="AJ371" t="s">
        <v>93</v>
      </c>
      <c r="AK371" t="s">
        <v>2579</v>
      </c>
      <c r="AL371" t="s">
        <v>95</v>
      </c>
      <c r="AM371" t="s">
        <v>96</v>
      </c>
      <c r="AN371" t="s">
        <v>97</v>
      </c>
      <c r="AO371" t="s">
        <v>98</v>
      </c>
      <c r="AP371" t="s">
        <v>78</v>
      </c>
      <c r="AQ371" t="s">
        <v>78</v>
      </c>
      <c r="AS371" t="s">
        <v>78</v>
      </c>
      <c r="AT371" t="s">
        <v>100</v>
      </c>
      <c r="AU371" t="s">
        <v>100</v>
      </c>
      <c r="AW371" t="s">
        <v>85</v>
      </c>
      <c r="AX371" t="s">
        <v>101</v>
      </c>
      <c r="AY371" t="s">
        <v>102</v>
      </c>
      <c r="AZ371" t="s">
        <v>103</v>
      </c>
      <c r="BA371" t="s">
        <v>120</v>
      </c>
      <c r="BB371" t="s">
        <v>78</v>
      </c>
      <c r="BC371" t="s">
        <v>78</v>
      </c>
      <c r="BD371" t="s">
        <v>2498</v>
      </c>
      <c r="BE371">
        <v>0</v>
      </c>
      <c r="BF371">
        <v>0</v>
      </c>
      <c r="BG371">
        <v>0</v>
      </c>
      <c r="BH371">
        <v>0</v>
      </c>
      <c r="BJ371" t="s">
        <v>85</v>
      </c>
      <c r="BP371" t="s">
        <v>78</v>
      </c>
      <c r="BQ371" t="s">
        <v>78</v>
      </c>
      <c r="BR371" t="s">
        <v>78</v>
      </c>
    </row>
    <row r="372" customFormat="1" spans="1:70">
      <c r="A372" t="s">
        <v>4247</v>
      </c>
      <c r="B372" t="s">
        <v>4247</v>
      </c>
      <c r="C372" t="s">
        <v>1068</v>
      </c>
      <c r="D372" t="s">
        <v>230</v>
      </c>
      <c r="E372">
        <v>1</v>
      </c>
      <c r="F372" t="s">
        <v>3994</v>
      </c>
      <c r="G372" t="s">
        <v>2219</v>
      </c>
      <c r="H372">
        <v>180</v>
      </c>
      <c r="I372">
        <v>180</v>
      </c>
      <c r="J372">
        <v>0</v>
      </c>
      <c r="K372">
        <v>0</v>
      </c>
      <c r="L372" t="s">
        <v>78</v>
      </c>
      <c r="M372" t="s">
        <v>78</v>
      </c>
      <c r="N372" t="s">
        <v>78</v>
      </c>
      <c r="O372">
        <v>0</v>
      </c>
      <c r="P372">
        <v>0</v>
      </c>
      <c r="Q372">
        <v>0</v>
      </c>
      <c r="R372" t="s">
        <v>111</v>
      </c>
      <c r="S372">
        <v>0</v>
      </c>
      <c r="T372" t="s">
        <v>80</v>
      </c>
      <c r="U372" t="s">
        <v>80</v>
      </c>
      <c r="V372" t="s">
        <v>302</v>
      </c>
      <c r="W372" t="s">
        <v>303</v>
      </c>
      <c r="X372" t="s">
        <v>310</v>
      </c>
      <c r="Y372" t="s">
        <v>311</v>
      </c>
      <c r="Z372" t="s">
        <v>80</v>
      </c>
      <c r="AA372" t="s">
        <v>85</v>
      </c>
      <c r="AC372" t="s">
        <v>2581</v>
      </c>
      <c r="AD372" t="s">
        <v>87</v>
      </c>
      <c r="AF372" t="s">
        <v>2486</v>
      </c>
      <c r="AG372" t="s">
        <v>2582</v>
      </c>
      <c r="AH372" t="s">
        <v>91</v>
      </c>
      <c r="AI372" t="s">
        <v>92</v>
      </c>
      <c r="AJ372" t="s">
        <v>93</v>
      </c>
      <c r="AK372" t="s">
        <v>2583</v>
      </c>
      <c r="AL372" t="s">
        <v>95</v>
      </c>
      <c r="AM372" t="s">
        <v>96</v>
      </c>
      <c r="AN372" t="s">
        <v>97</v>
      </c>
      <c r="AO372" t="s">
        <v>98</v>
      </c>
      <c r="AP372" t="s">
        <v>78</v>
      </c>
      <c r="AQ372" t="s">
        <v>78</v>
      </c>
      <c r="AS372" t="s">
        <v>78</v>
      </c>
      <c r="AT372" t="s">
        <v>100</v>
      </c>
      <c r="AU372" t="s">
        <v>100</v>
      </c>
      <c r="AW372" t="s">
        <v>85</v>
      </c>
      <c r="AX372" t="s">
        <v>101</v>
      </c>
      <c r="AY372" t="s">
        <v>102</v>
      </c>
      <c r="AZ372" t="s">
        <v>103</v>
      </c>
      <c r="BA372" t="s">
        <v>245</v>
      </c>
      <c r="BB372" t="s">
        <v>78</v>
      </c>
      <c r="BC372" t="s">
        <v>78</v>
      </c>
      <c r="BD372" t="s">
        <v>2489</v>
      </c>
      <c r="BE372">
        <v>0</v>
      </c>
      <c r="BF372">
        <v>0</v>
      </c>
      <c r="BG372">
        <v>0</v>
      </c>
      <c r="BH372">
        <v>0</v>
      </c>
      <c r="BJ372" t="s">
        <v>85</v>
      </c>
      <c r="BP372" t="s">
        <v>78</v>
      </c>
      <c r="BQ372" t="s">
        <v>78</v>
      </c>
      <c r="BR372" t="s">
        <v>78</v>
      </c>
    </row>
    <row r="373" customFormat="1" spans="1:70">
      <c r="A373" t="s">
        <v>4248</v>
      </c>
      <c r="B373" t="s">
        <v>4248</v>
      </c>
      <c r="C373" t="s">
        <v>1068</v>
      </c>
      <c r="D373" t="s">
        <v>75</v>
      </c>
      <c r="E373">
        <v>1</v>
      </c>
      <c r="F373" t="s">
        <v>3994</v>
      </c>
      <c r="G373" t="s">
        <v>1070</v>
      </c>
      <c r="H373">
        <v>180</v>
      </c>
      <c r="I373">
        <v>180</v>
      </c>
      <c r="J373">
        <v>0</v>
      </c>
      <c r="K373">
        <v>0</v>
      </c>
      <c r="L373" t="s">
        <v>78</v>
      </c>
      <c r="M373" t="s">
        <v>78</v>
      </c>
      <c r="N373" t="s">
        <v>78</v>
      </c>
      <c r="O373">
        <v>0</v>
      </c>
      <c r="P373">
        <v>0</v>
      </c>
      <c r="Q373">
        <v>0</v>
      </c>
      <c r="R373" t="s">
        <v>79</v>
      </c>
      <c r="S373">
        <v>0</v>
      </c>
      <c r="T373" t="s">
        <v>80</v>
      </c>
      <c r="U373" t="s">
        <v>80</v>
      </c>
      <c r="V373" t="s">
        <v>464</v>
      </c>
      <c r="W373" t="s">
        <v>1460</v>
      </c>
      <c r="X373" t="s">
        <v>2167</v>
      </c>
      <c r="Y373" t="s">
        <v>2168</v>
      </c>
      <c r="Z373" t="s">
        <v>80</v>
      </c>
      <c r="AA373" t="s">
        <v>85</v>
      </c>
      <c r="AC373" t="s">
        <v>2585</v>
      </c>
      <c r="AD373" t="s">
        <v>87</v>
      </c>
      <c r="AF373" t="s">
        <v>2586</v>
      </c>
      <c r="AG373" t="s">
        <v>2587</v>
      </c>
      <c r="AH373" t="s">
        <v>227</v>
      </c>
      <c r="AI373" t="s">
        <v>92</v>
      </c>
      <c r="AJ373" t="s">
        <v>93</v>
      </c>
      <c r="AK373" t="s">
        <v>2588</v>
      </c>
      <c r="AL373" t="s">
        <v>95</v>
      </c>
      <c r="AM373" t="s">
        <v>96</v>
      </c>
      <c r="AN373" t="s">
        <v>97</v>
      </c>
      <c r="AO373" t="s">
        <v>98</v>
      </c>
      <c r="AP373" t="s">
        <v>78</v>
      </c>
      <c r="AQ373" t="s">
        <v>78</v>
      </c>
      <c r="AS373" t="s">
        <v>78</v>
      </c>
      <c r="AT373" t="s">
        <v>100</v>
      </c>
      <c r="AU373" t="s">
        <v>100</v>
      </c>
      <c r="AW373" t="s">
        <v>85</v>
      </c>
      <c r="AX373" t="s">
        <v>101</v>
      </c>
      <c r="AY373" t="s">
        <v>102</v>
      </c>
      <c r="AZ373" t="s">
        <v>103</v>
      </c>
      <c r="BA373" t="s">
        <v>120</v>
      </c>
      <c r="BB373" t="s">
        <v>78</v>
      </c>
      <c r="BC373" t="s">
        <v>78</v>
      </c>
      <c r="BD373" t="s">
        <v>2558</v>
      </c>
      <c r="BE373">
        <v>0</v>
      </c>
      <c r="BF373">
        <v>0</v>
      </c>
      <c r="BG373">
        <v>0</v>
      </c>
      <c r="BH373">
        <v>0</v>
      </c>
      <c r="BJ373" t="s">
        <v>85</v>
      </c>
      <c r="BP373" t="s">
        <v>78</v>
      </c>
      <c r="BQ373" t="s">
        <v>78</v>
      </c>
      <c r="BR373" t="s">
        <v>78</v>
      </c>
    </row>
    <row r="374" customFormat="1" spans="1:70">
      <c r="A374" t="s">
        <v>4249</v>
      </c>
      <c r="B374" t="s">
        <v>4249</v>
      </c>
      <c r="C374" t="s">
        <v>1080</v>
      </c>
      <c r="D374" t="s">
        <v>108</v>
      </c>
      <c r="E374">
        <v>1</v>
      </c>
      <c r="F374" t="s">
        <v>3996</v>
      </c>
      <c r="G374" t="s">
        <v>1082</v>
      </c>
      <c r="H374">
        <v>289</v>
      </c>
      <c r="I374">
        <v>289</v>
      </c>
      <c r="J374">
        <v>0</v>
      </c>
      <c r="K374">
        <v>0</v>
      </c>
      <c r="L374" t="s">
        <v>78</v>
      </c>
      <c r="M374" t="s">
        <v>78</v>
      </c>
      <c r="N374" t="s">
        <v>78</v>
      </c>
      <c r="O374">
        <v>0</v>
      </c>
      <c r="P374">
        <v>0</v>
      </c>
      <c r="Q374">
        <v>0</v>
      </c>
      <c r="R374" t="s">
        <v>111</v>
      </c>
      <c r="S374">
        <v>0</v>
      </c>
      <c r="T374" t="s">
        <v>80</v>
      </c>
      <c r="U374" t="s">
        <v>80</v>
      </c>
      <c r="V374" t="s">
        <v>271</v>
      </c>
      <c r="W374" t="s">
        <v>421</v>
      </c>
      <c r="X374" t="s">
        <v>809</v>
      </c>
      <c r="Y374" t="s">
        <v>1423</v>
      </c>
      <c r="Z374" t="s">
        <v>80</v>
      </c>
      <c r="AA374" t="s">
        <v>85</v>
      </c>
      <c r="AC374" t="s">
        <v>2590</v>
      </c>
      <c r="AD374" t="s">
        <v>87</v>
      </c>
      <c r="AF374" t="s">
        <v>2591</v>
      </c>
      <c r="AG374" t="s">
        <v>2592</v>
      </c>
      <c r="AH374" t="s">
        <v>227</v>
      </c>
      <c r="AI374" t="s">
        <v>92</v>
      </c>
      <c r="AJ374" t="s">
        <v>93</v>
      </c>
      <c r="AK374" t="s">
        <v>2593</v>
      </c>
      <c r="AL374" t="s">
        <v>95</v>
      </c>
      <c r="AM374" t="s">
        <v>96</v>
      </c>
      <c r="AN374" t="s">
        <v>97</v>
      </c>
      <c r="AO374" t="s">
        <v>98</v>
      </c>
      <c r="AP374" t="s">
        <v>78</v>
      </c>
      <c r="AQ374" t="s">
        <v>78</v>
      </c>
      <c r="AS374" t="s">
        <v>78</v>
      </c>
      <c r="AT374" t="s">
        <v>100</v>
      </c>
      <c r="AU374" t="s">
        <v>100</v>
      </c>
      <c r="AW374" t="s">
        <v>85</v>
      </c>
      <c r="AX374" t="s">
        <v>101</v>
      </c>
      <c r="AY374" t="s">
        <v>102</v>
      </c>
      <c r="AZ374" t="s">
        <v>103</v>
      </c>
      <c r="BA374" t="s">
        <v>120</v>
      </c>
      <c r="BB374" t="s">
        <v>78</v>
      </c>
      <c r="BC374" t="s">
        <v>78</v>
      </c>
      <c r="BD374" t="s">
        <v>2594</v>
      </c>
      <c r="BE374">
        <v>0</v>
      </c>
      <c r="BF374">
        <v>0</v>
      </c>
      <c r="BG374">
        <v>0</v>
      </c>
      <c r="BH374">
        <v>0</v>
      </c>
      <c r="BJ374" t="s">
        <v>85</v>
      </c>
      <c r="BP374" t="s">
        <v>78</v>
      </c>
      <c r="BQ374" t="s">
        <v>78</v>
      </c>
      <c r="BR374" t="s">
        <v>78</v>
      </c>
    </row>
    <row r="375" customFormat="1" spans="1:70">
      <c r="A375" t="s">
        <v>4250</v>
      </c>
      <c r="B375" t="s">
        <v>4250</v>
      </c>
      <c r="C375" t="s">
        <v>1080</v>
      </c>
      <c r="D375" t="s">
        <v>123</v>
      </c>
      <c r="E375">
        <v>1</v>
      </c>
      <c r="F375" t="s">
        <v>3996</v>
      </c>
      <c r="G375" t="s">
        <v>1626</v>
      </c>
      <c r="H375">
        <v>289</v>
      </c>
      <c r="I375">
        <v>289</v>
      </c>
      <c r="J375">
        <v>0</v>
      </c>
      <c r="K375">
        <v>0</v>
      </c>
      <c r="L375" t="s">
        <v>78</v>
      </c>
      <c r="M375" t="s">
        <v>78</v>
      </c>
      <c r="N375" t="s">
        <v>78</v>
      </c>
      <c r="O375">
        <v>0</v>
      </c>
      <c r="P375">
        <v>0</v>
      </c>
      <c r="Q375">
        <v>0</v>
      </c>
      <c r="R375" t="s">
        <v>79</v>
      </c>
      <c r="S375">
        <v>0</v>
      </c>
      <c r="T375" t="s">
        <v>80</v>
      </c>
      <c r="U375" t="s">
        <v>80</v>
      </c>
      <c r="V375" t="s">
        <v>464</v>
      </c>
      <c r="W375" t="s">
        <v>1460</v>
      </c>
      <c r="X375" t="s">
        <v>2167</v>
      </c>
      <c r="Y375" t="s">
        <v>2168</v>
      </c>
      <c r="Z375" t="s">
        <v>80</v>
      </c>
      <c r="AA375" t="s">
        <v>85</v>
      </c>
      <c r="AC375" t="s">
        <v>2596</v>
      </c>
      <c r="AD375" t="s">
        <v>202</v>
      </c>
      <c r="AE375" t="s">
        <v>2597</v>
      </c>
      <c r="AF375" t="s">
        <v>2449</v>
      </c>
      <c r="AG375" t="s">
        <v>2590</v>
      </c>
      <c r="AH375" t="s">
        <v>227</v>
      </c>
      <c r="AI375" t="s">
        <v>92</v>
      </c>
      <c r="AJ375" t="s">
        <v>93</v>
      </c>
      <c r="AK375" t="s">
        <v>2598</v>
      </c>
      <c r="AL375" t="s">
        <v>95</v>
      </c>
      <c r="AM375" t="s">
        <v>96</v>
      </c>
      <c r="AN375" t="s">
        <v>97</v>
      </c>
      <c r="AO375" t="s">
        <v>98</v>
      </c>
      <c r="AP375" t="s">
        <v>78</v>
      </c>
      <c r="AQ375" t="s">
        <v>99</v>
      </c>
      <c r="AS375" t="s">
        <v>78</v>
      </c>
      <c r="AT375" t="s">
        <v>100</v>
      </c>
      <c r="AU375" t="s">
        <v>100</v>
      </c>
      <c r="AW375" t="s">
        <v>85</v>
      </c>
      <c r="AX375" t="s">
        <v>101</v>
      </c>
      <c r="AY375" t="s">
        <v>102</v>
      </c>
      <c r="AZ375" t="s">
        <v>103</v>
      </c>
      <c r="BA375" t="s">
        <v>120</v>
      </c>
      <c r="BB375" t="s">
        <v>78</v>
      </c>
      <c r="BC375" t="s">
        <v>78</v>
      </c>
      <c r="BD375" t="s">
        <v>2452</v>
      </c>
      <c r="BE375">
        <v>0</v>
      </c>
      <c r="BF375">
        <v>0</v>
      </c>
      <c r="BG375">
        <v>0</v>
      </c>
      <c r="BH375">
        <v>0</v>
      </c>
      <c r="BJ375" t="s">
        <v>85</v>
      </c>
      <c r="BP375" t="s">
        <v>78</v>
      </c>
      <c r="BQ375" t="s">
        <v>78</v>
      </c>
      <c r="BR375" t="s">
        <v>78</v>
      </c>
    </row>
    <row r="376" customFormat="1" spans="1:70">
      <c r="A376" t="s">
        <v>4251</v>
      </c>
      <c r="B376" t="s">
        <v>4251</v>
      </c>
      <c r="C376" t="s">
        <v>1080</v>
      </c>
      <c r="D376" t="s">
        <v>135</v>
      </c>
      <c r="E376">
        <v>1</v>
      </c>
      <c r="F376" t="s">
        <v>3996</v>
      </c>
      <c r="G376" t="s">
        <v>1639</v>
      </c>
      <c r="H376">
        <v>289</v>
      </c>
      <c r="I376">
        <v>289</v>
      </c>
      <c r="J376">
        <v>0</v>
      </c>
      <c r="K376">
        <v>0</v>
      </c>
      <c r="L376" t="s">
        <v>78</v>
      </c>
      <c r="M376" t="s">
        <v>78</v>
      </c>
      <c r="N376" t="s">
        <v>78</v>
      </c>
      <c r="O376">
        <v>0</v>
      </c>
      <c r="P376">
        <v>0</v>
      </c>
      <c r="Q376">
        <v>0</v>
      </c>
      <c r="R376" t="s">
        <v>111</v>
      </c>
      <c r="S376">
        <v>0</v>
      </c>
      <c r="T376" t="s">
        <v>80</v>
      </c>
      <c r="U376" t="s">
        <v>80</v>
      </c>
      <c r="V376" t="s">
        <v>302</v>
      </c>
      <c r="W376" t="s">
        <v>303</v>
      </c>
      <c r="X376" t="s">
        <v>310</v>
      </c>
      <c r="Y376" t="s">
        <v>311</v>
      </c>
      <c r="Z376" t="s">
        <v>80</v>
      </c>
      <c r="AA376" t="s">
        <v>85</v>
      </c>
      <c r="AC376" t="s">
        <v>2596</v>
      </c>
      <c r="AD376" t="s">
        <v>87</v>
      </c>
      <c r="AF376" t="s">
        <v>2522</v>
      </c>
      <c r="AG376" t="s">
        <v>2600</v>
      </c>
      <c r="AH376" t="s">
        <v>91</v>
      </c>
      <c r="AI376" t="s">
        <v>92</v>
      </c>
      <c r="AJ376" t="s">
        <v>93</v>
      </c>
      <c r="AK376" t="s">
        <v>2601</v>
      </c>
      <c r="AL376" t="s">
        <v>95</v>
      </c>
      <c r="AM376" t="s">
        <v>96</v>
      </c>
      <c r="AN376" t="s">
        <v>97</v>
      </c>
      <c r="AO376" t="s">
        <v>98</v>
      </c>
      <c r="AP376" t="s">
        <v>78</v>
      </c>
      <c r="AQ376" t="s">
        <v>78</v>
      </c>
      <c r="AS376" t="s">
        <v>78</v>
      </c>
      <c r="AT376" t="s">
        <v>100</v>
      </c>
      <c r="AU376" t="s">
        <v>100</v>
      </c>
      <c r="AW376" t="s">
        <v>85</v>
      </c>
      <c r="AX376" t="s">
        <v>101</v>
      </c>
      <c r="AY376" t="s">
        <v>102</v>
      </c>
      <c r="AZ376" t="s">
        <v>103</v>
      </c>
      <c r="BA376" t="s">
        <v>245</v>
      </c>
      <c r="BB376" t="s">
        <v>78</v>
      </c>
      <c r="BC376" t="s">
        <v>78</v>
      </c>
      <c r="BD376" t="s">
        <v>2524</v>
      </c>
      <c r="BE376">
        <v>0</v>
      </c>
      <c r="BF376">
        <v>0</v>
      </c>
      <c r="BG376">
        <v>0</v>
      </c>
      <c r="BH376">
        <v>0</v>
      </c>
      <c r="BJ376" t="s">
        <v>85</v>
      </c>
      <c r="BP376" t="s">
        <v>78</v>
      </c>
      <c r="BQ376" t="s">
        <v>78</v>
      </c>
      <c r="BR376" t="s">
        <v>78</v>
      </c>
    </row>
    <row r="377" customFormat="1" spans="1:70">
      <c r="A377" t="s">
        <v>4252</v>
      </c>
      <c r="B377" t="s">
        <v>4252</v>
      </c>
      <c r="C377" t="s">
        <v>1050</v>
      </c>
      <c r="D377" t="s">
        <v>1153</v>
      </c>
      <c r="E377">
        <v>1</v>
      </c>
      <c r="F377" t="s">
        <v>3991</v>
      </c>
      <c r="G377" t="s">
        <v>1154</v>
      </c>
      <c r="H377">
        <v>129</v>
      </c>
      <c r="I377">
        <v>129</v>
      </c>
      <c r="J377">
        <v>0</v>
      </c>
      <c r="K377">
        <v>0</v>
      </c>
      <c r="L377" t="s">
        <v>78</v>
      </c>
      <c r="M377" t="s">
        <v>78</v>
      </c>
      <c r="N377" t="s">
        <v>78</v>
      </c>
      <c r="O377">
        <v>0</v>
      </c>
      <c r="P377">
        <v>0</v>
      </c>
      <c r="Q377">
        <v>0</v>
      </c>
      <c r="R377" t="s">
        <v>125</v>
      </c>
      <c r="S377">
        <v>0</v>
      </c>
      <c r="T377" t="s">
        <v>80</v>
      </c>
      <c r="U377" t="s">
        <v>80</v>
      </c>
      <c r="V377" t="s">
        <v>574</v>
      </c>
      <c r="W377" t="s">
        <v>574</v>
      </c>
      <c r="X377" t="s">
        <v>2603</v>
      </c>
      <c r="Y377" t="s">
        <v>2604</v>
      </c>
      <c r="Z377" t="s">
        <v>80</v>
      </c>
      <c r="AA377" t="s">
        <v>85</v>
      </c>
      <c r="AC377" t="s">
        <v>2605</v>
      </c>
      <c r="AD377" t="s">
        <v>87</v>
      </c>
      <c r="AG377" t="s">
        <v>2606</v>
      </c>
      <c r="AH377" t="s">
        <v>91</v>
      </c>
      <c r="AI377" t="s">
        <v>92</v>
      </c>
      <c r="AJ377" t="s">
        <v>131</v>
      </c>
      <c r="AK377" t="s">
        <v>2607</v>
      </c>
      <c r="AL377" t="s">
        <v>95</v>
      </c>
      <c r="AM377" t="s">
        <v>96</v>
      </c>
      <c r="AN377" t="s">
        <v>97</v>
      </c>
      <c r="AO377" t="s">
        <v>98</v>
      </c>
      <c r="AP377" t="s">
        <v>78</v>
      </c>
      <c r="AQ377" t="s">
        <v>99</v>
      </c>
      <c r="AS377" t="s">
        <v>78</v>
      </c>
      <c r="AT377" t="s">
        <v>100</v>
      </c>
      <c r="AU377" t="s">
        <v>100</v>
      </c>
      <c r="AW377" t="s">
        <v>85</v>
      </c>
      <c r="AX377" t="s">
        <v>101</v>
      </c>
      <c r="AY377" t="s">
        <v>102</v>
      </c>
      <c r="AZ377" t="s">
        <v>103</v>
      </c>
      <c r="BA377" t="s">
        <v>133</v>
      </c>
      <c r="BB377" t="s">
        <v>78</v>
      </c>
      <c r="BC377" t="s">
        <v>78</v>
      </c>
      <c r="BE377">
        <v>0</v>
      </c>
      <c r="BF377">
        <v>0</v>
      </c>
      <c r="BG377">
        <v>0</v>
      </c>
      <c r="BH377">
        <v>0</v>
      </c>
      <c r="BJ377" t="s">
        <v>85</v>
      </c>
      <c r="BP377" t="s">
        <v>78</v>
      </c>
      <c r="BQ377" t="s">
        <v>78</v>
      </c>
      <c r="BR377" t="s">
        <v>78</v>
      </c>
    </row>
    <row r="378" customFormat="1" spans="1:70">
      <c r="A378" t="s">
        <v>4253</v>
      </c>
      <c r="B378" t="s">
        <v>4253</v>
      </c>
      <c r="C378" t="s">
        <v>1050</v>
      </c>
      <c r="D378" t="s">
        <v>1189</v>
      </c>
      <c r="E378">
        <v>1</v>
      </c>
      <c r="F378" t="s">
        <v>3991</v>
      </c>
      <c r="G378" t="s">
        <v>1190</v>
      </c>
      <c r="H378">
        <v>129</v>
      </c>
      <c r="I378">
        <v>129</v>
      </c>
      <c r="J378">
        <v>0</v>
      </c>
      <c r="K378">
        <v>0</v>
      </c>
      <c r="L378" t="s">
        <v>78</v>
      </c>
      <c r="M378" t="s">
        <v>78</v>
      </c>
      <c r="N378" t="s">
        <v>78</v>
      </c>
      <c r="O378">
        <v>0</v>
      </c>
      <c r="P378">
        <v>0</v>
      </c>
      <c r="Q378">
        <v>0</v>
      </c>
      <c r="R378" t="s">
        <v>111</v>
      </c>
      <c r="S378">
        <v>0</v>
      </c>
      <c r="T378" t="s">
        <v>80</v>
      </c>
      <c r="U378" t="s">
        <v>80</v>
      </c>
      <c r="V378" t="s">
        <v>178</v>
      </c>
      <c r="W378" t="s">
        <v>178</v>
      </c>
      <c r="X378" t="s">
        <v>1302</v>
      </c>
      <c r="Y378" t="s">
        <v>1303</v>
      </c>
      <c r="Z378" t="s">
        <v>80</v>
      </c>
      <c r="AA378" t="s">
        <v>85</v>
      </c>
      <c r="AC378" t="s">
        <v>2609</v>
      </c>
      <c r="AD378" t="s">
        <v>87</v>
      </c>
      <c r="AH378" t="s">
        <v>2610</v>
      </c>
      <c r="AI378" t="s">
        <v>92</v>
      </c>
      <c r="AJ378" t="s">
        <v>131</v>
      </c>
      <c r="AK378" t="s">
        <v>2611</v>
      </c>
      <c r="AL378" t="s">
        <v>95</v>
      </c>
      <c r="AM378" t="s">
        <v>96</v>
      </c>
      <c r="AN378" t="s">
        <v>97</v>
      </c>
      <c r="AO378" t="s">
        <v>98</v>
      </c>
      <c r="AP378" t="s">
        <v>78</v>
      </c>
      <c r="AQ378" t="s">
        <v>78</v>
      </c>
      <c r="AR378" t="s">
        <v>353</v>
      </c>
      <c r="AS378" t="s">
        <v>78</v>
      </c>
      <c r="AT378" t="s">
        <v>100</v>
      </c>
      <c r="AU378" t="s">
        <v>100</v>
      </c>
      <c r="AW378" t="s">
        <v>85</v>
      </c>
      <c r="AX378" t="s">
        <v>103</v>
      </c>
      <c r="AY378" t="s">
        <v>159</v>
      </c>
      <c r="AZ378" t="s">
        <v>103</v>
      </c>
      <c r="BA378" t="s">
        <v>102</v>
      </c>
      <c r="BB378" t="s">
        <v>78</v>
      </c>
      <c r="BC378" t="s">
        <v>78</v>
      </c>
      <c r="BE378">
        <v>0</v>
      </c>
      <c r="BF378">
        <v>0</v>
      </c>
      <c r="BG378">
        <v>0</v>
      </c>
      <c r="BH378">
        <v>0</v>
      </c>
      <c r="BJ378" t="s">
        <v>85</v>
      </c>
      <c r="BP378" t="s">
        <v>78</v>
      </c>
      <c r="BQ378" t="s">
        <v>78</v>
      </c>
      <c r="BR378" t="s">
        <v>78</v>
      </c>
    </row>
    <row r="379" customFormat="1" spans="1:70">
      <c r="A379" t="s">
        <v>4254</v>
      </c>
      <c r="B379" t="s">
        <v>4254</v>
      </c>
      <c r="C379" t="s">
        <v>1050</v>
      </c>
      <c r="D379" t="s">
        <v>1377</v>
      </c>
      <c r="E379">
        <v>1</v>
      </c>
      <c r="F379" t="s">
        <v>3991</v>
      </c>
      <c r="G379" t="s">
        <v>1378</v>
      </c>
      <c r="H379">
        <v>129</v>
      </c>
      <c r="I379">
        <v>129</v>
      </c>
      <c r="J379">
        <v>0</v>
      </c>
      <c r="K379">
        <v>0</v>
      </c>
      <c r="L379" t="s">
        <v>78</v>
      </c>
      <c r="M379" t="s">
        <v>78</v>
      </c>
      <c r="N379" t="s">
        <v>78</v>
      </c>
      <c r="O379">
        <v>0</v>
      </c>
      <c r="P379">
        <v>0</v>
      </c>
      <c r="Q379">
        <v>0</v>
      </c>
      <c r="R379" t="s">
        <v>111</v>
      </c>
      <c r="S379">
        <v>0</v>
      </c>
      <c r="T379" t="s">
        <v>80</v>
      </c>
      <c r="U379" t="s">
        <v>80</v>
      </c>
      <c r="V379" t="s">
        <v>221</v>
      </c>
      <c r="W379" t="s">
        <v>336</v>
      </c>
      <c r="X379" t="s">
        <v>2613</v>
      </c>
      <c r="Y379" t="s">
        <v>2614</v>
      </c>
      <c r="Z379" t="s">
        <v>80</v>
      </c>
      <c r="AA379" t="s">
        <v>85</v>
      </c>
      <c r="AC379" t="s">
        <v>2615</v>
      </c>
      <c r="AD379" t="s">
        <v>87</v>
      </c>
      <c r="AH379" t="s">
        <v>183</v>
      </c>
      <c r="AI379" t="s">
        <v>92</v>
      </c>
      <c r="AJ379" t="s">
        <v>131</v>
      </c>
      <c r="AK379" t="s">
        <v>2616</v>
      </c>
      <c r="AL379" t="s">
        <v>95</v>
      </c>
      <c r="AM379" t="s">
        <v>96</v>
      </c>
      <c r="AN379" t="s">
        <v>97</v>
      </c>
      <c r="AO379" t="s">
        <v>98</v>
      </c>
      <c r="AP379" t="s">
        <v>78</v>
      </c>
      <c r="AQ379" t="s">
        <v>78</v>
      </c>
      <c r="AR379" t="s">
        <v>353</v>
      </c>
      <c r="AS379" t="s">
        <v>78</v>
      </c>
      <c r="AT379" t="s">
        <v>100</v>
      </c>
      <c r="AU379" t="s">
        <v>100</v>
      </c>
      <c r="AW379" t="s">
        <v>85</v>
      </c>
      <c r="AX379" t="s">
        <v>103</v>
      </c>
      <c r="AY379" t="s">
        <v>159</v>
      </c>
      <c r="AZ379" t="s">
        <v>103</v>
      </c>
      <c r="BA379" t="s">
        <v>185</v>
      </c>
      <c r="BB379" t="s">
        <v>78</v>
      </c>
      <c r="BC379" t="s">
        <v>78</v>
      </c>
      <c r="BE379">
        <v>0</v>
      </c>
      <c r="BF379">
        <v>0</v>
      </c>
      <c r="BG379">
        <v>0</v>
      </c>
      <c r="BH379">
        <v>0</v>
      </c>
      <c r="BJ379" t="s">
        <v>85</v>
      </c>
      <c r="BP379" t="s">
        <v>78</v>
      </c>
      <c r="BQ379" t="s">
        <v>78</v>
      </c>
      <c r="BR379" t="s">
        <v>78</v>
      </c>
    </row>
    <row r="380" customFormat="1" spans="1:70">
      <c r="A380" t="s">
        <v>4255</v>
      </c>
      <c r="B380" t="s">
        <v>4255</v>
      </c>
      <c r="C380" t="s">
        <v>1050</v>
      </c>
      <c r="D380" t="s">
        <v>1377</v>
      </c>
      <c r="E380">
        <v>1</v>
      </c>
      <c r="F380" t="s">
        <v>3991</v>
      </c>
      <c r="G380" t="s">
        <v>1378</v>
      </c>
      <c r="H380">
        <v>129</v>
      </c>
      <c r="I380">
        <v>129</v>
      </c>
      <c r="J380">
        <v>0</v>
      </c>
      <c r="K380">
        <v>0</v>
      </c>
      <c r="L380" t="s">
        <v>78</v>
      </c>
      <c r="M380" t="s">
        <v>78</v>
      </c>
      <c r="N380" t="s">
        <v>78</v>
      </c>
      <c r="O380">
        <v>0</v>
      </c>
      <c r="P380">
        <v>0</v>
      </c>
      <c r="Q380">
        <v>0</v>
      </c>
      <c r="R380" t="s">
        <v>125</v>
      </c>
      <c r="S380">
        <v>0</v>
      </c>
      <c r="T380" t="s">
        <v>80</v>
      </c>
      <c r="U380" t="s">
        <v>80</v>
      </c>
      <c r="V380" t="s">
        <v>221</v>
      </c>
      <c r="W380" t="s">
        <v>336</v>
      </c>
      <c r="X380" t="s">
        <v>2613</v>
      </c>
      <c r="Y380" t="s">
        <v>2614</v>
      </c>
      <c r="Z380" t="s">
        <v>80</v>
      </c>
      <c r="AA380" t="s">
        <v>85</v>
      </c>
      <c r="AC380" t="s">
        <v>2618</v>
      </c>
      <c r="AD380" t="s">
        <v>87</v>
      </c>
      <c r="AH380" t="s">
        <v>183</v>
      </c>
      <c r="AI380" t="s">
        <v>92</v>
      </c>
      <c r="AJ380" t="s">
        <v>131</v>
      </c>
      <c r="AK380" t="s">
        <v>2619</v>
      </c>
      <c r="AL380" t="s">
        <v>95</v>
      </c>
      <c r="AM380" t="s">
        <v>96</v>
      </c>
      <c r="AN380" t="s">
        <v>97</v>
      </c>
      <c r="AO380" t="s">
        <v>98</v>
      </c>
      <c r="AP380" t="s">
        <v>78</v>
      </c>
      <c r="AQ380" t="s">
        <v>78</v>
      </c>
      <c r="AR380" t="s">
        <v>353</v>
      </c>
      <c r="AS380" t="s">
        <v>78</v>
      </c>
      <c r="AT380" t="s">
        <v>100</v>
      </c>
      <c r="AU380" t="s">
        <v>100</v>
      </c>
      <c r="AW380" t="s">
        <v>85</v>
      </c>
      <c r="AX380" t="s">
        <v>103</v>
      </c>
      <c r="AY380" t="s">
        <v>159</v>
      </c>
      <c r="AZ380" t="s">
        <v>103</v>
      </c>
      <c r="BA380" t="s">
        <v>185</v>
      </c>
      <c r="BB380" t="s">
        <v>78</v>
      </c>
      <c r="BC380" t="s">
        <v>78</v>
      </c>
      <c r="BE380">
        <v>0</v>
      </c>
      <c r="BF380">
        <v>0</v>
      </c>
      <c r="BG380">
        <v>0</v>
      </c>
      <c r="BH380">
        <v>0</v>
      </c>
      <c r="BJ380" t="s">
        <v>85</v>
      </c>
      <c r="BP380" t="s">
        <v>78</v>
      </c>
      <c r="BQ380" t="s">
        <v>78</v>
      </c>
      <c r="BR380" t="s">
        <v>78</v>
      </c>
    </row>
    <row r="381" customFormat="1" spans="1:70">
      <c r="A381" t="s">
        <v>4256</v>
      </c>
      <c r="B381" t="s">
        <v>4256</v>
      </c>
      <c r="C381" t="s">
        <v>107</v>
      </c>
      <c r="D381" t="s">
        <v>135</v>
      </c>
      <c r="E381">
        <v>1</v>
      </c>
      <c r="F381" t="s">
        <v>3857</v>
      </c>
      <c r="G381" t="s">
        <v>136</v>
      </c>
      <c r="H381">
        <v>289</v>
      </c>
      <c r="I381">
        <v>289</v>
      </c>
      <c r="J381">
        <v>0</v>
      </c>
      <c r="K381">
        <v>0</v>
      </c>
      <c r="L381" t="s">
        <v>78</v>
      </c>
      <c r="M381" t="s">
        <v>78</v>
      </c>
      <c r="N381" t="s">
        <v>78</v>
      </c>
      <c r="O381">
        <v>0</v>
      </c>
      <c r="P381">
        <v>0</v>
      </c>
      <c r="Q381">
        <v>0</v>
      </c>
      <c r="R381" t="s">
        <v>125</v>
      </c>
      <c r="S381">
        <v>0</v>
      </c>
      <c r="T381" t="s">
        <v>80</v>
      </c>
      <c r="U381" t="s">
        <v>80</v>
      </c>
      <c r="V381" t="s">
        <v>239</v>
      </c>
      <c r="W381" t="s">
        <v>263</v>
      </c>
      <c r="X381" t="s">
        <v>2621</v>
      </c>
      <c r="Y381" t="s">
        <v>78</v>
      </c>
      <c r="Z381" t="s">
        <v>80</v>
      </c>
      <c r="AA381" t="s">
        <v>85</v>
      </c>
      <c r="AC381" t="s">
        <v>2622</v>
      </c>
      <c r="AD381" t="s">
        <v>87</v>
      </c>
      <c r="AF381" t="s">
        <v>2623</v>
      </c>
      <c r="AG381" t="s">
        <v>2624</v>
      </c>
      <c r="AH381" t="s">
        <v>91</v>
      </c>
      <c r="AI381" t="s">
        <v>92</v>
      </c>
      <c r="AJ381" t="s">
        <v>93</v>
      </c>
      <c r="AK381" t="s">
        <v>2625</v>
      </c>
      <c r="AL381" t="s">
        <v>95</v>
      </c>
      <c r="AM381" t="s">
        <v>96</v>
      </c>
      <c r="AN381" t="s">
        <v>97</v>
      </c>
      <c r="AO381" t="s">
        <v>98</v>
      </c>
      <c r="AP381" t="s">
        <v>78</v>
      </c>
      <c r="AQ381" t="s">
        <v>78</v>
      </c>
      <c r="AS381" t="s">
        <v>78</v>
      </c>
      <c r="AT381" t="s">
        <v>100</v>
      </c>
      <c r="AU381" t="s">
        <v>100</v>
      </c>
      <c r="AW381" t="s">
        <v>85</v>
      </c>
      <c r="AX381" t="s">
        <v>101</v>
      </c>
      <c r="AY381" t="s">
        <v>102</v>
      </c>
      <c r="AZ381" t="s">
        <v>103</v>
      </c>
      <c r="BA381" t="s">
        <v>104</v>
      </c>
      <c r="BB381" t="s">
        <v>78</v>
      </c>
      <c r="BC381" t="s">
        <v>78</v>
      </c>
      <c r="BD381" t="s">
        <v>1878</v>
      </c>
      <c r="BE381">
        <v>0</v>
      </c>
      <c r="BF381">
        <v>0</v>
      </c>
      <c r="BG381">
        <v>0</v>
      </c>
      <c r="BH381">
        <v>0</v>
      </c>
      <c r="BJ381" t="s">
        <v>85</v>
      </c>
      <c r="BP381" t="s">
        <v>78</v>
      </c>
      <c r="BQ381" t="s">
        <v>78</v>
      </c>
      <c r="BR381" t="s">
        <v>78</v>
      </c>
    </row>
    <row r="382" customFormat="1" spans="1:70">
      <c r="A382" t="s">
        <v>4257</v>
      </c>
      <c r="B382" t="s">
        <v>4257</v>
      </c>
      <c r="C382" t="s">
        <v>2225</v>
      </c>
      <c r="D382" t="s">
        <v>123</v>
      </c>
      <c r="E382">
        <v>1</v>
      </c>
      <c r="F382" t="s">
        <v>4184</v>
      </c>
      <c r="G382" t="s">
        <v>2334</v>
      </c>
      <c r="H382">
        <v>499</v>
      </c>
      <c r="I382">
        <v>499</v>
      </c>
      <c r="J382">
        <v>0</v>
      </c>
      <c r="K382">
        <v>0</v>
      </c>
      <c r="L382" t="s">
        <v>78</v>
      </c>
      <c r="M382" t="s">
        <v>78</v>
      </c>
      <c r="N382" t="s">
        <v>78</v>
      </c>
      <c r="O382">
        <v>0</v>
      </c>
      <c r="P382">
        <v>0</v>
      </c>
      <c r="Q382">
        <v>0</v>
      </c>
      <c r="R382" t="s">
        <v>125</v>
      </c>
      <c r="S382">
        <v>0</v>
      </c>
      <c r="T382" t="s">
        <v>80</v>
      </c>
      <c r="U382" t="s">
        <v>80</v>
      </c>
      <c r="V382" t="s">
        <v>271</v>
      </c>
      <c r="W382" t="s">
        <v>272</v>
      </c>
      <c r="X382" t="s">
        <v>2627</v>
      </c>
      <c r="Y382" t="s">
        <v>2628</v>
      </c>
      <c r="Z382" t="s">
        <v>80</v>
      </c>
      <c r="AA382" t="s">
        <v>85</v>
      </c>
      <c r="AC382" t="s">
        <v>2629</v>
      </c>
      <c r="AD382" t="s">
        <v>202</v>
      </c>
      <c r="AE382" t="s">
        <v>2630</v>
      </c>
      <c r="AF382" t="s">
        <v>2631</v>
      </c>
      <c r="AG382" t="s">
        <v>2632</v>
      </c>
      <c r="AH382" t="s">
        <v>227</v>
      </c>
      <c r="AI382" t="s">
        <v>92</v>
      </c>
      <c r="AJ382" t="s">
        <v>93</v>
      </c>
      <c r="AK382" t="s">
        <v>2633</v>
      </c>
      <c r="AL382" t="s">
        <v>95</v>
      </c>
      <c r="AM382" t="s">
        <v>96</v>
      </c>
      <c r="AN382" t="s">
        <v>97</v>
      </c>
      <c r="AO382" t="s">
        <v>98</v>
      </c>
      <c r="AP382" t="s">
        <v>78</v>
      </c>
      <c r="AQ382" t="s">
        <v>99</v>
      </c>
      <c r="AS382" t="s">
        <v>78</v>
      </c>
      <c r="AT382" t="s">
        <v>100</v>
      </c>
      <c r="AU382" t="s">
        <v>100</v>
      </c>
      <c r="AW382" t="s">
        <v>85</v>
      </c>
      <c r="AX382" t="s">
        <v>101</v>
      </c>
      <c r="AY382" t="s">
        <v>102</v>
      </c>
      <c r="AZ382" t="s">
        <v>103</v>
      </c>
      <c r="BA382" t="s">
        <v>120</v>
      </c>
      <c r="BB382" t="s">
        <v>78</v>
      </c>
      <c r="BC382" t="s">
        <v>78</v>
      </c>
      <c r="BD382" t="s">
        <v>2634</v>
      </c>
      <c r="BE382">
        <v>0</v>
      </c>
      <c r="BF382">
        <v>0</v>
      </c>
      <c r="BG382">
        <v>0</v>
      </c>
      <c r="BH382">
        <v>0</v>
      </c>
      <c r="BJ382" t="s">
        <v>85</v>
      </c>
      <c r="BP382" t="s">
        <v>78</v>
      </c>
      <c r="BQ382" t="s">
        <v>78</v>
      </c>
      <c r="BR382" t="s">
        <v>78</v>
      </c>
    </row>
    <row r="383" customFormat="1" spans="1:70">
      <c r="A383" t="s">
        <v>4258</v>
      </c>
      <c r="B383" t="s">
        <v>4258</v>
      </c>
      <c r="C383" t="s">
        <v>2225</v>
      </c>
      <c r="D383" t="s">
        <v>135</v>
      </c>
      <c r="E383">
        <v>1</v>
      </c>
      <c r="F383" t="s">
        <v>4184</v>
      </c>
      <c r="G383" t="s">
        <v>2236</v>
      </c>
      <c r="H383">
        <v>499</v>
      </c>
      <c r="I383">
        <v>499</v>
      </c>
      <c r="J383">
        <v>0</v>
      </c>
      <c r="K383">
        <v>0</v>
      </c>
      <c r="L383" t="s">
        <v>78</v>
      </c>
      <c r="M383" t="s">
        <v>78</v>
      </c>
      <c r="N383" t="s">
        <v>78</v>
      </c>
      <c r="O383">
        <v>0</v>
      </c>
      <c r="P383">
        <v>0</v>
      </c>
      <c r="Q383">
        <v>0</v>
      </c>
      <c r="R383" t="s">
        <v>125</v>
      </c>
      <c r="S383">
        <v>0</v>
      </c>
      <c r="T383" t="s">
        <v>80</v>
      </c>
      <c r="U383" t="s">
        <v>80</v>
      </c>
      <c r="V383" t="s">
        <v>126</v>
      </c>
      <c r="W383" t="s">
        <v>2636</v>
      </c>
      <c r="X383" t="s">
        <v>2637</v>
      </c>
      <c r="Y383" t="s">
        <v>2638</v>
      </c>
      <c r="Z383" t="s">
        <v>80</v>
      </c>
      <c r="AA383" t="s">
        <v>85</v>
      </c>
      <c r="AC383" t="s">
        <v>2639</v>
      </c>
      <c r="AD383" t="s">
        <v>87</v>
      </c>
      <c r="AG383" t="s">
        <v>2640</v>
      </c>
      <c r="AH383" t="s">
        <v>91</v>
      </c>
      <c r="AI383" t="s">
        <v>92</v>
      </c>
      <c r="AJ383" t="s">
        <v>131</v>
      </c>
      <c r="AK383" t="s">
        <v>2641</v>
      </c>
      <c r="AL383" t="s">
        <v>95</v>
      </c>
      <c r="AM383" t="s">
        <v>96</v>
      </c>
      <c r="AN383" t="s">
        <v>97</v>
      </c>
      <c r="AO383" t="s">
        <v>98</v>
      </c>
      <c r="AP383" t="s">
        <v>78</v>
      </c>
      <c r="AQ383" t="s">
        <v>99</v>
      </c>
      <c r="AS383" t="s">
        <v>78</v>
      </c>
      <c r="AT383" t="s">
        <v>100</v>
      </c>
      <c r="AU383" t="s">
        <v>100</v>
      </c>
      <c r="AW383" t="s">
        <v>85</v>
      </c>
      <c r="AX383" t="s">
        <v>103</v>
      </c>
      <c r="AY383" t="s">
        <v>159</v>
      </c>
      <c r="AZ383" t="s">
        <v>103</v>
      </c>
      <c r="BA383" t="s">
        <v>133</v>
      </c>
      <c r="BB383" t="s">
        <v>78</v>
      </c>
      <c r="BC383" t="s">
        <v>78</v>
      </c>
      <c r="BE383">
        <v>0</v>
      </c>
      <c r="BF383">
        <v>0</v>
      </c>
      <c r="BG383">
        <v>0</v>
      </c>
      <c r="BH383">
        <v>0</v>
      </c>
      <c r="BJ383" t="s">
        <v>85</v>
      </c>
      <c r="BP383" t="s">
        <v>78</v>
      </c>
      <c r="BQ383" t="s">
        <v>78</v>
      </c>
      <c r="BR383" t="s">
        <v>78</v>
      </c>
    </row>
    <row r="384" customFormat="1" spans="1:70">
      <c r="A384" t="s">
        <v>4259</v>
      </c>
      <c r="B384" t="s">
        <v>4259</v>
      </c>
      <c r="C384" t="s">
        <v>2225</v>
      </c>
      <c r="D384" t="s">
        <v>108</v>
      </c>
      <c r="E384">
        <v>1</v>
      </c>
      <c r="F384" t="s">
        <v>4184</v>
      </c>
      <c r="G384" t="s">
        <v>2227</v>
      </c>
      <c r="H384">
        <v>499</v>
      </c>
      <c r="I384">
        <v>499</v>
      </c>
      <c r="J384">
        <v>0</v>
      </c>
      <c r="K384">
        <v>0</v>
      </c>
      <c r="L384" t="s">
        <v>78</v>
      </c>
      <c r="M384" t="s">
        <v>78</v>
      </c>
      <c r="N384" t="s">
        <v>78</v>
      </c>
      <c r="O384">
        <v>0</v>
      </c>
      <c r="P384">
        <v>0</v>
      </c>
      <c r="Q384">
        <v>0</v>
      </c>
      <c r="R384" t="s">
        <v>79</v>
      </c>
      <c r="S384">
        <v>0</v>
      </c>
      <c r="T384" t="s">
        <v>80</v>
      </c>
      <c r="U384" t="s">
        <v>80</v>
      </c>
      <c r="V384" t="s">
        <v>574</v>
      </c>
      <c r="W384" t="s">
        <v>574</v>
      </c>
      <c r="X384" t="s">
        <v>575</v>
      </c>
      <c r="Y384" t="s">
        <v>2643</v>
      </c>
      <c r="Z384" t="s">
        <v>80</v>
      </c>
      <c r="AA384" t="s">
        <v>85</v>
      </c>
      <c r="AC384" t="s">
        <v>2644</v>
      </c>
      <c r="AD384" t="s">
        <v>87</v>
      </c>
      <c r="AG384" t="s">
        <v>2645</v>
      </c>
      <c r="AH384" t="s">
        <v>91</v>
      </c>
      <c r="AI384" t="s">
        <v>92</v>
      </c>
      <c r="AJ384" t="s">
        <v>131</v>
      </c>
      <c r="AK384" t="s">
        <v>2646</v>
      </c>
      <c r="AL384" t="s">
        <v>95</v>
      </c>
      <c r="AM384" t="s">
        <v>96</v>
      </c>
      <c r="AN384" t="s">
        <v>97</v>
      </c>
      <c r="AO384" t="s">
        <v>98</v>
      </c>
      <c r="AP384" t="s">
        <v>78</v>
      </c>
      <c r="AQ384" t="s">
        <v>99</v>
      </c>
      <c r="AS384" t="s">
        <v>78</v>
      </c>
      <c r="AT384" t="s">
        <v>100</v>
      </c>
      <c r="AU384" t="s">
        <v>100</v>
      </c>
      <c r="AW384" t="s">
        <v>85</v>
      </c>
      <c r="AX384" t="s">
        <v>101</v>
      </c>
      <c r="AY384" t="s">
        <v>102</v>
      </c>
      <c r="AZ384" t="s">
        <v>103</v>
      </c>
      <c r="BA384" t="s">
        <v>120</v>
      </c>
      <c r="BB384" t="s">
        <v>78</v>
      </c>
      <c r="BC384" t="s">
        <v>78</v>
      </c>
      <c r="BE384">
        <v>0</v>
      </c>
      <c r="BF384">
        <v>0</v>
      </c>
      <c r="BG384">
        <v>0</v>
      </c>
      <c r="BH384">
        <v>0</v>
      </c>
      <c r="BJ384" t="s">
        <v>85</v>
      </c>
      <c r="BP384" t="s">
        <v>78</v>
      </c>
      <c r="BQ384" t="s">
        <v>78</v>
      </c>
      <c r="BR384" t="s">
        <v>78</v>
      </c>
    </row>
    <row r="385" customFormat="1" spans="1:70">
      <c r="A385" t="s">
        <v>4260</v>
      </c>
      <c r="B385" t="s">
        <v>4260</v>
      </c>
      <c r="C385" t="s">
        <v>2225</v>
      </c>
      <c r="D385" t="s">
        <v>135</v>
      </c>
      <c r="E385">
        <v>1</v>
      </c>
      <c r="F385" t="s">
        <v>4184</v>
      </c>
      <c r="G385" t="s">
        <v>2236</v>
      </c>
      <c r="H385">
        <v>499</v>
      </c>
      <c r="I385">
        <v>499</v>
      </c>
      <c r="J385">
        <v>0</v>
      </c>
      <c r="K385">
        <v>0</v>
      </c>
      <c r="L385" t="s">
        <v>78</v>
      </c>
      <c r="M385" t="s">
        <v>78</v>
      </c>
      <c r="N385" t="s">
        <v>78</v>
      </c>
      <c r="O385">
        <v>0</v>
      </c>
      <c r="P385">
        <v>0</v>
      </c>
      <c r="Q385">
        <v>0</v>
      </c>
      <c r="R385" t="s">
        <v>111</v>
      </c>
      <c r="S385">
        <v>0</v>
      </c>
      <c r="T385" t="s">
        <v>80</v>
      </c>
      <c r="U385" t="s">
        <v>80</v>
      </c>
      <c r="V385" t="s">
        <v>161</v>
      </c>
      <c r="W385" t="s">
        <v>161</v>
      </c>
      <c r="X385" t="s">
        <v>1243</v>
      </c>
      <c r="Y385" t="s">
        <v>1580</v>
      </c>
      <c r="Z385" t="s">
        <v>80</v>
      </c>
      <c r="AA385" t="s">
        <v>85</v>
      </c>
      <c r="AC385" t="s">
        <v>2648</v>
      </c>
      <c r="AD385" t="s">
        <v>202</v>
      </c>
      <c r="AE385" t="s">
        <v>2649</v>
      </c>
      <c r="AG385" t="s">
        <v>2645</v>
      </c>
      <c r="AH385" t="s">
        <v>91</v>
      </c>
      <c r="AI385" t="s">
        <v>92</v>
      </c>
      <c r="AJ385" t="s">
        <v>131</v>
      </c>
      <c r="AK385" t="s">
        <v>2646</v>
      </c>
      <c r="AL385" t="s">
        <v>95</v>
      </c>
      <c r="AM385" t="s">
        <v>96</v>
      </c>
      <c r="AN385" t="s">
        <v>97</v>
      </c>
      <c r="AO385" t="s">
        <v>98</v>
      </c>
      <c r="AP385" t="s">
        <v>78</v>
      </c>
      <c r="AQ385" t="s">
        <v>99</v>
      </c>
      <c r="AS385" t="s">
        <v>78</v>
      </c>
      <c r="AT385" t="s">
        <v>100</v>
      </c>
      <c r="AU385" t="s">
        <v>100</v>
      </c>
      <c r="AW385" t="s">
        <v>85</v>
      </c>
      <c r="AX385" t="s">
        <v>103</v>
      </c>
      <c r="AY385" t="s">
        <v>159</v>
      </c>
      <c r="AZ385" t="s">
        <v>103</v>
      </c>
      <c r="BA385" t="s">
        <v>104</v>
      </c>
      <c r="BB385" t="s">
        <v>78</v>
      </c>
      <c r="BC385" t="s">
        <v>78</v>
      </c>
      <c r="BD385" t="s">
        <v>2650</v>
      </c>
      <c r="BE385">
        <v>0</v>
      </c>
      <c r="BF385">
        <v>0</v>
      </c>
      <c r="BG385">
        <v>0</v>
      </c>
      <c r="BH385">
        <v>0</v>
      </c>
      <c r="BJ385" t="s">
        <v>85</v>
      </c>
      <c r="BP385" t="s">
        <v>78</v>
      </c>
      <c r="BQ385" t="s">
        <v>78</v>
      </c>
      <c r="BR385" t="s">
        <v>78</v>
      </c>
    </row>
    <row r="386" customFormat="1" spans="1:70">
      <c r="A386" t="s">
        <v>4261</v>
      </c>
      <c r="B386" t="s">
        <v>4261</v>
      </c>
      <c r="C386" t="s">
        <v>2225</v>
      </c>
      <c r="D386" t="s">
        <v>123</v>
      </c>
      <c r="E386">
        <v>1</v>
      </c>
      <c r="F386" t="s">
        <v>4184</v>
      </c>
      <c r="G386" t="s">
        <v>2334</v>
      </c>
      <c r="H386">
        <v>499</v>
      </c>
      <c r="I386">
        <v>499</v>
      </c>
      <c r="J386">
        <v>0</v>
      </c>
      <c r="K386">
        <v>0</v>
      </c>
      <c r="L386" t="s">
        <v>78</v>
      </c>
      <c r="M386" t="s">
        <v>78</v>
      </c>
      <c r="N386" t="s">
        <v>78</v>
      </c>
      <c r="O386">
        <v>0</v>
      </c>
      <c r="P386">
        <v>0</v>
      </c>
      <c r="Q386">
        <v>0</v>
      </c>
      <c r="R386" t="s">
        <v>111</v>
      </c>
      <c r="S386">
        <v>0</v>
      </c>
      <c r="T386" t="s">
        <v>80</v>
      </c>
      <c r="U386" t="s">
        <v>80</v>
      </c>
      <c r="V386" t="s">
        <v>347</v>
      </c>
      <c r="W386" t="s">
        <v>2652</v>
      </c>
      <c r="X386" t="s">
        <v>2653</v>
      </c>
      <c r="Y386" t="s">
        <v>78</v>
      </c>
      <c r="Z386" t="s">
        <v>80</v>
      </c>
      <c r="AA386" t="s">
        <v>85</v>
      </c>
      <c r="AC386" t="s">
        <v>2654</v>
      </c>
      <c r="AD386" t="s">
        <v>87</v>
      </c>
      <c r="AF386" t="s">
        <v>2655</v>
      </c>
      <c r="AG386" t="s">
        <v>2656</v>
      </c>
      <c r="AH386" t="s">
        <v>91</v>
      </c>
      <c r="AI386" t="s">
        <v>92</v>
      </c>
      <c r="AJ386" t="s">
        <v>93</v>
      </c>
      <c r="AK386" t="s">
        <v>2657</v>
      </c>
      <c r="AL386" t="s">
        <v>95</v>
      </c>
      <c r="AM386" t="s">
        <v>96</v>
      </c>
      <c r="AN386" t="s">
        <v>97</v>
      </c>
      <c r="AO386" t="s">
        <v>98</v>
      </c>
      <c r="AP386" t="s">
        <v>78</v>
      </c>
      <c r="AQ386" t="s">
        <v>78</v>
      </c>
      <c r="AS386" t="s">
        <v>78</v>
      </c>
      <c r="AT386" t="s">
        <v>100</v>
      </c>
      <c r="AU386" t="s">
        <v>100</v>
      </c>
      <c r="AW386" t="s">
        <v>85</v>
      </c>
      <c r="AX386" t="s">
        <v>103</v>
      </c>
      <c r="AY386" t="s">
        <v>159</v>
      </c>
      <c r="AZ386" t="s">
        <v>103</v>
      </c>
      <c r="BA386" t="s">
        <v>419</v>
      </c>
      <c r="BB386" t="s">
        <v>78</v>
      </c>
      <c r="BC386" t="s">
        <v>78</v>
      </c>
      <c r="BD386" t="s">
        <v>2658</v>
      </c>
      <c r="BE386">
        <v>0</v>
      </c>
      <c r="BF386">
        <v>0</v>
      </c>
      <c r="BG386">
        <v>0</v>
      </c>
      <c r="BH386">
        <v>0</v>
      </c>
      <c r="BJ386" t="s">
        <v>85</v>
      </c>
      <c r="BP386" t="s">
        <v>78</v>
      </c>
      <c r="BQ386" t="s">
        <v>78</v>
      </c>
      <c r="BR386" t="s">
        <v>78</v>
      </c>
    </row>
    <row r="387" customFormat="1" spans="1:70">
      <c r="A387" t="s">
        <v>4262</v>
      </c>
      <c r="B387" t="s">
        <v>4262</v>
      </c>
      <c r="C387" t="s">
        <v>2225</v>
      </c>
      <c r="D387" t="s">
        <v>135</v>
      </c>
      <c r="E387">
        <v>1</v>
      </c>
      <c r="F387" t="s">
        <v>4184</v>
      </c>
      <c r="G387" t="s">
        <v>2236</v>
      </c>
      <c r="H387">
        <v>499</v>
      </c>
      <c r="I387">
        <v>499</v>
      </c>
      <c r="J387">
        <v>0</v>
      </c>
      <c r="K387">
        <v>0</v>
      </c>
      <c r="L387" t="s">
        <v>78</v>
      </c>
      <c r="M387" t="s">
        <v>78</v>
      </c>
      <c r="N387" t="s">
        <v>78</v>
      </c>
      <c r="O387">
        <v>0</v>
      </c>
      <c r="P387">
        <v>0</v>
      </c>
      <c r="Q387">
        <v>0</v>
      </c>
      <c r="R387" t="s">
        <v>111</v>
      </c>
      <c r="S387">
        <v>0</v>
      </c>
      <c r="T387" t="s">
        <v>80</v>
      </c>
      <c r="U387" t="s">
        <v>80</v>
      </c>
      <c r="V387" t="s">
        <v>509</v>
      </c>
      <c r="W387" t="s">
        <v>1696</v>
      </c>
      <c r="X387" t="s">
        <v>1888</v>
      </c>
      <c r="Y387" t="s">
        <v>1889</v>
      </c>
      <c r="Z387" t="s">
        <v>80</v>
      </c>
      <c r="AA387" t="s">
        <v>85</v>
      </c>
      <c r="AC387" t="s">
        <v>2660</v>
      </c>
      <c r="AD387" t="s">
        <v>202</v>
      </c>
      <c r="AE387" t="s">
        <v>2661</v>
      </c>
      <c r="AG387" t="s">
        <v>2662</v>
      </c>
      <c r="AH387" t="s">
        <v>91</v>
      </c>
      <c r="AI387" t="s">
        <v>92</v>
      </c>
      <c r="AJ387" t="s">
        <v>131</v>
      </c>
      <c r="AK387" t="s">
        <v>2663</v>
      </c>
      <c r="AL387" t="s">
        <v>95</v>
      </c>
      <c r="AM387" t="s">
        <v>96</v>
      </c>
      <c r="AN387" t="s">
        <v>97</v>
      </c>
      <c r="AO387" t="s">
        <v>98</v>
      </c>
      <c r="AP387" t="s">
        <v>78</v>
      </c>
      <c r="AQ387" t="s">
        <v>99</v>
      </c>
      <c r="AS387" t="s">
        <v>78</v>
      </c>
      <c r="AT387" t="s">
        <v>100</v>
      </c>
      <c r="AU387" t="s">
        <v>100</v>
      </c>
      <c r="AW387" t="s">
        <v>85</v>
      </c>
      <c r="AX387" t="s">
        <v>101</v>
      </c>
      <c r="AY387" t="s">
        <v>102</v>
      </c>
      <c r="AZ387" t="s">
        <v>103</v>
      </c>
      <c r="BA387" t="s">
        <v>104</v>
      </c>
      <c r="BB387" t="s">
        <v>78</v>
      </c>
      <c r="BC387" t="s">
        <v>78</v>
      </c>
      <c r="BD387" t="s">
        <v>2664</v>
      </c>
      <c r="BE387">
        <v>0</v>
      </c>
      <c r="BF387">
        <v>0</v>
      </c>
      <c r="BG387">
        <v>0</v>
      </c>
      <c r="BH387">
        <v>0</v>
      </c>
      <c r="BJ387" t="s">
        <v>85</v>
      </c>
      <c r="BP387" t="s">
        <v>78</v>
      </c>
      <c r="BQ387" t="s">
        <v>78</v>
      </c>
      <c r="BR387" t="s">
        <v>78</v>
      </c>
    </row>
    <row r="388" customFormat="1" spans="1:70">
      <c r="A388" t="s">
        <v>4263</v>
      </c>
      <c r="B388" t="s">
        <v>4263</v>
      </c>
      <c r="C388" t="s">
        <v>2225</v>
      </c>
      <c r="D388" t="s">
        <v>135</v>
      </c>
      <c r="E388">
        <v>1</v>
      </c>
      <c r="F388" t="s">
        <v>4184</v>
      </c>
      <c r="G388" t="s">
        <v>2236</v>
      </c>
      <c r="H388">
        <v>499</v>
      </c>
      <c r="I388">
        <v>499</v>
      </c>
      <c r="J388">
        <v>0</v>
      </c>
      <c r="K388">
        <v>0</v>
      </c>
      <c r="L388" t="s">
        <v>78</v>
      </c>
      <c r="M388" t="s">
        <v>78</v>
      </c>
      <c r="N388" t="s">
        <v>78</v>
      </c>
      <c r="O388">
        <v>0</v>
      </c>
      <c r="P388">
        <v>0</v>
      </c>
      <c r="Q388">
        <v>0</v>
      </c>
      <c r="R388" t="s">
        <v>111</v>
      </c>
      <c r="S388">
        <v>0</v>
      </c>
      <c r="T388" t="s">
        <v>80</v>
      </c>
      <c r="U388" t="s">
        <v>80</v>
      </c>
      <c r="V388" t="s">
        <v>302</v>
      </c>
      <c r="W388" t="s">
        <v>303</v>
      </c>
      <c r="X388" t="s">
        <v>310</v>
      </c>
      <c r="Y388" t="s">
        <v>311</v>
      </c>
      <c r="Z388" t="s">
        <v>80</v>
      </c>
      <c r="AA388" t="s">
        <v>85</v>
      </c>
      <c r="AC388" t="s">
        <v>2666</v>
      </c>
      <c r="AD388" t="s">
        <v>202</v>
      </c>
      <c r="AE388" t="s">
        <v>2667</v>
      </c>
      <c r="AG388" t="s">
        <v>2660</v>
      </c>
      <c r="AH388" t="s">
        <v>91</v>
      </c>
      <c r="AI388" t="s">
        <v>92</v>
      </c>
      <c r="AJ388" t="s">
        <v>131</v>
      </c>
      <c r="AK388" t="s">
        <v>2668</v>
      </c>
      <c r="AL388" t="s">
        <v>95</v>
      </c>
      <c r="AM388" t="s">
        <v>96</v>
      </c>
      <c r="AN388" t="s">
        <v>97</v>
      </c>
      <c r="AO388" t="s">
        <v>98</v>
      </c>
      <c r="AP388" t="s">
        <v>78</v>
      </c>
      <c r="AQ388" t="s">
        <v>99</v>
      </c>
      <c r="AS388" t="s">
        <v>78</v>
      </c>
      <c r="AT388" t="s">
        <v>100</v>
      </c>
      <c r="AU388" t="s">
        <v>100</v>
      </c>
      <c r="AW388" t="s">
        <v>85</v>
      </c>
      <c r="AX388" t="s">
        <v>101</v>
      </c>
      <c r="AY388" t="s">
        <v>102</v>
      </c>
      <c r="AZ388" t="s">
        <v>103</v>
      </c>
      <c r="BA388" t="s">
        <v>245</v>
      </c>
      <c r="BB388" t="s">
        <v>78</v>
      </c>
      <c r="BC388" t="s">
        <v>78</v>
      </c>
      <c r="BD388" t="s">
        <v>2669</v>
      </c>
      <c r="BE388">
        <v>0</v>
      </c>
      <c r="BF388">
        <v>0</v>
      </c>
      <c r="BG388">
        <v>0</v>
      </c>
      <c r="BH388">
        <v>0</v>
      </c>
      <c r="BJ388" t="s">
        <v>85</v>
      </c>
      <c r="BP388" t="s">
        <v>78</v>
      </c>
      <c r="BQ388" t="s">
        <v>78</v>
      </c>
      <c r="BR388" t="s">
        <v>78</v>
      </c>
    </row>
    <row r="389" customFormat="1" spans="1:70">
      <c r="A389" t="s">
        <v>4264</v>
      </c>
      <c r="B389" t="s">
        <v>4264</v>
      </c>
      <c r="C389" t="s">
        <v>2225</v>
      </c>
      <c r="D389" t="s">
        <v>135</v>
      </c>
      <c r="E389">
        <v>1</v>
      </c>
      <c r="F389" t="s">
        <v>4184</v>
      </c>
      <c r="G389" t="s">
        <v>2236</v>
      </c>
      <c r="H389">
        <v>499</v>
      </c>
      <c r="I389">
        <v>499</v>
      </c>
      <c r="J389">
        <v>0</v>
      </c>
      <c r="K389">
        <v>0</v>
      </c>
      <c r="L389" t="s">
        <v>78</v>
      </c>
      <c r="M389" t="s">
        <v>78</v>
      </c>
      <c r="N389" t="s">
        <v>78</v>
      </c>
      <c r="O389">
        <v>0</v>
      </c>
      <c r="P389">
        <v>0</v>
      </c>
      <c r="Q389">
        <v>0</v>
      </c>
      <c r="R389" t="s">
        <v>79</v>
      </c>
      <c r="S389">
        <v>0</v>
      </c>
      <c r="T389" t="s">
        <v>80</v>
      </c>
      <c r="U389" t="s">
        <v>80</v>
      </c>
      <c r="V389" t="s">
        <v>574</v>
      </c>
      <c r="W389" t="s">
        <v>574</v>
      </c>
      <c r="X389" t="s">
        <v>575</v>
      </c>
      <c r="Y389" t="s">
        <v>2643</v>
      </c>
      <c r="Z389" t="s">
        <v>80</v>
      </c>
      <c r="AA389" t="s">
        <v>85</v>
      </c>
      <c r="AC389" t="s">
        <v>2671</v>
      </c>
      <c r="AD389" t="s">
        <v>202</v>
      </c>
      <c r="AE389" t="s">
        <v>2672</v>
      </c>
      <c r="AG389" t="s">
        <v>2673</v>
      </c>
      <c r="AH389" t="s">
        <v>91</v>
      </c>
      <c r="AI389" t="s">
        <v>92</v>
      </c>
      <c r="AJ389" t="s">
        <v>131</v>
      </c>
      <c r="AK389" t="s">
        <v>2674</v>
      </c>
      <c r="AL389" t="s">
        <v>95</v>
      </c>
      <c r="AM389" t="s">
        <v>96</v>
      </c>
      <c r="AN389" t="s">
        <v>97</v>
      </c>
      <c r="AO389" t="s">
        <v>98</v>
      </c>
      <c r="AP389" t="s">
        <v>78</v>
      </c>
      <c r="AQ389" t="s">
        <v>99</v>
      </c>
      <c r="AS389" t="s">
        <v>78</v>
      </c>
      <c r="AT389" t="s">
        <v>100</v>
      </c>
      <c r="AU389" t="s">
        <v>100</v>
      </c>
      <c r="AW389" t="s">
        <v>85</v>
      </c>
      <c r="AX389" t="s">
        <v>101</v>
      </c>
      <c r="AY389" t="s">
        <v>102</v>
      </c>
      <c r="AZ389" t="s">
        <v>103</v>
      </c>
      <c r="BA389" t="s">
        <v>120</v>
      </c>
      <c r="BB389" t="s">
        <v>78</v>
      </c>
      <c r="BC389" t="s">
        <v>78</v>
      </c>
      <c r="BD389" t="s">
        <v>2669</v>
      </c>
      <c r="BE389">
        <v>0</v>
      </c>
      <c r="BF389">
        <v>0</v>
      </c>
      <c r="BG389">
        <v>0</v>
      </c>
      <c r="BH389">
        <v>0</v>
      </c>
      <c r="BJ389" t="s">
        <v>85</v>
      </c>
      <c r="BP389" t="s">
        <v>78</v>
      </c>
      <c r="BQ389" t="s">
        <v>78</v>
      </c>
      <c r="BR389" t="s">
        <v>78</v>
      </c>
    </row>
    <row r="390" customFormat="1" spans="1:70">
      <c r="A390" t="s">
        <v>4265</v>
      </c>
      <c r="B390" t="s">
        <v>4265</v>
      </c>
      <c r="C390" t="s">
        <v>2225</v>
      </c>
      <c r="D390" t="s">
        <v>108</v>
      </c>
      <c r="E390">
        <v>1</v>
      </c>
      <c r="F390" t="s">
        <v>4184</v>
      </c>
      <c r="G390" t="s">
        <v>2227</v>
      </c>
      <c r="H390">
        <v>499</v>
      </c>
      <c r="I390">
        <v>499</v>
      </c>
      <c r="J390">
        <v>0</v>
      </c>
      <c r="K390">
        <v>0</v>
      </c>
      <c r="L390" t="s">
        <v>78</v>
      </c>
      <c r="M390" t="s">
        <v>78</v>
      </c>
      <c r="N390" t="s">
        <v>78</v>
      </c>
      <c r="O390">
        <v>0</v>
      </c>
      <c r="P390">
        <v>0</v>
      </c>
      <c r="Q390">
        <v>0</v>
      </c>
      <c r="R390" t="s">
        <v>125</v>
      </c>
      <c r="S390">
        <v>0</v>
      </c>
      <c r="T390" t="s">
        <v>80</v>
      </c>
      <c r="U390" t="s">
        <v>80</v>
      </c>
      <c r="V390" t="s">
        <v>221</v>
      </c>
      <c r="W390" t="s">
        <v>599</v>
      </c>
      <c r="X390" t="s">
        <v>1062</v>
      </c>
      <c r="Y390" t="s">
        <v>1063</v>
      </c>
      <c r="Z390" t="s">
        <v>80</v>
      </c>
      <c r="AA390" t="s">
        <v>85</v>
      </c>
      <c r="AC390" t="s">
        <v>2676</v>
      </c>
      <c r="AD390" t="s">
        <v>87</v>
      </c>
      <c r="AG390" t="s">
        <v>2677</v>
      </c>
      <c r="AH390" t="s">
        <v>91</v>
      </c>
      <c r="AI390" t="s">
        <v>92</v>
      </c>
      <c r="AJ390" t="s">
        <v>131</v>
      </c>
      <c r="AK390" t="s">
        <v>2678</v>
      </c>
      <c r="AL390" t="s">
        <v>95</v>
      </c>
      <c r="AM390" t="s">
        <v>96</v>
      </c>
      <c r="AN390" t="s">
        <v>97</v>
      </c>
      <c r="AO390" t="s">
        <v>98</v>
      </c>
      <c r="AP390" t="s">
        <v>78</v>
      </c>
      <c r="AQ390" t="s">
        <v>99</v>
      </c>
      <c r="AS390" t="s">
        <v>78</v>
      </c>
      <c r="AT390" t="s">
        <v>100</v>
      </c>
      <c r="AU390" t="s">
        <v>100</v>
      </c>
      <c r="AW390" t="s">
        <v>85</v>
      </c>
      <c r="AX390" t="s">
        <v>103</v>
      </c>
      <c r="AY390" t="s">
        <v>159</v>
      </c>
      <c r="AZ390" t="s">
        <v>103</v>
      </c>
      <c r="BA390" t="s">
        <v>104</v>
      </c>
      <c r="BB390" t="s">
        <v>78</v>
      </c>
      <c r="BC390" t="s">
        <v>78</v>
      </c>
      <c r="BE390">
        <v>0</v>
      </c>
      <c r="BF390">
        <v>0</v>
      </c>
      <c r="BG390">
        <v>0</v>
      </c>
      <c r="BH390">
        <v>0</v>
      </c>
      <c r="BJ390" t="s">
        <v>85</v>
      </c>
      <c r="BP390" t="s">
        <v>78</v>
      </c>
      <c r="BQ390" t="s">
        <v>78</v>
      </c>
      <c r="BR390" t="s">
        <v>78</v>
      </c>
    </row>
    <row r="391" customFormat="1" spans="1:70">
      <c r="A391" t="s">
        <v>4266</v>
      </c>
      <c r="B391" t="s">
        <v>4266</v>
      </c>
      <c r="C391" t="s">
        <v>2225</v>
      </c>
      <c r="D391" t="s">
        <v>108</v>
      </c>
      <c r="E391">
        <v>1</v>
      </c>
      <c r="F391" t="s">
        <v>4184</v>
      </c>
      <c r="G391" t="s">
        <v>2227</v>
      </c>
      <c r="H391">
        <v>499</v>
      </c>
      <c r="I391">
        <v>499</v>
      </c>
      <c r="J391">
        <v>0</v>
      </c>
      <c r="K391">
        <v>0</v>
      </c>
      <c r="L391" t="s">
        <v>78</v>
      </c>
      <c r="M391" t="s">
        <v>78</v>
      </c>
      <c r="N391" t="s">
        <v>78</v>
      </c>
      <c r="O391">
        <v>0</v>
      </c>
      <c r="P391">
        <v>0</v>
      </c>
      <c r="Q391">
        <v>0</v>
      </c>
      <c r="R391" t="s">
        <v>111</v>
      </c>
      <c r="S391">
        <v>0</v>
      </c>
      <c r="T391" t="s">
        <v>80</v>
      </c>
      <c r="U391" t="s">
        <v>80</v>
      </c>
      <c r="V391" t="s">
        <v>161</v>
      </c>
      <c r="W391" t="s">
        <v>161</v>
      </c>
      <c r="X391" t="s">
        <v>1243</v>
      </c>
      <c r="Y391" t="s">
        <v>1580</v>
      </c>
      <c r="Z391" t="s">
        <v>80</v>
      </c>
      <c r="AA391" t="s">
        <v>85</v>
      </c>
      <c r="AC391" t="s">
        <v>2680</v>
      </c>
      <c r="AD391" t="s">
        <v>87</v>
      </c>
      <c r="AG391" t="s">
        <v>2681</v>
      </c>
      <c r="AH391" t="s">
        <v>91</v>
      </c>
      <c r="AI391" t="s">
        <v>92</v>
      </c>
      <c r="AJ391" t="s">
        <v>131</v>
      </c>
      <c r="AK391" t="s">
        <v>2682</v>
      </c>
      <c r="AL391" t="s">
        <v>95</v>
      </c>
      <c r="AM391" t="s">
        <v>96</v>
      </c>
      <c r="AN391" t="s">
        <v>97</v>
      </c>
      <c r="AO391" t="s">
        <v>98</v>
      </c>
      <c r="AP391" t="s">
        <v>78</v>
      </c>
      <c r="AQ391" t="s">
        <v>99</v>
      </c>
      <c r="AS391" t="s">
        <v>78</v>
      </c>
      <c r="AT391" t="s">
        <v>100</v>
      </c>
      <c r="AU391" t="s">
        <v>100</v>
      </c>
      <c r="AW391" t="s">
        <v>85</v>
      </c>
      <c r="AX391" t="s">
        <v>103</v>
      </c>
      <c r="AY391" t="s">
        <v>159</v>
      </c>
      <c r="AZ391" t="s">
        <v>103</v>
      </c>
      <c r="BA391" t="s">
        <v>104</v>
      </c>
      <c r="BB391" t="s">
        <v>78</v>
      </c>
      <c r="BC391" t="s">
        <v>78</v>
      </c>
      <c r="BE391">
        <v>0</v>
      </c>
      <c r="BF391">
        <v>0</v>
      </c>
      <c r="BG391">
        <v>0</v>
      </c>
      <c r="BH391">
        <v>0</v>
      </c>
      <c r="BJ391" t="s">
        <v>85</v>
      </c>
      <c r="BP391" t="s">
        <v>78</v>
      </c>
      <c r="BQ391" t="s">
        <v>78</v>
      </c>
      <c r="BR391" t="s">
        <v>78</v>
      </c>
    </row>
    <row r="392" customFormat="1" spans="1:70">
      <c r="A392" t="s">
        <v>4267</v>
      </c>
      <c r="B392" t="s">
        <v>4267</v>
      </c>
      <c r="C392" t="s">
        <v>2225</v>
      </c>
      <c r="D392" t="s">
        <v>108</v>
      </c>
      <c r="E392">
        <v>1</v>
      </c>
      <c r="F392" t="s">
        <v>4184</v>
      </c>
      <c r="G392" t="s">
        <v>2227</v>
      </c>
      <c r="H392">
        <v>499</v>
      </c>
      <c r="I392">
        <v>499</v>
      </c>
      <c r="J392">
        <v>0</v>
      </c>
      <c r="K392">
        <v>0</v>
      </c>
      <c r="L392" t="s">
        <v>78</v>
      </c>
      <c r="M392" t="s">
        <v>78</v>
      </c>
      <c r="N392" t="s">
        <v>78</v>
      </c>
      <c r="O392">
        <v>0</v>
      </c>
      <c r="P392">
        <v>0</v>
      </c>
      <c r="Q392">
        <v>0</v>
      </c>
      <c r="R392" t="s">
        <v>111</v>
      </c>
      <c r="S392">
        <v>0</v>
      </c>
      <c r="T392" t="s">
        <v>80</v>
      </c>
      <c r="U392" t="s">
        <v>80</v>
      </c>
      <c r="V392" t="s">
        <v>556</v>
      </c>
      <c r="W392" t="s">
        <v>2684</v>
      </c>
      <c r="X392" t="s">
        <v>2685</v>
      </c>
      <c r="Y392" t="s">
        <v>78</v>
      </c>
      <c r="Z392" t="s">
        <v>80</v>
      </c>
      <c r="AA392" t="s">
        <v>85</v>
      </c>
      <c r="AC392" t="s">
        <v>2686</v>
      </c>
      <c r="AD392" t="s">
        <v>202</v>
      </c>
      <c r="AE392" t="s">
        <v>2687</v>
      </c>
      <c r="AG392" t="s">
        <v>2688</v>
      </c>
      <c r="AH392" t="s">
        <v>91</v>
      </c>
      <c r="AI392" t="s">
        <v>92</v>
      </c>
      <c r="AJ392" t="s">
        <v>131</v>
      </c>
      <c r="AK392" t="s">
        <v>2689</v>
      </c>
      <c r="AL392" t="s">
        <v>95</v>
      </c>
      <c r="AM392" t="s">
        <v>96</v>
      </c>
      <c r="AN392" t="s">
        <v>97</v>
      </c>
      <c r="AO392" t="s">
        <v>98</v>
      </c>
      <c r="AP392" t="s">
        <v>78</v>
      </c>
      <c r="AQ392" t="s">
        <v>99</v>
      </c>
      <c r="AS392" t="s">
        <v>78</v>
      </c>
      <c r="AT392" t="s">
        <v>100</v>
      </c>
      <c r="AU392" t="s">
        <v>100</v>
      </c>
      <c r="AW392" t="s">
        <v>85</v>
      </c>
      <c r="AX392" t="s">
        <v>101</v>
      </c>
      <c r="AY392" t="s">
        <v>102</v>
      </c>
      <c r="AZ392" t="s">
        <v>103</v>
      </c>
      <c r="BA392" t="s">
        <v>133</v>
      </c>
      <c r="BB392" t="s">
        <v>78</v>
      </c>
      <c r="BC392" t="s">
        <v>78</v>
      </c>
      <c r="BD392" t="s">
        <v>2690</v>
      </c>
      <c r="BE392">
        <v>0</v>
      </c>
      <c r="BF392">
        <v>0</v>
      </c>
      <c r="BG392">
        <v>0</v>
      </c>
      <c r="BH392">
        <v>0</v>
      </c>
      <c r="BJ392" t="s">
        <v>85</v>
      </c>
      <c r="BP392" t="s">
        <v>78</v>
      </c>
      <c r="BQ392" t="s">
        <v>78</v>
      </c>
      <c r="BR392" t="s">
        <v>78</v>
      </c>
    </row>
    <row r="393" customFormat="1" spans="1:70">
      <c r="A393" t="s">
        <v>4268</v>
      </c>
      <c r="B393" t="s">
        <v>4268</v>
      </c>
      <c r="C393" t="s">
        <v>2225</v>
      </c>
      <c r="D393" t="s">
        <v>135</v>
      </c>
      <c r="E393">
        <v>1</v>
      </c>
      <c r="F393" t="s">
        <v>4184</v>
      </c>
      <c r="G393" t="s">
        <v>2236</v>
      </c>
      <c r="H393">
        <v>499</v>
      </c>
      <c r="I393">
        <v>499</v>
      </c>
      <c r="J393">
        <v>0</v>
      </c>
      <c r="K393">
        <v>0</v>
      </c>
      <c r="L393" t="s">
        <v>78</v>
      </c>
      <c r="M393" t="s">
        <v>78</v>
      </c>
      <c r="N393" t="s">
        <v>78</v>
      </c>
      <c r="O393">
        <v>0</v>
      </c>
      <c r="P393">
        <v>0</v>
      </c>
      <c r="Q393">
        <v>0</v>
      </c>
      <c r="R393" t="s">
        <v>79</v>
      </c>
      <c r="S393">
        <v>0</v>
      </c>
      <c r="T393" t="s">
        <v>80</v>
      </c>
      <c r="U393" t="s">
        <v>80</v>
      </c>
      <c r="V393" t="s">
        <v>178</v>
      </c>
      <c r="W393" t="s">
        <v>178</v>
      </c>
      <c r="X393" t="s">
        <v>293</v>
      </c>
      <c r="Y393" t="s">
        <v>294</v>
      </c>
      <c r="Z393" t="s">
        <v>80</v>
      </c>
      <c r="AA393" t="s">
        <v>85</v>
      </c>
      <c r="AC393" t="s">
        <v>2692</v>
      </c>
      <c r="AD393" t="s">
        <v>87</v>
      </c>
      <c r="AF393" t="s">
        <v>2693</v>
      </c>
      <c r="AG393" t="s">
        <v>2681</v>
      </c>
      <c r="AH393" t="s">
        <v>298</v>
      </c>
      <c r="AI393" t="s">
        <v>92</v>
      </c>
      <c r="AJ393" t="s">
        <v>93</v>
      </c>
      <c r="AK393" t="s">
        <v>2694</v>
      </c>
      <c r="AL393" t="s">
        <v>95</v>
      </c>
      <c r="AM393" t="s">
        <v>96</v>
      </c>
      <c r="AN393" t="s">
        <v>97</v>
      </c>
      <c r="AO393" t="s">
        <v>98</v>
      </c>
      <c r="AP393" t="s">
        <v>78</v>
      </c>
      <c r="AQ393" t="s">
        <v>78</v>
      </c>
      <c r="AS393" t="s">
        <v>78</v>
      </c>
      <c r="AT393" t="s">
        <v>100</v>
      </c>
      <c r="AU393" t="s">
        <v>100</v>
      </c>
      <c r="AW393" t="s">
        <v>85</v>
      </c>
      <c r="AX393" t="s">
        <v>103</v>
      </c>
      <c r="AY393" t="s">
        <v>159</v>
      </c>
      <c r="AZ393" t="s">
        <v>103</v>
      </c>
      <c r="BA393" t="s">
        <v>104</v>
      </c>
      <c r="BB393" t="s">
        <v>78</v>
      </c>
      <c r="BC393" t="s">
        <v>78</v>
      </c>
      <c r="BD393" t="s">
        <v>2669</v>
      </c>
      <c r="BE393">
        <v>0</v>
      </c>
      <c r="BF393">
        <v>0</v>
      </c>
      <c r="BG393">
        <v>0</v>
      </c>
      <c r="BH393">
        <v>0</v>
      </c>
      <c r="BJ393" t="s">
        <v>85</v>
      </c>
      <c r="BP393" t="s">
        <v>78</v>
      </c>
      <c r="BQ393" t="s">
        <v>78</v>
      </c>
      <c r="BR393" t="s">
        <v>78</v>
      </c>
    </row>
    <row r="394" customFormat="1" spans="1:70">
      <c r="A394" t="s">
        <v>4269</v>
      </c>
      <c r="B394" t="s">
        <v>4269</v>
      </c>
      <c r="C394" t="s">
        <v>2225</v>
      </c>
      <c r="D394" t="s">
        <v>135</v>
      </c>
      <c r="E394">
        <v>1</v>
      </c>
      <c r="F394" t="s">
        <v>4184</v>
      </c>
      <c r="G394" t="s">
        <v>2236</v>
      </c>
      <c r="H394">
        <v>499</v>
      </c>
      <c r="I394">
        <v>499</v>
      </c>
      <c r="J394">
        <v>0</v>
      </c>
      <c r="K394">
        <v>0</v>
      </c>
      <c r="L394" t="s">
        <v>78</v>
      </c>
      <c r="M394" t="s">
        <v>78</v>
      </c>
      <c r="N394" t="s">
        <v>78</v>
      </c>
      <c r="O394">
        <v>0</v>
      </c>
      <c r="P394">
        <v>0</v>
      </c>
      <c r="Q394">
        <v>0</v>
      </c>
      <c r="R394" t="s">
        <v>79</v>
      </c>
      <c r="S394">
        <v>0</v>
      </c>
      <c r="T394" t="s">
        <v>80</v>
      </c>
      <c r="U394" t="s">
        <v>80</v>
      </c>
      <c r="V394" t="s">
        <v>302</v>
      </c>
      <c r="W394" t="s">
        <v>1394</v>
      </c>
      <c r="X394" t="s">
        <v>2696</v>
      </c>
      <c r="Y394" t="s">
        <v>2697</v>
      </c>
      <c r="Z394" t="s">
        <v>80</v>
      </c>
      <c r="AA394" t="s">
        <v>85</v>
      </c>
      <c r="AC394" t="s">
        <v>2698</v>
      </c>
      <c r="AD394" t="s">
        <v>87</v>
      </c>
      <c r="AF394" t="s">
        <v>2693</v>
      </c>
      <c r="AG394" t="s">
        <v>2686</v>
      </c>
      <c r="AH394" t="s">
        <v>2699</v>
      </c>
      <c r="AI394" t="s">
        <v>92</v>
      </c>
      <c r="AJ394" t="s">
        <v>93</v>
      </c>
      <c r="AK394" t="s">
        <v>2700</v>
      </c>
      <c r="AL394" t="s">
        <v>95</v>
      </c>
      <c r="AM394" t="s">
        <v>96</v>
      </c>
      <c r="AN394" t="s">
        <v>97</v>
      </c>
      <c r="AO394" t="s">
        <v>98</v>
      </c>
      <c r="AP394" t="s">
        <v>78</v>
      </c>
      <c r="AQ394" t="s">
        <v>78</v>
      </c>
      <c r="AS394" t="s">
        <v>78</v>
      </c>
      <c r="AT394" t="s">
        <v>100</v>
      </c>
      <c r="AU394" t="s">
        <v>100</v>
      </c>
      <c r="AW394" t="s">
        <v>85</v>
      </c>
      <c r="AX394" t="s">
        <v>101</v>
      </c>
      <c r="AY394" t="s">
        <v>102</v>
      </c>
      <c r="AZ394" t="s">
        <v>103</v>
      </c>
      <c r="BA394" t="s">
        <v>102</v>
      </c>
      <c r="BB394" t="s">
        <v>78</v>
      </c>
      <c r="BC394" t="s">
        <v>78</v>
      </c>
      <c r="BD394" t="s">
        <v>2669</v>
      </c>
      <c r="BE394">
        <v>0</v>
      </c>
      <c r="BF394">
        <v>0</v>
      </c>
      <c r="BG394">
        <v>0</v>
      </c>
      <c r="BH394">
        <v>0</v>
      </c>
      <c r="BJ394" t="s">
        <v>85</v>
      </c>
      <c r="BP394" t="s">
        <v>78</v>
      </c>
      <c r="BQ394" t="s">
        <v>78</v>
      </c>
      <c r="BR394" t="s">
        <v>78</v>
      </c>
    </row>
    <row r="395" customFormat="1" spans="1:70">
      <c r="A395" t="s">
        <v>4270</v>
      </c>
      <c r="B395" t="s">
        <v>4270</v>
      </c>
      <c r="C395" t="s">
        <v>2225</v>
      </c>
      <c r="D395" t="s">
        <v>135</v>
      </c>
      <c r="E395">
        <v>1</v>
      </c>
      <c r="F395" t="s">
        <v>4184</v>
      </c>
      <c r="G395" t="s">
        <v>2236</v>
      </c>
      <c r="H395">
        <v>499</v>
      </c>
      <c r="I395">
        <v>499</v>
      </c>
      <c r="J395">
        <v>0</v>
      </c>
      <c r="K395">
        <v>0</v>
      </c>
      <c r="L395" t="s">
        <v>78</v>
      </c>
      <c r="M395" t="s">
        <v>78</v>
      </c>
      <c r="N395" t="s">
        <v>78</v>
      </c>
      <c r="O395">
        <v>0</v>
      </c>
      <c r="P395">
        <v>0</v>
      </c>
      <c r="Q395">
        <v>0</v>
      </c>
      <c r="R395" t="s">
        <v>125</v>
      </c>
      <c r="S395">
        <v>0</v>
      </c>
      <c r="T395" t="s">
        <v>80</v>
      </c>
      <c r="U395" t="s">
        <v>80</v>
      </c>
      <c r="V395" t="s">
        <v>325</v>
      </c>
      <c r="W395" t="s">
        <v>788</v>
      </c>
      <c r="X395" t="s">
        <v>2108</v>
      </c>
      <c r="Y395" t="s">
        <v>84</v>
      </c>
      <c r="Z395" t="s">
        <v>80</v>
      </c>
      <c r="AA395" t="s">
        <v>85</v>
      </c>
      <c r="AC395" t="s">
        <v>2702</v>
      </c>
      <c r="AD395" t="s">
        <v>202</v>
      </c>
      <c r="AE395" t="s">
        <v>2703</v>
      </c>
      <c r="AG395" t="s">
        <v>2698</v>
      </c>
      <c r="AH395" t="s">
        <v>91</v>
      </c>
      <c r="AI395" t="s">
        <v>92</v>
      </c>
      <c r="AJ395" t="s">
        <v>131</v>
      </c>
      <c r="AK395" t="s">
        <v>2704</v>
      </c>
      <c r="AL395" t="s">
        <v>95</v>
      </c>
      <c r="AM395" t="s">
        <v>96</v>
      </c>
      <c r="AN395" t="s">
        <v>97</v>
      </c>
      <c r="AO395" t="s">
        <v>98</v>
      </c>
      <c r="AP395" t="s">
        <v>78</v>
      </c>
      <c r="AQ395" t="s">
        <v>99</v>
      </c>
      <c r="AS395" t="s">
        <v>78</v>
      </c>
      <c r="AT395" t="s">
        <v>100</v>
      </c>
      <c r="AU395" t="s">
        <v>100</v>
      </c>
      <c r="AW395" t="s">
        <v>85</v>
      </c>
      <c r="AX395" t="s">
        <v>101</v>
      </c>
      <c r="AY395" t="s">
        <v>102</v>
      </c>
      <c r="AZ395" t="s">
        <v>103</v>
      </c>
      <c r="BA395" t="s">
        <v>245</v>
      </c>
      <c r="BB395" t="s">
        <v>78</v>
      </c>
      <c r="BC395" t="s">
        <v>78</v>
      </c>
      <c r="BD395" t="s">
        <v>2669</v>
      </c>
      <c r="BE395">
        <v>0</v>
      </c>
      <c r="BF395">
        <v>0</v>
      </c>
      <c r="BG395">
        <v>0</v>
      </c>
      <c r="BH395">
        <v>0</v>
      </c>
      <c r="BJ395" t="s">
        <v>85</v>
      </c>
      <c r="BP395" t="s">
        <v>78</v>
      </c>
      <c r="BQ395" t="s">
        <v>78</v>
      </c>
      <c r="BR395" t="s">
        <v>78</v>
      </c>
    </row>
    <row r="396" customFormat="1" spans="1:70">
      <c r="A396" t="s">
        <v>4271</v>
      </c>
      <c r="B396" t="s">
        <v>4271</v>
      </c>
      <c r="C396" t="s">
        <v>2225</v>
      </c>
      <c r="D396" t="s">
        <v>108</v>
      </c>
      <c r="E396">
        <v>1</v>
      </c>
      <c r="F396" t="s">
        <v>4184</v>
      </c>
      <c r="G396" t="s">
        <v>2227</v>
      </c>
      <c r="H396">
        <v>499</v>
      </c>
      <c r="I396">
        <v>499</v>
      </c>
      <c r="J396">
        <v>0</v>
      </c>
      <c r="K396">
        <v>0</v>
      </c>
      <c r="L396" t="s">
        <v>78</v>
      </c>
      <c r="M396" t="s">
        <v>78</v>
      </c>
      <c r="N396" t="s">
        <v>78</v>
      </c>
      <c r="O396">
        <v>0</v>
      </c>
      <c r="P396">
        <v>0</v>
      </c>
      <c r="Q396">
        <v>0</v>
      </c>
      <c r="R396" t="s">
        <v>125</v>
      </c>
      <c r="S396">
        <v>0</v>
      </c>
      <c r="T396" t="s">
        <v>80</v>
      </c>
      <c r="U396" t="s">
        <v>80</v>
      </c>
      <c r="V396" t="s">
        <v>500</v>
      </c>
      <c r="W396" t="s">
        <v>2706</v>
      </c>
      <c r="X396" t="s">
        <v>2707</v>
      </c>
      <c r="Y396" t="s">
        <v>2708</v>
      </c>
      <c r="Z396" t="s">
        <v>80</v>
      </c>
      <c r="AA396" t="s">
        <v>85</v>
      </c>
      <c r="AC396" t="s">
        <v>2702</v>
      </c>
      <c r="AD396" t="s">
        <v>202</v>
      </c>
      <c r="AE396" t="s">
        <v>2709</v>
      </c>
      <c r="AG396" t="s">
        <v>2710</v>
      </c>
      <c r="AH396" t="s">
        <v>2711</v>
      </c>
      <c r="AI396" t="s">
        <v>92</v>
      </c>
      <c r="AJ396" t="s">
        <v>131</v>
      </c>
      <c r="AK396" t="s">
        <v>2712</v>
      </c>
      <c r="AL396" t="s">
        <v>95</v>
      </c>
      <c r="AM396" t="s">
        <v>96</v>
      </c>
      <c r="AN396" t="s">
        <v>97</v>
      </c>
      <c r="AO396" t="s">
        <v>98</v>
      </c>
      <c r="AP396" t="s">
        <v>78</v>
      </c>
      <c r="AQ396" t="s">
        <v>99</v>
      </c>
      <c r="AS396" t="s">
        <v>78</v>
      </c>
      <c r="AT396" t="s">
        <v>100</v>
      </c>
      <c r="AU396" t="s">
        <v>100</v>
      </c>
      <c r="AW396" t="s">
        <v>85</v>
      </c>
      <c r="AX396" t="s">
        <v>103</v>
      </c>
      <c r="AY396" t="s">
        <v>159</v>
      </c>
      <c r="AZ396" t="s">
        <v>103</v>
      </c>
      <c r="BA396" t="s">
        <v>102</v>
      </c>
      <c r="BB396" t="s">
        <v>78</v>
      </c>
      <c r="BC396" t="s">
        <v>78</v>
      </c>
      <c r="BD396" t="s">
        <v>2690</v>
      </c>
      <c r="BE396">
        <v>0</v>
      </c>
      <c r="BF396">
        <v>0</v>
      </c>
      <c r="BG396">
        <v>0</v>
      </c>
      <c r="BH396">
        <v>0</v>
      </c>
      <c r="BJ396" t="s">
        <v>85</v>
      </c>
      <c r="BP396" t="s">
        <v>78</v>
      </c>
      <c r="BQ396" t="s">
        <v>78</v>
      </c>
      <c r="BR396" t="s">
        <v>78</v>
      </c>
    </row>
    <row r="397" customFormat="1" spans="1:70">
      <c r="A397" t="s">
        <v>4272</v>
      </c>
      <c r="B397" t="s">
        <v>4272</v>
      </c>
      <c r="C397" t="s">
        <v>107</v>
      </c>
      <c r="D397" t="s">
        <v>108</v>
      </c>
      <c r="E397">
        <v>1</v>
      </c>
      <c r="F397" t="s">
        <v>3857</v>
      </c>
      <c r="G397" t="s">
        <v>110</v>
      </c>
      <c r="H397">
        <v>289</v>
      </c>
      <c r="I397">
        <v>289</v>
      </c>
      <c r="J397">
        <v>0</v>
      </c>
      <c r="K397">
        <v>0</v>
      </c>
      <c r="L397" t="s">
        <v>78</v>
      </c>
      <c r="M397" t="s">
        <v>78</v>
      </c>
      <c r="N397" t="s">
        <v>78</v>
      </c>
      <c r="O397">
        <v>0</v>
      </c>
      <c r="P397">
        <v>0</v>
      </c>
      <c r="Q397">
        <v>0</v>
      </c>
      <c r="R397" t="s">
        <v>79</v>
      </c>
      <c r="S397">
        <v>0</v>
      </c>
      <c r="T397" t="s">
        <v>80</v>
      </c>
      <c r="U397" t="s">
        <v>80</v>
      </c>
      <c r="V397" t="s">
        <v>676</v>
      </c>
      <c r="W397" t="s">
        <v>1083</v>
      </c>
      <c r="X397" t="s">
        <v>2714</v>
      </c>
      <c r="Y397" t="s">
        <v>2715</v>
      </c>
      <c r="Z397" t="s">
        <v>80</v>
      </c>
      <c r="AA397" t="s">
        <v>85</v>
      </c>
      <c r="AC397" t="s">
        <v>2716</v>
      </c>
      <c r="AD397" t="s">
        <v>87</v>
      </c>
      <c r="AG397" t="s">
        <v>2717</v>
      </c>
      <c r="AH397" t="s">
        <v>91</v>
      </c>
      <c r="AI397" t="s">
        <v>92</v>
      </c>
      <c r="AJ397" t="s">
        <v>131</v>
      </c>
      <c r="AK397" t="s">
        <v>2718</v>
      </c>
      <c r="AL397" t="s">
        <v>95</v>
      </c>
      <c r="AM397" t="s">
        <v>96</v>
      </c>
      <c r="AN397" t="s">
        <v>97</v>
      </c>
      <c r="AO397" t="s">
        <v>98</v>
      </c>
      <c r="AP397" t="s">
        <v>78</v>
      </c>
      <c r="AQ397" t="s">
        <v>99</v>
      </c>
      <c r="AS397" t="s">
        <v>78</v>
      </c>
      <c r="AT397" t="s">
        <v>100</v>
      </c>
      <c r="AU397" t="s">
        <v>100</v>
      </c>
      <c r="AW397" t="s">
        <v>85</v>
      </c>
      <c r="AX397" t="s">
        <v>101</v>
      </c>
      <c r="AY397" t="s">
        <v>102</v>
      </c>
      <c r="AZ397" t="s">
        <v>103</v>
      </c>
      <c r="BA397" t="s">
        <v>133</v>
      </c>
      <c r="BB397" t="s">
        <v>78</v>
      </c>
      <c r="BC397" t="s">
        <v>78</v>
      </c>
      <c r="BE397">
        <v>0</v>
      </c>
      <c r="BF397">
        <v>0</v>
      </c>
      <c r="BG397">
        <v>0</v>
      </c>
      <c r="BH397">
        <v>0</v>
      </c>
      <c r="BJ397" t="s">
        <v>85</v>
      </c>
      <c r="BP397" t="s">
        <v>78</v>
      </c>
      <c r="BQ397" t="s">
        <v>78</v>
      </c>
      <c r="BR397" t="s">
        <v>78</v>
      </c>
    </row>
    <row r="398" customFormat="1" spans="1:70">
      <c r="A398" t="s">
        <v>4273</v>
      </c>
      <c r="B398" t="s">
        <v>4273</v>
      </c>
      <c r="C398" t="s">
        <v>1050</v>
      </c>
      <c r="D398" t="s">
        <v>1051</v>
      </c>
      <c r="E398">
        <v>1</v>
      </c>
      <c r="F398" t="s">
        <v>3991</v>
      </c>
      <c r="G398" t="s">
        <v>1053</v>
      </c>
      <c r="H398">
        <v>129</v>
      </c>
      <c r="I398">
        <v>129</v>
      </c>
      <c r="J398">
        <v>0</v>
      </c>
      <c r="K398">
        <v>0</v>
      </c>
      <c r="L398" t="s">
        <v>78</v>
      </c>
      <c r="M398" t="s">
        <v>78</v>
      </c>
      <c r="N398" t="s">
        <v>78</v>
      </c>
      <c r="O398">
        <v>0</v>
      </c>
      <c r="P398">
        <v>0</v>
      </c>
      <c r="Q398">
        <v>0</v>
      </c>
      <c r="R398" t="s">
        <v>125</v>
      </c>
      <c r="S398">
        <v>0</v>
      </c>
      <c r="T398" t="s">
        <v>80</v>
      </c>
      <c r="U398" t="s">
        <v>80</v>
      </c>
      <c r="V398" t="s">
        <v>2720</v>
      </c>
      <c r="W398" t="s">
        <v>2721</v>
      </c>
      <c r="X398" t="s">
        <v>114</v>
      </c>
      <c r="Y398" t="s">
        <v>2722</v>
      </c>
      <c r="Z398" t="s">
        <v>80</v>
      </c>
      <c r="AA398" t="s">
        <v>85</v>
      </c>
      <c r="AC398" t="s">
        <v>2723</v>
      </c>
      <c r="AD398" t="s">
        <v>87</v>
      </c>
      <c r="AF398" t="s">
        <v>2724</v>
      </c>
      <c r="AG398" t="s">
        <v>2725</v>
      </c>
      <c r="AH398" t="s">
        <v>91</v>
      </c>
      <c r="AI398" t="s">
        <v>92</v>
      </c>
      <c r="AJ398" t="s">
        <v>93</v>
      </c>
      <c r="AK398" t="s">
        <v>2726</v>
      </c>
      <c r="AL398" t="s">
        <v>95</v>
      </c>
      <c r="AM398" t="s">
        <v>96</v>
      </c>
      <c r="AN398" t="s">
        <v>97</v>
      </c>
      <c r="AO398" t="s">
        <v>98</v>
      </c>
      <c r="AP398" t="s">
        <v>78</v>
      </c>
      <c r="AQ398" t="s">
        <v>78</v>
      </c>
      <c r="AS398" t="s">
        <v>78</v>
      </c>
      <c r="AT398" t="s">
        <v>100</v>
      </c>
      <c r="AU398" t="s">
        <v>100</v>
      </c>
      <c r="AW398" t="s">
        <v>85</v>
      </c>
      <c r="AX398" t="s">
        <v>101</v>
      </c>
      <c r="AY398" t="s">
        <v>102</v>
      </c>
      <c r="AZ398" t="s">
        <v>103</v>
      </c>
      <c r="BA398" t="s">
        <v>133</v>
      </c>
      <c r="BB398" t="s">
        <v>78</v>
      </c>
      <c r="BC398" t="s">
        <v>78</v>
      </c>
      <c r="BD398" t="s">
        <v>2727</v>
      </c>
      <c r="BE398">
        <v>0</v>
      </c>
      <c r="BF398">
        <v>0</v>
      </c>
      <c r="BG398">
        <v>0</v>
      </c>
      <c r="BH398">
        <v>0</v>
      </c>
      <c r="BJ398" t="s">
        <v>85</v>
      </c>
      <c r="BP398" t="s">
        <v>78</v>
      </c>
      <c r="BQ398" t="s">
        <v>78</v>
      </c>
      <c r="BR398" t="s">
        <v>78</v>
      </c>
    </row>
    <row r="399" customFormat="1" spans="1:70">
      <c r="A399" t="s">
        <v>4274</v>
      </c>
      <c r="B399" t="s">
        <v>4274</v>
      </c>
      <c r="C399" t="s">
        <v>1050</v>
      </c>
      <c r="D399" t="s">
        <v>1153</v>
      </c>
      <c r="E399">
        <v>1</v>
      </c>
      <c r="F399" t="s">
        <v>3991</v>
      </c>
      <c r="G399" t="s">
        <v>1154</v>
      </c>
      <c r="H399">
        <v>129</v>
      </c>
      <c r="I399">
        <v>129</v>
      </c>
      <c r="J399">
        <v>0</v>
      </c>
      <c r="K399">
        <v>0</v>
      </c>
      <c r="L399" t="s">
        <v>78</v>
      </c>
      <c r="M399" t="s">
        <v>78</v>
      </c>
      <c r="N399" t="s">
        <v>78</v>
      </c>
      <c r="O399">
        <v>0</v>
      </c>
      <c r="P399">
        <v>0</v>
      </c>
      <c r="Q399">
        <v>0</v>
      </c>
      <c r="R399" t="s">
        <v>125</v>
      </c>
      <c r="S399">
        <v>0</v>
      </c>
      <c r="T399" t="s">
        <v>80</v>
      </c>
      <c r="U399" t="s">
        <v>80</v>
      </c>
      <c r="V399" t="s">
        <v>302</v>
      </c>
      <c r="W399" t="s">
        <v>1834</v>
      </c>
      <c r="X399" t="s">
        <v>2729</v>
      </c>
      <c r="Y399" t="s">
        <v>78</v>
      </c>
      <c r="Z399" t="s">
        <v>80</v>
      </c>
      <c r="AA399" t="s">
        <v>85</v>
      </c>
      <c r="AC399" t="s">
        <v>2730</v>
      </c>
      <c r="AD399" t="s">
        <v>87</v>
      </c>
      <c r="AH399" t="s">
        <v>91</v>
      </c>
      <c r="AI399" t="s">
        <v>92</v>
      </c>
      <c r="AJ399" t="s">
        <v>131</v>
      </c>
      <c r="AK399" t="s">
        <v>2731</v>
      </c>
      <c r="AL399" t="s">
        <v>95</v>
      </c>
      <c r="AM399" t="s">
        <v>96</v>
      </c>
      <c r="AN399" t="s">
        <v>97</v>
      </c>
      <c r="AO399" t="s">
        <v>98</v>
      </c>
      <c r="AP399" t="s">
        <v>78</v>
      </c>
      <c r="AQ399" t="s">
        <v>78</v>
      </c>
      <c r="AR399" t="s">
        <v>353</v>
      </c>
      <c r="AS399" t="s">
        <v>78</v>
      </c>
      <c r="AT399" t="s">
        <v>100</v>
      </c>
      <c r="AU399" t="s">
        <v>100</v>
      </c>
      <c r="AW399" t="s">
        <v>85</v>
      </c>
      <c r="AX399" t="s">
        <v>101</v>
      </c>
      <c r="AY399" t="s">
        <v>102</v>
      </c>
      <c r="AZ399" t="s">
        <v>103</v>
      </c>
      <c r="BA399" t="s">
        <v>133</v>
      </c>
      <c r="BB399" t="s">
        <v>78</v>
      </c>
      <c r="BC399" t="s">
        <v>78</v>
      </c>
      <c r="BE399">
        <v>0</v>
      </c>
      <c r="BF399">
        <v>0</v>
      </c>
      <c r="BG399">
        <v>0</v>
      </c>
      <c r="BH399">
        <v>0</v>
      </c>
      <c r="BJ399" t="s">
        <v>85</v>
      </c>
      <c r="BP399" t="s">
        <v>78</v>
      </c>
      <c r="BQ399" t="s">
        <v>78</v>
      </c>
      <c r="BR399" t="s">
        <v>78</v>
      </c>
    </row>
    <row r="400" customFormat="1" spans="1:70">
      <c r="A400" t="s">
        <v>4275</v>
      </c>
      <c r="B400" t="s">
        <v>4275</v>
      </c>
      <c r="C400" t="s">
        <v>107</v>
      </c>
      <c r="D400" t="s">
        <v>108</v>
      </c>
      <c r="E400">
        <v>1</v>
      </c>
      <c r="F400" t="s">
        <v>3857</v>
      </c>
      <c r="G400" t="s">
        <v>110</v>
      </c>
      <c r="H400">
        <v>289</v>
      </c>
      <c r="I400">
        <v>289</v>
      </c>
      <c r="J400">
        <v>0</v>
      </c>
      <c r="K400">
        <v>0</v>
      </c>
      <c r="L400" t="s">
        <v>78</v>
      </c>
      <c r="M400" t="s">
        <v>78</v>
      </c>
      <c r="N400" t="s">
        <v>78</v>
      </c>
      <c r="O400">
        <v>0</v>
      </c>
      <c r="P400">
        <v>0</v>
      </c>
      <c r="Q400">
        <v>0</v>
      </c>
      <c r="R400" t="s">
        <v>79</v>
      </c>
      <c r="S400">
        <v>0</v>
      </c>
      <c r="T400" t="s">
        <v>80</v>
      </c>
      <c r="U400" t="s">
        <v>80</v>
      </c>
      <c r="V400" t="s">
        <v>464</v>
      </c>
      <c r="W400" t="s">
        <v>1460</v>
      </c>
      <c r="X400" t="s">
        <v>2733</v>
      </c>
      <c r="Y400" t="s">
        <v>2734</v>
      </c>
      <c r="Z400" t="s">
        <v>80</v>
      </c>
      <c r="AA400" t="s">
        <v>85</v>
      </c>
      <c r="AC400" t="s">
        <v>2735</v>
      </c>
      <c r="AD400" t="s">
        <v>87</v>
      </c>
      <c r="AF400" t="s">
        <v>2082</v>
      </c>
      <c r="AG400" t="s">
        <v>2736</v>
      </c>
      <c r="AH400" t="s">
        <v>91</v>
      </c>
      <c r="AI400" t="s">
        <v>216</v>
      </c>
      <c r="AJ400" t="s">
        <v>93</v>
      </c>
      <c r="AK400" t="s">
        <v>2737</v>
      </c>
      <c r="AL400" t="s">
        <v>95</v>
      </c>
      <c r="AM400" t="s">
        <v>96</v>
      </c>
      <c r="AN400" t="s">
        <v>96</v>
      </c>
      <c r="AP400" t="s">
        <v>78</v>
      </c>
      <c r="AQ400" t="s">
        <v>78</v>
      </c>
      <c r="AS400" t="s">
        <v>78</v>
      </c>
      <c r="AT400" t="s">
        <v>100</v>
      </c>
      <c r="AU400" t="s">
        <v>100</v>
      </c>
      <c r="AW400" t="s">
        <v>85</v>
      </c>
      <c r="AX400" t="s">
        <v>101</v>
      </c>
      <c r="AY400" t="s">
        <v>102</v>
      </c>
      <c r="AZ400" t="s">
        <v>145</v>
      </c>
      <c r="BA400" t="s">
        <v>525</v>
      </c>
      <c r="BB400" t="s">
        <v>78</v>
      </c>
      <c r="BC400" t="s">
        <v>78</v>
      </c>
      <c r="BD400" t="s">
        <v>1878</v>
      </c>
      <c r="BE400">
        <v>0</v>
      </c>
      <c r="BF400">
        <v>0</v>
      </c>
      <c r="BG400">
        <v>0</v>
      </c>
      <c r="BH400">
        <v>0</v>
      </c>
      <c r="BJ400" t="s">
        <v>85</v>
      </c>
      <c r="BP400" t="s">
        <v>78</v>
      </c>
      <c r="BQ400" t="s">
        <v>78</v>
      </c>
      <c r="BR400" t="s">
        <v>78</v>
      </c>
    </row>
    <row r="401" customFormat="1" spans="1:70">
      <c r="A401" t="s">
        <v>4276</v>
      </c>
      <c r="B401" t="s">
        <v>4276</v>
      </c>
      <c r="C401" t="s">
        <v>2739</v>
      </c>
      <c r="D401" t="s">
        <v>1038</v>
      </c>
      <c r="E401">
        <v>1</v>
      </c>
      <c r="F401" t="s">
        <v>4277</v>
      </c>
      <c r="G401" t="s">
        <v>2741</v>
      </c>
      <c r="H401">
        <v>89</v>
      </c>
      <c r="I401">
        <v>82.78</v>
      </c>
      <c r="J401">
        <v>0</v>
      </c>
      <c r="K401">
        <v>6.22</v>
      </c>
      <c r="L401" t="s">
        <v>2742</v>
      </c>
      <c r="M401" t="s">
        <v>78</v>
      </c>
      <c r="N401" t="s">
        <v>78</v>
      </c>
      <c r="O401">
        <v>0</v>
      </c>
      <c r="P401">
        <v>0</v>
      </c>
      <c r="Q401">
        <v>0</v>
      </c>
      <c r="R401" t="s">
        <v>125</v>
      </c>
      <c r="S401">
        <v>0</v>
      </c>
      <c r="T401" t="s">
        <v>80</v>
      </c>
      <c r="U401" t="s">
        <v>80</v>
      </c>
      <c r="V401" t="s">
        <v>464</v>
      </c>
      <c r="W401" t="s">
        <v>542</v>
      </c>
      <c r="X401" t="s">
        <v>2148</v>
      </c>
      <c r="Y401" t="s">
        <v>2149</v>
      </c>
      <c r="Z401" t="s">
        <v>80</v>
      </c>
      <c r="AA401" t="s">
        <v>85</v>
      </c>
      <c r="AC401" t="s">
        <v>2743</v>
      </c>
      <c r="AD401" t="s">
        <v>202</v>
      </c>
      <c r="AE401" t="s">
        <v>2744</v>
      </c>
      <c r="AG401" t="s">
        <v>2745</v>
      </c>
      <c r="AH401" t="s">
        <v>91</v>
      </c>
      <c r="AI401" t="s">
        <v>216</v>
      </c>
      <c r="AJ401" t="s">
        <v>131</v>
      </c>
      <c r="AK401" t="s">
        <v>2746</v>
      </c>
      <c r="AL401" t="s">
        <v>95</v>
      </c>
      <c r="AM401" t="s">
        <v>96</v>
      </c>
      <c r="AN401" t="s">
        <v>96</v>
      </c>
      <c r="AP401" t="s">
        <v>78</v>
      </c>
      <c r="AQ401" t="s">
        <v>99</v>
      </c>
      <c r="AS401" t="s">
        <v>78</v>
      </c>
      <c r="AT401" t="s">
        <v>100</v>
      </c>
      <c r="AU401" t="s">
        <v>100</v>
      </c>
      <c r="AW401" t="s">
        <v>85</v>
      </c>
      <c r="AX401" t="s">
        <v>101</v>
      </c>
      <c r="AY401" t="s">
        <v>102</v>
      </c>
      <c r="AZ401" t="s">
        <v>145</v>
      </c>
      <c r="BA401" t="s">
        <v>354</v>
      </c>
      <c r="BB401" t="s">
        <v>78</v>
      </c>
      <c r="BC401" t="s">
        <v>78</v>
      </c>
      <c r="BD401" t="s">
        <v>2747</v>
      </c>
      <c r="BE401">
        <v>0</v>
      </c>
      <c r="BF401">
        <v>6.22</v>
      </c>
      <c r="BG401">
        <v>0</v>
      </c>
      <c r="BH401">
        <v>0</v>
      </c>
      <c r="BJ401" t="s">
        <v>85</v>
      </c>
      <c r="BP401" t="s">
        <v>78</v>
      </c>
      <c r="BQ401" t="s">
        <v>78</v>
      </c>
      <c r="BR401" t="s">
        <v>78</v>
      </c>
    </row>
    <row r="402" customFormat="1" spans="1:70">
      <c r="A402" t="s">
        <v>4278</v>
      </c>
      <c r="B402" t="s">
        <v>4278</v>
      </c>
      <c r="C402" t="s">
        <v>2749</v>
      </c>
      <c r="D402" t="s">
        <v>108</v>
      </c>
      <c r="E402">
        <v>1</v>
      </c>
      <c r="F402" t="s">
        <v>4279</v>
      </c>
      <c r="G402" t="s">
        <v>2751</v>
      </c>
      <c r="H402">
        <v>119</v>
      </c>
      <c r="I402">
        <v>119</v>
      </c>
      <c r="J402">
        <v>0</v>
      </c>
      <c r="K402">
        <v>0</v>
      </c>
      <c r="L402" t="s">
        <v>78</v>
      </c>
      <c r="M402" t="s">
        <v>78</v>
      </c>
      <c r="N402" t="s">
        <v>78</v>
      </c>
      <c r="O402">
        <v>0</v>
      </c>
      <c r="P402">
        <v>0</v>
      </c>
      <c r="Q402">
        <v>0</v>
      </c>
      <c r="R402" t="s">
        <v>125</v>
      </c>
      <c r="S402">
        <v>0</v>
      </c>
      <c r="T402" t="s">
        <v>80</v>
      </c>
      <c r="U402" t="s">
        <v>80</v>
      </c>
      <c r="V402" t="s">
        <v>161</v>
      </c>
      <c r="W402" t="s">
        <v>161</v>
      </c>
      <c r="X402" t="s">
        <v>2752</v>
      </c>
      <c r="Y402" t="s">
        <v>2753</v>
      </c>
      <c r="Z402" t="s">
        <v>80</v>
      </c>
      <c r="AA402" t="s">
        <v>85</v>
      </c>
      <c r="AC402" t="s">
        <v>2754</v>
      </c>
      <c r="AD402" t="s">
        <v>202</v>
      </c>
      <c r="AE402" t="s">
        <v>2755</v>
      </c>
      <c r="AG402" t="s">
        <v>2756</v>
      </c>
      <c r="AH402" t="s">
        <v>91</v>
      </c>
      <c r="AI402" t="s">
        <v>216</v>
      </c>
      <c r="AJ402" t="s">
        <v>131</v>
      </c>
      <c r="AK402" t="s">
        <v>2757</v>
      </c>
      <c r="AL402" t="s">
        <v>95</v>
      </c>
      <c r="AM402" t="s">
        <v>96</v>
      </c>
      <c r="AN402" t="s">
        <v>96</v>
      </c>
      <c r="AP402" t="s">
        <v>78</v>
      </c>
      <c r="AQ402" t="s">
        <v>99</v>
      </c>
      <c r="AS402" t="s">
        <v>78</v>
      </c>
      <c r="AT402" t="s">
        <v>100</v>
      </c>
      <c r="AU402" t="s">
        <v>100</v>
      </c>
      <c r="AW402" t="s">
        <v>85</v>
      </c>
      <c r="AX402" t="s">
        <v>101</v>
      </c>
      <c r="AY402" t="s">
        <v>102</v>
      </c>
      <c r="AZ402" t="s">
        <v>145</v>
      </c>
      <c r="BA402" t="s">
        <v>218</v>
      </c>
      <c r="BB402" t="s">
        <v>78</v>
      </c>
      <c r="BC402" t="s">
        <v>78</v>
      </c>
      <c r="BD402" t="s">
        <v>2758</v>
      </c>
      <c r="BE402">
        <v>0</v>
      </c>
      <c r="BF402">
        <v>0</v>
      </c>
      <c r="BG402">
        <v>0</v>
      </c>
      <c r="BH402">
        <v>0</v>
      </c>
      <c r="BJ402" t="s">
        <v>85</v>
      </c>
      <c r="BP402" t="s">
        <v>78</v>
      </c>
      <c r="BQ402" t="s">
        <v>78</v>
      </c>
      <c r="BR402" t="s">
        <v>78</v>
      </c>
    </row>
    <row r="403" customFormat="1" spans="1:70">
      <c r="A403" t="s">
        <v>4280</v>
      </c>
      <c r="B403" t="s">
        <v>4280</v>
      </c>
      <c r="C403" t="s">
        <v>2760</v>
      </c>
      <c r="D403" t="s">
        <v>2761</v>
      </c>
      <c r="E403">
        <v>1</v>
      </c>
      <c r="F403" t="s">
        <v>4281</v>
      </c>
      <c r="G403" t="s">
        <v>2763</v>
      </c>
      <c r="H403">
        <v>299</v>
      </c>
      <c r="I403">
        <v>299</v>
      </c>
      <c r="J403">
        <v>0</v>
      </c>
      <c r="K403">
        <v>0</v>
      </c>
      <c r="L403" t="s">
        <v>78</v>
      </c>
      <c r="M403" t="s">
        <v>78</v>
      </c>
      <c r="N403" t="s">
        <v>78</v>
      </c>
      <c r="O403">
        <v>0</v>
      </c>
      <c r="P403">
        <v>0</v>
      </c>
      <c r="Q403">
        <v>0</v>
      </c>
      <c r="R403" t="s">
        <v>79</v>
      </c>
      <c r="S403">
        <v>0</v>
      </c>
      <c r="T403" t="s">
        <v>80</v>
      </c>
      <c r="U403" t="s">
        <v>80</v>
      </c>
      <c r="V403" t="s">
        <v>556</v>
      </c>
      <c r="W403" t="s">
        <v>953</v>
      </c>
      <c r="X403" t="s">
        <v>2764</v>
      </c>
      <c r="Y403" t="s">
        <v>2765</v>
      </c>
      <c r="Z403" t="s">
        <v>80</v>
      </c>
      <c r="AA403" t="s">
        <v>85</v>
      </c>
      <c r="AC403" t="s">
        <v>2766</v>
      </c>
      <c r="AD403" t="s">
        <v>87</v>
      </c>
      <c r="AH403" t="s">
        <v>91</v>
      </c>
      <c r="AI403" t="s">
        <v>216</v>
      </c>
      <c r="AJ403" t="s">
        <v>131</v>
      </c>
      <c r="AK403" t="s">
        <v>2767</v>
      </c>
      <c r="AL403" t="s">
        <v>95</v>
      </c>
      <c r="AM403" t="s">
        <v>96</v>
      </c>
      <c r="AN403" t="s">
        <v>96</v>
      </c>
      <c r="AP403" t="s">
        <v>78</v>
      </c>
      <c r="AQ403" t="s">
        <v>78</v>
      </c>
      <c r="AR403" t="s">
        <v>195</v>
      </c>
      <c r="AS403" t="s">
        <v>78</v>
      </c>
      <c r="AT403" t="s">
        <v>100</v>
      </c>
      <c r="AU403" t="s">
        <v>100</v>
      </c>
      <c r="AW403" t="s">
        <v>85</v>
      </c>
      <c r="AX403" t="s">
        <v>101</v>
      </c>
      <c r="AY403" t="s">
        <v>102</v>
      </c>
      <c r="AZ403" t="s">
        <v>145</v>
      </c>
      <c r="BA403" t="s">
        <v>218</v>
      </c>
      <c r="BB403" t="s">
        <v>78</v>
      </c>
      <c r="BC403" t="s">
        <v>78</v>
      </c>
      <c r="BE403">
        <v>0</v>
      </c>
      <c r="BF403">
        <v>0</v>
      </c>
      <c r="BG403">
        <v>0</v>
      </c>
      <c r="BH403">
        <v>0</v>
      </c>
      <c r="BJ403" t="s">
        <v>85</v>
      </c>
      <c r="BP403" t="s">
        <v>78</v>
      </c>
      <c r="BQ403" t="s">
        <v>78</v>
      </c>
      <c r="BR403" t="s">
        <v>78</v>
      </c>
    </row>
    <row r="404" customFormat="1" spans="1:70">
      <c r="A404" t="s">
        <v>4282</v>
      </c>
      <c r="B404" t="s">
        <v>4282</v>
      </c>
      <c r="C404" t="s">
        <v>2769</v>
      </c>
      <c r="D404" t="s">
        <v>2770</v>
      </c>
      <c r="E404">
        <v>1</v>
      </c>
      <c r="F404" t="s">
        <v>4283</v>
      </c>
      <c r="G404" t="s">
        <v>2772</v>
      </c>
      <c r="H404">
        <v>299</v>
      </c>
      <c r="I404">
        <v>299</v>
      </c>
      <c r="J404">
        <v>0</v>
      </c>
      <c r="K404">
        <v>0</v>
      </c>
      <c r="L404" t="s">
        <v>78</v>
      </c>
      <c r="M404" t="s">
        <v>78</v>
      </c>
      <c r="N404" t="s">
        <v>78</v>
      </c>
      <c r="O404">
        <v>0</v>
      </c>
      <c r="P404">
        <v>0</v>
      </c>
      <c r="Q404">
        <v>0</v>
      </c>
      <c r="R404" t="s">
        <v>79</v>
      </c>
      <c r="S404">
        <v>0</v>
      </c>
      <c r="T404" t="s">
        <v>80</v>
      </c>
      <c r="U404" t="s">
        <v>80</v>
      </c>
      <c r="V404" t="s">
        <v>500</v>
      </c>
      <c r="W404" t="s">
        <v>991</v>
      </c>
      <c r="X404" t="s">
        <v>992</v>
      </c>
      <c r="Y404" t="s">
        <v>2773</v>
      </c>
      <c r="Z404" t="s">
        <v>80</v>
      </c>
      <c r="AA404" t="s">
        <v>85</v>
      </c>
      <c r="AC404" t="s">
        <v>2774</v>
      </c>
      <c r="AD404" t="s">
        <v>87</v>
      </c>
      <c r="AG404" t="s">
        <v>2775</v>
      </c>
      <c r="AH404" t="s">
        <v>227</v>
      </c>
      <c r="AI404" t="s">
        <v>216</v>
      </c>
      <c r="AJ404" t="s">
        <v>131</v>
      </c>
      <c r="AK404" t="s">
        <v>2776</v>
      </c>
      <c r="AL404" t="s">
        <v>95</v>
      </c>
      <c r="AM404" t="s">
        <v>96</v>
      </c>
      <c r="AN404" t="s">
        <v>96</v>
      </c>
      <c r="AP404" t="s">
        <v>78</v>
      </c>
      <c r="AQ404" t="s">
        <v>99</v>
      </c>
      <c r="AS404" t="s">
        <v>78</v>
      </c>
      <c r="AT404" t="s">
        <v>100</v>
      </c>
      <c r="AU404" t="s">
        <v>100</v>
      </c>
      <c r="AW404" t="s">
        <v>85</v>
      </c>
      <c r="AX404" t="s">
        <v>101</v>
      </c>
      <c r="AY404" t="s">
        <v>102</v>
      </c>
      <c r="AZ404" t="s">
        <v>145</v>
      </c>
      <c r="BA404" t="s">
        <v>218</v>
      </c>
      <c r="BB404" t="s">
        <v>78</v>
      </c>
      <c r="BC404" t="s">
        <v>78</v>
      </c>
      <c r="BE404">
        <v>0</v>
      </c>
      <c r="BF404">
        <v>0</v>
      </c>
      <c r="BG404">
        <v>0</v>
      </c>
      <c r="BH404">
        <v>0</v>
      </c>
      <c r="BJ404" t="s">
        <v>85</v>
      </c>
      <c r="BP404" t="s">
        <v>78</v>
      </c>
      <c r="BQ404" t="s">
        <v>78</v>
      </c>
      <c r="BR404" t="s">
        <v>78</v>
      </c>
    </row>
    <row r="405" customFormat="1" spans="1:70">
      <c r="A405" t="s">
        <v>4284</v>
      </c>
      <c r="B405" t="s">
        <v>4284</v>
      </c>
      <c r="C405" t="s">
        <v>2769</v>
      </c>
      <c r="D405" t="s">
        <v>2778</v>
      </c>
      <c r="E405">
        <v>1</v>
      </c>
      <c r="F405" t="s">
        <v>4283</v>
      </c>
      <c r="G405" t="s">
        <v>2779</v>
      </c>
      <c r="H405">
        <v>299</v>
      </c>
      <c r="I405">
        <v>299</v>
      </c>
      <c r="J405">
        <v>0</v>
      </c>
      <c r="K405">
        <v>0</v>
      </c>
      <c r="L405" t="s">
        <v>78</v>
      </c>
      <c r="M405" t="s">
        <v>78</v>
      </c>
      <c r="N405" t="s">
        <v>78</v>
      </c>
      <c r="O405">
        <v>0</v>
      </c>
      <c r="P405">
        <v>0</v>
      </c>
      <c r="Q405">
        <v>0</v>
      </c>
      <c r="R405" t="s">
        <v>79</v>
      </c>
      <c r="S405">
        <v>0</v>
      </c>
      <c r="T405" t="s">
        <v>80</v>
      </c>
      <c r="U405" t="s">
        <v>80</v>
      </c>
      <c r="V405" t="s">
        <v>500</v>
      </c>
      <c r="W405" t="s">
        <v>991</v>
      </c>
      <c r="X405" t="s">
        <v>992</v>
      </c>
      <c r="Y405" t="s">
        <v>2773</v>
      </c>
      <c r="Z405" t="s">
        <v>80</v>
      </c>
      <c r="AA405" t="s">
        <v>85</v>
      </c>
      <c r="AC405" t="s">
        <v>2780</v>
      </c>
      <c r="AD405" t="s">
        <v>202</v>
      </c>
      <c r="AE405" t="s">
        <v>2781</v>
      </c>
      <c r="AG405" t="s">
        <v>2782</v>
      </c>
      <c r="AH405" t="s">
        <v>227</v>
      </c>
      <c r="AI405" t="s">
        <v>216</v>
      </c>
      <c r="AJ405" t="s">
        <v>131</v>
      </c>
      <c r="AK405" t="s">
        <v>2783</v>
      </c>
      <c r="AL405" t="s">
        <v>95</v>
      </c>
      <c r="AM405" t="s">
        <v>96</v>
      </c>
      <c r="AN405" t="s">
        <v>96</v>
      </c>
      <c r="AP405" t="s">
        <v>78</v>
      </c>
      <c r="AQ405" t="s">
        <v>99</v>
      </c>
      <c r="AS405" t="s">
        <v>78</v>
      </c>
      <c r="AT405" t="s">
        <v>100</v>
      </c>
      <c r="AU405" t="s">
        <v>100</v>
      </c>
      <c r="AW405" t="s">
        <v>85</v>
      </c>
      <c r="AX405" t="s">
        <v>101</v>
      </c>
      <c r="AY405" t="s">
        <v>102</v>
      </c>
      <c r="AZ405" t="s">
        <v>145</v>
      </c>
      <c r="BA405" t="s">
        <v>102</v>
      </c>
      <c r="BB405" t="s">
        <v>78</v>
      </c>
      <c r="BC405" t="s">
        <v>78</v>
      </c>
      <c r="BD405" t="s">
        <v>2784</v>
      </c>
      <c r="BE405">
        <v>0</v>
      </c>
      <c r="BF405">
        <v>0</v>
      </c>
      <c r="BG405">
        <v>0</v>
      </c>
      <c r="BH405">
        <v>0</v>
      </c>
      <c r="BJ405" t="s">
        <v>85</v>
      </c>
      <c r="BP405" t="s">
        <v>78</v>
      </c>
      <c r="BQ405" t="s">
        <v>78</v>
      </c>
      <c r="BR405" t="s">
        <v>78</v>
      </c>
    </row>
    <row r="406" customFormat="1" spans="1:70">
      <c r="A406" t="s">
        <v>4285</v>
      </c>
      <c r="B406" t="s">
        <v>4285</v>
      </c>
      <c r="C406" t="s">
        <v>107</v>
      </c>
      <c r="D406" t="s">
        <v>108</v>
      </c>
      <c r="E406">
        <v>1</v>
      </c>
      <c r="F406" t="s">
        <v>3857</v>
      </c>
      <c r="G406" t="s">
        <v>110</v>
      </c>
      <c r="H406">
        <v>289</v>
      </c>
      <c r="I406">
        <v>289</v>
      </c>
      <c r="J406">
        <v>0</v>
      </c>
      <c r="K406">
        <v>0</v>
      </c>
      <c r="L406" t="s">
        <v>78</v>
      </c>
      <c r="M406" t="s">
        <v>78</v>
      </c>
      <c r="N406" t="s">
        <v>78</v>
      </c>
      <c r="O406">
        <v>0</v>
      </c>
      <c r="P406">
        <v>0</v>
      </c>
      <c r="Q406">
        <v>0</v>
      </c>
      <c r="R406" t="s">
        <v>125</v>
      </c>
      <c r="S406">
        <v>0</v>
      </c>
      <c r="T406" t="s">
        <v>80</v>
      </c>
      <c r="U406" t="s">
        <v>80</v>
      </c>
      <c r="V406" t="s">
        <v>509</v>
      </c>
      <c r="W406" t="s">
        <v>510</v>
      </c>
      <c r="X406" t="s">
        <v>511</v>
      </c>
      <c r="Y406" t="s">
        <v>512</v>
      </c>
      <c r="Z406" t="s">
        <v>80</v>
      </c>
      <c r="AA406" t="s">
        <v>85</v>
      </c>
      <c r="AC406" t="s">
        <v>2786</v>
      </c>
      <c r="AD406" t="s">
        <v>87</v>
      </c>
      <c r="AH406" t="s">
        <v>91</v>
      </c>
      <c r="AI406" t="s">
        <v>92</v>
      </c>
      <c r="AJ406" t="s">
        <v>131</v>
      </c>
      <c r="AK406" t="s">
        <v>2787</v>
      </c>
      <c r="AL406" t="s">
        <v>95</v>
      </c>
      <c r="AM406" t="s">
        <v>96</v>
      </c>
      <c r="AN406" t="s">
        <v>97</v>
      </c>
      <c r="AO406" t="s">
        <v>98</v>
      </c>
      <c r="AP406" t="s">
        <v>78</v>
      </c>
      <c r="AQ406" t="s">
        <v>78</v>
      </c>
      <c r="AR406" t="s">
        <v>353</v>
      </c>
      <c r="AS406" t="s">
        <v>78</v>
      </c>
      <c r="AT406" t="s">
        <v>100</v>
      </c>
      <c r="AU406" t="s">
        <v>100</v>
      </c>
      <c r="AW406" t="s">
        <v>85</v>
      </c>
      <c r="AX406" t="s">
        <v>101</v>
      </c>
      <c r="AY406" t="s">
        <v>102</v>
      </c>
      <c r="AZ406" t="s">
        <v>145</v>
      </c>
      <c r="BA406" t="s">
        <v>146</v>
      </c>
      <c r="BB406" t="s">
        <v>78</v>
      </c>
      <c r="BC406" t="s">
        <v>78</v>
      </c>
      <c r="BE406">
        <v>0</v>
      </c>
      <c r="BF406">
        <v>0</v>
      </c>
      <c r="BG406">
        <v>0</v>
      </c>
      <c r="BH406">
        <v>0</v>
      </c>
      <c r="BJ406" t="s">
        <v>85</v>
      </c>
      <c r="BP406" t="s">
        <v>78</v>
      </c>
      <c r="BQ406" t="s">
        <v>78</v>
      </c>
      <c r="BR406" t="s">
        <v>78</v>
      </c>
    </row>
    <row r="407" customFormat="1" spans="1:70">
      <c r="A407" t="s">
        <v>4286</v>
      </c>
      <c r="B407" t="s">
        <v>4286</v>
      </c>
      <c r="C407" t="s">
        <v>2789</v>
      </c>
      <c r="D407" t="s">
        <v>135</v>
      </c>
      <c r="E407">
        <v>1</v>
      </c>
      <c r="F407" t="s">
        <v>4287</v>
      </c>
      <c r="G407" t="s">
        <v>2791</v>
      </c>
      <c r="H407">
        <v>389</v>
      </c>
      <c r="I407">
        <v>389</v>
      </c>
      <c r="J407">
        <v>0</v>
      </c>
      <c r="K407">
        <v>0</v>
      </c>
      <c r="L407" t="s">
        <v>78</v>
      </c>
      <c r="M407" t="s">
        <v>78</v>
      </c>
      <c r="N407" t="s">
        <v>78</v>
      </c>
      <c r="O407">
        <v>0</v>
      </c>
      <c r="P407">
        <v>0</v>
      </c>
      <c r="Q407">
        <v>0</v>
      </c>
      <c r="R407" t="s">
        <v>111</v>
      </c>
      <c r="S407">
        <v>0</v>
      </c>
      <c r="T407" t="s">
        <v>80</v>
      </c>
      <c r="U407" t="s">
        <v>80</v>
      </c>
      <c r="V407" t="s">
        <v>556</v>
      </c>
      <c r="W407" t="s">
        <v>2792</v>
      </c>
      <c r="X407" t="s">
        <v>2793</v>
      </c>
      <c r="Y407" t="s">
        <v>2794</v>
      </c>
      <c r="Z407" t="s">
        <v>80</v>
      </c>
      <c r="AA407" t="s">
        <v>85</v>
      </c>
      <c r="AC407" t="s">
        <v>2795</v>
      </c>
      <c r="AD407" t="s">
        <v>202</v>
      </c>
      <c r="AE407" t="s">
        <v>2796</v>
      </c>
      <c r="AG407" t="s">
        <v>2797</v>
      </c>
      <c r="AH407" t="s">
        <v>227</v>
      </c>
      <c r="AI407" t="s">
        <v>216</v>
      </c>
      <c r="AJ407" t="s">
        <v>131</v>
      </c>
      <c r="AK407" t="s">
        <v>2798</v>
      </c>
      <c r="AL407" t="s">
        <v>95</v>
      </c>
      <c r="AM407" t="s">
        <v>96</v>
      </c>
      <c r="AN407" t="s">
        <v>96</v>
      </c>
      <c r="AP407" t="s">
        <v>78</v>
      </c>
      <c r="AQ407" t="s">
        <v>99</v>
      </c>
      <c r="AS407" t="s">
        <v>78</v>
      </c>
      <c r="AT407" t="s">
        <v>100</v>
      </c>
      <c r="AU407" t="s">
        <v>100</v>
      </c>
      <c r="AW407" t="s">
        <v>85</v>
      </c>
      <c r="AX407" t="s">
        <v>101</v>
      </c>
      <c r="AY407" t="s">
        <v>102</v>
      </c>
      <c r="AZ407" t="s">
        <v>145</v>
      </c>
      <c r="BA407" t="s">
        <v>218</v>
      </c>
      <c r="BB407" t="s">
        <v>78</v>
      </c>
      <c r="BC407" t="s">
        <v>78</v>
      </c>
      <c r="BD407" t="s">
        <v>2799</v>
      </c>
      <c r="BE407">
        <v>0</v>
      </c>
      <c r="BF407">
        <v>0</v>
      </c>
      <c r="BG407">
        <v>0</v>
      </c>
      <c r="BH407">
        <v>0</v>
      </c>
      <c r="BJ407" t="s">
        <v>85</v>
      </c>
      <c r="BP407" t="s">
        <v>78</v>
      </c>
      <c r="BQ407" t="s">
        <v>78</v>
      </c>
      <c r="BR407" t="s">
        <v>78</v>
      </c>
    </row>
    <row r="408" customFormat="1" spans="1:70">
      <c r="A408" t="s">
        <v>4288</v>
      </c>
      <c r="B408" t="s">
        <v>4288</v>
      </c>
      <c r="C408" t="s">
        <v>2801</v>
      </c>
      <c r="D408" t="s">
        <v>2802</v>
      </c>
      <c r="E408">
        <v>1</v>
      </c>
      <c r="F408" t="s">
        <v>4289</v>
      </c>
      <c r="G408" t="s">
        <v>2804</v>
      </c>
      <c r="H408">
        <v>329</v>
      </c>
      <c r="I408">
        <v>329</v>
      </c>
      <c r="J408">
        <v>0</v>
      </c>
      <c r="K408">
        <v>0</v>
      </c>
      <c r="L408" t="s">
        <v>78</v>
      </c>
      <c r="M408" t="s">
        <v>78</v>
      </c>
      <c r="N408" t="s">
        <v>78</v>
      </c>
      <c r="O408">
        <v>0</v>
      </c>
      <c r="P408">
        <v>0</v>
      </c>
      <c r="Q408">
        <v>0</v>
      </c>
      <c r="R408" t="s">
        <v>125</v>
      </c>
      <c r="S408">
        <v>0</v>
      </c>
      <c r="T408" t="s">
        <v>80</v>
      </c>
      <c r="U408" t="s">
        <v>80</v>
      </c>
      <c r="V408" t="s">
        <v>574</v>
      </c>
      <c r="W408" t="s">
        <v>574</v>
      </c>
      <c r="X408" t="s">
        <v>809</v>
      </c>
      <c r="Y408" t="s">
        <v>2805</v>
      </c>
      <c r="Z408" t="s">
        <v>80</v>
      </c>
      <c r="AA408" t="s">
        <v>85</v>
      </c>
      <c r="AC408" t="s">
        <v>2806</v>
      </c>
      <c r="AD408" t="s">
        <v>202</v>
      </c>
      <c r="AE408" t="s">
        <v>2807</v>
      </c>
      <c r="AG408" t="s">
        <v>2808</v>
      </c>
      <c r="AH408" t="s">
        <v>91</v>
      </c>
      <c r="AI408" t="s">
        <v>216</v>
      </c>
      <c r="AJ408" t="s">
        <v>131</v>
      </c>
      <c r="AK408" t="s">
        <v>2809</v>
      </c>
      <c r="AL408" t="s">
        <v>95</v>
      </c>
      <c r="AM408" t="s">
        <v>96</v>
      </c>
      <c r="AN408" t="s">
        <v>96</v>
      </c>
      <c r="AP408" t="s">
        <v>78</v>
      </c>
      <c r="AQ408" t="s">
        <v>99</v>
      </c>
      <c r="AS408" t="s">
        <v>78</v>
      </c>
      <c r="AT408" t="s">
        <v>100</v>
      </c>
      <c r="AU408" t="s">
        <v>100</v>
      </c>
      <c r="AW408" t="s">
        <v>85</v>
      </c>
      <c r="AX408" t="s">
        <v>101</v>
      </c>
      <c r="AY408" t="s">
        <v>102</v>
      </c>
      <c r="AZ408" t="s">
        <v>145</v>
      </c>
      <c r="BA408" t="s">
        <v>1035</v>
      </c>
      <c r="BB408" t="s">
        <v>78</v>
      </c>
      <c r="BC408" t="s">
        <v>78</v>
      </c>
      <c r="BD408" t="s">
        <v>2810</v>
      </c>
      <c r="BE408">
        <v>0</v>
      </c>
      <c r="BF408">
        <v>0</v>
      </c>
      <c r="BG408">
        <v>0</v>
      </c>
      <c r="BH408">
        <v>0</v>
      </c>
      <c r="BJ408" t="s">
        <v>85</v>
      </c>
      <c r="BP408" t="s">
        <v>78</v>
      </c>
      <c r="BQ408" t="s">
        <v>78</v>
      </c>
      <c r="BR408" t="s">
        <v>78</v>
      </c>
    </row>
    <row r="409" customFormat="1" spans="1:70">
      <c r="A409" t="s">
        <v>4290</v>
      </c>
      <c r="B409" t="s">
        <v>4290</v>
      </c>
      <c r="C409" t="s">
        <v>2812</v>
      </c>
      <c r="D409" t="s">
        <v>2813</v>
      </c>
      <c r="E409">
        <v>1</v>
      </c>
      <c r="F409" t="s">
        <v>4291</v>
      </c>
      <c r="G409" t="s">
        <v>2815</v>
      </c>
      <c r="H409">
        <v>439</v>
      </c>
      <c r="I409">
        <v>387</v>
      </c>
      <c r="J409">
        <v>0</v>
      </c>
      <c r="K409">
        <v>52</v>
      </c>
      <c r="L409" t="s">
        <v>2816</v>
      </c>
      <c r="M409" t="s">
        <v>78</v>
      </c>
      <c r="N409" t="s">
        <v>78</v>
      </c>
      <c r="O409">
        <v>0</v>
      </c>
      <c r="P409">
        <v>0</v>
      </c>
      <c r="Q409">
        <v>0</v>
      </c>
      <c r="R409" t="s">
        <v>125</v>
      </c>
      <c r="S409">
        <v>0</v>
      </c>
      <c r="T409" t="s">
        <v>80</v>
      </c>
      <c r="U409" t="s">
        <v>80</v>
      </c>
      <c r="V409" t="s">
        <v>302</v>
      </c>
      <c r="W409" t="s">
        <v>412</v>
      </c>
      <c r="X409" t="s">
        <v>2817</v>
      </c>
      <c r="Y409" t="s">
        <v>2818</v>
      </c>
      <c r="Z409" t="s">
        <v>80</v>
      </c>
      <c r="AA409" t="s">
        <v>85</v>
      </c>
      <c r="AC409" t="s">
        <v>2819</v>
      </c>
      <c r="AD409" t="s">
        <v>202</v>
      </c>
      <c r="AE409" t="s">
        <v>2820</v>
      </c>
      <c r="AF409" t="s">
        <v>2821</v>
      </c>
      <c r="AG409" t="s">
        <v>2822</v>
      </c>
      <c r="AH409" t="s">
        <v>91</v>
      </c>
      <c r="AI409" t="s">
        <v>216</v>
      </c>
      <c r="AJ409" t="s">
        <v>93</v>
      </c>
      <c r="AK409" t="s">
        <v>2823</v>
      </c>
      <c r="AL409" t="s">
        <v>95</v>
      </c>
      <c r="AM409" t="s">
        <v>96</v>
      </c>
      <c r="AN409" t="s">
        <v>96</v>
      </c>
      <c r="AP409" t="s">
        <v>78</v>
      </c>
      <c r="AQ409" t="s">
        <v>99</v>
      </c>
      <c r="AS409" t="s">
        <v>78</v>
      </c>
      <c r="AT409" t="s">
        <v>100</v>
      </c>
      <c r="AU409" t="s">
        <v>100</v>
      </c>
      <c r="AW409" t="s">
        <v>85</v>
      </c>
      <c r="AX409" t="s">
        <v>101</v>
      </c>
      <c r="AY409" t="s">
        <v>102</v>
      </c>
      <c r="AZ409" t="s">
        <v>145</v>
      </c>
      <c r="BA409" t="s">
        <v>218</v>
      </c>
      <c r="BB409" t="s">
        <v>78</v>
      </c>
      <c r="BC409" t="s">
        <v>78</v>
      </c>
      <c r="BD409" t="s">
        <v>2824</v>
      </c>
      <c r="BE409">
        <v>0</v>
      </c>
      <c r="BF409">
        <v>52</v>
      </c>
      <c r="BG409">
        <v>0</v>
      </c>
      <c r="BH409">
        <v>0</v>
      </c>
      <c r="BJ409" t="s">
        <v>85</v>
      </c>
      <c r="BP409" t="s">
        <v>78</v>
      </c>
      <c r="BQ409" t="s">
        <v>78</v>
      </c>
      <c r="BR409" t="s">
        <v>78</v>
      </c>
    </row>
    <row r="410" customFormat="1" spans="1:70">
      <c r="A410" t="s">
        <v>4292</v>
      </c>
      <c r="B410" t="s">
        <v>4292</v>
      </c>
      <c r="C410" t="s">
        <v>107</v>
      </c>
      <c r="D410" t="s">
        <v>135</v>
      </c>
      <c r="E410">
        <v>1</v>
      </c>
      <c r="F410" t="s">
        <v>3857</v>
      </c>
      <c r="G410" t="s">
        <v>136</v>
      </c>
      <c r="H410">
        <v>289</v>
      </c>
      <c r="I410">
        <v>271</v>
      </c>
      <c r="J410">
        <v>0</v>
      </c>
      <c r="K410">
        <v>18</v>
      </c>
      <c r="L410" t="s">
        <v>2826</v>
      </c>
      <c r="M410" t="s">
        <v>78</v>
      </c>
      <c r="N410" t="s">
        <v>78</v>
      </c>
      <c r="O410">
        <v>0</v>
      </c>
      <c r="P410">
        <v>0</v>
      </c>
      <c r="Q410">
        <v>0</v>
      </c>
      <c r="R410" t="s">
        <v>125</v>
      </c>
      <c r="S410">
        <v>0</v>
      </c>
      <c r="T410" t="s">
        <v>80</v>
      </c>
      <c r="U410" t="s">
        <v>80</v>
      </c>
      <c r="V410" t="s">
        <v>302</v>
      </c>
      <c r="W410" t="s">
        <v>412</v>
      </c>
      <c r="X410" t="s">
        <v>2827</v>
      </c>
      <c r="Y410" t="s">
        <v>2828</v>
      </c>
      <c r="Z410" t="s">
        <v>80</v>
      </c>
      <c r="AA410" t="s">
        <v>85</v>
      </c>
      <c r="AC410" t="s">
        <v>2829</v>
      </c>
      <c r="AD410" t="s">
        <v>87</v>
      </c>
      <c r="AG410" t="s">
        <v>2830</v>
      </c>
      <c r="AH410" t="s">
        <v>91</v>
      </c>
      <c r="AI410" t="s">
        <v>92</v>
      </c>
      <c r="AJ410" t="s">
        <v>131</v>
      </c>
      <c r="AK410" t="s">
        <v>2831</v>
      </c>
      <c r="AL410" t="s">
        <v>95</v>
      </c>
      <c r="AM410" t="s">
        <v>96</v>
      </c>
      <c r="AN410" t="s">
        <v>97</v>
      </c>
      <c r="AO410" t="s">
        <v>98</v>
      </c>
      <c r="AP410" t="s">
        <v>78</v>
      </c>
      <c r="AQ410" t="s">
        <v>99</v>
      </c>
      <c r="AS410" t="s">
        <v>78</v>
      </c>
      <c r="AT410" t="s">
        <v>100</v>
      </c>
      <c r="AU410" t="s">
        <v>100</v>
      </c>
      <c r="AW410" t="s">
        <v>85</v>
      </c>
      <c r="AX410" t="s">
        <v>101</v>
      </c>
      <c r="AY410" t="s">
        <v>102</v>
      </c>
      <c r="AZ410" t="s">
        <v>145</v>
      </c>
      <c r="BA410" t="s">
        <v>146</v>
      </c>
      <c r="BB410" t="s">
        <v>78</v>
      </c>
      <c r="BC410" t="s">
        <v>78</v>
      </c>
      <c r="BE410">
        <v>0</v>
      </c>
      <c r="BF410">
        <v>18</v>
      </c>
      <c r="BG410">
        <v>0</v>
      </c>
      <c r="BH410">
        <v>0</v>
      </c>
      <c r="BJ410" t="s">
        <v>85</v>
      </c>
      <c r="BP410" t="s">
        <v>78</v>
      </c>
      <c r="BQ410" t="s">
        <v>78</v>
      </c>
      <c r="BR410" t="s">
        <v>78</v>
      </c>
    </row>
    <row r="411" customFormat="1" spans="1:70">
      <c r="A411" t="s">
        <v>4293</v>
      </c>
      <c r="B411" t="s">
        <v>4293</v>
      </c>
      <c r="C411" t="s">
        <v>107</v>
      </c>
      <c r="D411" t="s">
        <v>123</v>
      </c>
      <c r="E411">
        <v>1</v>
      </c>
      <c r="F411" t="s">
        <v>3857</v>
      </c>
      <c r="G411" t="s">
        <v>124</v>
      </c>
      <c r="H411">
        <v>289</v>
      </c>
      <c r="I411">
        <v>289</v>
      </c>
      <c r="J411">
        <v>0</v>
      </c>
      <c r="K411">
        <v>0</v>
      </c>
      <c r="L411" t="s">
        <v>78</v>
      </c>
      <c r="M411" t="s">
        <v>78</v>
      </c>
      <c r="N411" t="s">
        <v>78</v>
      </c>
      <c r="O411">
        <v>0</v>
      </c>
      <c r="P411">
        <v>0</v>
      </c>
      <c r="Q411">
        <v>0</v>
      </c>
      <c r="R411" t="s">
        <v>125</v>
      </c>
      <c r="S411">
        <v>0</v>
      </c>
      <c r="T411" t="s">
        <v>80</v>
      </c>
      <c r="U411" t="s">
        <v>80</v>
      </c>
      <c r="V411" t="s">
        <v>302</v>
      </c>
      <c r="W411" t="s">
        <v>2833</v>
      </c>
      <c r="X411" t="s">
        <v>2834</v>
      </c>
      <c r="Y411" t="s">
        <v>2835</v>
      </c>
      <c r="Z411" t="s">
        <v>80</v>
      </c>
      <c r="AA411" t="s">
        <v>85</v>
      </c>
      <c r="AC411" t="s">
        <v>2836</v>
      </c>
      <c r="AD411" t="s">
        <v>202</v>
      </c>
      <c r="AE411" t="s">
        <v>2837</v>
      </c>
      <c r="AG411" t="s">
        <v>2838</v>
      </c>
      <c r="AH411" t="s">
        <v>91</v>
      </c>
      <c r="AI411" t="s">
        <v>92</v>
      </c>
      <c r="AJ411" t="s">
        <v>131</v>
      </c>
      <c r="AK411" t="s">
        <v>2839</v>
      </c>
      <c r="AL411" t="s">
        <v>95</v>
      </c>
      <c r="AM411" t="s">
        <v>96</v>
      </c>
      <c r="AN411" t="s">
        <v>97</v>
      </c>
      <c r="AO411" t="s">
        <v>98</v>
      </c>
      <c r="AP411" t="s">
        <v>78</v>
      </c>
      <c r="AQ411" t="s">
        <v>99</v>
      </c>
      <c r="AS411" t="s">
        <v>78</v>
      </c>
      <c r="AT411" t="s">
        <v>100</v>
      </c>
      <c r="AU411" t="s">
        <v>100</v>
      </c>
      <c r="AW411" t="s">
        <v>85</v>
      </c>
      <c r="AX411" t="s">
        <v>101</v>
      </c>
      <c r="AY411" t="s">
        <v>102</v>
      </c>
      <c r="AZ411" t="s">
        <v>103</v>
      </c>
      <c r="BA411" t="s">
        <v>133</v>
      </c>
      <c r="BB411" t="s">
        <v>78</v>
      </c>
      <c r="BC411" t="s">
        <v>78</v>
      </c>
      <c r="BD411" t="s">
        <v>2840</v>
      </c>
      <c r="BE411">
        <v>0</v>
      </c>
      <c r="BF411">
        <v>0</v>
      </c>
      <c r="BG411">
        <v>0</v>
      </c>
      <c r="BH411">
        <v>0</v>
      </c>
      <c r="BJ411" t="s">
        <v>85</v>
      </c>
      <c r="BP411" t="s">
        <v>78</v>
      </c>
      <c r="BQ411" t="s">
        <v>78</v>
      </c>
      <c r="BR411" t="s">
        <v>78</v>
      </c>
    </row>
    <row r="412" customFormat="1" spans="1:70">
      <c r="A412" t="s">
        <v>4294</v>
      </c>
      <c r="B412" t="s">
        <v>4294</v>
      </c>
      <c r="C412" t="s">
        <v>107</v>
      </c>
      <c r="D412" t="s">
        <v>123</v>
      </c>
      <c r="E412">
        <v>1</v>
      </c>
      <c r="F412" t="s">
        <v>3857</v>
      </c>
      <c r="G412" t="s">
        <v>124</v>
      </c>
      <c r="H412">
        <v>289</v>
      </c>
      <c r="I412">
        <v>289</v>
      </c>
      <c r="J412">
        <v>0</v>
      </c>
      <c r="K412">
        <v>0</v>
      </c>
      <c r="L412" t="s">
        <v>78</v>
      </c>
      <c r="M412" t="s">
        <v>78</v>
      </c>
      <c r="N412" t="s">
        <v>78</v>
      </c>
      <c r="O412">
        <v>0</v>
      </c>
      <c r="P412">
        <v>0</v>
      </c>
      <c r="Q412">
        <v>0</v>
      </c>
      <c r="R412" t="s">
        <v>79</v>
      </c>
      <c r="S412">
        <v>0</v>
      </c>
      <c r="T412" t="s">
        <v>80</v>
      </c>
      <c r="U412" t="s">
        <v>80</v>
      </c>
      <c r="V412" t="s">
        <v>239</v>
      </c>
      <c r="W412" t="s">
        <v>2439</v>
      </c>
      <c r="X412" t="s">
        <v>2440</v>
      </c>
      <c r="Y412" t="s">
        <v>2441</v>
      </c>
      <c r="Z412" t="s">
        <v>80</v>
      </c>
      <c r="AA412" t="s">
        <v>85</v>
      </c>
      <c r="AC412" t="s">
        <v>2842</v>
      </c>
      <c r="AD412" t="s">
        <v>87</v>
      </c>
      <c r="AG412" t="s">
        <v>2843</v>
      </c>
      <c r="AH412" t="s">
        <v>91</v>
      </c>
      <c r="AI412" t="s">
        <v>92</v>
      </c>
      <c r="AJ412" t="s">
        <v>131</v>
      </c>
      <c r="AK412" t="s">
        <v>2844</v>
      </c>
      <c r="AL412" t="s">
        <v>95</v>
      </c>
      <c r="AM412" t="s">
        <v>96</v>
      </c>
      <c r="AN412" t="s">
        <v>97</v>
      </c>
      <c r="AO412" t="s">
        <v>98</v>
      </c>
      <c r="AP412" t="s">
        <v>78</v>
      </c>
      <c r="AQ412" t="s">
        <v>99</v>
      </c>
      <c r="AS412" t="s">
        <v>78</v>
      </c>
      <c r="AT412" t="s">
        <v>100</v>
      </c>
      <c r="AU412" t="s">
        <v>100</v>
      </c>
      <c r="AW412" t="s">
        <v>85</v>
      </c>
      <c r="AX412" t="s">
        <v>101</v>
      </c>
      <c r="AY412" t="s">
        <v>102</v>
      </c>
      <c r="AZ412" t="s">
        <v>103</v>
      </c>
      <c r="BA412" t="s">
        <v>245</v>
      </c>
      <c r="BB412" t="s">
        <v>78</v>
      </c>
      <c r="BC412" t="s">
        <v>78</v>
      </c>
      <c r="BE412">
        <v>0</v>
      </c>
      <c r="BF412">
        <v>0</v>
      </c>
      <c r="BG412">
        <v>0</v>
      </c>
      <c r="BH412">
        <v>0</v>
      </c>
      <c r="BJ412" t="s">
        <v>85</v>
      </c>
      <c r="BP412" t="s">
        <v>78</v>
      </c>
      <c r="BQ412" t="s">
        <v>78</v>
      </c>
      <c r="BR412" t="s">
        <v>78</v>
      </c>
    </row>
    <row r="413" customFormat="1" spans="1:70">
      <c r="A413" t="s">
        <v>4295</v>
      </c>
      <c r="B413" t="s">
        <v>4295</v>
      </c>
      <c r="C413" t="s">
        <v>107</v>
      </c>
      <c r="D413" t="s">
        <v>135</v>
      </c>
      <c r="E413">
        <v>1</v>
      </c>
      <c r="F413" t="s">
        <v>3857</v>
      </c>
      <c r="G413" t="s">
        <v>136</v>
      </c>
      <c r="H413">
        <v>289</v>
      </c>
      <c r="I413">
        <v>276.38</v>
      </c>
      <c r="J413">
        <v>0</v>
      </c>
      <c r="K413">
        <v>12.62</v>
      </c>
      <c r="L413" t="s">
        <v>2846</v>
      </c>
      <c r="M413" t="s">
        <v>78</v>
      </c>
      <c r="N413" t="s">
        <v>78</v>
      </c>
      <c r="O413">
        <v>0</v>
      </c>
      <c r="P413">
        <v>0</v>
      </c>
      <c r="Q413">
        <v>0</v>
      </c>
      <c r="R413" t="s">
        <v>79</v>
      </c>
      <c r="S413">
        <v>0</v>
      </c>
      <c r="T413" t="s">
        <v>80</v>
      </c>
      <c r="U413" t="s">
        <v>80</v>
      </c>
      <c r="V413" t="s">
        <v>178</v>
      </c>
      <c r="W413" t="s">
        <v>178</v>
      </c>
      <c r="X413" t="s">
        <v>2379</v>
      </c>
      <c r="Y413" t="s">
        <v>2380</v>
      </c>
      <c r="Z413" t="s">
        <v>80</v>
      </c>
      <c r="AA413" t="s">
        <v>85</v>
      </c>
      <c r="AC413" t="s">
        <v>2847</v>
      </c>
      <c r="AD413" t="s">
        <v>202</v>
      </c>
      <c r="AE413" t="s">
        <v>2848</v>
      </c>
      <c r="AG413" t="s">
        <v>2842</v>
      </c>
      <c r="AH413" t="s">
        <v>91</v>
      </c>
      <c r="AI413" t="s">
        <v>92</v>
      </c>
      <c r="AJ413" t="s">
        <v>131</v>
      </c>
      <c r="AK413" t="s">
        <v>2849</v>
      </c>
      <c r="AL413" t="s">
        <v>95</v>
      </c>
      <c r="AM413" t="s">
        <v>96</v>
      </c>
      <c r="AN413" t="s">
        <v>97</v>
      </c>
      <c r="AO413" t="s">
        <v>98</v>
      </c>
      <c r="AP413" t="s">
        <v>78</v>
      </c>
      <c r="AQ413" t="s">
        <v>99</v>
      </c>
      <c r="AS413" t="s">
        <v>78</v>
      </c>
      <c r="AT413" t="s">
        <v>100</v>
      </c>
      <c r="AU413" t="s">
        <v>100</v>
      </c>
      <c r="AW413" t="s">
        <v>85</v>
      </c>
      <c r="AX413" t="s">
        <v>103</v>
      </c>
      <c r="AY413" t="s">
        <v>159</v>
      </c>
      <c r="AZ413" t="s">
        <v>103</v>
      </c>
      <c r="BA413" t="s">
        <v>104</v>
      </c>
      <c r="BB413" t="s">
        <v>78</v>
      </c>
      <c r="BC413" t="s">
        <v>78</v>
      </c>
      <c r="BD413" t="s">
        <v>2850</v>
      </c>
      <c r="BE413">
        <v>0</v>
      </c>
      <c r="BF413">
        <v>12.62</v>
      </c>
      <c r="BG413">
        <v>0</v>
      </c>
      <c r="BH413">
        <v>0</v>
      </c>
      <c r="BJ413" t="s">
        <v>85</v>
      </c>
      <c r="BP413" t="s">
        <v>78</v>
      </c>
      <c r="BQ413" t="s">
        <v>78</v>
      </c>
      <c r="BR413" t="s">
        <v>78</v>
      </c>
    </row>
    <row r="414" customFormat="1" spans="1:70">
      <c r="A414" t="s">
        <v>4296</v>
      </c>
      <c r="B414" t="s">
        <v>4296</v>
      </c>
      <c r="C414" t="s">
        <v>107</v>
      </c>
      <c r="D414" t="s">
        <v>135</v>
      </c>
      <c r="E414">
        <v>1</v>
      </c>
      <c r="F414" t="s">
        <v>3857</v>
      </c>
      <c r="G414" t="s">
        <v>136</v>
      </c>
      <c r="H414">
        <v>289</v>
      </c>
      <c r="I414">
        <v>284</v>
      </c>
      <c r="J414">
        <v>0</v>
      </c>
      <c r="K414">
        <v>5</v>
      </c>
      <c r="L414" t="s">
        <v>659</v>
      </c>
      <c r="M414" t="s">
        <v>78</v>
      </c>
      <c r="N414" t="s">
        <v>78</v>
      </c>
      <c r="O414">
        <v>0</v>
      </c>
      <c r="P414">
        <v>0</v>
      </c>
      <c r="Q414">
        <v>0</v>
      </c>
      <c r="R414" t="s">
        <v>79</v>
      </c>
      <c r="S414">
        <v>0</v>
      </c>
      <c r="T414" t="s">
        <v>80</v>
      </c>
      <c r="U414" t="s">
        <v>80</v>
      </c>
      <c r="V414" t="s">
        <v>302</v>
      </c>
      <c r="W414" t="s">
        <v>1358</v>
      </c>
      <c r="X414" t="s">
        <v>1359</v>
      </c>
      <c r="Y414" t="s">
        <v>1360</v>
      </c>
      <c r="Z414" t="s">
        <v>80</v>
      </c>
      <c r="AA414" t="s">
        <v>85</v>
      </c>
      <c r="AC414" t="s">
        <v>2852</v>
      </c>
      <c r="AD414" t="s">
        <v>87</v>
      </c>
      <c r="AF414" t="s">
        <v>2853</v>
      </c>
      <c r="AG414" t="s">
        <v>2842</v>
      </c>
      <c r="AH414" t="s">
        <v>91</v>
      </c>
      <c r="AI414" t="s">
        <v>92</v>
      </c>
      <c r="AJ414" t="s">
        <v>93</v>
      </c>
      <c r="AK414" t="s">
        <v>2849</v>
      </c>
      <c r="AL414" t="s">
        <v>95</v>
      </c>
      <c r="AM414" t="s">
        <v>96</v>
      </c>
      <c r="AN414" t="s">
        <v>97</v>
      </c>
      <c r="AO414" t="s">
        <v>98</v>
      </c>
      <c r="AP414" t="s">
        <v>78</v>
      </c>
      <c r="AQ414" t="s">
        <v>78</v>
      </c>
      <c r="AS414" t="s">
        <v>78</v>
      </c>
      <c r="AT414" t="s">
        <v>100</v>
      </c>
      <c r="AU414" t="s">
        <v>100</v>
      </c>
      <c r="AW414" t="s">
        <v>85</v>
      </c>
      <c r="AX414" t="s">
        <v>101</v>
      </c>
      <c r="AY414" t="s">
        <v>102</v>
      </c>
      <c r="AZ414" t="s">
        <v>103</v>
      </c>
      <c r="BA414" t="s">
        <v>104</v>
      </c>
      <c r="BB414" t="s">
        <v>78</v>
      </c>
      <c r="BC414" t="s">
        <v>78</v>
      </c>
      <c r="BD414" t="s">
        <v>2850</v>
      </c>
      <c r="BE414">
        <v>0</v>
      </c>
      <c r="BF414">
        <v>5</v>
      </c>
      <c r="BG414">
        <v>0</v>
      </c>
      <c r="BH414">
        <v>0</v>
      </c>
      <c r="BJ414" t="s">
        <v>85</v>
      </c>
      <c r="BP414" t="s">
        <v>78</v>
      </c>
      <c r="BQ414" t="s">
        <v>78</v>
      </c>
      <c r="BR414" t="s">
        <v>78</v>
      </c>
    </row>
    <row r="415" customFormat="1" spans="1:70">
      <c r="A415" t="s">
        <v>4297</v>
      </c>
      <c r="B415" t="s">
        <v>4297</v>
      </c>
      <c r="C415" t="s">
        <v>107</v>
      </c>
      <c r="D415" t="s">
        <v>108</v>
      </c>
      <c r="E415">
        <v>1</v>
      </c>
      <c r="F415" t="s">
        <v>3857</v>
      </c>
      <c r="G415" t="s">
        <v>110</v>
      </c>
      <c r="H415">
        <v>289</v>
      </c>
      <c r="I415">
        <v>289</v>
      </c>
      <c r="J415">
        <v>0</v>
      </c>
      <c r="K415">
        <v>0</v>
      </c>
      <c r="L415" t="s">
        <v>78</v>
      </c>
      <c r="M415" t="s">
        <v>78</v>
      </c>
      <c r="N415" t="s">
        <v>78</v>
      </c>
      <c r="O415">
        <v>0</v>
      </c>
      <c r="P415">
        <v>0</v>
      </c>
      <c r="Q415">
        <v>0</v>
      </c>
      <c r="R415" t="s">
        <v>125</v>
      </c>
      <c r="S415">
        <v>0</v>
      </c>
      <c r="T415" t="s">
        <v>80</v>
      </c>
      <c r="U415" t="s">
        <v>80</v>
      </c>
      <c r="V415" t="s">
        <v>221</v>
      </c>
      <c r="W415" t="s">
        <v>599</v>
      </c>
      <c r="X415" t="s">
        <v>1062</v>
      </c>
      <c r="Y415" t="s">
        <v>1063</v>
      </c>
      <c r="Z415" t="s">
        <v>80</v>
      </c>
      <c r="AA415" t="s">
        <v>85</v>
      </c>
      <c r="AC415" t="s">
        <v>2855</v>
      </c>
      <c r="AD415" t="s">
        <v>87</v>
      </c>
      <c r="AG415" t="s">
        <v>2856</v>
      </c>
      <c r="AH415" t="s">
        <v>254</v>
      </c>
      <c r="AI415" t="s">
        <v>92</v>
      </c>
      <c r="AJ415" t="s">
        <v>131</v>
      </c>
      <c r="AK415" t="s">
        <v>2857</v>
      </c>
      <c r="AL415" t="s">
        <v>95</v>
      </c>
      <c r="AM415" t="s">
        <v>96</v>
      </c>
      <c r="AN415" t="s">
        <v>97</v>
      </c>
      <c r="AO415" t="s">
        <v>98</v>
      </c>
      <c r="AP415" t="s">
        <v>78</v>
      </c>
      <c r="AQ415" t="s">
        <v>99</v>
      </c>
      <c r="AS415" t="s">
        <v>78</v>
      </c>
      <c r="AT415" t="s">
        <v>100</v>
      </c>
      <c r="AU415" t="s">
        <v>100</v>
      </c>
      <c r="AW415" t="s">
        <v>85</v>
      </c>
      <c r="AX415" t="s">
        <v>103</v>
      </c>
      <c r="AY415" t="s">
        <v>159</v>
      </c>
      <c r="AZ415" t="s">
        <v>103</v>
      </c>
      <c r="BA415" t="s">
        <v>102</v>
      </c>
      <c r="BB415" t="s">
        <v>78</v>
      </c>
      <c r="BC415" t="s">
        <v>78</v>
      </c>
      <c r="BE415">
        <v>0</v>
      </c>
      <c r="BF415">
        <v>0</v>
      </c>
      <c r="BG415">
        <v>0</v>
      </c>
      <c r="BH415">
        <v>0</v>
      </c>
      <c r="BJ415" t="s">
        <v>85</v>
      </c>
      <c r="BP415" t="s">
        <v>78</v>
      </c>
      <c r="BQ415" t="s">
        <v>78</v>
      </c>
      <c r="BR415" t="s">
        <v>78</v>
      </c>
    </row>
    <row r="416" customFormat="1" spans="1:70">
      <c r="A416" t="s">
        <v>4298</v>
      </c>
      <c r="B416" t="s">
        <v>4298</v>
      </c>
      <c r="C416" t="s">
        <v>107</v>
      </c>
      <c r="D416" t="s">
        <v>108</v>
      </c>
      <c r="E416">
        <v>1</v>
      </c>
      <c r="F416" t="s">
        <v>3857</v>
      </c>
      <c r="G416" t="s">
        <v>110</v>
      </c>
      <c r="H416">
        <v>289</v>
      </c>
      <c r="I416">
        <v>289</v>
      </c>
      <c r="J416">
        <v>0</v>
      </c>
      <c r="K416">
        <v>0</v>
      </c>
      <c r="L416" t="s">
        <v>78</v>
      </c>
      <c r="M416" t="s">
        <v>78</v>
      </c>
      <c r="N416" t="s">
        <v>78</v>
      </c>
      <c r="O416">
        <v>0</v>
      </c>
      <c r="P416">
        <v>0</v>
      </c>
      <c r="Q416">
        <v>0</v>
      </c>
      <c r="R416" t="s">
        <v>876</v>
      </c>
      <c r="S416">
        <v>0</v>
      </c>
      <c r="T416" t="s">
        <v>80</v>
      </c>
      <c r="U416" t="s">
        <v>80</v>
      </c>
      <c r="V416" t="s">
        <v>325</v>
      </c>
      <c r="W416" t="s">
        <v>788</v>
      </c>
      <c r="X416" t="s">
        <v>2859</v>
      </c>
      <c r="Y416" t="s">
        <v>2860</v>
      </c>
      <c r="Z416" t="s">
        <v>80</v>
      </c>
      <c r="AA416" t="s">
        <v>85</v>
      </c>
      <c r="AC416" t="s">
        <v>2861</v>
      </c>
      <c r="AD416" t="s">
        <v>87</v>
      </c>
      <c r="AH416" t="s">
        <v>91</v>
      </c>
      <c r="AI416" t="s">
        <v>92</v>
      </c>
      <c r="AJ416" t="s">
        <v>131</v>
      </c>
      <c r="AK416" t="s">
        <v>2862</v>
      </c>
      <c r="AL416" t="s">
        <v>95</v>
      </c>
      <c r="AM416" t="s">
        <v>96</v>
      </c>
      <c r="AN416" t="s">
        <v>97</v>
      </c>
      <c r="AO416" t="s">
        <v>98</v>
      </c>
      <c r="AP416" t="s">
        <v>78</v>
      </c>
      <c r="AQ416" t="s">
        <v>78</v>
      </c>
      <c r="AR416" t="s">
        <v>353</v>
      </c>
      <c r="AS416" t="s">
        <v>78</v>
      </c>
      <c r="AT416" t="s">
        <v>100</v>
      </c>
      <c r="AU416" t="s">
        <v>100</v>
      </c>
      <c r="AW416" t="s">
        <v>85</v>
      </c>
      <c r="AX416" t="s">
        <v>101</v>
      </c>
      <c r="AY416" t="s">
        <v>102</v>
      </c>
      <c r="AZ416" t="s">
        <v>103</v>
      </c>
      <c r="BA416" t="s">
        <v>120</v>
      </c>
      <c r="BB416" t="s">
        <v>78</v>
      </c>
      <c r="BC416" t="s">
        <v>78</v>
      </c>
      <c r="BE416">
        <v>0</v>
      </c>
      <c r="BF416">
        <v>0</v>
      </c>
      <c r="BG416">
        <v>0</v>
      </c>
      <c r="BH416">
        <v>0</v>
      </c>
      <c r="BJ416" t="s">
        <v>85</v>
      </c>
      <c r="BP416" t="s">
        <v>78</v>
      </c>
      <c r="BQ416" t="s">
        <v>78</v>
      </c>
      <c r="BR416" t="s">
        <v>78</v>
      </c>
    </row>
    <row r="417" customFormat="1" spans="1:70">
      <c r="A417" t="s">
        <v>4299</v>
      </c>
      <c r="B417" t="s">
        <v>4299</v>
      </c>
      <c r="C417" t="s">
        <v>1050</v>
      </c>
      <c r="D417" t="s">
        <v>1142</v>
      </c>
      <c r="E417">
        <v>1</v>
      </c>
      <c r="F417" t="s">
        <v>3991</v>
      </c>
      <c r="G417" t="s">
        <v>1143</v>
      </c>
      <c r="H417">
        <v>129</v>
      </c>
      <c r="I417">
        <v>125</v>
      </c>
      <c r="J417">
        <v>0</v>
      </c>
      <c r="K417">
        <v>4</v>
      </c>
      <c r="L417" t="s">
        <v>2864</v>
      </c>
      <c r="M417" t="s">
        <v>78</v>
      </c>
      <c r="N417" t="s">
        <v>78</v>
      </c>
      <c r="O417">
        <v>0</v>
      </c>
      <c r="P417">
        <v>0</v>
      </c>
      <c r="Q417">
        <v>0</v>
      </c>
      <c r="R417" t="s">
        <v>79</v>
      </c>
      <c r="S417">
        <v>0</v>
      </c>
      <c r="T417" t="s">
        <v>80</v>
      </c>
      <c r="U417" t="s">
        <v>80</v>
      </c>
      <c r="V417" t="s">
        <v>302</v>
      </c>
      <c r="W417" t="s">
        <v>1394</v>
      </c>
      <c r="X417" t="s">
        <v>2865</v>
      </c>
      <c r="Y417" t="s">
        <v>2866</v>
      </c>
      <c r="Z417" t="s">
        <v>80</v>
      </c>
      <c r="AA417" t="s">
        <v>85</v>
      </c>
      <c r="AC417" t="s">
        <v>2867</v>
      </c>
      <c r="AD417" t="s">
        <v>87</v>
      </c>
      <c r="AG417" t="s">
        <v>2868</v>
      </c>
      <c r="AH417" t="s">
        <v>91</v>
      </c>
      <c r="AI417" t="s">
        <v>92</v>
      </c>
      <c r="AJ417" t="s">
        <v>131</v>
      </c>
      <c r="AK417" t="s">
        <v>2869</v>
      </c>
      <c r="AL417" t="s">
        <v>95</v>
      </c>
      <c r="AM417" t="s">
        <v>96</v>
      </c>
      <c r="AN417" t="s">
        <v>97</v>
      </c>
      <c r="AO417" t="s">
        <v>98</v>
      </c>
      <c r="AP417" t="s">
        <v>78</v>
      </c>
      <c r="AQ417" t="s">
        <v>99</v>
      </c>
      <c r="AS417" t="s">
        <v>78</v>
      </c>
      <c r="AT417" t="s">
        <v>100</v>
      </c>
      <c r="AU417" t="s">
        <v>100</v>
      </c>
      <c r="AW417" t="s">
        <v>85</v>
      </c>
      <c r="AX417" t="s">
        <v>101</v>
      </c>
      <c r="AY417" t="s">
        <v>102</v>
      </c>
      <c r="AZ417" t="s">
        <v>103</v>
      </c>
      <c r="BA417" t="s">
        <v>133</v>
      </c>
      <c r="BB417" t="s">
        <v>78</v>
      </c>
      <c r="BC417" t="s">
        <v>78</v>
      </c>
      <c r="BE417">
        <v>0</v>
      </c>
      <c r="BF417">
        <v>4</v>
      </c>
      <c r="BG417">
        <v>0</v>
      </c>
      <c r="BH417">
        <v>0</v>
      </c>
      <c r="BJ417" t="s">
        <v>85</v>
      </c>
      <c r="BP417" t="s">
        <v>78</v>
      </c>
      <c r="BQ417" t="s">
        <v>78</v>
      </c>
      <c r="BR417" t="s">
        <v>78</v>
      </c>
    </row>
    <row r="418" customFormat="1" spans="1:70">
      <c r="A418" t="s">
        <v>4300</v>
      </c>
      <c r="B418" t="s">
        <v>4300</v>
      </c>
      <c r="C418" t="s">
        <v>107</v>
      </c>
      <c r="D418" t="s">
        <v>108</v>
      </c>
      <c r="E418">
        <v>1</v>
      </c>
      <c r="F418" t="s">
        <v>3857</v>
      </c>
      <c r="G418" t="s">
        <v>110</v>
      </c>
      <c r="H418">
        <v>289</v>
      </c>
      <c r="I418">
        <v>289</v>
      </c>
      <c r="J418">
        <v>0</v>
      </c>
      <c r="K418">
        <v>0</v>
      </c>
      <c r="L418" t="s">
        <v>78</v>
      </c>
      <c r="M418" t="s">
        <v>78</v>
      </c>
      <c r="N418" t="s">
        <v>78</v>
      </c>
      <c r="O418">
        <v>0</v>
      </c>
      <c r="P418">
        <v>0</v>
      </c>
      <c r="Q418">
        <v>0</v>
      </c>
      <c r="R418" t="s">
        <v>125</v>
      </c>
      <c r="S418">
        <v>0</v>
      </c>
      <c r="T418" t="s">
        <v>80</v>
      </c>
      <c r="U418" t="s">
        <v>80</v>
      </c>
      <c r="V418" t="s">
        <v>152</v>
      </c>
      <c r="W418" t="s">
        <v>2268</v>
      </c>
      <c r="X418" t="s">
        <v>2414</v>
      </c>
      <c r="Y418" t="s">
        <v>503</v>
      </c>
      <c r="Z418" t="s">
        <v>80</v>
      </c>
      <c r="AA418" t="s">
        <v>85</v>
      </c>
      <c r="AC418" t="s">
        <v>2871</v>
      </c>
      <c r="AD418" t="s">
        <v>87</v>
      </c>
      <c r="AF418" t="s">
        <v>2853</v>
      </c>
      <c r="AG418" t="s">
        <v>2872</v>
      </c>
      <c r="AH418" t="s">
        <v>91</v>
      </c>
      <c r="AI418" t="s">
        <v>92</v>
      </c>
      <c r="AJ418" t="s">
        <v>93</v>
      </c>
      <c r="AK418" t="s">
        <v>2873</v>
      </c>
      <c r="AL418" t="s">
        <v>95</v>
      </c>
      <c r="AM418" t="s">
        <v>96</v>
      </c>
      <c r="AN418" t="s">
        <v>97</v>
      </c>
      <c r="AO418" t="s">
        <v>98</v>
      </c>
      <c r="AP418" t="s">
        <v>78</v>
      </c>
      <c r="AQ418" t="s">
        <v>78</v>
      </c>
      <c r="AS418" t="s">
        <v>78</v>
      </c>
      <c r="AT418" t="s">
        <v>100</v>
      </c>
      <c r="AU418" t="s">
        <v>100</v>
      </c>
      <c r="AW418" t="s">
        <v>85</v>
      </c>
      <c r="AX418" t="s">
        <v>103</v>
      </c>
      <c r="AY418" t="s">
        <v>159</v>
      </c>
      <c r="AZ418" t="s">
        <v>103</v>
      </c>
      <c r="BA418" t="s">
        <v>104</v>
      </c>
      <c r="BB418" t="s">
        <v>78</v>
      </c>
      <c r="BC418" t="s">
        <v>78</v>
      </c>
      <c r="BD418" t="s">
        <v>2850</v>
      </c>
      <c r="BE418">
        <v>0</v>
      </c>
      <c r="BF418">
        <v>0</v>
      </c>
      <c r="BG418">
        <v>0</v>
      </c>
      <c r="BH418">
        <v>0</v>
      </c>
      <c r="BJ418" t="s">
        <v>85</v>
      </c>
      <c r="BP418" t="s">
        <v>78</v>
      </c>
      <c r="BQ418" t="s">
        <v>78</v>
      </c>
      <c r="BR418" t="s">
        <v>78</v>
      </c>
    </row>
    <row r="419" customFormat="1" spans="1:70">
      <c r="A419" t="s">
        <v>4301</v>
      </c>
      <c r="B419" t="s">
        <v>4301</v>
      </c>
      <c r="C419" t="s">
        <v>1050</v>
      </c>
      <c r="D419" t="s">
        <v>1051</v>
      </c>
      <c r="E419">
        <v>1</v>
      </c>
      <c r="F419" t="s">
        <v>3991</v>
      </c>
      <c r="G419" t="s">
        <v>1053</v>
      </c>
      <c r="H419">
        <v>129</v>
      </c>
      <c r="I419">
        <v>95</v>
      </c>
      <c r="J419">
        <v>0</v>
      </c>
      <c r="K419">
        <v>34</v>
      </c>
      <c r="L419" t="s">
        <v>2875</v>
      </c>
      <c r="M419" t="s">
        <v>78</v>
      </c>
      <c r="N419" t="s">
        <v>78</v>
      </c>
      <c r="O419">
        <v>0</v>
      </c>
      <c r="P419">
        <v>0</v>
      </c>
      <c r="Q419">
        <v>0</v>
      </c>
      <c r="R419" t="s">
        <v>125</v>
      </c>
      <c r="S419">
        <v>0</v>
      </c>
      <c r="T419" t="s">
        <v>80</v>
      </c>
      <c r="U419" t="s">
        <v>80</v>
      </c>
      <c r="V419" t="s">
        <v>189</v>
      </c>
      <c r="W419" t="s">
        <v>1573</v>
      </c>
      <c r="X419" t="s">
        <v>2876</v>
      </c>
      <c r="Y419" t="s">
        <v>78</v>
      </c>
      <c r="Z419" t="s">
        <v>80</v>
      </c>
      <c r="AA419" t="s">
        <v>85</v>
      </c>
      <c r="AC419" t="s">
        <v>2877</v>
      </c>
      <c r="AD419" t="s">
        <v>87</v>
      </c>
      <c r="AG419" t="s">
        <v>2878</v>
      </c>
      <c r="AH419" t="s">
        <v>91</v>
      </c>
      <c r="AI419" t="s">
        <v>92</v>
      </c>
      <c r="AJ419" t="s">
        <v>131</v>
      </c>
      <c r="AK419" t="s">
        <v>2879</v>
      </c>
      <c r="AL419" t="s">
        <v>95</v>
      </c>
      <c r="AM419" t="s">
        <v>96</v>
      </c>
      <c r="AN419" t="s">
        <v>97</v>
      </c>
      <c r="AO419" t="s">
        <v>98</v>
      </c>
      <c r="AP419" t="s">
        <v>78</v>
      </c>
      <c r="AQ419" t="s">
        <v>99</v>
      </c>
      <c r="AS419" t="s">
        <v>78</v>
      </c>
      <c r="AT419" t="s">
        <v>100</v>
      </c>
      <c r="AU419" t="s">
        <v>100</v>
      </c>
      <c r="AW419" t="s">
        <v>85</v>
      </c>
      <c r="AX419" t="s">
        <v>103</v>
      </c>
      <c r="AY419" t="s">
        <v>159</v>
      </c>
      <c r="AZ419" t="s">
        <v>103</v>
      </c>
      <c r="BA419" t="s">
        <v>104</v>
      </c>
      <c r="BB419" t="s">
        <v>78</v>
      </c>
      <c r="BC419" t="s">
        <v>78</v>
      </c>
      <c r="BE419">
        <v>0</v>
      </c>
      <c r="BF419">
        <v>34</v>
      </c>
      <c r="BG419">
        <v>0</v>
      </c>
      <c r="BH419">
        <v>0</v>
      </c>
      <c r="BJ419" t="s">
        <v>85</v>
      </c>
      <c r="BP419" t="s">
        <v>78</v>
      </c>
      <c r="BQ419" t="s">
        <v>78</v>
      </c>
      <c r="BR419" t="s">
        <v>78</v>
      </c>
    </row>
    <row r="420" customFormat="1" spans="1:70">
      <c r="A420" t="s">
        <v>4302</v>
      </c>
      <c r="B420" t="s">
        <v>4302</v>
      </c>
      <c r="C420" t="s">
        <v>1050</v>
      </c>
      <c r="D420" t="s">
        <v>1153</v>
      </c>
      <c r="E420">
        <v>1</v>
      </c>
      <c r="F420" t="s">
        <v>3991</v>
      </c>
      <c r="G420" t="s">
        <v>1154</v>
      </c>
      <c r="H420">
        <v>129</v>
      </c>
      <c r="I420">
        <v>129</v>
      </c>
      <c r="J420">
        <v>0</v>
      </c>
      <c r="K420">
        <v>0</v>
      </c>
      <c r="L420" t="s">
        <v>78</v>
      </c>
      <c r="M420" t="s">
        <v>78</v>
      </c>
      <c r="N420" t="s">
        <v>78</v>
      </c>
      <c r="O420">
        <v>0</v>
      </c>
      <c r="P420">
        <v>0</v>
      </c>
      <c r="Q420">
        <v>0</v>
      </c>
      <c r="R420" t="s">
        <v>125</v>
      </c>
      <c r="S420">
        <v>0</v>
      </c>
      <c r="T420" t="s">
        <v>80</v>
      </c>
      <c r="U420" t="s">
        <v>80</v>
      </c>
      <c r="V420" t="s">
        <v>239</v>
      </c>
      <c r="W420" t="s">
        <v>2881</v>
      </c>
      <c r="X420" t="s">
        <v>2882</v>
      </c>
      <c r="Y420" t="s">
        <v>2883</v>
      </c>
      <c r="Z420" t="s">
        <v>80</v>
      </c>
      <c r="AA420" t="s">
        <v>85</v>
      </c>
      <c r="AC420" t="s">
        <v>2884</v>
      </c>
      <c r="AD420" t="s">
        <v>87</v>
      </c>
      <c r="AG420" t="s">
        <v>2885</v>
      </c>
      <c r="AH420" t="s">
        <v>91</v>
      </c>
      <c r="AI420" t="s">
        <v>92</v>
      </c>
      <c r="AJ420" t="s">
        <v>131</v>
      </c>
      <c r="AK420" t="s">
        <v>2886</v>
      </c>
      <c r="AL420" t="s">
        <v>95</v>
      </c>
      <c r="AM420" t="s">
        <v>96</v>
      </c>
      <c r="AN420" t="s">
        <v>97</v>
      </c>
      <c r="AO420" t="s">
        <v>98</v>
      </c>
      <c r="AP420" t="s">
        <v>78</v>
      </c>
      <c r="AQ420" t="s">
        <v>99</v>
      </c>
      <c r="AS420" t="s">
        <v>78</v>
      </c>
      <c r="AT420" t="s">
        <v>100</v>
      </c>
      <c r="AU420" t="s">
        <v>100</v>
      </c>
      <c r="AW420" t="s">
        <v>85</v>
      </c>
      <c r="AX420" t="s">
        <v>101</v>
      </c>
      <c r="AY420" t="s">
        <v>102</v>
      </c>
      <c r="AZ420" t="s">
        <v>103</v>
      </c>
      <c r="BA420" t="s">
        <v>419</v>
      </c>
      <c r="BB420" t="s">
        <v>78</v>
      </c>
      <c r="BC420" t="s">
        <v>78</v>
      </c>
      <c r="BE420">
        <v>0</v>
      </c>
      <c r="BF420">
        <v>0</v>
      </c>
      <c r="BG420">
        <v>0</v>
      </c>
      <c r="BH420">
        <v>0</v>
      </c>
      <c r="BJ420" t="s">
        <v>85</v>
      </c>
      <c r="BP420" t="s">
        <v>78</v>
      </c>
      <c r="BQ420" t="s">
        <v>78</v>
      </c>
      <c r="BR420" t="s">
        <v>78</v>
      </c>
    </row>
    <row r="421" customFormat="1" spans="1:70">
      <c r="A421" t="s">
        <v>4303</v>
      </c>
      <c r="B421" t="s">
        <v>4303</v>
      </c>
      <c r="C421" t="s">
        <v>2888</v>
      </c>
      <c r="D421" t="s">
        <v>2889</v>
      </c>
      <c r="E421">
        <v>1</v>
      </c>
      <c r="F421" t="s">
        <v>4304</v>
      </c>
      <c r="G421" t="s">
        <v>2891</v>
      </c>
      <c r="H421">
        <v>299</v>
      </c>
      <c r="I421">
        <v>299</v>
      </c>
      <c r="J421">
        <v>0</v>
      </c>
      <c r="K421">
        <v>0</v>
      </c>
      <c r="L421" t="s">
        <v>78</v>
      </c>
      <c r="M421" t="s">
        <v>78</v>
      </c>
      <c r="N421" t="s">
        <v>78</v>
      </c>
      <c r="O421">
        <v>0</v>
      </c>
      <c r="P421">
        <v>0</v>
      </c>
      <c r="Q421">
        <v>0</v>
      </c>
      <c r="R421" t="s">
        <v>125</v>
      </c>
      <c r="S421">
        <v>0</v>
      </c>
      <c r="T421" t="s">
        <v>80</v>
      </c>
      <c r="U421" t="s">
        <v>80</v>
      </c>
      <c r="V421" t="s">
        <v>464</v>
      </c>
      <c r="W421" t="s">
        <v>542</v>
      </c>
      <c r="X421" t="s">
        <v>1214</v>
      </c>
      <c r="Y421" t="s">
        <v>1215</v>
      </c>
      <c r="Z421" t="s">
        <v>80</v>
      </c>
      <c r="AA421" t="s">
        <v>85</v>
      </c>
      <c r="AC421" t="s">
        <v>2892</v>
      </c>
      <c r="AD421" t="s">
        <v>87</v>
      </c>
      <c r="AG421" t="s">
        <v>2893</v>
      </c>
      <c r="AH421" t="s">
        <v>91</v>
      </c>
      <c r="AI421" t="s">
        <v>216</v>
      </c>
      <c r="AJ421" t="s">
        <v>131</v>
      </c>
      <c r="AK421" t="s">
        <v>2894</v>
      </c>
      <c r="AL421" t="s">
        <v>95</v>
      </c>
      <c r="AM421" t="s">
        <v>96</v>
      </c>
      <c r="AN421" t="s">
        <v>96</v>
      </c>
      <c r="AP421" t="s">
        <v>78</v>
      </c>
      <c r="AQ421" t="s">
        <v>99</v>
      </c>
      <c r="AS421" t="s">
        <v>78</v>
      </c>
      <c r="AT421" t="s">
        <v>100</v>
      </c>
      <c r="AU421" t="s">
        <v>100</v>
      </c>
      <c r="AW421" t="s">
        <v>85</v>
      </c>
      <c r="AX421" t="s">
        <v>101</v>
      </c>
      <c r="AY421" t="s">
        <v>102</v>
      </c>
      <c r="AZ421" t="s">
        <v>145</v>
      </c>
      <c r="BA421" t="s">
        <v>1077</v>
      </c>
      <c r="BB421" t="s">
        <v>78</v>
      </c>
      <c r="BC421" t="s">
        <v>78</v>
      </c>
      <c r="BE421">
        <v>0</v>
      </c>
      <c r="BF421">
        <v>0</v>
      </c>
      <c r="BG421">
        <v>0</v>
      </c>
      <c r="BH421">
        <v>0</v>
      </c>
      <c r="BJ421" t="s">
        <v>85</v>
      </c>
      <c r="BP421" t="s">
        <v>78</v>
      </c>
      <c r="BQ421" t="s">
        <v>78</v>
      </c>
      <c r="BR421" t="s">
        <v>78</v>
      </c>
    </row>
    <row r="422" customFormat="1" spans="1:70">
      <c r="A422" t="s">
        <v>4305</v>
      </c>
      <c r="B422" t="s">
        <v>4305</v>
      </c>
      <c r="C422" t="s">
        <v>1050</v>
      </c>
      <c r="D422" t="s">
        <v>2255</v>
      </c>
      <c r="E422">
        <v>1</v>
      </c>
      <c r="F422" t="s">
        <v>3991</v>
      </c>
      <c r="G422" t="s">
        <v>2256</v>
      </c>
      <c r="H422">
        <v>129</v>
      </c>
      <c r="I422">
        <v>129</v>
      </c>
      <c r="J422">
        <v>0</v>
      </c>
      <c r="K422">
        <v>0</v>
      </c>
      <c r="L422" t="s">
        <v>78</v>
      </c>
      <c r="M422" t="s">
        <v>78</v>
      </c>
      <c r="N422" t="s">
        <v>78</v>
      </c>
      <c r="O422">
        <v>0</v>
      </c>
      <c r="P422">
        <v>0</v>
      </c>
      <c r="Q422">
        <v>0</v>
      </c>
      <c r="R422" t="s">
        <v>111</v>
      </c>
      <c r="S422">
        <v>0</v>
      </c>
      <c r="T422" t="s">
        <v>80</v>
      </c>
      <c r="U422" t="s">
        <v>80</v>
      </c>
      <c r="V422" t="s">
        <v>574</v>
      </c>
      <c r="W422" t="s">
        <v>574</v>
      </c>
      <c r="X422" t="s">
        <v>2896</v>
      </c>
      <c r="Y422" t="s">
        <v>2897</v>
      </c>
      <c r="Z422" t="s">
        <v>80</v>
      </c>
      <c r="AA422" t="s">
        <v>85</v>
      </c>
      <c r="AC422" t="s">
        <v>2898</v>
      </c>
      <c r="AD422" t="s">
        <v>87</v>
      </c>
      <c r="AF422" t="s">
        <v>2899</v>
      </c>
      <c r="AG422" t="s">
        <v>2900</v>
      </c>
      <c r="AH422" t="s">
        <v>91</v>
      </c>
      <c r="AI422" t="s">
        <v>92</v>
      </c>
      <c r="AJ422" t="s">
        <v>93</v>
      </c>
      <c r="AK422" t="s">
        <v>2901</v>
      </c>
      <c r="AL422" t="s">
        <v>95</v>
      </c>
      <c r="AM422" t="s">
        <v>96</v>
      </c>
      <c r="AN422" t="s">
        <v>97</v>
      </c>
      <c r="AO422" t="s">
        <v>98</v>
      </c>
      <c r="AP422" t="s">
        <v>78</v>
      </c>
      <c r="AQ422" t="s">
        <v>78</v>
      </c>
      <c r="AS422" t="s">
        <v>78</v>
      </c>
      <c r="AT422" t="s">
        <v>100</v>
      </c>
      <c r="AU422" t="s">
        <v>100</v>
      </c>
      <c r="AW422" t="s">
        <v>85</v>
      </c>
      <c r="AX422" t="s">
        <v>101</v>
      </c>
      <c r="AY422" t="s">
        <v>102</v>
      </c>
      <c r="AZ422" t="s">
        <v>103</v>
      </c>
      <c r="BA422" t="s">
        <v>133</v>
      </c>
      <c r="BB422" t="s">
        <v>78</v>
      </c>
      <c r="BC422" t="s">
        <v>78</v>
      </c>
      <c r="BD422" t="s">
        <v>2902</v>
      </c>
      <c r="BE422">
        <v>0</v>
      </c>
      <c r="BF422">
        <v>0</v>
      </c>
      <c r="BG422">
        <v>0</v>
      </c>
      <c r="BH422">
        <v>0</v>
      </c>
      <c r="BJ422" t="s">
        <v>85</v>
      </c>
      <c r="BP422" t="s">
        <v>78</v>
      </c>
      <c r="BQ422" t="s">
        <v>78</v>
      </c>
      <c r="BR422" t="s">
        <v>78</v>
      </c>
    </row>
    <row r="423" customFormat="1" spans="1:70">
      <c r="A423" t="s">
        <v>4306</v>
      </c>
      <c r="B423" t="s">
        <v>4306</v>
      </c>
      <c r="C423" t="s">
        <v>1050</v>
      </c>
      <c r="D423" t="s">
        <v>1051</v>
      </c>
      <c r="E423">
        <v>1</v>
      </c>
      <c r="F423" t="s">
        <v>3991</v>
      </c>
      <c r="G423" t="s">
        <v>1053</v>
      </c>
      <c r="H423">
        <v>129</v>
      </c>
      <c r="I423">
        <v>129</v>
      </c>
      <c r="J423">
        <v>0</v>
      </c>
      <c r="K423">
        <v>0</v>
      </c>
      <c r="L423" t="s">
        <v>78</v>
      </c>
      <c r="M423" t="s">
        <v>78</v>
      </c>
      <c r="N423" t="s">
        <v>78</v>
      </c>
      <c r="O423">
        <v>0</v>
      </c>
      <c r="P423">
        <v>0</v>
      </c>
      <c r="Q423">
        <v>0</v>
      </c>
      <c r="R423" t="s">
        <v>111</v>
      </c>
      <c r="S423">
        <v>0</v>
      </c>
      <c r="T423" t="s">
        <v>80</v>
      </c>
      <c r="U423" t="s">
        <v>80</v>
      </c>
      <c r="V423" t="s">
        <v>138</v>
      </c>
      <c r="W423" t="s">
        <v>2904</v>
      </c>
      <c r="X423" t="s">
        <v>2905</v>
      </c>
      <c r="Y423" t="s">
        <v>78</v>
      </c>
      <c r="Z423" t="s">
        <v>80</v>
      </c>
      <c r="AA423" t="s">
        <v>85</v>
      </c>
      <c r="AC423" t="s">
        <v>2906</v>
      </c>
      <c r="AD423" t="s">
        <v>87</v>
      </c>
      <c r="AG423" t="s">
        <v>2907</v>
      </c>
      <c r="AH423" t="s">
        <v>91</v>
      </c>
      <c r="AI423" t="s">
        <v>92</v>
      </c>
      <c r="AJ423" t="s">
        <v>131</v>
      </c>
      <c r="AK423" t="s">
        <v>2908</v>
      </c>
      <c r="AL423" t="s">
        <v>95</v>
      </c>
      <c r="AM423" t="s">
        <v>96</v>
      </c>
      <c r="AN423" t="s">
        <v>97</v>
      </c>
      <c r="AO423" t="s">
        <v>98</v>
      </c>
      <c r="AP423" t="s">
        <v>78</v>
      </c>
      <c r="AQ423" t="s">
        <v>99</v>
      </c>
      <c r="AS423" t="s">
        <v>78</v>
      </c>
      <c r="AT423" t="s">
        <v>100</v>
      </c>
      <c r="AU423" t="s">
        <v>100</v>
      </c>
      <c r="AW423" t="s">
        <v>85</v>
      </c>
      <c r="AX423" t="s">
        <v>101</v>
      </c>
      <c r="AY423" t="s">
        <v>102</v>
      </c>
      <c r="AZ423" t="s">
        <v>103</v>
      </c>
      <c r="BA423" t="s">
        <v>218</v>
      </c>
      <c r="BB423" t="s">
        <v>78</v>
      </c>
      <c r="BC423" t="s">
        <v>78</v>
      </c>
      <c r="BE423">
        <v>0</v>
      </c>
      <c r="BF423">
        <v>0</v>
      </c>
      <c r="BG423">
        <v>0</v>
      </c>
      <c r="BH423">
        <v>0</v>
      </c>
      <c r="BJ423" t="s">
        <v>85</v>
      </c>
      <c r="BP423" t="s">
        <v>78</v>
      </c>
      <c r="BQ423" t="s">
        <v>78</v>
      </c>
      <c r="BR423" t="s">
        <v>78</v>
      </c>
    </row>
    <row r="424" customFormat="1" spans="1:70">
      <c r="A424" t="s">
        <v>4307</v>
      </c>
      <c r="B424" t="s">
        <v>4307</v>
      </c>
      <c r="C424" t="s">
        <v>107</v>
      </c>
      <c r="D424" t="s">
        <v>108</v>
      </c>
      <c r="E424">
        <v>1</v>
      </c>
      <c r="F424" t="s">
        <v>3857</v>
      </c>
      <c r="G424" t="s">
        <v>110</v>
      </c>
      <c r="H424">
        <v>289</v>
      </c>
      <c r="I424">
        <v>289</v>
      </c>
      <c r="J424">
        <v>0</v>
      </c>
      <c r="K424">
        <v>0</v>
      </c>
      <c r="L424" t="s">
        <v>78</v>
      </c>
      <c r="M424" t="s">
        <v>78</v>
      </c>
      <c r="N424" t="s">
        <v>78</v>
      </c>
      <c r="O424">
        <v>0</v>
      </c>
      <c r="P424">
        <v>0</v>
      </c>
      <c r="Q424">
        <v>0</v>
      </c>
      <c r="R424" t="s">
        <v>79</v>
      </c>
      <c r="S424">
        <v>0</v>
      </c>
      <c r="T424" t="s">
        <v>80</v>
      </c>
      <c r="U424" t="s">
        <v>80</v>
      </c>
      <c r="V424" t="s">
        <v>302</v>
      </c>
      <c r="W424" t="s">
        <v>1834</v>
      </c>
      <c r="X424" t="s">
        <v>2910</v>
      </c>
      <c r="Y424" t="s">
        <v>2911</v>
      </c>
      <c r="Z424" t="s">
        <v>80</v>
      </c>
      <c r="AA424" t="s">
        <v>85</v>
      </c>
      <c r="AC424" t="s">
        <v>2912</v>
      </c>
      <c r="AD424" t="s">
        <v>87</v>
      </c>
      <c r="AF424" t="s">
        <v>2853</v>
      </c>
      <c r="AG424" t="s">
        <v>2913</v>
      </c>
      <c r="AH424" t="s">
        <v>91</v>
      </c>
      <c r="AI424" t="s">
        <v>92</v>
      </c>
      <c r="AJ424" t="s">
        <v>93</v>
      </c>
      <c r="AK424" t="s">
        <v>2914</v>
      </c>
      <c r="AL424" t="s">
        <v>95</v>
      </c>
      <c r="AM424" t="s">
        <v>96</v>
      </c>
      <c r="AN424" t="s">
        <v>97</v>
      </c>
      <c r="AO424" t="s">
        <v>98</v>
      </c>
      <c r="AP424" t="s">
        <v>78</v>
      </c>
      <c r="AQ424" t="s">
        <v>78</v>
      </c>
      <c r="AS424" t="s">
        <v>78</v>
      </c>
      <c r="AT424" t="s">
        <v>100</v>
      </c>
      <c r="AU424" t="s">
        <v>100</v>
      </c>
      <c r="AW424" t="s">
        <v>85</v>
      </c>
      <c r="AX424" t="s">
        <v>101</v>
      </c>
      <c r="AY424" t="s">
        <v>102</v>
      </c>
      <c r="AZ424" t="s">
        <v>103</v>
      </c>
      <c r="BA424" t="s">
        <v>104</v>
      </c>
      <c r="BB424" t="s">
        <v>78</v>
      </c>
      <c r="BC424" t="s">
        <v>78</v>
      </c>
      <c r="BD424" t="s">
        <v>2850</v>
      </c>
      <c r="BE424">
        <v>0</v>
      </c>
      <c r="BF424">
        <v>0</v>
      </c>
      <c r="BG424">
        <v>0</v>
      </c>
      <c r="BH424">
        <v>0</v>
      </c>
      <c r="BJ424" t="s">
        <v>85</v>
      </c>
      <c r="BP424" t="s">
        <v>78</v>
      </c>
      <c r="BQ424" t="s">
        <v>78</v>
      </c>
      <c r="BR424" t="s">
        <v>78</v>
      </c>
    </row>
    <row r="425" customFormat="1" spans="1:70">
      <c r="A425" t="s">
        <v>4308</v>
      </c>
      <c r="B425" t="s">
        <v>4308</v>
      </c>
      <c r="C425" t="s">
        <v>1092</v>
      </c>
      <c r="D425" t="s">
        <v>135</v>
      </c>
      <c r="E425">
        <v>1</v>
      </c>
      <c r="F425" t="s">
        <v>3998</v>
      </c>
      <c r="G425" t="s">
        <v>1357</v>
      </c>
      <c r="H425">
        <v>289</v>
      </c>
      <c r="I425">
        <v>289</v>
      </c>
      <c r="J425">
        <v>0</v>
      </c>
      <c r="K425">
        <v>0</v>
      </c>
      <c r="L425" t="s">
        <v>78</v>
      </c>
      <c r="M425" t="s">
        <v>78</v>
      </c>
      <c r="N425" t="s">
        <v>78</v>
      </c>
      <c r="O425">
        <v>0</v>
      </c>
      <c r="P425">
        <v>0</v>
      </c>
      <c r="Q425">
        <v>0</v>
      </c>
      <c r="R425" t="s">
        <v>125</v>
      </c>
      <c r="S425">
        <v>0</v>
      </c>
      <c r="T425" t="s">
        <v>80</v>
      </c>
      <c r="U425" t="s">
        <v>80</v>
      </c>
      <c r="V425" t="s">
        <v>347</v>
      </c>
      <c r="W425" t="s">
        <v>2652</v>
      </c>
      <c r="X425" t="s">
        <v>2916</v>
      </c>
      <c r="Y425" t="s">
        <v>2917</v>
      </c>
      <c r="Z425" t="s">
        <v>80</v>
      </c>
      <c r="AA425" t="s">
        <v>85</v>
      </c>
      <c r="AC425" t="s">
        <v>2918</v>
      </c>
      <c r="AD425" t="s">
        <v>87</v>
      </c>
      <c r="AG425" t="s">
        <v>2919</v>
      </c>
      <c r="AH425" t="s">
        <v>91</v>
      </c>
      <c r="AI425" t="s">
        <v>92</v>
      </c>
      <c r="AJ425" t="s">
        <v>131</v>
      </c>
      <c r="AK425" t="s">
        <v>2920</v>
      </c>
      <c r="AL425" t="s">
        <v>95</v>
      </c>
      <c r="AM425" t="s">
        <v>96</v>
      </c>
      <c r="AN425" t="s">
        <v>97</v>
      </c>
      <c r="AO425" t="s">
        <v>98</v>
      </c>
      <c r="AP425" t="s">
        <v>78</v>
      </c>
      <c r="AQ425" t="s">
        <v>99</v>
      </c>
      <c r="AS425" t="s">
        <v>78</v>
      </c>
      <c r="AT425" t="s">
        <v>100</v>
      </c>
      <c r="AU425" t="s">
        <v>100</v>
      </c>
      <c r="AW425" t="s">
        <v>85</v>
      </c>
      <c r="AX425" t="s">
        <v>101</v>
      </c>
      <c r="AY425" t="s">
        <v>102</v>
      </c>
      <c r="AZ425" t="s">
        <v>103</v>
      </c>
      <c r="BA425" t="s">
        <v>133</v>
      </c>
      <c r="BB425" t="s">
        <v>78</v>
      </c>
      <c r="BC425" t="s">
        <v>78</v>
      </c>
      <c r="BE425">
        <v>0</v>
      </c>
      <c r="BF425">
        <v>0</v>
      </c>
      <c r="BG425">
        <v>0</v>
      </c>
      <c r="BH425">
        <v>0</v>
      </c>
      <c r="BJ425" t="s">
        <v>85</v>
      </c>
      <c r="BP425" t="s">
        <v>78</v>
      </c>
      <c r="BQ425" t="s">
        <v>78</v>
      </c>
      <c r="BR425" t="s">
        <v>78</v>
      </c>
    </row>
    <row r="426" customFormat="1" spans="1:70">
      <c r="A426" t="s">
        <v>4309</v>
      </c>
      <c r="B426" t="s">
        <v>4309</v>
      </c>
      <c r="C426" t="s">
        <v>1050</v>
      </c>
      <c r="D426" t="s">
        <v>1377</v>
      </c>
      <c r="E426">
        <v>1</v>
      </c>
      <c r="F426" t="s">
        <v>3991</v>
      </c>
      <c r="G426" t="s">
        <v>1378</v>
      </c>
      <c r="H426">
        <v>129</v>
      </c>
      <c r="I426">
        <v>121</v>
      </c>
      <c r="J426">
        <v>0</v>
      </c>
      <c r="K426">
        <v>8</v>
      </c>
      <c r="L426" t="s">
        <v>2922</v>
      </c>
      <c r="M426" t="s">
        <v>78</v>
      </c>
      <c r="N426" t="s">
        <v>78</v>
      </c>
      <c r="O426">
        <v>0</v>
      </c>
      <c r="P426">
        <v>0</v>
      </c>
      <c r="Q426">
        <v>0</v>
      </c>
      <c r="R426" t="s">
        <v>125</v>
      </c>
      <c r="S426">
        <v>0</v>
      </c>
      <c r="T426" t="s">
        <v>80</v>
      </c>
      <c r="U426" t="s">
        <v>80</v>
      </c>
      <c r="V426" t="s">
        <v>556</v>
      </c>
      <c r="W426" t="s">
        <v>2923</v>
      </c>
      <c r="X426" t="s">
        <v>2924</v>
      </c>
      <c r="Y426" t="s">
        <v>2925</v>
      </c>
      <c r="Z426" t="s">
        <v>80</v>
      </c>
      <c r="AA426" t="s">
        <v>85</v>
      </c>
      <c r="AC426" t="s">
        <v>2926</v>
      </c>
      <c r="AD426" t="s">
        <v>202</v>
      </c>
      <c r="AE426" t="s">
        <v>2927</v>
      </c>
      <c r="AG426" t="s">
        <v>2928</v>
      </c>
      <c r="AH426" t="s">
        <v>2929</v>
      </c>
      <c r="AI426" t="s">
        <v>92</v>
      </c>
      <c r="AJ426" t="s">
        <v>131</v>
      </c>
      <c r="AK426" t="s">
        <v>2930</v>
      </c>
      <c r="AL426" t="s">
        <v>95</v>
      </c>
      <c r="AM426" t="s">
        <v>96</v>
      </c>
      <c r="AN426" t="s">
        <v>97</v>
      </c>
      <c r="AO426" t="s">
        <v>98</v>
      </c>
      <c r="AP426" t="s">
        <v>78</v>
      </c>
      <c r="AQ426" t="s">
        <v>99</v>
      </c>
      <c r="AS426" t="s">
        <v>78</v>
      </c>
      <c r="AT426" t="s">
        <v>100</v>
      </c>
      <c r="AU426" t="s">
        <v>100</v>
      </c>
      <c r="AW426" t="s">
        <v>85</v>
      </c>
      <c r="AX426" t="s">
        <v>103</v>
      </c>
      <c r="AY426" t="s">
        <v>159</v>
      </c>
      <c r="AZ426" t="s">
        <v>103</v>
      </c>
      <c r="BA426" t="s">
        <v>102</v>
      </c>
      <c r="BB426" t="s">
        <v>78</v>
      </c>
      <c r="BC426" t="s">
        <v>78</v>
      </c>
      <c r="BD426" t="s">
        <v>2931</v>
      </c>
      <c r="BE426">
        <v>0</v>
      </c>
      <c r="BF426">
        <v>8</v>
      </c>
      <c r="BG426">
        <v>0</v>
      </c>
      <c r="BH426">
        <v>0</v>
      </c>
      <c r="BJ426" t="s">
        <v>85</v>
      </c>
      <c r="BP426" t="s">
        <v>78</v>
      </c>
      <c r="BQ426" t="s">
        <v>78</v>
      </c>
      <c r="BR426" t="s">
        <v>78</v>
      </c>
    </row>
    <row r="427" customFormat="1" spans="1:70">
      <c r="A427" t="s">
        <v>4310</v>
      </c>
      <c r="B427" t="s">
        <v>4310</v>
      </c>
      <c r="C427" t="s">
        <v>1050</v>
      </c>
      <c r="D427" t="s">
        <v>1142</v>
      </c>
      <c r="E427">
        <v>1</v>
      </c>
      <c r="F427" t="s">
        <v>3991</v>
      </c>
      <c r="G427" t="s">
        <v>1143</v>
      </c>
      <c r="H427">
        <v>129</v>
      </c>
      <c r="I427">
        <v>129</v>
      </c>
      <c r="J427">
        <v>0</v>
      </c>
      <c r="K427">
        <v>0</v>
      </c>
      <c r="L427" t="s">
        <v>78</v>
      </c>
      <c r="M427" t="s">
        <v>78</v>
      </c>
      <c r="N427" t="s">
        <v>78</v>
      </c>
      <c r="O427">
        <v>0</v>
      </c>
      <c r="P427">
        <v>0</v>
      </c>
      <c r="Q427">
        <v>0</v>
      </c>
      <c r="R427" t="s">
        <v>111</v>
      </c>
      <c r="S427">
        <v>0</v>
      </c>
      <c r="T427" t="s">
        <v>80</v>
      </c>
      <c r="U427" t="s">
        <v>80</v>
      </c>
      <c r="V427" t="s">
        <v>271</v>
      </c>
      <c r="W427" t="s">
        <v>961</v>
      </c>
      <c r="X427" t="s">
        <v>2308</v>
      </c>
      <c r="Y427" t="s">
        <v>2933</v>
      </c>
      <c r="Z427" t="s">
        <v>80</v>
      </c>
      <c r="AA427" t="s">
        <v>85</v>
      </c>
      <c r="AC427" t="s">
        <v>2934</v>
      </c>
      <c r="AD427" t="s">
        <v>202</v>
      </c>
      <c r="AE427" t="s">
        <v>2935</v>
      </c>
      <c r="AG427" t="s">
        <v>2936</v>
      </c>
      <c r="AH427" t="s">
        <v>91</v>
      </c>
      <c r="AI427" t="s">
        <v>92</v>
      </c>
      <c r="AJ427" t="s">
        <v>131</v>
      </c>
      <c r="AK427" t="s">
        <v>2937</v>
      </c>
      <c r="AL427" t="s">
        <v>95</v>
      </c>
      <c r="AM427" t="s">
        <v>96</v>
      </c>
      <c r="AN427" t="s">
        <v>97</v>
      </c>
      <c r="AO427" t="s">
        <v>98</v>
      </c>
      <c r="AP427" t="s">
        <v>78</v>
      </c>
      <c r="AQ427" t="s">
        <v>99</v>
      </c>
      <c r="AS427" t="s">
        <v>78</v>
      </c>
      <c r="AT427" t="s">
        <v>100</v>
      </c>
      <c r="AU427" t="s">
        <v>100</v>
      </c>
      <c r="AW427" t="s">
        <v>85</v>
      </c>
      <c r="AX427" t="s">
        <v>101</v>
      </c>
      <c r="AY427" t="s">
        <v>102</v>
      </c>
      <c r="AZ427" t="s">
        <v>103</v>
      </c>
      <c r="BA427" t="s">
        <v>120</v>
      </c>
      <c r="BB427" t="s">
        <v>78</v>
      </c>
      <c r="BC427" t="s">
        <v>78</v>
      </c>
      <c r="BD427" t="s">
        <v>2938</v>
      </c>
      <c r="BE427">
        <v>0</v>
      </c>
      <c r="BF427">
        <v>0</v>
      </c>
      <c r="BG427">
        <v>0</v>
      </c>
      <c r="BH427">
        <v>0</v>
      </c>
      <c r="BJ427" t="s">
        <v>85</v>
      </c>
      <c r="BP427" t="s">
        <v>78</v>
      </c>
      <c r="BQ427" t="s">
        <v>78</v>
      </c>
      <c r="BR427" t="s">
        <v>78</v>
      </c>
    </row>
    <row r="428" customFormat="1" spans="1:70">
      <c r="A428" t="s">
        <v>4311</v>
      </c>
      <c r="B428" t="s">
        <v>4311</v>
      </c>
      <c r="C428" t="s">
        <v>1050</v>
      </c>
      <c r="D428" t="s">
        <v>1377</v>
      </c>
      <c r="E428">
        <v>1</v>
      </c>
      <c r="F428" t="s">
        <v>3991</v>
      </c>
      <c r="G428" t="s">
        <v>1378</v>
      </c>
      <c r="H428">
        <v>129</v>
      </c>
      <c r="I428">
        <v>129</v>
      </c>
      <c r="J428">
        <v>0</v>
      </c>
      <c r="K428">
        <v>0</v>
      </c>
      <c r="L428" t="s">
        <v>78</v>
      </c>
      <c r="M428" t="s">
        <v>78</v>
      </c>
      <c r="N428" t="s">
        <v>78</v>
      </c>
      <c r="O428">
        <v>0</v>
      </c>
      <c r="P428">
        <v>0</v>
      </c>
      <c r="Q428">
        <v>0</v>
      </c>
      <c r="R428" t="s">
        <v>79</v>
      </c>
      <c r="S428">
        <v>0</v>
      </c>
      <c r="T428" t="s">
        <v>80</v>
      </c>
      <c r="U428" t="s">
        <v>80</v>
      </c>
      <c r="V428" t="s">
        <v>239</v>
      </c>
      <c r="W428" t="s">
        <v>967</v>
      </c>
      <c r="X428" t="s">
        <v>2940</v>
      </c>
      <c r="Y428" t="s">
        <v>2941</v>
      </c>
      <c r="Z428" t="s">
        <v>80</v>
      </c>
      <c r="AA428" t="s">
        <v>85</v>
      </c>
      <c r="AC428" t="s">
        <v>2942</v>
      </c>
      <c r="AD428" t="s">
        <v>202</v>
      </c>
      <c r="AE428" t="s">
        <v>2943</v>
      </c>
      <c r="AG428" t="s">
        <v>2944</v>
      </c>
      <c r="AH428" t="s">
        <v>91</v>
      </c>
      <c r="AI428" t="s">
        <v>92</v>
      </c>
      <c r="AJ428" t="s">
        <v>131</v>
      </c>
      <c r="AK428" t="s">
        <v>2945</v>
      </c>
      <c r="AL428" t="s">
        <v>95</v>
      </c>
      <c r="AM428" t="s">
        <v>96</v>
      </c>
      <c r="AN428" t="s">
        <v>97</v>
      </c>
      <c r="AO428" t="s">
        <v>98</v>
      </c>
      <c r="AP428" t="s">
        <v>78</v>
      </c>
      <c r="AQ428" t="s">
        <v>99</v>
      </c>
      <c r="AS428" t="s">
        <v>78</v>
      </c>
      <c r="AT428" t="s">
        <v>100</v>
      </c>
      <c r="AU428" t="s">
        <v>100</v>
      </c>
      <c r="AW428" t="s">
        <v>85</v>
      </c>
      <c r="AX428" t="s">
        <v>103</v>
      </c>
      <c r="AY428" t="s">
        <v>159</v>
      </c>
      <c r="AZ428" t="s">
        <v>103</v>
      </c>
      <c r="BA428" t="s">
        <v>133</v>
      </c>
      <c r="BB428" t="s">
        <v>78</v>
      </c>
      <c r="BC428" t="s">
        <v>78</v>
      </c>
      <c r="BD428" t="s">
        <v>2946</v>
      </c>
      <c r="BE428">
        <v>0</v>
      </c>
      <c r="BF428">
        <v>0</v>
      </c>
      <c r="BG428">
        <v>0</v>
      </c>
      <c r="BH428">
        <v>0</v>
      </c>
      <c r="BJ428" t="s">
        <v>85</v>
      </c>
      <c r="BP428" t="s">
        <v>78</v>
      </c>
      <c r="BQ428" t="s">
        <v>78</v>
      </c>
      <c r="BR428" t="s">
        <v>78</v>
      </c>
    </row>
    <row r="429" customFormat="1" spans="1:70">
      <c r="A429" t="s">
        <v>4312</v>
      </c>
      <c r="B429" t="s">
        <v>4312</v>
      </c>
      <c r="C429" t="s">
        <v>1050</v>
      </c>
      <c r="D429" t="s">
        <v>1051</v>
      </c>
      <c r="E429">
        <v>1</v>
      </c>
      <c r="F429" t="s">
        <v>3991</v>
      </c>
      <c r="G429" t="s">
        <v>1053</v>
      </c>
      <c r="H429">
        <v>129</v>
      </c>
      <c r="I429">
        <v>129</v>
      </c>
      <c r="J429">
        <v>0</v>
      </c>
      <c r="K429">
        <v>0</v>
      </c>
      <c r="L429" t="s">
        <v>78</v>
      </c>
      <c r="M429" t="s">
        <v>78</v>
      </c>
      <c r="N429" t="s">
        <v>78</v>
      </c>
      <c r="O429">
        <v>0</v>
      </c>
      <c r="P429">
        <v>0</v>
      </c>
      <c r="Q429">
        <v>0</v>
      </c>
      <c r="R429" t="s">
        <v>125</v>
      </c>
      <c r="S429">
        <v>0</v>
      </c>
      <c r="T429" t="s">
        <v>80</v>
      </c>
      <c r="U429" t="s">
        <v>80</v>
      </c>
      <c r="V429" t="s">
        <v>152</v>
      </c>
      <c r="W429" t="s">
        <v>2948</v>
      </c>
      <c r="X429" t="s">
        <v>2949</v>
      </c>
      <c r="Y429" t="s">
        <v>78</v>
      </c>
      <c r="Z429" t="s">
        <v>80</v>
      </c>
      <c r="AA429" t="s">
        <v>85</v>
      </c>
      <c r="AC429" t="s">
        <v>2950</v>
      </c>
      <c r="AD429" t="s">
        <v>87</v>
      </c>
      <c r="AG429" t="s">
        <v>2951</v>
      </c>
      <c r="AH429" t="s">
        <v>91</v>
      </c>
      <c r="AI429" t="s">
        <v>92</v>
      </c>
      <c r="AJ429" t="s">
        <v>131</v>
      </c>
      <c r="AK429" t="s">
        <v>2952</v>
      </c>
      <c r="AL429" t="s">
        <v>95</v>
      </c>
      <c r="AM429" t="s">
        <v>96</v>
      </c>
      <c r="AN429" t="s">
        <v>97</v>
      </c>
      <c r="AO429" t="s">
        <v>98</v>
      </c>
      <c r="AP429" t="s">
        <v>78</v>
      </c>
      <c r="AQ429" t="s">
        <v>99</v>
      </c>
      <c r="AS429" t="s">
        <v>78</v>
      </c>
      <c r="AT429" t="s">
        <v>100</v>
      </c>
      <c r="AU429" t="s">
        <v>100</v>
      </c>
      <c r="AW429" t="s">
        <v>85</v>
      </c>
      <c r="AX429" t="s">
        <v>103</v>
      </c>
      <c r="AY429" t="s">
        <v>159</v>
      </c>
      <c r="AZ429" t="s">
        <v>103</v>
      </c>
      <c r="BA429" t="s">
        <v>104</v>
      </c>
      <c r="BB429" t="s">
        <v>78</v>
      </c>
      <c r="BC429" t="s">
        <v>78</v>
      </c>
      <c r="BE429">
        <v>0</v>
      </c>
      <c r="BF429">
        <v>0</v>
      </c>
      <c r="BG429">
        <v>0</v>
      </c>
      <c r="BH429">
        <v>0</v>
      </c>
      <c r="BJ429" t="s">
        <v>85</v>
      </c>
      <c r="BP429" t="s">
        <v>78</v>
      </c>
      <c r="BQ429" t="s">
        <v>78</v>
      </c>
      <c r="BR429" t="s">
        <v>78</v>
      </c>
    </row>
    <row r="430" customFormat="1" spans="1:70">
      <c r="A430" t="s">
        <v>4313</v>
      </c>
      <c r="B430" t="s">
        <v>4313</v>
      </c>
      <c r="C430" t="s">
        <v>1092</v>
      </c>
      <c r="D430" t="s">
        <v>108</v>
      </c>
      <c r="E430">
        <v>1</v>
      </c>
      <c r="F430" t="s">
        <v>3998</v>
      </c>
      <c r="G430" t="s">
        <v>1094</v>
      </c>
      <c r="H430">
        <v>289</v>
      </c>
      <c r="I430">
        <v>289</v>
      </c>
      <c r="J430">
        <v>0</v>
      </c>
      <c r="K430">
        <v>0</v>
      </c>
      <c r="L430" t="s">
        <v>78</v>
      </c>
      <c r="M430" t="s">
        <v>78</v>
      </c>
      <c r="N430" t="s">
        <v>78</v>
      </c>
      <c r="O430">
        <v>0</v>
      </c>
      <c r="P430">
        <v>0</v>
      </c>
      <c r="Q430">
        <v>0</v>
      </c>
      <c r="R430" t="s">
        <v>125</v>
      </c>
      <c r="S430">
        <v>0</v>
      </c>
      <c r="T430" t="s">
        <v>80</v>
      </c>
      <c r="U430" t="s">
        <v>80</v>
      </c>
      <c r="V430" t="s">
        <v>347</v>
      </c>
      <c r="W430" t="s">
        <v>2652</v>
      </c>
      <c r="X430" t="s">
        <v>2916</v>
      </c>
      <c r="Y430" t="s">
        <v>2917</v>
      </c>
      <c r="Z430" t="s">
        <v>80</v>
      </c>
      <c r="AA430" t="s">
        <v>85</v>
      </c>
      <c r="AC430" t="s">
        <v>2954</v>
      </c>
      <c r="AD430" t="s">
        <v>87</v>
      </c>
      <c r="AG430" t="s">
        <v>2955</v>
      </c>
      <c r="AH430" t="s">
        <v>91</v>
      </c>
      <c r="AI430" t="s">
        <v>92</v>
      </c>
      <c r="AJ430" t="s">
        <v>131</v>
      </c>
      <c r="AK430" t="s">
        <v>2956</v>
      </c>
      <c r="AL430" t="s">
        <v>95</v>
      </c>
      <c r="AM430" t="s">
        <v>96</v>
      </c>
      <c r="AN430" t="s">
        <v>97</v>
      </c>
      <c r="AO430" t="s">
        <v>98</v>
      </c>
      <c r="AP430" t="s">
        <v>78</v>
      </c>
      <c r="AQ430" t="s">
        <v>99</v>
      </c>
      <c r="AS430" t="s">
        <v>78</v>
      </c>
      <c r="AT430" t="s">
        <v>100</v>
      </c>
      <c r="AU430" t="s">
        <v>100</v>
      </c>
      <c r="AW430" t="s">
        <v>85</v>
      </c>
      <c r="AX430" t="s">
        <v>101</v>
      </c>
      <c r="AY430" t="s">
        <v>102</v>
      </c>
      <c r="AZ430" t="s">
        <v>103</v>
      </c>
      <c r="BA430" t="s">
        <v>419</v>
      </c>
      <c r="BB430" t="s">
        <v>78</v>
      </c>
      <c r="BC430" t="s">
        <v>78</v>
      </c>
      <c r="BE430">
        <v>0</v>
      </c>
      <c r="BF430">
        <v>0</v>
      </c>
      <c r="BG430">
        <v>0</v>
      </c>
      <c r="BH430">
        <v>0</v>
      </c>
      <c r="BJ430" t="s">
        <v>85</v>
      </c>
      <c r="BP430" t="s">
        <v>78</v>
      </c>
      <c r="BQ430" t="s">
        <v>78</v>
      </c>
      <c r="BR430" t="s">
        <v>78</v>
      </c>
    </row>
    <row r="431" customFormat="1" spans="1:70">
      <c r="A431" t="s">
        <v>4314</v>
      </c>
      <c r="B431" t="s">
        <v>4314</v>
      </c>
      <c r="C431" t="s">
        <v>107</v>
      </c>
      <c r="D431" t="s">
        <v>108</v>
      </c>
      <c r="E431">
        <v>1</v>
      </c>
      <c r="F431" t="s">
        <v>3857</v>
      </c>
      <c r="G431" t="s">
        <v>110</v>
      </c>
      <c r="H431">
        <v>289</v>
      </c>
      <c r="I431">
        <v>289</v>
      </c>
      <c r="J431">
        <v>0</v>
      </c>
      <c r="K431">
        <v>0</v>
      </c>
      <c r="L431" t="s">
        <v>78</v>
      </c>
      <c r="M431" t="s">
        <v>78</v>
      </c>
      <c r="N431" t="s">
        <v>78</v>
      </c>
      <c r="O431">
        <v>0</v>
      </c>
      <c r="P431">
        <v>0</v>
      </c>
      <c r="Q431">
        <v>0</v>
      </c>
      <c r="R431" t="s">
        <v>79</v>
      </c>
      <c r="S431">
        <v>0</v>
      </c>
      <c r="T431" t="s">
        <v>80</v>
      </c>
      <c r="U431" t="s">
        <v>80</v>
      </c>
      <c r="V431" t="s">
        <v>178</v>
      </c>
      <c r="W431" t="s">
        <v>178</v>
      </c>
      <c r="X431" t="s">
        <v>293</v>
      </c>
      <c r="Y431" t="s">
        <v>294</v>
      </c>
      <c r="Z431" t="s">
        <v>80</v>
      </c>
      <c r="AA431" t="s">
        <v>85</v>
      </c>
      <c r="AC431" t="s">
        <v>2958</v>
      </c>
      <c r="AD431" t="s">
        <v>87</v>
      </c>
      <c r="AF431" t="s">
        <v>2853</v>
      </c>
      <c r="AG431" t="s">
        <v>2959</v>
      </c>
      <c r="AH431" t="s">
        <v>298</v>
      </c>
      <c r="AI431" t="s">
        <v>216</v>
      </c>
      <c r="AJ431" t="s">
        <v>93</v>
      </c>
      <c r="AK431" t="s">
        <v>2960</v>
      </c>
      <c r="AL431" t="s">
        <v>95</v>
      </c>
      <c r="AM431" t="s">
        <v>96</v>
      </c>
      <c r="AN431" t="s">
        <v>96</v>
      </c>
      <c r="AP431" t="s">
        <v>78</v>
      </c>
      <c r="AQ431" t="s">
        <v>78</v>
      </c>
      <c r="AS431" t="s">
        <v>78</v>
      </c>
      <c r="AT431" t="s">
        <v>100</v>
      </c>
      <c r="AU431" t="s">
        <v>100</v>
      </c>
      <c r="AW431" t="s">
        <v>85</v>
      </c>
      <c r="AX431" t="s">
        <v>101</v>
      </c>
      <c r="AY431" t="s">
        <v>102</v>
      </c>
      <c r="AZ431" t="s">
        <v>102</v>
      </c>
      <c r="BA431" t="s">
        <v>102</v>
      </c>
      <c r="BB431" t="s">
        <v>78</v>
      </c>
      <c r="BC431" t="s">
        <v>78</v>
      </c>
      <c r="BD431" t="s">
        <v>2850</v>
      </c>
      <c r="BE431">
        <v>0</v>
      </c>
      <c r="BF431">
        <v>0</v>
      </c>
      <c r="BG431">
        <v>0</v>
      </c>
      <c r="BH431">
        <v>0</v>
      </c>
      <c r="BJ431" t="s">
        <v>85</v>
      </c>
      <c r="BP431" t="s">
        <v>78</v>
      </c>
      <c r="BQ431" t="s">
        <v>78</v>
      </c>
      <c r="BR431" t="s">
        <v>78</v>
      </c>
    </row>
    <row r="432" customFormat="1" spans="1:70">
      <c r="A432" t="s">
        <v>4315</v>
      </c>
      <c r="B432" t="s">
        <v>4315</v>
      </c>
      <c r="C432" t="s">
        <v>1050</v>
      </c>
      <c r="D432" t="s">
        <v>1377</v>
      </c>
      <c r="E432">
        <v>1</v>
      </c>
      <c r="F432" t="s">
        <v>3991</v>
      </c>
      <c r="G432" t="s">
        <v>1378</v>
      </c>
      <c r="H432">
        <v>129</v>
      </c>
      <c r="I432">
        <v>154</v>
      </c>
      <c r="J432">
        <v>25</v>
      </c>
      <c r="K432">
        <v>0</v>
      </c>
      <c r="L432" t="s">
        <v>78</v>
      </c>
      <c r="M432" t="s">
        <v>78</v>
      </c>
      <c r="N432" t="s">
        <v>78</v>
      </c>
      <c r="O432">
        <v>0</v>
      </c>
      <c r="P432">
        <v>0</v>
      </c>
      <c r="Q432">
        <v>0</v>
      </c>
      <c r="R432" t="s">
        <v>111</v>
      </c>
      <c r="S432">
        <v>0</v>
      </c>
      <c r="T432" t="s">
        <v>80</v>
      </c>
      <c r="U432" t="s">
        <v>80</v>
      </c>
      <c r="V432" t="s">
        <v>1255</v>
      </c>
      <c r="W432" t="s">
        <v>1256</v>
      </c>
      <c r="X432" t="s">
        <v>1256</v>
      </c>
      <c r="Y432" t="s">
        <v>1257</v>
      </c>
      <c r="Z432" t="s">
        <v>80</v>
      </c>
      <c r="AA432" t="s">
        <v>85</v>
      </c>
      <c r="AC432" t="s">
        <v>2962</v>
      </c>
      <c r="AD432" t="s">
        <v>87</v>
      </c>
      <c r="AH432" t="s">
        <v>183</v>
      </c>
      <c r="AI432" t="s">
        <v>92</v>
      </c>
      <c r="AJ432" t="s">
        <v>131</v>
      </c>
      <c r="AK432" t="s">
        <v>2963</v>
      </c>
      <c r="AL432" t="s">
        <v>95</v>
      </c>
      <c r="AM432" t="s">
        <v>96</v>
      </c>
      <c r="AN432" t="s">
        <v>97</v>
      </c>
      <c r="AO432" t="s">
        <v>98</v>
      </c>
      <c r="AP432" t="s">
        <v>78</v>
      </c>
      <c r="AQ432" t="s">
        <v>78</v>
      </c>
      <c r="AR432" t="s">
        <v>353</v>
      </c>
      <c r="AS432" t="s">
        <v>78</v>
      </c>
      <c r="AT432" t="s">
        <v>100</v>
      </c>
      <c r="AU432" t="s">
        <v>100</v>
      </c>
      <c r="AW432" t="s">
        <v>85</v>
      </c>
      <c r="AX432" t="s">
        <v>101</v>
      </c>
      <c r="AY432" t="s">
        <v>102</v>
      </c>
      <c r="AZ432" t="s">
        <v>103</v>
      </c>
      <c r="BA432" t="s">
        <v>185</v>
      </c>
      <c r="BB432" t="s">
        <v>78</v>
      </c>
      <c r="BC432" t="s">
        <v>78</v>
      </c>
      <c r="BE432">
        <v>0</v>
      </c>
      <c r="BF432">
        <v>0</v>
      </c>
      <c r="BG432">
        <v>0</v>
      </c>
      <c r="BH432">
        <v>0</v>
      </c>
      <c r="BJ432" t="s">
        <v>85</v>
      </c>
      <c r="BP432" t="s">
        <v>78</v>
      </c>
      <c r="BQ432" t="s">
        <v>78</v>
      </c>
      <c r="BR432" t="s">
        <v>78</v>
      </c>
    </row>
    <row r="433" customFormat="1" spans="1:70">
      <c r="A433" t="s">
        <v>4316</v>
      </c>
      <c r="B433" t="s">
        <v>4316</v>
      </c>
      <c r="C433" t="s">
        <v>1050</v>
      </c>
      <c r="D433" t="s">
        <v>1051</v>
      </c>
      <c r="E433">
        <v>1</v>
      </c>
      <c r="F433" t="s">
        <v>3991</v>
      </c>
      <c r="G433" t="s">
        <v>1053</v>
      </c>
      <c r="H433">
        <v>129</v>
      </c>
      <c r="I433">
        <v>129</v>
      </c>
      <c r="J433">
        <v>0</v>
      </c>
      <c r="K433">
        <v>0</v>
      </c>
      <c r="L433" t="s">
        <v>78</v>
      </c>
      <c r="M433" t="s">
        <v>78</v>
      </c>
      <c r="N433" t="s">
        <v>78</v>
      </c>
      <c r="O433">
        <v>0</v>
      </c>
      <c r="P433">
        <v>0</v>
      </c>
      <c r="Q433">
        <v>0</v>
      </c>
      <c r="R433" t="s">
        <v>79</v>
      </c>
      <c r="S433">
        <v>0</v>
      </c>
      <c r="T433" t="s">
        <v>80</v>
      </c>
      <c r="U433" t="s">
        <v>80</v>
      </c>
      <c r="V433" t="s">
        <v>1261</v>
      </c>
      <c r="W433" t="s">
        <v>2482</v>
      </c>
      <c r="X433" t="s">
        <v>2965</v>
      </c>
      <c r="Y433" t="s">
        <v>2966</v>
      </c>
      <c r="Z433" t="s">
        <v>80</v>
      </c>
      <c r="AA433" t="s">
        <v>85</v>
      </c>
      <c r="AC433" t="s">
        <v>2967</v>
      </c>
      <c r="AD433" t="s">
        <v>87</v>
      </c>
      <c r="AG433" t="s">
        <v>2968</v>
      </c>
      <c r="AH433" t="s">
        <v>91</v>
      </c>
      <c r="AI433" t="s">
        <v>92</v>
      </c>
      <c r="AJ433" t="s">
        <v>131</v>
      </c>
      <c r="AK433" t="s">
        <v>2969</v>
      </c>
      <c r="AL433" t="s">
        <v>95</v>
      </c>
      <c r="AM433" t="s">
        <v>96</v>
      </c>
      <c r="AN433" t="s">
        <v>97</v>
      </c>
      <c r="AO433" t="s">
        <v>98</v>
      </c>
      <c r="AP433" t="s">
        <v>78</v>
      </c>
      <c r="AQ433" t="s">
        <v>99</v>
      </c>
      <c r="AS433" t="s">
        <v>78</v>
      </c>
      <c r="AT433" t="s">
        <v>100</v>
      </c>
      <c r="AU433" t="s">
        <v>100</v>
      </c>
      <c r="AW433" t="s">
        <v>85</v>
      </c>
      <c r="AX433" t="s">
        <v>101</v>
      </c>
      <c r="AY433" t="s">
        <v>102</v>
      </c>
      <c r="AZ433" t="s">
        <v>103</v>
      </c>
      <c r="BA433" t="s">
        <v>133</v>
      </c>
      <c r="BB433" t="s">
        <v>78</v>
      </c>
      <c r="BC433" t="s">
        <v>78</v>
      </c>
      <c r="BE433">
        <v>0</v>
      </c>
      <c r="BF433">
        <v>0</v>
      </c>
      <c r="BG433">
        <v>0</v>
      </c>
      <c r="BH433">
        <v>0</v>
      </c>
      <c r="BJ433" t="s">
        <v>85</v>
      </c>
      <c r="BP433" t="s">
        <v>78</v>
      </c>
      <c r="BQ433" t="s">
        <v>78</v>
      </c>
      <c r="BR433" t="s">
        <v>78</v>
      </c>
    </row>
    <row r="434" customFormat="1" spans="1:70">
      <c r="A434" t="s">
        <v>4317</v>
      </c>
      <c r="B434" t="s">
        <v>4317</v>
      </c>
      <c r="C434" t="s">
        <v>107</v>
      </c>
      <c r="D434" t="s">
        <v>108</v>
      </c>
      <c r="E434">
        <v>1</v>
      </c>
      <c r="F434" t="s">
        <v>3857</v>
      </c>
      <c r="G434" t="s">
        <v>110</v>
      </c>
      <c r="H434">
        <v>289</v>
      </c>
      <c r="I434">
        <v>274</v>
      </c>
      <c r="J434">
        <v>0</v>
      </c>
      <c r="K434">
        <v>15</v>
      </c>
      <c r="L434" t="s">
        <v>1118</v>
      </c>
      <c r="M434" t="s">
        <v>78</v>
      </c>
      <c r="N434" t="s">
        <v>78</v>
      </c>
      <c r="O434">
        <v>0</v>
      </c>
      <c r="P434">
        <v>0</v>
      </c>
      <c r="Q434">
        <v>0</v>
      </c>
      <c r="R434" t="s">
        <v>125</v>
      </c>
      <c r="S434">
        <v>0</v>
      </c>
      <c r="T434" t="s">
        <v>80</v>
      </c>
      <c r="U434" t="s">
        <v>80</v>
      </c>
      <c r="V434" t="s">
        <v>221</v>
      </c>
      <c r="W434" t="s">
        <v>1368</v>
      </c>
      <c r="X434" t="s">
        <v>1369</v>
      </c>
      <c r="Y434" t="s">
        <v>1370</v>
      </c>
      <c r="Z434" t="s">
        <v>80</v>
      </c>
      <c r="AA434" t="s">
        <v>85</v>
      </c>
      <c r="AC434" t="s">
        <v>2971</v>
      </c>
      <c r="AD434" t="s">
        <v>87</v>
      </c>
      <c r="AG434" t="s">
        <v>2972</v>
      </c>
      <c r="AH434" t="s">
        <v>91</v>
      </c>
      <c r="AI434" t="s">
        <v>92</v>
      </c>
      <c r="AJ434" t="s">
        <v>131</v>
      </c>
      <c r="AK434" t="s">
        <v>2973</v>
      </c>
      <c r="AL434" t="s">
        <v>95</v>
      </c>
      <c r="AM434" t="s">
        <v>96</v>
      </c>
      <c r="AN434" t="s">
        <v>97</v>
      </c>
      <c r="AO434" t="s">
        <v>98</v>
      </c>
      <c r="AP434" t="s">
        <v>78</v>
      </c>
      <c r="AQ434" t="s">
        <v>99</v>
      </c>
      <c r="AS434" t="s">
        <v>78</v>
      </c>
      <c r="AT434" t="s">
        <v>100</v>
      </c>
      <c r="AU434" t="s">
        <v>100</v>
      </c>
      <c r="AW434" t="s">
        <v>85</v>
      </c>
      <c r="AX434" t="s">
        <v>103</v>
      </c>
      <c r="AY434" t="s">
        <v>159</v>
      </c>
      <c r="AZ434" t="s">
        <v>103</v>
      </c>
      <c r="BA434" t="s">
        <v>104</v>
      </c>
      <c r="BB434" t="s">
        <v>78</v>
      </c>
      <c r="BC434" t="s">
        <v>78</v>
      </c>
      <c r="BE434">
        <v>0</v>
      </c>
      <c r="BF434">
        <v>15</v>
      </c>
      <c r="BG434">
        <v>0</v>
      </c>
      <c r="BH434">
        <v>0</v>
      </c>
      <c r="BJ434" t="s">
        <v>85</v>
      </c>
      <c r="BP434" t="s">
        <v>78</v>
      </c>
      <c r="BQ434" t="s">
        <v>78</v>
      </c>
      <c r="BR434" t="s">
        <v>78</v>
      </c>
    </row>
    <row r="435" customFormat="1" spans="1:70">
      <c r="A435" t="s">
        <v>4318</v>
      </c>
      <c r="B435" t="s">
        <v>4318</v>
      </c>
      <c r="C435" t="s">
        <v>1050</v>
      </c>
      <c r="D435" t="s">
        <v>1142</v>
      </c>
      <c r="E435">
        <v>1</v>
      </c>
      <c r="F435" t="s">
        <v>3991</v>
      </c>
      <c r="G435" t="s">
        <v>1143</v>
      </c>
      <c r="H435">
        <v>129</v>
      </c>
      <c r="I435">
        <v>129</v>
      </c>
      <c r="J435">
        <v>0</v>
      </c>
      <c r="K435">
        <v>0</v>
      </c>
      <c r="L435" t="s">
        <v>78</v>
      </c>
      <c r="M435" t="s">
        <v>78</v>
      </c>
      <c r="N435" t="s">
        <v>78</v>
      </c>
      <c r="O435">
        <v>0</v>
      </c>
      <c r="P435">
        <v>0</v>
      </c>
      <c r="Q435">
        <v>0</v>
      </c>
      <c r="R435" t="s">
        <v>79</v>
      </c>
      <c r="S435">
        <v>0</v>
      </c>
      <c r="T435" t="s">
        <v>80</v>
      </c>
      <c r="U435" t="s">
        <v>80</v>
      </c>
      <c r="V435" t="s">
        <v>239</v>
      </c>
      <c r="W435" t="s">
        <v>2439</v>
      </c>
      <c r="X435" t="s">
        <v>2440</v>
      </c>
      <c r="Y435" t="s">
        <v>2441</v>
      </c>
      <c r="Z435" t="s">
        <v>80</v>
      </c>
      <c r="AA435" t="s">
        <v>85</v>
      </c>
      <c r="AC435" t="s">
        <v>2975</v>
      </c>
      <c r="AD435" t="s">
        <v>87</v>
      </c>
      <c r="AG435" t="s">
        <v>2976</v>
      </c>
      <c r="AH435" t="s">
        <v>91</v>
      </c>
      <c r="AI435" t="s">
        <v>92</v>
      </c>
      <c r="AJ435" t="s">
        <v>131</v>
      </c>
      <c r="AK435" t="s">
        <v>2977</v>
      </c>
      <c r="AL435" t="s">
        <v>95</v>
      </c>
      <c r="AM435" t="s">
        <v>96</v>
      </c>
      <c r="AN435" t="s">
        <v>97</v>
      </c>
      <c r="AO435" t="s">
        <v>98</v>
      </c>
      <c r="AP435" t="s">
        <v>78</v>
      </c>
      <c r="AQ435" t="s">
        <v>99</v>
      </c>
      <c r="AS435" t="s">
        <v>78</v>
      </c>
      <c r="AT435" t="s">
        <v>100</v>
      </c>
      <c r="AU435" t="s">
        <v>100</v>
      </c>
      <c r="AW435" t="s">
        <v>85</v>
      </c>
      <c r="AX435" t="s">
        <v>103</v>
      </c>
      <c r="AY435" t="s">
        <v>159</v>
      </c>
      <c r="AZ435" t="s">
        <v>103</v>
      </c>
      <c r="BA435" t="s">
        <v>133</v>
      </c>
      <c r="BB435" t="s">
        <v>78</v>
      </c>
      <c r="BC435" t="s">
        <v>78</v>
      </c>
      <c r="BE435">
        <v>0</v>
      </c>
      <c r="BF435">
        <v>0</v>
      </c>
      <c r="BG435">
        <v>0</v>
      </c>
      <c r="BH435">
        <v>0</v>
      </c>
      <c r="BJ435" t="s">
        <v>85</v>
      </c>
      <c r="BP435" t="s">
        <v>78</v>
      </c>
      <c r="BQ435" t="s">
        <v>78</v>
      </c>
      <c r="BR435" t="s">
        <v>78</v>
      </c>
    </row>
    <row r="436" customFormat="1" spans="1:70">
      <c r="A436" t="s">
        <v>4319</v>
      </c>
      <c r="B436" t="s">
        <v>4319</v>
      </c>
      <c r="C436" t="s">
        <v>1092</v>
      </c>
      <c r="D436" t="s">
        <v>135</v>
      </c>
      <c r="E436">
        <v>1</v>
      </c>
      <c r="F436" t="s">
        <v>3998</v>
      </c>
      <c r="G436" t="s">
        <v>1357</v>
      </c>
      <c r="H436">
        <v>289</v>
      </c>
      <c r="I436">
        <v>289</v>
      </c>
      <c r="J436">
        <v>0</v>
      </c>
      <c r="K436">
        <v>0</v>
      </c>
      <c r="L436" t="s">
        <v>78</v>
      </c>
      <c r="M436" t="s">
        <v>78</v>
      </c>
      <c r="N436" t="s">
        <v>78</v>
      </c>
      <c r="O436">
        <v>0</v>
      </c>
      <c r="P436">
        <v>0</v>
      </c>
      <c r="Q436">
        <v>0</v>
      </c>
      <c r="R436" t="s">
        <v>125</v>
      </c>
      <c r="S436">
        <v>0</v>
      </c>
      <c r="T436" t="s">
        <v>80</v>
      </c>
      <c r="U436" t="s">
        <v>80</v>
      </c>
      <c r="V436" t="s">
        <v>302</v>
      </c>
      <c r="W436" t="s">
        <v>1394</v>
      </c>
      <c r="X436" t="s">
        <v>1395</v>
      </c>
      <c r="Y436" t="s">
        <v>1396</v>
      </c>
      <c r="Z436" t="s">
        <v>80</v>
      </c>
      <c r="AA436" t="s">
        <v>85</v>
      </c>
      <c r="AC436" t="s">
        <v>2979</v>
      </c>
      <c r="AD436" t="s">
        <v>87</v>
      </c>
      <c r="AG436" t="s">
        <v>2980</v>
      </c>
      <c r="AH436" t="s">
        <v>91</v>
      </c>
      <c r="AI436" t="s">
        <v>92</v>
      </c>
      <c r="AJ436" t="s">
        <v>131</v>
      </c>
      <c r="AK436" t="s">
        <v>2981</v>
      </c>
      <c r="AL436" t="s">
        <v>95</v>
      </c>
      <c r="AM436" t="s">
        <v>96</v>
      </c>
      <c r="AN436" t="s">
        <v>97</v>
      </c>
      <c r="AO436" t="s">
        <v>98</v>
      </c>
      <c r="AP436" t="s">
        <v>78</v>
      </c>
      <c r="AQ436" t="s">
        <v>99</v>
      </c>
      <c r="AS436" t="s">
        <v>78</v>
      </c>
      <c r="AT436" t="s">
        <v>100</v>
      </c>
      <c r="AU436" t="s">
        <v>100</v>
      </c>
      <c r="AW436" t="s">
        <v>85</v>
      </c>
      <c r="AX436" t="s">
        <v>101</v>
      </c>
      <c r="AY436" t="s">
        <v>102</v>
      </c>
      <c r="AZ436" t="s">
        <v>103</v>
      </c>
      <c r="BA436" t="s">
        <v>120</v>
      </c>
      <c r="BB436" t="s">
        <v>78</v>
      </c>
      <c r="BC436" t="s">
        <v>78</v>
      </c>
      <c r="BE436">
        <v>0</v>
      </c>
      <c r="BF436">
        <v>0</v>
      </c>
      <c r="BG436">
        <v>0</v>
      </c>
      <c r="BH436">
        <v>0</v>
      </c>
      <c r="BJ436" t="s">
        <v>85</v>
      </c>
      <c r="BP436" t="s">
        <v>78</v>
      </c>
      <c r="BQ436" t="s">
        <v>78</v>
      </c>
      <c r="BR436" t="s">
        <v>78</v>
      </c>
    </row>
    <row r="437" customFormat="1" spans="1:70">
      <c r="A437" t="s">
        <v>4320</v>
      </c>
      <c r="B437" t="s">
        <v>4320</v>
      </c>
      <c r="C437" t="s">
        <v>1050</v>
      </c>
      <c r="D437" t="s">
        <v>1153</v>
      </c>
      <c r="E437">
        <v>1</v>
      </c>
      <c r="F437" t="s">
        <v>3991</v>
      </c>
      <c r="G437" t="s">
        <v>1154</v>
      </c>
      <c r="H437">
        <v>129</v>
      </c>
      <c r="I437">
        <v>129</v>
      </c>
      <c r="J437">
        <v>0</v>
      </c>
      <c r="K437">
        <v>0</v>
      </c>
      <c r="L437" t="s">
        <v>78</v>
      </c>
      <c r="M437" t="s">
        <v>78</v>
      </c>
      <c r="N437" t="s">
        <v>78</v>
      </c>
      <c r="O437">
        <v>0</v>
      </c>
      <c r="P437">
        <v>0</v>
      </c>
      <c r="Q437">
        <v>0</v>
      </c>
      <c r="R437" t="s">
        <v>125</v>
      </c>
      <c r="S437">
        <v>0</v>
      </c>
      <c r="T437" t="s">
        <v>80</v>
      </c>
      <c r="U437" t="s">
        <v>80</v>
      </c>
      <c r="V437" t="s">
        <v>112</v>
      </c>
      <c r="W437" t="s">
        <v>2983</v>
      </c>
      <c r="X437" t="s">
        <v>2983</v>
      </c>
      <c r="Y437" t="s">
        <v>2984</v>
      </c>
      <c r="Z437" t="s">
        <v>80</v>
      </c>
      <c r="AA437" t="s">
        <v>85</v>
      </c>
      <c r="AC437" t="s">
        <v>2985</v>
      </c>
      <c r="AD437" t="s">
        <v>87</v>
      </c>
      <c r="AH437" t="s">
        <v>227</v>
      </c>
      <c r="AI437" t="s">
        <v>92</v>
      </c>
      <c r="AJ437" t="s">
        <v>131</v>
      </c>
      <c r="AK437" t="s">
        <v>2986</v>
      </c>
      <c r="AL437" t="s">
        <v>95</v>
      </c>
      <c r="AM437" t="s">
        <v>96</v>
      </c>
      <c r="AN437" t="s">
        <v>97</v>
      </c>
      <c r="AO437" t="s">
        <v>98</v>
      </c>
      <c r="AP437" t="s">
        <v>78</v>
      </c>
      <c r="AQ437" t="s">
        <v>78</v>
      </c>
      <c r="AR437" t="s">
        <v>353</v>
      </c>
      <c r="AS437" t="s">
        <v>78</v>
      </c>
      <c r="AT437" t="s">
        <v>100</v>
      </c>
      <c r="AU437" t="s">
        <v>100</v>
      </c>
      <c r="AW437" t="s">
        <v>85</v>
      </c>
      <c r="AX437" t="s">
        <v>103</v>
      </c>
      <c r="AY437" t="s">
        <v>159</v>
      </c>
      <c r="AZ437" t="s">
        <v>103</v>
      </c>
      <c r="BA437" t="s">
        <v>133</v>
      </c>
      <c r="BB437" t="s">
        <v>78</v>
      </c>
      <c r="BC437" t="s">
        <v>78</v>
      </c>
      <c r="BE437">
        <v>0</v>
      </c>
      <c r="BF437">
        <v>0</v>
      </c>
      <c r="BG437">
        <v>0</v>
      </c>
      <c r="BH437">
        <v>0</v>
      </c>
      <c r="BJ437" t="s">
        <v>85</v>
      </c>
      <c r="BP437" t="s">
        <v>78</v>
      </c>
      <c r="BQ437" t="s">
        <v>78</v>
      </c>
      <c r="BR437" t="s">
        <v>78</v>
      </c>
    </row>
    <row r="438" customFormat="1" spans="1:70">
      <c r="A438" t="s">
        <v>4321</v>
      </c>
      <c r="B438" t="s">
        <v>4321</v>
      </c>
      <c r="C438" t="s">
        <v>1092</v>
      </c>
      <c r="D438" t="s">
        <v>108</v>
      </c>
      <c r="E438">
        <v>1</v>
      </c>
      <c r="F438" t="s">
        <v>3998</v>
      </c>
      <c r="G438" t="s">
        <v>1094</v>
      </c>
      <c r="H438">
        <v>289</v>
      </c>
      <c r="I438">
        <v>261</v>
      </c>
      <c r="J438">
        <v>0</v>
      </c>
      <c r="K438">
        <v>28</v>
      </c>
      <c r="L438" t="s">
        <v>488</v>
      </c>
      <c r="M438" t="s">
        <v>78</v>
      </c>
      <c r="N438" t="s">
        <v>78</v>
      </c>
      <c r="O438">
        <v>0</v>
      </c>
      <c r="P438">
        <v>0</v>
      </c>
      <c r="Q438">
        <v>0</v>
      </c>
      <c r="R438" t="s">
        <v>125</v>
      </c>
      <c r="S438">
        <v>0</v>
      </c>
      <c r="T438" t="s">
        <v>80</v>
      </c>
      <c r="U438" t="s">
        <v>80</v>
      </c>
      <c r="V438" t="s">
        <v>583</v>
      </c>
      <c r="W438" t="s">
        <v>584</v>
      </c>
      <c r="X438" t="s">
        <v>2988</v>
      </c>
      <c r="Y438" t="s">
        <v>2989</v>
      </c>
      <c r="Z438" t="s">
        <v>80</v>
      </c>
      <c r="AA438" t="s">
        <v>85</v>
      </c>
      <c r="AC438" t="s">
        <v>2990</v>
      </c>
      <c r="AD438" t="s">
        <v>87</v>
      </c>
      <c r="AG438" t="s">
        <v>2991</v>
      </c>
      <c r="AH438" t="s">
        <v>91</v>
      </c>
      <c r="AI438" t="s">
        <v>216</v>
      </c>
      <c r="AJ438" t="s">
        <v>131</v>
      </c>
      <c r="AK438" t="s">
        <v>2992</v>
      </c>
      <c r="AL438" t="s">
        <v>95</v>
      </c>
      <c r="AM438" t="s">
        <v>96</v>
      </c>
      <c r="AN438" t="s">
        <v>96</v>
      </c>
      <c r="AP438" t="s">
        <v>78</v>
      </c>
      <c r="AQ438" t="s">
        <v>99</v>
      </c>
      <c r="AS438" t="s">
        <v>78</v>
      </c>
      <c r="AT438" t="s">
        <v>100</v>
      </c>
      <c r="AU438" t="s">
        <v>100</v>
      </c>
      <c r="AW438" t="s">
        <v>85</v>
      </c>
      <c r="AX438" t="s">
        <v>101</v>
      </c>
      <c r="AY438" t="s">
        <v>102</v>
      </c>
      <c r="AZ438" t="s">
        <v>145</v>
      </c>
      <c r="BA438" t="s">
        <v>525</v>
      </c>
      <c r="BB438" t="s">
        <v>78</v>
      </c>
      <c r="BC438" t="s">
        <v>78</v>
      </c>
      <c r="BE438">
        <v>0</v>
      </c>
      <c r="BF438">
        <v>28</v>
      </c>
      <c r="BG438">
        <v>0</v>
      </c>
      <c r="BH438">
        <v>0</v>
      </c>
      <c r="BJ438" t="s">
        <v>85</v>
      </c>
      <c r="BP438" t="s">
        <v>78</v>
      </c>
      <c r="BQ438" t="s">
        <v>78</v>
      </c>
      <c r="BR438" t="s">
        <v>78</v>
      </c>
    </row>
    <row r="439" customFormat="1" spans="1:70">
      <c r="A439" t="s">
        <v>4322</v>
      </c>
      <c r="B439" t="s">
        <v>4322</v>
      </c>
      <c r="C439" t="s">
        <v>1092</v>
      </c>
      <c r="D439" t="s">
        <v>108</v>
      </c>
      <c r="E439">
        <v>1</v>
      </c>
      <c r="F439" t="s">
        <v>3998</v>
      </c>
      <c r="G439" t="s">
        <v>1094</v>
      </c>
      <c r="H439">
        <v>289</v>
      </c>
      <c r="I439">
        <v>274</v>
      </c>
      <c r="J439">
        <v>0</v>
      </c>
      <c r="K439">
        <v>15</v>
      </c>
      <c r="L439" t="s">
        <v>1118</v>
      </c>
      <c r="M439" t="s">
        <v>78</v>
      </c>
      <c r="N439" t="s">
        <v>78</v>
      </c>
      <c r="O439">
        <v>0</v>
      </c>
      <c r="P439">
        <v>0</v>
      </c>
      <c r="Q439">
        <v>0</v>
      </c>
      <c r="R439" t="s">
        <v>125</v>
      </c>
      <c r="S439">
        <v>0</v>
      </c>
      <c r="T439" t="s">
        <v>80</v>
      </c>
      <c r="U439" t="s">
        <v>80</v>
      </c>
      <c r="V439" t="s">
        <v>583</v>
      </c>
      <c r="W439" t="s">
        <v>584</v>
      </c>
      <c r="X439" t="s">
        <v>2988</v>
      </c>
      <c r="Y439" t="s">
        <v>2989</v>
      </c>
      <c r="Z439" t="s">
        <v>80</v>
      </c>
      <c r="AA439" t="s">
        <v>85</v>
      </c>
      <c r="AC439" t="s">
        <v>2994</v>
      </c>
      <c r="AD439" t="s">
        <v>87</v>
      </c>
      <c r="AG439" t="s">
        <v>2995</v>
      </c>
      <c r="AH439" t="s">
        <v>91</v>
      </c>
      <c r="AI439" t="s">
        <v>216</v>
      </c>
      <c r="AJ439" t="s">
        <v>131</v>
      </c>
      <c r="AK439" t="s">
        <v>2996</v>
      </c>
      <c r="AL439" t="s">
        <v>95</v>
      </c>
      <c r="AM439" t="s">
        <v>96</v>
      </c>
      <c r="AN439" t="s">
        <v>96</v>
      </c>
      <c r="AP439" t="s">
        <v>78</v>
      </c>
      <c r="AQ439" t="s">
        <v>99</v>
      </c>
      <c r="AS439" t="s">
        <v>78</v>
      </c>
      <c r="AT439" t="s">
        <v>100</v>
      </c>
      <c r="AU439" t="s">
        <v>100</v>
      </c>
      <c r="AW439" t="s">
        <v>85</v>
      </c>
      <c r="AX439" t="s">
        <v>101</v>
      </c>
      <c r="AY439" t="s">
        <v>102</v>
      </c>
      <c r="AZ439" t="s">
        <v>145</v>
      </c>
      <c r="BA439" t="s">
        <v>525</v>
      </c>
      <c r="BB439" t="s">
        <v>78</v>
      </c>
      <c r="BC439" t="s">
        <v>78</v>
      </c>
      <c r="BE439">
        <v>0</v>
      </c>
      <c r="BF439">
        <v>15</v>
      </c>
      <c r="BG439">
        <v>0</v>
      </c>
      <c r="BH439">
        <v>0</v>
      </c>
      <c r="BJ439" t="s">
        <v>85</v>
      </c>
      <c r="BP439" t="s">
        <v>78</v>
      </c>
      <c r="BQ439" t="s">
        <v>78</v>
      </c>
      <c r="BR439" t="s">
        <v>78</v>
      </c>
    </row>
    <row r="440" customFormat="1" spans="1:70">
      <c r="A440" t="s">
        <v>4323</v>
      </c>
      <c r="B440" t="s">
        <v>4323</v>
      </c>
      <c r="C440" t="s">
        <v>1050</v>
      </c>
      <c r="D440" t="s">
        <v>1051</v>
      </c>
      <c r="E440">
        <v>1</v>
      </c>
      <c r="F440" t="s">
        <v>3991</v>
      </c>
      <c r="G440" t="s">
        <v>1053</v>
      </c>
      <c r="H440">
        <v>129</v>
      </c>
      <c r="I440">
        <v>129</v>
      </c>
      <c r="J440">
        <v>0</v>
      </c>
      <c r="K440">
        <v>0</v>
      </c>
      <c r="L440" t="s">
        <v>78</v>
      </c>
      <c r="M440" t="s">
        <v>78</v>
      </c>
      <c r="N440" t="s">
        <v>78</v>
      </c>
      <c r="O440">
        <v>0</v>
      </c>
      <c r="P440">
        <v>0</v>
      </c>
      <c r="Q440">
        <v>0</v>
      </c>
      <c r="R440" t="s">
        <v>111</v>
      </c>
      <c r="S440">
        <v>0</v>
      </c>
      <c r="T440" t="s">
        <v>80</v>
      </c>
      <c r="U440" t="s">
        <v>80</v>
      </c>
      <c r="V440" t="s">
        <v>239</v>
      </c>
      <c r="W440" t="s">
        <v>263</v>
      </c>
      <c r="X440" t="s">
        <v>264</v>
      </c>
      <c r="Y440" t="s">
        <v>265</v>
      </c>
      <c r="Z440" t="s">
        <v>80</v>
      </c>
      <c r="AA440" t="s">
        <v>85</v>
      </c>
      <c r="AC440" t="s">
        <v>2998</v>
      </c>
      <c r="AD440" t="s">
        <v>87</v>
      </c>
      <c r="AG440" t="s">
        <v>2999</v>
      </c>
      <c r="AH440" t="s">
        <v>91</v>
      </c>
      <c r="AI440" t="s">
        <v>92</v>
      </c>
      <c r="AJ440" t="s">
        <v>131</v>
      </c>
      <c r="AK440" t="s">
        <v>3000</v>
      </c>
      <c r="AL440" t="s">
        <v>95</v>
      </c>
      <c r="AM440" t="s">
        <v>96</v>
      </c>
      <c r="AN440" t="s">
        <v>97</v>
      </c>
      <c r="AO440" t="s">
        <v>98</v>
      </c>
      <c r="AP440" t="s">
        <v>78</v>
      </c>
      <c r="AQ440" t="s">
        <v>99</v>
      </c>
      <c r="AS440" t="s">
        <v>78</v>
      </c>
      <c r="AT440" t="s">
        <v>100</v>
      </c>
      <c r="AU440" t="s">
        <v>100</v>
      </c>
      <c r="AW440" t="s">
        <v>85</v>
      </c>
      <c r="AX440" t="s">
        <v>103</v>
      </c>
      <c r="AY440" t="s">
        <v>159</v>
      </c>
      <c r="AZ440" t="s">
        <v>103</v>
      </c>
      <c r="BA440" t="s">
        <v>419</v>
      </c>
      <c r="BB440" t="s">
        <v>78</v>
      </c>
      <c r="BC440" t="s">
        <v>78</v>
      </c>
      <c r="BE440">
        <v>0</v>
      </c>
      <c r="BF440">
        <v>0</v>
      </c>
      <c r="BG440">
        <v>0</v>
      </c>
      <c r="BH440">
        <v>0</v>
      </c>
      <c r="BJ440" t="s">
        <v>85</v>
      </c>
      <c r="BP440" t="s">
        <v>78</v>
      </c>
      <c r="BQ440" t="s">
        <v>78</v>
      </c>
      <c r="BR440" t="s">
        <v>78</v>
      </c>
    </row>
    <row r="441" customFormat="1" spans="1:70">
      <c r="A441" t="s">
        <v>4324</v>
      </c>
      <c r="B441" t="s">
        <v>4324</v>
      </c>
      <c r="C441" t="s">
        <v>1050</v>
      </c>
      <c r="D441" t="s">
        <v>1142</v>
      </c>
      <c r="E441">
        <v>1</v>
      </c>
      <c r="F441" t="s">
        <v>3991</v>
      </c>
      <c r="G441" t="s">
        <v>1143</v>
      </c>
      <c r="H441">
        <v>129</v>
      </c>
      <c r="I441">
        <v>129</v>
      </c>
      <c r="J441">
        <v>0</v>
      </c>
      <c r="K441">
        <v>0</v>
      </c>
      <c r="L441" t="s">
        <v>78</v>
      </c>
      <c r="M441" t="s">
        <v>78</v>
      </c>
      <c r="N441" t="s">
        <v>78</v>
      </c>
      <c r="O441">
        <v>0</v>
      </c>
      <c r="P441">
        <v>0</v>
      </c>
      <c r="Q441">
        <v>0</v>
      </c>
      <c r="R441" t="s">
        <v>79</v>
      </c>
      <c r="S441">
        <v>0</v>
      </c>
      <c r="T441" t="s">
        <v>80</v>
      </c>
      <c r="U441" t="s">
        <v>80</v>
      </c>
      <c r="V441" t="s">
        <v>81</v>
      </c>
      <c r="W441" t="s">
        <v>3002</v>
      </c>
      <c r="X441" t="s">
        <v>3003</v>
      </c>
      <c r="Y441" t="s">
        <v>3004</v>
      </c>
      <c r="Z441" t="s">
        <v>80</v>
      </c>
      <c r="AA441" t="s">
        <v>85</v>
      </c>
      <c r="AC441" t="s">
        <v>3005</v>
      </c>
      <c r="AD441" t="s">
        <v>202</v>
      </c>
      <c r="AE441" t="s">
        <v>3006</v>
      </c>
      <c r="AG441" t="s">
        <v>3007</v>
      </c>
      <c r="AH441" t="s">
        <v>91</v>
      </c>
      <c r="AI441" t="s">
        <v>92</v>
      </c>
      <c r="AJ441" t="s">
        <v>131</v>
      </c>
      <c r="AK441" t="s">
        <v>3008</v>
      </c>
      <c r="AL441" t="s">
        <v>95</v>
      </c>
      <c r="AM441" t="s">
        <v>96</v>
      </c>
      <c r="AN441" t="s">
        <v>97</v>
      </c>
      <c r="AO441" t="s">
        <v>98</v>
      </c>
      <c r="AP441" t="s">
        <v>78</v>
      </c>
      <c r="AQ441" t="s">
        <v>99</v>
      </c>
      <c r="AS441" t="s">
        <v>78</v>
      </c>
      <c r="AT441" t="s">
        <v>100</v>
      </c>
      <c r="AU441" t="s">
        <v>100</v>
      </c>
      <c r="AW441" t="s">
        <v>85</v>
      </c>
      <c r="AX441" t="s">
        <v>101</v>
      </c>
      <c r="AY441" t="s">
        <v>102</v>
      </c>
      <c r="AZ441" t="s">
        <v>103</v>
      </c>
      <c r="BA441" t="s">
        <v>104</v>
      </c>
      <c r="BB441" t="s">
        <v>78</v>
      </c>
      <c r="BC441" t="s">
        <v>78</v>
      </c>
      <c r="BD441" t="s">
        <v>3009</v>
      </c>
      <c r="BE441">
        <v>0</v>
      </c>
      <c r="BF441">
        <v>0</v>
      </c>
      <c r="BG441">
        <v>0</v>
      </c>
      <c r="BH441">
        <v>0</v>
      </c>
      <c r="BJ441" t="s">
        <v>85</v>
      </c>
      <c r="BP441" t="s">
        <v>78</v>
      </c>
      <c r="BQ441" t="s">
        <v>78</v>
      </c>
      <c r="BR441" t="s">
        <v>78</v>
      </c>
    </row>
    <row r="442" customFormat="1" spans="1:70">
      <c r="A442" t="s">
        <v>4325</v>
      </c>
      <c r="B442" t="s">
        <v>4325</v>
      </c>
      <c r="C442" t="s">
        <v>1050</v>
      </c>
      <c r="D442" t="s">
        <v>1377</v>
      </c>
      <c r="E442">
        <v>1</v>
      </c>
      <c r="F442" t="s">
        <v>3991</v>
      </c>
      <c r="G442" t="s">
        <v>1378</v>
      </c>
      <c r="H442">
        <v>129</v>
      </c>
      <c r="I442">
        <v>124</v>
      </c>
      <c r="J442">
        <v>0</v>
      </c>
      <c r="K442">
        <v>5</v>
      </c>
      <c r="L442" t="s">
        <v>659</v>
      </c>
      <c r="M442" t="s">
        <v>78</v>
      </c>
      <c r="N442" t="s">
        <v>78</v>
      </c>
      <c r="O442">
        <v>0</v>
      </c>
      <c r="P442">
        <v>0</v>
      </c>
      <c r="Q442">
        <v>0</v>
      </c>
      <c r="R442" t="s">
        <v>3011</v>
      </c>
      <c r="S442">
        <v>0</v>
      </c>
      <c r="T442" t="s">
        <v>80</v>
      </c>
      <c r="U442" t="s">
        <v>80</v>
      </c>
      <c r="V442" t="s">
        <v>112</v>
      </c>
      <c r="W442" t="s">
        <v>3012</v>
      </c>
      <c r="X442" t="s">
        <v>3013</v>
      </c>
      <c r="Y442" t="s">
        <v>3014</v>
      </c>
      <c r="Z442" t="s">
        <v>80</v>
      </c>
      <c r="AA442" t="s">
        <v>85</v>
      </c>
      <c r="AC442" t="s">
        <v>3015</v>
      </c>
      <c r="AD442" t="s">
        <v>202</v>
      </c>
      <c r="AE442" t="s">
        <v>3016</v>
      </c>
      <c r="AG442" t="s">
        <v>3017</v>
      </c>
      <c r="AH442" t="s">
        <v>91</v>
      </c>
      <c r="AI442" t="s">
        <v>92</v>
      </c>
      <c r="AJ442" t="s">
        <v>131</v>
      </c>
      <c r="AK442" t="s">
        <v>3018</v>
      </c>
      <c r="AL442" t="s">
        <v>95</v>
      </c>
      <c r="AM442" t="s">
        <v>96</v>
      </c>
      <c r="AN442" t="s">
        <v>97</v>
      </c>
      <c r="AO442" t="s">
        <v>98</v>
      </c>
      <c r="AP442" t="s">
        <v>78</v>
      </c>
      <c r="AQ442" t="s">
        <v>99</v>
      </c>
      <c r="AS442" t="s">
        <v>78</v>
      </c>
      <c r="AT442" t="s">
        <v>100</v>
      </c>
      <c r="AU442" t="s">
        <v>100</v>
      </c>
      <c r="AW442" t="s">
        <v>85</v>
      </c>
      <c r="AX442" t="s">
        <v>103</v>
      </c>
      <c r="AY442" t="s">
        <v>159</v>
      </c>
      <c r="AZ442" t="s">
        <v>103</v>
      </c>
      <c r="BA442" t="s">
        <v>104</v>
      </c>
      <c r="BB442" t="s">
        <v>78</v>
      </c>
      <c r="BC442" t="s">
        <v>78</v>
      </c>
      <c r="BD442" t="s">
        <v>3019</v>
      </c>
      <c r="BE442">
        <v>0</v>
      </c>
      <c r="BF442">
        <v>5</v>
      </c>
      <c r="BG442">
        <v>0</v>
      </c>
      <c r="BH442">
        <v>0</v>
      </c>
      <c r="BJ442" t="s">
        <v>85</v>
      </c>
      <c r="BP442" t="s">
        <v>78</v>
      </c>
      <c r="BQ442" t="s">
        <v>78</v>
      </c>
      <c r="BR442" t="s">
        <v>78</v>
      </c>
    </row>
    <row r="443" customFormat="1" spans="1:70">
      <c r="A443" t="s">
        <v>4326</v>
      </c>
      <c r="B443" t="s">
        <v>4326</v>
      </c>
      <c r="C443" t="s">
        <v>1092</v>
      </c>
      <c r="D443" t="s">
        <v>1391</v>
      </c>
      <c r="E443">
        <v>1</v>
      </c>
      <c r="F443" t="s">
        <v>3998</v>
      </c>
      <c r="G443" t="s">
        <v>1392</v>
      </c>
      <c r="H443">
        <v>289</v>
      </c>
      <c r="I443">
        <v>289</v>
      </c>
      <c r="J443">
        <v>0</v>
      </c>
      <c r="K443">
        <v>0</v>
      </c>
      <c r="L443" t="s">
        <v>78</v>
      </c>
      <c r="M443" t="s">
        <v>78</v>
      </c>
      <c r="N443" t="s">
        <v>78</v>
      </c>
      <c r="O443">
        <v>0</v>
      </c>
      <c r="P443">
        <v>0</v>
      </c>
      <c r="Q443">
        <v>0</v>
      </c>
      <c r="R443" t="s">
        <v>79</v>
      </c>
      <c r="S443">
        <v>0</v>
      </c>
      <c r="T443" t="s">
        <v>80</v>
      </c>
      <c r="U443" t="s">
        <v>80</v>
      </c>
      <c r="V443" t="s">
        <v>574</v>
      </c>
      <c r="W443" t="s">
        <v>574</v>
      </c>
      <c r="X443" t="s">
        <v>2603</v>
      </c>
      <c r="Y443" t="s">
        <v>3021</v>
      </c>
      <c r="Z443" t="s">
        <v>80</v>
      </c>
      <c r="AA443" t="s">
        <v>85</v>
      </c>
      <c r="AC443" t="s">
        <v>3022</v>
      </c>
      <c r="AD443" t="s">
        <v>202</v>
      </c>
      <c r="AE443" t="s">
        <v>3023</v>
      </c>
      <c r="AG443" t="s">
        <v>3024</v>
      </c>
      <c r="AH443" t="s">
        <v>91</v>
      </c>
      <c r="AI443" t="s">
        <v>92</v>
      </c>
      <c r="AJ443" t="s">
        <v>131</v>
      </c>
      <c r="AK443" t="s">
        <v>3025</v>
      </c>
      <c r="AL443" t="s">
        <v>95</v>
      </c>
      <c r="AM443" t="s">
        <v>96</v>
      </c>
      <c r="AN443" t="s">
        <v>97</v>
      </c>
      <c r="AO443" t="s">
        <v>98</v>
      </c>
      <c r="AP443" t="s">
        <v>78</v>
      </c>
      <c r="AQ443" t="s">
        <v>99</v>
      </c>
      <c r="AS443" t="s">
        <v>78</v>
      </c>
      <c r="AT443" t="s">
        <v>100</v>
      </c>
      <c r="AU443" t="s">
        <v>100</v>
      </c>
      <c r="AW443" t="s">
        <v>85</v>
      </c>
      <c r="AX443" t="s">
        <v>103</v>
      </c>
      <c r="AY443" t="s">
        <v>159</v>
      </c>
      <c r="AZ443" t="s">
        <v>103</v>
      </c>
      <c r="BA443" t="s">
        <v>419</v>
      </c>
      <c r="BB443" t="s">
        <v>78</v>
      </c>
      <c r="BC443" t="s">
        <v>78</v>
      </c>
      <c r="BD443" t="s">
        <v>3026</v>
      </c>
      <c r="BE443">
        <v>0</v>
      </c>
      <c r="BF443">
        <v>0</v>
      </c>
      <c r="BG443">
        <v>0</v>
      </c>
      <c r="BH443">
        <v>0</v>
      </c>
      <c r="BJ443" t="s">
        <v>85</v>
      </c>
      <c r="BP443" t="s">
        <v>78</v>
      </c>
      <c r="BQ443" t="s">
        <v>78</v>
      </c>
      <c r="BR443" t="s">
        <v>78</v>
      </c>
    </row>
    <row r="444" customFormat="1" spans="1:70">
      <c r="A444" t="s">
        <v>4327</v>
      </c>
      <c r="B444" t="s">
        <v>4327</v>
      </c>
      <c r="C444" t="s">
        <v>107</v>
      </c>
      <c r="D444" t="s">
        <v>108</v>
      </c>
      <c r="E444">
        <v>1</v>
      </c>
      <c r="F444" t="s">
        <v>3857</v>
      </c>
      <c r="G444" t="s">
        <v>110</v>
      </c>
      <c r="H444">
        <v>289</v>
      </c>
      <c r="I444">
        <v>289</v>
      </c>
      <c r="J444">
        <v>0</v>
      </c>
      <c r="K444">
        <v>0</v>
      </c>
      <c r="L444" t="s">
        <v>78</v>
      </c>
      <c r="M444" t="s">
        <v>78</v>
      </c>
      <c r="N444" t="s">
        <v>78</v>
      </c>
      <c r="O444">
        <v>0</v>
      </c>
      <c r="P444">
        <v>0</v>
      </c>
      <c r="Q444">
        <v>0</v>
      </c>
      <c r="R444" t="s">
        <v>79</v>
      </c>
      <c r="S444">
        <v>0</v>
      </c>
      <c r="T444" t="s">
        <v>80</v>
      </c>
      <c r="U444" t="s">
        <v>80</v>
      </c>
      <c r="V444" t="s">
        <v>347</v>
      </c>
      <c r="W444" t="s">
        <v>1498</v>
      </c>
      <c r="X444" t="s">
        <v>3028</v>
      </c>
      <c r="Y444" t="s">
        <v>3029</v>
      </c>
      <c r="Z444" t="s">
        <v>80</v>
      </c>
      <c r="AA444" t="s">
        <v>85</v>
      </c>
      <c r="AC444" t="s">
        <v>3030</v>
      </c>
      <c r="AD444" t="s">
        <v>87</v>
      </c>
      <c r="AG444" t="s">
        <v>3031</v>
      </c>
      <c r="AH444" t="s">
        <v>91</v>
      </c>
      <c r="AI444" t="s">
        <v>92</v>
      </c>
      <c r="AJ444" t="s">
        <v>131</v>
      </c>
      <c r="AK444" t="s">
        <v>3032</v>
      </c>
      <c r="AL444" t="s">
        <v>95</v>
      </c>
      <c r="AM444" t="s">
        <v>96</v>
      </c>
      <c r="AN444" t="s">
        <v>97</v>
      </c>
      <c r="AO444" t="s">
        <v>98</v>
      </c>
      <c r="AP444" t="s">
        <v>78</v>
      </c>
      <c r="AQ444" t="s">
        <v>99</v>
      </c>
      <c r="AS444" t="s">
        <v>78</v>
      </c>
      <c r="AT444" t="s">
        <v>100</v>
      </c>
      <c r="AU444" t="s">
        <v>100</v>
      </c>
      <c r="AW444" t="s">
        <v>85</v>
      </c>
      <c r="AX444" t="s">
        <v>103</v>
      </c>
      <c r="AY444" t="s">
        <v>159</v>
      </c>
      <c r="AZ444" t="s">
        <v>103</v>
      </c>
      <c r="BA444" t="s">
        <v>419</v>
      </c>
      <c r="BB444" t="s">
        <v>78</v>
      </c>
      <c r="BC444" t="s">
        <v>78</v>
      </c>
      <c r="BE444">
        <v>0</v>
      </c>
      <c r="BF444">
        <v>0</v>
      </c>
      <c r="BG444">
        <v>0</v>
      </c>
      <c r="BH444">
        <v>0</v>
      </c>
      <c r="BJ444" t="s">
        <v>85</v>
      </c>
      <c r="BP444" t="s">
        <v>78</v>
      </c>
      <c r="BQ444" t="s">
        <v>78</v>
      </c>
      <c r="BR444" t="s">
        <v>78</v>
      </c>
    </row>
    <row r="445" customFormat="1" spans="1:70">
      <c r="A445" t="s">
        <v>4328</v>
      </c>
      <c r="B445" t="s">
        <v>4328</v>
      </c>
      <c r="C445" t="s">
        <v>1092</v>
      </c>
      <c r="D445" t="s">
        <v>108</v>
      </c>
      <c r="E445">
        <v>1</v>
      </c>
      <c r="F445" t="s">
        <v>3998</v>
      </c>
      <c r="G445" t="s">
        <v>1094</v>
      </c>
      <c r="H445">
        <v>289</v>
      </c>
      <c r="I445">
        <v>289</v>
      </c>
      <c r="J445">
        <v>0</v>
      </c>
      <c r="K445">
        <v>0</v>
      </c>
      <c r="L445" t="s">
        <v>78</v>
      </c>
      <c r="M445" t="s">
        <v>78</v>
      </c>
      <c r="N445" t="s">
        <v>78</v>
      </c>
      <c r="O445">
        <v>0</v>
      </c>
      <c r="P445">
        <v>0</v>
      </c>
      <c r="Q445">
        <v>0</v>
      </c>
      <c r="R445" t="s">
        <v>125</v>
      </c>
      <c r="S445">
        <v>0</v>
      </c>
      <c r="T445" t="s">
        <v>80</v>
      </c>
      <c r="U445" t="s">
        <v>80</v>
      </c>
      <c r="V445" t="s">
        <v>161</v>
      </c>
      <c r="W445" t="s">
        <v>161</v>
      </c>
      <c r="X445" t="s">
        <v>162</v>
      </c>
      <c r="Y445" t="s">
        <v>3034</v>
      </c>
      <c r="Z445" t="s">
        <v>80</v>
      </c>
      <c r="AA445" t="s">
        <v>85</v>
      </c>
      <c r="AC445" t="s">
        <v>3035</v>
      </c>
      <c r="AD445" t="s">
        <v>87</v>
      </c>
      <c r="AG445" t="s">
        <v>3036</v>
      </c>
      <c r="AH445" t="s">
        <v>91</v>
      </c>
      <c r="AI445" t="s">
        <v>92</v>
      </c>
      <c r="AJ445" t="s">
        <v>131</v>
      </c>
      <c r="AK445" t="s">
        <v>3037</v>
      </c>
      <c r="AL445" t="s">
        <v>95</v>
      </c>
      <c r="AM445" t="s">
        <v>96</v>
      </c>
      <c r="AN445" t="s">
        <v>97</v>
      </c>
      <c r="AO445" t="s">
        <v>98</v>
      </c>
      <c r="AP445" t="s">
        <v>78</v>
      </c>
      <c r="AQ445" t="s">
        <v>99</v>
      </c>
      <c r="AS445" t="s">
        <v>78</v>
      </c>
      <c r="AT445" t="s">
        <v>100</v>
      </c>
      <c r="AU445" t="s">
        <v>100</v>
      </c>
      <c r="AW445" t="s">
        <v>85</v>
      </c>
      <c r="AX445" t="s">
        <v>103</v>
      </c>
      <c r="AY445" t="s">
        <v>159</v>
      </c>
      <c r="AZ445" t="s">
        <v>103</v>
      </c>
      <c r="BA445" t="s">
        <v>104</v>
      </c>
      <c r="BB445" t="s">
        <v>78</v>
      </c>
      <c r="BC445" t="s">
        <v>78</v>
      </c>
      <c r="BE445">
        <v>0</v>
      </c>
      <c r="BF445">
        <v>0</v>
      </c>
      <c r="BG445">
        <v>0</v>
      </c>
      <c r="BH445">
        <v>0</v>
      </c>
      <c r="BJ445" t="s">
        <v>85</v>
      </c>
      <c r="BP445" t="s">
        <v>78</v>
      </c>
      <c r="BQ445" t="s">
        <v>78</v>
      </c>
      <c r="BR445" t="s">
        <v>78</v>
      </c>
    </row>
    <row r="446" customFormat="1" spans="1:70">
      <c r="A446" t="s">
        <v>4329</v>
      </c>
      <c r="B446" t="s">
        <v>4329</v>
      </c>
      <c r="C446" t="s">
        <v>107</v>
      </c>
      <c r="D446" t="s">
        <v>108</v>
      </c>
      <c r="E446">
        <v>1</v>
      </c>
      <c r="F446" t="s">
        <v>3857</v>
      </c>
      <c r="G446" t="s">
        <v>110</v>
      </c>
      <c r="H446">
        <v>289</v>
      </c>
      <c r="I446">
        <v>274</v>
      </c>
      <c r="J446">
        <v>0</v>
      </c>
      <c r="K446">
        <v>15</v>
      </c>
      <c r="L446" t="s">
        <v>3039</v>
      </c>
      <c r="M446" t="s">
        <v>78</v>
      </c>
      <c r="N446" t="s">
        <v>78</v>
      </c>
      <c r="O446">
        <v>0</v>
      </c>
      <c r="P446">
        <v>0</v>
      </c>
      <c r="Q446">
        <v>0</v>
      </c>
      <c r="R446" t="s">
        <v>111</v>
      </c>
      <c r="S446">
        <v>0</v>
      </c>
      <c r="T446" t="s">
        <v>80</v>
      </c>
      <c r="U446" t="s">
        <v>80</v>
      </c>
      <c r="V446" t="s">
        <v>138</v>
      </c>
      <c r="W446" t="s">
        <v>2228</v>
      </c>
      <c r="X446" t="s">
        <v>3040</v>
      </c>
      <c r="Y446" t="s">
        <v>3041</v>
      </c>
      <c r="Z446" t="s">
        <v>80</v>
      </c>
      <c r="AA446" t="s">
        <v>85</v>
      </c>
      <c r="AC446" t="s">
        <v>3042</v>
      </c>
      <c r="AD446" t="s">
        <v>87</v>
      </c>
      <c r="AF446" t="s">
        <v>3043</v>
      </c>
      <c r="AG446" t="s">
        <v>3044</v>
      </c>
      <c r="AH446" t="s">
        <v>91</v>
      </c>
      <c r="AI446" t="s">
        <v>92</v>
      </c>
      <c r="AJ446" t="s">
        <v>93</v>
      </c>
      <c r="AK446" t="s">
        <v>3045</v>
      </c>
      <c r="AL446" t="s">
        <v>95</v>
      </c>
      <c r="AM446" t="s">
        <v>96</v>
      </c>
      <c r="AN446" t="s">
        <v>97</v>
      </c>
      <c r="AO446" t="s">
        <v>98</v>
      </c>
      <c r="AP446" t="s">
        <v>78</v>
      </c>
      <c r="AQ446" t="s">
        <v>78</v>
      </c>
      <c r="AS446" t="s">
        <v>78</v>
      </c>
      <c r="AT446" t="s">
        <v>100</v>
      </c>
      <c r="AU446" t="s">
        <v>100</v>
      </c>
      <c r="AW446" t="s">
        <v>85</v>
      </c>
      <c r="AX446" t="s">
        <v>101</v>
      </c>
      <c r="AY446" t="s">
        <v>102</v>
      </c>
      <c r="AZ446" t="s">
        <v>103</v>
      </c>
      <c r="BA446" t="s">
        <v>120</v>
      </c>
      <c r="BB446" t="s">
        <v>78</v>
      </c>
      <c r="BC446" t="s">
        <v>78</v>
      </c>
      <c r="BD446" t="s">
        <v>3046</v>
      </c>
      <c r="BE446">
        <v>0</v>
      </c>
      <c r="BF446">
        <v>15</v>
      </c>
      <c r="BG446">
        <v>0</v>
      </c>
      <c r="BH446">
        <v>0</v>
      </c>
      <c r="BJ446" t="s">
        <v>85</v>
      </c>
      <c r="BP446" t="s">
        <v>78</v>
      </c>
      <c r="BQ446" t="s">
        <v>78</v>
      </c>
      <c r="BR446" t="s">
        <v>78</v>
      </c>
    </row>
    <row r="447" customFormat="1" spans="1:70">
      <c r="A447" t="s">
        <v>4330</v>
      </c>
      <c r="B447" t="s">
        <v>4330</v>
      </c>
      <c r="C447" t="s">
        <v>107</v>
      </c>
      <c r="D447" t="s">
        <v>108</v>
      </c>
      <c r="E447">
        <v>1</v>
      </c>
      <c r="F447" t="s">
        <v>3857</v>
      </c>
      <c r="G447" t="s">
        <v>110</v>
      </c>
      <c r="H447">
        <v>289</v>
      </c>
      <c r="I447">
        <v>289</v>
      </c>
      <c r="J447">
        <v>0</v>
      </c>
      <c r="K447">
        <v>0</v>
      </c>
      <c r="L447" t="s">
        <v>78</v>
      </c>
      <c r="M447" t="s">
        <v>78</v>
      </c>
      <c r="N447" t="s">
        <v>78</v>
      </c>
      <c r="O447">
        <v>0</v>
      </c>
      <c r="P447">
        <v>0</v>
      </c>
      <c r="Q447">
        <v>0</v>
      </c>
      <c r="R447" t="s">
        <v>79</v>
      </c>
      <c r="S447">
        <v>0</v>
      </c>
      <c r="T447" t="s">
        <v>80</v>
      </c>
      <c r="U447" t="s">
        <v>80</v>
      </c>
      <c r="V447" t="s">
        <v>161</v>
      </c>
      <c r="W447" t="s">
        <v>161</v>
      </c>
      <c r="X447" t="s">
        <v>1899</v>
      </c>
      <c r="Y447" t="s">
        <v>3048</v>
      </c>
      <c r="Z447" t="s">
        <v>80</v>
      </c>
      <c r="AA447" t="s">
        <v>85</v>
      </c>
      <c r="AC447" t="s">
        <v>3049</v>
      </c>
      <c r="AD447" t="s">
        <v>87</v>
      </c>
      <c r="AG447" t="s">
        <v>3042</v>
      </c>
      <c r="AH447" t="s">
        <v>298</v>
      </c>
      <c r="AI447" t="s">
        <v>92</v>
      </c>
      <c r="AJ447" t="s">
        <v>131</v>
      </c>
      <c r="AK447" t="s">
        <v>3050</v>
      </c>
      <c r="AL447" t="s">
        <v>95</v>
      </c>
      <c r="AM447" t="s">
        <v>96</v>
      </c>
      <c r="AN447" t="s">
        <v>97</v>
      </c>
      <c r="AO447" t="s">
        <v>98</v>
      </c>
      <c r="AP447" t="s">
        <v>78</v>
      </c>
      <c r="AQ447" t="s">
        <v>99</v>
      </c>
      <c r="AS447" t="s">
        <v>78</v>
      </c>
      <c r="AT447" t="s">
        <v>100</v>
      </c>
      <c r="AU447" t="s">
        <v>100</v>
      </c>
      <c r="AW447" t="s">
        <v>85</v>
      </c>
      <c r="AX447" t="s">
        <v>101</v>
      </c>
      <c r="AY447" t="s">
        <v>102</v>
      </c>
      <c r="AZ447" t="s">
        <v>103</v>
      </c>
      <c r="BA447" t="s">
        <v>104</v>
      </c>
      <c r="BB447" t="s">
        <v>78</v>
      </c>
      <c r="BC447" t="s">
        <v>78</v>
      </c>
      <c r="BE447">
        <v>0</v>
      </c>
      <c r="BF447">
        <v>0</v>
      </c>
      <c r="BG447">
        <v>0</v>
      </c>
      <c r="BH447">
        <v>0</v>
      </c>
      <c r="BJ447" t="s">
        <v>85</v>
      </c>
      <c r="BP447" t="s">
        <v>78</v>
      </c>
      <c r="BQ447" t="s">
        <v>78</v>
      </c>
      <c r="BR447" t="s">
        <v>78</v>
      </c>
    </row>
    <row r="448" customFormat="1" spans="1:70">
      <c r="A448" t="s">
        <v>4331</v>
      </c>
      <c r="B448" t="s">
        <v>4331</v>
      </c>
      <c r="C448" t="s">
        <v>107</v>
      </c>
      <c r="D448" t="s">
        <v>123</v>
      </c>
      <c r="E448">
        <v>1</v>
      </c>
      <c r="F448" t="s">
        <v>3857</v>
      </c>
      <c r="G448" t="s">
        <v>124</v>
      </c>
      <c r="H448">
        <v>289</v>
      </c>
      <c r="I448">
        <v>289</v>
      </c>
      <c r="J448">
        <v>0</v>
      </c>
      <c r="K448">
        <v>0</v>
      </c>
      <c r="L448" t="s">
        <v>78</v>
      </c>
      <c r="M448" t="s">
        <v>78</v>
      </c>
      <c r="N448" t="s">
        <v>78</v>
      </c>
      <c r="O448">
        <v>0</v>
      </c>
      <c r="P448">
        <v>0</v>
      </c>
      <c r="Q448">
        <v>0</v>
      </c>
      <c r="R448" t="s">
        <v>79</v>
      </c>
      <c r="S448">
        <v>0</v>
      </c>
      <c r="T448" t="s">
        <v>80</v>
      </c>
      <c r="U448" t="s">
        <v>80</v>
      </c>
      <c r="V448" t="s">
        <v>574</v>
      </c>
      <c r="W448" t="s">
        <v>574</v>
      </c>
      <c r="X448" t="s">
        <v>1428</v>
      </c>
      <c r="Y448" t="s">
        <v>3052</v>
      </c>
      <c r="Z448" t="s">
        <v>80</v>
      </c>
      <c r="AA448" t="s">
        <v>85</v>
      </c>
      <c r="AC448" t="s">
        <v>3053</v>
      </c>
      <c r="AD448" t="s">
        <v>87</v>
      </c>
      <c r="AF448" t="s">
        <v>3054</v>
      </c>
      <c r="AG448" t="s">
        <v>3055</v>
      </c>
      <c r="AH448" t="s">
        <v>91</v>
      </c>
      <c r="AI448" t="s">
        <v>92</v>
      </c>
      <c r="AJ448" t="s">
        <v>93</v>
      </c>
      <c r="AK448" t="s">
        <v>3056</v>
      </c>
      <c r="AL448" t="s">
        <v>95</v>
      </c>
      <c r="AM448" t="s">
        <v>96</v>
      </c>
      <c r="AN448" t="s">
        <v>97</v>
      </c>
      <c r="AO448" t="s">
        <v>98</v>
      </c>
      <c r="AP448" t="s">
        <v>78</v>
      </c>
      <c r="AQ448" t="s">
        <v>78</v>
      </c>
      <c r="AS448" t="s">
        <v>78</v>
      </c>
      <c r="AT448" t="s">
        <v>100</v>
      </c>
      <c r="AU448" t="s">
        <v>100</v>
      </c>
      <c r="AW448" t="s">
        <v>85</v>
      </c>
      <c r="AX448" t="s">
        <v>103</v>
      </c>
      <c r="AY448" t="s">
        <v>159</v>
      </c>
      <c r="AZ448" t="s">
        <v>103</v>
      </c>
      <c r="BA448" t="s">
        <v>102</v>
      </c>
      <c r="BB448" t="s">
        <v>78</v>
      </c>
      <c r="BC448" t="s">
        <v>78</v>
      </c>
      <c r="BD448" t="s">
        <v>3057</v>
      </c>
      <c r="BE448">
        <v>0</v>
      </c>
      <c r="BF448">
        <v>0</v>
      </c>
      <c r="BG448">
        <v>0</v>
      </c>
      <c r="BH448">
        <v>0</v>
      </c>
      <c r="BJ448" t="s">
        <v>85</v>
      </c>
      <c r="BP448" t="s">
        <v>78</v>
      </c>
      <c r="BQ448" t="s">
        <v>78</v>
      </c>
      <c r="BR448" t="s">
        <v>78</v>
      </c>
    </row>
    <row r="449" customFormat="1" spans="1:70">
      <c r="A449" t="s">
        <v>4332</v>
      </c>
      <c r="B449" t="s">
        <v>4332</v>
      </c>
      <c r="C449" t="s">
        <v>107</v>
      </c>
      <c r="D449" t="s">
        <v>135</v>
      </c>
      <c r="E449">
        <v>1</v>
      </c>
      <c r="F449" t="s">
        <v>3857</v>
      </c>
      <c r="G449" t="s">
        <v>136</v>
      </c>
      <c r="H449">
        <v>289</v>
      </c>
      <c r="I449">
        <v>289</v>
      </c>
      <c r="J449">
        <v>0</v>
      </c>
      <c r="K449">
        <v>0</v>
      </c>
      <c r="L449" t="s">
        <v>78</v>
      </c>
      <c r="M449" t="s">
        <v>78</v>
      </c>
      <c r="N449" t="s">
        <v>78</v>
      </c>
      <c r="O449">
        <v>0</v>
      </c>
      <c r="P449">
        <v>0</v>
      </c>
      <c r="Q449">
        <v>0</v>
      </c>
      <c r="R449" t="s">
        <v>111</v>
      </c>
      <c r="S449">
        <v>0</v>
      </c>
      <c r="T449" t="s">
        <v>80</v>
      </c>
      <c r="U449" t="s">
        <v>80</v>
      </c>
      <c r="V449" t="s">
        <v>302</v>
      </c>
      <c r="W449" t="s">
        <v>1358</v>
      </c>
      <c r="X449" t="s">
        <v>3059</v>
      </c>
      <c r="Y449" t="s">
        <v>1547</v>
      </c>
      <c r="Z449" t="s">
        <v>80</v>
      </c>
      <c r="AA449" t="s">
        <v>85</v>
      </c>
      <c r="AC449" t="s">
        <v>3060</v>
      </c>
      <c r="AD449" t="s">
        <v>87</v>
      </c>
      <c r="AF449" t="s">
        <v>2853</v>
      </c>
      <c r="AG449" t="s">
        <v>3061</v>
      </c>
      <c r="AH449" t="s">
        <v>91</v>
      </c>
      <c r="AI449" t="s">
        <v>92</v>
      </c>
      <c r="AJ449" t="s">
        <v>93</v>
      </c>
      <c r="AK449" t="s">
        <v>3062</v>
      </c>
      <c r="AL449" t="s">
        <v>95</v>
      </c>
      <c r="AM449" t="s">
        <v>96</v>
      </c>
      <c r="AN449" t="s">
        <v>97</v>
      </c>
      <c r="AO449" t="s">
        <v>98</v>
      </c>
      <c r="AP449" t="s">
        <v>78</v>
      </c>
      <c r="AQ449" t="s">
        <v>78</v>
      </c>
      <c r="AS449" t="s">
        <v>78</v>
      </c>
      <c r="AT449" t="s">
        <v>100</v>
      </c>
      <c r="AU449" t="s">
        <v>100</v>
      </c>
      <c r="AW449" t="s">
        <v>85</v>
      </c>
      <c r="AX449" t="s">
        <v>101</v>
      </c>
      <c r="AY449" t="s">
        <v>102</v>
      </c>
      <c r="AZ449" t="s">
        <v>103</v>
      </c>
      <c r="BA449" t="s">
        <v>133</v>
      </c>
      <c r="BB449" t="s">
        <v>78</v>
      </c>
      <c r="BC449" t="s">
        <v>78</v>
      </c>
      <c r="BD449" t="s">
        <v>2850</v>
      </c>
      <c r="BE449">
        <v>0</v>
      </c>
      <c r="BF449">
        <v>0</v>
      </c>
      <c r="BG449">
        <v>0</v>
      </c>
      <c r="BH449">
        <v>0</v>
      </c>
      <c r="BJ449" t="s">
        <v>85</v>
      </c>
      <c r="BP449" t="s">
        <v>78</v>
      </c>
      <c r="BQ449" t="s">
        <v>78</v>
      </c>
      <c r="BR449" t="s">
        <v>78</v>
      </c>
    </row>
    <row r="450" customFormat="1" spans="1:70">
      <c r="A450" t="s">
        <v>4333</v>
      </c>
      <c r="B450" t="s">
        <v>4333</v>
      </c>
      <c r="C450" t="s">
        <v>107</v>
      </c>
      <c r="D450" t="s">
        <v>108</v>
      </c>
      <c r="E450">
        <v>1</v>
      </c>
      <c r="F450" t="s">
        <v>3857</v>
      </c>
      <c r="G450" t="s">
        <v>110</v>
      </c>
      <c r="H450">
        <v>289</v>
      </c>
      <c r="I450">
        <v>289</v>
      </c>
      <c r="J450">
        <v>0</v>
      </c>
      <c r="K450">
        <v>0</v>
      </c>
      <c r="L450" t="s">
        <v>78</v>
      </c>
      <c r="M450" t="s">
        <v>78</v>
      </c>
      <c r="N450" t="s">
        <v>78</v>
      </c>
      <c r="O450">
        <v>0</v>
      </c>
      <c r="P450">
        <v>0</v>
      </c>
      <c r="Q450">
        <v>0</v>
      </c>
      <c r="R450" t="s">
        <v>125</v>
      </c>
      <c r="S450">
        <v>0</v>
      </c>
      <c r="T450" t="s">
        <v>80</v>
      </c>
      <c r="U450" t="s">
        <v>80</v>
      </c>
      <c r="V450" t="s">
        <v>271</v>
      </c>
      <c r="W450" t="s">
        <v>717</v>
      </c>
      <c r="X450" t="s">
        <v>1041</v>
      </c>
      <c r="Y450" t="s">
        <v>3064</v>
      </c>
      <c r="Z450" t="s">
        <v>80</v>
      </c>
      <c r="AA450" t="s">
        <v>85</v>
      </c>
      <c r="AC450" t="s">
        <v>3065</v>
      </c>
      <c r="AD450" t="s">
        <v>202</v>
      </c>
      <c r="AE450" t="s">
        <v>3066</v>
      </c>
      <c r="AG450" t="s">
        <v>3060</v>
      </c>
      <c r="AH450" t="s">
        <v>401</v>
      </c>
      <c r="AI450" t="s">
        <v>92</v>
      </c>
      <c r="AJ450" t="s">
        <v>131</v>
      </c>
      <c r="AK450" t="s">
        <v>3067</v>
      </c>
      <c r="AL450" t="s">
        <v>95</v>
      </c>
      <c r="AM450" t="s">
        <v>96</v>
      </c>
      <c r="AN450" t="s">
        <v>97</v>
      </c>
      <c r="AO450" t="s">
        <v>98</v>
      </c>
      <c r="AP450" t="s">
        <v>78</v>
      </c>
      <c r="AQ450" t="s">
        <v>99</v>
      </c>
      <c r="AS450" t="s">
        <v>78</v>
      </c>
      <c r="AT450" t="s">
        <v>100</v>
      </c>
      <c r="AU450" t="s">
        <v>100</v>
      </c>
      <c r="AW450" t="s">
        <v>85</v>
      </c>
      <c r="AX450" t="s">
        <v>101</v>
      </c>
      <c r="AY450" t="s">
        <v>102</v>
      </c>
      <c r="AZ450" t="s">
        <v>103</v>
      </c>
      <c r="BA450" t="s">
        <v>102</v>
      </c>
      <c r="BB450" t="s">
        <v>78</v>
      </c>
      <c r="BC450" t="s">
        <v>78</v>
      </c>
      <c r="BD450" t="s">
        <v>3046</v>
      </c>
      <c r="BE450">
        <v>0</v>
      </c>
      <c r="BF450">
        <v>0</v>
      </c>
      <c r="BG450">
        <v>0</v>
      </c>
      <c r="BH450">
        <v>0</v>
      </c>
      <c r="BJ450" t="s">
        <v>85</v>
      </c>
      <c r="BP450" t="s">
        <v>78</v>
      </c>
      <c r="BQ450" t="s">
        <v>78</v>
      </c>
      <c r="BR450" t="s">
        <v>78</v>
      </c>
    </row>
    <row r="451" customFormat="1" spans="1:70">
      <c r="A451" t="s">
        <v>4334</v>
      </c>
      <c r="B451" t="s">
        <v>4334</v>
      </c>
      <c r="C451" t="s">
        <v>107</v>
      </c>
      <c r="D451" t="s">
        <v>108</v>
      </c>
      <c r="E451">
        <v>1</v>
      </c>
      <c r="F451" t="s">
        <v>3857</v>
      </c>
      <c r="G451" t="s">
        <v>110</v>
      </c>
      <c r="H451">
        <v>289</v>
      </c>
      <c r="I451">
        <v>289</v>
      </c>
      <c r="J451">
        <v>0</v>
      </c>
      <c r="K451">
        <v>0</v>
      </c>
      <c r="L451" t="s">
        <v>78</v>
      </c>
      <c r="M451" t="s">
        <v>78</v>
      </c>
      <c r="N451" t="s">
        <v>78</v>
      </c>
      <c r="O451">
        <v>0</v>
      </c>
      <c r="P451">
        <v>0</v>
      </c>
      <c r="Q451">
        <v>0</v>
      </c>
      <c r="R451" t="s">
        <v>111</v>
      </c>
      <c r="S451">
        <v>0</v>
      </c>
      <c r="T451" t="s">
        <v>80</v>
      </c>
      <c r="U451" t="s">
        <v>80</v>
      </c>
      <c r="V451" t="s">
        <v>464</v>
      </c>
      <c r="W451" t="s">
        <v>3069</v>
      </c>
      <c r="X451" t="s">
        <v>3070</v>
      </c>
      <c r="Y451" t="s">
        <v>78</v>
      </c>
      <c r="Z451" t="s">
        <v>80</v>
      </c>
      <c r="AA451" t="s">
        <v>85</v>
      </c>
      <c r="AC451" t="s">
        <v>3071</v>
      </c>
      <c r="AD451" t="s">
        <v>87</v>
      </c>
      <c r="AF451" t="s">
        <v>3043</v>
      </c>
      <c r="AG451" t="s">
        <v>3072</v>
      </c>
      <c r="AH451" t="s">
        <v>91</v>
      </c>
      <c r="AI451" t="s">
        <v>92</v>
      </c>
      <c r="AJ451" t="s">
        <v>93</v>
      </c>
      <c r="AK451" t="s">
        <v>3073</v>
      </c>
      <c r="AL451" t="s">
        <v>95</v>
      </c>
      <c r="AM451" t="s">
        <v>96</v>
      </c>
      <c r="AN451" t="s">
        <v>97</v>
      </c>
      <c r="AO451" t="s">
        <v>98</v>
      </c>
      <c r="AP451" t="s">
        <v>78</v>
      </c>
      <c r="AQ451" t="s">
        <v>78</v>
      </c>
      <c r="AS451" t="s">
        <v>78</v>
      </c>
      <c r="AT451" t="s">
        <v>100</v>
      </c>
      <c r="AU451" t="s">
        <v>100</v>
      </c>
      <c r="AW451" t="s">
        <v>85</v>
      </c>
      <c r="AX451" t="s">
        <v>101</v>
      </c>
      <c r="AY451" t="s">
        <v>102</v>
      </c>
      <c r="AZ451" t="s">
        <v>103</v>
      </c>
      <c r="BA451" t="s">
        <v>133</v>
      </c>
      <c r="BB451" t="s">
        <v>78</v>
      </c>
      <c r="BC451" t="s">
        <v>78</v>
      </c>
      <c r="BD451" t="s">
        <v>3046</v>
      </c>
      <c r="BE451">
        <v>0</v>
      </c>
      <c r="BF451">
        <v>0</v>
      </c>
      <c r="BG451">
        <v>0</v>
      </c>
      <c r="BH451">
        <v>0</v>
      </c>
      <c r="BJ451" t="s">
        <v>85</v>
      </c>
      <c r="BP451" t="s">
        <v>78</v>
      </c>
      <c r="BQ451" t="s">
        <v>78</v>
      </c>
      <c r="BR451" t="s">
        <v>78</v>
      </c>
    </row>
    <row r="452" customFormat="1" spans="1:70">
      <c r="A452" t="s">
        <v>4335</v>
      </c>
      <c r="B452" t="s">
        <v>4335</v>
      </c>
      <c r="C452" t="s">
        <v>107</v>
      </c>
      <c r="D452" t="s">
        <v>135</v>
      </c>
      <c r="E452">
        <v>1</v>
      </c>
      <c r="F452" t="s">
        <v>3857</v>
      </c>
      <c r="G452" t="s">
        <v>136</v>
      </c>
      <c r="H452">
        <v>289</v>
      </c>
      <c r="I452">
        <v>289</v>
      </c>
      <c r="J452">
        <v>0</v>
      </c>
      <c r="K452">
        <v>0</v>
      </c>
      <c r="L452" t="s">
        <v>78</v>
      </c>
      <c r="M452" t="s">
        <v>78</v>
      </c>
      <c r="N452" t="s">
        <v>78</v>
      </c>
      <c r="O452">
        <v>0</v>
      </c>
      <c r="P452">
        <v>0</v>
      </c>
      <c r="Q452">
        <v>0</v>
      </c>
      <c r="R452" t="s">
        <v>79</v>
      </c>
      <c r="S452">
        <v>0</v>
      </c>
      <c r="T452" t="s">
        <v>80</v>
      </c>
      <c r="U452" t="s">
        <v>80</v>
      </c>
      <c r="V452" t="s">
        <v>161</v>
      </c>
      <c r="W452" t="s">
        <v>161</v>
      </c>
      <c r="X452" t="s">
        <v>162</v>
      </c>
      <c r="Y452" t="s">
        <v>700</v>
      </c>
      <c r="Z452" t="s">
        <v>80</v>
      </c>
      <c r="AA452" t="s">
        <v>85</v>
      </c>
      <c r="AC452" t="s">
        <v>3075</v>
      </c>
      <c r="AD452" t="s">
        <v>87</v>
      </c>
      <c r="AF452" t="s">
        <v>2853</v>
      </c>
      <c r="AG452" t="s">
        <v>3076</v>
      </c>
      <c r="AH452" t="s">
        <v>91</v>
      </c>
      <c r="AI452" t="s">
        <v>92</v>
      </c>
      <c r="AJ452" t="s">
        <v>93</v>
      </c>
      <c r="AK452" t="s">
        <v>3077</v>
      </c>
      <c r="AL452" t="s">
        <v>95</v>
      </c>
      <c r="AM452" t="s">
        <v>96</v>
      </c>
      <c r="AN452" t="s">
        <v>97</v>
      </c>
      <c r="AO452" t="s">
        <v>98</v>
      </c>
      <c r="AP452" t="s">
        <v>78</v>
      </c>
      <c r="AQ452" t="s">
        <v>78</v>
      </c>
      <c r="AS452" t="s">
        <v>78</v>
      </c>
      <c r="AT452" t="s">
        <v>100</v>
      </c>
      <c r="AU452" t="s">
        <v>100</v>
      </c>
      <c r="AW452" t="s">
        <v>85</v>
      </c>
      <c r="AX452" t="s">
        <v>101</v>
      </c>
      <c r="AY452" t="s">
        <v>102</v>
      </c>
      <c r="AZ452" t="s">
        <v>103</v>
      </c>
      <c r="BA452" t="s">
        <v>104</v>
      </c>
      <c r="BB452" t="s">
        <v>78</v>
      </c>
      <c r="BC452" t="s">
        <v>78</v>
      </c>
      <c r="BD452" t="s">
        <v>2850</v>
      </c>
      <c r="BE452">
        <v>0</v>
      </c>
      <c r="BF452">
        <v>0</v>
      </c>
      <c r="BG452">
        <v>0</v>
      </c>
      <c r="BH452">
        <v>0</v>
      </c>
      <c r="BJ452" t="s">
        <v>85</v>
      </c>
      <c r="BP452" t="s">
        <v>78</v>
      </c>
      <c r="BQ452" t="s">
        <v>78</v>
      </c>
      <c r="BR452" t="s">
        <v>78</v>
      </c>
    </row>
    <row r="453" customFormat="1" spans="1:70">
      <c r="A453" t="s">
        <v>4336</v>
      </c>
      <c r="B453" t="s">
        <v>4336</v>
      </c>
      <c r="C453" t="s">
        <v>107</v>
      </c>
      <c r="D453" t="s">
        <v>108</v>
      </c>
      <c r="E453">
        <v>1</v>
      </c>
      <c r="F453" t="s">
        <v>3857</v>
      </c>
      <c r="G453" t="s">
        <v>110</v>
      </c>
      <c r="H453">
        <v>289</v>
      </c>
      <c r="I453">
        <v>289</v>
      </c>
      <c r="J453">
        <v>0</v>
      </c>
      <c r="K453">
        <v>0</v>
      </c>
      <c r="L453" t="s">
        <v>78</v>
      </c>
      <c r="M453" t="s">
        <v>78</v>
      </c>
      <c r="N453" t="s">
        <v>78</v>
      </c>
      <c r="O453">
        <v>0</v>
      </c>
      <c r="P453">
        <v>0</v>
      </c>
      <c r="Q453">
        <v>0</v>
      </c>
      <c r="R453" t="s">
        <v>79</v>
      </c>
      <c r="S453">
        <v>0</v>
      </c>
      <c r="T453" t="s">
        <v>80</v>
      </c>
      <c r="U453" t="s">
        <v>80</v>
      </c>
      <c r="V453" t="s">
        <v>574</v>
      </c>
      <c r="W453" t="s">
        <v>574</v>
      </c>
      <c r="X453" t="s">
        <v>575</v>
      </c>
      <c r="Y453" t="s">
        <v>3079</v>
      </c>
      <c r="Z453" t="s">
        <v>80</v>
      </c>
      <c r="AA453" t="s">
        <v>85</v>
      </c>
      <c r="AC453" t="s">
        <v>3080</v>
      </c>
      <c r="AD453" t="s">
        <v>202</v>
      </c>
      <c r="AE453" t="s">
        <v>3081</v>
      </c>
      <c r="AF453" t="s">
        <v>3043</v>
      </c>
      <c r="AG453" t="s">
        <v>3082</v>
      </c>
      <c r="AH453" t="s">
        <v>91</v>
      </c>
      <c r="AI453" t="s">
        <v>92</v>
      </c>
      <c r="AJ453" t="s">
        <v>93</v>
      </c>
      <c r="AK453" t="s">
        <v>3083</v>
      </c>
      <c r="AL453" t="s">
        <v>95</v>
      </c>
      <c r="AM453" t="s">
        <v>96</v>
      </c>
      <c r="AN453" t="s">
        <v>97</v>
      </c>
      <c r="AO453" t="s">
        <v>98</v>
      </c>
      <c r="AP453" t="s">
        <v>78</v>
      </c>
      <c r="AQ453" t="s">
        <v>99</v>
      </c>
      <c r="AS453" t="s">
        <v>78</v>
      </c>
      <c r="AT453" t="s">
        <v>100</v>
      </c>
      <c r="AU453" t="s">
        <v>100</v>
      </c>
      <c r="AW453" t="s">
        <v>85</v>
      </c>
      <c r="AX453" t="s">
        <v>101</v>
      </c>
      <c r="AY453" t="s">
        <v>102</v>
      </c>
      <c r="AZ453" t="s">
        <v>103</v>
      </c>
      <c r="BA453" t="s">
        <v>120</v>
      </c>
      <c r="BB453" t="s">
        <v>78</v>
      </c>
      <c r="BC453" t="s">
        <v>78</v>
      </c>
      <c r="BD453" t="s">
        <v>3046</v>
      </c>
      <c r="BE453">
        <v>0</v>
      </c>
      <c r="BF453">
        <v>0</v>
      </c>
      <c r="BG453">
        <v>0</v>
      </c>
      <c r="BH453">
        <v>0</v>
      </c>
      <c r="BJ453" t="s">
        <v>85</v>
      </c>
      <c r="BP453" t="s">
        <v>78</v>
      </c>
      <c r="BQ453" t="s">
        <v>78</v>
      </c>
      <c r="BR453" t="s">
        <v>78</v>
      </c>
    </row>
    <row r="454" customFormat="1" spans="1:70">
      <c r="A454" t="s">
        <v>4337</v>
      </c>
      <c r="B454" t="s">
        <v>4337</v>
      </c>
      <c r="C454" t="s">
        <v>1092</v>
      </c>
      <c r="D454" t="s">
        <v>3085</v>
      </c>
      <c r="E454">
        <v>1</v>
      </c>
      <c r="F454" t="s">
        <v>3998</v>
      </c>
      <c r="G454" t="s">
        <v>3086</v>
      </c>
      <c r="H454">
        <v>289</v>
      </c>
      <c r="I454">
        <v>289</v>
      </c>
      <c r="J454">
        <v>0</v>
      </c>
      <c r="K454">
        <v>0</v>
      </c>
      <c r="L454" t="s">
        <v>78</v>
      </c>
      <c r="M454" t="s">
        <v>78</v>
      </c>
      <c r="N454" t="s">
        <v>78</v>
      </c>
      <c r="O454">
        <v>0</v>
      </c>
      <c r="P454">
        <v>0</v>
      </c>
      <c r="Q454">
        <v>0</v>
      </c>
      <c r="R454" t="s">
        <v>125</v>
      </c>
      <c r="S454">
        <v>0</v>
      </c>
      <c r="T454" t="s">
        <v>80</v>
      </c>
      <c r="U454" t="s">
        <v>80</v>
      </c>
      <c r="V454" t="s">
        <v>112</v>
      </c>
      <c r="W454" t="s">
        <v>3087</v>
      </c>
      <c r="X454" t="s">
        <v>3088</v>
      </c>
      <c r="Y454" t="s">
        <v>3089</v>
      </c>
      <c r="Z454" t="s">
        <v>80</v>
      </c>
      <c r="AA454" t="s">
        <v>85</v>
      </c>
      <c r="AC454" t="s">
        <v>3090</v>
      </c>
      <c r="AD454" t="s">
        <v>87</v>
      </c>
      <c r="AF454" t="s">
        <v>3091</v>
      </c>
      <c r="AG454" t="s">
        <v>3092</v>
      </c>
      <c r="AH454" t="s">
        <v>91</v>
      </c>
      <c r="AI454" t="s">
        <v>92</v>
      </c>
      <c r="AJ454" t="s">
        <v>93</v>
      </c>
      <c r="AK454" t="s">
        <v>3093</v>
      </c>
      <c r="AL454" t="s">
        <v>95</v>
      </c>
      <c r="AM454" t="s">
        <v>96</v>
      </c>
      <c r="AN454" t="s">
        <v>97</v>
      </c>
      <c r="AO454" t="s">
        <v>98</v>
      </c>
      <c r="AP454" t="s">
        <v>78</v>
      </c>
      <c r="AQ454" t="s">
        <v>78</v>
      </c>
      <c r="AS454" t="s">
        <v>78</v>
      </c>
      <c r="AT454" t="s">
        <v>100</v>
      </c>
      <c r="AU454" t="s">
        <v>100</v>
      </c>
      <c r="AW454" t="s">
        <v>85</v>
      </c>
      <c r="AX454" t="s">
        <v>103</v>
      </c>
      <c r="AY454" t="s">
        <v>159</v>
      </c>
      <c r="AZ454" t="s">
        <v>103</v>
      </c>
      <c r="BA454" t="s">
        <v>104</v>
      </c>
      <c r="BB454" t="s">
        <v>78</v>
      </c>
      <c r="BC454" t="s">
        <v>78</v>
      </c>
      <c r="BD454" t="s">
        <v>3094</v>
      </c>
      <c r="BE454">
        <v>0</v>
      </c>
      <c r="BF454">
        <v>0</v>
      </c>
      <c r="BG454">
        <v>0</v>
      </c>
      <c r="BH454">
        <v>0</v>
      </c>
      <c r="BJ454" t="s">
        <v>85</v>
      </c>
      <c r="BP454" t="s">
        <v>78</v>
      </c>
      <c r="BQ454" t="s">
        <v>78</v>
      </c>
      <c r="BR454" t="s">
        <v>78</v>
      </c>
    </row>
    <row r="455" customFormat="1" spans="1:70">
      <c r="A455" t="s">
        <v>4338</v>
      </c>
      <c r="B455" t="s">
        <v>4338</v>
      </c>
      <c r="C455" t="s">
        <v>107</v>
      </c>
      <c r="D455" t="s">
        <v>108</v>
      </c>
      <c r="E455">
        <v>1</v>
      </c>
      <c r="F455" t="s">
        <v>3857</v>
      </c>
      <c r="G455" t="s">
        <v>110</v>
      </c>
      <c r="H455">
        <v>289</v>
      </c>
      <c r="I455">
        <v>289</v>
      </c>
      <c r="J455">
        <v>0</v>
      </c>
      <c r="K455">
        <v>0</v>
      </c>
      <c r="L455" t="s">
        <v>78</v>
      </c>
      <c r="M455" t="s">
        <v>78</v>
      </c>
      <c r="N455" t="s">
        <v>78</v>
      </c>
      <c r="O455">
        <v>0</v>
      </c>
      <c r="P455">
        <v>0</v>
      </c>
      <c r="Q455">
        <v>0</v>
      </c>
      <c r="R455" t="s">
        <v>125</v>
      </c>
      <c r="S455">
        <v>0</v>
      </c>
      <c r="T455" t="s">
        <v>80</v>
      </c>
      <c r="U455" t="s">
        <v>80</v>
      </c>
      <c r="V455" t="s">
        <v>509</v>
      </c>
      <c r="W455" t="s">
        <v>510</v>
      </c>
      <c r="X455" t="s">
        <v>511</v>
      </c>
      <c r="Y455" t="s">
        <v>512</v>
      </c>
      <c r="Z455" t="s">
        <v>80</v>
      </c>
      <c r="AA455" t="s">
        <v>85</v>
      </c>
      <c r="AC455" t="s">
        <v>3096</v>
      </c>
      <c r="AD455" t="s">
        <v>87</v>
      </c>
      <c r="AH455" t="s">
        <v>91</v>
      </c>
      <c r="AI455" t="s">
        <v>92</v>
      </c>
      <c r="AJ455" t="s">
        <v>131</v>
      </c>
      <c r="AK455" t="s">
        <v>3097</v>
      </c>
      <c r="AL455" t="s">
        <v>95</v>
      </c>
      <c r="AM455" t="s">
        <v>96</v>
      </c>
      <c r="AN455" t="s">
        <v>97</v>
      </c>
      <c r="AO455" t="s">
        <v>98</v>
      </c>
      <c r="AP455" t="s">
        <v>78</v>
      </c>
      <c r="AQ455" t="s">
        <v>78</v>
      </c>
      <c r="AR455" t="s">
        <v>1959</v>
      </c>
      <c r="AS455" t="s">
        <v>78</v>
      </c>
      <c r="AT455" t="s">
        <v>100</v>
      </c>
      <c r="AU455" t="s">
        <v>100</v>
      </c>
      <c r="AW455" t="s">
        <v>85</v>
      </c>
      <c r="AX455" t="s">
        <v>101</v>
      </c>
      <c r="AY455" t="s">
        <v>102</v>
      </c>
      <c r="AZ455" t="s">
        <v>103</v>
      </c>
      <c r="BA455" t="s">
        <v>133</v>
      </c>
      <c r="BB455" t="s">
        <v>78</v>
      </c>
      <c r="BC455" t="s">
        <v>78</v>
      </c>
      <c r="BE455">
        <v>0</v>
      </c>
      <c r="BF455">
        <v>0</v>
      </c>
      <c r="BG455">
        <v>0</v>
      </c>
      <c r="BH455">
        <v>0</v>
      </c>
      <c r="BJ455" t="s">
        <v>85</v>
      </c>
      <c r="BP455" t="s">
        <v>78</v>
      </c>
      <c r="BQ455" t="s">
        <v>78</v>
      </c>
      <c r="BR455" t="s">
        <v>78</v>
      </c>
    </row>
    <row r="456" customFormat="1" spans="1:70">
      <c r="A456" t="s">
        <v>4339</v>
      </c>
      <c r="B456" t="s">
        <v>4339</v>
      </c>
      <c r="C456" t="s">
        <v>107</v>
      </c>
      <c r="D456" t="s">
        <v>108</v>
      </c>
      <c r="E456">
        <v>1</v>
      </c>
      <c r="F456" t="s">
        <v>3857</v>
      </c>
      <c r="G456" t="s">
        <v>110</v>
      </c>
      <c r="H456">
        <v>289</v>
      </c>
      <c r="I456">
        <v>289</v>
      </c>
      <c r="J456">
        <v>0</v>
      </c>
      <c r="K456">
        <v>0</v>
      </c>
      <c r="L456" t="s">
        <v>78</v>
      </c>
      <c r="M456" t="s">
        <v>78</v>
      </c>
      <c r="N456" t="s">
        <v>78</v>
      </c>
      <c r="O456">
        <v>0</v>
      </c>
      <c r="P456">
        <v>0</v>
      </c>
      <c r="Q456">
        <v>0</v>
      </c>
      <c r="R456" t="s">
        <v>125</v>
      </c>
      <c r="S456">
        <v>0</v>
      </c>
      <c r="T456" t="s">
        <v>80</v>
      </c>
      <c r="U456" t="s">
        <v>80</v>
      </c>
      <c r="V456" t="s">
        <v>112</v>
      </c>
      <c r="W456" t="s">
        <v>3087</v>
      </c>
      <c r="X456" t="s">
        <v>3088</v>
      </c>
      <c r="Y456" t="s">
        <v>3089</v>
      </c>
      <c r="Z456" t="s">
        <v>80</v>
      </c>
      <c r="AA456" t="s">
        <v>85</v>
      </c>
      <c r="AC456" t="s">
        <v>3099</v>
      </c>
      <c r="AD456" t="s">
        <v>87</v>
      </c>
      <c r="AF456" t="s">
        <v>3043</v>
      </c>
      <c r="AG456" t="s">
        <v>3100</v>
      </c>
      <c r="AH456" t="s">
        <v>91</v>
      </c>
      <c r="AI456" t="s">
        <v>92</v>
      </c>
      <c r="AJ456" t="s">
        <v>93</v>
      </c>
      <c r="AK456" t="s">
        <v>3101</v>
      </c>
      <c r="AL456" t="s">
        <v>95</v>
      </c>
      <c r="AM456" t="s">
        <v>96</v>
      </c>
      <c r="AN456" t="s">
        <v>97</v>
      </c>
      <c r="AO456" t="s">
        <v>98</v>
      </c>
      <c r="AP456" t="s">
        <v>78</v>
      </c>
      <c r="AQ456" t="s">
        <v>78</v>
      </c>
      <c r="AS456" t="s">
        <v>78</v>
      </c>
      <c r="AT456" t="s">
        <v>100</v>
      </c>
      <c r="AU456" t="s">
        <v>100</v>
      </c>
      <c r="AW456" t="s">
        <v>85</v>
      </c>
      <c r="AX456" t="s">
        <v>103</v>
      </c>
      <c r="AY456" t="s">
        <v>159</v>
      </c>
      <c r="AZ456" t="s">
        <v>103</v>
      </c>
      <c r="BA456" t="s">
        <v>104</v>
      </c>
      <c r="BB456" t="s">
        <v>78</v>
      </c>
      <c r="BC456" t="s">
        <v>78</v>
      </c>
      <c r="BD456" t="s">
        <v>3046</v>
      </c>
      <c r="BE456">
        <v>0</v>
      </c>
      <c r="BF456">
        <v>0</v>
      </c>
      <c r="BG456">
        <v>0</v>
      </c>
      <c r="BH456">
        <v>0</v>
      </c>
      <c r="BJ456" t="s">
        <v>85</v>
      </c>
      <c r="BP456" t="s">
        <v>78</v>
      </c>
      <c r="BQ456" t="s">
        <v>78</v>
      </c>
      <c r="BR456" t="s">
        <v>78</v>
      </c>
    </row>
    <row r="457" customFormat="1" spans="1:70">
      <c r="A457" t="s">
        <v>4340</v>
      </c>
      <c r="B457" t="s">
        <v>4340</v>
      </c>
      <c r="C457" t="s">
        <v>107</v>
      </c>
      <c r="D457" t="s">
        <v>108</v>
      </c>
      <c r="E457">
        <v>1</v>
      </c>
      <c r="F457" t="s">
        <v>3857</v>
      </c>
      <c r="G457" t="s">
        <v>110</v>
      </c>
      <c r="H457">
        <v>289</v>
      </c>
      <c r="I457">
        <v>289</v>
      </c>
      <c r="J457">
        <v>0</v>
      </c>
      <c r="K457">
        <v>0</v>
      </c>
      <c r="L457" t="s">
        <v>78</v>
      </c>
      <c r="M457" t="s">
        <v>78</v>
      </c>
      <c r="N457" t="s">
        <v>78</v>
      </c>
      <c r="O457">
        <v>0</v>
      </c>
      <c r="P457">
        <v>0</v>
      </c>
      <c r="Q457">
        <v>0</v>
      </c>
      <c r="R457" t="s">
        <v>79</v>
      </c>
      <c r="S457">
        <v>0</v>
      </c>
      <c r="T457" t="s">
        <v>80</v>
      </c>
      <c r="U457" t="s">
        <v>80</v>
      </c>
      <c r="V457" t="s">
        <v>302</v>
      </c>
      <c r="W457" t="s">
        <v>1394</v>
      </c>
      <c r="X457" t="s">
        <v>2696</v>
      </c>
      <c r="Y457" t="s">
        <v>2697</v>
      </c>
      <c r="Z457" t="s">
        <v>80</v>
      </c>
      <c r="AA457" t="s">
        <v>85</v>
      </c>
      <c r="AC457" t="s">
        <v>3103</v>
      </c>
      <c r="AD457" t="s">
        <v>87</v>
      </c>
      <c r="AF457" t="s">
        <v>3043</v>
      </c>
      <c r="AG457" t="s">
        <v>3104</v>
      </c>
      <c r="AH457" t="s">
        <v>2699</v>
      </c>
      <c r="AI457" t="s">
        <v>92</v>
      </c>
      <c r="AJ457" t="s">
        <v>93</v>
      </c>
      <c r="AK457" t="s">
        <v>3105</v>
      </c>
      <c r="AL457" t="s">
        <v>95</v>
      </c>
      <c r="AM457" t="s">
        <v>96</v>
      </c>
      <c r="AN457" t="s">
        <v>97</v>
      </c>
      <c r="AO457" t="s">
        <v>98</v>
      </c>
      <c r="AP457" t="s">
        <v>78</v>
      </c>
      <c r="AQ457" t="s">
        <v>78</v>
      </c>
      <c r="AS457" t="s">
        <v>78</v>
      </c>
      <c r="AT457" t="s">
        <v>100</v>
      </c>
      <c r="AU457" t="s">
        <v>100</v>
      </c>
      <c r="AW457" t="s">
        <v>85</v>
      </c>
      <c r="AX457" t="s">
        <v>101</v>
      </c>
      <c r="AY457" t="s">
        <v>102</v>
      </c>
      <c r="AZ457" t="s">
        <v>103</v>
      </c>
      <c r="BA457" t="s">
        <v>102</v>
      </c>
      <c r="BB457" t="s">
        <v>78</v>
      </c>
      <c r="BC457" t="s">
        <v>78</v>
      </c>
      <c r="BD457" t="s">
        <v>3046</v>
      </c>
      <c r="BE457">
        <v>0</v>
      </c>
      <c r="BF457">
        <v>0</v>
      </c>
      <c r="BG457">
        <v>0</v>
      </c>
      <c r="BH457">
        <v>0</v>
      </c>
      <c r="BJ457" t="s">
        <v>85</v>
      </c>
      <c r="BP457" t="s">
        <v>78</v>
      </c>
      <c r="BQ457" t="s">
        <v>78</v>
      </c>
      <c r="BR457" t="s">
        <v>78</v>
      </c>
    </row>
    <row r="458" customFormat="1" spans="1:70">
      <c r="A458" t="s">
        <v>4341</v>
      </c>
      <c r="B458" t="s">
        <v>4341</v>
      </c>
      <c r="C458" t="s">
        <v>1092</v>
      </c>
      <c r="D458" t="s">
        <v>108</v>
      </c>
      <c r="E458">
        <v>1</v>
      </c>
      <c r="F458" t="s">
        <v>3998</v>
      </c>
      <c r="G458" t="s">
        <v>1094</v>
      </c>
      <c r="H458">
        <v>289</v>
      </c>
      <c r="I458">
        <v>289</v>
      </c>
      <c r="J458">
        <v>0</v>
      </c>
      <c r="K458">
        <v>0</v>
      </c>
      <c r="L458" t="s">
        <v>78</v>
      </c>
      <c r="M458" t="s">
        <v>78</v>
      </c>
      <c r="N458" t="s">
        <v>78</v>
      </c>
      <c r="O458">
        <v>0</v>
      </c>
      <c r="P458">
        <v>0</v>
      </c>
      <c r="Q458">
        <v>0</v>
      </c>
      <c r="R458" t="s">
        <v>125</v>
      </c>
      <c r="S458">
        <v>0</v>
      </c>
      <c r="T458" t="s">
        <v>80</v>
      </c>
      <c r="U458" t="s">
        <v>80</v>
      </c>
      <c r="V458" t="s">
        <v>271</v>
      </c>
      <c r="W458" t="s">
        <v>717</v>
      </c>
      <c r="X458" t="s">
        <v>1041</v>
      </c>
      <c r="Y458" t="s">
        <v>3064</v>
      </c>
      <c r="Z458" t="s">
        <v>80</v>
      </c>
      <c r="AA458" t="s">
        <v>85</v>
      </c>
      <c r="AC458" t="s">
        <v>3107</v>
      </c>
      <c r="AD458" t="s">
        <v>87</v>
      </c>
      <c r="AG458" t="s">
        <v>3108</v>
      </c>
      <c r="AH458" t="s">
        <v>401</v>
      </c>
      <c r="AI458" t="s">
        <v>92</v>
      </c>
      <c r="AJ458" t="s">
        <v>131</v>
      </c>
      <c r="AK458" t="s">
        <v>3109</v>
      </c>
      <c r="AL458" t="s">
        <v>95</v>
      </c>
      <c r="AM458" t="s">
        <v>96</v>
      </c>
      <c r="AN458" t="s">
        <v>97</v>
      </c>
      <c r="AO458" t="s">
        <v>98</v>
      </c>
      <c r="AP458" t="s">
        <v>78</v>
      </c>
      <c r="AQ458" t="s">
        <v>99</v>
      </c>
      <c r="AS458" t="s">
        <v>78</v>
      </c>
      <c r="AT458" t="s">
        <v>100</v>
      </c>
      <c r="AU458" t="s">
        <v>100</v>
      </c>
      <c r="AW458" t="s">
        <v>85</v>
      </c>
      <c r="AX458" t="s">
        <v>101</v>
      </c>
      <c r="AY458" t="s">
        <v>102</v>
      </c>
      <c r="AZ458" t="s">
        <v>103</v>
      </c>
      <c r="BA458" t="s">
        <v>102</v>
      </c>
      <c r="BB458" t="s">
        <v>78</v>
      </c>
      <c r="BC458" t="s">
        <v>78</v>
      </c>
      <c r="BE458">
        <v>0</v>
      </c>
      <c r="BF458">
        <v>0</v>
      </c>
      <c r="BG458">
        <v>0</v>
      </c>
      <c r="BH458">
        <v>0</v>
      </c>
      <c r="BJ458" t="s">
        <v>85</v>
      </c>
      <c r="BP458" t="s">
        <v>78</v>
      </c>
      <c r="BQ458" t="s">
        <v>78</v>
      </c>
      <c r="BR458" t="s">
        <v>78</v>
      </c>
    </row>
    <row r="459" customFormat="1" spans="1:70">
      <c r="A459" t="s">
        <v>4342</v>
      </c>
      <c r="B459" t="s">
        <v>4342</v>
      </c>
      <c r="C459" t="s">
        <v>1092</v>
      </c>
      <c r="D459" t="s">
        <v>3085</v>
      </c>
      <c r="E459">
        <v>1</v>
      </c>
      <c r="F459" t="s">
        <v>3998</v>
      </c>
      <c r="G459" t="s">
        <v>3086</v>
      </c>
      <c r="H459">
        <v>289</v>
      </c>
      <c r="I459">
        <v>289</v>
      </c>
      <c r="J459">
        <v>0</v>
      </c>
      <c r="K459">
        <v>0</v>
      </c>
      <c r="L459" t="s">
        <v>78</v>
      </c>
      <c r="M459" t="s">
        <v>78</v>
      </c>
      <c r="N459" t="s">
        <v>78</v>
      </c>
      <c r="O459">
        <v>0</v>
      </c>
      <c r="P459">
        <v>0</v>
      </c>
      <c r="Q459">
        <v>0</v>
      </c>
      <c r="R459" t="s">
        <v>125</v>
      </c>
      <c r="S459">
        <v>0</v>
      </c>
      <c r="T459" t="s">
        <v>80</v>
      </c>
      <c r="U459" t="s">
        <v>80</v>
      </c>
      <c r="V459" t="s">
        <v>167</v>
      </c>
      <c r="W459" t="s">
        <v>285</v>
      </c>
      <c r="X459" t="s">
        <v>1284</v>
      </c>
      <c r="Y459" t="s">
        <v>3111</v>
      </c>
      <c r="Z459" t="s">
        <v>80</v>
      </c>
      <c r="AA459" t="s">
        <v>85</v>
      </c>
      <c r="AC459" t="s">
        <v>3112</v>
      </c>
      <c r="AD459" t="s">
        <v>87</v>
      </c>
      <c r="AG459" t="s">
        <v>3113</v>
      </c>
      <c r="AH459" t="s">
        <v>91</v>
      </c>
      <c r="AI459" t="s">
        <v>92</v>
      </c>
      <c r="AJ459" t="s">
        <v>131</v>
      </c>
      <c r="AK459" t="s">
        <v>3109</v>
      </c>
      <c r="AL459" t="s">
        <v>95</v>
      </c>
      <c r="AM459" t="s">
        <v>96</v>
      </c>
      <c r="AN459" t="s">
        <v>97</v>
      </c>
      <c r="AO459" t="s">
        <v>98</v>
      </c>
      <c r="AP459" t="s">
        <v>78</v>
      </c>
      <c r="AQ459" t="s">
        <v>99</v>
      </c>
      <c r="AS459" t="s">
        <v>78</v>
      </c>
      <c r="AT459" t="s">
        <v>100</v>
      </c>
      <c r="AU459" t="s">
        <v>100</v>
      </c>
      <c r="AW459" t="s">
        <v>85</v>
      </c>
      <c r="AX459" t="s">
        <v>103</v>
      </c>
      <c r="AY459" t="s">
        <v>159</v>
      </c>
      <c r="AZ459" t="s">
        <v>103</v>
      </c>
      <c r="BA459" t="s">
        <v>104</v>
      </c>
      <c r="BB459" t="s">
        <v>78</v>
      </c>
      <c r="BC459" t="s">
        <v>78</v>
      </c>
      <c r="BE459">
        <v>0</v>
      </c>
      <c r="BF459">
        <v>0</v>
      </c>
      <c r="BG459">
        <v>0</v>
      </c>
      <c r="BH459">
        <v>0</v>
      </c>
      <c r="BJ459" t="s">
        <v>85</v>
      </c>
      <c r="BP459" t="s">
        <v>78</v>
      </c>
      <c r="BQ459" t="s">
        <v>78</v>
      </c>
      <c r="BR459" t="s">
        <v>78</v>
      </c>
    </row>
    <row r="460" customFormat="1" spans="1:70">
      <c r="A460" t="s">
        <v>4343</v>
      </c>
      <c r="B460" t="s">
        <v>4343</v>
      </c>
      <c r="C460" t="s">
        <v>1092</v>
      </c>
      <c r="D460" t="s">
        <v>108</v>
      </c>
      <c r="E460">
        <v>1</v>
      </c>
      <c r="F460" t="s">
        <v>3998</v>
      </c>
      <c r="G460" t="s">
        <v>1094</v>
      </c>
      <c r="H460">
        <v>289</v>
      </c>
      <c r="I460">
        <v>289</v>
      </c>
      <c r="J460">
        <v>0</v>
      </c>
      <c r="K460">
        <v>0</v>
      </c>
      <c r="L460" t="s">
        <v>78</v>
      </c>
      <c r="M460" t="s">
        <v>78</v>
      </c>
      <c r="N460" t="s">
        <v>78</v>
      </c>
      <c r="O460">
        <v>0</v>
      </c>
      <c r="P460">
        <v>0</v>
      </c>
      <c r="Q460">
        <v>0</v>
      </c>
      <c r="R460" t="s">
        <v>125</v>
      </c>
      <c r="S460">
        <v>0</v>
      </c>
      <c r="T460" t="s">
        <v>80</v>
      </c>
      <c r="U460" t="s">
        <v>80</v>
      </c>
      <c r="V460" t="s">
        <v>583</v>
      </c>
      <c r="W460" t="s">
        <v>584</v>
      </c>
      <c r="X460" t="s">
        <v>2988</v>
      </c>
      <c r="Y460" t="s">
        <v>2989</v>
      </c>
      <c r="Z460" t="s">
        <v>80</v>
      </c>
      <c r="AA460" t="s">
        <v>85</v>
      </c>
      <c r="AC460" t="s">
        <v>3115</v>
      </c>
      <c r="AD460" t="s">
        <v>87</v>
      </c>
      <c r="AG460" t="s">
        <v>3116</v>
      </c>
      <c r="AH460" t="s">
        <v>91</v>
      </c>
      <c r="AI460" t="s">
        <v>92</v>
      </c>
      <c r="AJ460" t="s">
        <v>131</v>
      </c>
      <c r="AK460" t="s">
        <v>3117</v>
      </c>
      <c r="AL460" t="s">
        <v>95</v>
      </c>
      <c r="AM460" t="s">
        <v>96</v>
      </c>
      <c r="AN460" t="s">
        <v>97</v>
      </c>
      <c r="AO460" t="s">
        <v>98</v>
      </c>
      <c r="AP460" t="s">
        <v>78</v>
      </c>
      <c r="AQ460" t="s">
        <v>99</v>
      </c>
      <c r="AS460" t="s">
        <v>78</v>
      </c>
      <c r="AT460" t="s">
        <v>100</v>
      </c>
      <c r="AU460" t="s">
        <v>100</v>
      </c>
      <c r="AW460" t="s">
        <v>85</v>
      </c>
      <c r="AX460" t="s">
        <v>101</v>
      </c>
      <c r="AY460" t="s">
        <v>102</v>
      </c>
      <c r="AZ460" t="s">
        <v>103</v>
      </c>
      <c r="BA460" t="s">
        <v>104</v>
      </c>
      <c r="BB460" t="s">
        <v>78</v>
      </c>
      <c r="BC460" t="s">
        <v>78</v>
      </c>
      <c r="BE460">
        <v>0</v>
      </c>
      <c r="BF460">
        <v>0</v>
      </c>
      <c r="BG460">
        <v>0</v>
      </c>
      <c r="BH460">
        <v>0</v>
      </c>
      <c r="BJ460" t="s">
        <v>85</v>
      </c>
      <c r="BP460" t="s">
        <v>78</v>
      </c>
      <c r="BQ460" t="s">
        <v>78</v>
      </c>
      <c r="BR460" t="s">
        <v>78</v>
      </c>
    </row>
    <row r="461" customFormat="1" spans="1:70">
      <c r="A461" t="s">
        <v>4344</v>
      </c>
      <c r="B461" t="s">
        <v>4344</v>
      </c>
      <c r="C461" t="s">
        <v>1092</v>
      </c>
      <c r="D461" t="s">
        <v>135</v>
      </c>
      <c r="E461">
        <v>1</v>
      </c>
      <c r="F461" t="s">
        <v>3998</v>
      </c>
      <c r="G461" t="s">
        <v>1357</v>
      </c>
      <c r="H461">
        <v>289</v>
      </c>
      <c r="I461">
        <v>289</v>
      </c>
      <c r="J461">
        <v>0</v>
      </c>
      <c r="K461">
        <v>0</v>
      </c>
      <c r="L461" t="s">
        <v>78</v>
      </c>
      <c r="M461" t="s">
        <v>78</v>
      </c>
      <c r="N461" t="s">
        <v>78</v>
      </c>
      <c r="O461">
        <v>0</v>
      </c>
      <c r="P461">
        <v>0</v>
      </c>
      <c r="Q461">
        <v>0</v>
      </c>
      <c r="R461" t="s">
        <v>79</v>
      </c>
      <c r="S461">
        <v>0</v>
      </c>
      <c r="T461" t="s">
        <v>80</v>
      </c>
      <c r="U461" t="s">
        <v>80</v>
      </c>
      <c r="V461" t="s">
        <v>239</v>
      </c>
      <c r="W461" t="s">
        <v>1105</v>
      </c>
      <c r="X461" t="s">
        <v>3119</v>
      </c>
      <c r="Y461" t="s">
        <v>78</v>
      </c>
      <c r="Z461" t="s">
        <v>80</v>
      </c>
      <c r="AA461" t="s">
        <v>85</v>
      </c>
      <c r="AC461" t="s">
        <v>3120</v>
      </c>
      <c r="AD461" t="s">
        <v>87</v>
      </c>
      <c r="AG461" t="s">
        <v>3121</v>
      </c>
      <c r="AH461" t="s">
        <v>91</v>
      </c>
      <c r="AI461" t="s">
        <v>92</v>
      </c>
      <c r="AJ461" t="s">
        <v>131</v>
      </c>
      <c r="AK461" t="s">
        <v>3122</v>
      </c>
      <c r="AL461" t="s">
        <v>95</v>
      </c>
      <c r="AM461" t="s">
        <v>96</v>
      </c>
      <c r="AN461" t="s">
        <v>97</v>
      </c>
      <c r="AO461" t="s">
        <v>98</v>
      </c>
      <c r="AP461" t="s">
        <v>78</v>
      </c>
      <c r="AQ461" t="s">
        <v>99</v>
      </c>
      <c r="AS461" t="s">
        <v>78</v>
      </c>
      <c r="AT461" t="s">
        <v>100</v>
      </c>
      <c r="AU461" t="s">
        <v>100</v>
      </c>
      <c r="AW461" t="s">
        <v>85</v>
      </c>
      <c r="AX461" t="s">
        <v>101</v>
      </c>
      <c r="AY461" t="s">
        <v>102</v>
      </c>
      <c r="AZ461" t="s">
        <v>103</v>
      </c>
      <c r="BA461" t="s">
        <v>133</v>
      </c>
      <c r="BB461" t="s">
        <v>78</v>
      </c>
      <c r="BC461" t="s">
        <v>78</v>
      </c>
      <c r="BE461">
        <v>0</v>
      </c>
      <c r="BF461">
        <v>0</v>
      </c>
      <c r="BG461">
        <v>0</v>
      </c>
      <c r="BH461">
        <v>0</v>
      </c>
      <c r="BJ461" t="s">
        <v>85</v>
      </c>
      <c r="BP461" t="s">
        <v>78</v>
      </c>
      <c r="BQ461" t="s">
        <v>78</v>
      </c>
      <c r="BR461" t="s">
        <v>78</v>
      </c>
    </row>
    <row r="462" customFormat="1" spans="1:70">
      <c r="A462" t="s">
        <v>4345</v>
      </c>
      <c r="B462" t="s">
        <v>4345</v>
      </c>
      <c r="C462" t="s">
        <v>1092</v>
      </c>
      <c r="D462" t="s">
        <v>108</v>
      </c>
      <c r="E462">
        <v>1</v>
      </c>
      <c r="F462" t="s">
        <v>3998</v>
      </c>
      <c r="G462" t="s">
        <v>1094</v>
      </c>
      <c r="H462">
        <v>289</v>
      </c>
      <c r="I462">
        <v>289</v>
      </c>
      <c r="J462">
        <v>0</v>
      </c>
      <c r="K462">
        <v>0</v>
      </c>
      <c r="L462" t="s">
        <v>78</v>
      </c>
      <c r="M462" t="s">
        <v>78</v>
      </c>
      <c r="N462" t="s">
        <v>78</v>
      </c>
      <c r="O462">
        <v>0</v>
      </c>
      <c r="P462">
        <v>0</v>
      </c>
      <c r="Q462">
        <v>0</v>
      </c>
      <c r="R462" t="s">
        <v>111</v>
      </c>
      <c r="S462">
        <v>0</v>
      </c>
      <c r="T462" t="s">
        <v>80</v>
      </c>
      <c r="U462" t="s">
        <v>80</v>
      </c>
      <c r="V462" t="s">
        <v>509</v>
      </c>
      <c r="W462" t="s">
        <v>3124</v>
      </c>
      <c r="X462" t="s">
        <v>3125</v>
      </c>
      <c r="Y462" t="s">
        <v>3126</v>
      </c>
      <c r="Z462" t="s">
        <v>80</v>
      </c>
      <c r="AA462" t="s">
        <v>85</v>
      </c>
      <c r="AC462" t="s">
        <v>3127</v>
      </c>
      <c r="AD462" t="s">
        <v>87</v>
      </c>
      <c r="AG462" t="s">
        <v>3120</v>
      </c>
      <c r="AH462" t="s">
        <v>227</v>
      </c>
      <c r="AI462" t="s">
        <v>92</v>
      </c>
      <c r="AJ462" t="s">
        <v>131</v>
      </c>
      <c r="AK462" t="s">
        <v>3128</v>
      </c>
      <c r="AL462" t="s">
        <v>95</v>
      </c>
      <c r="AM462" t="s">
        <v>96</v>
      </c>
      <c r="AN462" t="s">
        <v>97</v>
      </c>
      <c r="AO462" t="s">
        <v>98</v>
      </c>
      <c r="AP462" t="s">
        <v>78</v>
      </c>
      <c r="AQ462" t="s">
        <v>99</v>
      </c>
      <c r="AS462" t="s">
        <v>78</v>
      </c>
      <c r="AT462" t="s">
        <v>100</v>
      </c>
      <c r="AU462" t="s">
        <v>100</v>
      </c>
      <c r="AW462" t="s">
        <v>85</v>
      </c>
      <c r="AX462" t="s">
        <v>103</v>
      </c>
      <c r="AY462" t="s">
        <v>159</v>
      </c>
      <c r="AZ462" t="s">
        <v>103</v>
      </c>
      <c r="BA462" t="s">
        <v>104</v>
      </c>
      <c r="BB462" t="s">
        <v>78</v>
      </c>
      <c r="BC462" t="s">
        <v>78</v>
      </c>
      <c r="BE462">
        <v>0</v>
      </c>
      <c r="BF462">
        <v>0</v>
      </c>
      <c r="BG462">
        <v>0</v>
      </c>
      <c r="BH462">
        <v>0</v>
      </c>
      <c r="BJ462" t="s">
        <v>85</v>
      </c>
      <c r="BP462" t="s">
        <v>78</v>
      </c>
      <c r="BQ462" t="s">
        <v>78</v>
      </c>
      <c r="BR462" t="s">
        <v>78</v>
      </c>
    </row>
    <row r="463" customFormat="1" spans="1:70">
      <c r="A463" t="s">
        <v>4346</v>
      </c>
      <c r="B463" t="s">
        <v>4346</v>
      </c>
      <c r="C463" t="s">
        <v>1092</v>
      </c>
      <c r="D463" t="s">
        <v>108</v>
      </c>
      <c r="E463">
        <v>1</v>
      </c>
      <c r="F463" t="s">
        <v>3998</v>
      </c>
      <c r="G463" t="s">
        <v>1094</v>
      </c>
      <c r="H463">
        <v>289</v>
      </c>
      <c r="I463">
        <v>289</v>
      </c>
      <c r="J463">
        <v>0</v>
      </c>
      <c r="K463">
        <v>0</v>
      </c>
      <c r="L463" t="s">
        <v>78</v>
      </c>
      <c r="M463" t="s">
        <v>78</v>
      </c>
      <c r="N463" t="s">
        <v>78</v>
      </c>
      <c r="O463">
        <v>0</v>
      </c>
      <c r="P463">
        <v>0</v>
      </c>
      <c r="Q463">
        <v>0</v>
      </c>
      <c r="R463" t="s">
        <v>125</v>
      </c>
      <c r="S463">
        <v>0</v>
      </c>
      <c r="T463" t="s">
        <v>80</v>
      </c>
      <c r="U463" t="s">
        <v>80</v>
      </c>
      <c r="V463" t="s">
        <v>189</v>
      </c>
      <c r="W463" t="s">
        <v>3130</v>
      </c>
      <c r="X463" t="s">
        <v>3131</v>
      </c>
      <c r="Y463" t="s">
        <v>3132</v>
      </c>
      <c r="Z463" t="s">
        <v>80</v>
      </c>
      <c r="AA463" t="s">
        <v>85</v>
      </c>
      <c r="AC463" t="s">
        <v>3133</v>
      </c>
      <c r="AD463" t="s">
        <v>87</v>
      </c>
      <c r="AG463" t="s">
        <v>3134</v>
      </c>
      <c r="AH463" t="s">
        <v>91</v>
      </c>
      <c r="AI463" t="s">
        <v>92</v>
      </c>
      <c r="AJ463" t="s">
        <v>131</v>
      </c>
      <c r="AK463" t="s">
        <v>3135</v>
      </c>
      <c r="AL463" t="s">
        <v>95</v>
      </c>
      <c r="AM463" t="s">
        <v>96</v>
      </c>
      <c r="AN463" t="s">
        <v>97</v>
      </c>
      <c r="AO463" t="s">
        <v>98</v>
      </c>
      <c r="AP463" t="s">
        <v>78</v>
      </c>
      <c r="AQ463" t="s">
        <v>99</v>
      </c>
      <c r="AS463" t="s">
        <v>78</v>
      </c>
      <c r="AT463" t="s">
        <v>100</v>
      </c>
      <c r="AU463" t="s">
        <v>100</v>
      </c>
      <c r="AW463" t="s">
        <v>85</v>
      </c>
      <c r="AX463" t="s">
        <v>101</v>
      </c>
      <c r="AY463" t="s">
        <v>102</v>
      </c>
      <c r="AZ463" t="s">
        <v>103</v>
      </c>
      <c r="BA463" t="s">
        <v>120</v>
      </c>
      <c r="BB463" t="s">
        <v>78</v>
      </c>
      <c r="BC463" t="s">
        <v>78</v>
      </c>
      <c r="BE463">
        <v>0</v>
      </c>
      <c r="BF463">
        <v>0</v>
      </c>
      <c r="BG463">
        <v>0</v>
      </c>
      <c r="BH463">
        <v>0</v>
      </c>
      <c r="BJ463" t="s">
        <v>85</v>
      </c>
      <c r="BP463" t="s">
        <v>78</v>
      </c>
      <c r="BQ463" t="s">
        <v>78</v>
      </c>
      <c r="BR463" t="s">
        <v>78</v>
      </c>
    </row>
    <row r="464" customFormat="1" spans="1:70">
      <c r="A464" t="s">
        <v>4347</v>
      </c>
      <c r="B464" t="s">
        <v>4347</v>
      </c>
      <c r="C464" t="s">
        <v>1092</v>
      </c>
      <c r="D464" t="s">
        <v>123</v>
      </c>
      <c r="E464">
        <v>1</v>
      </c>
      <c r="F464" t="s">
        <v>3998</v>
      </c>
      <c r="G464" t="s">
        <v>1986</v>
      </c>
      <c r="H464">
        <v>289</v>
      </c>
      <c r="I464">
        <v>289</v>
      </c>
      <c r="J464">
        <v>0</v>
      </c>
      <c r="K464">
        <v>0</v>
      </c>
      <c r="L464" t="s">
        <v>78</v>
      </c>
      <c r="M464" t="s">
        <v>78</v>
      </c>
      <c r="N464" t="s">
        <v>78</v>
      </c>
      <c r="O464">
        <v>0</v>
      </c>
      <c r="P464">
        <v>0</v>
      </c>
      <c r="Q464">
        <v>0</v>
      </c>
      <c r="R464" t="s">
        <v>79</v>
      </c>
      <c r="S464">
        <v>0</v>
      </c>
      <c r="T464" t="s">
        <v>80</v>
      </c>
      <c r="U464" t="s">
        <v>80</v>
      </c>
      <c r="V464" t="s">
        <v>464</v>
      </c>
      <c r="W464" t="s">
        <v>1460</v>
      </c>
      <c r="X464" t="s">
        <v>2167</v>
      </c>
      <c r="Y464" t="s">
        <v>2168</v>
      </c>
      <c r="Z464" t="s">
        <v>80</v>
      </c>
      <c r="AA464" t="s">
        <v>85</v>
      </c>
      <c r="AC464" t="s">
        <v>3137</v>
      </c>
      <c r="AD464" t="s">
        <v>202</v>
      </c>
      <c r="AE464" t="s">
        <v>3138</v>
      </c>
      <c r="AG464" t="s">
        <v>3139</v>
      </c>
      <c r="AH464" t="s">
        <v>227</v>
      </c>
      <c r="AI464" t="s">
        <v>92</v>
      </c>
      <c r="AJ464" t="s">
        <v>131</v>
      </c>
      <c r="AK464" t="s">
        <v>3140</v>
      </c>
      <c r="AL464" t="s">
        <v>95</v>
      </c>
      <c r="AM464" t="s">
        <v>96</v>
      </c>
      <c r="AN464" t="s">
        <v>97</v>
      </c>
      <c r="AO464" t="s">
        <v>98</v>
      </c>
      <c r="AP464" t="s">
        <v>78</v>
      </c>
      <c r="AQ464" t="s">
        <v>99</v>
      </c>
      <c r="AS464" t="s">
        <v>78</v>
      </c>
      <c r="AT464" t="s">
        <v>100</v>
      </c>
      <c r="AU464" t="s">
        <v>100</v>
      </c>
      <c r="AW464" t="s">
        <v>85</v>
      </c>
      <c r="AX464" t="s">
        <v>103</v>
      </c>
      <c r="AY464" t="s">
        <v>159</v>
      </c>
      <c r="AZ464" t="s">
        <v>103</v>
      </c>
      <c r="BA464" t="s">
        <v>104</v>
      </c>
      <c r="BB464" t="s">
        <v>78</v>
      </c>
      <c r="BC464" t="s">
        <v>78</v>
      </c>
      <c r="BD464" t="s">
        <v>3141</v>
      </c>
      <c r="BE464">
        <v>0</v>
      </c>
      <c r="BF464">
        <v>0</v>
      </c>
      <c r="BG464">
        <v>0</v>
      </c>
      <c r="BH464">
        <v>0</v>
      </c>
      <c r="BJ464" t="s">
        <v>85</v>
      </c>
      <c r="BP464" t="s">
        <v>78</v>
      </c>
      <c r="BQ464" t="s">
        <v>78</v>
      </c>
      <c r="BR464" t="s">
        <v>78</v>
      </c>
    </row>
    <row r="465" customFormat="1" spans="1:70">
      <c r="A465" t="s">
        <v>4348</v>
      </c>
      <c r="B465" t="s">
        <v>4348</v>
      </c>
      <c r="C465" t="s">
        <v>1092</v>
      </c>
      <c r="D465" t="s">
        <v>108</v>
      </c>
      <c r="E465">
        <v>1</v>
      </c>
      <c r="F465" t="s">
        <v>3998</v>
      </c>
      <c r="G465" t="s">
        <v>1094</v>
      </c>
      <c r="H465">
        <v>289</v>
      </c>
      <c r="I465">
        <v>289</v>
      </c>
      <c r="J465">
        <v>0</v>
      </c>
      <c r="K465">
        <v>0</v>
      </c>
      <c r="L465" t="s">
        <v>78</v>
      </c>
      <c r="M465" t="s">
        <v>78</v>
      </c>
      <c r="N465" t="s">
        <v>78</v>
      </c>
      <c r="O465">
        <v>0</v>
      </c>
      <c r="P465">
        <v>0</v>
      </c>
      <c r="Q465">
        <v>0</v>
      </c>
      <c r="R465" t="s">
        <v>111</v>
      </c>
      <c r="S465">
        <v>0</v>
      </c>
      <c r="T465" t="s">
        <v>80</v>
      </c>
      <c r="U465" t="s">
        <v>80</v>
      </c>
      <c r="V465" t="s">
        <v>161</v>
      </c>
      <c r="W465" t="s">
        <v>161</v>
      </c>
      <c r="X465" t="s">
        <v>1243</v>
      </c>
      <c r="Y465" t="s">
        <v>3143</v>
      </c>
      <c r="Z465" t="s">
        <v>80</v>
      </c>
      <c r="AA465" t="s">
        <v>85</v>
      </c>
      <c r="AC465" t="s">
        <v>3144</v>
      </c>
      <c r="AD465" t="s">
        <v>202</v>
      </c>
      <c r="AE465" t="s">
        <v>3145</v>
      </c>
      <c r="AG465" t="s">
        <v>3146</v>
      </c>
      <c r="AH465" t="s">
        <v>91</v>
      </c>
      <c r="AI465" t="s">
        <v>92</v>
      </c>
      <c r="AJ465" t="s">
        <v>131</v>
      </c>
      <c r="AK465" t="s">
        <v>3147</v>
      </c>
      <c r="AL465" t="s">
        <v>95</v>
      </c>
      <c r="AM465" t="s">
        <v>96</v>
      </c>
      <c r="AN465" t="s">
        <v>97</v>
      </c>
      <c r="AO465" t="s">
        <v>98</v>
      </c>
      <c r="AP465" t="s">
        <v>78</v>
      </c>
      <c r="AQ465" t="s">
        <v>99</v>
      </c>
      <c r="AS465" t="s">
        <v>78</v>
      </c>
      <c r="AT465" t="s">
        <v>100</v>
      </c>
      <c r="AU465" t="s">
        <v>100</v>
      </c>
      <c r="AW465" t="s">
        <v>85</v>
      </c>
      <c r="AX465" t="s">
        <v>101</v>
      </c>
      <c r="AY465" t="s">
        <v>102</v>
      </c>
      <c r="AZ465" t="s">
        <v>103</v>
      </c>
      <c r="BA465" t="s">
        <v>120</v>
      </c>
      <c r="BB465" t="s">
        <v>78</v>
      </c>
      <c r="BC465" t="s">
        <v>78</v>
      </c>
      <c r="BD465" t="s">
        <v>3148</v>
      </c>
      <c r="BE465">
        <v>0</v>
      </c>
      <c r="BF465">
        <v>0</v>
      </c>
      <c r="BG465">
        <v>0</v>
      </c>
      <c r="BH465">
        <v>0</v>
      </c>
      <c r="BJ465" t="s">
        <v>85</v>
      </c>
      <c r="BP465" t="s">
        <v>78</v>
      </c>
      <c r="BQ465" t="s">
        <v>78</v>
      </c>
      <c r="BR465" t="s">
        <v>78</v>
      </c>
    </row>
    <row r="466" customFormat="1" spans="1:70">
      <c r="A466" t="s">
        <v>4349</v>
      </c>
      <c r="B466" t="s">
        <v>4349</v>
      </c>
      <c r="C466" t="s">
        <v>1092</v>
      </c>
      <c r="D466" t="s">
        <v>2021</v>
      </c>
      <c r="E466">
        <v>1</v>
      </c>
      <c r="F466" t="s">
        <v>3998</v>
      </c>
      <c r="G466" t="s">
        <v>2022</v>
      </c>
      <c r="H466">
        <v>289</v>
      </c>
      <c r="I466">
        <v>289</v>
      </c>
      <c r="J466">
        <v>0</v>
      </c>
      <c r="K466">
        <v>0</v>
      </c>
      <c r="L466" t="s">
        <v>78</v>
      </c>
      <c r="M466" t="s">
        <v>78</v>
      </c>
      <c r="N466" t="s">
        <v>78</v>
      </c>
      <c r="O466">
        <v>0</v>
      </c>
      <c r="P466">
        <v>0</v>
      </c>
      <c r="Q466">
        <v>0</v>
      </c>
      <c r="R466" t="s">
        <v>79</v>
      </c>
      <c r="S466">
        <v>0</v>
      </c>
      <c r="T466" t="s">
        <v>80</v>
      </c>
      <c r="U466" t="s">
        <v>80</v>
      </c>
      <c r="V466" t="s">
        <v>126</v>
      </c>
      <c r="W466" t="s">
        <v>945</v>
      </c>
      <c r="X466" t="s">
        <v>2419</v>
      </c>
      <c r="Y466" t="s">
        <v>3150</v>
      </c>
      <c r="Z466" t="s">
        <v>80</v>
      </c>
      <c r="AA466" t="s">
        <v>85</v>
      </c>
      <c r="AC466" t="s">
        <v>3151</v>
      </c>
      <c r="AD466" t="s">
        <v>87</v>
      </c>
      <c r="AG466" t="s">
        <v>3152</v>
      </c>
      <c r="AH466" t="s">
        <v>91</v>
      </c>
      <c r="AI466" t="s">
        <v>92</v>
      </c>
      <c r="AJ466" t="s">
        <v>131</v>
      </c>
      <c r="AK466" t="s">
        <v>3153</v>
      </c>
      <c r="AL466" t="s">
        <v>95</v>
      </c>
      <c r="AM466" t="s">
        <v>96</v>
      </c>
      <c r="AN466" t="s">
        <v>97</v>
      </c>
      <c r="AO466" t="s">
        <v>98</v>
      </c>
      <c r="AP466" t="s">
        <v>78</v>
      </c>
      <c r="AQ466" t="s">
        <v>99</v>
      </c>
      <c r="AS466" t="s">
        <v>78</v>
      </c>
      <c r="AT466" t="s">
        <v>100</v>
      </c>
      <c r="AU466" t="s">
        <v>100</v>
      </c>
      <c r="AW466" t="s">
        <v>85</v>
      </c>
      <c r="AX466" t="s">
        <v>101</v>
      </c>
      <c r="AY466" t="s">
        <v>102</v>
      </c>
      <c r="AZ466" t="s">
        <v>103</v>
      </c>
      <c r="BA466" t="s">
        <v>133</v>
      </c>
      <c r="BB466" t="s">
        <v>78</v>
      </c>
      <c r="BC466" t="s">
        <v>78</v>
      </c>
      <c r="BE466">
        <v>0</v>
      </c>
      <c r="BF466">
        <v>0</v>
      </c>
      <c r="BG466">
        <v>0</v>
      </c>
      <c r="BH466">
        <v>0</v>
      </c>
      <c r="BJ466" t="s">
        <v>85</v>
      </c>
      <c r="BP466" t="s">
        <v>78</v>
      </c>
      <c r="BQ466" t="s">
        <v>78</v>
      </c>
      <c r="BR466" t="s">
        <v>78</v>
      </c>
    </row>
    <row r="467" customFormat="1" spans="1:70">
      <c r="A467" t="s">
        <v>4350</v>
      </c>
      <c r="B467" t="s">
        <v>4350</v>
      </c>
      <c r="C467" t="s">
        <v>1092</v>
      </c>
      <c r="D467" t="s">
        <v>3085</v>
      </c>
      <c r="E467">
        <v>1</v>
      </c>
      <c r="F467" t="s">
        <v>3998</v>
      </c>
      <c r="G467" t="s">
        <v>3086</v>
      </c>
      <c r="H467">
        <v>289</v>
      </c>
      <c r="I467">
        <v>289</v>
      </c>
      <c r="J467">
        <v>0</v>
      </c>
      <c r="K467">
        <v>0</v>
      </c>
      <c r="L467" t="s">
        <v>78</v>
      </c>
      <c r="M467" t="s">
        <v>78</v>
      </c>
      <c r="N467" t="s">
        <v>78</v>
      </c>
      <c r="O467">
        <v>0</v>
      </c>
      <c r="P467">
        <v>0</v>
      </c>
      <c r="Q467">
        <v>0</v>
      </c>
      <c r="R467" t="s">
        <v>125</v>
      </c>
      <c r="S467">
        <v>0</v>
      </c>
      <c r="T467" t="s">
        <v>80</v>
      </c>
      <c r="U467" t="s">
        <v>80</v>
      </c>
      <c r="V467" t="s">
        <v>574</v>
      </c>
      <c r="W467" t="s">
        <v>574</v>
      </c>
      <c r="X467" t="s">
        <v>809</v>
      </c>
      <c r="Y467" t="s">
        <v>3155</v>
      </c>
      <c r="Z467" t="s">
        <v>80</v>
      </c>
      <c r="AA467" t="s">
        <v>85</v>
      </c>
      <c r="AC467" t="s">
        <v>3151</v>
      </c>
      <c r="AD467" t="s">
        <v>87</v>
      </c>
      <c r="AF467" t="s">
        <v>3156</v>
      </c>
      <c r="AG467" t="s">
        <v>3157</v>
      </c>
      <c r="AH467" t="s">
        <v>91</v>
      </c>
      <c r="AI467" t="s">
        <v>92</v>
      </c>
      <c r="AJ467" t="s">
        <v>93</v>
      </c>
      <c r="AK467" t="s">
        <v>3153</v>
      </c>
      <c r="AL467" t="s">
        <v>95</v>
      </c>
      <c r="AM467" t="s">
        <v>96</v>
      </c>
      <c r="AN467" t="s">
        <v>97</v>
      </c>
      <c r="AO467" t="s">
        <v>98</v>
      </c>
      <c r="AP467" t="s">
        <v>78</v>
      </c>
      <c r="AQ467" t="s">
        <v>78</v>
      </c>
      <c r="AS467" t="s">
        <v>78</v>
      </c>
      <c r="AT467" t="s">
        <v>100</v>
      </c>
      <c r="AU467" t="s">
        <v>100</v>
      </c>
      <c r="AW467" t="s">
        <v>85</v>
      </c>
      <c r="AX467" t="s">
        <v>101</v>
      </c>
      <c r="AY467" t="s">
        <v>102</v>
      </c>
      <c r="AZ467" t="s">
        <v>103</v>
      </c>
      <c r="BA467" t="s">
        <v>120</v>
      </c>
      <c r="BB467" t="s">
        <v>78</v>
      </c>
      <c r="BC467" t="s">
        <v>78</v>
      </c>
      <c r="BD467" t="s">
        <v>3094</v>
      </c>
      <c r="BE467">
        <v>0</v>
      </c>
      <c r="BF467">
        <v>0</v>
      </c>
      <c r="BG467">
        <v>0</v>
      </c>
      <c r="BH467">
        <v>0</v>
      </c>
      <c r="BJ467" t="s">
        <v>85</v>
      </c>
      <c r="BP467" t="s">
        <v>78</v>
      </c>
      <c r="BQ467" t="s">
        <v>78</v>
      </c>
      <c r="BR467" t="s">
        <v>78</v>
      </c>
    </row>
    <row r="468" customFormat="1" spans="1:70">
      <c r="A468" t="s">
        <v>4351</v>
      </c>
      <c r="B468" t="s">
        <v>4351</v>
      </c>
      <c r="C468" t="s">
        <v>1092</v>
      </c>
      <c r="D468" t="s">
        <v>108</v>
      </c>
      <c r="E468">
        <v>1</v>
      </c>
      <c r="F468" t="s">
        <v>3998</v>
      </c>
      <c r="G468" t="s">
        <v>1094</v>
      </c>
      <c r="H468">
        <v>289</v>
      </c>
      <c r="I468">
        <v>286</v>
      </c>
      <c r="J468">
        <v>0</v>
      </c>
      <c r="K468">
        <v>3</v>
      </c>
      <c r="L468" t="s">
        <v>137</v>
      </c>
      <c r="M468" t="s">
        <v>78</v>
      </c>
      <c r="N468" t="s">
        <v>78</v>
      </c>
      <c r="O468">
        <v>0</v>
      </c>
      <c r="P468">
        <v>0</v>
      </c>
      <c r="Q468">
        <v>0</v>
      </c>
      <c r="R468" t="s">
        <v>125</v>
      </c>
      <c r="S468">
        <v>0</v>
      </c>
      <c r="T468" t="s">
        <v>80</v>
      </c>
      <c r="U468" t="s">
        <v>80</v>
      </c>
      <c r="V468" t="s">
        <v>152</v>
      </c>
      <c r="W468" t="s">
        <v>2948</v>
      </c>
      <c r="X468" t="s">
        <v>2949</v>
      </c>
      <c r="Y468" t="s">
        <v>78</v>
      </c>
      <c r="Z468" t="s">
        <v>80</v>
      </c>
      <c r="AA468" t="s">
        <v>85</v>
      </c>
      <c r="AC468" t="s">
        <v>3159</v>
      </c>
      <c r="AD468" t="s">
        <v>87</v>
      </c>
      <c r="AF468" t="s">
        <v>3160</v>
      </c>
      <c r="AG468" t="s">
        <v>3152</v>
      </c>
      <c r="AH468" t="s">
        <v>91</v>
      </c>
      <c r="AI468" t="s">
        <v>92</v>
      </c>
      <c r="AJ468" t="s">
        <v>93</v>
      </c>
      <c r="AK468" t="s">
        <v>3161</v>
      </c>
      <c r="AL468" t="s">
        <v>95</v>
      </c>
      <c r="AM468" t="s">
        <v>96</v>
      </c>
      <c r="AN468" t="s">
        <v>97</v>
      </c>
      <c r="AO468" t="s">
        <v>98</v>
      </c>
      <c r="AP468" t="s">
        <v>78</v>
      </c>
      <c r="AQ468" t="s">
        <v>78</v>
      </c>
      <c r="AS468" t="s">
        <v>78</v>
      </c>
      <c r="AT468" t="s">
        <v>100</v>
      </c>
      <c r="AU468" t="s">
        <v>100</v>
      </c>
      <c r="AW468" t="s">
        <v>85</v>
      </c>
      <c r="AX468" t="s">
        <v>101</v>
      </c>
      <c r="AY468" t="s">
        <v>102</v>
      </c>
      <c r="AZ468" t="s">
        <v>103</v>
      </c>
      <c r="BA468" t="s">
        <v>218</v>
      </c>
      <c r="BB468" t="s">
        <v>78</v>
      </c>
      <c r="BC468" t="s">
        <v>78</v>
      </c>
      <c r="BD468" t="s">
        <v>3148</v>
      </c>
      <c r="BE468">
        <v>0</v>
      </c>
      <c r="BF468">
        <v>3</v>
      </c>
      <c r="BG468">
        <v>0</v>
      </c>
      <c r="BH468">
        <v>0</v>
      </c>
      <c r="BJ468" t="s">
        <v>85</v>
      </c>
      <c r="BP468" t="s">
        <v>78</v>
      </c>
      <c r="BQ468" t="s">
        <v>78</v>
      </c>
      <c r="BR468" t="s">
        <v>78</v>
      </c>
    </row>
    <row r="469" customFormat="1" spans="1:70">
      <c r="A469" t="s">
        <v>4352</v>
      </c>
      <c r="B469" t="s">
        <v>4352</v>
      </c>
      <c r="C469" t="s">
        <v>1092</v>
      </c>
      <c r="D469" t="s">
        <v>135</v>
      </c>
      <c r="E469">
        <v>1</v>
      </c>
      <c r="F469" t="s">
        <v>3998</v>
      </c>
      <c r="G469" t="s">
        <v>1357</v>
      </c>
      <c r="H469">
        <v>289</v>
      </c>
      <c r="I469">
        <v>289</v>
      </c>
      <c r="J469">
        <v>0</v>
      </c>
      <c r="K469">
        <v>0</v>
      </c>
      <c r="L469" t="s">
        <v>78</v>
      </c>
      <c r="M469" t="s">
        <v>78</v>
      </c>
      <c r="N469" t="s">
        <v>78</v>
      </c>
      <c r="O469">
        <v>0</v>
      </c>
      <c r="P469">
        <v>0</v>
      </c>
      <c r="Q469">
        <v>0</v>
      </c>
      <c r="R469" t="s">
        <v>111</v>
      </c>
      <c r="S469">
        <v>0</v>
      </c>
      <c r="T469" t="s">
        <v>80</v>
      </c>
      <c r="U469" t="s">
        <v>80</v>
      </c>
      <c r="V469" t="s">
        <v>302</v>
      </c>
      <c r="W469" t="s">
        <v>303</v>
      </c>
      <c r="X469" t="s">
        <v>310</v>
      </c>
      <c r="Y469" t="s">
        <v>311</v>
      </c>
      <c r="Z469" t="s">
        <v>80</v>
      </c>
      <c r="AA469" t="s">
        <v>85</v>
      </c>
      <c r="AC469" t="s">
        <v>3163</v>
      </c>
      <c r="AD469" t="s">
        <v>87</v>
      </c>
      <c r="AG469" t="s">
        <v>3139</v>
      </c>
      <c r="AH469" t="s">
        <v>91</v>
      </c>
      <c r="AI469" t="s">
        <v>92</v>
      </c>
      <c r="AJ469" t="s">
        <v>131</v>
      </c>
      <c r="AK469" t="s">
        <v>3140</v>
      </c>
      <c r="AL469" t="s">
        <v>95</v>
      </c>
      <c r="AM469" t="s">
        <v>96</v>
      </c>
      <c r="AN469" t="s">
        <v>97</v>
      </c>
      <c r="AO469" t="s">
        <v>98</v>
      </c>
      <c r="AP469" t="s">
        <v>78</v>
      </c>
      <c r="AQ469" t="s">
        <v>99</v>
      </c>
      <c r="AS469" t="s">
        <v>78</v>
      </c>
      <c r="AT469" t="s">
        <v>100</v>
      </c>
      <c r="AU469" t="s">
        <v>100</v>
      </c>
      <c r="AW469" t="s">
        <v>85</v>
      </c>
      <c r="AX469" t="s">
        <v>103</v>
      </c>
      <c r="AY469" t="s">
        <v>159</v>
      </c>
      <c r="AZ469" t="s">
        <v>103</v>
      </c>
      <c r="BA469" t="s">
        <v>104</v>
      </c>
      <c r="BB469" t="s">
        <v>78</v>
      </c>
      <c r="BC469" t="s">
        <v>78</v>
      </c>
      <c r="BE469">
        <v>0</v>
      </c>
      <c r="BF469">
        <v>0</v>
      </c>
      <c r="BG469">
        <v>0</v>
      </c>
      <c r="BH469">
        <v>0</v>
      </c>
      <c r="BJ469" t="s">
        <v>85</v>
      </c>
      <c r="BP469" t="s">
        <v>78</v>
      </c>
      <c r="BQ469" t="s">
        <v>78</v>
      </c>
      <c r="BR469" t="s">
        <v>78</v>
      </c>
    </row>
    <row r="470" customFormat="1" spans="1:70">
      <c r="A470" t="s">
        <v>4353</v>
      </c>
      <c r="B470" t="s">
        <v>4353</v>
      </c>
      <c r="C470" t="s">
        <v>1092</v>
      </c>
      <c r="D470" t="s">
        <v>108</v>
      </c>
      <c r="E470">
        <v>1</v>
      </c>
      <c r="F470" t="s">
        <v>3998</v>
      </c>
      <c r="G470" t="s">
        <v>1094</v>
      </c>
      <c r="H470">
        <v>289</v>
      </c>
      <c r="I470">
        <v>289</v>
      </c>
      <c r="J470">
        <v>0</v>
      </c>
      <c r="K470">
        <v>0</v>
      </c>
      <c r="L470" t="s">
        <v>78</v>
      </c>
      <c r="M470" t="s">
        <v>78</v>
      </c>
      <c r="N470" t="s">
        <v>78</v>
      </c>
      <c r="O470">
        <v>0</v>
      </c>
      <c r="P470">
        <v>0</v>
      </c>
      <c r="Q470">
        <v>0</v>
      </c>
      <c r="R470" t="s">
        <v>125</v>
      </c>
      <c r="S470">
        <v>0</v>
      </c>
      <c r="T470" t="s">
        <v>80</v>
      </c>
      <c r="U470" t="s">
        <v>80</v>
      </c>
      <c r="V470" t="s">
        <v>167</v>
      </c>
      <c r="W470" t="s">
        <v>285</v>
      </c>
      <c r="X470" t="s">
        <v>1284</v>
      </c>
      <c r="Y470" t="s">
        <v>3111</v>
      </c>
      <c r="Z470" t="s">
        <v>80</v>
      </c>
      <c r="AA470" t="s">
        <v>85</v>
      </c>
      <c r="AC470" t="s">
        <v>3165</v>
      </c>
      <c r="AD470" t="s">
        <v>87</v>
      </c>
      <c r="AG470" t="s">
        <v>3159</v>
      </c>
      <c r="AH470" t="s">
        <v>91</v>
      </c>
      <c r="AI470" t="s">
        <v>92</v>
      </c>
      <c r="AJ470" t="s">
        <v>131</v>
      </c>
      <c r="AK470" t="s">
        <v>3166</v>
      </c>
      <c r="AL470" t="s">
        <v>95</v>
      </c>
      <c r="AM470" t="s">
        <v>96</v>
      </c>
      <c r="AN470" t="s">
        <v>97</v>
      </c>
      <c r="AO470" t="s">
        <v>98</v>
      </c>
      <c r="AP470" t="s">
        <v>78</v>
      </c>
      <c r="AQ470" t="s">
        <v>99</v>
      </c>
      <c r="AS470" t="s">
        <v>78</v>
      </c>
      <c r="AT470" t="s">
        <v>100</v>
      </c>
      <c r="AU470" t="s">
        <v>100</v>
      </c>
      <c r="AW470" t="s">
        <v>85</v>
      </c>
      <c r="AX470" t="s">
        <v>103</v>
      </c>
      <c r="AY470" t="s">
        <v>159</v>
      </c>
      <c r="AZ470" t="s">
        <v>103</v>
      </c>
      <c r="BA470" t="s">
        <v>104</v>
      </c>
      <c r="BB470" t="s">
        <v>78</v>
      </c>
      <c r="BC470" t="s">
        <v>78</v>
      </c>
      <c r="BE470">
        <v>0</v>
      </c>
      <c r="BF470">
        <v>0</v>
      </c>
      <c r="BG470">
        <v>0</v>
      </c>
      <c r="BH470">
        <v>0</v>
      </c>
      <c r="BJ470" t="s">
        <v>85</v>
      </c>
      <c r="BP470" t="s">
        <v>78</v>
      </c>
      <c r="BQ470" t="s">
        <v>78</v>
      </c>
      <c r="BR470" t="s">
        <v>78</v>
      </c>
    </row>
    <row r="471" customFormat="1" spans="1:70">
      <c r="A471" t="s">
        <v>4354</v>
      </c>
      <c r="B471" t="s">
        <v>4354</v>
      </c>
      <c r="C471" t="s">
        <v>1092</v>
      </c>
      <c r="D471" t="s">
        <v>1391</v>
      </c>
      <c r="E471">
        <v>1</v>
      </c>
      <c r="F471" t="s">
        <v>3998</v>
      </c>
      <c r="G471" t="s">
        <v>1392</v>
      </c>
      <c r="H471">
        <v>289</v>
      </c>
      <c r="I471">
        <v>289</v>
      </c>
      <c r="J471">
        <v>0</v>
      </c>
      <c r="K471">
        <v>0</v>
      </c>
      <c r="L471" t="s">
        <v>78</v>
      </c>
      <c r="M471" t="s">
        <v>78</v>
      </c>
      <c r="N471" t="s">
        <v>78</v>
      </c>
      <c r="O471">
        <v>0</v>
      </c>
      <c r="P471">
        <v>0</v>
      </c>
      <c r="Q471">
        <v>0</v>
      </c>
      <c r="R471" t="s">
        <v>111</v>
      </c>
      <c r="S471">
        <v>0</v>
      </c>
      <c r="T471" t="s">
        <v>80</v>
      </c>
      <c r="U471" t="s">
        <v>80</v>
      </c>
      <c r="V471" t="s">
        <v>302</v>
      </c>
      <c r="W471" t="s">
        <v>303</v>
      </c>
      <c r="X471" t="s">
        <v>310</v>
      </c>
      <c r="Y471" t="s">
        <v>311</v>
      </c>
      <c r="Z471" t="s">
        <v>80</v>
      </c>
      <c r="AA471" t="s">
        <v>85</v>
      </c>
      <c r="AC471" t="s">
        <v>3168</v>
      </c>
      <c r="AD471" t="s">
        <v>87</v>
      </c>
      <c r="AG471" t="s">
        <v>3169</v>
      </c>
      <c r="AH471" t="s">
        <v>91</v>
      </c>
      <c r="AI471" t="s">
        <v>92</v>
      </c>
      <c r="AJ471" t="s">
        <v>131</v>
      </c>
      <c r="AK471" t="s">
        <v>3170</v>
      </c>
      <c r="AL471" t="s">
        <v>95</v>
      </c>
      <c r="AM471" t="s">
        <v>96</v>
      </c>
      <c r="AN471" t="s">
        <v>97</v>
      </c>
      <c r="AO471" t="s">
        <v>98</v>
      </c>
      <c r="AP471" t="s">
        <v>78</v>
      </c>
      <c r="AQ471" t="s">
        <v>99</v>
      </c>
      <c r="AS471" t="s">
        <v>78</v>
      </c>
      <c r="AT471" t="s">
        <v>100</v>
      </c>
      <c r="AU471" t="s">
        <v>100</v>
      </c>
      <c r="AW471" t="s">
        <v>85</v>
      </c>
      <c r="AX471" t="s">
        <v>103</v>
      </c>
      <c r="AY471" t="s">
        <v>159</v>
      </c>
      <c r="AZ471" t="s">
        <v>103</v>
      </c>
      <c r="BA471" t="s">
        <v>104</v>
      </c>
      <c r="BB471" t="s">
        <v>78</v>
      </c>
      <c r="BC471" t="s">
        <v>78</v>
      </c>
      <c r="BE471">
        <v>0</v>
      </c>
      <c r="BF471">
        <v>0</v>
      </c>
      <c r="BG471">
        <v>0</v>
      </c>
      <c r="BH471">
        <v>0</v>
      </c>
      <c r="BJ471" t="s">
        <v>85</v>
      </c>
      <c r="BP471" t="s">
        <v>78</v>
      </c>
      <c r="BQ471" t="s">
        <v>78</v>
      </c>
      <c r="BR471" t="s">
        <v>78</v>
      </c>
    </row>
    <row r="472" customFormat="1" spans="1:70">
      <c r="A472" t="s">
        <v>4355</v>
      </c>
      <c r="B472" t="s">
        <v>4355</v>
      </c>
      <c r="C472" t="s">
        <v>1092</v>
      </c>
      <c r="D472" t="s">
        <v>135</v>
      </c>
      <c r="E472">
        <v>1</v>
      </c>
      <c r="F472" t="s">
        <v>3998</v>
      </c>
      <c r="G472" t="s">
        <v>1357</v>
      </c>
      <c r="H472">
        <v>289</v>
      </c>
      <c r="I472">
        <v>289</v>
      </c>
      <c r="J472">
        <v>0</v>
      </c>
      <c r="K472">
        <v>0</v>
      </c>
      <c r="L472" t="s">
        <v>78</v>
      </c>
      <c r="M472" t="s">
        <v>78</v>
      </c>
      <c r="N472" t="s">
        <v>78</v>
      </c>
      <c r="O472">
        <v>0</v>
      </c>
      <c r="P472">
        <v>0</v>
      </c>
      <c r="Q472">
        <v>0</v>
      </c>
      <c r="R472" t="s">
        <v>79</v>
      </c>
      <c r="S472">
        <v>0</v>
      </c>
      <c r="T472" t="s">
        <v>80</v>
      </c>
      <c r="U472" t="s">
        <v>80</v>
      </c>
      <c r="V472" t="s">
        <v>112</v>
      </c>
      <c r="W472" t="s">
        <v>3172</v>
      </c>
      <c r="X472" t="s">
        <v>3173</v>
      </c>
      <c r="Y472" t="s">
        <v>3174</v>
      </c>
      <c r="Z472" t="s">
        <v>80</v>
      </c>
      <c r="AA472" t="s">
        <v>85</v>
      </c>
      <c r="AC472" t="s">
        <v>3175</v>
      </c>
      <c r="AD472" t="s">
        <v>87</v>
      </c>
      <c r="AF472" t="s">
        <v>3176</v>
      </c>
      <c r="AG472" t="s">
        <v>3177</v>
      </c>
      <c r="AH472" t="s">
        <v>91</v>
      </c>
      <c r="AI472" t="s">
        <v>92</v>
      </c>
      <c r="AJ472" t="s">
        <v>93</v>
      </c>
      <c r="AK472" t="s">
        <v>3178</v>
      </c>
      <c r="AL472" t="s">
        <v>95</v>
      </c>
      <c r="AM472" t="s">
        <v>96</v>
      </c>
      <c r="AN472" t="s">
        <v>97</v>
      </c>
      <c r="AO472" t="s">
        <v>98</v>
      </c>
      <c r="AP472" t="s">
        <v>78</v>
      </c>
      <c r="AQ472" t="s">
        <v>78</v>
      </c>
      <c r="AS472" t="s">
        <v>78</v>
      </c>
      <c r="AT472" t="s">
        <v>100</v>
      </c>
      <c r="AU472" t="s">
        <v>100</v>
      </c>
      <c r="AW472" t="s">
        <v>85</v>
      </c>
      <c r="AX472" t="s">
        <v>101</v>
      </c>
      <c r="AY472" t="s">
        <v>102</v>
      </c>
      <c r="AZ472" t="s">
        <v>103</v>
      </c>
      <c r="BA472" t="s">
        <v>133</v>
      </c>
      <c r="BB472" t="s">
        <v>78</v>
      </c>
      <c r="BC472" t="s">
        <v>78</v>
      </c>
      <c r="BD472" t="s">
        <v>3179</v>
      </c>
      <c r="BE472">
        <v>0</v>
      </c>
      <c r="BF472">
        <v>0</v>
      </c>
      <c r="BG472">
        <v>0</v>
      </c>
      <c r="BH472">
        <v>0</v>
      </c>
      <c r="BJ472" t="s">
        <v>85</v>
      </c>
      <c r="BP472" t="s">
        <v>78</v>
      </c>
      <c r="BQ472" t="s">
        <v>78</v>
      </c>
      <c r="BR472" t="s">
        <v>78</v>
      </c>
    </row>
    <row r="473" customFormat="1" spans="1:70">
      <c r="A473" t="s">
        <v>4356</v>
      </c>
      <c r="B473" t="s">
        <v>4356</v>
      </c>
      <c r="C473" t="s">
        <v>1092</v>
      </c>
      <c r="D473" t="s">
        <v>108</v>
      </c>
      <c r="E473">
        <v>1</v>
      </c>
      <c r="F473" t="s">
        <v>3998</v>
      </c>
      <c r="G473" t="s">
        <v>1094</v>
      </c>
      <c r="H473">
        <v>289</v>
      </c>
      <c r="I473">
        <v>289</v>
      </c>
      <c r="J473">
        <v>0</v>
      </c>
      <c r="K473">
        <v>0</v>
      </c>
      <c r="L473" t="s">
        <v>78</v>
      </c>
      <c r="M473" t="s">
        <v>78</v>
      </c>
      <c r="N473" t="s">
        <v>78</v>
      </c>
      <c r="O473">
        <v>0</v>
      </c>
      <c r="P473">
        <v>0</v>
      </c>
      <c r="Q473">
        <v>0</v>
      </c>
      <c r="R473" t="s">
        <v>79</v>
      </c>
      <c r="S473">
        <v>0</v>
      </c>
      <c r="T473" t="s">
        <v>80</v>
      </c>
      <c r="U473" t="s">
        <v>80</v>
      </c>
      <c r="V473" t="s">
        <v>464</v>
      </c>
      <c r="W473" t="s">
        <v>1460</v>
      </c>
      <c r="X473" t="s">
        <v>2733</v>
      </c>
      <c r="Y473" t="s">
        <v>2734</v>
      </c>
      <c r="Z473" t="s">
        <v>80</v>
      </c>
      <c r="AA473" t="s">
        <v>85</v>
      </c>
      <c r="AC473" t="s">
        <v>3181</v>
      </c>
      <c r="AD473" t="s">
        <v>202</v>
      </c>
      <c r="AE473" t="s">
        <v>3182</v>
      </c>
      <c r="AG473" t="s">
        <v>3183</v>
      </c>
      <c r="AH473" t="s">
        <v>91</v>
      </c>
      <c r="AI473" t="s">
        <v>92</v>
      </c>
      <c r="AJ473" t="s">
        <v>131</v>
      </c>
      <c r="AK473" t="s">
        <v>3184</v>
      </c>
      <c r="AL473" t="s">
        <v>95</v>
      </c>
      <c r="AM473" t="s">
        <v>96</v>
      </c>
      <c r="AN473" t="s">
        <v>97</v>
      </c>
      <c r="AO473" t="s">
        <v>98</v>
      </c>
      <c r="AP473" t="s">
        <v>78</v>
      </c>
      <c r="AQ473" t="s">
        <v>99</v>
      </c>
      <c r="AS473" t="s">
        <v>78</v>
      </c>
      <c r="AT473" t="s">
        <v>100</v>
      </c>
      <c r="AU473" t="s">
        <v>100</v>
      </c>
      <c r="AW473" t="s">
        <v>85</v>
      </c>
      <c r="AX473" t="s">
        <v>103</v>
      </c>
      <c r="AY473" t="s">
        <v>159</v>
      </c>
      <c r="AZ473" t="s">
        <v>103</v>
      </c>
      <c r="BA473" t="s">
        <v>104</v>
      </c>
      <c r="BB473" t="s">
        <v>78</v>
      </c>
      <c r="BC473" t="s">
        <v>78</v>
      </c>
      <c r="BD473" t="s">
        <v>3185</v>
      </c>
      <c r="BE473">
        <v>0</v>
      </c>
      <c r="BF473">
        <v>0</v>
      </c>
      <c r="BG473">
        <v>0</v>
      </c>
      <c r="BH473">
        <v>0</v>
      </c>
      <c r="BJ473" t="s">
        <v>85</v>
      </c>
      <c r="BP473" t="s">
        <v>78</v>
      </c>
      <c r="BQ473" t="s">
        <v>78</v>
      </c>
      <c r="BR473" t="s">
        <v>78</v>
      </c>
    </row>
    <row r="474" customFormat="1" spans="1:70">
      <c r="A474" t="s">
        <v>4357</v>
      </c>
      <c r="B474" t="s">
        <v>4357</v>
      </c>
      <c r="C474" t="s">
        <v>1092</v>
      </c>
      <c r="D474" t="s">
        <v>123</v>
      </c>
      <c r="E474">
        <v>1</v>
      </c>
      <c r="F474" t="s">
        <v>3998</v>
      </c>
      <c r="G474" t="s">
        <v>1986</v>
      </c>
      <c r="H474">
        <v>289</v>
      </c>
      <c r="I474">
        <v>289</v>
      </c>
      <c r="J474">
        <v>0</v>
      </c>
      <c r="K474">
        <v>0</v>
      </c>
      <c r="L474" t="s">
        <v>78</v>
      </c>
      <c r="M474" t="s">
        <v>78</v>
      </c>
      <c r="N474" t="s">
        <v>78</v>
      </c>
      <c r="O474">
        <v>0</v>
      </c>
      <c r="P474">
        <v>0</v>
      </c>
      <c r="Q474">
        <v>0</v>
      </c>
      <c r="R474" t="s">
        <v>125</v>
      </c>
      <c r="S474">
        <v>0</v>
      </c>
      <c r="T474" t="s">
        <v>80</v>
      </c>
      <c r="U474" t="s">
        <v>80</v>
      </c>
      <c r="V474" t="s">
        <v>447</v>
      </c>
      <c r="W474" t="s">
        <v>1601</v>
      </c>
      <c r="X474" t="s">
        <v>1602</v>
      </c>
      <c r="Y474" t="s">
        <v>78</v>
      </c>
      <c r="Z474" t="s">
        <v>80</v>
      </c>
      <c r="AA474" t="s">
        <v>85</v>
      </c>
      <c r="AC474" t="s">
        <v>3187</v>
      </c>
      <c r="AD474" t="s">
        <v>87</v>
      </c>
      <c r="AF474" t="s">
        <v>3188</v>
      </c>
      <c r="AG474" t="s">
        <v>3189</v>
      </c>
      <c r="AH474" t="s">
        <v>91</v>
      </c>
      <c r="AI474" t="s">
        <v>92</v>
      </c>
      <c r="AJ474" t="s">
        <v>93</v>
      </c>
      <c r="AK474" t="s">
        <v>3184</v>
      </c>
      <c r="AL474" t="s">
        <v>95</v>
      </c>
      <c r="AM474" t="s">
        <v>96</v>
      </c>
      <c r="AN474" t="s">
        <v>97</v>
      </c>
      <c r="AO474" t="s">
        <v>98</v>
      </c>
      <c r="AP474" t="s">
        <v>78</v>
      </c>
      <c r="AQ474" t="s">
        <v>78</v>
      </c>
      <c r="AS474" t="s">
        <v>78</v>
      </c>
      <c r="AT474" t="s">
        <v>100</v>
      </c>
      <c r="AU474" t="s">
        <v>100</v>
      </c>
      <c r="AW474" t="s">
        <v>85</v>
      </c>
      <c r="AX474" t="s">
        <v>101</v>
      </c>
      <c r="AY474" t="s">
        <v>102</v>
      </c>
      <c r="AZ474" t="s">
        <v>103</v>
      </c>
      <c r="BA474" t="s">
        <v>419</v>
      </c>
      <c r="BB474" t="s">
        <v>78</v>
      </c>
      <c r="BC474" t="s">
        <v>78</v>
      </c>
      <c r="BD474" t="s">
        <v>3190</v>
      </c>
      <c r="BE474">
        <v>0</v>
      </c>
      <c r="BF474">
        <v>0</v>
      </c>
      <c r="BG474">
        <v>0</v>
      </c>
      <c r="BH474">
        <v>0</v>
      </c>
      <c r="BJ474" t="s">
        <v>85</v>
      </c>
      <c r="BP474" t="s">
        <v>78</v>
      </c>
      <c r="BQ474" t="s">
        <v>78</v>
      </c>
      <c r="BR474" t="s">
        <v>78</v>
      </c>
    </row>
    <row r="475" customFormat="1" spans="1:70">
      <c r="A475" t="s">
        <v>4358</v>
      </c>
      <c r="B475" t="s">
        <v>4358</v>
      </c>
      <c r="C475" t="s">
        <v>1092</v>
      </c>
      <c r="D475" t="s">
        <v>108</v>
      </c>
      <c r="E475">
        <v>1</v>
      </c>
      <c r="F475" t="s">
        <v>3998</v>
      </c>
      <c r="G475" t="s">
        <v>1094</v>
      </c>
      <c r="H475">
        <v>289</v>
      </c>
      <c r="I475">
        <v>289</v>
      </c>
      <c r="J475">
        <v>0</v>
      </c>
      <c r="K475">
        <v>0</v>
      </c>
      <c r="L475" t="s">
        <v>78</v>
      </c>
      <c r="M475" t="s">
        <v>78</v>
      </c>
      <c r="N475" t="s">
        <v>78</v>
      </c>
      <c r="O475">
        <v>0</v>
      </c>
      <c r="P475">
        <v>0</v>
      </c>
      <c r="Q475">
        <v>0</v>
      </c>
      <c r="R475" t="s">
        <v>125</v>
      </c>
      <c r="S475">
        <v>0</v>
      </c>
      <c r="T475" t="s">
        <v>80</v>
      </c>
      <c r="U475" t="s">
        <v>80</v>
      </c>
      <c r="V475" t="s">
        <v>112</v>
      </c>
      <c r="W475" t="s">
        <v>113</v>
      </c>
      <c r="X475" t="s">
        <v>114</v>
      </c>
      <c r="Y475" t="s">
        <v>115</v>
      </c>
      <c r="Z475" t="s">
        <v>80</v>
      </c>
      <c r="AA475" t="s">
        <v>85</v>
      </c>
      <c r="AC475" t="s">
        <v>3192</v>
      </c>
      <c r="AD475" t="s">
        <v>87</v>
      </c>
      <c r="AH475" t="s">
        <v>91</v>
      </c>
      <c r="AI475" t="s">
        <v>92</v>
      </c>
      <c r="AJ475" t="s">
        <v>131</v>
      </c>
      <c r="AK475" t="s">
        <v>3193</v>
      </c>
      <c r="AL475" t="s">
        <v>95</v>
      </c>
      <c r="AM475" t="s">
        <v>96</v>
      </c>
      <c r="AN475" t="s">
        <v>97</v>
      </c>
      <c r="AO475" t="s">
        <v>98</v>
      </c>
      <c r="AP475" t="s">
        <v>78</v>
      </c>
      <c r="AQ475" t="s">
        <v>78</v>
      </c>
      <c r="AR475" t="s">
        <v>195</v>
      </c>
      <c r="AS475" t="s">
        <v>78</v>
      </c>
      <c r="AT475" t="s">
        <v>100</v>
      </c>
      <c r="AU475" t="s">
        <v>100</v>
      </c>
      <c r="AW475" t="s">
        <v>85</v>
      </c>
      <c r="AX475" t="s">
        <v>101</v>
      </c>
      <c r="AY475" t="s">
        <v>102</v>
      </c>
      <c r="AZ475" t="s">
        <v>103</v>
      </c>
      <c r="BA475" t="s">
        <v>102</v>
      </c>
      <c r="BB475" t="s">
        <v>78</v>
      </c>
      <c r="BC475" t="s">
        <v>78</v>
      </c>
      <c r="BE475">
        <v>0</v>
      </c>
      <c r="BF475">
        <v>0</v>
      </c>
      <c r="BG475">
        <v>0</v>
      </c>
      <c r="BH475">
        <v>0</v>
      </c>
      <c r="BJ475" t="s">
        <v>85</v>
      </c>
      <c r="BP475" t="s">
        <v>78</v>
      </c>
      <c r="BQ475" t="s">
        <v>78</v>
      </c>
      <c r="BR475" t="s">
        <v>78</v>
      </c>
    </row>
    <row r="476" customFormat="1" spans="1:70">
      <c r="A476" t="s">
        <v>4359</v>
      </c>
      <c r="B476" t="s">
        <v>4359</v>
      </c>
      <c r="C476" t="s">
        <v>1092</v>
      </c>
      <c r="D476" t="s">
        <v>108</v>
      </c>
      <c r="E476">
        <v>1</v>
      </c>
      <c r="F476" t="s">
        <v>3998</v>
      </c>
      <c r="G476" t="s">
        <v>1094</v>
      </c>
      <c r="H476">
        <v>289</v>
      </c>
      <c r="I476">
        <v>289</v>
      </c>
      <c r="J476">
        <v>0</v>
      </c>
      <c r="K476">
        <v>0</v>
      </c>
      <c r="L476" t="s">
        <v>78</v>
      </c>
      <c r="M476" t="s">
        <v>78</v>
      </c>
      <c r="N476" t="s">
        <v>78</v>
      </c>
      <c r="O476">
        <v>0</v>
      </c>
      <c r="P476">
        <v>0</v>
      </c>
      <c r="Q476">
        <v>0</v>
      </c>
      <c r="R476" t="s">
        <v>79</v>
      </c>
      <c r="S476">
        <v>0</v>
      </c>
      <c r="T476" t="s">
        <v>80</v>
      </c>
      <c r="U476" t="s">
        <v>80</v>
      </c>
      <c r="V476" t="s">
        <v>178</v>
      </c>
      <c r="W476" t="s">
        <v>178</v>
      </c>
      <c r="X476" t="s">
        <v>293</v>
      </c>
      <c r="Y476" t="s">
        <v>294</v>
      </c>
      <c r="Z476" t="s">
        <v>80</v>
      </c>
      <c r="AA476" t="s">
        <v>85</v>
      </c>
      <c r="AC476" t="s">
        <v>3195</v>
      </c>
      <c r="AD476" t="s">
        <v>202</v>
      </c>
      <c r="AE476" t="s">
        <v>3196</v>
      </c>
      <c r="AG476" t="s">
        <v>3197</v>
      </c>
      <c r="AH476" t="s">
        <v>298</v>
      </c>
      <c r="AI476" t="s">
        <v>92</v>
      </c>
      <c r="AJ476" t="s">
        <v>131</v>
      </c>
      <c r="AK476" t="s">
        <v>3198</v>
      </c>
      <c r="AL476" t="s">
        <v>95</v>
      </c>
      <c r="AM476" t="s">
        <v>96</v>
      </c>
      <c r="AN476" t="s">
        <v>97</v>
      </c>
      <c r="AO476" t="s">
        <v>98</v>
      </c>
      <c r="AP476" t="s">
        <v>78</v>
      </c>
      <c r="AQ476" t="s">
        <v>99</v>
      </c>
      <c r="AS476" t="s">
        <v>78</v>
      </c>
      <c r="AT476" t="s">
        <v>100</v>
      </c>
      <c r="AU476" t="s">
        <v>100</v>
      </c>
      <c r="AW476" t="s">
        <v>85</v>
      </c>
      <c r="AX476" t="s">
        <v>101</v>
      </c>
      <c r="AY476" t="s">
        <v>102</v>
      </c>
      <c r="AZ476" t="s">
        <v>103</v>
      </c>
      <c r="BA476" t="s">
        <v>104</v>
      </c>
      <c r="BB476" t="s">
        <v>78</v>
      </c>
      <c r="BC476" t="s">
        <v>78</v>
      </c>
      <c r="BD476" t="s">
        <v>3185</v>
      </c>
      <c r="BE476">
        <v>0</v>
      </c>
      <c r="BF476">
        <v>0</v>
      </c>
      <c r="BG476">
        <v>0</v>
      </c>
      <c r="BH476">
        <v>0</v>
      </c>
      <c r="BJ476" t="s">
        <v>85</v>
      </c>
      <c r="BP476" t="s">
        <v>78</v>
      </c>
      <c r="BQ476" t="s">
        <v>78</v>
      </c>
      <c r="BR476" t="s">
        <v>78</v>
      </c>
    </row>
    <row r="477" customFormat="1" spans="1:70">
      <c r="A477" s="21" t="s">
        <v>4360</v>
      </c>
      <c r="B477" t="s">
        <v>4360</v>
      </c>
      <c r="C477" t="s">
        <v>1092</v>
      </c>
      <c r="D477" t="s">
        <v>108</v>
      </c>
      <c r="E477">
        <v>1</v>
      </c>
      <c r="F477" t="s">
        <v>3998</v>
      </c>
      <c r="G477" t="s">
        <v>1094</v>
      </c>
      <c r="H477">
        <v>289</v>
      </c>
      <c r="I477">
        <v>289</v>
      </c>
      <c r="J477">
        <v>0</v>
      </c>
      <c r="K477">
        <v>0</v>
      </c>
      <c r="L477" t="s">
        <v>78</v>
      </c>
      <c r="M477" t="s">
        <v>78</v>
      </c>
      <c r="N477" t="s">
        <v>78</v>
      </c>
      <c r="O477">
        <v>0</v>
      </c>
      <c r="P477">
        <v>0</v>
      </c>
      <c r="Q477">
        <v>0</v>
      </c>
      <c r="R477" t="s">
        <v>79</v>
      </c>
      <c r="S477">
        <v>0</v>
      </c>
      <c r="T477" t="s">
        <v>80</v>
      </c>
      <c r="U477" t="s">
        <v>80</v>
      </c>
      <c r="V477" t="s">
        <v>302</v>
      </c>
      <c r="W477" t="s">
        <v>1394</v>
      </c>
      <c r="X477" t="s">
        <v>2696</v>
      </c>
      <c r="Y477" t="s">
        <v>2697</v>
      </c>
      <c r="Z477" t="s">
        <v>80</v>
      </c>
      <c r="AA477" t="s">
        <v>85</v>
      </c>
      <c r="AC477" t="s">
        <v>3200</v>
      </c>
      <c r="AD477" t="s">
        <v>87</v>
      </c>
      <c r="AF477" t="s">
        <v>3201</v>
      </c>
      <c r="AG477" t="s">
        <v>3197</v>
      </c>
      <c r="AH477" t="s">
        <v>2699</v>
      </c>
      <c r="AI477" t="s">
        <v>92</v>
      </c>
      <c r="AJ477" t="s">
        <v>93</v>
      </c>
      <c r="AK477" t="s">
        <v>3202</v>
      </c>
      <c r="AL477" t="s">
        <v>95</v>
      </c>
      <c r="AM477" t="s">
        <v>96</v>
      </c>
      <c r="AN477" t="s">
        <v>97</v>
      </c>
      <c r="AO477" t="s">
        <v>98</v>
      </c>
      <c r="AP477" t="s">
        <v>78</v>
      </c>
      <c r="AQ477" t="s">
        <v>78</v>
      </c>
      <c r="AS477" t="s">
        <v>78</v>
      </c>
      <c r="AT477" t="s">
        <v>100</v>
      </c>
      <c r="AU477" t="s">
        <v>100</v>
      </c>
      <c r="AW477" t="s">
        <v>85</v>
      </c>
      <c r="AX477" t="s">
        <v>101</v>
      </c>
      <c r="AY477" t="s">
        <v>102</v>
      </c>
      <c r="AZ477" t="s">
        <v>103</v>
      </c>
      <c r="BA477" t="s">
        <v>102</v>
      </c>
      <c r="BB477" t="s">
        <v>78</v>
      </c>
      <c r="BC477" t="s">
        <v>78</v>
      </c>
      <c r="BD477" t="s">
        <v>3185</v>
      </c>
      <c r="BE477">
        <v>0</v>
      </c>
      <c r="BF477">
        <v>0</v>
      </c>
      <c r="BG477">
        <v>0</v>
      </c>
      <c r="BH477">
        <v>0</v>
      </c>
      <c r="BJ477" t="s">
        <v>85</v>
      </c>
      <c r="BP477" t="s">
        <v>78</v>
      </c>
      <c r="BQ477" t="s">
        <v>78</v>
      </c>
      <c r="BR477" t="s">
        <v>78</v>
      </c>
    </row>
    <row r="478" customFormat="1" spans="1:70">
      <c r="A478" t="s">
        <v>4361</v>
      </c>
      <c r="B478" t="s">
        <v>4361</v>
      </c>
      <c r="C478" t="s">
        <v>1092</v>
      </c>
      <c r="D478" t="s">
        <v>135</v>
      </c>
      <c r="E478">
        <v>1</v>
      </c>
      <c r="F478" t="s">
        <v>3998</v>
      </c>
      <c r="G478" t="s">
        <v>1357</v>
      </c>
      <c r="H478">
        <v>289</v>
      </c>
      <c r="I478">
        <v>289</v>
      </c>
      <c r="J478">
        <v>0</v>
      </c>
      <c r="K478">
        <v>0</v>
      </c>
      <c r="L478" t="s">
        <v>78</v>
      </c>
      <c r="M478" t="s">
        <v>78</v>
      </c>
      <c r="N478" t="s">
        <v>78</v>
      </c>
      <c r="O478">
        <v>0</v>
      </c>
      <c r="P478">
        <v>0</v>
      </c>
      <c r="Q478">
        <v>0</v>
      </c>
      <c r="R478" t="s">
        <v>111</v>
      </c>
      <c r="S478">
        <v>0</v>
      </c>
      <c r="T478" t="s">
        <v>80</v>
      </c>
      <c r="U478" t="s">
        <v>80</v>
      </c>
      <c r="V478" t="s">
        <v>189</v>
      </c>
      <c r="W478" t="s">
        <v>190</v>
      </c>
      <c r="X478" t="s">
        <v>320</v>
      </c>
      <c r="Y478" t="s">
        <v>321</v>
      </c>
      <c r="Z478" t="s">
        <v>80</v>
      </c>
      <c r="AA478" t="s">
        <v>85</v>
      </c>
      <c r="AC478" t="s">
        <v>3204</v>
      </c>
      <c r="AD478" t="s">
        <v>87</v>
      </c>
      <c r="AG478" t="s">
        <v>3192</v>
      </c>
      <c r="AH478" t="s">
        <v>2711</v>
      </c>
      <c r="AI478" t="s">
        <v>92</v>
      </c>
      <c r="AJ478" t="s">
        <v>131</v>
      </c>
      <c r="AK478" t="s">
        <v>3193</v>
      </c>
      <c r="AL478" t="s">
        <v>95</v>
      </c>
      <c r="AM478" t="s">
        <v>96</v>
      </c>
      <c r="AN478" t="s">
        <v>97</v>
      </c>
      <c r="AO478" t="s">
        <v>98</v>
      </c>
      <c r="AP478" t="s">
        <v>78</v>
      </c>
      <c r="AQ478" t="s">
        <v>99</v>
      </c>
      <c r="AS478" t="s">
        <v>78</v>
      </c>
      <c r="AT478" t="s">
        <v>100</v>
      </c>
      <c r="AU478" t="s">
        <v>100</v>
      </c>
      <c r="AW478" t="s">
        <v>85</v>
      </c>
      <c r="AX478" t="s">
        <v>103</v>
      </c>
      <c r="AY478" t="s">
        <v>159</v>
      </c>
      <c r="AZ478" t="s">
        <v>103</v>
      </c>
      <c r="BA478" t="s">
        <v>102</v>
      </c>
      <c r="BB478" t="s">
        <v>78</v>
      </c>
      <c r="BC478" t="s">
        <v>78</v>
      </c>
      <c r="BE478">
        <v>0</v>
      </c>
      <c r="BF478">
        <v>0</v>
      </c>
      <c r="BG478">
        <v>0</v>
      </c>
      <c r="BH478">
        <v>0</v>
      </c>
      <c r="BJ478" t="s">
        <v>85</v>
      </c>
      <c r="BP478" t="s">
        <v>78</v>
      </c>
      <c r="BQ478" t="s">
        <v>78</v>
      </c>
      <c r="BR478" t="s">
        <v>78</v>
      </c>
    </row>
    <row r="479" customFormat="1" spans="1:70">
      <c r="A479" t="s">
        <v>4362</v>
      </c>
      <c r="B479" t="s">
        <v>4362</v>
      </c>
      <c r="C479" t="s">
        <v>107</v>
      </c>
      <c r="D479" t="s">
        <v>108</v>
      </c>
      <c r="E479">
        <v>1</v>
      </c>
      <c r="F479" t="s">
        <v>3857</v>
      </c>
      <c r="G479" t="s">
        <v>110</v>
      </c>
      <c r="H479">
        <v>289</v>
      </c>
      <c r="I479">
        <v>289</v>
      </c>
      <c r="J479">
        <v>0</v>
      </c>
      <c r="K479">
        <v>0</v>
      </c>
      <c r="L479" t="s">
        <v>78</v>
      </c>
      <c r="M479" t="s">
        <v>78</v>
      </c>
      <c r="N479" t="s">
        <v>78</v>
      </c>
      <c r="O479">
        <v>0</v>
      </c>
      <c r="P479">
        <v>0</v>
      </c>
      <c r="Q479">
        <v>0</v>
      </c>
      <c r="R479" t="s">
        <v>125</v>
      </c>
      <c r="S479">
        <v>0</v>
      </c>
      <c r="T479" t="s">
        <v>80</v>
      </c>
      <c r="U479" t="s">
        <v>80</v>
      </c>
      <c r="V479" t="s">
        <v>126</v>
      </c>
      <c r="W479" t="s">
        <v>1748</v>
      </c>
      <c r="X479" t="s">
        <v>3206</v>
      </c>
      <c r="Y479" t="s">
        <v>3207</v>
      </c>
      <c r="Z479" t="s">
        <v>80</v>
      </c>
      <c r="AA479" t="s">
        <v>85</v>
      </c>
      <c r="AC479" t="s">
        <v>3208</v>
      </c>
      <c r="AD479" t="s">
        <v>87</v>
      </c>
      <c r="AH479" t="s">
        <v>227</v>
      </c>
      <c r="AI479" t="s">
        <v>92</v>
      </c>
      <c r="AJ479" t="s">
        <v>131</v>
      </c>
      <c r="AK479" t="s">
        <v>3209</v>
      </c>
      <c r="AL479" t="s">
        <v>95</v>
      </c>
      <c r="AM479" t="s">
        <v>96</v>
      </c>
      <c r="AN479" t="s">
        <v>97</v>
      </c>
      <c r="AO479" t="s">
        <v>98</v>
      </c>
      <c r="AP479" t="s">
        <v>78</v>
      </c>
      <c r="AQ479" t="s">
        <v>78</v>
      </c>
      <c r="AR479" t="s">
        <v>672</v>
      </c>
      <c r="AS479" t="s">
        <v>78</v>
      </c>
      <c r="AT479" t="s">
        <v>100</v>
      </c>
      <c r="AU479" t="s">
        <v>100</v>
      </c>
      <c r="AW479" t="s">
        <v>85</v>
      </c>
      <c r="AX479" t="s">
        <v>103</v>
      </c>
      <c r="AY479" t="s">
        <v>159</v>
      </c>
      <c r="AZ479" t="s">
        <v>103</v>
      </c>
      <c r="BA479" t="s">
        <v>104</v>
      </c>
      <c r="BB479" t="s">
        <v>78</v>
      </c>
      <c r="BC479" t="s">
        <v>78</v>
      </c>
      <c r="BE479">
        <v>0</v>
      </c>
      <c r="BF479">
        <v>0</v>
      </c>
      <c r="BG479">
        <v>0</v>
      </c>
      <c r="BH479">
        <v>0</v>
      </c>
      <c r="BJ479" t="s">
        <v>85</v>
      </c>
      <c r="BP479" t="s">
        <v>78</v>
      </c>
      <c r="BQ479" t="s">
        <v>78</v>
      </c>
      <c r="BR479" t="s">
        <v>78</v>
      </c>
    </row>
    <row r="480" customFormat="1" spans="1:70">
      <c r="A480" t="s">
        <v>4363</v>
      </c>
      <c r="B480" t="s">
        <v>4363</v>
      </c>
      <c r="C480" t="s">
        <v>1092</v>
      </c>
      <c r="D480" t="s">
        <v>3085</v>
      </c>
      <c r="E480">
        <v>1</v>
      </c>
      <c r="F480" t="s">
        <v>3998</v>
      </c>
      <c r="G480" t="s">
        <v>3086</v>
      </c>
      <c r="H480" s="20">
        <v>9999</v>
      </c>
      <c r="I480" s="20">
        <v>9999</v>
      </c>
      <c r="J480">
        <v>0</v>
      </c>
      <c r="K480">
        <v>0</v>
      </c>
      <c r="L480" t="s">
        <v>78</v>
      </c>
      <c r="M480" t="s">
        <v>78</v>
      </c>
      <c r="N480" t="s">
        <v>78</v>
      </c>
      <c r="O480">
        <v>0</v>
      </c>
      <c r="P480">
        <v>0</v>
      </c>
      <c r="Q480">
        <v>0</v>
      </c>
      <c r="R480" t="s">
        <v>125</v>
      </c>
      <c r="S480">
        <v>0</v>
      </c>
      <c r="T480" t="s">
        <v>80</v>
      </c>
      <c r="U480" t="s">
        <v>80</v>
      </c>
      <c r="V480" t="s">
        <v>302</v>
      </c>
      <c r="W480" t="s">
        <v>412</v>
      </c>
      <c r="X480" t="s">
        <v>3211</v>
      </c>
      <c r="Y480" t="s">
        <v>3212</v>
      </c>
      <c r="Z480" t="s">
        <v>80</v>
      </c>
      <c r="AA480" t="s">
        <v>85</v>
      </c>
      <c r="AC480" t="s">
        <v>3213</v>
      </c>
      <c r="AD480" t="s">
        <v>87</v>
      </c>
      <c r="AH480" t="s">
        <v>183</v>
      </c>
      <c r="AI480" t="s">
        <v>92</v>
      </c>
      <c r="AJ480" t="s">
        <v>131</v>
      </c>
      <c r="AK480" t="s">
        <v>3214</v>
      </c>
      <c r="AL480" t="s">
        <v>95</v>
      </c>
      <c r="AM480" t="s">
        <v>96</v>
      </c>
      <c r="AN480" t="s">
        <v>97</v>
      </c>
      <c r="AO480" t="s">
        <v>98</v>
      </c>
      <c r="AP480" t="s">
        <v>78</v>
      </c>
      <c r="AQ480" t="s">
        <v>78</v>
      </c>
      <c r="AR480" t="s">
        <v>353</v>
      </c>
      <c r="AS480" t="s">
        <v>78</v>
      </c>
      <c r="AT480" t="s">
        <v>100</v>
      </c>
      <c r="AU480" t="s">
        <v>100</v>
      </c>
      <c r="AW480" t="s">
        <v>85</v>
      </c>
      <c r="AX480" t="s">
        <v>103</v>
      </c>
      <c r="AY480" t="s">
        <v>159</v>
      </c>
      <c r="AZ480" t="s">
        <v>103</v>
      </c>
      <c r="BA480" t="s">
        <v>185</v>
      </c>
      <c r="BB480" t="s">
        <v>78</v>
      </c>
      <c r="BC480" t="s">
        <v>78</v>
      </c>
      <c r="BE480">
        <v>0</v>
      </c>
      <c r="BF480">
        <v>0</v>
      </c>
      <c r="BG480">
        <v>0</v>
      </c>
      <c r="BH480">
        <v>0</v>
      </c>
      <c r="BJ480" t="s">
        <v>85</v>
      </c>
      <c r="BP480" t="s">
        <v>78</v>
      </c>
      <c r="BQ480" t="s">
        <v>78</v>
      </c>
      <c r="BR480" t="s">
        <v>78</v>
      </c>
    </row>
    <row r="481" customFormat="1" spans="1:70">
      <c r="A481" t="s">
        <v>4364</v>
      </c>
      <c r="B481" t="s">
        <v>4364</v>
      </c>
      <c r="C481" t="s">
        <v>1092</v>
      </c>
      <c r="D481" t="s">
        <v>108</v>
      </c>
      <c r="E481">
        <v>1</v>
      </c>
      <c r="F481" t="s">
        <v>3998</v>
      </c>
      <c r="G481" t="s">
        <v>1094</v>
      </c>
      <c r="H481" s="20">
        <v>9999</v>
      </c>
      <c r="I481" s="20">
        <v>9999</v>
      </c>
      <c r="J481">
        <v>0</v>
      </c>
      <c r="K481">
        <v>0</v>
      </c>
      <c r="L481" t="s">
        <v>78</v>
      </c>
      <c r="M481" t="s">
        <v>78</v>
      </c>
      <c r="N481" t="s">
        <v>78</v>
      </c>
      <c r="O481">
        <v>0</v>
      </c>
      <c r="P481">
        <v>0</v>
      </c>
      <c r="Q481">
        <v>0</v>
      </c>
      <c r="R481" t="s">
        <v>79</v>
      </c>
      <c r="S481">
        <v>0</v>
      </c>
      <c r="T481" t="s">
        <v>80</v>
      </c>
      <c r="U481" t="s">
        <v>80</v>
      </c>
      <c r="V481" t="s">
        <v>464</v>
      </c>
      <c r="W481" t="s">
        <v>1460</v>
      </c>
      <c r="X481" t="s">
        <v>2733</v>
      </c>
      <c r="Y481" t="s">
        <v>2734</v>
      </c>
      <c r="Z481" t="s">
        <v>80</v>
      </c>
      <c r="AA481" t="s">
        <v>85</v>
      </c>
      <c r="AC481" t="s">
        <v>3216</v>
      </c>
      <c r="AD481" t="s">
        <v>87</v>
      </c>
      <c r="AH481" t="s">
        <v>91</v>
      </c>
      <c r="AI481" t="s">
        <v>92</v>
      </c>
      <c r="AJ481" t="s">
        <v>131</v>
      </c>
      <c r="AK481" t="s">
        <v>3217</v>
      </c>
      <c r="AL481" t="s">
        <v>95</v>
      </c>
      <c r="AM481" t="s">
        <v>96</v>
      </c>
      <c r="AN481" t="s">
        <v>97</v>
      </c>
      <c r="AO481" t="s">
        <v>98</v>
      </c>
      <c r="AP481" t="s">
        <v>78</v>
      </c>
      <c r="AQ481" t="s">
        <v>78</v>
      </c>
      <c r="AR481" t="s">
        <v>195</v>
      </c>
      <c r="AS481" t="s">
        <v>78</v>
      </c>
      <c r="AT481" t="s">
        <v>100</v>
      </c>
      <c r="AU481" t="s">
        <v>100</v>
      </c>
      <c r="AW481" t="s">
        <v>85</v>
      </c>
      <c r="AX481" t="s">
        <v>103</v>
      </c>
      <c r="AY481" t="s">
        <v>159</v>
      </c>
      <c r="AZ481" t="s">
        <v>103</v>
      </c>
      <c r="BA481" t="s">
        <v>104</v>
      </c>
      <c r="BB481" t="s">
        <v>78</v>
      </c>
      <c r="BC481" t="s">
        <v>78</v>
      </c>
      <c r="BE481">
        <v>0</v>
      </c>
      <c r="BF481">
        <v>0</v>
      </c>
      <c r="BG481">
        <v>0</v>
      </c>
      <c r="BH481">
        <v>0</v>
      </c>
      <c r="BJ481" t="s">
        <v>85</v>
      </c>
      <c r="BP481" t="s">
        <v>78</v>
      </c>
      <c r="BQ481" t="s">
        <v>78</v>
      </c>
      <c r="BR481" t="s">
        <v>78</v>
      </c>
    </row>
    <row r="482" customFormat="1" spans="1:70">
      <c r="A482" t="s">
        <v>4365</v>
      </c>
      <c r="B482" t="s">
        <v>4365</v>
      </c>
      <c r="C482" t="s">
        <v>1050</v>
      </c>
      <c r="D482" t="s">
        <v>1051</v>
      </c>
      <c r="E482">
        <v>1</v>
      </c>
      <c r="F482" t="s">
        <v>3991</v>
      </c>
      <c r="G482" t="s">
        <v>1053</v>
      </c>
      <c r="H482">
        <v>129</v>
      </c>
      <c r="I482">
        <v>129</v>
      </c>
      <c r="J482">
        <v>0</v>
      </c>
      <c r="K482">
        <v>0</v>
      </c>
      <c r="L482" t="s">
        <v>78</v>
      </c>
      <c r="M482" t="s">
        <v>78</v>
      </c>
      <c r="N482" t="s">
        <v>78</v>
      </c>
      <c r="O482">
        <v>0</v>
      </c>
      <c r="P482">
        <v>0</v>
      </c>
      <c r="Q482">
        <v>0</v>
      </c>
      <c r="R482" t="s">
        <v>125</v>
      </c>
      <c r="S482">
        <v>0</v>
      </c>
      <c r="T482" t="s">
        <v>80</v>
      </c>
      <c r="U482" t="s">
        <v>80</v>
      </c>
      <c r="V482" t="s">
        <v>509</v>
      </c>
      <c r="W482" t="s">
        <v>623</v>
      </c>
      <c r="X482" t="s">
        <v>3219</v>
      </c>
      <c r="Y482" t="s">
        <v>3220</v>
      </c>
      <c r="Z482" t="s">
        <v>80</v>
      </c>
      <c r="AA482" t="s">
        <v>85</v>
      </c>
      <c r="AC482" t="s">
        <v>3221</v>
      </c>
      <c r="AD482" t="s">
        <v>87</v>
      </c>
      <c r="AH482" t="s">
        <v>227</v>
      </c>
      <c r="AI482" t="s">
        <v>92</v>
      </c>
      <c r="AJ482" t="s">
        <v>131</v>
      </c>
      <c r="AK482" t="s">
        <v>3222</v>
      </c>
      <c r="AL482" t="s">
        <v>95</v>
      </c>
      <c r="AM482" t="s">
        <v>96</v>
      </c>
      <c r="AN482" t="s">
        <v>97</v>
      </c>
      <c r="AO482" t="s">
        <v>98</v>
      </c>
      <c r="AP482" t="s">
        <v>78</v>
      </c>
      <c r="AQ482" t="s">
        <v>78</v>
      </c>
      <c r="AR482" t="s">
        <v>353</v>
      </c>
      <c r="AS482" t="s">
        <v>78</v>
      </c>
      <c r="AT482" t="s">
        <v>100</v>
      </c>
      <c r="AU482" t="s">
        <v>100</v>
      </c>
      <c r="AW482" t="s">
        <v>85</v>
      </c>
      <c r="AX482" t="s">
        <v>103</v>
      </c>
      <c r="AY482" t="s">
        <v>159</v>
      </c>
      <c r="AZ482" t="s">
        <v>103</v>
      </c>
      <c r="BA482" t="s">
        <v>133</v>
      </c>
      <c r="BB482" t="s">
        <v>78</v>
      </c>
      <c r="BC482" t="s">
        <v>78</v>
      </c>
      <c r="BE482">
        <v>0</v>
      </c>
      <c r="BF482">
        <v>0</v>
      </c>
      <c r="BG482">
        <v>0</v>
      </c>
      <c r="BH482">
        <v>0</v>
      </c>
      <c r="BJ482" t="s">
        <v>85</v>
      </c>
      <c r="BP482" t="s">
        <v>78</v>
      </c>
      <c r="BQ482" t="s">
        <v>78</v>
      </c>
      <c r="BR482" t="s">
        <v>78</v>
      </c>
    </row>
    <row r="483" customFormat="1" spans="1:70">
      <c r="A483" t="s">
        <v>4366</v>
      </c>
      <c r="B483" t="s">
        <v>4366</v>
      </c>
      <c r="C483" t="s">
        <v>107</v>
      </c>
      <c r="D483" t="s">
        <v>108</v>
      </c>
      <c r="E483">
        <v>1</v>
      </c>
      <c r="F483" t="s">
        <v>3857</v>
      </c>
      <c r="G483" t="s">
        <v>110</v>
      </c>
      <c r="H483">
        <v>289</v>
      </c>
      <c r="I483">
        <v>276</v>
      </c>
      <c r="J483">
        <v>0</v>
      </c>
      <c r="K483">
        <v>13</v>
      </c>
      <c r="L483" t="s">
        <v>3224</v>
      </c>
      <c r="M483" t="s">
        <v>78</v>
      </c>
      <c r="N483" t="s">
        <v>78</v>
      </c>
      <c r="O483">
        <v>0</v>
      </c>
      <c r="P483">
        <v>0</v>
      </c>
      <c r="Q483">
        <v>0</v>
      </c>
      <c r="R483" t="s">
        <v>125</v>
      </c>
      <c r="S483">
        <v>0</v>
      </c>
      <c r="T483" t="s">
        <v>80</v>
      </c>
      <c r="U483" t="s">
        <v>80</v>
      </c>
      <c r="V483" t="s">
        <v>126</v>
      </c>
      <c r="W483" t="s">
        <v>518</v>
      </c>
      <c r="X483" t="s">
        <v>979</v>
      </c>
      <c r="Y483" t="s">
        <v>3225</v>
      </c>
      <c r="Z483" t="s">
        <v>80</v>
      </c>
      <c r="AA483" t="s">
        <v>85</v>
      </c>
      <c r="AC483" t="s">
        <v>3226</v>
      </c>
      <c r="AD483" t="s">
        <v>202</v>
      </c>
      <c r="AE483" t="s">
        <v>3227</v>
      </c>
      <c r="AF483" t="s">
        <v>3043</v>
      </c>
      <c r="AG483" t="s">
        <v>3228</v>
      </c>
      <c r="AH483" t="s">
        <v>3229</v>
      </c>
      <c r="AI483" t="s">
        <v>92</v>
      </c>
      <c r="AJ483" t="s">
        <v>93</v>
      </c>
      <c r="AK483" t="s">
        <v>3230</v>
      </c>
      <c r="AL483" t="s">
        <v>95</v>
      </c>
      <c r="AM483" t="s">
        <v>96</v>
      </c>
      <c r="AN483" t="s">
        <v>97</v>
      </c>
      <c r="AO483" t="s">
        <v>98</v>
      </c>
      <c r="AP483" t="s">
        <v>78</v>
      </c>
      <c r="AQ483" t="s">
        <v>99</v>
      </c>
      <c r="AS483" t="s">
        <v>78</v>
      </c>
      <c r="AT483" t="s">
        <v>100</v>
      </c>
      <c r="AU483" t="s">
        <v>100</v>
      </c>
      <c r="AW483" t="s">
        <v>85</v>
      </c>
      <c r="AX483" t="s">
        <v>103</v>
      </c>
      <c r="AY483" t="s">
        <v>159</v>
      </c>
      <c r="AZ483" t="s">
        <v>103</v>
      </c>
      <c r="BA483" t="s">
        <v>102</v>
      </c>
      <c r="BB483" t="s">
        <v>78</v>
      </c>
      <c r="BC483" t="s">
        <v>78</v>
      </c>
      <c r="BD483" t="s">
        <v>3046</v>
      </c>
      <c r="BE483">
        <v>0</v>
      </c>
      <c r="BF483">
        <v>13</v>
      </c>
      <c r="BG483">
        <v>0</v>
      </c>
      <c r="BH483">
        <v>0</v>
      </c>
      <c r="BJ483" t="s">
        <v>85</v>
      </c>
      <c r="BP483" t="s">
        <v>78</v>
      </c>
      <c r="BQ483" t="s">
        <v>78</v>
      </c>
      <c r="BR483" t="s">
        <v>78</v>
      </c>
    </row>
    <row r="484" customFormat="1" spans="1:70">
      <c r="A484" t="s">
        <v>4367</v>
      </c>
      <c r="B484" t="s">
        <v>4367</v>
      </c>
      <c r="C484" t="s">
        <v>1050</v>
      </c>
      <c r="D484" t="s">
        <v>1142</v>
      </c>
      <c r="E484">
        <v>1</v>
      </c>
      <c r="F484" t="s">
        <v>3991</v>
      </c>
      <c r="G484" t="s">
        <v>1143</v>
      </c>
      <c r="H484">
        <v>129</v>
      </c>
      <c r="I484">
        <v>129</v>
      </c>
      <c r="J484">
        <v>0</v>
      </c>
      <c r="K484">
        <v>0</v>
      </c>
      <c r="L484" t="s">
        <v>78</v>
      </c>
      <c r="M484" t="s">
        <v>78</v>
      </c>
      <c r="N484" t="s">
        <v>78</v>
      </c>
      <c r="O484">
        <v>0</v>
      </c>
      <c r="P484">
        <v>0</v>
      </c>
      <c r="Q484">
        <v>0</v>
      </c>
      <c r="R484" t="s">
        <v>79</v>
      </c>
      <c r="S484">
        <v>0</v>
      </c>
      <c r="T484" t="s">
        <v>80</v>
      </c>
      <c r="U484" t="s">
        <v>80</v>
      </c>
      <c r="V484" t="s">
        <v>257</v>
      </c>
      <c r="W484" t="s">
        <v>257</v>
      </c>
      <c r="X484" t="s">
        <v>3232</v>
      </c>
      <c r="Y484" t="s">
        <v>3233</v>
      </c>
      <c r="Z484" t="s">
        <v>80</v>
      </c>
      <c r="AA484" t="s">
        <v>85</v>
      </c>
      <c r="AC484" t="s">
        <v>3234</v>
      </c>
      <c r="AD484" t="s">
        <v>87</v>
      </c>
      <c r="AG484" t="s">
        <v>3235</v>
      </c>
      <c r="AH484" t="s">
        <v>91</v>
      </c>
      <c r="AI484" t="s">
        <v>92</v>
      </c>
      <c r="AJ484" t="s">
        <v>131</v>
      </c>
      <c r="AK484" t="s">
        <v>3236</v>
      </c>
      <c r="AL484" t="s">
        <v>95</v>
      </c>
      <c r="AM484" t="s">
        <v>96</v>
      </c>
      <c r="AN484" t="s">
        <v>97</v>
      </c>
      <c r="AO484" t="s">
        <v>98</v>
      </c>
      <c r="AP484" t="s">
        <v>78</v>
      </c>
      <c r="AQ484" t="s">
        <v>99</v>
      </c>
      <c r="AS484" t="s">
        <v>78</v>
      </c>
      <c r="AT484" t="s">
        <v>100</v>
      </c>
      <c r="AU484" t="s">
        <v>100</v>
      </c>
      <c r="AW484" t="s">
        <v>85</v>
      </c>
      <c r="AX484" t="s">
        <v>103</v>
      </c>
      <c r="AY484" t="s">
        <v>159</v>
      </c>
      <c r="AZ484" t="s">
        <v>103</v>
      </c>
      <c r="BA484" t="s">
        <v>133</v>
      </c>
      <c r="BB484" t="s">
        <v>78</v>
      </c>
      <c r="BC484" t="s">
        <v>78</v>
      </c>
      <c r="BE484">
        <v>0</v>
      </c>
      <c r="BF484">
        <v>0</v>
      </c>
      <c r="BG484">
        <v>0</v>
      </c>
      <c r="BH484">
        <v>0</v>
      </c>
      <c r="BJ484" t="s">
        <v>85</v>
      </c>
      <c r="BP484" t="s">
        <v>78</v>
      </c>
      <c r="BQ484" t="s">
        <v>78</v>
      </c>
      <c r="BR484" t="s">
        <v>78</v>
      </c>
    </row>
    <row r="485" customFormat="1" spans="1:70">
      <c r="A485" t="s">
        <v>4368</v>
      </c>
      <c r="B485" t="s">
        <v>4368</v>
      </c>
      <c r="C485" t="s">
        <v>1050</v>
      </c>
      <c r="D485" t="s">
        <v>1051</v>
      </c>
      <c r="E485">
        <v>1</v>
      </c>
      <c r="F485" t="s">
        <v>3991</v>
      </c>
      <c r="G485" t="s">
        <v>1053</v>
      </c>
      <c r="H485">
        <v>129</v>
      </c>
      <c r="I485">
        <v>129</v>
      </c>
      <c r="J485">
        <v>0</v>
      </c>
      <c r="K485">
        <v>0</v>
      </c>
      <c r="L485" t="s">
        <v>78</v>
      </c>
      <c r="M485" t="s">
        <v>78</v>
      </c>
      <c r="N485" t="s">
        <v>78</v>
      </c>
      <c r="O485">
        <v>0</v>
      </c>
      <c r="P485">
        <v>0</v>
      </c>
      <c r="Q485">
        <v>0</v>
      </c>
      <c r="R485" t="s">
        <v>125</v>
      </c>
      <c r="S485">
        <v>0</v>
      </c>
      <c r="T485" t="s">
        <v>80</v>
      </c>
      <c r="U485" t="s">
        <v>80</v>
      </c>
      <c r="V485" t="s">
        <v>500</v>
      </c>
      <c r="W485" t="s">
        <v>501</v>
      </c>
      <c r="X485" t="s">
        <v>3238</v>
      </c>
      <c r="Y485" t="s">
        <v>78</v>
      </c>
      <c r="Z485" t="s">
        <v>80</v>
      </c>
      <c r="AA485" t="s">
        <v>85</v>
      </c>
      <c r="AC485" t="s">
        <v>3239</v>
      </c>
      <c r="AD485" t="s">
        <v>87</v>
      </c>
      <c r="AG485" t="s">
        <v>3240</v>
      </c>
      <c r="AH485" t="s">
        <v>91</v>
      </c>
      <c r="AI485" t="s">
        <v>92</v>
      </c>
      <c r="AJ485" t="s">
        <v>131</v>
      </c>
      <c r="AK485" t="s">
        <v>3241</v>
      </c>
      <c r="AL485" t="s">
        <v>95</v>
      </c>
      <c r="AM485" t="s">
        <v>96</v>
      </c>
      <c r="AN485" t="s">
        <v>97</v>
      </c>
      <c r="AO485" t="s">
        <v>98</v>
      </c>
      <c r="AP485" t="s">
        <v>78</v>
      </c>
      <c r="AQ485" t="s">
        <v>99</v>
      </c>
      <c r="AS485" t="s">
        <v>78</v>
      </c>
      <c r="AT485" t="s">
        <v>100</v>
      </c>
      <c r="AU485" t="s">
        <v>100</v>
      </c>
      <c r="AW485" t="s">
        <v>85</v>
      </c>
      <c r="AX485" t="s">
        <v>101</v>
      </c>
      <c r="AY485" t="s">
        <v>102</v>
      </c>
      <c r="AZ485" t="s">
        <v>103</v>
      </c>
      <c r="BA485" t="s">
        <v>120</v>
      </c>
      <c r="BB485" t="s">
        <v>78</v>
      </c>
      <c r="BC485" t="s">
        <v>78</v>
      </c>
      <c r="BE485">
        <v>0</v>
      </c>
      <c r="BF485">
        <v>0</v>
      </c>
      <c r="BG485">
        <v>0</v>
      </c>
      <c r="BH485">
        <v>0</v>
      </c>
      <c r="BJ485" t="s">
        <v>85</v>
      </c>
      <c r="BP485" t="s">
        <v>78</v>
      </c>
      <c r="BQ485" t="s">
        <v>78</v>
      </c>
      <c r="BR485" t="s">
        <v>78</v>
      </c>
    </row>
    <row r="486" customFormat="1" spans="1:70">
      <c r="A486" t="s">
        <v>4369</v>
      </c>
      <c r="B486" t="s">
        <v>4369</v>
      </c>
      <c r="C486" t="s">
        <v>3243</v>
      </c>
      <c r="D486" t="s">
        <v>108</v>
      </c>
      <c r="E486">
        <v>1</v>
      </c>
      <c r="F486" t="s">
        <v>4370</v>
      </c>
      <c r="G486" t="s">
        <v>3245</v>
      </c>
      <c r="H486">
        <v>299</v>
      </c>
      <c r="I486">
        <v>272.8</v>
      </c>
      <c r="J486">
        <v>0</v>
      </c>
      <c r="K486">
        <v>27.7</v>
      </c>
      <c r="L486" t="s">
        <v>3246</v>
      </c>
      <c r="M486" t="s">
        <v>78</v>
      </c>
      <c r="N486" t="s">
        <v>78</v>
      </c>
      <c r="O486">
        <v>0</v>
      </c>
      <c r="P486">
        <v>1.5</v>
      </c>
      <c r="Q486">
        <v>0</v>
      </c>
      <c r="R486" t="s">
        <v>79</v>
      </c>
      <c r="S486">
        <v>0</v>
      </c>
      <c r="T486" t="s">
        <v>80</v>
      </c>
      <c r="U486" t="s">
        <v>80</v>
      </c>
      <c r="V486" t="s">
        <v>126</v>
      </c>
      <c r="W486" t="s">
        <v>3247</v>
      </c>
      <c r="X486" t="s">
        <v>3248</v>
      </c>
      <c r="Y486" t="s">
        <v>3249</v>
      </c>
      <c r="Z486" t="s">
        <v>80</v>
      </c>
      <c r="AA486" t="s">
        <v>85</v>
      </c>
      <c r="AC486" t="s">
        <v>3250</v>
      </c>
      <c r="AD486" t="s">
        <v>362</v>
      </c>
      <c r="AE486" t="s">
        <v>3251</v>
      </c>
      <c r="AF486" t="s">
        <v>3252</v>
      </c>
      <c r="AG486" t="s">
        <v>3253</v>
      </c>
      <c r="AH486" t="s">
        <v>91</v>
      </c>
      <c r="AI486" t="s">
        <v>216</v>
      </c>
      <c r="AJ486" t="s">
        <v>93</v>
      </c>
      <c r="AK486" t="s">
        <v>3254</v>
      </c>
      <c r="AL486" t="s">
        <v>95</v>
      </c>
      <c r="AM486" t="s">
        <v>96</v>
      </c>
      <c r="AN486" t="s">
        <v>96</v>
      </c>
      <c r="AP486" t="s">
        <v>78</v>
      </c>
      <c r="AQ486" t="s">
        <v>78</v>
      </c>
      <c r="AS486" t="s">
        <v>78</v>
      </c>
      <c r="AT486" t="s">
        <v>100</v>
      </c>
      <c r="AU486" t="s">
        <v>100</v>
      </c>
      <c r="AW486" t="s">
        <v>85</v>
      </c>
      <c r="AX486" t="s">
        <v>101</v>
      </c>
      <c r="AY486" t="s">
        <v>102</v>
      </c>
      <c r="AZ486" t="s">
        <v>145</v>
      </c>
      <c r="BA486" t="s">
        <v>354</v>
      </c>
      <c r="BB486" t="s">
        <v>78</v>
      </c>
      <c r="BC486" t="s">
        <v>78</v>
      </c>
      <c r="BD486" t="s">
        <v>3255</v>
      </c>
      <c r="BE486">
        <v>0</v>
      </c>
      <c r="BF486">
        <v>26.2</v>
      </c>
      <c r="BG486">
        <v>0</v>
      </c>
      <c r="BH486">
        <v>0</v>
      </c>
      <c r="BJ486" t="s">
        <v>85</v>
      </c>
      <c r="BP486" t="s">
        <v>78</v>
      </c>
      <c r="BQ486" t="s">
        <v>78</v>
      </c>
      <c r="BR486" t="s">
        <v>78</v>
      </c>
    </row>
    <row r="487" customFormat="1" spans="1:70">
      <c r="A487" t="s">
        <v>4371</v>
      </c>
      <c r="B487" t="s">
        <v>4371</v>
      </c>
      <c r="C487" t="s">
        <v>107</v>
      </c>
      <c r="D487" t="s">
        <v>108</v>
      </c>
      <c r="E487">
        <v>1</v>
      </c>
      <c r="F487" t="s">
        <v>3857</v>
      </c>
      <c r="G487" t="s">
        <v>110</v>
      </c>
      <c r="H487">
        <v>289</v>
      </c>
      <c r="I487">
        <v>267.86</v>
      </c>
      <c r="J487">
        <v>0</v>
      </c>
      <c r="K487">
        <v>21.14</v>
      </c>
      <c r="L487" t="s">
        <v>3257</v>
      </c>
      <c r="M487" t="s">
        <v>78</v>
      </c>
      <c r="N487" t="s">
        <v>78</v>
      </c>
      <c r="O487">
        <v>0</v>
      </c>
      <c r="P487">
        <v>0</v>
      </c>
      <c r="Q487">
        <v>0</v>
      </c>
      <c r="R487" t="s">
        <v>111</v>
      </c>
      <c r="S487">
        <v>0</v>
      </c>
      <c r="T487" t="s">
        <v>80</v>
      </c>
      <c r="U487" t="s">
        <v>80</v>
      </c>
      <c r="V487" t="s">
        <v>138</v>
      </c>
      <c r="W487" t="s">
        <v>2228</v>
      </c>
      <c r="X487" t="s">
        <v>2229</v>
      </c>
      <c r="Y487" t="s">
        <v>3258</v>
      </c>
      <c r="Z487" t="s">
        <v>80</v>
      </c>
      <c r="AA487" t="s">
        <v>85</v>
      </c>
      <c r="AC487" t="s">
        <v>3259</v>
      </c>
      <c r="AD487" t="s">
        <v>87</v>
      </c>
      <c r="AF487" t="s">
        <v>3260</v>
      </c>
      <c r="AG487" t="s">
        <v>3261</v>
      </c>
      <c r="AH487" t="s">
        <v>91</v>
      </c>
      <c r="AI487" t="s">
        <v>92</v>
      </c>
      <c r="AJ487" t="s">
        <v>93</v>
      </c>
      <c r="AK487" t="s">
        <v>3262</v>
      </c>
      <c r="AL487" t="s">
        <v>95</v>
      </c>
      <c r="AM487" t="s">
        <v>96</v>
      </c>
      <c r="AN487" t="s">
        <v>97</v>
      </c>
      <c r="AO487" t="s">
        <v>98</v>
      </c>
      <c r="AP487" t="s">
        <v>78</v>
      </c>
      <c r="AQ487" t="s">
        <v>78</v>
      </c>
      <c r="AS487" t="s">
        <v>78</v>
      </c>
      <c r="AT487" t="s">
        <v>100</v>
      </c>
      <c r="AU487" t="s">
        <v>100</v>
      </c>
      <c r="AW487" t="s">
        <v>85</v>
      </c>
      <c r="AX487" t="s">
        <v>101</v>
      </c>
      <c r="AY487" t="s">
        <v>102</v>
      </c>
      <c r="AZ487" t="s">
        <v>103</v>
      </c>
      <c r="BA487" t="s">
        <v>104</v>
      </c>
      <c r="BB487" t="s">
        <v>78</v>
      </c>
      <c r="BC487" t="s">
        <v>78</v>
      </c>
      <c r="BD487" t="s">
        <v>3263</v>
      </c>
      <c r="BE487">
        <v>0</v>
      </c>
      <c r="BF487">
        <v>21.14</v>
      </c>
      <c r="BG487">
        <v>0</v>
      </c>
      <c r="BH487">
        <v>0</v>
      </c>
      <c r="BJ487" t="s">
        <v>85</v>
      </c>
      <c r="BP487" t="s">
        <v>78</v>
      </c>
      <c r="BQ487" t="s">
        <v>78</v>
      </c>
      <c r="BR487" t="s">
        <v>78</v>
      </c>
    </row>
    <row r="488" customFormat="1" spans="1:70">
      <c r="A488" t="s">
        <v>4372</v>
      </c>
      <c r="B488" t="s">
        <v>4372</v>
      </c>
      <c r="C488" t="s">
        <v>3265</v>
      </c>
      <c r="D488" t="s">
        <v>3266</v>
      </c>
      <c r="E488">
        <v>1</v>
      </c>
      <c r="F488" t="s">
        <v>4373</v>
      </c>
      <c r="G488" t="s">
        <v>3268</v>
      </c>
      <c r="H488">
        <v>339</v>
      </c>
      <c r="I488">
        <v>334</v>
      </c>
      <c r="J488">
        <v>0</v>
      </c>
      <c r="K488">
        <v>5</v>
      </c>
      <c r="L488" t="s">
        <v>3269</v>
      </c>
      <c r="M488" t="s">
        <v>78</v>
      </c>
      <c r="N488" t="s">
        <v>78</v>
      </c>
      <c r="O488">
        <v>0</v>
      </c>
      <c r="P488">
        <v>0</v>
      </c>
      <c r="Q488">
        <v>0</v>
      </c>
      <c r="R488" t="s">
        <v>125</v>
      </c>
      <c r="S488">
        <v>0</v>
      </c>
      <c r="T488" t="s">
        <v>80</v>
      </c>
      <c r="U488" t="s">
        <v>80</v>
      </c>
      <c r="V488" t="s">
        <v>464</v>
      </c>
      <c r="W488" t="s">
        <v>542</v>
      </c>
      <c r="X488" t="s">
        <v>2148</v>
      </c>
      <c r="Y488" t="s">
        <v>2149</v>
      </c>
      <c r="Z488" t="s">
        <v>80</v>
      </c>
      <c r="AA488" t="s">
        <v>85</v>
      </c>
      <c r="AC488" t="s">
        <v>3270</v>
      </c>
      <c r="AD488" t="s">
        <v>87</v>
      </c>
      <c r="AG488" t="s">
        <v>3271</v>
      </c>
      <c r="AH488" t="s">
        <v>91</v>
      </c>
      <c r="AI488" t="s">
        <v>216</v>
      </c>
      <c r="AJ488" t="s">
        <v>131</v>
      </c>
      <c r="AK488" t="s">
        <v>3272</v>
      </c>
      <c r="AL488" t="s">
        <v>95</v>
      </c>
      <c r="AM488" t="s">
        <v>96</v>
      </c>
      <c r="AN488" t="s">
        <v>96</v>
      </c>
      <c r="AP488" t="s">
        <v>78</v>
      </c>
      <c r="AQ488" t="s">
        <v>99</v>
      </c>
      <c r="AS488" t="s">
        <v>78</v>
      </c>
      <c r="AT488" t="s">
        <v>100</v>
      </c>
      <c r="AU488" t="s">
        <v>100</v>
      </c>
      <c r="AW488" t="s">
        <v>85</v>
      </c>
      <c r="AX488" t="s">
        <v>101</v>
      </c>
      <c r="AY488" t="s">
        <v>102</v>
      </c>
      <c r="AZ488" t="s">
        <v>145</v>
      </c>
      <c r="BA488" t="s">
        <v>354</v>
      </c>
      <c r="BB488" t="s">
        <v>78</v>
      </c>
      <c r="BC488" t="s">
        <v>78</v>
      </c>
      <c r="BE488">
        <v>0</v>
      </c>
      <c r="BF488">
        <v>5</v>
      </c>
      <c r="BG488">
        <v>0</v>
      </c>
      <c r="BH488">
        <v>0</v>
      </c>
      <c r="BJ488" t="s">
        <v>85</v>
      </c>
      <c r="BP488" t="s">
        <v>78</v>
      </c>
      <c r="BQ488" t="s">
        <v>78</v>
      </c>
      <c r="BR488" t="s">
        <v>78</v>
      </c>
    </row>
    <row r="489" customFormat="1" spans="1:70">
      <c r="A489" t="s">
        <v>4374</v>
      </c>
      <c r="B489" t="s">
        <v>4374</v>
      </c>
      <c r="C489" t="s">
        <v>2192</v>
      </c>
      <c r="D489" t="s">
        <v>1038</v>
      </c>
      <c r="E489">
        <v>1</v>
      </c>
      <c r="F489" t="s">
        <v>4178</v>
      </c>
      <c r="G489" t="s">
        <v>2194</v>
      </c>
      <c r="H489">
        <v>319</v>
      </c>
      <c r="I489">
        <v>314</v>
      </c>
      <c r="J489">
        <v>0</v>
      </c>
      <c r="K489">
        <v>5</v>
      </c>
      <c r="L489" t="s">
        <v>3269</v>
      </c>
      <c r="M489" t="s">
        <v>78</v>
      </c>
      <c r="N489" t="s">
        <v>78</v>
      </c>
      <c r="O489">
        <v>0</v>
      </c>
      <c r="P489">
        <v>0</v>
      </c>
      <c r="Q489">
        <v>0</v>
      </c>
      <c r="R489" t="s">
        <v>125</v>
      </c>
      <c r="S489">
        <v>0</v>
      </c>
      <c r="T489" t="s">
        <v>80</v>
      </c>
      <c r="U489" t="s">
        <v>80</v>
      </c>
      <c r="V489" t="s">
        <v>464</v>
      </c>
      <c r="W489" t="s">
        <v>542</v>
      </c>
      <c r="X489" t="s">
        <v>2148</v>
      </c>
      <c r="Y489" t="s">
        <v>2149</v>
      </c>
      <c r="Z489" t="s">
        <v>80</v>
      </c>
      <c r="AA489" t="s">
        <v>85</v>
      </c>
      <c r="AC489" t="s">
        <v>3274</v>
      </c>
      <c r="AD489" t="s">
        <v>87</v>
      </c>
      <c r="AG489" t="s">
        <v>3275</v>
      </c>
      <c r="AH489" t="s">
        <v>91</v>
      </c>
      <c r="AI489" t="s">
        <v>216</v>
      </c>
      <c r="AJ489" t="s">
        <v>131</v>
      </c>
      <c r="AK489" t="s">
        <v>3276</v>
      </c>
      <c r="AL489" t="s">
        <v>95</v>
      </c>
      <c r="AM489" t="s">
        <v>96</v>
      </c>
      <c r="AN489" t="s">
        <v>96</v>
      </c>
      <c r="AP489" t="s">
        <v>78</v>
      </c>
      <c r="AQ489" t="s">
        <v>99</v>
      </c>
      <c r="AS489" t="s">
        <v>78</v>
      </c>
      <c r="AT489" t="s">
        <v>100</v>
      </c>
      <c r="AU489" t="s">
        <v>100</v>
      </c>
      <c r="AW489" t="s">
        <v>85</v>
      </c>
      <c r="AX489" t="s">
        <v>101</v>
      </c>
      <c r="AY489" t="s">
        <v>102</v>
      </c>
      <c r="AZ489" t="s">
        <v>145</v>
      </c>
      <c r="BA489" t="s">
        <v>354</v>
      </c>
      <c r="BB489" t="s">
        <v>78</v>
      </c>
      <c r="BC489" t="s">
        <v>78</v>
      </c>
      <c r="BE489">
        <v>0</v>
      </c>
      <c r="BF489">
        <v>5</v>
      </c>
      <c r="BG489">
        <v>0</v>
      </c>
      <c r="BH489">
        <v>0</v>
      </c>
      <c r="BJ489" t="s">
        <v>85</v>
      </c>
      <c r="BP489" t="s">
        <v>78</v>
      </c>
      <c r="BQ489" t="s">
        <v>78</v>
      </c>
      <c r="BR489" t="s">
        <v>78</v>
      </c>
    </row>
    <row r="490" customFormat="1" spans="1:70">
      <c r="A490" t="s">
        <v>4375</v>
      </c>
      <c r="B490" t="s">
        <v>4375</v>
      </c>
      <c r="C490" t="s">
        <v>3278</v>
      </c>
      <c r="D490" t="s">
        <v>3279</v>
      </c>
      <c r="E490">
        <v>1</v>
      </c>
      <c r="F490" t="s">
        <v>4376</v>
      </c>
      <c r="G490" t="s">
        <v>3281</v>
      </c>
      <c r="H490">
        <v>239</v>
      </c>
      <c r="I490">
        <v>239</v>
      </c>
      <c r="J490">
        <v>0</v>
      </c>
      <c r="K490">
        <v>0</v>
      </c>
      <c r="L490" t="s">
        <v>78</v>
      </c>
      <c r="M490" t="s">
        <v>78</v>
      </c>
      <c r="N490" t="s">
        <v>78</v>
      </c>
      <c r="O490">
        <v>0</v>
      </c>
      <c r="P490">
        <v>0</v>
      </c>
      <c r="Q490">
        <v>0</v>
      </c>
      <c r="R490" t="s">
        <v>125</v>
      </c>
      <c r="S490">
        <v>0</v>
      </c>
      <c r="T490" t="s">
        <v>80</v>
      </c>
      <c r="U490" t="s">
        <v>80</v>
      </c>
      <c r="V490" t="s">
        <v>574</v>
      </c>
      <c r="W490" t="s">
        <v>574</v>
      </c>
      <c r="X490" t="s">
        <v>3282</v>
      </c>
      <c r="Y490" t="s">
        <v>3283</v>
      </c>
      <c r="Z490" t="s">
        <v>80</v>
      </c>
      <c r="AA490" t="s">
        <v>85</v>
      </c>
      <c r="AC490" t="s">
        <v>3284</v>
      </c>
      <c r="AD490" t="s">
        <v>202</v>
      </c>
      <c r="AE490" t="s">
        <v>3285</v>
      </c>
      <c r="AG490" t="s">
        <v>3286</v>
      </c>
      <c r="AH490" t="s">
        <v>91</v>
      </c>
      <c r="AI490" t="s">
        <v>216</v>
      </c>
      <c r="AJ490" t="s">
        <v>131</v>
      </c>
      <c r="AK490" t="s">
        <v>3287</v>
      </c>
      <c r="AL490" t="s">
        <v>95</v>
      </c>
      <c r="AM490" t="s">
        <v>96</v>
      </c>
      <c r="AN490" t="s">
        <v>96</v>
      </c>
      <c r="AP490" t="s">
        <v>78</v>
      </c>
      <c r="AQ490" t="s">
        <v>99</v>
      </c>
      <c r="AS490" t="s">
        <v>78</v>
      </c>
      <c r="AT490" t="s">
        <v>100</v>
      </c>
      <c r="AU490" t="s">
        <v>100</v>
      </c>
      <c r="AW490" t="s">
        <v>85</v>
      </c>
      <c r="AX490" t="s">
        <v>101</v>
      </c>
      <c r="AY490" t="s">
        <v>102</v>
      </c>
      <c r="AZ490" t="s">
        <v>145</v>
      </c>
      <c r="BA490" t="s">
        <v>354</v>
      </c>
      <c r="BB490" t="s">
        <v>78</v>
      </c>
      <c r="BC490" t="s">
        <v>78</v>
      </c>
      <c r="BD490" t="s">
        <v>3288</v>
      </c>
      <c r="BE490">
        <v>0</v>
      </c>
      <c r="BF490">
        <v>0</v>
      </c>
      <c r="BG490">
        <v>0</v>
      </c>
      <c r="BH490">
        <v>0</v>
      </c>
      <c r="BJ490" t="s">
        <v>85</v>
      </c>
      <c r="BP490" t="s">
        <v>78</v>
      </c>
      <c r="BQ490" t="s">
        <v>78</v>
      </c>
      <c r="BR490" t="s">
        <v>78</v>
      </c>
    </row>
    <row r="491" customFormat="1" spans="1:70">
      <c r="A491" t="s">
        <v>4377</v>
      </c>
      <c r="B491" t="s">
        <v>4377</v>
      </c>
      <c r="C491" t="s">
        <v>1050</v>
      </c>
      <c r="D491" t="s">
        <v>1142</v>
      </c>
      <c r="E491">
        <v>1</v>
      </c>
      <c r="F491" t="s">
        <v>3991</v>
      </c>
      <c r="G491" t="s">
        <v>1143</v>
      </c>
      <c r="H491">
        <v>129</v>
      </c>
      <c r="I491">
        <v>129</v>
      </c>
      <c r="J491">
        <v>0</v>
      </c>
      <c r="K491">
        <v>0</v>
      </c>
      <c r="L491" t="s">
        <v>78</v>
      </c>
      <c r="M491" t="s">
        <v>78</v>
      </c>
      <c r="N491" t="s">
        <v>78</v>
      </c>
      <c r="O491">
        <v>0</v>
      </c>
      <c r="P491">
        <v>0</v>
      </c>
      <c r="Q491">
        <v>0</v>
      </c>
      <c r="R491" t="s">
        <v>125</v>
      </c>
      <c r="S491">
        <v>0</v>
      </c>
      <c r="T491" t="s">
        <v>80</v>
      </c>
      <c r="U491" t="s">
        <v>80</v>
      </c>
      <c r="V491" t="s">
        <v>574</v>
      </c>
      <c r="W491" t="s">
        <v>574</v>
      </c>
      <c r="X491" t="s">
        <v>3282</v>
      </c>
      <c r="Y491" t="s">
        <v>3283</v>
      </c>
      <c r="Z491" t="s">
        <v>80</v>
      </c>
      <c r="AA491" t="s">
        <v>85</v>
      </c>
      <c r="AC491" t="s">
        <v>3290</v>
      </c>
      <c r="AD491" t="s">
        <v>87</v>
      </c>
      <c r="AF491" t="s">
        <v>3291</v>
      </c>
      <c r="AG491" t="s">
        <v>3292</v>
      </c>
      <c r="AH491" t="s">
        <v>91</v>
      </c>
      <c r="AI491" t="s">
        <v>92</v>
      </c>
      <c r="AJ491" t="s">
        <v>93</v>
      </c>
      <c r="AK491" t="s">
        <v>3293</v>
      </c>
      <c r="AL491" t="s">
        <v>95</v>
      </c>
      <c r="AM491" t="s">
        <v>96</v>
      </c>
      <c r="AN491" t="s">
        <v>97</v>
      </c>
      <c r="AO491" t="s">
        <v>98</v>
      </c>
      <c r="AP491" t="s">
        <v>78</v>
      </c>
      <c r="AQ491" t="s">
        <v>78</v>
      </c>
      <c r="AS491" t="s">
        <v>78</v>
      </c>
      <c r="AT491" t="s">
        <v>100</v>
      </c>
      <c r="AU491" t="s">
        <v>100</v>
      </c>
      <c r="AW491" t="s">
        <v>85</v>
      </c>
      <c r="AX491" t="s">
        <v>101</v>
      </c>
      <c r="AY491" t="s">
        <v>102</v>
      </c>
      <c r="AZ491" t="s">
        <v>145</v>
      </c>
      <c r="BA491" t="s">
        <v>1035</v>
      </c>
      <c r="BB491" t="s">
        <v>78</v>
      </c>
      <c r="BC491" t="s">
        <v>78</v>
      </c>
      <c r="BD491" t="s">
        <v>3294</v>
      </c>
      <c r="BE491">
        <v>0</v>
      </c>
      <c r="BF491">
        <v>0</v>
      </c>
      <c r="BG491">
        <v>0</v>
      </c>
      <c r="BH491">
        <v>0</v>
      </c>
      <c r="BJ491" t="s">
        <v>85</v>
      </c>
      <c r="BP491" t="s">
        <v>78</v>
      </c>
      <c r="BQ491" t="s">
        <v>78</v>
      </c>
      <c r="BR491" t="s">
        <v>78</v>
      </c>
    </row>
    <row r="492" customFormat="1" spans="1:70">
      <c r="A492" t="s">
        <v>4377</v>
      </c>
      <c r="B492" t="s">
        <v>4378</v>
      </c>
      <c r="C492" t="s">
        <v>2888</v>
      </c>
      <c r="D492" t="s">
        <v>3296</v>
      </c>
      <c r="E492">
        <v>1</v>
      </c>
      <c r="F492" t="s">
        <v>4304</v>
      </c>
      <c r="G492" t="s">
        <v>3297</v>
      </c>
      <c r="H492">
        <v>299</v>
      </c>
      <c r="I492">
        <v>299</v>
      </c>
      <c r="J492">
        <v>0</v>
      </c>
      <c r="K492">
        <v>0</v>
      </c>
      <c r="L492" t="s">
        <v>78</v>
      </c>
      <c r="M492" t="s">
        <v>78</v>
      </c>
      <c r="N492" t="s">
        <v>78</v>
      </c>
      <c r="O492">
        <v>0</v>
      </c>
      <c r="P492">
        <v>0</v>
      </c>
      <c r="Q492">
        <v>0</v>
      </c>
      <c r="R492" t="s">
        <v>125</v>
      </c>
      <c r="S492">
        <v>0</v>
      </c>
      <c r="T492" t="s">
        <v>80</v>
      </c>
      <c r="U492" t="s">
        <v>80</v>
      </c>
      <c r="V492" t="s">
        <v>574</v>
      </c>
      <c r="W492" t="s">
        <v>574</v>
      </c>
      <c r="X492" t="s">
        <v>3282</v>
      </c>
      <c r="Y492" t="s">
        <v>3283</v>
      </c>
      <c r="Z492" t="s">
        <v>80</v>
      </c>
      <c r="AA492" t="s">
        <v>85</v>
      </c>
      <c r="AC492" t="s">
        <v>3290</v>
      </c>
      <c r="AD492" t="s">
        <v>87</v>
      </c>
      <c r="AF492" t="s">
        <v>3298</v>
      </c>
      <c r="AG492" t="s">
        <v>3292</v>
      </c>
      <c r="AH492" t="s">
        <v>91</v>
      </c>
      <c r="AI492" t="s">
        <v>216</v>
      </c>
      <c r="AJ492" t="s">
        <v>93</v>
      </c>
      <c r="AK492" t="s">
        <v>3293</v>
      </c>
      <c r="AL492" t="s">
        <v>95</v>
      </c>
      <c r="AM492" t="s">
        <v>96</v>
      </c>
      <c r="AN492" t="s">
        <v>96</v>
      </c>
      <c r="AP492" t="s">
        <v>78</v>
      </c>
      <c r="AQ492" t="s">
        <v>78</v>
      </c>
      <c r="AS492" t="s">
        <v>78</v>
      </c>
      <c r="AT492" t="s">
        <v>100</v>
      </c>
      <c r="AU492" t="s">
        <v>100</v>
      </c>
      <c r="AW492" t="s">
        <v>85</v>
      </c>
      <c r="AX492" t="s">
        <v>101</v>
      </c>
      <c r="AY492" t="s">
        <v>102</v>
      </c>
      <c r="AZ492" t="s">
        <v>145</v>
      </c>
      <c r="BA492" t="s">
        <v>354</v>
      </c>
      <c r="BB492" t="s">
        <v>78</v>
      </c>
      <c r="BC492" t="s">
        <v>78</v>
      </c>
      <c r="BD492" t="s">
        <v>3299</v>
      </c>
      <c r="BE492">
        <v>0</v>
      </c>
      <c r="BF492">
        <v>0</v>
      </c>
      <c r="BG492">
        <v>0</v>
      </c>
      <c r="BH492">
        <v>0</v>
      </c>
      <c r="BJ492" t="s">
        <v>85</v>
      </c>
      <c r="BP492" t="s">
        <v>78</v>
      </c>
      <c r="BQ492" t="s">
        <v>78</v>
      </c>
      <c r="BR492" t="s">
        <v>78</v>
      </c>
    </row>
    <row r="493" customFormat="1" spans="1:70">
      <c r="A493" t="s">
        <v>4377</v>
      </c>
      <c r="B493" t="s">
        <v>4379</v>
      </c>
      <c r="C493" t="s">
        <v>1050</v>
      </c>
      <c r="D493" t="s">
        <v>1153</v>
      </c>
      <c r="E493">
        <v>1</v>
      </c>
      <c r="F493" t="s">
        <v>3991</v>
      </c>
      <c r="G493" t="s">
        <v>1154</v>
      </c>
      <c r="H493">
        <v>129</v>
      </c>
      <c r="I493">
        <v>129</v>
      </c>
      <c r="J493">
        <v>0</v>
      </c>
      <c r="K493">
        <v>0</v>
      </c>
      <c r="L493" t="s">
        <v>78</v>
      </c>
      <c r="M493" t="s">
        <v>78</v>
      </c>
      <c r="N493" t="s">
        <v>78</v>
      </c>
      <c r="O493">
        <v>0</v>
      </c>
      <c r="P493">
        <v>0</v>
      </c>
      <c r="Q493">
        <v>0</v>
      </c>
      <c r="R493" t="s">
        <v>125</v>
      </c>
      <c r="S493">
        <v>0</v>
      </c>
      <c r="T493" t="s">
        <v>80</v>
      </c>
      <c r="U493" t="s">
        <v>80</v>
      </c>
      <c r="V493" t="s">
        <v>574</v>
      </c>
      <c r="W493" t="s">
        <v>574</v>
      </c>
      <c r="X493" t="s">
        <v>3282</v>
      </c>
      <c r="Y493" t="s">
        <v>3283</v>
      </c>
      <c r="Z493" t="s">
        <v>80</v>
      </c>
      <c r="AA493" t="s">
        <v>85</v>
      </c>
      <c r="AC493" t="s">
        <v>3290</v>
      </c>
      <c r="AD493" t="s">
        <v>87</v>
      </c>
      <c r="AF493" t="s">
        <v>3301</v>
      </c>
      <c r="AG493" t="s">
        <v>3292</v>
      </c>
      <c r="AH493" t="s">
        <v>91</v>
      </c>
      <c r="AI493" t="s">
        <v>92</v>
      </c>
      <c r="AJ493" t="s">
        <v>93</v>
      </c>
      <c r="AK493" t="s">
        <v>3293</v>
      </c>
      <c r="AL493" t="s">
        <v>95</v>
      </c>
      <c r="AM493" t="s">
        <v>96</v>
      </c>
      <c r="AN493" t="s">
        <v>97</v>
      </c>
      <c r="AO493" t="s">
        <v>98</v>
      </c>
      <c r="AP493" t="s">
        <v>78</v>
      </c>
      <c r="AQ493" t="s">
        <v>78</v>
      </c>
      <c r="AS493" t="s">
        <v>78</v>
      </c>
      <c r="AT493" t="s">
        <v>100</v>
      </c>
      <c r="AU493" t="s">
        <v>100</v>
      </c>
      <c r="AW493" t="s">
        <v>85</v>
      </c>
      <c r="AX493" t="s">
        <v>101</v>
      </c>
      <c r="AY493" t="s">
        <v>102</v>
      </c>
      <c r="AZ493" t="s">
        <v>103</v>
      </c>
      <c r="BA493" t="s">
        <v>120</v>
      </c>
      <c r="BB493" t="s">
        <v>78</v>
      </c>
      <c r="BC493" t="s">
        <v>78</v>
      </c>
      <c r="BD493" t="s">
        <v>3302</v>
      </c>
      <c r="BE493">
        <v>0</v>
      </c>
      <c r="BF493">
        <v>0</v>
      </c>
      <c r="BG493">
        <v>0</v>
      </c>
      <c r="BH493">
        <v>0</v>
      </c>
      <c r="BJ493" t="s">
        <v>85</v>
      </c>
      <c r="BP493" t="s">
        <v>78</v>
      </c>
      <c r="BQ493" t="s">
        <v>78</v>
      </c>
      <c r="BR493" t="s">
        <v>78</v>
      </c>
    </row>
    <row r="494" customFormat="1" spans="1:70">
      <c r="A494" t="s">
        <v>4380</v>
      </c>
      <c r="B494" t="s">
        <v>4380</v>
      </c>
      <c r="C494" t="s">
        <v>2888</v>
      </c>
      <c r="D494" t="s">
        <v>3304</v>
      </c>
      <c r="E494">
        <v>1</v>
      </c>
      <c r="F494" t="s">
        <v>4304</v>
      </c>
      <c r="G494" t="s">
        <v>3305</v>
      </c>
      <c r="H494">
        <v>299</v>
      </c>
      <c r="I494">
        <v>299</v>
      </c>
      <c r="J494">
        <v>0</v>
      </c>
      <c r="K494">
        <v>0</v>
      </c>
      <c r="L494" t="s">
        <v>78</v>
      </c>
      <c r="M494" t="s">
        <v>78</v>
      </c>
      <c r="N494" t="s">
        <v>78</v>
      </c>
      <c r="O494">
        <v>0</v>
      </c>
      <c r="P494">
        <v>0</v>
      </c>
      <c r="Q494">
        <v>0</v>
      </c>
      <c r="R494" t="s">
        <v>125</v>
      </c>
      <c r="S494">
        <v>0</v>
      </c>
      <c r="T494" t="s">
        <v>80</v>
      </c>
      <c r="U494" t="s">
        <v>80</v>
      </c>
      <c r="V494" t="s">
        <v>271</v>
      </c>
      <c r="W494" t="s">
        <v>1506</v>
      </c>
      <c r="X494" t="s">
        <v>1507</v>
      </c>
      <c r="Y494" t="s">
        <v>3306</v>
      </c>
      <c r="Z494" t="s">
        <v>80</v>
      </c>
      <c r="AA494" t="s">
        <v>85</v>
      </c>
      <c r="AC494" t="s">
        <v>3307</v>
      </c>
      <c r="AD494" t="s">
        <v>87</v>
      </c>
      <c r="AG494" t="s">
        <v>3308</v>
      </c>
      <c r="AH494" t="s">
        <v>227</v>
      </c>
      <c r="AI494" t="s">
        <v>216</v>
      </c>
      <c r="AJ494" t="s">
        <v>131</v>
      </c>
      <c r="AK494" t="s">
        <v>3309</v>
      </c>
      <c r="AL494" t="s">
        <v>95</v>
      </c>
      <c r="AM494" t="s">
        <v>96</v>
      </c>
      <c r="AN494" t="s">
        <v>96</v>
      </c>
      <c r="AP494" t="s">
        <v>78</v>
      </c>
      <c r="AQ494" t="s">
        <v>99</v>
      </c>
      <c r="AS494" t="s">
        <v>78</v>
      </c>
      <c r="AT494" t="s">
        <v>100</v>
      </c>
      <c r="AU494" t="s">
        <v>100</v>
      </c>
      <c r="AW494" t="s">
        <v>85</v>
      </c>
      <c r="AX494" t="s">
        <v>101</v>
      </c>
      <c r="AY494" t="s">
        <v>102</v>
      </c>
      <c r="AZ494" t="s">
        <v>145</v>
      </c>
      <c r="BA494" t="s">
        <v>354</v>
      </c>
      <c r="BB494" t="s">
        <v>78</v>
      </c>
      <c r="BC494" t="s">
        <v>78</v>
      </c>
      <c r="BE494">
        <v>0</v>
      </c>
      <c r="BF494">
        <v>0</v>
      </c>
      <c r="BG494">
        <v>0</v>
      </c>
      <c r="BH494">
        <v>0</v>
      </c>
      <c r="BJ494" t="s">
        <v>85</v>
      </c>
      <c r="BP494" t="s">
        <v>78</v>
      </c>
      <c r="BQ494" t="s">
        <v>78</v>
      </c>
      <c r="BR494" t="s">
        <v>78</v>
      </c>
    </row>
    <row r="495" customFormat="1" spans="1:70">
      <c r="A495" t="s">
        <v>4381</v>
      </c>
      <c r="B495" t="s">
        <v>4381</v>
      </c>
      <c r="C495" t="s">
        <v>107</v>
      </c>
      <c r="D495" t="s">
        <v>135</v>
      </c>
      <c r="E495">
        <v>1</v>
      </c>
      <c r="F495" t="s">
        <v>3857</v>
      </c>
      <c r="G495" t="s">
        <v>136</v>
      </c>
      <c r="H495">
        <v>289</v>
      </c>
      <c r="I495">
        <v>289</v>
      </c>
      <c r="J495">
        <v>0</v>
      </c>
      <c r="K495">
        <v>0</v>
      </c>
      <c r="L495" t="s">
        <v>78</v>
      </c>
      <c r="M495" t="s">
        <v>78</v>
      </c>
      <c r="N495" t="s">
        <v>78</v>
      </c>
      <c r="O495">
        <v>0</v>
      </c>
      <c r="P495">
        <v>0</v>
      </c>
      <c r="Q495">
        <v>0</v>
      </c>
      <c r="R495" t="s">
        <v>79</v>
      </c>
      <c r="S495">
        <v>0</v>
      </c>
      <c r="T495" t="s">
        <v>80</v>
      </c>
      <c r="U495" t="s">
        <v>80</v>
      </c>
      <c r="V495" t="s">
        <v>302</v>
      </c>
      <c r="W495" t="s">
        <v>1358</v>
      </c>
      <c r="X495" t="s">
        <v>1359</v>
      </c>
      <c r="Y495" t="s">
        <v>1360</v>
      </c>
      <c r="Z495" t="s">
        <v>80</v>
      </c>
      <c r="AA495" t="s">
        <v>85</v>
      </c>
      <c r="AC495" t="s">
        <v>3311</v>
      </c>
      <c r="AD495" t="s">
        <v>87</v>
      </c>
      <c r="AG495" t="s">
        <v>3312</v>
      </c>
      <c r="AH495" t="s">
        <v>91</v>
      </c>
      <c r="AI495" t="s">
        <v>216</v>
      </c>
      <c r="AJ495" t="s">
        <v>131</v>
      </c>
      <c r="AK495" t="s">
        <v>3313</v>
      </c>
      <c r="AL495" t="s">
        <v>95</v>
      </c>
      <c r="AM495" t="s">
        <v>96</v>
      </c>
      <c r="AN495" t="s">
        <v>96</v>
      </c>
      <c r="AP495" t="s">
        <v>78</v>
      </c>
      <c r="AQ495" t="s">
        <v>99</v>
      </c>
      <c r="AS495" t="s">
        <v>78</v>
      </c>
      <c r="AT495" t="s">
        <v>100</v>
      </c>
      <c r="AU495" t="s">
        <v>100</v>
      </c>
      <c r="AW495" t="s">
        <v>85</v>
      </c>
      <c r="AX495" t="s">
        <v>101</v>
      </c>
      <c r="AY495" t="s">
        <v>102</v>
      </c>
      <c r="AZ495" t="s">
        <v>145</v>
      </c>
      <c r="BA495" t="s">
        <v>218</v>
      </c>
      <c r="BB495" t="s">
        <v>78</v>
      </c>
      <c r="BC495" t="s">
        <v>78</v>
      </c>
      <c r="BE495">
        <v>0</v>
      </c>
      <c r="BF495">
        <v>0</v>
      </c>
      <c r="BG495">
        <v>0</v>
      </c>
      <c r="BH495">
        <v>0</v>
      </c>
      <c r="BJ495" t="s">
        <v>85</v>
      </c>
      <c r="BP495" t="s">
        <v>78</v>
      </c>
      <c r="BQ495" t="s">
        <v>78</v>
      </c>
      <c r="BR495" t="s">
        <v>78</v>
      </c>
    </row>
    <row r="496" customFormat="1" spans="1:70">
      <c r="A496" t="s">
        <v>4382</v>
      </c>
      <c r="B496" t="s">
        <v>4382</v>
      </c>
      <c r="C496" t="s">
        <v>1050</v>
      </c>
      <c r="D496" t="s">
        <v>2255</v>
      </c>
      <c r="E496">
        <v>1</v>
      </c>
      <c r="F496" t="s">
        <v>3991</v>
      </c>
      <c r="G496" t="s">
        <v>2256</v>
      </c>
      <c r="H496">
        <v>129</v>
      </c>
      <c r="I496">
        <v>129</v>
      </c>
      <c r="J496">
        <v>0</v>
      </c>
      <c r="K496">
        <v>0</v>
      </c>
      <c r="L496" t="s">
        <v>78</v>
      </c>
      <c r="M496" t="s">
        <v>78</v>
      </c>
      <c r="N496" t="s">
        <v>78</v>
      </c>
      <c r="O496">
        <v>0</v>
      </c>
      <c r="P496">
        <v>0</v>
      </c>
      <c r="Q496">
        <v>0</v>
      </c>
      <c r="R496" t="s">
        <v>125</v>
      </c>
      <c r="S496">
        <v>0</v>
      </c>
      <c r="T496" t="s">
        <v>80</v>
      </c>
      <c r="U496" t="s">
        <v>80</v>
      </c>
      <c r="V496" t="s">
        <v>112</v>
      </c>
      <c r="W496" t="s">
        <v>113</v>
      </c>
      <c r="X496" t="s">
        <v>881</v>
      </c>
      <c r="Y496" t="s">
        <v>3315</v>
      </c>
      <c r="Z496" t="s">
        <v>80</v>
      </c>
      <c r="AA496" t="s">
        <v>85</v>
      </c>
      <c r="AC496" t="s">
        <v>3316</v>
      </c>
      <c r="AD496" t="s">
        <v>202</v>
      </c>
      <c r="AE496" t="s">
        <v>3317</v>
      </c>
      <c r="AG496" t="s">
        <v>3318</v>
      </c>
      <c r="AH496" t="s">
        <v>91</v>
      </c>
      <c r="AI496" t="s">
        <v>92</v>
      </c>
      <c r="AJ496" t="s">
        <v>131</v>
      </c>
      <c r="AK496" t="s">
        <v>3319</v>
      </c>
      <c r="AL496" t="s">
        <v>95</v>
      </c>
      <c r="AM496" t="s">
        <v>96</v>
      </c>
      <c r="AN496" t="s">
        <v>97</v>
      </c>
      <c r="AO496" t="s">
        <v>98</v>
      </c>
      <c r="AP496" t="s">
        <v>78</v>
      </c>
      <c r="AQ496" t="s">
        <v>99</v>
      </c>
      <c r="AS496" t="s">
        <v>78</v>
      </c>
      <c r="AT496" t="s">
        <v>100</v>
      </c>
      <c r="AU496" t="s">
        <v>100</v>
      </c>
      <c r="AW496" t="s">
        <v>85</v>
      </c>
      <c r="AX496" t="s">
        <v>103</v>
      </c>
      <c r="AY496" t="s">
        <v>159</v>
      </c>
      <c r="AZ496" t="s">
        <v>103</v>
      </c>
      <c r="BA496" t="s">
        <v>104</v>
      </c>
      <c r="BB496" t="s">
        <v>78</v>
      </c>
      <c r="BC496" t="s">
        <v>78</v>
      </c>
      <c r="BD496" t="s">
        <v>3320</v>
      </c>
      <c r="BE496">
        <v>0</v>
      </c>
      <c r="BF496">
        <v>0</v>
      </c>
      <c r="BG496">
        <v>0</v>
      </c>
      <c r="BH496">
        <v>0</v>
      </c>
      <c r="BJ496" t="s">
        <v>85</v>
      </c>
      <c r="BP496" t="s">
        <v>78</v>
      </c>
      <c r="BQ496" t="s">
        <v>78</v>
      </c>
      <c r="BR496" t="s">
        <v>78</v>
      </c>
    </row>
    <row r="497" customFormat="1" spans="1:70">
      <c r="A497" t="s">
        <v>4383</v>
      </c>
      <c r="B497" t="s">
        <v>4383</v>
      </c>
      <c r="C497" t="s">
        <v>1050</v>
      </c>
      <c r="D497" t="s">
        <v>1377</v>
      </c>
      <c r="E497">
        <v>1</v>
      </c>
      <c r="F497" t="s">
        <v>3991</v>
      </c>
      <c r="G497" t="s">
        <v>1378</v>
      </c>
      <c r="H497">
        <v>129</v>
      </c>
      <c r="I497">
        <v>129</v>
      </c>
      <c r="J497">
        <v>0</v>
      </c>
      <c r="K497">
        <v>0</v>
      </c>
      <c r="L497" t="s">
        <v>78</v>
      </c>
      <c r="M497" t="s">
        <v>78</v>
      </c>
      <c r="N497" t="s">
        <v>78</v>
      </c>
      <c r="O497">
        <v>0</v>
      </c>
      <c r="P497">
        <v>0</v>
      </c>
      <c r="Q497">
        <v>0</v>
      </c>
      <c r="R497" t="s">
        <v>79</v>
      </c>
      <c r="S497">
        <v>0</v>
      </c>
      <c r="T497" t="s">
        <v>80</v>
      </c>
      <c r="U497" t="s">
        <v>80</v>
      </c>
      <c r="V497" t="s">
        <v>447</v>
      </c>
      <c r="W497" t="s">
        <v>3322</v>
      </c>
      <c r="X497" t="s">
        <v>3323</v>
      </c>
      <c r="Y497" t="s">
        <v>3324</v>
      </c>
      <c r="Z497" t="s">
        <v>80</v>
      </c>
      <c r="AA497" t="s">
        <v>85</v>
      </c>
      <c r="AC497" t="s">
        <v>3325</v>
      </c>
      <c r="AD497" t="s">
        <v>202</v>
      </c>
      <c r="AE497" t="s">
        <v>3326</v>
      </c>
      <c r="AG497" t="s">
        <v>3327</v>
      </c>
      <c r="AH497" t="s">
        <v>91</v>
      </c>
      <c r="AI497" t="s">
        <v>92</v>
      </c>
      <c r="AJ497" t="s">
        <v>131</v>
      </c>
      <c r="AK497" t="s">
        <v>3328</v>
      </c>
      <c r="AL497" t="s">
        <v>95</v>
      </c>
      <c r="AM497" t="s">
        <v>96</v>
      </c>
      <c r="AN497" t="s">
        <v>97</v>
      </c>
      <c r="AO497" t="s">
        <v>98</v>
      </c>
      <c r="AP497" t="s">
        <v>78</v>
      </c>
      <c r="AQ497" t="s">
        <v>99</v>
      </c>
      <c r="AS497" t="s">
        <v>78</v>
      </c>
      <c r="AT497" t="s">
        <v>100</v>
      </c>
      <c r="AU497" t="s">
        <v>100</v>
      </c>
      <c r="AW497" t="s">
        <v>85</v>
      </c>
      <c r="AX497" t="s">
        <v>101</v>
      </c>
      <c r="AY497" t="s">
        <v>102</v>
      </c>
      <c r="AZ497" t="s">
        <v>103</v>
      </c>
      <c r="BA497" t="s">
        <v>120</v>
      </c>
      <c r="BB497" t="s">
        <v>78</v>
      </c>
      <c r="BC497" t="s">
        <v>78</v>
      </c>
      <c r="BD497" t="s">
        <v>3329</v>
      </c>
      <c r="BE497">
        <v>0</v>
      </c>
      <c r="BF497">
        <v>0</v>
      </c>
      <c r="BG497">
        <v>0</v>
      </c>
      <c r="BH497">
        <v>0</v>
      </c>
      <c r="BJ497" t="s">
        <v>85</v>
      </c>
      <c r="BP497" t="s">
        <v>78</v>
      </c>
      <c r="BQ497" t="s">
        <v>78</v>
      </c>
      <c r="BR497" t="s">
        <v>78</v>
      </c>
    </row>
    <row r="498" customFormat="1" ht="168" spans="1:70">
      <c r="A498" t="s">
        <v>4384</v>
      </c>
      <c r="B498" t="s">
        <v>4384</v>
      </c>
      <c r="C498" t="s">
        <v>107</v>
      </c>
      <c r="D498" t="s">
        <v>123</v>
      </c>
      <c r="E498">
        <v>1</v>
      </c>
      <c r="F498" t="s">
        <v>3857</v>
      </c>
      <c r="G498" t="s">
        <v>124</v>
      </c>
      <c r="H498">
        <v>289</v>
      </c>
      <c r="I498">
        <v>289</v>
      </c>
      <c r="J498">
        <v>0</v>
      </c>
      <c r="K498">
        <v>0</v>
      </c>
      <c r="L498" t="s">
        <v>78</v>
      </c>
      <c r="M498" t="s">
        <v>78</v>
      </c>
      <c r="N498" t="s">
        <v>78</v>
      </c>
      <c r="O498">
        <v>0</v>
      </c>
      <c r="P498">
        <v>0</v>
      </c>
      <c r="Q498">
        <v>0</v>
      </c>
      <c r="R498" t="s">
        <v>79</v>
      </c>
      <c r="S498">
        <v>0</v>
      </c>
      <c r="T498" t="s">
        <v>80</v>
      </c>
      <c r="U498" t="s">
        <v>80</v>
      </c>
      <c r="V498" t="s">
        <v>500</v>
      </c>
      <c r="W498" t="s">
        <v>991</v>
      </c>
      <c r="X498" t="s">
        <v>992</v>
      </c>
      <c r="Y498" t="s">
        <v>993</v>
      </c>
      <c r="Z498" t="s">
        <v>80</v>
      </c>
      <c r="AA498" t="s">
        <v>85</v>
      </c>
      <c r="AC498" t="s">
        <v>3331</v>
      </c>
      <c r="AD498" t="s">
        <v>202</v>
      </c>
      <c r="AE498" s="1" t="s">
        <v>3332</v>
      </c>
      <c r="AG498" t="s">
        <v>3333</v>
      </c>
      <c r="AH498" t="s">
        <v>227</v>
      </c>
      <c r="AI498" t="s">
        <v>92</v>
      </c>
      <c r="AJ498" t="s">
        <v>131</v>
      </c>
      <c r="AK498" t="s">
        <v>3334</v>
      </c>
      <c r="AL498" t="s">
        <v>95</v>
      </c>
      <c r="AM498" t="s">
        <v>96</v>
      </c>
      <c r="AN498" t="s">
        <v>97</v>
      </c>
      <c r="AO498" t="s">
        <v>98</v>
      </c>
      <c r="AP498" t="s">
        <v>78</v>
      </c>
      <c r="AQ498" t="s">
        <v>99</v>
      </c>
      <c r="AS498" t="s">
        <v>78</v>
      </c>
      <c r="AT498" t="s">
        <v>100</v>
      </c>
      <c r="AU498" t="s">
        <v>100</v>
      </c>
      <c r="AW498" t="s">
        <v>85</v>
      </c>
      <c r="AX498" t="s">
        <v>101</v>
      </c>
      <c r="AY498" t="s">
        <v>102</v>
      </c>
      <c r="AZ498" t="s">
        <v>103</v>
      </c>
      <c r="BA498" t="s">
        <v>104</v>
      </c>
      <c r="BB498" t="s">
        <v>78</v>
      </c>
      <c r="BC498" t="s">
        <v>78</v>
      </c>
      <c r="BD498" t="s">
        <v>3335</v>
      </c>
      <c r="BE498">
        <v>0</v>
      </c>
      <c r="BF498">
        <v>0</v>
      </c>
      <c r="BG498">
        <v>0</v>
      </c>
      <c r="BH498">
        <v>0</v>
      </c>
      <c r="BJ498" t="s">
        <v>85</v>
      </c>
      <c r="BP498" t="s">
        <v>78</v>
      </c>
      <c r="BQ498" t="s">
        <v>78</v>
      </c>
      <c r="BR498" t="s">
        <v>78</v>
      </c>
    </row>
    <row r="499" customFormat="1" spans="1:70">
      <c r="A499" t="s">
        <v>4385</v>
      </c>
      <c r="B499" t="s">
        <v>4385</v>
      </c>
      <c r="C499" t="s">
        <v>1050</v>
      </c>
      <c r="D499" t="s">
        <v>2255</v>
      </c>
      <c r="E499">
        <v>1</v>
      </c>
      <c r="F499" t="s">
        <v>3991</v>
      </c>
      <c r="G499" t="s">
        <v>2256</v>
      </c>
      <c r="H499">
        <v>129</v>
      </c>
      <c r="I499">
        <v>129</v>
      </c>
      <c r="J499">
        <v>0</v>
      </c>
      <c r="K499">
        <v>0</v>
      </c>
      <c r="L499" t="s">
        <v>78</v>
      </c>
      <c r="M499" t="s">
        <v>78</v>
      </c>
      <c r="N499" t="s">
        <v>78</v>
      </c>
      <c r="O499">
        <v>0</v>
      </c>
      <c r="P499">
        <v>0</v>
      </c>
      <c r="Q499">
        <v>0</v>
      </c>
      <c r="R499" t="s">
        <v>125</v>
      </c>
      <c r="S499">
        <v>0</v>
      </c>
      <c r="T499" t="s">
        <v>80</v>
      </c>
      <c r="U499" t="s">
        <v>80</v>
      </c>
      <c r="V499" t="s">
        <v>112</v>
      </c>
      <c r="W499" t="s">
        <v>113</v>
      </c>
      <c r="X499" t="s">
        <v>881</v>
      </c>
      <c r="Y499" t="s">
        <v>3315</v>
      </c>
      <c r="Z499" t="s">
        <v>80</v>
      </c>
      <c r="AA499" t="s">
        <v>85</v>
      </c>
      <c r="AC499" t="s">
        <v>3337</v>
      </c>
      <c r="AD499" t="s">
        <v>87</v>
      </c>
      <c r="AG499" t="s">
        <v>3338</v>
      </c>
      <c r="AH499" t="s">
        <v>91</v>
      </c>
      <c r="AI499" t="s">
        <v>92</v>
      </c>
      <c r="AJ499" t="s">
        <v>131</v>
      </c>
      <c r="AK499" t="s">
        <v>3339</v>
      </c>
      <c r="AL499" t="s">
        <v>95</v>
      </c>
      <c r="AM499" t="s">
        <v>96</v>
      </c>
      <c r="AN499" t="s">
        <v>97</v>
      </c>
      <c r="AO499" t="s">
        <v>98</v>
      </c>
      <c r="AP499" t="s">
        <v>78</v>
      </c>
      <c r="AQ499" t="s">
        <v>99</v>
      </c>
      <c r="AS499" t="s">
        <v>78</v>
      </c>
      <c r="AT499" t="s">
        <v>100</v>
      </c>
      <c r="AU499" t="s">
        <v>100</v>
      </c>
      <c r="AW499" t="s">
        <v>85</v>
      </c>
      <c r="AX499" t="s">
        <v>101</v>
      </c>
      <c r="AY499" t="s">
        <v>102</v>
      </c>
      <c r="AZ499" t="s">
        <v>103</v>
      </c>
      <c r="BA499" t="s">
        <v>245</v>
      </c>
      <c r="BB499" t="s">
        <v>78</v>
      </c>
      <c r="BC499" t="s">
        <v>78</v>
      </c>
      <c r="BE499">
        <v>0</v>
      </c>
      <c r="BF499">
        <v>0</v>
      </c>
      <c r="BG499">
        <v>0</v>
      </c>
      <c r="BH499">
        <v>0</v>
      </c>
      <c r="BJ499" t="s">
        <v>85</v>
      </c>
      <c r="BP499" t="s">
        <v>78</v>
      </c>
      <c r="BQ499" t="s">
        <v>78</v>
      </c>
      <c r="BR499" t="s">
        <v>78</v>
      </c>
    </row>
    <row r="500" customFormat="1" spans="1:70">
      <c r="A500" t="s">
        <v>4386</v>
      </c>
      <c r="B500" t="s">
        <v>4386</v>
      </c>
      <c r="C500" t="s">
        <v>1050</v>
      </c>
      <c r="D500" t="s">
        <v>1377</v>
      </c>
      <c r="E500">
        <v>1</v>
      </c>
      <c r="F500" t="s">
        <v>3991</v>
      </c>
      <c r="G500" t="s">
        <v>1378</v>
      </c>
      <c r="H500">
        <v>129</v>
      </c>
      <c r="I500">
        <v>129</v>
      </c>
      <c r="J500">
        <v>0</v>
      </c>
      <c r="K500">
        <v>0</v>
      </c>
      <c r="L500" t="s">
        <v>78</v>
      </c>
      <c r="M500" t="s">
        <v>78</v>
      </c>
      <c r="N500" t="s">
        <v>78</v>
      </c>
      <c r="O500">
        <v>0</v>
      </c>
      <c r="P500">
        <v>0</v>
      </c>
      <c r="Q500">
        <v>0</v>
      </c>
      <c r="R500" t="s">
        <v>79</v>
      </c>
      <c r="S500">
        <v>0</v>
      </c>
      <c r="T500" t="s">
        <v>80</v>
      </c>
      <c r="U500" t="s">
        <v>80</v>
      </c>
      <c r="V500" t="s">
        <v>161</v>
      </c>
      <c r="W500" t="s">
        <v>161</v>
      </c>
      <c r="X500" t="s">
        <v>162</v>
      </c>
      <c r="Y500" t="s">
        <v>2434</v>
      </c>
      <c r="Z500" t="s">
        <v>80</v>
      </c>
      <c r="AA500" t="s">
        <v>85</v>
      </c>
      <c r="AC500" t="s">
        <v>3341</v>
      </c>
      <c r="AD500" t="s">
        <v>87</v>
      </c>
      <c r="AF500" t="s">
        <v>3342</v>
      </c>
      <c r="AG500" t="s">
        <v>3343</v>
      </c>
      <c r="AH500" t="s">
        <v>91</v>
      </c>
      <c r="AI500" t="s">
        <v>92</v>
      </c>
      <c r="AJ500" t="s">
        <v>93</v>
      </c>
      <c r="AK500" t="s">
        <v>3344</v>
      </c>
      <c r="AL500" t="s">
        <v>95</v>
      </c>
      <c r="AM500" t="s">
        <v>96</v>
      </c>
      <c r="AN500" t="s">
        <v>97</v>
      </c>
      <c r="AO500" t="s">
        <v>98</v>
      </c>
      <c r="AP500" t="s">
        <v>78</v>
      </c>
      <c r="AQ500" t="s">
        <v>78</v>
      </c>
      <c r="AS500" t="s">
        <v>78</v>
      </c>
      <c r="AT500" t="s">
        <v>100</v>
      </c>
      <c r="AU500" t="s">
        <v>100</v>
      </c>
      <c r="AW500" t="s">
        <v>85</v>
      </c>
      <c r="AX500" t="s">
        <v>101</v>
      </c>
      <c r="AY500" t="s">
        <v>102</v>
      </c>
      <c r="AZ500" t="s">
        <v>103</v>
      </c>
      <c r="BA500" t="s">
        <v>120</v>
      </c>
      <c r="BB500" t="s">
        <v>78</v>
      </c>
      <c r="BC500" t="s">
        <v>78</v>
      </c>
      <c r="BD500" t="s">
        <v>3345</v>
      </c>
      <c r="BE500">
        <v>0</v>
      </c>
      <c r="BF500">
        <v>0</v>
      </c>
      <c r="BG500">
        <v>0</v>
      </c>
      <c r="BH500">
        <v>0</v>
      </c>
      <c r="BJ500" t="s">
        <v>85</v>
      </c>
      <c r="BP500" t="s">
        <v>78</v>
      </c>
      <c r="BQ500" t="s">
        <v>78</v>
      </c>
      <c r="BR500" t="s">
        <v>78</v>
      </c>
    </row>
    <row r="501" customFormat="1" spans="1:70">
      <c r="A501" t="s">
        <v>4387</v>
      </c>
      <c r="B501" t="s">
        <v>4387</v>
      </c>
      <c r="C501" t="s">
        <v>107</v>
      </c>
      <c r="D501" t="s">
        <v>108</v>
      </c>
      <c r="E501">
        <v>1</v>
      </c>
      <c r="F501" t="s">
        <v>3857</v>
      </c>
      <c r="G501" t="s">
        <v>110</v>
      </c>
      <c r="H501">
        <v>289</v>
      </c>
      <c r="I501">
        <v>289</v>
      </c>
      <c r="J501">
        <v>0</v>
      </c>
      <c r="K501">
        <v>0</v>
      </c>
      <c r="L501" t="s">
        <v>78</v>
      </c>
      <c r="M501" t="s">
        <v>78</v>
      </c>
      <c r="N501" t="s">
        <v>78</v>
      </c>
      <c r="O501">
        <v>0</v>
      </c>
      <c r="P501">
        <v>0</v>
      </c>
      <c r="Q501">
        <v>0</v>
      </c>
      <c r="R501" t="s">
        <v>111</v>
      </c>
      <c r="S501">
        <v>0</v>
      </c>
      <c r="T501" t="s">
        <v>80</v>
      </c>
      <c r="U501" t="s">
        <v>80</v>
      </c>
      <c r="V501" t="s">
        <v>464</v>
      </c>
      <c r="W501" t="s">
        <v>637</v>
      </c>
      <c r="X501" t="s">
        <v>3347</v>
      </c>
      <c r="Y501" t="s">
        <v>78</v>
      </c>
      <c r="Z501" t="s">
        <v>80</v>
      </c>
      <c r="AA501" t="s">
        <v>85</v>
      </c>
      <c r="AC501" t="s">
        <v>3348</v>
      </c>
      <c r="AD501" t="s">
        <v>87</v>
      </c>
      <c r="AG501" t="s">
        <v>3349</v>
      </c>
      <c r="AH501" t="s">
        <v>227</v>
      </c>
      <c r="AI501" t="s">
        <v>92</v>
      </c>
      <c r="AJ501" t="s">
        <v>131</v>
      </c>
      <c r="AK501" t="s">
        <v>3350</v>
      </c>
      <c r="AL501" t="s">
        <v>95</v>
      </c>
      <c r="AM501" t="s">
        <v>96</v>
      </c>
      <c r="AN501" t="s">
        <v>97</v>
      </c>
      <c r="AO501" t="s">
        <v>98</v>
      </c>
      <c r="AP501" t="s">
        <v>78</v>
      </c>
      <c r="AQ501" t="s">
        <v>99</v>
      </c>
      <c r="AS501" t="s">
        <v>78</v>
      </c>
      <c r="AT501" t="s">
        <v>100</v>
      </c>
      <c r="AU501" t="s">
        <v>100</v>
      </c>
      <c r="AW501" t="s">
        <v>85</v>
      </c>
      <c r="AX501" t="s">
        <v>101</v>
      </c>
      <c r="AY501" t="s">
        <v>102</v>
      </c>
      <c r="AZ501" t="s">
        <v>103</v>
      </c>
      <c r="BA501" t="s">
        <v>133</v>
      </c>
      <c r="BB501" t="s">
        <v>78</v>
      </c>
      <c r="BC501" t="s">
        <v>78</v>
      </c>
      <c r="BE501">
        <v>0</v>
      </c>
      <c r="BF501">
        <v>0</v>
      </c>
      <c r="BG501">
        <v>0</v>
      </c>
      <c r="BH501">
        <v>0</v>
      </c>
      <c r="BJ501" t="s">
        <v>85</v>
      </c>
      <c r="BP501" t="s">
        <v>78</v>
      </c>
      <c r="BQ501" t="s">
        <v>78</v>
      </c>
      <c r="BR501" t="s">
        <v>78</v>
      </c>
    </row>
    <row r="502" customFormat="1" spans="1:70">
      <c r="A502" t="s">
        <v>4388</v>
      </c>
      <c r="B502" t="s">
        <v>4388</v>
      </c>
      <c r="C502" t="s">
        <v>107</v>
      </c>
      <c r="D502" t="s">
        <v>135</v>
      </c>
      <c r="E502">
        <v>1</v>
      </c>
      <c r="F502" t="s">
        <v>3857</v>
      </c>
      <c r="G502" t="s">
        <v>136</v>
      </c>
      <c r="H502">
        <v>289</v>
      </c>
      <c r="I502">
        <v>281</v>
      </c>
      <c r="J502">
        <v>0</v>
      </c>
      <c r="K502">
        <v>8</v>
      </c>
      <c r="L502" t="s">
        <v>3352</v>
      </c>
      <c r="M502" t="s">
        <v>78</v>
      </c>
      <c r="N502" t="s">
        <v>78</v>
      </c>
      <c r="O502">
        <v>0</v>
      </c>
      <c r="P502">
        <v>0</v>
      </c>
      <c r="Q502">
        <v>0</v>
      </c>
      <c r="R502" t="s">
        <v>125</v>
      </c>
      <c r="S502">
        <v>0</v>
      </c>
      <c r="T502" t="s">
        <v>80</v>
      </c>
      <c r="U502" t="s">
        <v>80</v>
      </c>
      <c r="V502" t="s">
        <v>2720</v>
      </c>
      <c r="W502" t="s">
        <v>3353</v>
      </c>
      <c r="X502" t="s">
        <v>3353</v>
      </c>
      <c r="Y502" t="s">
        <v>3354</v>
      </c>
      <c r="Z502" t="s">
        <v>80</v>
      </c>
      <c r="AA502" t="s">
        <v>85</v>
      </c>
      <c r="AC502" t="s">
        <v>3355</v>
      </c>
      <c r="AD502" t="s">
        <v>87</v>
      </c>
      <c r="AG502" t="s">
        <v>3356</v>
      </c>
      <c r="AH502" t="s">
        <v>91</v>
      </c>
      <c r="AI502" t="s">
        <v>92</v>
      </c>
      <c r="AJ502" t="s">
        <v>131</v>
      </c>
      <c r="AK502" t="s">
        <v>3357</v>
      </c>
      <c r="AL502" t="s">
        <v>95</v>
      </c>
      <c r="AM502" t="s">
        <v>96</v>
      </c>
      <c r="AN502" t="s">
        <v>97</v>
      </c>
      <c r="AO502" t="s">
        <v>98</v>
      </c>
      <c r="AP502" t="s">
        <v>78</v>
      </c>
      <c r="AQ502" t="s">
        <v>99</v>
      </c>
      <c r="AS502" t="s">
        <v>78</v>
      </c>
      <c r="AT502" t="s">
        <v>100</v>
      </c>
      <c r="AU502" t="s">
        <v>100</v>
      </c>
      <c r="AW502" t="s">
        <v>85</v>
      </c>
      <c r="AX502" t="s">
        <v>101</v>
      </c>
      <c r="AY502" t="s">
        <v>102</v>
      </c>
      <c r="AZ502" t="s">
        <v>103</v>
      </c>
      <c r="BA502" t="s">
        <v>104</v>
      </c>
      <c r="BB502" t="s">
        <v>78</v>
      </c>
      <c r="BC502" t="s">
        <v>78</v>
      </c>
      <c r="BE502">
        <v>0</v>
      </c>
      <c r="BF502">
        <v>8</v>
      </c>
      <c r="BG502">
        <v>0</v>
      </c>
      <c r="BH502">
        <v>0</v>
      </c>
      <c r="BJ502" t="s">
        <v>85</v>
      </c>
      <c r="BP502" t="s">
        <v>78</v>
      </c>
      <c r="BQ502" t="s">
        <v>78</v>
      </c>
      <c r="BR502" t="s">
        <v>78</v>
      </c>
    </row>
    <row r="503" customFormat="1" spans="1:70">
      <c r="A503" t="s">
        <v>4389</v>
      </c>
      <c r="B503" t="s">
        <v>4389</v>
      </c>
      <c r="C503" t="s">
        <v>107</v>
      </c>
      <c r="D503" t="s">
        <v>108</v>
      </c>
      <c r="E503">
        <v>1</v>
      </c>
      <c r="F503" t="s">
        <v>3857</v>
      </c>
      <c r="G503" t="s">
        <v>110</v>
      </c>
      <c r="H503">
        <v>289</v>
      </c>
      <c r="I503">
        <v>289</v>
      </c>
      <c r="J503">
        <v>0</v>
      </c>
      <c r="K503">
        <v>0</v>
      </c>
      <c r="L503" t="s">
        <v>78</v>
      </c>
      <c r="M503" t="s">
        <v>78</v>
      </c>
      <c r="N503" t="s">
        <v>78</v>
      </c>
      <c r="O503">
        <v>0</v>
      </c>
      <c r="P503">
        <v>0</v>
      </c>
      <c r="Q503">
        <v>0</v>
      </c>
      <c r="R503" t="s">
        <v>79</v>
      </c>
      <c r="S503">
        <v>0</v>
      </c>
      <c r="T503" t="s">
        <v>80</v>
      </c>
      <c r="U503" t="s">
        <v>80</v>
      </c>
      <c r="V503" t="s">
        <v>464</v>
      </c>
      <c r="W503" t="s">
        <v>1460</v>
      </c>
      <c r="X503" t="s">
        <v>2733</v>
      </c>
      <c r="Y503" t="s">
        <v>2734</v>
      </c>
      <c r="Z503" t="s">
        <v>80</v>
      </c>
      <c r="AA503" t="s">
        <v>85</v>
      </c>
      <c r="AC503" t="s">
        <v>3359</v>
      </c>
      <c r="AD503" t="s">
        <v>87</v>
      </c>
      <c r="AG503" t="s">
        <v>3360</v>
      </c>
      <c r="AH503" t="s">
        <v>91</v>
      </c>
      <c r="AI503" t="s">
        <v>92</v>
      </c>
      <c r="AJ503" t="s">
        <v>131</v>
      </c>
      <c r="AK503" t="s">
        <v>3361</v>
      </c>
      <c r="AL503" t="s">
        <v>95</v>
      </c>
      <c r="AM503" t="s">
        <v>96</v>
      </c>
      <c r="AN503" t="s">
        <v>97</v>
      </c>
      <c r="AO503" t="s">
        <v>98</v>
      </c>
      <c r="AP503" t="s">
        <v>78</v>
      </c>
      <c r="AQ503" t="s">
        <v>99</v>
      </c>
      <c r="AS503" t="s">
        <v>78</v>
      </c>
      <c r="AT503" t="s">
        <v>100</v>
      </c>
      <c r="AU503" t="s">
        <v>100</v>
      </c>
      <c r="AW503" t="s">
        <v>85</v>
      </c>
      <c r="AX503" t="s">
        <v>103</v>
      </c>
      <c r="AY503" t="s">
        <v>159</v>
      </c>
      <c r="AZ503" t="s">
        <v>103</v>
      </c>
      <c r="BA503" t="s">
        <v>104</v>
      </c>
      <c r="BB503" t="s">
        <v>78</v>
      </c>
      <c r="BC503" t="s">
        <v>78</v>
      </c>
      <c r="BE503">
        <v>0</v>
      </c>
      <c r="BF503">
        <v>0</v>
      </c>
      <c r="BG503">
        <v>0</v>
      </c>
      <c r="BH503">
        <v>0</v>
      </c>
      <c r="BJ503" t="s">
        <v>85</v>
      </c>
      <c r="BP503" t="s">
        <v>78</v>
      </c>
      <c r="BQ503" t="s">
        <v>78</v>
      </c>
      <c r="BR503" t="s">
        <v>78</v>
      </c>
    </row>
    <row r="504" customFormat="1" spans="1:70">
      <c r="A504" t="s">
        <v>4390</v>
      </c>
      <c r="B504" t="s">
        <v>4390</v>
      </c>
      <c r="C504" t="s">
        <v>1050</v>
      </c>
      <c r="D504" t="s">
        <v>1377</v>
      </c>
      <c r="E504">
        <v>1</v>
      </c>
      <c r="F504" t="s">
        <v>3991</v>
      </c>
      <c r="G504" t="s">
        <v>1378</v>
      </c>
      <c r="H504">
        <v>129</v>
      </c>
      <c r="I504">
        <v>129</v>
      </c>
      <c r="J504">
        <v>0</v>
      </c>
      <c r="K504">
        <v>0</v>
      </c>
      <c r="L504" t="s">
        <v>78</v>
      </c>
      <c r="M504" t="s">
        <v>78</v>
      </c>
      <c r="N504" t="s">
        <v>78</v>
      </c>
      <c r="O504">
        <v>0</v>
      </c>
      <c r="P504">
        <v>0</v>
      </c>
      <c r="Q504">
        <v>0</v>
      </c>
      <c r="R504" t="s">
        <v>79</v>
      </c>
      <c r="S504">
        <v>0</v>
      </c>
      <c r="T504" t="s">
        <v>80</v>
      </c>
      <c r="U504" t="s">
        <v>80</v>
      </c>
      <c r="V504" t="s">
        <v>302</v>
      </c>
      <c r="W504" t="s">
        <v>2833</v>
      </c>
      <c r="X504" t="s">
        <v>3363</v>
      </c>
      <c r="Y504" t="s">
        <v>84</v>
      </c>
      <c r="Z504" t="s">
        <v>80</v>
      </c>
      <c r="AA504" t="s">
        <v>85</v>
      </c>
      <c r="AC504" t="s">
        <v>3364</v>
      </c>
      <c r="AD504" t="s">
        <v>202</v>
      </c>
      <c r="AE504" t="s">
        <v>3365</v>
      </c>
      <c r="AG504" t="s">
        <v>3366</v>
      </c>
      <c r="AH504" t="s">
        <v>91</v>
      </c>
      <c r="AI504" t="s">
        <v>92</v>
      </c>
      <c r="AJ504" t="s">
        <v>131</v>
      </c>
      <c r="AK504" t="s">
        <v>3367</v>
      </c>
      <c r="AL504" t="s">
        <v>95</v>
      </c>
      <c r="AM504" t="s">
        <v>96</v>
      </c>
      <c r="AN504" t="s">
        <v>97</v>
      </c>
      <c r="AO504" t="s">
        <v>98</v>
      </c>
      <c r="AP504" t="s">
        <v>78</v>
      </c>
      <c r="AQ504" t="s">
        <v>99</v>
      </c>
      <c r="AS504" t="s">
        <v>78</v>
      </c>
      <c r="AT504" t="s">
        <v>100</v>
      </c>
      <c r="AU504" t="s">
        <v>100</v>
      </c>
      <c r="AW504" t="s">
        <v>85</v>
      </c>
      <c r="AX504" t="s">
        <v>101</v>
      </c>
      <c r="AY504" t="s">
        <v>102</v>
      </c>
      <c r="AZ504" t="s">
        <v>103</v>
      </c>
      <c r="BA504" t="s">
        <v>133</v>
      </c>
      <c r="BB504" t="s">
        <v>78</v>
      </c>
      <c r="BC504" t="s">
        <v>78</v>
      </c>
      <c r="BD504" t="s">
        <v>3345</v>
      </c>
      <c r="BE504">
        <v>0</v>
      </c>
      <c r="BF504">
        <v>0</v>
      </c>
      <c r="BG504">
        <v>0</v>
      </c>
      <c r="BH504">
        <v>0</v>
      </c>
      <c r="BJ504" t="s">
        <v>85</v>
      </c>
      <c r="BP504" t="s">
        <v>78</v>
      </c>
      <c r="BQ504" t="s">
        <v>78</v>
      </c>
      <c r="BR504" t="s">
        <v>78</v>
      </c>
    </row>
    <row r="505" customFormat="1" spans="1:70">
      <c r="A505" t="s">
        <v>4391</v>
      </c>
      <c r="B505" t="s">
        <v>4391</v>
      </c>
      <c r="C505" t="s">
        <v>3369</v>
      </c>
      <c r="D505" t="s">
        <v>3370</v>
      </c>
      <c r="E505">
        <v>1</v>
      </c>
      <c r="F505" t="s">
        <v>4392</v>
      </c>
      <c r="G505" t="s">
        <v>3372</v>
      </c>
      <c r="H505">
        <v>239</v>
      </c>
      <c r="I505">
        <v>239</v>
      </c>
      <c r="J505">
        <v>0</v>
      </c>
      <c r="K505">
        <v>0</v>
      </c>
      <c r="L505" t="s">
        <v>78</v>
      </c>
      <c r="M505" t="s">
        <v>78</v>
      </c>
      <c r="N505" t="s">
        <v>78</v>
      </c>
      <c r="O505">
        <v>0</v>
      </c>
      <c r="P505">
        <v>0</v>
      </c>
      <c r="Q505">
        <v>0</v>
      </c>
      <c r="R505" t="s">
        <v>79</v>
      </c>
      <c r="S505">
        <v>0</v>
      </c>
      <c r="T505" t="s">
        <v>80</v>
      </c>
      <c r="U505" t="s">
        <v>80</v>
      </c>
      <c r="V505" t="s">
        <v>894</v>
      </c>
      <c r="W505" t="s">
        <v>1567</v>
      </c>
      <c r="X505" t="s">
        <v>3373</v>
      </c>
      <c r="Y505" t="s">
        <v>3374</v>
      </c>
      <c r="Z505" t="s">
        <v>80</v>
      </c>
      <c r="AA505" t="s">
        <v>85</v>
      </c>
      <c r="AC505" t="s">
        <v>3375</v>
      </c>
      <c r="AD505" t="s">
        <v>87</v>
      </c>
      <c r="AF505" t="s">
        <v>3376</v>
      </c>
      <c r="AG505" t="s">
        <v>3377</v>
      </c>
      <c r="AH505" t="s">
        <v>91</v>
      </c>
      <c r="AI505" t="s">
        <v>216</v>
      </c>
      <c r="AJ505" t="s">
        <v>93</v>
      </c>
      <c r="AK505" t="s">
        <v>3378</v>
      </c>
      <c r="AL505" t="s">
        <v>95</v>
      </c>
      <c r="AM505" t="s">
        <v>96</v>
      </c>
      <c r="AN505" t="s">
        <v>96</v>
      </c>
      <c r="AP505" t="s">
        <v>78</v>
      </c>
      <c r="AQ505" t="s">
        <v>78</v>
      </c>
      <c r="AS505" t="s">
        <v>78</v>
      </c>
      <c r="AT505" t="s">
        <v>100</v>
      </c>
      <c r="AU505" t="s">
        <v>100</v>
      </c>
      <c r="AW505" t="s">
        <v>85</v>
      </c>
      <c r="AX505" t="s">
        <v>101</v>
      </c>
      <c r="AY505" t="s">
        <v>102</v>
      </c>
      <c r="AZ505" t="s">
        <v>145</v>
      </c>
      <c r="BA505" t="s">
        <v>218</v>
      </c>
      <c r="BB505" t="s">
        <v>78</v>
      </c>
      <c r="BC505" t="s">
        <v>78</v>
      </c>
      <c r="BD505" t="s">
        <v>3379</v>
      </c>
      <c r="BE505">
        <v>0</v>
      </c>
      <c r="BF505">
        <v>0</v>
      </c>
      <c r="BG505">
        <v>0</v>
      </c>
      <c r="BH505">
        <v>0</v>
      </c>
      <c r="BJ505" t="s">
        <v>85</v>
      </c>
      <c r="BP505" t="s">
        <v>78</v>
      </c>
      <c r="BQ505" t="s">
        <v>78</v>
      </c>
      <c r="BR505" t="s">
        <v>78</v>
      </c>
    </row>
    <row r="506" customFormat="1" spans="1:70">
      <c r="A506" t="s">
        <v>4393</v>
      </c>
      <c r="B506" t="s">
        <v>4393</v>
      </c>
      <c r="C506" t="s">
        <v>1050</v>
      </c>
      <c r="D506" t="s">
        <v>1189</v>
      </c>
      <c r="E506">
        <v>1</v>
      </c>
      <c r="F506" t="s">
        <v>3991</v>
      </c>
      <c r="G506" t="s">
        <v>1190</v>
      </c>
      <c r="H506">
        <v>129</v>
      </c>
      <c r="I506">
        <v>117</v>
      </c>
      <c r="J506">
        <v>0</v>
      </c>
      <c r="K506">
        <v>12</v>
      </c>
      <c r="L506" t="s">
        <v>3381</v>
      </c>
      <c r="M506" t="s">
        <v>78</v>
      </c>
      <c r="N506" t="s">
        <v>78</v>
      </c>
      <c r="O506">
        <v>0</v>
      </c>
      <c r="P506">
        <v>0</v>
      </c>
      <c r="Q506">
        <v>0</v>
      </c>
      <c r="R506" t="s">
        <v>111</v>
      </c>
      <c r="S506">
        <v>0</v>
      </c>
      <c r="T506" t="s">
        <v>80</v>
      </c>
      <c r="U506" t="s">
        <v>80</v>
      </c>
      <c r="V506" t="s">
        <v>509</v>
      </c>
      <c r="W506" t="s">
        <v>510</v>
      </c>
      <c r="X506" t="s">
        <v>511</v>
      </c>
      <c r="Y506" t="s">
        <v>1257</v>
      </c>
      <c r="Z506" t="s">
        <v>80</v>
      </c>
      <c r="AA506" t="s">
        <v>85</v>
      </c>
      <c r="AC506" t="s">
        <v>3382</v>
      </c>
      <c r="AD506" t="s">
        <v>87</v>
      </c>
      <c r="AG506" t="s">
        <v>3383</v>
      </c>
      <c r="AH506" t="s">
        <v>91</v>
      </c>
      <c r="AI506" t="s">
        <v>92</v>
      </c>
      <c r="AJ506" t="s">
        <v>131</v>
      </c>
      <c r="AK506" t="s">
        <v>3384</v>
      </c>
      <c r="AL506" t="s">
        <v>95</v>
      </c>
      <c r="AM506" t="s">
        <v>96</v>
      </c>
      <c r="AN506" t="s">
        <v>97</v>
      </c>
      <c r="AO506" t="s">
        <v>98</v>
      </c>
      <c r="AP506" t="s">
        <v>78</v>
      </c>
      <c r="AQ506" t="s">
        <v>99</v>
      </c>
      <c r="AS506" t="s">
        <v>78</v>
      </c>
      <c r="AT506" t="s">
        <v>100</v>
      </c>
      <c r="AU506" t="s">
        <v>100</v>
      </c>
      <c r="AW506" t="s">
        <v>85</v>
      </c>
      <c r="AX506" t="s">
        <v>103</v>
      </c>
      <c r="AY506" t="s">
        <v>159</v>
      </c>
      <c r="AZ506" t="s">
        <v>103</v>
      </c>
      <c r="BA506" t="s">
        <v>104</v>
      </c>
      <c r="BB506" t="s">
        <v>78</v>
      </c>
      <c r="BC506" t="s">
        <v>78</v>
      </c>
      <c r="BE506">
        <v>0</v>
      </c>
      <c r="BF506">
        <v>12</v>
      </c>
      <c r="BG506">
        <v>0</v>
      </c>
      <c r="BH506">
        <v>0</v>
      </c>
      <c r="BJ506" t="s">
        <v>85</v>
      </c>
      <c r="BP506" t="s">
        <v>78</v>
      </c>
      <c r="BQ506" t="s">
        <v>78</v>
      </c>
      <c r="BR506" t="s">
        <v>78</v>
      </c>
    </row>
    <row r="507" customFormat="1" spans="1:70">
      <c r="A507" t="s">
        <v>4394</v>
      </c>
      <c r="B507" t="s">
        <v>4394</v>
      </c>
      <c r="C507" t="s">
        <v>1050</v>
      </c>
      <c r="D507" t="s">
        <v>1153</v>
      </c>
      <c r="E507">
        <v>1</v>
      </c>
      <c r="F507" t="s">
        <v>3991</v>
      </c>
      <c r="G507" t="s">
        <v>1154</v>
      </c>
      <c r="H507">
        <v>129</v>
      </c>
      <c r="I507">
        <v>129</v>
      </c>
      <c r="J507">
        <v>0</v>
      </c>
      <c r="K507">
        <v>0</v>
      </c>
      <c r="L507" t="s">
        <v>78</v>
      </c>
      <c r="M507" t="s">
        <v>78</v>
      </c>
      <c r="N507" t="s">
        <v>78</v>
      </c>
      <c r="O507">
        <v>0</v>
      </c>
      <c r="P507">
        <v>0</v>
      </c>
      <c r="Q507">
        <v>0</v>
      </c>
      <c r="R507" t="s">
        <v>125</v>
      </c>
      <c r="S507">
        <v>0</v>
      </c>
      <c r="T507" t="s">
        <v>80</v>
      </c>
      <c r="U507" t="s">
        <v>80</v>
      </c>
      <c r="V507" t="s">
        <v>302</v>
      </c>
      <c r="W507" t="s">
        <v>1394</v>
      </c>
      <c r="X507" t="s">
        <v>2346</v>
      </c>
      <c r="Y507" t="s">
        <v>2347</v>
      </c>
      <c r="Z507" t="s">
        <v>80</v>
      </c>
      <c r="AA507" t="s">
        <v>85</v>
      </c>
      <c r="AC507" t="s">
        <v>3386</v>
      </c>
      <c r="AD507" t="s">
        <v>87</v>
      </c>
      <c r="AF507" t="s">
        <v>3387</v>
      </c>
      <c r="AG507" t="s">
        <v>3388</v>
      </c>
      <c r="AH507" t="s">
        <v>91</v>
      </c>
      <c r="AI507" t="s">
        <v>92</v>
      </c>
      <c r="AJ507" t="s">
        <v>93</v>
      </c>
      <c r="AK507" t="s">
        <v>3389</v>
      </c>
      <c r="AL507" t="s">
        <v>95</v>
      </c>
      <c r="AM507" t="s">
        <v>96</v>
      </c>
      <c r="AN507" t="s">
        <v>97</v>
      </c>
      <c r="AO507" t="s">
        <v>98</v>
      </c>
      <c r="AP507" t="s">
        <v>78</v>
      </c>
      <c r="AQ507" t="s">
        <v>78</v>
      </c>
      <c r="AS507" t="s">
        <v>78</v>
      </c>
      <c r="AT507" t="s">
        <v>100</v>
      </c>
      <c r="AU507" t="s">
        <v>100</v>
      </c>
      <c r="AW507" t="s">
        <v>85</v>
      </c>
      <c r="AX507" t="s">
        <v>101</v>
      </c>
      <c r="AY507" t="s">
        <v>102</v>
      </c>
      <c r="AZ507" t="s">
        <v>103</v>
      </c>
      <c r="BA507" t="s">
        <v>120</v>
      </c>
      <c r="BB507" t="s">
        <v>78</v>
      </c>
      <c r="BC507" t="s">
        <v>78</v>
      </c>
      <c r="BD507" t="s">
        <v>3390</v>
      </c>
      <c r="BE507">
        <v>0</v>
      </c>
      <c r="BF507">
        <v>0</v>
      </c>
      <c r="BG507">
        <v>0</v>
      </c>
      <c r="BH507">
        <v>0</v>
      </c>
      <c r="BJ507" t="s">
        <v>85</v>
      </c>
      <c r="BP507" t="s">
        <v>78</v>
      </c>
      <c r="BQ507" t="s">
        <v>78</v>
      </c>
      <c r="BR507" t="s">
        <v>78</v>
      </c>
    </row>
    <row r="508" customFormat="1" spans="1:70">
      <c r="A508" t="s">
        <v>4395</v>
      </c>
      <c r="B508" t="s">
        <v>4395</v>
      </c>
      <c r="C508" t="s">
        <v>1050</v>
      </c>
      <c r="D508" t="s">
        <v>1377</v>
      </c>
      <c r="E508">
        <v>1</v>
      </c>
      <c r="F508" t="s">
        <v>3991</v>
      </c>
      <c r="G508" t="s">
        <v>1378</v>
      </c>
      <c r="H508">
        <v>129</v>
      </c>
      <c r="I508">
        <v>129</v>
      </c>
      <c r="J508">
        <v>0</v>
      </c>
      <c r="K508">
        <v>0</v>
      </c>
      <c r="L508" t="s">
        <v>78</v>
      </c>
      <c r="M508" t="s">
        <v>78</v>
      </c>
      <c r="N508" t="s">
        <v>78</v>
      </c>
      <c r="O508">
        <v>0</v>
      </c>
      <c r="P508">
        <v>0</v>
      </c>
      <c r="Q508">
        <v>0</v>
      </c>
      <c r="R508" t="s">
        <v>79</v>
      </c>
      <c r="S508">
        <v>0</v>
      </c>
      <c r="T508" t="s">
        <v>80</v>
      </c>
      <c r="U508" t="s">
        <v>80</v>
      </c>
      <c r="V508" t="s">
        <v>500</v>
      </c>
      <c r="W508" t="s">
        <v>3392</v>
      </c>
      <c r="X508" t="s">
        <v>3393</v>
      </c>
      <c r="Y508" t="s">
        <v>78</v>
      </c>
      <c r="Z508" t="s">
        <v>80</v>
      </c>
      <c r="AA508" t="s">
        <v>85</v>
      </c>
      <c r="AC508" t="s">
        <v>3394</v>
      </c>
      <c r="AD508" t="s">
        <v>87</v>
      </c>
      <c r="AG508" t="s">
        <v>3395</v>
      </c>
      <c r="AH508" t="s">
        <v>227</v>
      </c>
      <c r="AI508" t="s">
        <v>92</v>
      </c>
      <c r="AJ508" t="s">
        <v>131</v>
      </c>
      <c r="AK508" t="s">
        <v>3396</v>
      </c>
      <c r="AL508" t="s">
        <v>95</v>
      </c>
      <c r="AM508" t="s">
        <v>96</v>
      </c>
      <c r="AN508" t="s">
        <v>97</v>
      </c>
      <c r="AO508" t="s">
        <v>98</v>
      </c>
      <c r="AP508" t="s">
        <v>78</v>
      </c>
      <c r="AQ508" t="s">
        <v>99</v>
      </c>
      <c r="AS508" t="s">
        <v>78</v>
      </c>
      <c r="AT508" t="s">
        <v>100</v>
      </c>
      <c r="AU508" t="s">
        <v>100</v>
      </c>
      <c r="AW508" t="s">
        <v>85</v>
      </c>
      <c r="AX508" t="s">
        <v>103</v>
      </c>
      <c r="AY508" t="s">
        <v>159</v>
      </c>
      <c r="AZ508" t="s">
        <v>103</v>
      </c>
      <c r="BA508" t="s">
        <v>133</v>
      </c>
      <c r="BB508" t="s">
        <v>78</v>
      </c>
      <c r="BC508" t="s">
        <v>78</v>
      </c>
      <c r="BE508">
        <v>0</v>
      </c>
      <c r="BF508">
        <v>0</v>
      </c>
      <c r="BG508">
        <v>0</v>
      </c>
      <c r="BH508">
        <v>0</v>
      </c>
      <c r="BJ508" t="s">
        <v>85</v>
      </c>
      <c r="BP508" t="s">
        <v>78</v>
      </c>
      <c r="BQ508" t="s">
        <v>78</v>
      </c>
      <c r="BR508" t="s">
        <v>78</v>
      </c>
    </row>
    <row r="509" customFormat="1" spans="1:70">
      <c r="A509" t="s">
        <v>4396</v>
      </c>
      <c r="B509" t="s">
        <v>4396</v>
      </c>
      <c r="C509" t="s">
        <v>1050</v>
      </c>
      <c r="D509" t="s">
        <v>1189</v>
      </c>
      <c r="E509">
        <v>1</v>
      </c>
      <c r="F509" t="s">
        <v>3991</v>
      </c>
      <c r="G509" t="s">
        <v>1190</v>
      </c>
      <c r="H509">
        <v>129</v>
      </c>
      <c r="I509">
        <v>129</v>
      </c>
      <c r="J509">
        <v>0</v>
      </c>
      <c r="K509">
        <v>0</v>
      </c>
      <c r="L509" t="s">
        <v>78</v>
      </c>
      <c r="M509" t="s">
        <v>78</v>
      </c>
      <c r="N509" t="s">
        <v>78</v>
      </c>
      <c r="O509">
        <v>0</v>
      </c>
      <c r="P509">
        <v>0</v>
      </c>
      <c r="Q509">
        <v>0</v>
      </c>
      <c r="R509" t="s">
        <v>111</v>
      </c>
      <c r="S509">
        <v>0</v>
      </c>
      <c r="T509" t="s">
        <v>80</v>
      </c>
      <c r="U509" t="s">
        <v>80</v>
      </c>
      <c r="V509" t="s">
        <v>112</v>
      </c>
      <c r="W509" t="s">
        <v>906</v>
      </c>
      <c r="X509" t="s">
        <v>907</v>
      </c>
      <c r="Y509" t="s">
        <v>1448</v>
      </c>
      <c r="Z509" t="s">
        <v>80</v>
      </c>
      <c r="AA509" t="s">
        <v>85</v>
      </c>
      <c r="AC509" t="s">
        <v>3398</v>
      </c>
      <c r="AD509" t="s">
        <v>87</v>
      </c>
      <c r="AH509" t="s">
        <v>91</v>
      </c>
      <c r="AI509" t="s">
        <v>92</v>
      </c>
      <c r="AJ509" t="s">
        <v>131</v>
      </c>
      <c r="AK509" t="s">
        <v>3399</v>
      </c>
      <c r="AL509" t="s">
        <v>95</v>
      </c>
      <c r="AM509" t="s">
        <v>96</v>
      </c>
      <c r="AN509" t="s">
        <v>97</v>
      </c>
      <c r="AO509" t="s">
        <v>98</v>
      </c>
      <c r="AP509" t="s">
        <v>78</v>
      </c>
      <c r="AQ509" t="s">
        <v>78</v>
      </c>
      <c r="AR509" t="s">
        <v>353</v>
      </c>
      <c r="AS509" t="s">
        <v>78</v>
      </c>
      <c r="AT509" t="s">
        <v>100</v>
      </c>
      <c r="AU509" t="s">
        <v>100</v>
      </c>
      <c r="AW509" t="s">
        <v>85</v>
      </c>
      <c r="AX509" t="s">
        <v>101</v>
      </c>
      <c r="AY509" t="s">
        <v>102</v>
      </c>
      <c r="AZ509" t="s">
        <v>103</v>
      </c>
      <c r="BA509" t="s">
        <v>120</v>
      </c>
      <c r="BB509" t="s">
        <v>78</v>
      </c>
      <c r="BC509" t="s">
        <v>78</v>
      </c>
      <c r="BE509">
        <v>0</v>
      </c>
      <c r="BF509">
        <v>0</v>
      </c>
      <c r="BG509">
        <v>0</v>
      </c>
      <c r="BH509">
        <v>0</v>
      </c>
      <c r="BJ509" t="s">
        <v>85</v>
      </c>
      <c r="BP509" t="s">
        <v>78</v>
      </c>
      <c r="BQ509" t="s">
        <v>78</v>
      </c>
      <c r="BR509" t="s">
        <v>78</v>
      </c>
    </row>
    <row r="510" customFormat="1" spans="1:70">
      <c r="A510" t="s">
        <v>4397</v>
      </c>
      <c r="B510" t="s">
        <v>4397</v>
      </c>
      <c r="C510" t="s">
        <v>1050</v>
      </c>
      <c r="D510" t="s">
        <v>2255</v>
      </c>
      <c r="E510">
        <v>1</v>
      </c>
      <c r="F510" t="s">
        <v>3991</v>
      </c>
      <c r="G510" t="s">
        <v>2256</v>
      </c>
      <c r="H510">
        <v>129</v>
      </c>
      <c r="I510">
        <v>129</v>
      </c>
      <c r="J510">
        <v>0</v>
      </c>
      <c r="K510">
        <v>0</v>
      </c>
      <c r="L510" t="s">
        <v>78</v>
      </c>
      <c r="M510" t="s">
        <v>78</v>
      </c>
      <c r="N510" t="s">
        <v>78</v>
      </c>
      <c r="O510">
        <v>0</v>
      </c>
      <c r="P510">
        <v>0</v>
      </c>
      <c r="Q510">
        <v>0</v>
      </c>
      <c r="R510" t="s">
        <v>125</v>
      </c>
      <c r="S510">
        <v>0</v>
      </c>
      <c r="T510" t="s">
        <v>80</v>
      </c>
      <c r="U510" t="s">
        <v>80</v>
      </c>
      <c r="V510" t="s">
        <v>509</v>
      </c>
      <c r="W510" t="s">
        <v>3401</v>
      </c>
      <c r="X510" t="s">
        <v>3402</v>
      </c>
      <c r="Y510" t="s">
        <v>3403</v>
      </c>
      <c r="Z510" t="s">
        <v>80</v>
      </c>
      <c r="AA510" t="s">
        <v>85</v>
      </c>
      <c r="AC510" t="s">
        <v>3404</v>
      </c>
      <c r="AD510" t="s">
        <v>202</v>
      </c>
      <c r="AE510" t="s">
        <v>3405</v>
      </c>
      <c r="AG510" t="s">
        <v>3406</v>
      </c>
      <c r="AH510" t="s">
        <v>91</v>
      </c>
      <c r="AI510" t="s">
        <v>92</v>
      </c>
      <c r="AJ510" t="s">
        <v>131</v>
      </c>
      <c r="AK510" t="s">
        <v>3407</v>
      </c>
      <c r="AL510" t="s">
        <v>95</v>
      </c>
      <c r="AM510" t="s">
        <v>96</v>
      </c>
      <c r="AN510" t="s">
        <v>97</v>
      </c>
      <c r="AO510" t="s">
        <v>98</v>
      </c>
      <c r="AP510" t="s">
        <v>78</v>
      </c>
      <c r="AQ510" t="s">
        <v>99</v>
      </c>
      <c r="AS510" t="s">
        <v>78</v>
      </c>
      <c r="AT510" t="s">
        <v>100</v>
      </c>
      <c r="AU510" t="s">
        <v>100</v>
      </c>
      <c r="AW510" t="s">
        <v>85</v>
      </c>
      <c r="AX510" t="s">
        <v>101</v>
      </c>
      <c r="AY510" t="s">
        <v>102</v>
      </c>
      <c r="AZ510" t="s">
        <v>103</v>
      </c>
      <c r="BA510" t="s">
        <v>120</v>
      </c>
      <c r="BB510" t="s">
        <v>78</v>
      </c>
      <c r="BC510" t="s">
        <v>78</v>
      </c>
      <c r="BD510" t="s">
        <v>3408</v>
      </c>
      <c r="BE510">
        <v>0</v>
      </c>
      <c r="BF510">
        <v>0</v>
      </c>
      <c r="BG510">
        <v>0</v>
      </c>
      <c r="BH510">
        <v>0</v>
      </c>
      <c r="BJ510" t="s">
        <v>85</v>
      </c>
      <c r="BP510" t="s">
        <v>78</v>
      </c>
      <c r="BQ510" t="s">
        <v>78</v>
      </c>
      <c r="BR510" t="s">
        <v>78</v>
      </c>
    </row>
    <row r="511" customFormat="1" spans="1:70">
      <c r="A511" t="s">
        <v>4398</v>
      </c>
      <c r="B511" t="s">
        <v>4398</v>
      </c>
      <c r="C511" t="s">
        <v>1050</v>
      </c>
      <c r="D511" t="s">
        <v>1153</v>
      </c>
      <c r="E511">
        <v>1</v>
      </c>
      <c r="F511" t="s">
        <v>3991</v>
      </c>
      <c r="G511" t="s">
        <v>1154</v>
      </c>
      <c r="H511">
        <v>129</v>
      </c>
      <c r="I511">
        <v>129</v>
      </c>
      <c r="J511">
        <v>0</v>
      </c>
      <c r="K511">
        <v>0</v>
      </c>
      <c r="L511" t="s">
        <v>78</v>
      </c>
      <c r="M511" t="s">
        <v>78</v>
      </c>
      <c r="N511" t="s">
        <v>78</v>
      </c>
      <c r="O511">
        <v>0</v>
      </c>
      <c r="P511">
        <v>0</v>
      </c>
      <c r="Q511">
        <v>0</v>
      </c>
      <c r="R511" t="s">
        <v>79</v>
      </c>
      <c r="S511">
        <v>0</v>
      </c>
      <c r="T511" t="s">
        <v>80</v>
      </c>
      <c r="U511" t="s">
        <v>80</v>
      </c>
      <c r="V511" t="s">
        <v>178</v>
      </c>
      <c r="W511" t="s">
        <v>178</v>
      </c>
      <c r="X511" t="s">
        <v>3410</v>
      </c>
      <c r="Y511" t="s">
        <v>78</v>
      </c>
      <c r="Z511" t="s">
        <v>80</v>
      </c>
      <c r="AA511" t="s">
        <v>85</v>
      </c>
      <c r="AC511" t="s">
        <v>3411</v>
      </c>
      <c r="AD511" t="s">
        <v>87</v>
      </c>
      <c r="AG511" t="s">
        <v>3412</v>
      </c>
      <c r="AH511" t="s">
        <v>254</v>
      </c>
      <c r="AI511" t="s">
        <v>92</v>
      </c>
      <c r="AJ511" t="s">
        <v>131</v>
      </c>
      <c r="AK511" t="s">
        <v>3413</v>
      </c>
      <c r="AL511" t="s">
        <v>95</v>
      </c>
      <c r="AM511" t="s">
        <v>96</v>
      </c>
      <c r="AN511" t="s">
        <v>97</v>
      </c>
      <c r="AO511" t="s">
        <v>98</v>
      </c>
      <c r="AP511" t="s">
        <v>78</v>
      </c>
      <c r="AQ511" t="s">
        <v>99</v>
      </c>
      <c r="AS511" t="s">
        <v>78</v>
      </c>
      <c r="AT511" t="s">
        <v>100</v>
      </c>
      <c r="AU511" t="s">
        <v>100</v>
      </c>
      <c r="AW511" t="s">
        <v>85</v>
      </c>
      <c r="AX511" t="s">
        <v>103</v>
      </c>
      <c r="AY511" t="s">
        <v>159</v>
      </c>
      <c r="AZ511" t="s">
        <v>103</v>
      </c>
      <c r="BA511" t="s">
        <v>102</v>
      </c>
      <c r="BB511" t="s">
        <v>78</v>
      </c>
      <c r="BC511" t="s">
        <v>78</v>
      </c>
      <c r="BE511">
        <v>0</v>
      </c>
      <c r="BF511">
        <v>0</v>
      </c>
      <c r="BG511">
        <v>0</v>
      </c>
      <c r="BH511">
        <v>0</v>
      </c>
      <c r="BJ511" t="s">
        <v>85</v>
      </c>
      <c r="BP511" t="s">
        <v>78</v>
      </c>
      <c r="BQ511" t="s">
        <v>78</v>
      </c>
      <c r="BR511" t="s">
        <v>78</v>
      </c>
    </row>
    <row r="512" customFormat="1" spans="1:70">
      <c r="A512" t="s">
        <v>4399</v>
      </c>
      <c r="B512" t="s">
        <v>4399</v>
      </c>
      <c r="C512" t="s">
        <v>1050</v>
      </c>
      <c r="D512" t="s">
        <v>1051</v>
      </c>
      <c r="E512">
        <v>1</v>
      </c>
      <c r="F512" t="s">
        <v>3991</v>
      </c>
      <c r="G512" t="s">
        <v>1053</v>
      </c>
      <c r="H512">
        <v>129</v>
      </c>
      <c r="I512">
        <v>129</v>
      </c>
      <c r="J512">
        <v>0</v>
      </c>
      <c r="K512">
        <v>0</v>
      </c>
      <c r="L512" t="s">
        <v>78</v>
      </c>
      <c r="M512" t="s">
        <v>78</v>
      </c>
      <c r="N512" t="s">
        <v>78</v>
      </c>
      <c r="O512">
        <v>0</v>
      </c>
      <c r="P512">
        <v>0</v>
      </c>
      <c r="Q512">
        <v>0</v>
      </c>
      <c r="R512" t="s">
        <v>79</v>
      </c>
      <c r="S512">
        <v>0</v>
      </c>
      <c r="T512" t="s">
        <v>80</v>
      </c>
      <c r="U512" t="s">
        <v>80</v>
      </c>
      <c r="V512" t="s">
        <v>676</v>
      </c>
      <c r="W512" t="s">
        <v>3415</v>
      </c>
      <c r="X512" t="s">
        <v>3416</v>
      </c>
      <c r="Y512" t="s">
        <v>3417</v>
      </c>
      <c r="Z512" t="s">
        <v>80</v>
      </c>
      <c r="AA512" t="s">
        <v>85</v>
      </c>
      <c r="AC512" t="s">
        <v>3418</v>
      </c>
      <c r="AD512" t="s">
        <v>87</v>
      </c>
      <c r="AG512" t="s">
        <v>3419</v>
      </c>
      <c r="AH512" t="s">
        <v>91</v>
      </c>
      <c r="AI512" t="s">
        <v>92</v>
      </c>
      <c r="AJ512" t="s">
        <v>131</v>
      </c>
      <c r="AK512" t="s">
        <v>3420</v>
      </c>
      <c r="AL512" t="s">
        <v>95</v>
      </c>
      <c r="AM512" t="s">
        <v>96</v>
      </c>
      <c r="AN512" t="s">
        <v>97</v>
      </c>
      <c r="AO512" t="s">
        <v>98</v>
      </c>
      <c r="AP512" t="s">
        <v>78</v>
      </c>
      <c r="AQ512" t="s">
        <v>99</v>
      </c>
      <c r="AS512" t="s">
        <v>78</v>
      </c>
      <c r="AT512" t="s">
        <v>100</v>
      </c>
      <c r="AU512" t="s">
        <v>100</v>
      </c>
      <c r="AW512" t="s">
        <v>85</v>
      </c>
      <c r="AX512" t="s">
        <v>101</v>
      </c>
      <c r="AY512" t="s">
        <v>102</v>
      </c>
      <c r="AZ512" t="s">
        <v>103</v>
      </c>
      <c r="BA512" t="s">
        <v>120</v>
      </c>
      <c r="BB512" t="s">
        <v>78</v>
      </c>
      <c r="BC512" t="s">
        <v>78</v>
      </c>
      <c r="BE512">
        <v>0</v>
      </c>
      <c r="BF512">
        <v>0</v>
      </c>
      <c r="BG512">
        <v>0</v>
      </c>
      <c r="BH512">
        <v>0</v>
      </c>
      <c r="BJ512" t="s">
        <v>85</v>
      </c>
      <c r="BP512" t="s">
        <v>78</v>
      </c>
      <c r="BQ512" t="s">
        <v>78</v>
      </c>
      <c r="BR512" t="s">
        <v>78</v>
      </c>
    </row>
    <row r="513" customFormat="1" spans="1:70">
      <c r="A513" t="s">
        <v>4400</v>
      </c>
      <c r="B513" t="s">
        <v>4400</v>
      </c>
      <c r="C513" t="s">
        <v>1050</v>
      </c>
      <c r="D513" t="s">
        <v>1189</v>
      </c>
      <c r="E513">
        <v>1</v>
      </c>
      <c r="F513" t="s">
        <v>3991</v>
      </c>
      <c r="G513" t="s">
        <v>1190</v>
      </c>
      <c r="H513">
        <v>129</v>
      </c>
      <c r="I513">
        <v>129</v>
      </c>
      <c r="J513">
        <v>0</v>
      </c>
      <c r="K513">
        <v>0</v>
      </c>
      <c r="L513" t="s">
        <v>78</v>
      </c>
      <c r="M513" t="s">
        <v>78</v>
      </c>
      <c r="N513" t="s">
        <v>78</v>
      </c>
      <c r="O513">
        <v>0</v>
      </c>
      <c r="P513">
        <v>0</v>
      </c>
      <c r="Q513">
        <v>0</v>
      </c>
      <c r="R513" t="s">
        <v>79</v>
      </c>
      <c r="S513">
        <v>0</v>
      </c>
      <c r="T513" t="s">
        <v>80</v>
      </c>
      <c r="U513" t="s">
        <v>80</v>
      </c>
      <c r="V513" t="s">
        <v>583</v>
      </c>
      <c r="W513" t="s">
        <v>920</v>
      </c>
      <c r="X513" t="s">
        <v>921</v>
      </c>
      <c r="Y513" t="s">
        <v>3422</v>
      </c>
      <c r="Z513" t="s">
        <v>80</v>
      </c>
      <c r="AA513" t="s">
        <v>85</v>
      </c>
      <c r="AC513" t="s">
        <v>3423</v>
      </c>
      <c r="AD513" t="s">
        <v>87</v>
      </c>
      <c r="AF513" t="s">
        <v>3424</v>
      </c>
      <c r="AG513" t="s">
        <v>3425</v>
      </c>
      <c r="AH513" t="s">
        <v>91</v>
      </c>
      <c r="AI513" t="s">
        <v>92</v>
      </c>
      <c r="AJ513" t="s">
        <v>93</v>
      </c>
      <c r="AK513" t="s">
        <v>3426</v>
      </c>
      <c r="AL513" t="s">
        <v>95</v>
      </c>
      <c r="AM513" t="s">
        <v>96</v>
      </c>
      <c r="AN513" t="s">
        <v>97</v>
      </c>
      <c r="AO513" t="s">
        <v>98</v>
      </c>
      <c r="AP513" t="s">
        <v>78</v>
      </c>
      <c r="AQ513" t="s">
        <v>78</v>
      </c>
      <c r="AS513" t="s">
        <v>78</v>
      </c>
      <c r="AT513" t="s">
        <v>100</v>
      </c>
      <c r="AU513" t="s">
        <v>100</v>
      </c>
      <c r="AW513" t="s">
        <v>85</v>
      </c>
      <c r="AX513" t="s">
        <v>101</v>
      </c>
      <c r="AY513" t="s">
        <v>102</v>
      </c>
      <c r="AZ513" t="s">
        <v>103</v>
      </c>
      <c r="BA513" t="s">
        <v>120</v>
      </c>
      <c r="BB513" t="s">
        <v>78</v>
      </c>
      <c r="BC513" t="s">
        <v>78</v>
      </c>
      <c r="BD513" t="s">
        <v>3427</v>
      </c>
      <c r="BE513">
        <v>0</v>
      </c>
      <c r="BF513">
        <v>0</v>
      </c>
      <c r="BG513">
        <v>0</v>
      </c>
      <c r="BH513">
        <v>0</v>
      </c>
      <c r="BJ513" t="s">
        <v>85</v>
      </c>
      <c r="BP513" t="s">
        <v>78</v>
      </c>
      <c r="BQ513" t="s">
        <v>78</v>
      </c>
      <c r="BR513" t="s">
        <v>78</v>
      </c>
    </row>
    <row r="514" customFormat="1" spans="1:70">
      <c r="A514" t="s">
        <v>4401</v>
      </c>
      <c r="B514" t="s">
        <v>4401</v>
      </c>
      <c r="C514" t="s">
        <v>1050</v>
      </c>
      <c r="D514" t="s">
        <v>1377</v>
      </c>
      <c r="E514">
        <v>1</v>
      </c>
      <c r="F514" t="s">
        <v>3991</v>
      </c>
      <c r="G514" t="s">
        <v>1378</v>
      </c>
      <c r="H514">
        <v>129</v>
      </c>
      <c r="I514">
        <v>129</v>
      </c>
      <c r="J514">
        <v>0</v>
      </c>
      <c r="K514">
        <v>0</v>
      </c>
      <c r="L514" t="s">
        <v>78</v>
      </c>
      <c r="M514" t="s">
        <v>78</v>
      </c>
      <c r="N514" t="s">
        <v>78</v>
      </c>
      <c r="O514">
        <v>0</v>
      </c>
      <c r="P514">
        <v>0</v>
      </c>
      <c r="Q514">
        <v>0</v>
      </c>
      <c r="R514" t="s">
        <v>79</v>
      </c>
      <c r="S514">
        <v>0</v>
      </c>
      <c r="T514" t="s">
        <v>80</v>
      </c>
      <c r="U514" t="s">
        <v>80</v>
      </c>
      <c r="V514" t="s">
        <v>167</v>
      </c>
      <c r="W514" t="s">
        <v>1313</v>
      </c>
      <c r="X514" t="s">
        <v>3429</v>
      </c>
      <c r="Y514" t="s">
        <v>3430</v>
      </c>
      <c r="Z514" t="s">
        <v>80</v>
      </c>
      <c r="AA514" t="s">
        <v>85</v>
      </c>
      <c r="AC514" t="s">
        <v>3431</v>
      </c>
      <c r="AD514" t="s">
        <v>202</v>
      </c>
      <c r="AE514" t="s">
        <v>3432</v>
      </c>
      <c r="AG514" t="s">
        <v>3433</v>
      </c>
      <c r="AH514" t="s">
        <v>91</v>
      </c>
      <c r="AI514" t="s">
        <v>92</v>
      </c>
      <c r="AJ514" t="s">
        <v>131</v>
      </c>
      <c r="AK514" t="s">
        <v>3434</v>
      </c>
      <c r="AL514" t="s">
        <v>95</v>
      </c>
      <c r="AM514" t="s">
        <v>96</v>
      </c>
      <c r="AN514" t="s">
        <v>97</v>
      </c>
      <c r="AO514" t="s">
        <v>98</v>
      </c>
      <c r="AP514" t="s">
        <v>78</v>
      </c>
      <c r="AQ514" t="s">
        <v>99</v>
      </c>
      <c r="AS514" t="s">
        <v>78</v>
      </c>
      <c r="AT514" t="s">
        <v>100</v>
      </c>
      <c r="AU514" t="s">
        <v>100</v>
      </c>
      <c r="AW514" t="s">
        <v>85</v>
      </c>
      <c r="AX514" t="s">
        <v>101</v>
      </c>
      <c r="AY514" t="s">
        <v>102</v>
      </c>
      <c r="AZ514" t="s">
        <v>103</v>
      </c>
      <c r="BA514" t="s">
        <v>133</v>
      </c>
      <c r="BB514" t="s">
        <v>78</v>
      </c>
      <c r="BC514" t="s">
        <v>78</v>
      </c>
      <c r="BD514" t="s">
        <v>3435</v>
      </c>
      <c r="BE514">
        <v>0</v>
      </c>
      <c r="BF514">
        <v>0</v>
      </c>
      <c r="BG514">
        <v>0</v>
      </c>
      <c r="BH514">
        <v>0</v>
      </c>
      <c r="BJ514" t="s">
        <v>85</v>
      </c>
      <c r="BP514" t="s">
        <v>78</v>
      </c>
      <c r="BQ514" t="s">
        <v>78</v>
      </c>
      <c r="BR514" t="s">
        <v>78</v>
      </c>
    </row>
    <row r="515" customFormat="1" spans="1:70">
      <c r="A515" t="s">
        <v>4402</v>
      </c>
      <c r="B515" t="s">
        <v>4402</v>
      </c>
      <c r="C515" t="s">
        <v>1050</v>
      </c>
      <c r="D515" t="s">
        <v>1142</v>
      </c>
      <c r="E515">
        <v>1</v>
      </c>
      <c r="F515" t="s">
        <v>3991</v>
      </c>
      <c r="G515" t="s">
        <v>1143</v>
      </c>
      <c r="H515">
        <v>129</v>
      </c>
      <c r="I515">
        <v>129</v>
      </c>
      <c r="J515">
        <v>0</v>
      </c>
      <c r="K515">
        <v>0</v>
      </c>
      <c r="L515" t="s">
        <v>78</v>
      </c>
      <c r="M515" t="s">
        <v>78</v>
      </c>
      <c r="N515" t="s">
        <v>78</v>
      </c>
      <c r="O515">
        <v>0</v>
      </c>
      <c r="P515">
        <v>0</v>
      </c>
      <c r="Q515">
        <v>0</v>
      </c>
      <c r="R515" t="s">
        <v>79</v>
      </c>
      <c r="S515">
        <v>0</v>
      </c>
      <c r="T515" t="s">
        <v>80</v>
      </c>
      <c r="U515" t="s">
        <v>80</v>
      </c>
      <c r="V515" t="s">
        <v>239</v>
      </c>
      <c r="W515" t="s">
        <v>2439</v>
      </c>
      <c r="X515" t="s">
        <v>2440</v>
      </c>
      <c r="Y515" t="s">
        <v>2441</v>
      </c>
      <c r="Z515" t="s">
        <v>80</v>
      </c>
      <c r="AA515" t="s">
        <v>85</v>
      </c>
      <c r="AC515" t="s">
        <v>3437</v>
      </c>
      <c r="AD515" t="s">
        <v>202</v>
      </c>
      <c r="AE515" t="s">
        <v>3438</v>
      </c>
      <c r="AG515" t="s">
        <v>3439</v>
      </c>
      <c r="AH515" t="s">
        <v>91</v>
      </c>
      <c r="AI515" t="s">
        <v>92</v>
      </c>
      <c r="AJ515" t="s">
        <v>131</v>
      </c>
      <c r="AK515" t="s">
        <v>3440</v>
      </c>
      <c r="AL515" t="s">
        <v>95</v>
      </c>
      <c r="AM515" t="s">
        <v>96</v>
      </c>
      <c r="AN515" t="s">
        <v>97</v>
      </c>
      <c r="AO515" t="s">
        <v>98</v>
      </c>
      <c r="AP515" t="s">
        <v>78</v>
      </c>
      <c r="AQ515" t="s">
        <v>99</v>
      </c>
      <c r="AS515" t="s">
        <v>78</v>
      </c>
      <c r="AT515" t="s">
        <v>100</v>
      </c>
      <c r="AU515" t="s">
        <v>100</v>
      </c>
      <c r="AW515" t="s">
        <v>85</v>
      </c>
      <c r="AX515" t="s">
        <v>101</v>
      </c>
      <c r="AY515" t="s">
        <v>102</v>
      </c>
      <c r="AZ515" t="s">
        <v>103</v>
      </c>
      <c r="BA515" t="s">
        <v>419</v>
      </c>
      <c r="BB515" t="s">
        <v>78</v>
      </c>
      <c r="BC515" t="s">
        <v>78</v>
      </c>
      <c r="BD515" t="s">
        <v>3441</v>
      </c>
      <c r="BE515">
        <v>0</v>
      </c>
      <c r="BF515">
        <v>0</v>
      </c>
      <c r="BG515">
        <v>0</v>
      </c>
      <c r="BH515">
        <v>0</v>
      </c>
      <c r="BJ515" t="s">
        <v>85</v>
      </c>
      <c r="BP515" t="s">
        <v>78</v>
      </c>
      <c r="BQ515" t="s">
        <v>78</v>
      </c>
      <c r="BR515" t="s">
        <v>78</v>
      </c>
    </row>
    <row r="516" customFormat="1" spans="1:70">
      <c r="A516" t="s">
        <v>4403</v>
      </c>
      <c r="B516" t="s">
        <v>4403</v>
      </c>
      <c r="C516" t="s">
        <v>107</v>
      </c>
      <c r="D516" t="s">
        <v>108</v>
      </c>
      <c r="E516">
        <v>1</v>
      </c>
      <c r="F516" t="s">
        <v>3857</v>
      </c>
      <c r="G516" t="s">
        <v>110</v>
      </c>
      <c r="H516">
        <v>289</v>
      </c>
      <c r="I516">
        <v>289</v>
      </c>
      <c r="J516">
        <v>0</v>
      </c>
      <c r="K516">
        <v>0</v>
      </c>
      <c r="L516" t="s">
        <v>78</v>
      </c>
      <c r="M516" t="s">
        <v>78</v>
      </c>
      <c r="N516" t="s">
        <v>78</v>
      </c>
      <c r="O516">
        <v>0</v>
      </c>
      <c r="P516">
        <v>0</v>
      </c>
      <c r="Q516">
        <v>0</v>
      </c>
      <c r="R516" t="s">
        <v>79</v>
      </c>
      <c r="S516">
        <v>0</v>
      </c>
      <c r="T516" t="s">
        <v>80</v>
      </c>
      <c r="U516" t="s">
        <v>80</v>
      </c>
      <c r="V516" t="s">
        <v>347</v>
      </c>
      <c r="W516" t="s">
        <v>727</v>
      </c>
      <c r="X516" t="s">
        <v>728</v>
      </c>
      <c r="Y516" t="s">
        <v>729</v>
      </c>
      <c r="Z516" t="s">
        <v>80</v>
      </c>
      <c r="AA516" t="s">
        <v>85</v>
      </c>
      <c r="AC516" t="s">
        <v>3443</v>
      </c>
      <c r="AD516" t="s">
        <v>87</v>
      </c>
      <c r="AF516" t="s">
        <v>3444</v>
      </c>
      <c r="AG516" t="s">
        <v>3445</v>
      </c>
      <c r="AH516" t="s">
        <v>227</v>
      </c>
      <c r="AI516" t="s">
        <v>92</v>
      </c>
      <c r="AJ516" t="s">
        <v>93</v>
      </c>
      <c r="AK516" t="s">
        <v>3446</v>
      </c>
      <c r="AL516" t="s">
        <v>95</v>
      </c>
      <c r="AM516" t="s">
        <v>96</v>
      </c>
      <c r="AN516" t="s">
        <v>97</v>
      </c>
      <c r="AO516" t="s">
        <v>98</v>
      </c>
      <c r="AP516" t="s">
        <v>78</v>
      </c>
      <c r="AQ516" t="s">
        <v>3447</v>
      </c>
      <c r="AS516" t="s">
        <v>78</v>
      </c>
      <c r="AT516" t="s">
        <v>100</v>
      </c>
      <c r="AU516" t="s">
        <v>100</v>
      </c>
      <c r="AW516" t="s">
        <v>85</v>
      </c>
      <c r="AX516" t="s">
        <v>101</v>
      </c>
      <c r="AY516" t="s">
        <v>102</v>
      </c>
      <c r="AZ516" t="s">
        <v>103</v>
      </c>
      <c r="BA516" t="s">
        <v>120</v>
      </c>
      <c r="BB516" t="s">
        <v>78</v>
      </c>
      <c r="BC516" t="s">
        <v>78</v>
      </c>
      <c r="BD516" t="s">
        <v>3448</v>
      </c>
      <c r="BE516">
        <v>0</v>
      </c>
      <c r="BF516">
        <v>0</v>
      </c>
      <c r="BG516">
        <v>0</v>
      </c>
      <c r="BH516">
        <v>0</v>
      </c>
      <c r="BJ516" t="s">
        <v>85</v>
      </c>
      <c r="BP516" t="s">
        <v>78</v>
      </c>
      <c r="BQ516" t="s">
        <v>78</v>
      </c>
      <c r="BR516" t="s">
        <v>78</v>
      </c>
    </row>
    <row r="517" customFormat="1" spans="1:70">
      <c r="A517" t="s">
        <v>4404</v>
      </c>
      <c r="B517" t="s">
        <v>4404</v>
      </c>
      <c r="C517" t="s">
        <v>107</v>
      </c>
      <c r="D517" t="s">
        <v>135</v>
      </c>
      <c r="E517">
        <v>1</v>
      </c>
      <c r="F517" t="s">
        <v>3857</v>
      </c>
      <c r="G517" t="s">
        <v>136</v>
      </c>
      <c r="H517">
        <v>289</v>
      </c>
      <c r="I517">
        <v>289</v>
      </c>
      <c r="J517">
        <v>0</v>
      </c>
      <c r="K517">
        <v>0</v>
      </c>
      <c r="L517" t="s">
        <v>78</v>
      </c>
      <c r="M517" t="s">
        <v>78</v>
      </c>
      <c r="N517" t="s">
        <v>78</v>
      </c>
      <c r="O517">
        <v>0</v>
      </c>
      <c r="P517">
        <v>0</v>
      </c>
      <c r="Q517">
        <v>0</v>
      </c>
      <c r="R517" t="s">
        <v>79</v>
      </c>
      <c r="S517">
        <v>0</v>
      </c>
      <c r="T517" t="s">
        <v>80</v>
      </c>
      <c r="U517" t="s">
        <v>80</v>
      </c>
      <c r="V517" t="s">
        <v>302</v>
      </c>
      <c r="W517" t="s">
        <v>1358</v>
      </c>
      <c r="X517" t="s">
        <v>1359</v>
      </c>
      <c r="Y517" t="s">
        <v>1360</v>
      </c>
      <c r="Z517" t="s">
        <v>80</v>
      </c>
      <c r="AA517" t="s">
        <v>85</v>
      </c>
      <c r="AC517" t="s">
        <v>3450</v>
      </c>
      <c r="AD517" t="s">
        <v>87</v>
      </c>
      <c r="AG517" t="s">
        <v>3451</v>
      </c>
      <c r="AH517" t="s">
        <v>91</v>
      </c>
      <c r="AI517" t="s">
        <v>92</v>
      </c>
      <c r="AJ517" t="s">
        <v>131</v>
      </c>
      <c r="AK517" t="s">
        <v>3452</v>
      </c>
      <c r="AL517" t="s">
        <v>95</v>
      </c>
      <c r="AM517" t="s">
        <v>96</v>
      </c>
      <c r="AN517" t="s">
        <v>97</v>
      </c>
      <c r="AO517" t="s">
        <v>98</v>
      </c>
      <c r="AP517" t="s">
        <v>78</v>
      </c>
      <c r="AQ517" t="s">
        <v>99</v>
      </c>
      <c r="AS517" t="s">
        <v>78</v>
      </c>
      <c r="AT517" t="s">
        <v>100</v>
      </c>
      <c r="AU517" t="s">
        <v>100</v>
      </c>
      <c r="AW517" t="s">
        <v>85</v>
      </c>
      <c r="AX517" t="s">
        <v>101</v>
      </c>
      <c r="AY517" t="s">
        <v>102</v>
      </c>
      <c r="AZ517" t="s">
        <v>103</v>
      </c>
      <c r="BA517" t="s">
        <v>133</v>
      </c>
      <c r="BB517" t="s">
        <v>78</v>
      </c>
      <c r="BC517" t="s">
        <v>78</v>
      </c>
      <c r="BE517">
        <v>0</v>
      </c>
      <c r="BF517">
        <v>0</v>
      </c>
      <c r="BG517">
        <v>0</v>
      </c>
      <c r="BH517">
        <v>0</v>
      </c>
      <c r="BJ517" t="s">
        <v>85</v>
      </c>
      <c r="BP517" t="s">
        <v>78</v>
      </c>
      <c r="BQ517" t="s">
        <v>78</v>
      </c>
      <c r="BR517" t="s">
        <v>78</v>
      </c>
    </row>
    <row r="518" customFormat="1" spans="1:70">
      <c r="A518" t="s">
        <v>4405</v>
      </c>
      <c r="B518" t="s">
        <v>4405</v>
      </c>
      <c r="C518" t="s">
        <v>107</v>
      </c>
      <c r="D518" t="s">
        <v>108</v>
      </c>
      <c r="E518">
        <v>1</v>
      </c>
      <c r="F518" t="s">
        <v>3857</v>
      </c>
      <c r="G518" t="s">
        <v>110</v>
      </c>
      <c r="H518">
        <v>289</v>
      </c>
      <c r="I518">
        <v>289</v>
      </c>
      <c r="J518">
        <v>0</v>
      </c>
      <c r="K518">
        <v>0</v>
      </c>
      <c r="L518" t="s">
        <v>78</v>
      </c>
      <c r="M518" t="s">
        <v>78</v>
      </c>
      <c r="N518" t="s">
        <v>78</v>
      </c>
      <c r="O518">
        <v>0</v>
      </c>
      <c r="P518">
        <v>0</v>
      </c>
      <c r="Q518">
        <v>0</v>
      </c>
      <c r="R518" t="s">
        <v>111</v>
      </c>
      <c r="S518">
        <v>0</v>
      </c>
      <c r="T518" t="s">
        <v>80</v>
      </c>
      <c r="U518" t="s">
        <v>80</v>
      </c>
      <c r="V518" t="s">
        <v>161</v>
      </c>
      <c r="W518" t="s">
        <v>161</v>
      </c>
      <c r="X518" t="s">
        <v>2131</v>
      </c>
      <c r="Y518" t="s">
        <v>2132</v>
      </c>
      <c r="Z518" t="s">
        <v>80</v>
      </c>
      <c r="AA518" t="s">
        <v>85</v>
      </c>
      <c r="AC518" t="s">
        <v>3454</v>
      </c>
      <c r="AD518" t="s">
        <v>87</v>
      </c>
      <c r="AG518" t="s">
        <v>3455</v>
      </c>
      <c r="AH518" t="s">
        <v>91</v>
      </c>
      <c r="AI518" t="s">
        <v>92</v>
      </c>
      <c r="AJ518" t="s">
        <v>131</v>
      </c>
      <c r="AK518" t="s">
        <v>3456</v>
      </c>
      <c r="AL518" t="s">
        <v>95</v>
      </c>
      <c r="AM518" t="s">
        <v>96</v>
      </c>
      <c r="AN518" t="s">
        <v>97</v>
      </c>
      <c r="AO518" t="s">
        <v>98</v>
      </c>
      <c r="AP518" t="s">
        <v>78</v>
      </c>
      <c r="AQ518" t="s">
        <v>99</v>
      </c>
      <c r="AS518" t="s">
        <v>78</v>
      </c>
      <c r="AT518" t="s">
        <v>100</v>
      </c>
      <c r="AU518" t="s">
        <v>100</v>
      </c>
      <c r="AW518" t="s">
        <v>85</v>
      </c>
      <c r="AX518" t="s">
        <v>101</v>
      </c>
      <c r="AY518" t="s">
        <v>102</v>
      </c>
      <c r="AZ518" t="s">
        <v>103</v>
      </c>
      <c r="BA518" t="s">
        <v>120</v>
      </c>
      <c r="BB518" t="s">
        <v>78</v>
      </c>
      <c r="BC518" t="s">
        <v>78</v>
      </c>
      <c r="BE518">
        <v>0</v>
      </c>
      <c r="BF518">
        <v>0</v>
      </c>
      <c r="BG518">
        <v>0</v>
      </c>
      <c r="BH518">
        <v>0</v>
      </c>
      <c r="BJ518" t="s">
        <v>85</v>
      </c>
      <c r="BP518" t="s">
        <v>78</v>
      </c>
      <c r="BQ518" t="s">
        <v>78</v>
      </c>
      <c r="BR518" t="s">
        <v>78</v>
      </c>
    </row>
    <row r="519" customFormat="1" spans="1:70">
      <c r="A519" t="s">
        <v>4406</v>
      </c>
      <c r="B519" t="s">
        <v>4406</v>
      </c>
      <c r="C519" t="s">
        <v>107</v>
      </c>
      <c r="D519" t="s">
        <v>108</v>
      </c>
      <c r="E519">
        <v>1</v>
      </c>
      <c r="F519" t="s">
        <v>3857</v>
      </c>
      <c r="G519" t="s">
        <v>110</v>
      </c>
      <c r="H519">
        <v>289</v>
      </c>
      <c r="I519">
        <v>289</v>
      </c>
      <c r="J519">
        <v>0</v>
      </c>
      <c r="K519">
        <v>0</v>
      </c>
      <c r="L519" t="s">
        <v>78</v>
      </c>
      <c r="M519" t="s">
        <v>78</v>
      </c>
      <c r="N519" t="s">
        <v>78</v>
      </c>
      <c r="O519">
        <v>0</v>
      </c>
      <c r="P519">
        <v>0</v>
      </c>
      <c r="Q519">
        <v>0</v>
      </c>
      <c r="R519" t="s">
        <v>125</v>
      </c>
      <c r="S519">
        <v>0</v>
      </c>
      <c r="T519" t="s">
        <v>80</v>
      </c>
      <c r="U519" t="s">
        <v>80</v>
      </c>
      <c r="V519" t="s">
        <v>583</v>
      </c>
      <c r="W519" t="s">
        <v>584</v>
      </c>
      <c r="X519" t="s">
        <v>3458</v>
      </c>
      <c r="Y519" t="s">
        <v>3459</v>
      </c>
      <c r="Z519" t="s">
        <v>80</v>
      </c>
      <c r="AA519" t="s">
        <v>85</v>
      </c>
      <c r="AC519" t="s">
        <v>3460</v>
      </c>
      <c r="AD519" t="s">
        <v>87</v>
      </c>
      <c r="AF519" t="s">
        <v>3444</v>
      </c>
      <c r="AG519" t="s">
        <v>3455</v>
      </c>
      <c r="AH519" t="s">
        <v>91</v>
      </c>
      <c r="AI519" t="s">
        <v>92</v>
      </c>
      <c r="AJ519" t="s">
        <v>93</v>
      </c>
      <c r="AK519" t="s">
        <v>3456</v>
      </c>
      <c r="AL519" t="s">
        <v>95</v>
      </c>
      <c r="AM519" t="s">
        <v>96</v>
      </c>
      <c r="AN519" t="s">
        <v>97</v>
      </c>
      <c r="AO519" t="s">
        <v>98</v>
      </c>
      <c r="AP519" t="s">
        <v>78</v>
      </c>
      <c r="AQ519" t="s">
        <v>78</v>
      </c>
      <c r="AS519" t="s">
        <v>78</v>
      </c>
      <c r="AT519" t="s">
        <v>100</v>
      </c>
      <c r="AU519" t="s">
        <v>100</v>
      </c>
      <c r="AW519" t="s">
        <v>85</v>
      </c>
      <c r="AX519" t="s">
        <v>103</v>
      </c>
      <c r="AY519" t="s">
        <v>159</v>
      </c>
      <c r="AZ519" t="s">
        <v>103</v>
      </c>
      <c r="BA519" t="s">
        <v>104</v>
      </c>
      <c r="BB519" t="s">
        <v>78</v>
      </c>
      <c r="BC519" t="s">
        <v>78</v>
      </c>
      <c r="BD519" t="s">
        <v>3448</v>
      </c>
      <c r="BE519">
        <v>0</v>
      </c>
      <c r="BF519">
        <v>0</v>
      </c>
      <c r="BG519">
        <v>0</v>
      </c>
      <c r="BH519">
        <v>0</v>
      </c>
      <c r="BJ519" t="s">
        <v>85</v>
      </c>
      <c r="BP519" t="s">
        <v>78</v>
      </c>
      <c r="BQ519" t="s">
        <v>78</v>
      </c>
      <c r="BR519" t="s">
        <v>78</v>
      </c>
    </row>
    <row r="520" customFormat="1" spans="1:70">
      <c r="A520" t="s">
        <v>4407</v>
      </c>
      <c r="B520" t="s">
        <v>4407</v>
      </c>
      <c r="C520" t="s">
        <v>107</v>
      </c>
      <c r="D520" t="s">
        <v>135</v>
      </c>
      <c r="E520">
        <v>1</v>
      </c>
      <c r="F520" t="s">
        <v>3857</v>
      </c>
      <c r="G520" t="s">
        <v>136</v>
      </c>
      <c r="H520">
        <v>289</v>
      </c>
      <c r="I520">
        <v>289</v>
      </c>
      <c r="J520">
        <v>0</v>
      </c>
      <c r="K520">
        <v>0</v>
      </c>
      <c r="L520" t="s">
        <v>78</v>
      </c>
      <c r="M520" t="s">
        <v>78</v>
      </c>
      <c r="N520" t="s">
        <v>78</v>
      </c>
      <c r="O520">
        <v>0</v>
      </c>
      <c r="P520">
        <v>0</v>
      </c>
      <c r="Q520">
        <v>0</v>
      </c>
      <c r="R520" t="s">
        <v>79</v>
      </c>
      <c r="S520">
        <v>0</v>
      </c>
      <c r="T520" t="s">
        <v>80</v>
      </c>
      <c r="U520" t="s">
        <v>80</v>
      </c>
      <c r="V520" t="s">
        <v>167</v>
      </c>
      <c r="W520" t="s">
        <v>168</v>
      </c>
      <c r="X520" t="s">
        <v>973</v>
      </c>
      <c r="Y520" t="s">
        <v>974</v>
      </c>
      <c r="Z520" t="s">
        <v>80</v>
      </c>
      <c r="AA520" t="s">
        <v>85</v>
      </c>
      <c r="AC520" t="s">
        <v>3462</v>
      </c>
      <c r="AD520" t="s">
        <v>87</v>
      </c>
      <c r="AG520" t="s">
        <v>3463</v>
      </c>
      <c r="AH520" t="s">
        <v>91</v>
      </c>
      <c r="AI520" t="s">
        <v>92</v>
      </c>
      <c r="AJ520" t="s">
        <v>131</v>
      </c>
      <c r="AK520" t="s">
        <v>3464</v>
      </c>
      <c r="AL520" t="s">
        <v>95</v>
      </c>
      <c r="AM520" t="s">
        <v>96</v>
      </c>
      <c r="AN520" t="s">
        <v>97</v>
      </c>
      <c r="AO520" t="s">
        <v>98</v>
      </c>
      <c r="AP520" t="s">
        <v>78</v>
      </c>
      <c r="AQ520" t="s">
        <v>99</v>
      </c>
      <c r="AS520" t="s">
        <v>78</v>
      </c>
      <c r="AT520" t="s">
        <v>100</v>
      </c>
      <c r="AU520" t="s">
        <v>100</v>
      </c>
      <c r="AW520" t="s">
        <v>85</v>
      </c>
      <c r="AX520" t="s">
        <v>103</v>
      </c>
      <c r="AY520" t="s">
        <v>159</v>
      </c>
      <c r="AZ520" t="s">
        <v>103</v>
      </c>
      <c r="BA520" t="s">
        <v>104</v>
      </c>
      <c r="BB520" t="s">
        <v>78</v>
      </c>
      <c r="BC520" t="s">
        <v>78</v>
      </c>
      <c r="BE520">
        <v>0</v>
      </c>
      <c r="BF520">
        <v>0</v>
      </c>
      <c r="BG520">
        <v>0</v>
      </c>
      <c r="BH520">
        <v>0</v>
      </c>
      <c r="BJ520" t="s">
        <v>85</v>
      </c>
      <c r="BP520" t="s">
        <v>78</v>
      </c>
      <c r="BQ520" t="s">
        <v>78</v>
      </c>
      <c r="BR520" t="s">
        <v>78</v>
      </c>
    </row>
    <row r="521" customFormat="1" spans="1:70">
      <c r="A521" t="s">
        <v>4408</v>
      </c>
      <c r="B521" t="s">
        <v>4408</v>
      </c>
      <c r="C521" t="s">
        <v>1050</v>
      </c>
      <c r="D521" t="s">
        <v>1051</v>
      </c>
      <c r="E521">
        <v>1</v>
      </c>
      <c r="F521" t="s">
        <v>3991</v>
      </c>
      <c r="G521" t="s">
        <v>1053</v>
      </c>
      <c r="H521">
        <v>129</v>
      </c>
      <c r="I521">
        <v>129</v>
      </c>
      <c r="J521">
        <v>0</v>
      </c>
      <c r="K521">
        <v>0</v>
      </c>
      <c r="L521" t="s">
        <v>78</v>
      </c>
      <c r="M521" t="s">
        <v>78</v>
      </c>
      <c r="N521" t="s">
        <v>78</v>
      </c>
      <c r="O521">
        <v>0</v>
      </c>
      <c r="P521">
        <v>0</v>
      </c>
      <c r="Q521">
        <v>0</v>
      </c>
      <c r="R521" t="s">
        <v>79</v>
      </c>
      <c r="S521">
        <v>0</v>
      </c>
      <c r="T521" t="s">
        <v>80</v>
      </c>
      <c r="U521" t="s">
        <v>80</v>
      </c>
      <c r="V521" t="s">
        <v>676</v>
      </c>
      <c r="W521" t="s">
        <v>1083</v>
      </c>
      <c r="X521" t="s">
        <v>3466</v>
      </c>
      <c r="Y521" t="s">
        <v>3467</v>
      </c>
      <c r="Z521" t="s">
        <v>80</v>
      </c>
      <c r="AA521" t="s">
        <v>85</v>
      </c>
      <c r="AC521" t="s">
        <v>3468</v>
      </c>
      <c r="AD521" t="s">
        <v>87</v>
      </c>
      <c r="AF521" t="s">
        <v>3469</v>
      </c>
      <c r="AG521" t="s">
        <v>3470</v>
      </c>
      <c r="AH521" t="s">
        <v>91</v>
      </c>
      <c r="AI521" t="s">
        <v>92</v>
      </c>
      <c r="AJ521" t="s">
        <v>93</v>
      </c>
      <c r="AK521" t="s">
        <v>3471</v>
      </c>
      <c r="AL521" t="s">
        <v>95</v>
      </c>
      <c r="AM521" t="s">
        <v>96</v>
      </c>
      <c r="AN521" t="s">
        <v>97</v>
      </c>
      <c r="AO521" t="s">
        <v>98</v>
      </c>
      <c r="AP521" t="s">
        <v>78</v>
      </c>
      <c r="AQ521" t="s">
        <v>78</v>
      </c>
      <c r="AS521" t="s">
        <v>78</v>
      </c>
      <c r="AT521" t="s">
        <v>100</v>
      </c>
      <c r="AU521" t="s">
        <v>100</v>
      </c>
      <c r="AW521" t="s">
        <v>85</v>
      </c>
      <c r="AX521" t="s">
        <v>101</v>
      </c>
      <c r="AY521" t="s">
        <v>102</v>
      </c>
      <c r="AZ521" t="s">
        <v>103</v>
      </c>
      <c r="BA521" t="s">
        <v>120</v>
      </c>
      <c r="BB521" t="s">
        <v>78</v>
      </c>
      <c r="BC521" t="s">
        <v>78</v>
      </c>
      <c r="BD521" t="s">
        <v>3472</v>
      </c>
      <c r="BE521">
        <v>0</v>
      </c>
      <c r="BF521">
        <v>0</v>
      </c>
      <c r="BG521">
        <v>0</v>
      </c>
      <c r="BH521">
        <v>0</v>
      </c>
      <c r="BJ521" t="s">
        <v>85</v>
      </c>
      <c r="BP521" t="s">
        <v>78</v>
      </c>
      <c r="BQ521" t="s">
        <v>78</v>
      </c>
      <c r="BR521" t="s">
        <v>78</v>
      </c>
    </row>
    <row r="522" customFormat="1" spans="1:70">
      <c r="A522" t="s">
        <v>4409</v>
      </c>
      <c r="B522" t="s">
        <v>4409</v>
      </c>
      <c r="C522" t="s">
        <v>1050</v>
      </c>
      <c r="D522" t="s">
        <v>1377</v>
      </c>
      <c r="E522">
        <v>1</v>
      </c>
      <c r="F522" t="s">
        <v>3991</v>
      </c>
      <c r="G522" t="s">
        <v>1378</v>
      </c>
      <c r="H522">
        <v>129</v>
      </c>
      <c r="I522">
        <v>129</v>
      </c>
      <c r="J522">
        <v>0</v>
      </c>
      <c r="K522">
        <v>0</v>
      </c>
      <c r="L522" t="s">
        <v>78</v>
      </c>
      <c r="M522" t="s">
        <v>78</v>
      </c>
      <c r="N522" t="s">
        <v>78</v>
      </c>
      <c r="O522">
        <v>0</v>
      </c>
      <c r="P522">
        <v>0</v>
      </c>
      <c r="Q522">
        <v>0</v>
      </c>
      <c r="R522" t="s">
        <v>125</v>
      </c>
      <c r="S522">
        <v>0</v>
      </c>
      <c r="T522" t="s">
        <v>80</v>
      </c>
      <c r="U522" t="s">
        <v>80</v>
      </c>
      <c r="V522" t="s">
        <v>509</v>
      </c>
      <c r="W522" t="s">
        <v>3474</v>
      </c>
      <c r="X522" t="s">
        <v>3475</v>
      </c>
      <c r="Y522" t="s">
        <v>3476</v>
      </c>
      <c r="Z522" t="s">
        <v>80</v>
      </c>
      <c r="AA522" t="s">
        <v>85</v>
      </c>
      <c r="AC522" t="s">
        <v>3477</v>
      </c>
      <c r="AD522" t="s">
        <v>87</v>
      </c>
      <c r="AH522" t="s">
        <v>227</v>
      </c>
      <c r="AI522" t="s">
        <v>92</v>
      </c>
      <c r="AJ522" t="s">
        <v>131</v>
      </c>
      <c r="AK522" t="s">
        <v>3478</v>
      </c>
      <c r="AL522" t="s">
        <v>95</v>
      </c>
      <c r="AM522" t="s">
        <v>96</v>
      </c>
      <c r="AN522" t="s">
        <v>97</v>
      </c>
      <c r="AO522" t="s">
        <v>98</v>
      </c>
      <c r="AP522" t="s">
        <v>78</v>
      </c>
      <c r="AQ522" t="s">
        <v>78</v>
      </c>
      <c r="AR522" t="s">
        <v>353</v>
      </c>
      <c r="AS522" t="s">
        <v>78</v>
      </c>
      <c r="AT522" t="s">
        <v>100</v>
      </c>
      <c r="AU522" t="s">
        <v>100</v>
      </c>
      <c r="AW522" t="s">
        <v>85</v>
      </c>
      <c r="AX522" t="s">
        <v>103</v>
      </c>
      <c r="AY522" t="s">
        <v>159</v>
      </c>
      <c r="AZ522" t="s">
        <v>103</v>
      </c>
      <c r="BA522" t="s">
        <v>133</v>
      </c>
      <c r="BB522" t="s">
        <v>78</v>
      </c>
      <c r="BC522" t="s">
        <v>78</v>
      </c>
      <c r="BE522">
        <v>0</v>
      </c>
      <c r="BF522">
        <v>0</v>
      </c>
      <c r="BG522">
        <v>0</v>
      </c>
      <c r="BH522">
        <v>0</v>
      </c>
      <c r="BJ522" t="s">
        <v>85</v>
      </c>
      <c r="BP522" t="s">
        <v>78</v>
      </c>
      <c r="BQ522" t="s">
        <v>78</v>
      </c>
      <c r="BR522" t="s">
        <v>78</v>
      </c>
    </row>
    <row r="523" customFormat="1" spans="1:70">
      <c r="A523" t="s">
        <v>4410</v>
      </c>
      <c r="B523" t="s">
        <v>4410</v>
      </c>
      <c r="C523" t="s">
        <v>107</v>
      </c>
      <c r="D523" t="s">
        <v>108</v>
      </c>
      <c r="E523">
        <v>1</v>
      </c>
      <c r="F523" t="s">
        <v>3857</v>
      </c>
      <c r="G523" t="s">
        <v>110</v>
      </c>
      <c r="H523">
        <v>289</v>
      </c>
      <c r="I523">
        <v>289</v>
      </c>
      <c r="J523">
        <v>0</v>
      </c>
      <c r="K523">
        <v>0</v>
      </c>
      <c r="L523" t="s">
        <v>78</v>
      </c>
      <c r="M523" t="s">
        <v>78</v>
      </c>
      <c r="N523" t="s">
        <v>78</v>
      </c>
      <c r="O523">
        <v>0</v>
      </c>
      <c r="P523">
        <v>0</v>
      </c>
      <c r="Q523">
        <v>0</v>
      </c>
      <c r="R523" t="s">
        <v>111</v>
      </c>
      <c r="S523">
        <v>0</v>
      </c>
      <c r="T523" t="s">
        <v>80</v>
      </c>
      <c r="U523" t="s">
        <v>80</v>
      </c>
      <c r="V523" t="s">
        <v>239</v>
      </c>
      <c r="W523" t="s">
        <v>1105</v>
      </c>
      <c r="X523" t="s">
        <v>3480</v>
      </c>
      <c r="Y523" t="s">
        <v>3481</v>
      </c>
      <c r="Z523" t="s">
        <v>80</v>
      </c>
      <c r="AA523" t="s">
        <v>85</v>
      </c>
      <c r="AC523" t="s">
        <v>3482</v>
      </c>
      <c r="AD523" t="s">
        <v>87</v>
      </c>
      <c r="AF523" t="s">
        <v>3483</v>
      </c>
      <c r="AG523" t="s">
        <v>3484</v>
      </c>
      <c r="AH523" t="s">
        <v>91</v>
      </c>
      <c r="AI523" t="s">
        <v>92</v>
      </c>
      <c r="AJ523" t="s">
        <v>93</v>
      </c>
      <c r="AK523" t="s">
        <v>3485</v>
      </c>
      <c r="AL523" t="s">
        <v>95</v>
      </c>
      <c r="AM523" t="s">
        <v>96</v>
      </c>
      <c r="AN523" t="s">
        <v>97</v>
      </c>
      <c r="AO523" t="s">
        <v>98</v>
      </c>
      <c r="AP523" t="s">
        <v>78</v>
      </c>
      <c r="AQ523" t="s">
        <v>78</v>
      </c>
      <c r="AS523" t="s">
        <v>78</v>
      </c>
      <c r="AT523" t="s">
        <v>100</v>
      </c>
      <c r="AU523" t="s">
        <v>100</v>
      </c>
      <c r="AW523" t="s">
        <v>85</v>
      </c>
      <c r="AX523" t="s">
        <v>101</v>
      </c>
      <c r="AY523" t="s">
        <v>102</v>
      </c>
      <c r="AZ523" t="s">
        <v>103</v>
      </c>
      <c r="BA523" t="s">
        <v>133</v>
      </c>
      <c r="BB523" t="s">
        <v>78</v>
      </c>
      <c r="BC523" t="s">
        <v>78</v>
      </c>
      <c r="BD523" t="s">
        <v>3448</v>
      </c>
      <c r="BE523">
        <v>0</v>
      </c>
      <c r="BF523">
        <v>0</v>
      </c>
      <c r="BG523">
        <v>0</v>
      </c>
      <c r="BH523">
        <v>0</v>
      </c>
      <c r="BJ523" t="s">
        <v>85</v>
      </c>
      <c r="BP523" t="s">
        <v>78</v>
      </c>
      <c r="BQ523" t="s">
        <v>78</v>
      </c>
      <c r="BR523" t="s">
        <v>78</v>
      </c>
    </row>
    <row r="524" customFormat="1" spans="1:70">
      <c r="A524" t="s">
        <v>4411</v>
      </c>
      <c r="B524" t="s">
        <v>4411</v>
      </c>
      <c r="C524" t="s">
        <v>107</v>
      </c>
      <c r="D524" t="s">
        <v>123</v>
      </c>
      <c r="E524">
        <v>1</v>
      </c>
      <c r="F524" t="s">
        <v>3857</v>
      </c>
      <c r="G524" t="s">
        <v>124</v>
      </c>
      <c r="H524">
        <v>289</v>
      </c>
      <c r="I524">
        <v>289</v>
      </c>
      <c r="J524">
        <v>0</v>
      </c>
      <c r="K524">
        <v>0</v>
      </c>
      <c r="L524" t="s">
        <v>78</v>
      </c>
      <c r="M524" t="s">
        <v>78</v>
      </c>
      <c r="N524" t="s">
        <v>78</v>
      </c>
      <c r="O524">
        <v>0</v>
      </c>
      <c r="P524">
        <v>0</v>
      </c>
      <c r="Q524">
        <v>0</v>
      </c>
      <c r="R524" t="s">
        <v>111</v>
      </c>
      <c r="S524">
        <v>0</v>
      </c>
      <c r="T524" t="s">
        <v>80</v>
      </c>
      <c r="U524" t="s">
        <v>80</v>
      </c>
      <c r="V524" t="s">
        <v>161</v>
      </c>
      <c r="W524" t="s">
        <v>161</v>
      </c>
      <c r="X524" t="s">
        <v>1243</v>
      </c>
      <c r="Y524" t="s">
        <v>1580</v>
      </c>
      <c r="Z524" t="s">
        <v>80</v>
      </c>
      <c r="AA524" t="s">
        <v>85</v>
      </c>
      <c r="AC524" t="s">
        <v>3487</v>
      </c>
      <c r="AD524" t="s">
        <v>202</v>
      </c>
      <c r="AE524" t="s">
        <v>3488</v>
      </c>
      <c r="AG524" t="s">
        <v>3489</v>
      </c>
      <c r="AH524" t="s">
        <v>91</v>
      </c>
      <c r="AI524" t="s">
        <v>92</v>
      </c>
      <c r="AJ524" t="s">
        <v>131</v>
      </c>
      <c r="AK524" t="s">
        <v>3490</v>
      </c>
      <c r="AL524" t="s">
        <v>95</v>
      </c>
      <c r="AM524" t="s">
        <v>96</v>
      </c>
      <c r="AN524" t="s">
        <v>97</v>
      </c>
      <c r="AO524" t="s">
        <v>98</v>
      </c>
      <c r="AP524" t="s">
        <v>78</v>
      </c>
      <c r="AQ524" t="s">
        <v>99</v>
      </c>
      <c r="AS524" t="s">
        <v>78</v>
      </c>
      <c r="AT524" t="s">
        <v>100</v>
      </c>
      <c r="AU524" t="s">
        <v>100</v>
      </c>
      <c r="AW524" t="s">
        <v>85</v>
      </c>
      <c r="AX524" t="s">
        <v>101</v>
      </c>
      <c r="AY524" t="s">
        <v>102</v>
      </c>
      <c r="AZ524" t="s">
        <v>103</v>
      </c>
      <c r="BA524" t="s">
        <v>245</v>
      </c>
      <c r="BB524" t="s">
        <v>78</v>
      </c>
      <c r="BC524" t="s">
        <v>78</v>
      </c>
      <c r="BD524" t="s">
        <v>3491</v>
      </c>
      <c r="BE524">
        <v>0</v>
      </c>
      <c r="BF524">
        <v>0</v>
      </c>
      <c r="BG524">
        <v>0</v>
      </c>
      <c r="BH524">
        <v>0</v>
      </c>
      <c r="BJ524" t="s">
        <v>85</v>
      </c>
      <c r="BP524" t="s">
        <v>78</v>
      </c>
      <c r="BQ524" t="s">
        <v>78</v>
      </c>
      <c r="BR524" t="s">
        <v>78</v>
      </c>
    </row>
    <row r="525" customFormat="1" spans="1:70">
      <c r="A525" t="s">
        <v>4412</v>
      </c>
      <c r="B525" t="s">
        <v>4412</v>
      </c>
      <c r="C525" t="s">
        <v>107</v>
      </c>
      <c r="D525" t="s">
        <v>123</v>
      </c>
      <c r="E525">
        <v>1</v>
      </c>
      <c r="F525" t="s">
        <v>3857</v>
      </c>
      <c r="G525" t="s">
        <v>124</v>
      </c>
      <c r="H525">
        <v>289</v>
      </c>
      <c r="I525">
        <v>289</v>
      </c>
      <c r="J525">
        <v>0</v>
      </c>
      <c r="K525">
        <v>0</v>
      </c>
      <c r="L525" t="s">
        <v>78</v>
      </c>
      <c r="M525" t="s">
        <v>78</v>
      </c>
      <c r="N525" t="s">
        <v>78</v>
      </c>
      <c r="O525">
        <v>0</v>
      </c>
      <c r="P525">
        <v>0</v>
      </c>
      <c r="Q525">
        <v>0</v>
      </c>
      <c r="R525" t="s">
        <v>79</v>
      </c>
      <c r="S525">
        <v>0</v>
      </c>
      <c r="T525" t="s">
        <v>80</v>
      </c>
      <c r="U525" t="s">
        <v>80</v>
      </c>
      <c r="V525" t="s">
        <v>126</v>
      </c>
      <c r="W525" t="s">
        <v>377</v>
      </c>
      <c r="X525" t="s">
        <v>3493</v>
      </c>
      <c r="Y525" t="s">
        <v>392</v>
      </c>
      <c r="Z525" t="s">
        <v>80</v>
      </c>
      <c r="AA525" t="s">
        <v>85</v>
      </c>
      <c r="AC525" t="s">
        <v>3494</v>
      </c>
      <c r="AD525" t="s">
        <v>202</v>
      </c>
      <c r="AE525" t="s">
        <v>3495</v>
      </c>
      <c r="AG525" t="s">
        <v>3496</v>
      </c>
      <c r="AH525" t="s">
        <v>91</v>
      </c>
      <c r="AI525" t="s">
        <v>92</v>
      </c>
      <c r="AJ525" t="s">
        <v>131</v>
      </c>
      <c r="AK525" t="s">
        <v>3497</v>
      </c>
      <c r="AL525" t="s">
        <v>95</v>
      </c>
      <c r="AM525" t="s">
        <v>96</v>
      </c>
      <c r="AN525" t="s">
        <v>97</v>
      </c>
      <c r="AO525" t="s">
        <v>98</v>
      </c>
      <c r="AP525" t="s">
        <v>78</v>
      </c>
      <c r="AQ525" t="s">
        <v>99</v>
      </c>
      <c r="AS525" t="s">
        <v>78</v>
      </c>
      <c r="AT525" t="s">
        <v>100</v>
      </c>
      <c r="AU525" t="s">
        <v>100</v>
      </c>
      <c r="AW525" t="s">
        <v>85</v>
      </c>
      <c r="AX525" t="s">
        <v>101</v>
      </c>
      <c r="AY525" t="s">
        <v>102</v>
      </c>
      <c r="AZ525" t="s">
        <v>103</v>
      </c>
      <c r="BA525" t="s">
        <v>120</v>
      </c>
      <c r="BB525" t="s">
        <v>78</v>
      </c>
      <c r="BC525" t="s">
        <v>78</v>
      </c>
      <c r="BD525" t="s">
        <v>3491</v>
      </c>
      <c r="BE525">
        <v>0</v>
      </c>
      <c r="BF525">
        <v>0</v>
      </c>
      <c r="BG525">
        <v>0</v>
      </c>
      <c r="BH525">
        <v>0</v>
      </c>
      <c r="BJ525" t="s">
        <v>85</v>
      </c>
      <c r="BP525" t="s">
        <v>78</v>
      </c>
      <c r="BQ525" t="s">
        <v>78</v>
      </c>
      <c r="BR525" t="s">
        <v>78</v>
      </c>
    </row>
    <row r="526" customFormat="1" spans="1:70">
      <c r="A526" t="s">
        <v>4413</v>
      </c>
      <c r="B526" t="s">
        <v>4413</v>
      </c>
      <c r="C526" t="s">
        <v>107</v>
      </c>
      <c r="D526" t="s">
        <v>108</v>
      </c>
      <c r="E526">
        <v>1</v>
      </c>
      <c r="F526" t="s">
        <v>3857</v>
      </c>
      <c r="G526" t="s">
        <v>110</v>
      </c>
      <c r="H526">
        <v>289</v>
      </c>
      <c r="I526">
        <v>289</v>
      </c>
      <c r="J526">
        <v>0</v>
      </c>
      <c r="K526">
        <v>0</v>
      </c>
      <c r="L526" t="s">
        <v>78</v>
      </c>
      <c r="M526" t="s">
        <v>78</v>
      </c>
      <c r="N526" t="s">
        <v>78</v>
      </c>
      <c r="O526">
        <v>0</v>
      </c>
      <c r="P526">
        <v>0</v>
      </c>
      <c r="Q526">
        <v>0</v>
      </c>
      <c r="R526" t="s">
        <v>125</v>
      </c>
      <c r="S526">
        <v>0</v>
      </c>
      <c r="T526" t="s">
        <v>80</v>
      </c>
      <c r="U526" t="s">
        <v>80</v>
      </c>
      <c r="V526" t="s">
        <v>152</v>
      </c>
      <c r="W526" t="s">
        <v>2101</v>
      </c>
      <c r="X526" t="s">
        <v>3499</v>
      </c>
      <c r="Y526" t="s">
        <v>3500</v>
      </c>
      <c r="Z526" t="s">
        <v>80</v>
      </c>
      <c r="AA526" t="s">
        <v>85</v>
      </c>
      <c r="AC526" t="s">
        <v>3501</v>
      </c>
      <c r="AD526" t="s">
        <v>87</v>
      </c>
      <c r="AG526" t="s">
        <v>3502</v>
      </c>
      <c r="AH526" t="s">
        <v>91</v>
      </c>
      <c r="AI526" t="s">
        <v>92</v>
      </c>
      <c r="AJ526" t="s">
        <v>131</v>
      </c>
      <c r="AK526" t="s">
        <v>3503</v>
      </c>
      <c r="AL526" t="s">
        <v>95</v>
      </c>
      <c r="AM526" t="s">
        <v>96</v>
      </c>
      <c r="AN526" t="s">
        <v>97</v>
      </c>
      <c r="AO526" t="s">
        <v>98</v>
      </c>
      <c r="AP526" t="s">
        <v>78</v>
      </c>
      <c r="AQ526" t="s">
        <v>99</v>
      </c>
      <c r="AS526" t="s">
        <v>78</v>
      </c>
      <c r="AT526" t="s">
        <v>100</v>
      </c>
      <c r="AU526" t="s">
        <v>100</v>
      </c>
      <c r="AW526" t="s">
        <v>85</v>
      </c>
      <c r="AX526" t="s">
        <v>101</v>
      </c>
      <c r="AY526" t="s">
        <v>102</v>
      </c>
      <c r="AZ526" t="s">
        <v>103</v>
      </c>
      <c r="BA526" t="s">
        <v>120</v>
      </c>
      <c r="BB526" t="s">
        <v>78</v>
      </c>
      <c r="BC526" t="s">
        <v>78</v>
      </c>
      <c r="BE526">
        <v>0</v>
      </c>
      <c r="BF526">
        <v>0</v>
      </c>
      <c r="BG526">
        <v>0</v>
      </c>
      <c r="BH526">
        <v>0</v>
      </c>
      <c r="BJ526" t="s">
        <v>85</v>
      </c>
      <c r="BP526" t="s">
        <v>78</v>
      </c>
      <c r="BQ526" t="s">
        <v>78</v>
      </c>
      <c r="BR526" t="s">
        <v>78</v>
      </c>
    </row>
    <row r="527" customFormat="1" spans="1:70">
      <c r="A527" t="s">
        <v>4414</v>
      </c>
      <c r="B527" t="s">
        <v>4414</v>
      </c>
      <c r="C527" t="s">
        <v>107</v>
      </c>
      <c r="D527" t="s">
        <v>108</v>
      </c>
      <c r="E527">
        <v>1</v>
      </c>
      <c r="F527" t="s">
        <v>3857</v>
      </c>
      <c r="G527" t="s">
        <v>110</v>
      </c>
      <c r="H527">
        <v>289</v>
      </c>
      <c r="I527">
        <v>287.98</v>
      </c>
      <c r="J527">
        <v>0</v>
      </c>
      <c r="K527">
        <v>1.02</v>
      </c>
      <c r="L527" t="s">
        <v>3505</v>
      </c>
      <c r="M527" t="s">
        <v>78</v>
      </c>
      <c r="N527" t="s">
        <v>78</v>
      </c>
      <c r="O527">
        <v>0</v>
      </c>
      <c r="P527">
        <v>0</v>
      </c>
      <c r="Q527">
        <v>0</v>
      </c>
      <c r="R527" t="s">
        <v>125</v>
      </c>
      <c r="S527">
        <v>0</v>
      </c>
      <c r="T527" t="s">
        <v>80</v>
      </c>
      <c r="U527" t="s">
        <v>80</v>
      </c>
      <c r="V527" t="s">
        <v>1261</v>
      </c>
      <c r="W527" t="s">
        <v>2307</v>
      </c>
      <c r="X527" t="s">
        <v>3506</v>
      </c>
      <c r="Y527" t="s">
        <v>3507</v>
      </c>
      <c r="Z527" t="s">
        <v>80</v>
      </c>
      <c r="AA527" t="s">
        <v>85</v>
      </c>
      <c r="AC527" t="s">
        <v>3508</v>
      </c>
      <c r="AD527" t="s">
        <v>87</v>
      </c>
      <c r="AG527" t="s">
        <v>3509</v>
      </c>
      <c r="AH527" t="s">
        <v>91</v>
      </c>
      <c r="AI527" t="s">
        <v>92</v>
      </c>
      <c r="AJ527" t="s">
        <v>131</v>
      </c>
      <c r="AK527" t="s">
        <v>3510</v>
      </c>
      <c r="AL527" t="s">
        <v>95</v>
      </c>
      <c r="AM527" t="s">
        <v>96</v>
      </c>
      <c r="AN527" t="s">
        <v>97</v>
      </c>
      <c r="AO527" t="s">
        <v>98</v>
      </c>
      <c r="AP527" t="s">
        <v>78</v>
      </c>
      <c r="AQ527" t="s">
        <v>99</v>
      </c>
      <c r="AS527" t="s">
        <v>78</v>
      </c>
      <c r="AT527" t="s">
        <v>100</v>
      </c>
      <c r="AU527" t="s">
        <v>100</v>
      </c>
      <c r="AW527" t="s">
        <v>85</v>
      </c>
      <c r="AX527" t="s">
        <v>101</v>
      </c>
      <c r="AY527" t="s">
        <v>102</v>
      </c>
      <c r="AZ527" t="s">
        <v>103</v>
      </c>
      <c r="BA527" t="s">
        <v>133</v>
      </c>
      <c r="BB527" t="s">
        <v>78</v>
      </c>
      <c r="BC527" t="s">
        <v>78</v>
      </c>
      <c r="BE527">
        <v>0</v>
      </c>
      <c r="BF527">
        <v>1.02</v>
      </c>
      <c r="BG527">
        <v>0</v>
      </c>
      <c r="BH527">
        <v>0</v>
      </c>
      <c r="BJ527" t="s">
        <v>85</v>
      </c>
      <c r="BP527" t="s">
        <v>78</v>
      </c>
      <c r="BQ527" t="s">
        <v>78</v>
      </c>
      <c r="BR527" t="s">
        <v>78</v>
      </c>
    </row>
    <row r="528" customFormat="1" spans="1:70">
      <c r="A528" t="s">
        <v>4415</v>
      </c>
      <c r="B528" t="s">
        <v>4415</v>
      </c>
      <c r="C528" t="s">
        <v>107</v>
      </c>
      <c r="D528" t="s">
        <v>123</v>
      </c>
      <c r="E528">
        <v>1</v>
      </c>
      <c r="F528" t="s">
        <v>3857</v>
      </c>
      <c r="G528" t="s">
        <v>124</v>
      </c>
      <c r="H528">
        <v>289</v>
      </c>
      <c r="I528">
        <v>289</v>
      </c>
      <c r="J528">
        <v>0</v>
      </c>
      <c r="K528">
        <v>0</v>
      </c>
      <c r="L528" t="s">
        <v>78</v>
      </c>
      <c r="M528" t="s">
        <v>78</v>
      </c>
      <c r="N528" t="s">
        <v>78</v>
      </c>
      <c r="O528">
        <v>0</v>
      </c>
      <c r="P528">
        <v>0</v>
      </c>
      <c r="Q528">
        <v>0</v>
      </c>
      <c r="R528" t="s">
        <v>79</v>
      </c>
      <c r="S528">
        <v>0</v>
      </c>
      <c r="T528" t="s">
        <v>80</v>
      </c>
      <c r="U528" t="s">
        <v>80</v>
      </c>
      <c r="V528" t="s">
        <v>509</v>
      </c>
      <c r="W528" t="s">
        <v>3512</v>
      </c>
      <c r="X528" t="s">
        <v>3513</v>
      </c>
      <c r="Y528" t="s">
        <v>3514</v>
      </c>
      <c r="Z528" t="s">
        <v>80</v>
      </c>
      <c r="AA528" t="s">
        <v>85</v>
      </c>
      <c r="AC528" t="s">
        <v>3515</v>
      </c>
      <c r="AD528" t="s">
        <v>87</v>
      </c>
      <c r="AF528" t="s">
        <v>3516</v>
      </c>
      <c r="AG528" t="s">
        <v>3517</v>
      </c>
      <c r="AH528" t="s">
        <v>91</v>
      </c>
      <c r="AI528" t="s">
        <v>92</v>
      </c>
      <c r="AJ528" t="s">
        <v>93</v>
      </c>
      <c r="AK528" t="s">
        <v>3518</v>
      </c>
      <c r="AL528" t="s">
        <v>95</v>
      </c>
      <c r="AM528" t="s">
        <v>96</v>
      </c>
      <c r="AN528" t="s">
        <v>97</v>
      </c>
      <c r="AO528" t="s">
        <v>98</v>
      </c>
      <c r="AP528" t="s">
        <v>78</v>
      </c>
      <c r="AQ528" t="s">
        <v>78</v>
      </c>
      <c r="AS528" t="s">
        <v>78</v>
      </c>
      <c r="AT528" t="s">
        <v>100</v>
      </c>
      <c r="AU528" t="s">
        <v>100</v>
      </c>
      <c r="AW528" t="s">
        <v>85</v>
      </c>
      <c r="AX528" t="s">
        <v>101</v>
      </c>
      <c r="AY528" t="s">
        <v>102</v>
      </c>
      <c r="AZ528" t="s">
        <v>103</v>
      </c>
      <c r="BA528" t="s">
        <v>104</v>
      </c>
      <c r="BB528" t="s">
        <v>78</v>
      </c>
      <c r="BC528" t="s">
        <v>78</v>
      </c>
      <c r="BD528" t="s">
        <v>3519</v>
      </c>
      <c r="BE528">
        <v>0</v>
      </c>
      <c r="BF528">
        <v>0</v>
      </c>
      <c r="BG528">
        <v>0</v>
      </c>
      <c r="BH528">
        <v>0</v>
      </c>
      <c r="BJ528" t="s">
        <v>85</v>
      </c>
      <c r="BP528" t="s">
        <v>78</v>
      </c>
      <c r="BQ528" t="s">
        <v>78</v>
      </c>
      <c r="BR528" t="s">
        <v>78</v>
      </c>
    </row>
    <row r="529" customFormat="1" spans="1:70">
      <c r="A529" t="s">
        <v>4416</v>
      </c>
      <c r="B529" t="s">
        <v>4416</v>
      </c>
      <c r="C529" t="s">
        <v>107</v>
      </c>
      <c r="D529" t="s">
        <v>108</v>
      </c>
      <c r="E529">
        <v>1</v>
      </c>
      <c r="F529" t="s">
        <v>3857</v>
      </c>
      <c r="G529" t="s">
        <v>110</v>
      </c>
      <c r="H529">
        <v>289</v>
      </c>
      <c r="I529">
        <v>289</v>
      </c>
      <c r="J529">
        <v>0</v>
      </c>
      <c r="K529">
        <v>0</v>
      </c>
      <c r="L529" t="s">
        <v>78</v>
      </c>
      <c r="M529" t="s">
        <v>78</v>
      </c>
      <c r="N529" t="s">
        <v>78</v>
      </c>
      <c r="O529">
        <v>0</v>
      </c>
      <c r="P529">
        <v>0</v>
      </c>
      <c r="Q529">
        <v>0</v>
      </c>
      <c r="R529" t="s">
        <v>79</v>
      </c>
      <c r="S529">
        <v>0</v>
      </c>
      <c r="T529" t="s">
        <v>80</v>
      </c>
      <c r="U529" t="s">
        <v>80</v>
      </c>
      <c r="V529" t="s">
        <v>447</v>
      </c>
      <c r="W529" t="s">
        <v>3322</v>
      </c>
      <c r="X529" t="s">
        <v>3323</v>
      </c>
      <c r="Y529" t="s">
        <v>3324</v>
      </c>
      <c r="Z529" t="s">
        <v>80</v>
      </c>
      <c r="AA529" t="s">
        <v>85</v>
      </c>
      <c r="AC529" t="s">
        <v>3521</v>
      </c>
      <c r="AD529" t="s">
        <v>362</v>
      </c>
      <c r="AE529" t="s">
        <v>3522</v>
      </c>
      <c r="AF529" t="s">
        <v>3523</v>
      </c>
      <c r="AG529" t="s">
        <v>3524</v>
      </c>
      <c r="AH529" t="s">
        <v>91</v>
      </c>
      <c r="AI529" t="s">
        <v>92</v>
      </c>
      <c r="AJ529" t="s">
        <v>93</v>
      </c>
      <c r="AK529" t="s">
        <v>3525</v>
      </c>
      <c r="AL529" t="s">
        <v>95</v>
      </c>
      <c r="AM529" t="s">
        <v>96</v>
      </c>
      <c r="AN529" t="s">
        <v>97</v>
      </c>
      <c r="AO529" t="s">
        <v>98</v>
      </c>
      <c r="AP529" t="s">
        <v>78</v>
      </c>
      <c r="AQ529" t="s">
        <v>99</v>
      </c>
      <c r="AS529" t="s">
        <v>78</v>
      </c>
      <c r="AT529" t="s">
        <v>100</v>
      </c>
      <c r="AU529" t="s">
        <v>100</v>
      </c>
      <c r="AW529" t="s">
        <v>85</v>
      </c>
      <c r="AX529" t="s">
        <v>101</v>
      </c>
      <c r="AY529" t="s">
        <v>102</v>
      </c>
      <c r="AZ529" t="s">
        <v>103</v>
      </c>
      <c r="BA529" t="s">
        <v>120</v>
      </c>
      <c r="BB529" t="s">
        <v>78</v>
      </c>
      <c r="BC529" t="s">
        <v>78</v>
      </c>
      <c r="BD529" t="s">
        <v>3491</v>
      </c>
      <c r="BE529">
        <v>0</v>
      </c>
      <c r="BF529">
        <v>0</v>
      </c>
      <c r="BG529">
        <v>0</v>
      </c>
      <c r="BH529">
        <v>0</v>
      </c>
      <c r="BJ529" t="s">
        <v>85</v>
      </c>
      <c r="BP529" t="s">
        <v>78</v>
      </c>
      <c r="BQ529" t="s">
        <v>78</v>
      </c>
      <c r="BR529" t="s">
        <v>78</v>
      </c>
    </row>
    <row r="530" customFormat="1" spans="1:70">
      <c r="A530" t="s">
        <v>4417</v>
      </c>
      <c r="B530" t="s">
        <v>4417</v>
      </c>
      <c r="C530" t="s">
        <v>107</v>
      </c>
      <c r="D530" t="s">
        <v>123</v>
      </c>
      <c r="E530">
        <v>1</v>
      </c>
      <c r="F530" t="s">
        <v>3857</v>
      </c>
      <c r="G530" t="s">
        <v>124</v>
      </c>
      <c r="H530">
        <v>289</v>
      </c>
      <c r="I530">
        <v>289</v>
      </c>
      <c r="J530">
        <v>0</v>
      </c>
      <c r="K530">
        <v>0</v>
      </c>
      <c r="L530" t="s">
        <v>78</v>
      </c>
      <c r="M530" t="s">
        <v>78</v>
      </c>
      <c r="N530" t="s">
        <v>78</v>
      </c>
      <c r="O530">
        <v>0</v>
      </c>
      <c r="P530">
        <v>0</v>
      </c>
      <c r="Q530">
        <v>0</v>
      </c>
      <c r="R530" t="s">
        <v>79</v>
      </c>
      <c r="S530">
        <v>0</v>
      </c>
      <c r="T530" t="s">
        <v>80</v>
      </c>
      <c r="U530" t="s">
        <v>80</v>
      </c>
      <c r="V530" t="s">
        <v>271</v>
      </c>
      <c r="W530" t="s">
        <v>3527</v>
      </c>
      <c r="X530" t="s">
        <v>3528</v>
      </c>
      <c r="Y530" t="s">
        <v>3529</v>
      </c>
      <c r="Z530" t="s">
        <v>80</v>
      </c>
      <c r="AA530" t="s">
        <v>85</v>
      </c>
      <c r="AC530" t="s">
        <v>3530</v>
      </c>
      <c r="AD530" t="s">
        <v>202</v>
      </c>
      <c r="AE530" t="s">
        <v>3531</v>
      </c>
      <c r="AG530" t="s">
        <v>3532</v>
      </c>
      <c r="AH530" t="s">
        <v>227</v>
      </c>
      <c r="AI530" t="s">
        <v>92</v>
      </c>
      <c r="AJ530" t="s">
        <v>131</v>
      </c>
      <c r="AK530" t="s">
        <v>3533</v>
      </c>
      <c r="AL530" t="s">
        <v>95</v>
      </c>
      <c r="AM530" t="s">
        <v>96</v>
      </c>
      <c r="AN530" t="s">
        <v>97</v>
      </c>
      <c r="AO530" t="s">
        <v>98</v>
      </c>
      <c r="AP530" t="s">
        <v>78</v>
      </c>
      <c r="AQ530" t="s">
        <v>99</v>
      </c>
      <c r="AS530" t="s">
        <v>78</v>
      </c>
      <c r="AT530" t="s">
        <v>100</v>
      </c>
      <c r="AU530" t="s">
        <v>100</v>
      </c>
      <c r="AW530" t="s">
        <v>85</v>
      </c>
      <c r="AX530" t="s">
        <v>103</v>
      </c>
      <c r="AY530" t="s">
        <v>159</v>
      </c>
      <c r="AZ530" t="s">
        <v>103</v>
      </c>
      <c r="BA530" t="s">
        <v>133</v>
      </c>
      <c r="BB530" t="s">
        <v>78</v>
      </c>
      <c r="BC530" t="s">
        <v>78</v>
      </c>
      <c r="BD530" t="s">
        <v>3519</v>
      </c>
      <c r="BE530">
        <v>0</v>
      </c>
      <c r="BF530">
        <v>0</v>
      </c>
      <c r="BG530">
        <v>0</v>
      </c>
      <c r="BH530">
        <v>0</v>
      </c>
      <c r="BJ530" t="s">
        <v>85</v>
      </c>
      <c r="BP530" t="s">
        <v>78</v>
      </c>
      <c r="BQ530" t="s">
        <v>78</v>
      </c>
      <c r="BR530" t="s">
        <v>78</v>
      </c>
    </row>
    <row r="531" customFormat="1" spans="1:70">
      <c r="A531" t="s">
        <v>4418</v>
      </c>
      <c r="B531" t="s">
        <v>4418</v>
      </c>
      <c r="C531" t="s">
        <v>107</v>
      </c>
      <c r="D531" t="s">
        <v>123</v>
      </c>
      <c r="E531">
        <v>1</v>
      </c>
      <c r="F531" t="s">
        <v>3857</v>
      </c>
      <c r="G531" t="s">
        <v>124</v>
      </c>
      <c r="H531">
        <v>289</v>
      </c>
      <c r="I531">
        <v>289</v>
      </c>
      <c r="J531">
        <v>0</v>
      </c>
      <c r="K531">
        <v>0</v>
      </c>
      <c r="L531" t="s">
        <v>78</v>
      </c>
      <c r="M531" t="s">
        <v>78</v>
      </c>
      <c r="N531" t="s">
        <v>78</v>
      </c>
      <c r="O531">
        <v>0</v>
      </c>
      <c r="P531">
        <v>0</v>
      </c>
      <c r="Q531">
        <v>0</v>
      </c>
      <c r="R531" t="s">
        <v>79</v>
      </c>
      <c r="S531">
        <v>0</v>
      </c>
      <c r="T531" t="s">
        <v>80</v>
      </c>
      <c r="U531" t="s">
        <v>80</v>
      </c>
      <c r="V531" t="s">
        <v>221</v>
      </c>
      <c r="W531" t="s">
        <v>3535</v>
      </c>
      <c r="X531" t="s">
        <v>3536</v>
      </c>
      <c r="Y531" t="s">
        <v>3537</v>
      </c>
      <c r="Z531" t="s">
        <v>80</v>
      </c>
      <c r="AA531" t="s">
        <v>85</v>
      </c>
      <c r="AC531" t="s">
        <v>3538</v>
      </c>
      <c r="AD531" t="s">
        <v>87</v>
      </c>
      <c r="AG531" t="s">
        <v>3539</v>
      </c>
      <c r="AH531" t="s">
        <v>91</v>
      </c>
      <c r="AI531" t="s">
        <v>92</v>
      </c>
      <c r="AJ531" t="s">
        <v>131</v>
      </c>
      <c r="AK531" t="s">
        <v>3540</v>
      </c>
      <c r="AL531" t="s">
        <v>95</v>
      </c>
      <c r="AM531" t="s">
        <v>96</v>
      </c>
      <c r="AN531" t="s">
        <v>97</v>
      </c>
      <c r="AO531" t="s">
        <v>98</v>
      </c>
      <c r="AP531" t="s">
        <v>78</v>
      </c>
      <c r="AQ531" t="s">
        <v>99</v>
      </c>
      <c r="AS531" t="s">
        <v>78</v>
      </c>
      <c r="AT531" t="s">
        <v>100</v>
      </c>
      <c r="AU531" t="s">
        <v>100</v>
      </c>
      <c r="AW531" t="s">
        <v>85</v>
      </c>
      <c r="AX531" t="s">
        <v>101</v>
      </c>
      <c r="AY531" t="s">
        <v>102</v>
      </c>
      <c r="AZ531" t="s">
        <v>103</v>
      </c>
      <c r="BA531" t="s">
        <v>133</v>
      </c>
      <c r="BB531" t="s">
        <v>78</v>
      </c>
      <c r="BC531" t="s">
        <v>78</v>
      </c>
      <c r="BE531">
        <v>0</v>
      </c>
      <c r="BF531">
        <v>0</v>
      </c>
      <c r="BG531">
        <v>0</v>
      </c>
      <c r="BH531">
        <v>0</v>
      </c>
      <c r="BJ531" t="s">
        <v>85</v>
      </c>
      <c r="BP531" t="s">
        <v>78</v>
      </c>
      <c r="BQ531" t="s">
        <v>78</v>
      </c>
      <c r="BR531" t="s">
        <v>78</v>
      </c>
    </row>
    <row r="532" customFormat="1" spans="1:70">
      <c r="A532" t="s">
        <v>4419</v>
      </c>
      <c r="B532" t="s">
        <v>4419</v>
      </c>
      <c r="C532" t="s">
        <v>107</v>
      </c>
      <c r="D532" t="s">
        <v>108</v>
      </c>
      <c r="E532">
        <v>1</v>
      </c>
      <c r="F532" t="s">
        <v>3857</v>
      </c>
      <c r="G532" t="s">
        <v>110</v>
      </c>
      <c r="H532">
        <v>289</v>
      </c>
      <c r="I532">
        <v>289</v>
      </c>
      <c r="J532">
        <v>0</v>
      </c>
      <c r="K532">
        <v>0</v>
      </c>
      <c r="L532" t="s">
        <v>78</v>
      </c>
      <c r="M532" t="s">
        <v>78</v>
      </c>
      <c r="N532" t="s">
        <v>78</v>
      </c>
      <c r="O532">
        <v>0</v>
      </c>
      <c r="P532">
        <v>0</v>
      </c>
      <c r="Q532">
        <v>0</v>
      </c>
      <c r="R532" t="s">
        <v>125</v>
      </c>
      <c r="S532">
        <v>0</v>
      </c>
      <c r="T532" t="s">
        <v>80</v>
      </c>
      <c r="U532" t="s">
        <v>80</v>
      </c>
      <c r="V532" t="s">
        <v>1665</v>
      </c>
      <c r="W532" t="s">
        <v>1666</v>
      </c>
      <c r="X532" t="s">
        <v>3542</v>
      </c>
      <c r="Y532" t="s">
        <v>3543</v>
      </c>
      <c r="Z532" t="s">
        <v>80</v>
      </c>
      <c r="AA532" t="s">
        <v>85</v>
      </c>
      <c r="AC532" t="s">
        <v>3544</v>
      </c>
      <c r="AD532" t="s">
        <v>87</v>
      </c>
      <c r="AG532" t="s">
        <v>3545</v>
      </c>
      <c r="AH532" t="s">
        <v>91</v>
      </c>
      <c r="AI532" t="s">
        <v>92</v>
      </c>
      <c r="AJ532" t="s">
        <v>131</v>
      </c>
      <c r="AK532" t="s">
        <v>3546</v>
      </c>
      <c r="AL532" t="s">
        <v>95</v>
      </c>
      <c r="AM532" t="s">
        <v>96</v>
      </c>
      <c r="AN532" t="s">
        <v>97</v>
      </c>
      <c r="AO532" t="s">
        <v>98</v>
      </c>
      <c r="AP532" t="s">
        <v>78</v>
      </c>
      <c r="AQ532" t="s">
        <v>99</v>
      </c>
      <c r="AS532" t="s">
        <v>78</v>
      </c>
      <c r="AT532" t="s">
        <v>100</v>
      </c>
      <c r="AU532" t="s">
        <v>100</v>
      </c>
      <c r="AW532" t="s">
        <v>85</v>
      </c>
      <c r="AX532" t="s">
        <v>103</v>
      </c>
      <c r="AY532" t="s">
        <v>159</v>
      </c>
      <c r="AZ532" t="s">
        <v>103</v>
      </c>
      <c r="BA532" t="s">
        <v>419</v>
      </c>
      <c r="BB532" t="s">
        <v>78</v>
      </c>
      <c r="BC532" t="s">
        <v>78</v>
      </c>
      <c r="BE532">
        <v>0</v>
      </c>
      <c r="BF532">
        <v>0</v>
      </c>
      <c r="BG532">
        <v>0</v>
      </c>
      <c r="BH532">
        <v>0</v>
      </c>
      <c r="BJ532" t="s">
        <v>85</v>
      </c>
      <c r="BP532" t="s">
        <v>78</v>
      </c>
      <c r="BQ532" t="s">
        <v>78</v>
      </c>
      <c r="BR532" t="s">
        <v>78</v>
      </c>
    </row>
    <row r="533" customFormat="1" spans="1:70">
      <c r="A533" t="s">
        <v>4420</v>
      </c>
      <c r="B533" t="s">
        <v>4420</v>
      </c>
      <c r="C533" t="s">
        <v>107</v>
      </c>
      <c r="D533" t="s">
        <v>123</v>
      </c>
      <c r="E533">
        <v>1</v>
      </c>
      <c r="F533" t="s">
        <v>3857</v>
      </c>
      <c r="G533" t="s">
        <v>124</v>
      </c>
      <c r="H533">
        <v>289</v>
      </c>
      <c r="I533">
        <v>289</v>
      </c>
      <c r="J533">
        <v>0</v>
      </c>
      <c r="K533">
        <v>0</v>
      </c>
      <c r="L533" t="s">
        <v>78</v>
      </c>
      <c r="M533" t="s">
        <v>78</v>
      </c>
      <c r="N533" t="s">
        <v>78</v>
      </c>
      <c r="O533">
        <v>0</v>
      </c>
      <c r="P533">
        <v>0</v>
      </c>
      <c r="Q533">
        <v>0</v>
      </c>
      <c r="R533" t="s">
        <v>125</v>
      </c>
      <c r="S533">
        <v>0</v>
      </c>
      <c r="T533" t="s">
        <v>80</v>
      </c>
      <c r="U533" t="s">
        <v>80</v>
      </c>
      <c r="V533" t="s">
        <v>126</v>
      </c>
      <c r="W533" t="s">
        <v>3548</v>
      </c>
      <c r="X533" t="s">
        <v>3549</v>
      </c>
      <c r="Y533" t="s">
        <v>3550</v>
      </c>
      <c r="Z533" t="s">
        <v>80</v>
      </c>
      <c r="AA533" t="s">
        <v>85</v>
      </c>
      <c r="AC533" t="s">
        <v>3551</v>
      </c>
      <c r="AD533" t="s">
        <v>202</v>
      </c>
      <c r="AE533" t="s">
        <v>3552</v>
      </c>
      <c r="AF533" t="s">
        <v>3516</v>
      </c>
      <c r="AG533" t="s">
        <v>3553</v>
      </c>
      <c r="AH533" t="s">
        <v>227</v>
      </c>
      <c r="AI533" t="s">
        <v>216</v>
      </c>
      <c r="AJ533" t="s">
        <v>93</v>
      </c>
      <c r="AK533" t="s">
        <v>3554</v>
      </c>
      <c r="AL533" t="s">
        <v>95</v>
      </c>
      <c r="AM533" t="s">
        <v>96</v>
      </c>
      <c r="AN533" t="s">
        <v>96</v>
      </c>
      <c r="AP533" t="s">
        <v>78</v>
      </c>
      <c r="AQ533" t="s">
        <v>99</v>
      </c>
      <c r="AS533" t="s">
        <v>78</v>
      </c>
      <c r="AT533" t="s">
        <v>100</v>
      </c>
      <c r="AU533" t="s">
        <v>100</v>
      </c>
      <c r="AW533" t="s">
        <v>85</v>
      </c>
      <c r="AX533" t="s">
        <v>101</v>
      </c>
      <c r="AY533" t="s">
        <v>102</v>
      </c>
      <c r="AZ533" t="s">
        <v>145</v>
      </c>
      <c r="BA533" t="s">
        <v>525</v>
      </c>
      <c r="BB533" t="s">
        <v>78</v>
      </c>
      <c r="BC533" t="s">
        <v>78</v>
      </c>
      <c r="BD533" t="s">
        <v>3519</v>
      </c>
      <c r="BE533">
        <v>0</v>
      </c>
      <c r="BF533">
        <v>0</v>
      </c>
      <c r="BG533">
        <v>0</v>
      </c>
      <c r="BH533">
        <v>0</v>
      </c>
      <c r="BJ533" t="s">
        <v>85</v>
      </c>
      <c r="BP533" t="s">
        <v>78</v>
      </c>
      <c r="BQ533" t="s">
        <v>78</v>
      </c>
      <c r="BR533" t="s">
        <v>78</v>
      </c>
    </row>
    <row r="534" customFormat="1" spans="1:70">
      <c r="A534" t="s">
        <v>4421</v>
      </c>
      <c r="B534" t="s">
        <v>4421</v>
      </c>
      <c r="C534" t="s">
        <v>107</v>
      </c>
      <c r="D534" t="s">
        <v>123</v>
      </c>
      <c r="E534">
        <v>1</v>
      </c>
      <c r="F534" t="s">
        <v>3857</v>
      </c>
      <c r="G534" t="s">
        <v>124</v>
      </c>
      <c r="H534">
        <v>289</v>
      </c>
      <c r="I534">
        <v>289</v>
      </c>
      <c r="J534">
        <v>0</v>
      </c>
      <c r="K534">
        <v>0</v>
      </c>
      <c r="L534" t="s">
        <v>78</v>
      </c>
      <c r="M534" t="s">
        <v>78</v>
      </c>
      <c r="N534" t="s">
        <v>78</v>
      </c>
      <c r="O534">
        <v>0</v>
      </c>
      <c r="P534">
        <v>0</v>
      </c>
      <c r="Q534">
        <v>0</v>
      </c>
      <c r="R534" t="s">
        <v>125</v>
      </c>
      <c r="S534">
        <v>0</v>
      </c>
      <c r="T534" t="s">
        <v>80</v>
      </c>
      <c r="U534" t="s">
        <v>80</v>
      </c>
      <c r="V534" t="s">
        <v>126</v>
      </c>
      <c r="W534" t="s">
        <v>3548</v>
      </c>
      <c r="X534" t="s">
        <v>3549</v>
      </c>
      <c r="Y534" t="s">
        <v>3550</v>
      </c>
      <c r="Z534" t="s">
        <v>80</v>
      </c>
      <c r="AA534" t="s">
        <v>85</v>
      </c>
      <c r="AC534" t="s">
        <v>3556</v>
      </c>
      <c r="AD534" t="s">
        <v>87</v>
      </c>
      <c r="AH534" t="s">
        <v>227</v>
      </c>
      <c r="AI534" t="s">
        <v>92</v>
      </c>
      <c r="AJ534" t="s">
        <v>131</v>
      </c>
      <c r="AK534" t="s">
        <v>3557</v>
      </c>
      <c r="AL534" t="s">
        <v>95</v>
      </c>
      <c r="AM534" t="s">
        <v>96</v>
      </c>
      <c r="AN534" t="s">
        <v>97</v>
      </c>
      <c r="AO534" t="s">
        <v>98</v>
      </c>
      <c r="AP534" t="s">
        <v>78</v>
      </c>
      <c r="AQ534" t="s">
        <v>78</v>
      </c>
      <c r="AR534" t="s">
        <v>195</v>
      </c>
      <c r="AS534" t="s">
        <v>78</v>
      </c>
      <c r="AT534" t="s">
        <v>100</v>
      </c>
      <c r="AU534" t="s">
        <v>100</v>
      </c>
      <c r="AW534" t="s">
        <v>85</v>
      </c>
      <c r="AX534" t="s">
        <v>101</v>
      </c>
      <c r="AY534" t="s">
        <v>102</v>
      </c>
      <c r="AZ534" t="s">
        <v>103</v>
      </c>
      <c r="BA534" t="s">
        <v>133</v>
      </c>
      <c r="BB534" t="s">
        <v>78</v>
      </c>
      <c r="BC534" t="s">
        <v>78</v>
      </c>
      <c r="BE534">
        <v>0</v>
      </c>
      <c r="BF534">
        <v>0</v>
      </c>
      <c r="BG534">
        <v>0</v>
      </c>
      <c r="BH534">
        <v>0</v>
      </c>
      <c r="BJ534" t="s">
        <v>85</v>
      </c>
      <c r="BP534" t="s">
        <v>78</v>
      </c>
      <c r="BQ534" t="s">
        <v>78</v>
      </c>
      <c r="BR534" t="s">
        <v>78</v>
      </c>
    </row>
    <row r="535" customFormat="1" spans="1:70">
      <c r="A535" t="s">
        <v>4422</v>
      </c>
      <c r="B535" t="s">
        <v>4422</v>
      </c>
      <c r="C535" t="s">
        <v>1050</v>
      </c>
      <c r="D535" t="s">
        <v>2255</v>
      </c>
      <c r="E535">
        <v>1</v>
      </c>
      <c r="F535" t="s">
        <v>3991</v>
      </c>
      <c r="G535" t="s">
        <v>2256</v>
      </c>
      <c r="H535">
        <v>129</v>
      </c>
      <c r="I535">
        <v>129</v>
      </c>
      <c r="J535">
        <v>0</v>
      </c>
      <c r="K535">
        <v>0</v>
      </c>
      <c r="L535" t="s">
        <v>78</v>
      </c>
      <c r="M535" t="s">
        <v>78</v>
      </c>
      <c r="N535" t="s">
        <v>78</v>
      </c>
      <c r="O535">
        <v>0</v>
      </c>
      <c r="P535">
        <v>0</v>
      </c>
      <c r="Q535">
        <v>0</v>
      </c>
      <c r="R535" t="s">
        <v>876</v>
      </c>
      <c r="S535">
        <v>0</v>
      </c>
      <c r="T535" t="s">
        <v>80</v>
      </c>
      <c r="U535" t="s">
        <v>80</v>
      </c>
      <c r="V535" t="s">
        <v>887</v>
      </c>
      <c r="W535" t="s">
        <v>3559</v>
      </c>
      <c r="X535" t="s">
        <v>3560</v>
      </c>
      <c r="Y535" t="s">
        <v>3561</v>
      </c>
      <c r="Z535" t="s">
        <v>80</v>
      </c>
      <c r="AA535" t="s">
        <v>85</v>
      </c>
      <c r="AC535" t="s">
        <v>3562</v>
      </c>
      <c r="AD535" t="s">
        <v>87</v>
      </c>
      <c r="AH535" t="s">
        <v>227</v>
      </c>
      <c r="AI535" t="s">
        <v>92</v>
      </c>
      <c r="AJ535" t="s">
        <v>131</v>
      </c>
      <c r="AK535" t="s">
        <v>3563</v>
      </c>
      <c r="AL535" t="s">
        <v>95</v>
      </c>
      <c r="AM535" t="s">
        <v>96</v>
      </c>
      <c r="AN535" t="s">
        <v>97</v>
      </c>
      <c r="AO535" t="s">
        <v>98</v>
      </c>
      <c r="AP535" t="s">
        <v>78</v>
      </c>
      <c r="AQ535" t="s">
        <v>78</v>
      </c>
      <c r="AR535" t="s">
        <v>353</v>
      </c>
      <c r="AS535" t="s">
        <v>78</v>
      </c>
      <c r="AT535" t="s">
        <v>100</v>
      </c>
      <c r="AU535" t="s">
        <v>100</v>
      </c>
      <c r="AW535" t="s">
        <v>85</v>
      </c>
      <c r="AX535" t="s">
        <v>103</v>
      </c>
      <c r="AY535" t="s">
        <v>159</v>
      </c>
      <c r="AZ535" t="s">
        <v>103</v>
      </c>
      <c r="BA535" t="s">
        <v>133</v>
      </c>
      <c r="BB535" t="s">
        <v>78</v>
      </c>
      <c r="BC535" t="s">
        <v>78</v>
      </c>
      <c r="BE535">
        <v>0</v>
      </c>
      <c r="BF535">
        <v>0</v>
      </c>
      <c r="BG535">
        <v>0</v>
      </c>
      <c r="BH535">
        <v>0</v>
      </c>
      <c r="BJ535" t="s">
        <v>85</v>
      </c>
      <c r="BP535" t="s">
        <v>78</v>
      </c>
      <c r="BQ535" t="s">
        <v>78</v>
      </c>
      <c r="BR535" t="s">
        <v>78</v>
      </c>
    </row>
    <row r="536" customFormat="1" spans="1:70">
      <c r="A536" t="s">
        <v>4423</v>
      </c>
      <c r="B536" t="s">
        <v>4423</v>
      </c>
      <c r="C536" t="s">
        <v>1050</v>
      </c>
      <c r="D536" t="s">
        <v>1051</v>
      </c>
      <c r="E536">
        <v>1</v>
      </c>
      <c r="F536" t="s">
        <v>3991</v>
      </c>
      <c r="G536" t="s">
        <v>1053</v>
      </c>
      <c r="H536">
        <v>129</v>
      </c>
      <c r="I536">
        <v>129</v>
      </c>
      <c r="J536">
        <v>0</v>
      </c>
      <c r="K536">
        <v>0</v>
      </c>
      <c r="L536" t="s">
        <v>78</v>
      </c>
      <c r="M536" t="s">
        <v>78</v>
      </c>
      <c r="N536" t="s">
        <v>78</v>
      </c>
      <c r="O536">
        <v>0</v>
      </c>
      <c r="P536">
        <v>0</v>
      </c>
      <c r="Q536">
        <v>0</v>
      </c>
      <c r="R536" t="s">
        <v>111</v>
      </c>
      <c r="S536">
        <v>0</v>
      </c>
      <c r="T536" t="s">
        <v>80</v>
      </c>
      <c r="U536" t="s">
        <v>80</v>
      </c>
      <c r="V536" t="s">
        <v>178</v>
      </c>
      <c r="W536" t="s">
        <v>178</v>
      </c>
      <c r="X536" t="s">
        <v>1145</v>
      </c>
      <c r="Y536" t="s">
        <v>3565</v>
      </c>
      <c r="Z536" t="s">
        <v>80</v>
      </c>
      <c r="AA536" t="s">
        <v>85</v>
      </c>
      <c r="AC536" t="s">
        <v>3566</v>
      </c>
      <c r="AD536" t="s">
        <v>87</v>
      </c>
      <c r="AF536" t="s">
        <v>3567</v>
      </c>
      <c r="AG536" t="s">
        <v>3568</v>
      </c>
      <c r="AH536" t="s">
        <v>91</v>
      </c>
      <c r="AI536" t="s">
        <v>92</v>
      </c>
      <c r="AJ536" t="s">
        <v>93</v>
      </c>
      <c r="AK536" t="s">
        <v>3569</v>
      </c>
      <c r="AL536" t="s">
        <v>95</v>
      </c>
      <c r="AM536" t="s">
        <v>96</v>
      </c>
      <c r="AN536" t="s">
        <v>97</v>
      </c>
      <c r="AO536" t="s">
        <v>98</v>
      </c>
      <c r="AP536" t="s">
        <v>78</v>
      </c>
      <c r="AQ536" t="s">
        <v>78</v>
      </c>
      <c r="AS536" t="s">
        <v>78</v>
      </c>
      <c r="AT536" t="s">
        <v>100</v>
      </c>
      <c r="AU536" t="s">
        <v>100</v>
      </c>
      <c r="AW536" t="s">
        <v>85</v>
      </c>
      <c r="AX536" t="s">
        <v>101</v>
      </c>
      <c r="AY536" t="s">
        <v>102</v>
      </c>
      <c r="AZ536" t="s">
        <v>103</v>
      </c>
      <c r="BA536" t="s">
        <v>133</v>
      </c>
      <c r="BB536" t="s">
        <v>78</v>
      </c>
      <c r="BC536" t="s">
        <v>78</v>
      </c>
      <c r="BD536" t="s">
        <v>3472</v>
      </c>
      <c r="BE536">
        <v>0</v>
      </c>
      <c r="BF536">
        <v>0</v>
      </c>
      <c r="BG536">
        <v>0</v>
      </c>
      <c r="BH536">
        <v>0</v>
      </c>
      <c r="BJ536" t="s">
        <v>85</v>
      </c>
      <c r="BP536" t="s">
        <v>78</v>
      </c>
      <c r="BQ536" t="s">
        <v>78</v>
      </c>
      <c r="BR536" t="s">
        <v>78</v>
      </c>
    </row>
    <row r="537" customFormat="1" spans="1:70">
      <c r="A537" t="s">
        <v>4424</v>
      </c>
      <c r="B537" t="s">
        <v>4424</v>
      </c>
      <c r="C537" t="s">
        <v>107</v>
      </c>
      <c r="D537" t="s">
        <v>108</v>
      </c>
      <c r="E537">
        <v>1</v>
      </c>
      <c r="F537" t="s">
        <v>3857</v>
      </c>
      <c r="G537" t="s">
        <v>110</v>
      </c>
      <c r="H537">
        <v>289</v>
      </c>
      <c r="I537">
        <v>284</v>
      </c>
      <c r="J537">
        <v>0</v>
      </c>
      <c r="K537">
        <v>5</v>
      </c>
      <c r="L537" t="s">
        <v>3571</v>
      </c>
      <c r="M537" t="s">
        <v>78</v>
      </c>
      <c r="N537" t="s">
        <v>78</v>
      </c>
      <c r="O537">
        <v>0</v>
      </c>
      <c r="P537">
        <v>0</v>
      </c>
      <c r="Q537">
        <v>0</v>
      </c>
      <c r="R537" t="s">
        <v>125</v>
      </c>
      <c r="S537">
        <v>0</v>
      </c>
      <c r="T537" t="s">
        <v>80</v>
      </c>
      <c r="U537" t="s">
        <v>80</v>
      </c>
      <c r="V537" t="s">
        <v>138</v>
      </c>
      <c r="W537" t="s">
        <v>2228</v>
      </c>
      <c r="X537" t="s">
        <v>3572</v>
      </c>
      <c r="Y537" t="s">
        <v>3573</v>
      </c>
      <c r="Z537" t="s">
        <v>80</v>
      </c>
      <c r="AA537" t="s">
        <v>85</v>
      </c>
      <c r="AC537" t="s">
        <v>3574</v>
      </c>
      <c r="AD537" t="s">
        <v>202</v>
      </c>
      <c r="AE537" t="s">
        <v>3575</v>
      </c>
      <c r="AG537" t="s">
        <v>3576</v>
      </c>
      <c r="AH537" t="s">
        <v>183</v>
      </c>
      <c r="AI537" t="s">
        <v>92</v>
      </c>
      <c r="AJ537" t="s">
        <v>131</v>
      </c>
      <c r="AK537" t="s">
        <v>3577</v>
      </c>
      <c r="AL537" t="s">
        <v>95</v>
      </c>
      <c r="AM537" t="s">
        <v>96</v>
      </c>
      <c r="AN537" t="s">
        <v>97</v>
      </c>
      <c r="AO537" t="s">
        <v>98</v>
      </c>
      <c r="AP537" t="s">
        <v>78</v>
      </c>
      <c r="AQ537" t="s">
        <v>99</v>
      </c>
      <c r="AS537" t="s">
        <v>78</v>
      </c>
      <c r="AT537" t="s">
        <v>100</v>
      </c>
      <c r="AU537" t="s">
        <v>100</v>
      </c>
      <c r="AW537" t="s">
        <v>85</v>
      </c>
      <c r="AX537" t="s">
        <v>103</v>
      </c>
      <c r="AY537" t="s">
        <v>159</v>
      </c>
      <c r="AZ537" t="s">
        <v>103</v>
      </c>
      <c r="BA537" t="s">
        <v>185</v>
      </c>
      <c r="BB537" t="s">
        <v>78</v>
      </c>
      <c r="BC537" t="s">
        <v>78</v>
      </c>
      <c r="BD537" t="s">
        <v>3519</v>
      </c>
      <c r="BE537">
        <v>0</v>
      </c>
      <c r="BF537">
        <v>5</v>
      </c>
      <c r="BG537">
        <v>0</v>
      </c>
      <c r="BH537">
        <v>0</v>
      </c>
      <c r="BJ537" t="s">
        <v>85</v>
      </c>
      <c r="BP537" t="s">
        <v>78</v>
      </c>
      <c r="BQ537" t="s">
        <v>78</v>
      </c>
      <c r="BR537" t="s">
        <v>78</v>
      </c>
    </row>
    <row r="538" customFormat="1" spans="1:70">
      <c r="A538" t="s">
        <v>4425</v>
      </c>
      <c r="B538" t="s">
        <v>4425</v>
      </c>
      <c r="C538" t="s">
        <v>107</v>
      </c>
      <c r="D538" t="s">
        <v>123</v>
      </c>
      <c r="E538">
        <v>1</v>
      </c>
      <c r="F538" t="s">
        <v>3857</v>
      </c>
      <c r="G538" t="s">
        <v>124</v>
      </c>
      <c r="H538">
        <v>289</v>
      </c>
      <c r="I538">
        <v>289</v>
      </c>
      <c r="J538">
        <v>0</v>
      </c>
      <c r="K538">
        <v>0</v>
      </c>
      <c r="L538" t="s">
        <v>78</v>
      </c>
      <c r="M538" t="s">
        <v>78</v>
      </c>
      <c r="N538" t="s">
        <v>78</v>
      </c>
      <c r="O538">
        <v>0</v>
      </c>
      <c r="P538">
        <v>0</v>
      </c>
      <c r="Q538">
        <v>0</v>
      </c>
      <c r="R538" t="s">
        <v>111</v>
      </c>
      <c r="S538">
        <v>0</v>
      </c>
      <c r="T538" t="s">
        <v>80</v>
      </c>
      <c r="U538" t="s">
        <v>80</v>
      </c>
      <c r="V538" t="s">
        <v>81</v>
      </c>
      <c r="W538" t="s">
        <v>1321</v>
      </c>
      <c r="X538" t="s">
        <v>1322</v>
      </c>
      <c r="Y538" t="s">
        <v>1323</v>
      </c>
      <c r="Z538" t="s">
        <v>80</v>
      </c>
      <c r="AA538" t="s">
        <v>85</v>
      </c>
      <c r="AC538" t="s">
        <v>3579</v>
      </c>
      <c r="AD538" t="s">
        <v>87</v>
      </c>
      <c r="AF538" t="s">
        <v>3516</v>
      </c>
      <c r="AG538" t="s">
        <v>3580</v>
      </c>
      <c r="AH538" t="s">
        <v>91</v>
      </c>
      <c r="AI538" t="s">
        <v>92</v>
      </c>
      <c r="AJ538" t="s">
        <v>93</v>
      </c>
      <c r="AK538" t="s">
        <v>3581</v>
      </c>
      <c r="AL538" t="s">
        <v>95</v>
      </c>
      <c r="AM538" t="s">
        <v>96</v>
      </c>
      <c r="AN538" t="s">
        <v>97</v>
      </c>
      <c r="AO538" t="s">
        <v>98</v>
      </c>
      <c r="AP538" t="s">
        <v>78</v>
      </c>
      <c r="AQ538" t="s">
        <v>78</v>
      </c>
      <c r="AS538" t="s">
        <v>78</v>
      </c>
      <c r="AT538" t="s">
        <v>100</v>
      </c>
      <c r="AU538" t="s">
        <v>100</v>
      </c>
      <c r="AW538" t="s">
        <v>85</v>
      </c>
      <c r="AX538" t="s">
        <v>103</v>
      </c>
      <c r="AY538" t="s">
        <v>159</v>
      </c>
      <c r="AZ538" t="s">
        <v>103</v>
      </c>
      <c r="BA538" t="s">
        <v>419</v>
      </c>
      <c r="BB538" t="s">
        <v>78</v>
      </c>
      <c r="BC538" t="s">
        <v>78</v>
      </c>
      <c r="BD538" t="s">
        <v>3519</v>
      </c>
      <c r="BE538">
        <v>0</v>
      </c>
      <c r="BF538">
        <v>0</v>
      </c>
      <c r="BG538">
        <v>0</v>
      </c>
      <c r="BH538">
        <v>0</v>
      </c>
      <c r="BJ538" t="s">
        <v>85</v>
      </c>
      <c r="BP538" t="s">
        <v>78</v>
      </c>
      <c r="BQ538" t="s">
        <v>78</v>
      </c>
      <c r="BR538" t="s">
        <v>78</v>
      </c>
    </row>
    <row r="539" customFormat="1" spans="1:70">
      <c r="A539" t="s">
        <v>4426</v>
      </c>
      <c r="B539" t="s">
        <v>4426</v>
      </c>
      <c r="C539" t="s">
        <v>107</v>
      </c>
      <c r="D539" t="s">
        <v>135</v>
      </c>
      <c r="E539">
        <v>1</v>
      </c>
      <c r="F539" t="s">
        <v>3857</v>
      </c>
      <c r="G539" t="s">
        <v>136</v>
      </c>
      <c r="H539">
        <v>289</v>
      </c>
      <c r="I539">
        <v>289</v>
      </c>
      <c r="J539">
        <v>0</v>
      </c>
      <c r="K539">
        <v>0</v>
      </c>
      <c r="L539" t="s">
        <v>78</v>
      </c>
      <c r="M539" t="s">
        <v>78</v>
      </c>
      <c r="N539" t="s">
        <v>78</v>
      </c>
      <c r="O539">
        <v>0</v>
      </c>
      <c r="P539">
        <v>0</v>
      </c>
      <c r="Q539">
        <v>0</v>
      </c>
      <c r="R539" t="s">
        <v>125</v>
      </c>
      <c r="S539">
        <v>0</v>
      </c>
      <c r="T539" t="s">
        <v>80</v>
      </c>
      <c r="U539" t="s">
        <v>80</v>
      </c>
      <c r="V539" t="s">
        <v>556</v>
      </c>
      <c r="W539" t="s">
        <v>953</v>
      </c>
      <c r="X539" t="s">
        <v>954</v>
      </c>
      <c r="Y539" t="s">
        <v>3583</v>
      </c>
      <c r="Z539" t="s">
        <v>80</v>
      </c>
      <c r="AA539" t="s">
        <v>85</v>
      </c>
      <c r="AC539" t="s">
        <v>3584</v>
      </c>
      <c r="AD539" t="s">
        <v>87</v>
      </c>
      <c r="AH539" t="s">
        <v>227</v>
      </c>
      <c r="AI539" t="s">
        <v>92</v>
      </c>
      <c r="AJ539" t="s">
        <v>131</v>
      </c>
      <c r="AK539" t="s">
        <v>3585</v>
      </c>
      <c r="AL539" t="s">
        <v>95</v>
      </c>
      <c r="AM539" t="s">
        <v>96</v>
      </c>
      <c r="AN539" t="s">
        <v>97</v>
      </c>
      <c r="AO539" t="s">
        <v>98</v>
      </c>
      <c r="AP539" t="s">
        <v>78</v>
      </c>
      <c r="AQ539" t="s">
        <v>78</v>
      </c>
      <c r="AR539" t="s">
        <v>3586</v>
      </c>
      <c r="AS539" t="s">
        <v>78</v>
      </c>
      <c r="AT539" t="s">
        <v>100</v>
      </c>
      <c r="AU539" t="s">
        <v>100</v>
      </c>
      <c r="AW539" t="s">
        <v>85</v>
      </c>
      <c r="AX539" t="s">
        <v>101</v>
      </c>
      <c r="AY539" t="s">
        <v>102</v>
      </c>
      <c r="AZ539" t="s">
        <v>103</v>
      </c>
      <c r="BA539" t="s">
        <v>133</v>
      </c>
      <c r="BB539" t="s">
        <v>78</v>
      </c>
      <c r="BC539" t="s">
        <v>78</v>
      </c>
      <c r="BE539">
        <v>0</v>
      </c>
      <c r="BF539">
        <v>0</v>
      </c>
      <c r="BG539">
        <v>0</v>
      </c>
      <c r="BH539">
        <v>0</v>
      </c>
      <c r="BJ539" t="s">
        <v>85</v>
      </c>
      <c r="BP539" t="s">
        <v>78</v>
      </c>
      <c r="BQ539" t="s">
        <v>78</v>
      </c>
      <c r="BR539" t="s">
        <v>78</v>
      </c>
    </row>
    <row r="540" customFormat="1" spans="1:70">
      <c r="A540" t="s">
        <v>4427</v>
      </c>
      <c r="B540" t="s">
        <v>4427</v>
      </c>
      <c r="C540" t="s">
        <v>107</v>
      </c>
      <c r="D540" t="s">
        <v>123</v>
      </c>
      <c r="E540">
        <v>1</v>
      </c>
      <c r="F540" t="s">
        <v>3857</v>
      </c>
      <c r="G540" t="s">
        <v>124</v>
      </c>
      <c r="H540">
        <v>289</v>
      </c>
      <c r="I540">
        <v>289</v>
      </c>
      <c r="J540">
        <v>0</v>
      </c>
      <c r="K540">
        <v>0</v>
      </c>
      <c r="L540" t="s">
        <v>78</v>
      </c>
      <c r="M540" t="s">
        <v>78</v>
      </c>
      <c r="N540" t="s">
        <v>78</v>
      </c>
      <c r="O540">
        <v>0</v>
      </c>
      <c r="P540">
        <v>0</v>
      </c>
      <c r="Q540">
        <v>0</v>
      </c>
      <c r="R540" t="s">
        <v>79</v>
      </c>
      <c r="S540">
        <v>0</v>
      </c>
      <c r="T540" t="s">
        <v>80</v>
      </c>
      <c r="U540" t="s">
        <v>80</v>
      </c>
      <c r="V540" t="s">
        <v>271</v>
      </c>
      <c r="W540" t="s">
        <v>1235</v>
      </c>
      <c r="X540" t="s">
        <v>3588</v>
      </c>
      <c r="Y540" t="s">
        <v>3589</v>
      </c>
      <c r="Z540" t="s">
        <v>80</v>
      </c>
      <c r="AA540" t="s">
        <v>85</v>
      </c>
      <c r="AC540" t="s">
        <v>3590</v>
      </c>
      <c r="AD540" t="s">
        <v>87</v>
      </c>
      <c r="AG540" t="s">
        <v>3591</v>
      </c>
      <c r="AH540" t="s">
        <v>91</v>
      </c>
      <c r="AI540" t="s">
        <v>92</v>
      </c>
      <c r="AJ540" t="s">
        <v>131</v>
      </c>
      <c r="AK540" t="s">
        <v>3592</v>
      </c>
      <c r="AL540" t="s">
        <v>95</v>
      </c>
      <c r="AM540" t="s">
        <v>96</v>
      </c>
      <c r="AN540" t="s">
        <v>97</v>
      </c>
      <c r="AO540" t="s">
        <v>98</v>
      </c>
      <c r="AP540" t="s">
        <v>78</v>
      </c>
      <c r="AQ540" t="s">
        <v>99</v>
      </c>
      <c r="AS540" t="s">
        <v>78</v>
      </c>
      <c r="AT540" t="s">
        <v>100</v>
      </c>
      <c r="AU540" t="s">
        <v>100</v>
      </c>
      <c r="AW540" t="s">
        <v>85</v>
      </c>
      <c r="AX540" t="s">
        <v>101</v>
      </c>
      <c r="AY540" t="s">
        <v>102</v>
      </c>
      <c r="AZ540" t="s">
        <v>103</v>
      </c>
      <c r="BA540" t="s">
        <v>133</v>
      </c>
      <c r="BB540" t="s">
        <v>78</v>
      </c>
      <c r="BC540" t="s">
        <v>78</v>
      </c>
      <c r="BE540">
        <v>0</v>
      </c>
      <c r="BF540">
        <v>0</v>
      </c>
      <c r="BG540">
        <v>0</v>
      </c>
      <c r="BH540">
        <v>0</v>
      </c>
      <c r="BJ540" t="s">
        <v>85</v>
      </c>
      <c r="BP540" t="s">
        <v>78</v>
      </c>
      <c r="BQ540" t="s">
        <v>78</v>
      </c>
      <c r="BR540" t="s">
        <v>78</v>
      </c>
    </row>
    <row r="541" customFormat="1" spans="1:70">
      <c r="A541" t="s">
        <v>4428</v>
      </c>
      <c r="B541" t="s">
        <v>4428</v>
      </c>
      <c r="C541" t="s">
        <v>107</v>
      </c>
      <c r="D541" t="s">
        <v>108</v>
      </c>
      <c r="E541">
        <v>1</v>
      </c>
      <c r="F541" t="s">
        <v>3857</v>
      </c>
      <c r="G541" t="s">
        <v>110</v>
      </c>
      <c r="H541">
        <v>289</v>
      </c>
      <c r="I541">
        <v>289</v>
      </c>
      <c r="J541">
        <v>0</v>
      </c>
      <c r="K541">
        <v>0</v>
      </c>
      <c r="L541" t="s">
        <v>78</v>
      </c>
      <c r="M541" t="s">
        <v>78</v>
      </c>
      <c r="N541" t="s">
        <v>78</v>
      </c>
      <c r="O541">
        <v>0</v>
      </c>
      <c r="P541">
        <v>0</v>
      </c>
      <c r="Q541">
        <v>0</v>
      </c>
      <c r="R541" t="s">
        <v>125</v>
      </c>
      <c r="S541">
        <v>0</v>
      </c>
      <c r="T541" t="s">
        <v>80</v>
      </c>
      <c r="U541" t="s">
        <v>80</v>
      </c>
      <c r="V541" t="s">
        <v>500</v>
      </c>
      <c r="W541" t="s">
        <v>667</v>
      </c>
      <c r="X541" t="s">
        <v>3594</v>
      </c>
      <c r="Y541" t="s">
        <v>3595</v>
      </c>
      <c r="Z541" t="s">
        <v>80</v>
      </c>
      <c r="AA541" t="s">
        <v>85</v>
      </c>
      <c r="AC541" t="s">
        <v>3596</v>
      </c>
      <c r="AD541" t="s">
        <v>87</v>
      </c>
      <c r="AH541" t="s">
        <v>91</v>
      </c>
      <c r="AI541" t="s">
        <v>92</v>
      </c>
      <c r="AJ541" t="s">
        <v>131</v>
      </c>
      <c r="AK541" t="s">
        <v>3597</v>
      </c>
      <c r="AL541" t="s">
        <v>95</v>
      </c>
      <c r="AM541" t="s">
        <v>96</v>
      </c>
      <c r="AN541" t="s">
        <v>97</v>
      </c>
      <c r="AO541" t="s">
        <v>98</v>
      </c>
      <c r="AP541" t="s">
        <v>78</v>
      </c>
      <c r="AQ541" t="s">
        <v>78</v>
      </c>
      <c r="AR541" t="s">
        <v>353</v>
      </c>
      <c r="AS541" t="s">
        <v>78</v>
      </c>
      <c r="AT541" t="s">
        <v>100</v>
      </c>
      <c r="AU541" t="s">
        <v>100</v>
      </c>
      <c r="AW541" t="s">
        <v>85</v>
      </c>
      <c r="AX541" t="s">
        <v>101</v>
      </c>
      <c r="AY541" t="s">
        <v>102</v>
      </c>
      <c r="AZ541" t="s">
        <v>103</v>
      </c>
      <c r="BA541" t="s">
        <v>120</v>
      </c>
      <c r="BB541" t="s">
        <v>78</v>
      </c>
      <c r="BC541" t="s">
        <v>78</v>
      </c>
      <c r="BE541">
        <v>0</v>
      </c>
      <c r="BF541">
        <v>0</v>
      </c>
      <c r="BG541">
        <v>0</v>
      </c>
      <c r="BH541">
        <v>0</v>
      </c>
      <c r="BJ541" t="s">
        <v>85</v>
      </c>
      <c r="BP541" t="s">
        <v>78</v>
      </c>
      <c r="BQ541" t="s">
        <v>78</v>
      </c>
      <c r="BR541" t="s">
        <v>78</v>
      </c>
    </row>
    <row r="542" customFormat="1" spans="1:70">
      <c r="A542" t="s">
        <v>4429</v>
      </c>
      <c r="B542" t="s">
        <v>4429</v>
      </c>
      <c r="C542" t="s">
        <v>107</v>
      </c>
      <c r="D542" t="s">
        <v>135</v>
      </c>
      <c r="E542">
        <v>1</v>
      </c>
      <c r="F542" t="s">
        <v>3857</v>
      </c>
      <c r="G542" t="s">
        <v>136</v>
      </c>
      <c r="H542">
        <v>289</v>
      </c>
      <c r="I542">
        <v>289</v>
      </c>
      <c r="J542">
        <v>0</v>
      </c>
      <c r="K542">
        <v>0</v>
      </c>
      <c r="L542" t="s">
        <v>78</v>
      </c>
      <c r="M542" t="s">
        <v>78</v>
      </c>
      <c r="N542" t="s">
        <v>78</v>
      </c>
      <c r="O542">
        <v>0</v>
      </c>
      <c r="P542">
        <v>0</v>
      </c>
      <c r="Q542">
        <v>0</v>
      </c>
      <c r="R542" t="s">
        <v>125</v>
      </c>
      <c r="S542">
        <v>0</v>
      </c>
      <c r="T542" t="s">
        <v>80</v>
      </c>
      <c r="U542" t="s">
        <v>80</v>
      </c>
      <c r="V542" t="s">
        <v>556</v>
      </c>
      <c r="W542" t="s">
        <v>953</v>
      </c>
      <c r="X542" t="s">
        <v>954</v>
      </c>
      <c r="Y542" t="s">
        <v>3583</v>
      </c>
      <c r="Z542" t="s">
        <v>80</v>
      </c>
      <c r="AA542" t="s">
        <v>85</v>
      </c>
      <c r="AC542" t="s">
        <v>3599</v>
      </c>
      <c r="AD542" t="s">
        <v>87</v>
      </c>
      <c r="AH542" t="s">
        <v>227</v>
      </c>
      <c r="AI542" t="s">
        <v>92</v>
      </c>
      <c r="AJ542" t="s">
        <v>131</v>
      </c>
      <c r="AK542" t="s">
        <v>3600</v>
      </c>
      <c r="AL542" t="s">
        <v>95</v>
      </c>
      <c r="AM542" t="s">
        <v>96</v>
      </c>
      <c r="AN542" t="s">
        <v>97</v>
      </c>
      <c r="AO542" t="s">
        <v>98</v>
      </c>
      <c r="AP542" t="s">
        <v>78</v>
      </c>
      <c r="AQ542" t="s">
        <v>78</v>
      </c>
      <c r="AR542" t="s">
        <v>3586</v>
      </c>
      <c r="AS542" t="s">
        <v>78</v>
      </c>
      <c r="AT542" t="s">
        <v>100</v>
      </c>
      <c r="AU542" t="s">
        <v>100</v>
      </c>
      <c r="AW542" t="s">
        <v>85</v>
      </c>
      <c r="AX542" t="s">
        <v>101</v>
      </c>
      <c r="AY542" t="s">
        <v>102</v>
      </c>
      <c r="AZ542" t="s">
        <v>103</v>
      </c>
      <c r="BA542" t="s">
        <v>133</v>
      </c>
      <c r="BB542" t="s">
        <v>78</v>
      </c>
      <c r="BC542" t="s">
        <v>78</v>
      </c>
      <c r="BE542">
        <v>0</v>
      </c>
      <c r="BF542">
        <v>0</v>
      </c>
      <c r="BG542">
        <v>0</v>
      </c>
      <c r="BH542">
        <v>0</v>
      </c>
      <c r="BJ542" t="s">
        <v>85</v>
      </c>
      <c r="BP542" t="s">
        <v>78</v>
      </c>
      <c r="BQ542" t="s">
        <v>78</v>
      </c>
      <c r="BR542" t="s">
        <v>78</v>
      </c>
    </row>
    <row r="543" customFormat="1" spans="1:70">
      <c r="A543" t="s">
        <v>4430</v>
      </c>
      <c r="B543" t="s">
        <v>4430</v>
      </c>
      <c r="C543" t="s">
        <v>107</v>
      </c>
      <c r="D543" t="s">
        <v>108</v>
      </c>
      <c r="E543">
        <v>1</v>
      </c>
      <c r="F543" t="s">
        <v>3857</v>
      </c>
      <c r="G543" t="s">
        <v>110</v>
      </c>
      <c r="H543">
        <v>289</v>
      </c>
      <c r="I543">
        <v>289</v>
      </c>
      <c r="J543">
        <v>0</v>
      </c>
      <c r="K543">
        <v>0</v>
      </c>
      <c r="L543" t="s">
        <v>78</v>
      </c>
      <c r="M543" t="s">
        <v>78</v>
      </c>
      <c r="N543" t="s">
        <v>78</v>
      </c>
      <c r="O543">
        <v>0</v>
      </c>
      <c r="P543">
        <v>0</v>
      </c>
      <c r="Q543">
        <v>0</v>
      </c>
      <c r="R543" t="s">
        <v>125</v>
      </c>
      <c r="S543">
        <v>0</v>
      </c>
      <c r="T543" t="s">
        <v>80</v>
      </c>
      <c r="U543" t="s">
        <v>80</v>
      </c>
      <c r="V543" t="s">
        <v>325</v>
      </c>
      <c r="W543" t="s">
        <v>788</v>
      </c>
      <c r="X543" t="s">
        <v>2108</v>
      </c>
      <c r="Y543" t="s">
        <v>84</v>
      </c>
      <c r="Z543" t="s">
        <v>80</v>
      </c>
      <c r="AA543" t="s">
        <v>85</v>
      </c>
      <c r="AC543" t="s">
        <v>3602</v>
      </c>
      <c r="AD543" t="s">
        <v>87</v>
      </c>
      <c r="AF543" t="s">
        <v>3603</v>
      </c>
      <c r="AG543" t="s">
        <v>3604</v>
      </c>
      <c r="AH543" t="s">
        <v>91</v>
      </c>
      <c r="AI543" t="s">
        <v>92</v>
      </c>
      <c r="AJ543" t="s">
        <v>93</v>
      </c>
      <c r="AK543" t="s">
        <v>3605</v>
      </c>
      <c r="AL543" t="s">
        <v>95</v>
      </c>
      <c r="AM543" t="s">
        <v>96</v>
      </c>
      <c r="AN543" t="s">
        <v>97</v>
      </c>
      <c r="AO543" t="s">
        <v>98</v>
      </c>
      <c r="AP543" t="s">
        <v>78</v>
      </c>
      <c r="AQ543" t="s">
        <v>78</v>
      </c>
      <c r="AS543" t="s">
        <v>78</v>
      </c>
      <c r="AT543" t="s">
        <v>100</v>
      </c>
      <c r="AU543" t="s">
        <v>100</v>
      </c>
      <c r="AW543" t="s">
        <v>85</v>
      </c>
      <c r="AX543" t="s">
        <v>103</v>
      </c>
      <c r="AY543" t="s">
        <v>159</v>
      </c>
      <c r="AZ543" t="s">
        <v>103</v>
      </c>
      <c r="BA543" t="s">
        <v>104</v>
      </c>
      <c r="BB543" t="s">
        <v>78</v>
      </c>
      <c r="BC543" t="s">
        <v>78</v>
      </c>
      <c r="BD543" t="s">
        <v>3606</v>
      </c>
      <c r="BE543">
        <v>0</v>
      </c>
      <c r="BF543">
        <v>0</v>
      </c>
      <c r="BG543">
        <v>0</v>
      </c>
      <c r="BH543">
        <v>0</v>
      </c>
      <c r="BJ543" t="s">
        <v>85</v>
      </c>
      <c r="BP543" t="s">
        <v>78</v>
      </c>
      <c r="BQ543" t="s">
        <v>78</v>
      </c>
      <c r="BR543" t="s">
        <v>78</v>
      </c>
    </row>
    <row r="544" customFormat="1" spans="1:70">
      <c r="A544" t="s">
        <v>4431</v>
      </c>
      <c r="B544" t="s">
        <v>4431</v>
      </c>
      <c r="C544" t="s">
        <v>107</v>
      </c>
      <c r="D544" t="s">
        <v>108</v>
      </c>
      <c r="E544">
        <v>1</v>
      </c>
      <c r="F544" t="s">
        <v>3857</v>
      </c>
      <c r="G544" t="s">
        <v>110</v>
      </c>
      <c r="H544">
        <v>289</v>
      </c>
      <c r="I544">
        <v>289</v>
      </c>
      <c r="J544">
        <v>0</v>
      </c>
      <c r="K544">
        <v>0</v>
      </c>
      <c r="L544" t="s">
        <v>78</v>
      </c>
      <c r="M544" t="s">
        <v>78</v>
      </c>
      <c r="N544" t="s">
        <v>78</v>
      </c>
      <c r="O544">
        <v>0</v>
      </c>
      <c r="P544">
        <v>0</v>
      </c>
      <c r="Q544">
        <v>0</v>
      </c>
      <c r="R544" t="s">
        <v>79</v>
      </c>
      <c r="S544">
        <v>0</v>
      </c>
      <c r="T544" t="s">
        <v>80</v>
      </c>
      <c r="U544" t="s">
        <v>80</v>
      </c>
      <c r="V544" t="s">
        <v>1261</v>
      </c>
      <c r="W544" t="s">
        <v>1590</v>
      </c>
      <c r="X544" t="s">
        <v>1733</v>
      </c>
      <c r="Y544" t="s">
        <v>3608</v>
      </c>
      <c r="Z544" t="s">
        <v>80</v>
      </c>
      <c r="AA544" t="s">
        <v>85</v>
      </c>
      <c r="AC544" t="s">
        <v>3602</v>
      </c>
      <c r="AD544" t="s">
        <v>87</v>
      </c>
      <c r="AF544" t="s">
        <v>3609</v>
      </c>
      <c r="AG544" t="s">
        <v>3604</v>
      </c>
      <c r="AH544" t="s">
        <v>91</v>
      </c>
      <c r="AI544" t="s">
        <v>92</v>
      </c>
      <c r="AJ544" t="s">
        <v>93</v>
      </c>
      <c r="AK544" t="s">
        <v>3605</v>
      </c>
      <c r="AL544" t="s">
        <v>95</v>
      </c>
      <c r="AM544" t="s">
        <v>96</v>
      </c>
      <c r="AN544" t="s">
        <v>97</v>
      </c>
      <c r="AO544" t="s">
        <v>98</v>
      </c>
      <c r="AP544" t="s">
        <v>78</v>
      </c>
      <c r="AQ544" t="s">
        <v>78</v>
      </c>
      <c r="AS544" t="s">
        <v>78</v>
      </c>
      <c r="AT544" t="s">
        <v>100</v>
      </c>
      <c r="AU544" t="s">
        <v>100</v>
      </c>
      <c r="AW544" t="s">
        <v>85</v>
      </c>
      <c r="AX544" t="s">
        <v>101</v>
      </c>
      <c r="AY544" t="s">
        <v>102</v>
      </c>
      <c r="AZ544" t="s">
        <v>103</v>
      </c>
      <c r="BA544" t="s">
        <v>133</v>
      </c>
      <c r="BB544" t="s">
        <v>78</v>
      </c>
      <c r="BC544" t="s">
        <v>78</v>
      </c>
      <c r="BD544" t="s">
        <v>3610</v>
      </c>
      <c r="BE544">
        <v>0</v>
      </c>
      <c r="BF544">
        <v>0</v>
      </c>
      <c r="BG544">
        <v>0</v>
      </c>
      <c r="BH544">
        <v>0</v>
      </c>
      <c r="BJ544" t="s">
        <v>85</v>
      </c>
      <c r="BP544" t="s">
        <v>78</v>
      </c>
      <c r="BQ544" t="s">
        <v>78</v>
      </c>
      <c r="BR544" t="s">
        <v>78</v>
      </c>
    </row>
    <row r="545" customFormat="1" spans="1:70">
      <c r="A545" t="s">
        <v>4432</v>
      </c>
      <c r="B545" t="s">
        <v>4432</v>
      </c>
      <c r="C545" t="s">
        <v>107</v>
      </c>
      <c r="D545" t="s">
        <v>108</v>
      </c>
      <c r="E545">
        <v>1</v>
      </c>
      <c r="F545" t="s">
        <v>3857</v>
      </c>
      <c r="G545" t="s">
        <v>110</v>
      </c>
      <c r="H545">
        <v>289</v>
      </c>
      <c r="I545">
        <v>289</v>
      </c>
      <c r="J545">
        <v>0</v>
      </c>
      <c r="K545">
        <v>0</v>
      </c>
      <c r="L545" t="s">
        <v>78</v>
      </c>
      <c r="M545" t="s">
        <v>78</v>
      </c>
      <c r="N545" t="s">
        <v>78</v>
      </c>
      <c r="O545">
        <v>0</v>
      </c>
      <c r="P545">
        <v>0</v>
      </c>
      <c r="Q545">
        <v>0</v>
      </c>
      <c r="R545" t="s">
        <v>79</v>
      </c>
      <c r="S545">
        <v>0</v>
      </c>
      <c r="T545" t="s">
        <v>80</v>
      </c>
      <c r="U545" t="s">
        <v>80</v>
      </c>
      <c r="V545" t="s">
        <v>138</v>
      </c>
      <c r="W545" t="s">
        <v>1554</v>
      </c>
      <c r="X545" t="s">
        <v>3612</v>
      </c>
      <c r="Y545" t="s">
        <v>3613</v>
      </c>
      <c r="Z545" t="s">
        <v>80</v>
      </c>
      <c r="AA545" t="s">
        <v>85</v>
      </c>
      <c r="AC545" t="s">
        <v>3602</v>
      </c>
      <c r="AD545" t="s">
        <v>87</v>
      </c>
      <c r="AF545" t="s">
        <v>3614</v>
      </c>
      <c r="AG545" t="s">
        <v>3604</v>
      </c>
      <c r="AH545" t="s">
        <v>91</v>
      </c>
      <c r="AI545" t="s">
        <v>92</v>
      </c>
      <c r="AJ545" t="s">
        <v>93</v>
      </c>
      <c r="AK545" t="s">
        <v>3605</v>
      </c>
      <c r="AL545" t="s">
        <v>95</v>
      </c>
      <c r="AM545" t="s">
        <v>96</v>
      </c>
      <c r="AN545" t="s">
        <v>97</v>
      </c>
      <c r="AO545" t="s">
        <v>98</v>
      </c>
      <c r="AP545" t="s">
        <v>78</v>
      </c>
      <c r="AQ545" t="s">
        <v>78</v>
      </c>
      <c r="AS545" t="s">
        <v>78</v>
      </c>
      <c r="AT545" t="s">
        <v>100</v>
      </c>
      <c r="AU545" t="s">
        <v>100</v>
      </c>
      <c r="AW545" t="s">
        <v>85</v>
      </c>
      <c r="AX545" t="s">
        <v>101</v>
      </c>
      <c r="AY545" t="s">
        <v>102</v>
      </c>
      <c r="AZ545" t="s">
        <v>103</v>
      </c>
      <c r="BA545" t="s">
        <v>133</v>
      </c>
      <c r="BB545" t="s">
        <v>78</v>
      </c>
      <c r="BC545" t="s">
        <v>78</v>
      </c>
      <c r="BD545" t="s">
        <v>3610</v>
      </c>
      <c r="BE545">
        <v>0</v>
      </c>
      <c r="BF545">
        <v>0</v>
      </c>
      <c r="BG545">
        <v>0</v>
      </c>
      <c r="BH545">
        <v>0</v>
      </c>
      <c r="BJ545" t="s">
        <v>85</v>
      </c>
      <c r="BP545" t="s">
        <v>78</v>
      </c>
      <c r="BQ545" t="s">
        <v>78</v>
      </c>
      <c r="BR545" t="s">
        <v>78</v>
      </c>
    </row>
    <row r="546" customFormat="1" spans="1:70">
      <c r="A546" t="s">
        <v>4433</v>
      </c>
      <c r="B546" t="s">
        <v>4433</v>
      </c>
      <c r="C546" t="s">
        <v>107</v>
      </c>
      <c r="D546" t="s">
        <v>108</v>
      </c>
      <c r="E546">
        <v>1</v>
      </c>
      <c r="F546" t="s">
        <v>3857</v>
      </c>
      <c r="G546" t="s">
        <v>110</v>
      </c>
      <c r="H546">
        <v>289</v>
      </c>
      <c r="I546">
        <v>289</v>
      </c>
      <c r="J546">
        <v>0</v>
      </c>
      <c r="K546">
        <v>0</v>
      </c>
      <c r="L546" t="s">
        <v>78</v>
      </c>
      <c r="M546" t="s">
        <v>78</v>
      </c>
      <c r="N546" t="s">
        <v>78</v>
      </c>
      <c r="O546">
        <v>0</v>
      </c>
      <c r="P546">
        <v>0</v>
      </c>
      <c r="Q546">
        <v>0</v>
      </c>
      <c r="R546" t="s">
        <v>79</v>
      </c>
      <c r="S546">
        <v>0</v>
      </c>
      <c r="T546" t="s">
        <v>80</v>
      </c>
      <c r="U546" t="s">
        <v>80</v>
      </c>
      <c r="V546" t="s">
        <v>447</v>
      </c>
      <c r="W546" t="s">
        <v>448</v>
      </c>
      <c r="X546" t="s">
        <v>449</v>
      </c>
      <c r="Y546" t="s">
        <v>450</v>
      </c>
      <c r="Z546" t="s">
        <v>80</v>
      </c>
      <c r="AA546" t="s">
        <v>85</v>
      </c>
      <c r="AC546" t="s">
        <v>3602</v>
      </c>
      <c r="AD546" t="s">
        <v>202</v>
      </c>
      <c r="AE546" t="s">
        <v>3616</v>
      </c>
      <c r="AF546" t="s">
        <v>3516</v>
      </c>
      <c r="AG546" t="s">
        <v>3617</v>
      </c>
      <c r="AH546" t="s">
        <v>91</v>
      </c>
      <c r="AI546" t="s">
        <v>92</v>
      </c>
      <c r="AJ546" t="s">
        <v>93</v>
      </c>
      <c r="AK546" t="s">
        <v>3618</v>
      </c>
      <c r="AL546" t="s">
        <v>95</v>
      </c>
      <c r="AM546" t="s">
        <v>96</v>
      </c>
      <c r="AN546" t="s">
        <v>97</v>
      </c>
      <c r="AO546" t="s">
        <v>98</v>
      </c>
      <c r="AP546" t="s">
        <v>78</v>
      </c>
      <c r="AQ546" t="s">
        <v>99</v>
      </c>
      <c r="AS546" t="s">
        <v>78</v>
      </c>
      <c r="AT546" t="s">
        <v>100</v>
      </c>
      <c r="AU546" t="s">
        <v>100</v>
      </c>
      <c r="AW546" t="s">
        <v>85</v>
      </c>
      <c r="AX546" t="s">
        <v>103</v>
      </c>
      <c r="AY546" t="s">
        <v>159</v>
      </c>
      <c r="AZ546" t="s">
        <v>103</v>
      </c>
      <c r="BA546" t="s">
        <v>104</v>
      </c>
      <c r="BB546" t="s">
        <v>78</v>
      </c>
      <c r="BC546" t="s">
        <v>78</v>
      </c>
      <c r="BD546" t="s">
        <v>3519</v>
      </c>
      <c r="BE546">
        <v>0</v>
      </c>
      <c r="BF546">
        <v>0</v>
      </c>
      <c r="BG546">
        <v>0</v>
      </c>
      <c r="BH546">
        <v>0</v>
      </c>
      <c r="BJ546" t="s">
        <v>85</v>
      </c>
      <c r="BP546" t="s">
        <v>78</v>
      </c>
      <c r="BQ546" t="s">
        <v>78</v>
      </c>
      <c r="BR546" t="s">
        <v>78</v>
      </c>
    </row>
    <row r="547" customFormat="1" spans="1:70">
      <c r="A547" t="s">
        <v>4434</v>
      </c>
      <c r="B547" t="s">
        <v>4434</v>
      </c>
      <c r="C547" t="s">
        <v>107</v>
      </c>
      <c r="D547" t="s">
        <v>108</v>
      </c>
      <c r="E547">
        <v>1</v>
      </c>
      <c r="F547" t="s">
        <v>3857</v>
      </c>
      <c r="G547" t="s">
        <v>110</v>
      </c>
      <c r="H547">
        <v>289</v>
      </c>
      <c r="I547">
        <v>289</v>
      </c>
      <c r="J547">
        <v>0</v>
      </c>
      <c r="K547">
        <v>0</v>
      </c>
      <c r="L547" t="s">
        <v>78</v>
      </c>
      <c r="M547" t="s">
        <v>78</v>
      </c>
      <c r="N547" t="s">
        <v>78</v>
      </c>
      <c r="O547">
        <v>0</v>
      </c>
      <c r="P547">
        <v>0</v>
      </c>
      <c r="Q547">
        <v>0</v>
      </c>
      <c r="R547" t="s">
        <v>125</v>
      </c>
      <c r="S547">
        <v>0</v>
      </c>
      <c r="T547" t="s">
        <v>80</v>
      </c>
      <c r="U547" t="s">
        <v>80</v>
      </c>
      <c r="V547" t="s">
        <v>257</v>
      </c>
      <c r="W547" t="s">
        <v>257</v>
      </c>
      <c r="X547" t="s">
        <v>258</v>
      </c>
      <c r="Y547" t="s">
        <v>3620</v>
      </c>
      <c r="Z547" t="s">
        <v>80</v>
      </c>
      <c r="AA547" t="s">
        <v>85</v>
      </c>
      <c r="AC547" t="s">
        <v>3621</v>
      </c>
      <c r="AD547" t="s">
        <v>87</v>
      </c>
      <c r="AG547" t="s">
        <v>3622</v>
      </c>
      <c r="AH547" t="s">
        <v>91</v>
      </c>
      <c r="AI547" t="s">
        <v>92</v>
      </c>
      <c r="AJ547" t="s">
        <v>131</v>
      </c>
      <c r="AK547" t="s">
        <v>3623</v>
      </c>
      <c r="AL547" t="s">
        <v>95</v>
      </c>
      <c r="AM547" t="s">
        <v>96</v>
      </c>
      <c r="AN547" t="s">
        <v>97</v>
      </c>
      <c r="AO547" t="s">
        <v>98</v>
      </c>
      <c r="AP547" t="s">
        <v>78</v>
      </c>
      <c r="AQ547" t="s">
        <v>99</v>
      </c>
      <c r="AS547" t="s">
        <v>78</v>
      </c>
      <c r="AT547" t="s">
        <v>100</v>
      </c>
      <c r="AU547" t="s">
        <v>100</v>
      </c>
      <c r="AW547" t="s">
        <v>85</v>
      </c>
      <c r="AX547" t="s">
        <v>103</v>
      </c>
      <c r="AY547" t="s">
        <v>159</v>
      </c>
      <c r="AZ547" t="s">
        <v>103</v>
      </c>
      <c r="BA547" t="s">
        <v>104</v>
      </c>
      <c r="BB547" t="s">
        <v>78</v>
      </c>
      <c r="BC547" t="s">
        <v>78</v>
      </c>
      <c r="BE547">
        <v>0</v>
      </c>
      <c r="BF547">
        <v>0</v>
      </c>
      <c r="BG547">
        <v>0</v>
      </c>
      <c r="BH547">
        <v>0</v>
      </c>
      <c r="BJ547" t="s">
        <v>85</v>
      </c>
      <c r="BP547" t="s">
        <v>78</v>
      </c>
      <c r="BQ547" t="s">
        <v>78</v>
      </c>
      <c r="BR547" t="s">
        <v>78</v>
      </c>
    </row>
    <row r="548" customFormat="1" spans="1:70">
      <c r="A548" t="s">
        <v>4435</v>
      </c>
      <c r="B548" t="s">
        <v>4435</v>
      </c>
      <c r="C548" t="s">
        <v>107</v>
      </c>
      <c r="D548" t="s">
        <v>135</v>
      </c>
      <c r="E548">
        <v>1</v>
      </c>
      <c r="F548" t="s">
        <v>3857</v>
      </c>
      <c r="G548" t="s">
        <v>136</v>
      </c>
      <c r="H548">
        <v>289</v>
      </c>
      <c r="I548">
        <v>289</v>
      </c>
      <c r="J548">
        <v>0</v>
      </c>
      <c r="K548">
        <v>0</v>
      </c>
      <c r="L548" t="s">
        <v>78</v>
      </c>
      <c r="M548" t="s">
        <v>78</v>
      </c>
      <c r="N548" t="s">
        <v>78</v>
      </c>
      <c r="O548">
        <v>0</v>
      </c>
      <c r="P548">
        <v>0</v>
      </c>
      <c r="Q548">
        <v>0</v>
      </c>
      <c r="R548" t="s">
        <v>125</v>
      </c>
      <c r="S548">
        <v>0</v>
      </c>
      <c r="T548" t="s">
        <v>80</v>
      </c>
      <c r="U548" t="s">
        <v>80</v>
      </c>
      <c r="V548" t="s">
        <v>447</v>
      </c>
      <c r="W548" t="s">
        <v>448</v>
      </c>
      <c r="X548" t="s">
        <v>449</v>
      </c>
      <c r="Y548" t="s">
        <v>450</v>
      </c>
      <c r="Z548" t="s">
        <v>80</v>
      </c>
      <c r="AA548" t="s">
        <v>85</v>
      </c>
      <c r="AC548" t="s">
        <v>3625</v>
      </c>
      <c r="AD548" t="s">
        <v>87</v>
      </c>
      <c r="AG548" t="s">
        <v>3626</v>
      </c>
      <c r="AH548" t="s">
        <v>91</v>
      </c>
      <c r="AI548" t="s">
        <v>92</v>
      </c>
      <c r="AJ548" t="s">
        <v>131</v>
      </c>
      <c r="AK548" t="s">
        <v>3627</v>
      </c>
      <c r="AL548" t="s">
        <v>95</v>
      </c>
      <c r="AM548" t="s">
        <v>96</v>
      </c>
      <c r="AN548" t="s">
        <v>97</v>
      </c>
      <c r="AO548" t="s">
        <v>98</v>
      </c>
      <c r="AP548" t="s">
        <v>78</v>
      </c>
      <c r="AQ548" t="s">
        <v>99</v>
      </c>
      <c r="AS548" t="s">
        <v>78</v>
      </c>
      <c r="AT548" t="s">
        <v>100</v>
      </c>
      <c r="AU548" t="s">
        <v>100</v>
      </c>
      <c r="AW548" t="s">
        <v>85</v>
      </c>
      <c r="AX548" t="s">
        <v>103</v>
      </c>
      <c r="AY548" t="s">
        <v>159</v>
      </c>
      <c r="AZ548" t="s">
        <v>103</v>
      </c>
      <c r="BA548" t="s">
        <v>104</v>
      </c>
      <c r="BB548" t="s">
        <v>78</v>
      </c>
      <c r="BC548" t="s">
        <v>78</v>
      </c>
      <c r="BE548">
        <v>0</v>
      </c>
      <c r="BF548">
        <v>0</v>
      </c>
      <c r="BG548">
        <v>0</v>
      </c>
      <c r="BH548">
        <v>0</v>
      </c>
      <c r="BJ548" t="s">
        <v>85</v>
      </c>
      <c r="BP548" t="s">
        <v>78</v>
      </c>
      <c r="BQ548" t="s">
        <v>78</v>
      </c>
      <c r="BR548" t="s">
        <v>78</v>
      </c>
    </row>
    <row r="549" customFormat="1" spans="1:70">
      <c r="A549" t="s">
        <v>4436</v>
      </c>
      <c r="B549" t="s">
        <v>4436</v>
      </c>
      <c r="C549" t="s">
        <v>107</v>
      </c>
      <c r="D549" t="s">
        <v>108</v>
      </c>
      <c r="E549">
        <v>1</v>
      </c>
      <c r="F549" t="s">
        <v>3857</v>
      </c>
      <c r="G549" t="s">
        <v>110</v>
      </c>
      <c r="H549">
        <v>289</v>
      </c>
      <c r="I549">
        <v>289</v>
      </c>
      <c r="J549">
        <v>0</v>
      </c>
      <c r="K549">
        <v>0</v>
      </c>
      <c r="L549" t="s">
        <v>78</v>
      </c>
      <c r="M549" t="s">
        <v>78</v>
      </c>
      <c r="N549" t="s">
        <v>78</v>
      </c>
      <c r="O549">
        <v>0</v>
      </c>
      <c r="P549">
        <v>0</v>
      </c>
      <c r="Q549">
        <v>0</v>
      </c>
      <c r="R549" t="s">
        <v>111</v>
      </c>
      <c r="S549">
        <v>0</v>
      </c>
      <c r="T549" t="s">
        <v>80</v>
      </c>
      <c r="U549" t="s">
        <v>80</v>
      </c>
      <c r="V549" t="s">
        <v>239</v>
      </c>
      <c r="W549" t="s">
        <v>2881</v>
      </c>
      <c r="X549" t="s">
        <v>3629</v>
      </c>
      <c r="Y549" t="s">
        <v>3630</v>
      </c>
      <c r="Z549" t="s">
        <v>80</v>
      </c>
      <c r="AA549" t="s">
        <v>85</v>
      </c>
      <c r="AC549" t="s">
        <v>3625</v>
      </c>
      <c r="AD549" t="s">
        <v>202</v>
      </c>
      <c r="AE549" t="s">
        <v>3631</v>
      </c>
      <c r="AG549" t="s">
        <v>3604</v>
      </c>
      <c r="AH549" t="s">
        <v>91</v>
      </c>
      <c r="AI549" t="s">
        <v>92</v>
      </c>
      <c r="AJ549" t="s">
        <v>131</v>
      </c>
      <c r="AK549" t="s">
        <v>3605</v>
      </c>
      <c r="AL549" t="s">
        <v>95</v>
      </c>
      <c r="AM549" t="s">
        <v>96</v>
      </c>
      <c r="AN549" t="s">
        <v>97</v>
      </c>
      <c r="AO549" t="s">
        <v>98</v>
      </c>
      <c r="AP549" t="s">
        <v>78</v>
      </c>
      <c r="AQ549" t="s">
        <v>99</v>
      </c>
      <c r="AS549" t="s">
        <v>78</v>
      </c>
      <c r="AT549" t="s">
        <v>100</v>
      </c>
      <c r="AU549" t="s">
        <v>100</v>
      </c>
      <c r="AW549" t="s">
        <v>85</v>
      </c>
      <c r="AX549" t="s">
        <v>101</v>
      </c>
      <c r="AY549" t="s">
        <v>102</v>
      </c>
      <c r="AZ549" t="s">
        <v>103</v>
      </c>
      <c r="BA549" t="s">
        <v>133</v>
      </c>
      <c r="BB549" t="s">
        <v>78</v>
      </c>
      <c r="BC549" t="s">
        <v>78</v>
      </c>
      <c r="BD549" t="s">
        <v>3610</v>
      </c>
      <c r="BE549">
        <v>0</v>
      </c>
      <c r="BF549">
        <v>0</v>
      </c>
      <c r="BG549">
        <v>0</v>
      </c>
      <c r="BH549">
        <v>0</v>
      </c>
      <c r="BJ549" t="s">
        <v>85</v>
      </c>
      <c r="BP549" t="s">
        <v>78</v>
      </c>
      <c r="BQ549" t="s">
        <v>78</v>
      </c>
      <c r="BR549" t="s">
        <v>78</v>
      </c>
    </row>
    <row r="550" customFormat="1" spans="1:70">
      <c r="A550" t="s">
        <v>4437</v>
      </c>
      <c r="B550" t="s">
        <v>4437</v>
      </c>
      <c r="C550" t="s">
        <v>107</v>
      </c>
      <c r="D550" t="s">
        <v>123</v>
      </c>
      <c r="E550">
        <v>1</v>
      </c>
      <c r="F550" t="s">
        <v>3857</v>
      </c>
      <c r="G550" t="s">
        <v>124</v>
      </c>
      <c r="H550">
        <v>289</v>
      </c>
      <c r="I550">
        <v>289</v>
      </c>
      <c r="J550">
        <v>0</v>
      </c>
      <c r="K550">
        <v>0</v>
      </c>
      <c r="L550" t="s">
        <v>78</v>
      </c>
      <c r="M550" t="s">
        <v>78</v>
      </c>
      <c r="N550" t="s">
        <v>78</v>
      </c>
      <c r="O550">
        <v>0</v>
      </c>
      <c r="P550">
        <v>0</v>
      </c>
      <c r="Q550">
        <v>0</v>
      </c>
      <c r="R550" t="s">
        <v>125</v>
      </c>
      <c r="S550">
        <v>0</v>
      </c>
      <c r="T550" t="s">
        <v>80</v>
      </c>
      <c r="U550" t="s">
        <v>80</v>
      </c>
      <c r="V550" t="s">
        <v>271</v>
      </c>
      <c r="W550" t="s">
        <v>3527</v>
      </c>
      <c r="X550" t="s">
        <v>3633</v>
      </c>
      <c r="Y550" t="s">
        <v>3634</v>
      </c>
      <c r="Z550" t="s">
        <v>80</v>
      </c>
      <c r="AA550" t="s">
        <v>85</v>
      </c>
      <c r="AC550" t="s">
        <v>3635</v>
      </c>
      <c r="AD550" t="s">
        <v>87</v>
      </c>
      <c r="AF550" t="s">
        <v>3636</v>
      </c>
      <c r="AG550" t="s">
        <v>3621</v>
      </c>
      <c r="AH550" t="s">
        <v>91</v>
      </c>
      <c r="AI550" t="s">
        <v>92</v>
      </c>
      <c r="AJ550" t="s">
        <v>93</v>
      </c>
      <c r="AK550" t="s">
        <v>3637</v>
      </c>
      <c r="AL550" t="s">
        <v>95</v>
      </c>
      <c r="AM550" t="s">
        <v>96</v>
      </c>
      <c r="AN550" t="s">
        <v>97</v>
      </c>
      <c r="AO550" t="s">
        <v>98</v>
      </c>
      <c r="AP550" t="s">
        <v>78</v>
      </c>
      <c r="AQ550" t="s">
        <v>78</v>
      </c>
      <c r="AS550" t="s">
        <v>78</v>
      </c>
      <c r="AT550" t="s">
        <v>100</v>
      </c>
      <c r="AU550" t="s">
        <v>100</v>
      </c>
      <c r="AW550" t="s">
        <v>85</v>
      </c>
      <c r="AX550" t="s">
        <v>103</v>
      </c>
      <c r="AY550" t="s">
        <v>159</v>
      </c>
      <c r="AZ550" t="s">
        <v>103</v>
      </c>
      <c r="BA550" t="s">
        <v>133</v>
      </c>
      <c r="BB550" t="s">
        <v>78</v>
      </c>
      <c r="BC550" t="s">
        <v>78</v>
      </c>
      <c r="BD550" t="s">
        <v>3638</v>
      </c>
      <c r="BE550">
        <v>0</v>
      </c>
      <c r="BF550">
        <v>0</v>
      </c>
      <c r="BG550">
        <v>0</v>
      </c>
      <c r="BH550">
        <v>0</v>
      </c>
      <c r="BJ550" t="s">
        <v>85</v>
      </c>
      <c r="BP550" t="s">
        <v>78</v>
      </c>
      <c r="BQ550" t="s">
        <v>78</v>
      </c>
      <c r="BR550" t="s">
        <v>78</v>
      </c>
    </row>
    <row r="551" customFormat="1" spans="1:70">
      <c r="A551" t="s">
        <v>4438</v>
      </c>
      <c r="B551" t="s">
        <v>4438</v>
      </c>
      <c r="C551" t="s">
        <v>1050</v>
      </c>
      <c r="D551" t="s">
        <v>1051</v>
      </c>
      <c r="E551">
        <v>1</v>
      </c>
      <c r="F551" t="s">
        <v>3991</v>
      </c>
      <c r="G551" t="s">
        <v>1053</v>
      </c>
      <c r="H551">
        <v>129</v>
      </c>
      <c r="I551">
        <v>129</v>
      </c>
      <c r="J551">
        <v>0</v>
      </c>
      <c r="K551">
        <v>0</v>
      </c>
      <c r="L551" t="s">
        <v>78</v>
      </c>
      <c r="M551" t="s">
        <v>78</v>
      </c>
      <c r="N551" t="s">
        <v>78</v>
      </c>
      <c r="O551">
        <v>0</v>
      </c>
      <c r="P551">
        <v>0</v>
      </c>
      <c r="Q551">
        <v>0</v>
      </c>
      <c r="R551" t="s">
        <v>125</v>
      </c>
      <c r="S551">
        <v>0</v>
      </c>
      <c r="T551" t="s">
        <v>80</v>
      </c>
      <c r="U551" t="s">
        <v>80</v>
      </c>
      <c r="V551" t="s">
        <v>178</v>
      </c>
      <c r="W551" t="s">
        <v>178</v>
      </c>
      <c r="X551" t="s">
        <v>3640</v>
      </c>
      <c r="Y551" t="s">
        <v>3641</v>
      </c>
      <c r="Z551" t="s">
        <v>80</v>
      </c>
      <c r="AA551" t="s">
        <v>85</v>
      </c>
      <c r="AC551" t="s">
        <v>3642</v>
      </c>
      <c r="AD551" t="s">
        <v>87</v>
      </c>
      <c r="AH551" t="s">
        <v>227</v>
      </c>
      <c r="AI551" t="s">
        <v>92</v>
      </c>
      <c r="AJ551" t="s">
        <v>131</v>
      </c>
      <c r="AK551" t="s">
        <v>3643</v>
      </c>
      <c r="AL551" t="s">
        <v>95</v>
      </c>
      <c r="AM551" t="s">
        <v>96</v>
      </c>
      <c r="AN551" t="s">
        <v>97</v>
      </c>
      <c r="AO551" t="s">
        <v>98</v>
      </c>
      <c r="AP551" t="s">
        <v>78</v>
      </c>
      <c r="AQ551" t="s">
        <v>78</v>
      </c>
      <c r="AR551" t="s">
        <v>353</v>
      </c>
      <c r="AS551" t="s">
        <v>78</v>
      </c>
      <c r="AT551" t="s">
        <v>100</v>
      </c>
      <c r="AU551" t="s">
        <v>100</v>
      </c>
      <c r="AW551" t="s">
        <v>85</v>
      </c>
      <c r="AX551" t="s">
        <v>103</v>
      </c>
      <c r="AY551" t="s">
        <v>159</v>
      </c>
      <c r="AZ551" t="s">
        <v>103</v>
      </c>
      <c r="BA551" t="s">
        <v>419</v>
      </c>
      <c r="BB551" t="s">
        <v>78</v>
      </c>
      <c r="BC551" t="s">
        <v>78</v>
      </c>
      <c r="BE551">
        <v>0</v>
      </c>
      <c r="BF551">
        <v>0</v>
      </c>
      <c r="BG551">
        <v>0</v>
      </c>
      <c r="BH551">
        <v>0</v>
      </c>
      <c r="BJ551" t="s">
        <v>85</v>
      </c>
      <c r="BP551" t="s">
        <v>78</v>
      </c>
      <c r="BQ551" t="s">
        <v>78</v>
      </c>
      <c r="BR551" t="s">
        <v>78</v>
      </c>
    </row>
    <row r="552" customFormat="1" spans="1:70">
      <c r="A552" t="s">
        <v>4439</v>
      </c>
      <c r="B552" t="s">
        <v>4439</v>
      </c>
      <c r="C552" t="s">
        <v>107</v>
      </c>
      <c r="D552" t="s">
        <v>123</v>
      </c>
      <c r="E552">
        <v>1</v>
      </c>
      <c r="F552" t="s">
        <v>3857</v>
      </c>
      <c r="G552" t="s">
        <v>124</v>
      </c>
      <c r="H552">
        <v>289</v>
      </c>
      <c r="I552">
        <v>289</v>
      </c>
      <c r="J552">
        <v>0</v>
      </c>
      <c r="K552">
        <v>0</v>
      </c>
      <c r="L552" t="s">
        <v>78</v>
      </c>
      <c r="M552" t="s">
        <v>78</v>
      </c>
      <c r="N552" t="s">
        <v>78</v>
      </c>
      <c r="O552">
        <v>0</v>
      </c>
      <c r="P552">
        <v>0</v>
      </c>
      <c r="Q552">
        <v>0</v>
      </c>
      <c r="R552" t="s">
        <v>111</v>
      </c>
      <c r="S552">
        <v>0</v>
      </c>
      <c r="T552" t="s">
        <v>80</v>
      </c>
      <c r="U552" t="s">
        <v>80</v>
      </c>
      <c r="V552" t="s">
        <v>138</v>
      </c>
      <c r="W552" t="s">
        <v>2201</v>
      </c>
      <c r="X552" t="s">
        <v>2202</v>
      </c>
      <c r="Y552" t="s">
        <v>78</v>
      </c>
      <c r="Z552" t="s">
        <v>80</v>
      </c>
      <c r="AA552" t="s">
        <v>85</v>
      </c>
      <c r="AC552" t="s">
        <v>3645</v>
      </c>
      <c r="AD552" t="s">
        <v>202</v>
      </c>
      <c r="AE552" t="s">
        <v>3646</v>
      </c>
      <c r="AG552" t="s">
        <v>3647</v>
      </c>
      <c r="AH552" t="s">
        <v>91</v>
      </c>
      <c r="AI552" t="s">
        <v>92</v>
      </c>
      <c r="AJ552" t="s">
        <v>131</v>
      </c>
      <c r="AK552" t="s">
        <v>3648</v>
      </c>
      <c r="AL552" t="s">
        <v>95</v>
      </c>
      <c r="AM552" t="s">
        <v>96</v>
      </c>
      <c r="AN552" t="s">
        <v>97</v>
      </c>
      <c r="AO552" t="s">
        <v>98</v>
      </c>
      <c r="AP552" t="s">
        <v>78</v>
      </c>
      <c r="AQ552" t="s">
        <v>99</v>
      </c>
      <c r="AS552" t="s">
        <v>78</v>
      </c>
      <c r="AT552" t="s">
        <v>100</v>
      </c>
      <c r="AU552" t="s">
        <v>100</v>
      </c>
      <c r="AW552" t="s">
        <v>85</v>
      </c>
      <c r="AX552" t="s">
        <v>103</v>
      </c>
      <c r="AY552" t="s">
        <v>159</v>
      </c>
      <c r="AZ552" t="s">
        <v>103</v>
      </c>
      <c r="BA552" t="s">
        <v>218</v>
      </c>
      <c r="BB552" t="s">
        <v>78</v>
      </c>
      <c r="BC552" t="s">
        <v>78</v>
      </c>
      <c r="BD552" t="s">
        <v>3638</v>
      </c>
      <c r="BE552">
        <v>0</v>
      </c>
      <c r="BF552">
        <v>0</v>
      </c>
      <c r="BG552">
        <v>0</v>
      </c>
      <c r="BH552">
        <v>0</v>
      </c>
      <c r="BJ552" t="s">
        <v>85</v>
      </c>
      <c r="BP552" t="s">
        <v>78</v>
      </c>
      <c r="BQ552" t="s">
        <v>78</v>
      </c>
      <c r="BR552" t="s">
        <v>78</v>
      </c>
    </row>
    <row r="553" customFormat="1" spans="1:70">
      <c r="A553" t="s">
        <v>4440</v>
      </c>
      <c r="B553" t="s">
        <v>4440</v>
      </c>
      <c r="C553" t="s">
        <v>107</v>
      </c>
      <c r="D553" t="s">
        <v>108</v>
      </c>
      <c r="E553">
        <v>1</v>
      </c>
      <c r="F553" t="s">
        <v>3857</v>
      </c>
      <c r="G553" t="s">
        <v>110</v>
      </c>
      <c r="H553">
        <v>289</v>
      </c>
      <c r="I553">
        <v>289</v>
      </c>
      <c r="J553">
        <v>0</v>
      </c>
      <c r="K553">
        <v>0</v>
      </c>
      <c r="L553" t="s">
        <v>78</v>
      </c>
      <c r="M553" t="s">
        <v>78</v>
      </c>
      <c r="N553" t="s">
        <v>78</v>
      </c>
      <c r="O553">
        <v>0</v>
      </c>
      <c r="P553">
        <v>0</v>
      </c>
      <c r="Q553">
        <v>0</v>
      </c>
      <c r="R553" t="s">
        <v>111</v>
      </c>
      <c r="S553">
        <v>0</v>
      </c>
      <c r="T553" t="s">
        <v>80</v>
      </c>
      <c r="U553" t="s">
        <v>80</v>
      </c>
      <c r="V553" t="s">
        <v>126</v>
      </c>
      <c r="W553" t="s">
        <v>3548</v>
      </c>
      <c r="X553" t="s">
        <v>3650</v>
      </c>
      <c r="Y553" t="s">
        <v>3651</v>
      </c>
      <c r="Z553" t="s">
        <v>80</v>
      </c>
      <c r="AA553" t="s">
        <v>85</v>
      </c>
      <c r="AC553" t="s">
        <v>3652</v>
      </c>
      <c r="AD553" t="s">
        <v>202</v>
      </c>
      <c r="AE553" t="s">
        <v>3653</v>
      </c>
      <c r="AG553" t="s">
        <v>3654</v>
      </c>
      <c r="AH553" t="s">
        <v>91</v>
      </c>
      <c r="AI553" t="s">
        <v>92</v>
      </c>
      <c r="AJ553" t="s">
        <v>131</v>
      </c>
      <c r="AK553" t="s">
        <v>3655</v>
      </c>
      <c r="AL553" t="s">
        <v>95</v>
      </c>
      <c r="AM553" t="s">
        <v>96</v>
      </c>
      <c r="AN553" t="s">
        <v>97</v>
      </c>
      <c r="AO553" t="s">
        <v>98</v>
      </c>
      <c r="AP553" t="s">
        <v>78</v>
      </c>
      <c r="AQ553" t="s">
        <v>99</v>
      </c>
      <c r="AS553" t="s">
        <v>78</v>
      </c>
      <c r="AT553" t="s">
        <v>100</v>
      </c>
      <c r="AU553" t="s">
        <v>100</v>
      </c>
      <c r="AW553" t="s">
        <v>85</v>
      </c>
      <c r="AX553" t="s">
        <v>101</v>
      </c>
      <c r="AY553" t="s">
        <v>102</v>
      </c>
      <c r="AZ553" t="s">
        <v>103</v>
      </c>
      <c r="BA553" t="s">
        <v>133</v>
      </c>
      <c r="BB553" t="s">
        <v>78</v>
      </c>
      <c r="BC553" t="s">
        <v>78</v>
      </c>
      <c r="BD553" t="s">
        <v>3656</v>
      </c>
      <c r="BE553">
        <v>0</v>
      </c>
      <c r="BF553">
        <v>0</v>
      </c>
      <c r="BG553">
        <v>0</v>
      </c>
      <c r="BH553">
        <v>0</v>
      </c>
      <c r="BJ553" t="s">
        <v>85</v>
      </c>
      <c r="BP553" t="s">
        <v>78</v>
      </c>
      <c r="BQ553" t="s">
        <v>78</v>
      </c>
      <c r="BR553" t="s">
        <v>78</v>
      </c>
    </row>
    <row r="554" customFormat="1" spans="1:70">
      <c r="A554" t="s">
        <v>4441</v>
      </c>
      <c r="B554" t="s">
        <v>4441</v>
      </c>
      <c r="C554" t="s">
        <v>107</v>
      </c>
      <c r="D554" t="s">
        <v>108</v>
      </c>
      <c r="E554">
        <v>1</v>
      </c>
      <c r="F554" t="s">
        <v>3857</v>
      </c>
      <c r="G554" t="s">
        <v>110</v>
      </c>
      <c r="H554">
        <v>289</v>
      </c>
      <c r="I554">
        <v>289</v>
      </c>
      <c r="J554">
        <v>0</v>
      </c>
      <c r="K554">
        <v>0</v>
      </c>
      <c r="L554" t="s">
        <v>78</v>
      </c>
      <c r="M554" t="s">
        <v>78</v>
      </c>
      <c r="N554" t="s">
        <v>78</v>
      </c>
      <c r="O554">
        <v>0</v>
      </c>
      <c r="P554">
        <v>0</v>
      </c>
      <c r="Q554">
        <v>0</v>
      </c>
      <c r="R554" t="s">
        <v>79</v>
      </c>
      <c r="S554">
        <v>0</v>
      </c>
      <c r="T554" t="s">
        <v>80</v>
      </c>
      <c r="U554" t="s">
        <v>80</v>
      </c>
      <c r="V554" t="s">
        <v>583</v>
      </c>
      <c r="W554" t="s">
        <v>584</v>
      </c>
      <c r="X554" t="s">
        <v>2553</v>
      </c>
      <c r="Y554" t="s">
        <v>3658</v>
      </c>
      <c r="Z554" t="s">
        <v>80</v>
      </c>
      <c r="AA554" t="s">
        <v>85</v>
      </c>
      <c r="AC554" t="s">
        <v>3659</v>
      </c>
      <c r="AD554" t="s">
        <v>87</v>
      </c>
      <c r="AH554" t="s">
        <v>91</v>
      </c>
      <c r="AI554" t="s">
        <v>92</v>
      </c>
      <c r="AJ554" t="s">
        <v>131</v>
      </c>
      <c r="AK554" t="s">
        <v>3660</v>
      </c>
      <c r="AL554" t="s">
        <v>95</v>
      </c>
      <c r="AM554" t="s">
        <v>96</v>
      </c>
      <c r="AN554" t="s">
        <v>97</v>
      </c>
      <c r="AO554" t="s">
        <v>98</v>
      </c>
      <c r="AP554" t="s">
        <v>78</v>
      </c>
      <c r="AQ554" t="s">
        <v>78</v>
      </c>
      <c r="AR554" t="s">
        <v>353</v>
      </c>
      <c r="AS554" t="s">
        <v>78</v>
      </c>
      <c r="AT554" t="s">
        <v>100</v>
      </c>
      <c r="AU554" t="s">
        <v>100</v>
      </c>
      <c r="AW554" t="s">
        <v>85</v>
      </c>
      <c r="AX554" t="s">
        <v>101</v>
      </c>
      <c r="AY554" t="s">
        <v>102</v>
      </c>
      <c r="AZ554" t="s">
        <v>103</v>
      </c>
      <c r="BA554" t="s">
        <v>133</v>
      </c>
      <c r="BB554" t="s">
        <v>78</v>
      </c>
      <c r="BC554" t="s">
        <v>78</v>
      </c>
      <c r="BE554">
        <v>0</v>
      </c>
      <c r="BF554">
        <v>0</v>
      </c>
      <c r="BG554">
        <v>0</v>
      </c>
      <c r="BH554">
        <v>0</v>
      </c>
      <c r="BJ554" t="s">
        <v>85</v>
      </c>
      <c r="BP554" t="s">
        <v>78</v>
      </c>
      <c r="BQ554" t="s">
        <v>78</v>
      </c>
      <c r="BR554" t="s">
        <v>78</v>
      </c>
    </row>
    <row r="555" customFormat="1" spans="1:70">
      <c r="A555" t="s">
        <v>4442</v>
      </c>
      <c r="B555" t="s">
        <v>4442</v>
      </c>
      <c r="C555" t="s">
        <v>107</v>
      </c>
      <c r="D555" t="s">
        <v>135</v>
      </c>
      <c r="E555">
        <v>1</v>
      </c>
      <c r="F555" t="s">
        <v>3857</v>
      </c>
      <c r="G555" t="s">
        <v>136</v>
      </c>
      <c r="H555">
        <v>289</v>
      </c>
      <c r="I555">
        <v>289</v>
      </c>
      <c r="J555">
        <v>0</v>
      </c>
      <c r="K555">
        <v>0</v>
      </c>
      <c r="L555" t="s">
        <v>78</v>
      </c>
      <c r="M555" t="s">
        <v>78</v>
      </c>
      <c r="N555" t="s">
        <v>78</v>
      </c>
      <c r="O555">
        <v>0</v>
      </c>
      <c r="P555">
        <v>0</v>
      </c>
      <c r="Q555">
        <v>0</v>
      </c>
      <c r="R555" t="s">
        <v>111</v>
      </c>
      <c r="S555">
        <v>0</v>
      </c>
      <c r="T555" t="s">
        <v>80</v>
      </c>
      <c r="U555" t="s">
        <v>80</v>
      </c>
      <c r="V555" t="s">
        <v>302</v>
      </c>
      <c r="W555" t="s">
        <v>1394</v>
      </c>
      <c r="X555" t="s">
        <v>2346</v>
      </c>
      <c r="Y555" t="s">
        <v>3662</v>
      </c>
      <c r="Z555" t="s">
        <v>80</v>
      </c>
      <c r="AA555" t="s">
        <v>85</v>
      </c>
      <c r="AC555" t="s">
        <v>3663</v>
      </c>
      <c r="AD555" t="s">
        <v>202</v>
      </c>
      <c r="AE555" t="s">
        <v>3664</v>
      </c>
      <c r="AF555" t="s">
        <v>3665</v>
      </c>
      <c r="AG555" t="s">
        <v>3666</v>
      </c>
      <c r="AH555" t="s">
        <v>227</v>
      </c>
      <c r="AI555" t="s">
        <v>92</v>
      </c>
      <c r="AJ555" t="s">
        <v>93</v>
      </c>
      <c r="AK555" t="s">
        <v>3667</v>
      </c>
      <c r="AL555" t="s">
        <v>95</v>
      </c>
      <c r="AM555" t="s">
        <v>96</v>
      </c>
      <c r="AN555" t="s">
        <v>97</v>
      </c>
      <c r="AO555" t="s">
        <v>98</v>
      </c>
      <c r="AP555" t="s">
        <v>78</v>
      </c>
      <c r="AQ555" t="s">
        <v>99</v>
      </c>
      <c r="AS555" t="s">
        <v>78</v>
      </c>
      <c r="AT555" t="s">
        <v>100</v>
      </c>
      <c r="AU555" t="s">
        <v>100</v>
      </c>
      <c r="AW555" t="s">
        <v>85</v>
      </c>
      <c r="AX555" t="s">
        <v>101</v>
      </c>
      <c r="AY555" t="s">
        <v>102</v>
      </c>
      <c r="AZ555" t="s">
        <v>103</v>
      </c>
      <c r="BA555" t="s">
        <v>133</v>
      </c>
      <c r="BB555" t="s">
        <v>78</v>
      </c>
      <c r="BC555" t="s">
        <v>78</v>
      </c>
      <c r="BD555" t="s">
        <v>3668</v>
      </c>
      <c r="BE555">
        <v>0</v>
      </c>
      <c r="BF555">
        <v>0</v>
      </c>
      <c r="BG555">
        <v>0</v>
      </c>
      <c r="BH555">
        <v>0</v>
      </c>
      <c r="BJ555" t="s">
        <v>85</v>
      </c>
      <c r="BP555" t="s">
        <v>78</v>
      </c>
      <c r="BQ555" t="s">
        <v>78</v>
      </c>
      <c r="BR555" t="s">
        <v>78</v>
      </c>
    </row>
    <row r="556" customFormat="1" spans="1:70">
      <c r="A556" t="s">
        <v>4443</v>
      </c>
      <c r="B556" t="s">
        <v>4443</v>
      </c>
      <c r="C556" t="s">
        <v>107</v>
      </c>
      <c r="D556" t="s">
        <v>108</v>
      </c>
      <c r="E556">
        <v>1</v>
      </c>
      <c r="F556" t="s">
        <v>3857</v>
      </c>
      <c r="G556" t="s">
        <v>110</v>
      </c>
      <c r="H556">
        <v>289</v>
      </c>
      <c r="I556">
        <v>289</v>
      </c>
      <c r="J556">
        <v>0</v>
      </c>
      <c r="K556">
        <v>0</v>
      </c>
      <c r="L556" t="s">
        <v>78</v>
      </c>
      <c r="M556" t="s">
        <v>78</v>
      </c>
      <c r="N556" t="s">
        <v>78</v>
      </c>
      <c r="O556">
        <v>0</v>
      </c>
      <c r="P556">
        <v>0</v>
      </c>
      <c r="Q556">
        <v>0</v>
      </c>
      <c r="R556" t="s">
        <v>111</v>
      </c>
      <c r="S556">
        <v>0</v>
      </c>
      <c r="T556" t="s">
        <v>80</v>
      </c>
      <c r="U556" t="s">
        <v>80</v>
      </c>
      <c r="V556" t="s">
        <v>189</v>
      </c>
      <c r="W556" t="s">
        <v>190</v>
      </c>
      <c r="X556" t="s">
        <v>3670</v>
      </c>
      <c r="Y556" t="s">
        <v>1271</v>
      </c>
      <c r="Z556" t="s">
        <v>80</v>
      </c>
      <c r="AA556" t="s">
        <v>85</v>
      </c>
      <c r="AC556" t="s">
        <v>3671</v>
      </c>
      <c r="AD556" t="s">
        <v>87</v>
      </c>
      <c r="AF556" t="s">
        <v>3665</v>
      </c>
      <c r="AG556" t="s">
        <v>3672</v>
      </c>
      <c r="AH556" t="s">
        <v>91</v>
      </c>
      <c r="AI556" t="s">
        <v>92</v>
      </c>
      <c r="AJ556" t="s">
        <v>93</v>
      </c>
      <c r="AK556" t="s">
        <v>3673</v>
      </c>
      <c r="AL556" t="s">
        <v>95</v>
      </c>
      <c r="AM556" t="s">
        <v>96</v>
      </c>
      <c r="AN556" t="s">
        <v>97</v>
      </c>
      <c r="AO556" t="s">
        <v>98</v>
      </c>
      <c r="AP556" t="s">
        <v>78</v>
      </c>
      <c r="AQ556" t="s">
        <v>78</v>
      </c>
      <c r="AS556" t="s">
        <v>78</v>
      </c>
      <c r="AT556" t="s">
        <v>100</v>
      </c>
      <c r="AU556" t="s">
        <v>100</v>
      </c>
      <c r="AW556" t="s">
        <v>85</v>
      </c>
      <c r="AX556" t="s">
        <v>101</v>
      </c>
      <c r="AY556" t="s">
        <v>102</v>
      </c>
      <c r="AZ556" t="s">
        <v>103</v>
      </c>
      <c r="BA556" t="s">
        <v>120</v>
      </c>
      <c r="BB556" t="s">
        <v>78</v>
      </c>
      <c r="BC556" t="s">
        <v>78</v>
      </c>
      <c r="BD556" t="s">
        <v>3668</v>
      </c>
      <c r="BE556">
        <v>0</v>
      </c>
      <c r="BF556">
        <v>0</v>
      </c>
      <c r="BG556">
        <v>0</v>
      </c>
      <c r="BH556">
        <v>0</v>
      </c>
      <c r="BJ556" t="s">
        <v>85</v>
      </c>
      <c r="BP556" t="s">
        <v>78</v>
      </c>
      <c r="BQ556" t="s">
        <v>78</v>
      </c>
      <c r="BR556" t="s">
        <v>78</v>
      </c>
    </row>
    <row r="557" customFormat="1" spans="1:70">
      <c r="A557" t="s">
        <v>4444</v>
      </c>
      <c r="B557" t="s">
        <v>4444</v>
      </c>
      <c r="C557" t="s">
        <v>107</v>
      </c>
      <c r="D557" t="s">
        <v>108</v>
      </c>
      <c r="E557">
        <v>1</v>
      </c>
      <c r="F557" t="s">
        <v>3857</v>
      </c>
      <c r="G557" t="s">
        <v>110</v>
      </c>
      <c r="H557">
        <v>289</v>
      </c>
      <c r="I557">
        <v>289</v>
      </c>
      <c r="J557">
        <v>0</v>
      </c>
      <c r="K557">
        <v>0</v>
      </c>
      <c r="L557" t="s">
        <v>78</v>
      </c>
      <c r="M557" t="s">
        <v>78</v>
      </c>
      <c r="N557" t="s">
        <v>78</v>
      </c>
      <c r="O557">
        <v>0</v>
      </c>
      <c r="P557">
        <v>0</v>
      </c>
      <c r="Q557">
        <v>0</v>
      </c>
      <c r="R557" t="s">
        <v>111</v>
      </c>
      <c r="S557">
        <v>0</v>
      </c>
      <c r="T557" t="s">
        <v>80</v>
      </c>
      <c r="U557" t="s">
        <v>80</v>
      </c>
      <c r="V557" t="s">
        <v>138</v>
      </c>
      <c r="W557" t="s">
        <v>1438</v>
      </c>
      <c r="X557" t="s">
        <v>3675</v>
      </c>
      <c r="Y557" t="s">
        <v>78</v>
      </c>
      <c r="Z557" t="s">
        <v>80</v>
      </c>
      <c r="AA557" t="s">
        <v>85</v>
      </c>
      <c r="AC557" t="s">
        <v>3676</v>
      </c>
      <c r="AD557" t="s">
        <v>87</v>
      </c>
      <c r="AF557" t="s">
        <v>3665</v>
      </c>
      <c r="AG557" t="s">
        <v>3677</v>
      </c>
      <c r="AH557" t="s">
        <v>91</v>
      </c>
      <c r="AI557" t="s">
        <v>92</v>
      </c>
      <c r="AJ557" t="s">
        <v>93</v>
      </c>
      <c r="AK557" t="s">
        <v>3678</v>
      </c>
      <c r="AL557" t="s">
        <v>95</v>
      </c>
      <c r="AM557" t="s">
        <v>96</v>
      </c>
      <c r="AN557" t="s">
        <v>97</v>
      </c>
      <c r="AO557" t="s">
        <v>98</v>
      </c>
      <c r="AP557" t="s">
        <v>78</v>
      </c>
      <c r="AQ557" t="s">
        <v>78</v>
      </c>
      <c r="AS557" t="s">
        <v>78</v>
      </c>
      <c r="AT557" t="s">
        <v>100</v>
      </c>
      <c r="AU557" t="s">
        <v>100</v>
      </c>
      <c r="AW557" t="s">
        <v>85</v>
      </c>
      <c r="AX557" t="s">
        <v>101</v>
      </c>
      <c r="AY557" t="s">
        <v>102</v>
      </c>
      <c r="AZ557" t="s">
        <v>103</v>
      </c>
      <c r="BA557" t="s">
        <v>245</v>
      </c>
      <c r="BB557" t="s">
        <v>78</v>
      </c>
      <c r="BC557" t="s">
        <v>78</v>
      </c>
      <c r="BD557" t="s">
        <v>3668</v>
      </c>
      <c r="BE557">
        <v>0</v>
      </c>
      <c r="BF557">
        <v>0</v>
      </c>
      <c r="BG557">
        <v>0</v>
      </c>
      <c r="BH557">
        <v>0</v>
      </c>
      <c r="BJ557" t="s">
        <v>85</v>
      </c>
      <c r="BP557" t="s">
        <v>78</v>
      </c>
      <c r="BQ557" t="s">
        <v>78</v>
      </c>
      <c r="BR557" t="s">
        <v>78</v>
      </c>
    </row>
    <row r="558" customFormat="1" spans="1:70">
      <c r="A558" t="s">
        <v>4445</v>
      </c>
      <c r="B558" t="s">
        <v>4445</v>
      </c>
      <c r="C558" t="s">
        <v>107</v>
      </c>
      <c r="D558" t="s">
        <v>135</v>
      </c>
      <c r="E558">
        <v>1</v>
      </c>
      <c r="F558" t="s">
        <v>3857</v>
      </c>
      <c r="G558" t="s">
        <v>136</v>
      </c>
      <c r="H558">
        <v>289</v>
      </c>
      <c r="I558">
        <v>289</v>
      </c>
      <c r="J558">
        <v>0</v>
      </c>
      <c r="K558">
        <v>0</v>
      </c>
      <c r="L558" t="s">
        <v>78</v>
      </c>
      <c r="M558" t="s">
        <v>78</v>
      </c>
      <c r="N558" t="s">
        <v>78</v>
      </c>
      <c r="O558">
        <v>0</v>
      </c>
      <c r="P558">
        <v>0</v>
      </c>
      <c r="Q558">
        <v>0</v>
      </c>
      <c r="R558" t="s">
        <v>125</v>
      </c>
      <c r="S558">
        <v>0</v>
      </c>
      <c r="T558" t="s">
        <v>80</v>
      </c>
      <c r="U558" t="s">
        <v>80</v>
      </c>
      <c r="V558" t="s">
        <v>138</v>
      </c>
      <c r="W558" t="s">
        <v>3680</v>
      </c>
      <c r="X558" t="s">
        <v>3681</v>
      </c>
      <c r="Y558" t="s">
        <v>3682</v>
      </c>
      <c r="Z558" t="s">
        <v>80</v>
      </c>
      <c r="AA558" t="s">
        <v>85</v>
      </c>
      <c r="AC558" t="s">
        <v>3683</v>
      </c>
      <c r="AD558" t="s">
        <v>87</v>
      </c>
      <c r="AF558" t="s">
        <v>3684</v>
      </c>
      <c r="AG558" t="s">
        <v>3659</v>
      </c>
      <c r="AH558" t="s">
        <v>91</v>
      </c>
      <c r="AI558" t="s">
        <v>92</v>
      </c>
      <c r="AJ558" t="s">
        <v>93</v>
      </c>
      <c r="AK558" t="s">
        <v>3660</v>
      </c>
      <c r="AL558" t="s">
        <v>95</v>
      </c>
      <c r="AM558" t="s">
        <v>96</v>
      </c>
      <c r="AN558" t="s">
        <v>97</v>
      </c>
      <c r="AO558" t="s">
        <v>98</v>
      </c>
      <c r="AP558" t="s">
        <v>78</v>
      </c>
      <c r="AQ558" t="s">
        <v>78</v>
      </c>
      <c r="AS558" t="s">
        <v>78</v>
      </c>
      <c r="AT558" t="s">
        <v>100</v>
      </c>
      <c r="AU558" t="s">
        <v>100</v>
      </c>
      <c r="AW558" t="s">
        <v>85</v>
      </c>
      <c r="AX558" t="s">
        <v>103</v>
      </c>
      <c r="AY558" t="s">
        <v>159</v>
      </c>
      <c r="AZ558" t="s">
        <v>103</v>
      </c>
      <c r="BA558" t="s">
        <v>419</v>
      </c>
      <c r="BB558" t="s">
        <v>78</v>
      </c>
      <c r="BC558" t="s">
        <v>78</v>
      </c>
      <c r="BD558" t="s">
        <v>3668</v>
      </c>
      <c r="BE558">
        <v>0</v>
      </c>
      <c r="BF558">
        <v>0</v>
      </c>
      <c r="BG558">
        <v>0</v>
      </c>
      <c r="BH558">
        <v>0</v>
      </c>
      <c r="BJ558" t="s">
        <v>85</v>
      </c>
      <c r="BP558" t="s">
        <v>78</v>
      </c>
      <c r="BQ558" t="s">
        <v>78</v>
      </c>
      <c r="BR558" t="s">
        <v>78</v>
      </c>
    </row>
    <row r="559" customFormat="1" spans="1:70">
      <c r="A559" t="s">
        <v>4446</v>
      </c>
      <c r="B559" t="s">
        <v>4446</v>
      </c>
      <c r="C559" t="s">
        <v>107</v>
      </c>
      <c r="D559" t="s">
        <v>108</v>
      </c>
      <c r="E559">
        <v>1</v>
      </c>
      <c r="F559" t="s">
        <v>3857</v>
      </c>
      <c r="G559" t="s">
        <v>110</v>
      </c>
      <c r="H559">
        <v>289</v>
      </c>
      <c r="I559">
        <v>289</v>
      </c>
      <c r="J559">
        <v>0</v>
      </c>
      <c r="K559">
        <v>0</v>
      </c>
      <c r="L559" t="s">
        <v>78</v>
      </c>
      <c r="M559" t="s">
        <v>78</v>
      </c>
      <c r="N559" t="s">
        <v>78</v>
      </c>
      <c r="O559">
        <v>0</v>
      </c>
      <c r="P559">
        <v>0</v>
      </c>
      <c r="Q559">
        <v>0</v>
      </c>
      <c r="R559" t="s">
        <v>79</v>
      </c>
      <c r="S559">
        <v>0</v>
      </c>
      <c r="T559" t="s">
        <v>80</v>
      </c>
      <c r="U559" t="s">
        <v>80</v>
      </c>
      <c r="V559" t="s">
        <v>161</v>
      </c>
      <c r="W559" t="s">
        <v>161</v>
      </c>
      <c r="X559" t="s">
        <v>162</v>
      </c>
      <c r="Y559" t="s">
        <v>3686</v>
      </c>
      <c r="Z559" t="s">
        <v>80</v>
      </c>
      <c r="AA559" t="s">
        <v>85</v>
      </c>
      <c r="AC559" t="s">
        <v>3687</v>
      </c>
      <c r="AD559" t="s">
        <v>202</v>
      </c>
      <c r="AE559" t="s">
        <v>3688</v>
      </c>
      <c r="AG559" t="s">
        <v>3683</v>
      </c>
      <c r="AH559" t="s">
        <v>91</v>
      </c>
      <c r="AI559" t="s">
        <v>92</v>
      </c>
      <c r="AJ559" t="s">
        <v>131</v>
      </c>
      <c r="AK559" t="s">
        <v>3689</v>
      </c>
      <c r="AL559" t="s">
        <v>95</v>
      </c>
      <c r="AM559" t="s">
        <v>96</v>
      </c>
      <c r="AN559" t="s">
        <v>97</v>
      </c>
      <c r="AO559" t="s">
        <v>98</v>
      </c>
      <c r="AP559" t="s">
        <v>78</v>
      </c>
      <c r="AQ559" t="s">
        <v>99</v>
      </c>
      <c r="AS559" t="s">
        <v>78</v>
      </c>
      <c r="AT559" t="s">
        <v>100</v>
      </c>
      <c r="AU559" t="s">
        <v>100</v>
      </c>
      <c r="AW559" t="s">
        <v>85</v>
      </c>
      <c r="AX559" t="s">
        <v>101</v>
      </c>
      <c r="AY559" t="s">
        <v>102</v>
      </c>
      <c r="AZ559" t="s">
        <v>103</v>
      </c>
      <c r="BA559" t="s">
        <v>133</v>
      </c>
      <c r="BB559" t="s">
        <v>78</v>
      </c>
      <c r="BC559" t="s">
        <v>78</v>
      </c>
      <c r="BD559" t="s">
        <v>3668</v>
      </c>
      <c r="BE559">
        <v>0</v>
      </c>
      <c r="BF559">
        <v>0</v>
      </c>
      <c r="BG559">
        <v>0</v>
      </c>
      <c r="BH559">
        <v>0</v>
      </c>
      <c r="BJ559" t="s">
        <v>85</v>
      </c>
      <c r="BP559" t="s">
        <v>78</v>
      </c>
      <c r="BQ559" t="s">
        <v>78</v>
      </c>
      <c r="BR559" t="s">
        <v>78</v>
      </c>
    </row>
    <row r="560" customFormat="1" spans="1:70">
      <c r="A560" t="s">
        <v>4447</v>
      </c>
      <c r="B560" t="s">
        <v>4447</v>
      </c>
      <c r="C560" t="s">
        <v>107</v>
      </c>
      <c r="D560" t="s">
        <v>108</v>
      </c>
      <c r="E560">
        <v>1</v>
      </c>
      <c r="F560" t="s">
        <v>3857</v>
      </c>
      <c r="G560" t="s">
        <v>110</v>
      </c>
      <c r="H560">
        <v>289</v>
      </c>
      <c r="I560">
        <v>289</v>
      </c>
      <c r="J560">
        <v>0</v>
      </c>
      <c r="K560">
        <v>0</v>
      </c>
      <c r="L560" t="s">
        <v>78</v>
      </c>
      <c r="M560" t="s">
        <v>78</v>
      </c>
      <c r="N560" t="s">
        <v>78</v>
      </c>
      <c r="O560">
        <v>0</v>
      </c>
      <c r="P560">
        <v>0</v>
      </c>
      <c r="Q560">
        <v>0</v>
      </c>
      <c r="R560" t="s">
        <v>125</v>
      </c>
      <c r="S560">
        <v>0</v>
      </c>
      <c r="T560" t="s">
        <v>80</v>
      </c>
      <c r="U560" t="s">
        <v>80</v>
      </c>
      <c r="V560" t="s">
        <v>81</v>
      </c>
      <c r="W560" t="s">
        <v>481</v>
      </c>
      <c r="X560" t="s">
        <v>3691</v>
      </c>
      <c r="Y560" t="s">
        <v>3692</v>
      </c>
      <c r="Z560" t="s">
        <v>80</v>
      </c>
      <c r="AA560" t="s">
        <v>85</v>
      </c>
      <c r="AC560" t="s">
        <v>3693</v>
      </c>
      <c r="AD560" t="s">
        <v>202</v>
      </c>
      <c r="AE560" t="s">
        <v>3694</v>
      </c>
      <c r="AG560" t="s">
        <v>3695</v>
      </c>
      <c r="AH560" t="s">
        <v>91</v>
      </c>
      <c r="AI560" t="s">
        <v>92</v>
      </c>
      <c r="AJ560" t="s">
        <v>131</v>
      </c>
      <c r="AK560" t="s">
        <v>3696</v>
      </c>
      <c r="AL560" t="s">
        <v>95</v>
      </c>
      <c r="AM560" t="s">
        <v>96</v>
      </c>
      <c r="AN560" t="s">
        <v>97</v>
      </c>
      <c r="AO560" t="s">
        <v>98</v>
      </c>
      <c r="AP560" t="s">
        <v>78</v>
      </c>
      <c r="AQ560" t="s">
        <v>99</v>
      </c>
      <c r="AS560" t="s">
        <v>78</v>
      </c>
      <c r="AT560" t="s">
        <v>100</v>
      </c>
      <c r="AU560" t="s">
        <v>100</v>
      </c>
      <c r="AW560" t="s">
        <v>85</v>
      </c>
      <c r="AX560" t="s">
        <v>103</v>
      </c>
      <c r="AY560" t="s">
        <v>159</v>
      </c>
      <c r="AZ560" t="s">
        <v>103</v>
      </c>
      <c r="BA560" t="s">
        <v>104</v>
      </c>
      <c r="BB560" t="s">
        <v>78</v>
      </c>
      <c r="BC560" t="s">
        <v>78</v>
      </c>
      <c r="BD560" t="s">
        <v>3668</v>
      </c>
      <c r="BE560">
        <v>0</v>
      </c>
      <c r="BF560">
        <v>0</v>
      </c>
      <c r="BG560">
        <v>0</v>
      </c>
      <c r="BH560">
        <v>0</v>
      </c>
      <c r="BJ560" t="s">
        <v>85</v>
      </c>
      <c r="BP560" t="s">
        <v>78</v>
      </c>
      <c r="BQ560" t="s">
        <v>78</v>
      </c>
      <c r="BR560" t="s">
        <v>78</v>
      </c>
    </row>
    <row r="561" customFormat="1" spans="1:70">
      <c r="A561" t="s">
        <v>4448</v>
      </c>
      <c r="B561" t="s">
        <v>4448</v>
      </c>
      <c r="C561" t="s">
        <v>107</v>
      </c>
      <c r="D561" t="s">
        <v>123</v>
      </c>
      <c r="E561">
        <v>1</v>
      </c>
      <c r="F561" t="s">
        <v>3857</v>
      </c>
      <c r="G561" t="s">
        <v>124</v>
      </c>
      <c r="H561">
        <v>289</v>
      </c>
      <c r="I561">
        <v>289</v>
      </c>
      <c r="J561">
        <v>0</v>
      </c>
      <c r="K561">
        <v>0</v>
      </c>
      <c r="L561" t="s">
        <v>78</v>
      </c>
      <c r="M561" t="s">
        <v>78</v>
      </c>
      <c r="N561" t="s">
        <v>78</v>
      </c>
      <c r="O561">
        <v>0</v>
      </c>
      <c r="P561">
        <v>0</v>
      </c>
      <c r="Q561">
        <v>0</v>
      </c>
      <c r="R561" t="s">
        <v>125</v>
      </c>
      <c r="S561">
        <v>0</v>
      </c>
      <c r="T561" t="s">
        <v>80</v>
      </c>
      <c r="U561" t="s">
        <v>80</v>
      </c>
      <c r="V561" t="s">
        <v>112</v>
      </c>
      <c r="W561" t="s">
        <v>113</v>
      </c>
      <c r="X561" t="s">
        <v>881</v>
      </c>
      <c r="Y561" t="s">
        <v>3315</v>
      </c>
      <c r="Z561" t="s">
        <v>80</v>
      </c>
      <c r="AA561" t="s">
        <v>85</v>
      </c>
      <c r="AC561" t="s">
        <v>3693</v>
      </c>
      <c r="AD561" t="s">
        <v>202</v>
      </c>
      <c r="AE561" t="s">
        <v>3698</v>
      </c>
      <c r="AG561" t="s">
        <v>3695</v>
      </c>
      <c r="AH561" t="s">
        <v>91</v>
      </c>
      <c r="AI561" t="s">
        <v>92</v>
      </c>
      <c r="AJ561" t="s">
        <v>131</v>
      </c>
      <c r="AK561" t="s">
        <v>3696</v>
      </c>
      <c r="AL561" t="s">
        <v>95</v>
      </c>
      <c r="AM561" t="s">
        <v>96</v>
      </c>
      <c r="AN561" t="s">
        <v>97</v>
      </c>
      <c r="AO561" t="s">
        <v>98</v>
      </c>
      <c r="AP561" t="s">
        <v>78</v>
      </c>
      <c r="AQ561" t="s">
        <v>99</v>
      </c>
      <c r="AS561" t="s">
        <v>78</v>
      </c>
      <c r="AT561" t="s">
        <v>100</v>
      </c>
      <c r="AU561" t="s">
        <v>100</v>
      </c>
      <c r="AW561" t="s">
        <v>85</v>
      </c>
      <c r="AX561" t="s">
        <v>101</v>
      </c>
      <c r="AY561" t="s">
        <v>102</v>
      </c>
      <c r="AZ561" t="s">
        <v>103</v>
      </c>
      <c r="BA561" t="s">
        <v>120</v>
      </c>
      <c r="BB561" t="s">
        <v>78</v>
      </c>
      <c r="BC561" t="s">
        <v>78</v>
      </c>
      <c r="BD561" t="s">
        <v>3668</v>
      </c>
      <c r="BE561">
        <v>0</v>
      </c>
      <c r="BF561">
        <v>0</v>
      </c>
      <c r="BG561">
        <v>0</v>
      </c>
      <c r="BH561">
        <v>0</v>
      </c>
      <c r="BJ561" t="s">
        <v>85</v>
      </c>
      <c r="BP561" t="s">
        <v>78</v>
      </c>
      <c r="BQ561" t="s">
        <v>78</v>
      </c>
      <c r="BR561" t="s">
        <v>78</v>
      </c>
    </row>
    <row r="562" customFormat="1" spans="1:70">
      <c r="A562" t="s">
        <v>4449</v>
      </c>
      <c r="B562" t="s">
        <v>4449</v>
      </c>
      <c r="C562" t="s">
        <v>107</v>
      </c>
      <c r="D562" t="s">
        <v>123</v>
      </c>
      <c r="E562">
        <v>1</v>
      </c>
      <c r="F562" t="s">
        <v>3857</v>
      </c>
      <c r="G562" t="s">
        <v>124</v>
      </c>
      <c r="H562">
        <v>289</v>
      </c>
      <c r="I562">
        <v>289</v>
      </c>
      <c r="J562">
        <v>0</v>
      </c>
      <c r="K562">
        <v>0</v>
      </c>
      <c r="L562" t="s">
        <v>78</v>
      </c>
      <c r="M562" t="s">
        <v>78</v>
      </c>
      <c r="N562" t="s">
        <v>78</v>
      </c>
      <c r="O562">
        <v>0</v>
      </c>
      <c r="P562">
        <v>0</v>
      </c>
      <c r="Q562">
        <v>0</v>
      </c>
      <c r="R562" t="s">
        <v>79</v>
      </c>
      <c r="S562">
        <v>0</v>
      </c>
      <c r="T562" t="s">
        <v>80</v>
      </c>
      <c r="U562" t="s">
        <v>80</v>
      </c>
      <c r="V562" t="s">
        <v>574</v>
      </c>
      <c r="W562" t="s">
        <v>574</v>
      </c>
      <c r="X562" t="s">
        <v>575</v>
      </c>
      <c r="Y562" t="s">
        <v>3700</v>
      </c>
      <c r="Z562" t="s">
        <v>80</v>
      </c>
      <c r="AA562" t="s">
        <v>85</v>
      </c>
      <c r="AC562" t="s">
        <v>3693</v>
      </c>
      <c r="AD562" t="s">
        <v>87</v>
      </c>
      <c r="AF562" t="s">
        <v>3665</v>
      </c>
      <c r="AG562" t="s">
        <v>3701</v>
      </c>
      <c r="AH562" t="s">
        <v>227</v>
      </c>
      <c r="AI562" t="s">
        <v>92</v>
      </c>
      <c r="AJ562" t="s">
        <v>93</v>
      </c>
      <c r="AK562" t="s">
        <v>3702</v>
      </c>
      <c r="AL562" t="s">
        <v>95</v>
      </c>
      <c r="AM562" t="s">
        <v>96</v>
      </c>
      <c r="AN562" t="s">
        <v>97</v>
      </c>
      <c r="AO562" t="s">
        <v>98</v>
      </c>
      <c r="AP562" t="s">
        <v>78</v>
      </c>
      <c r="AQ562" t="s">
        <v>78</v>
      </c>
      <c r="AS562" t="s">
        <v>78</v>
      </c>
      <c r="AT562" t="s">
        <v>100</v>
      </c>
      <c r="AU562" t="s">
        <v>100</v>
      </c>
      <c r="AW562" t="s">
        <v>85</v>
      </c>
      <c r="AX562" t="s">
        <v>101</v>
      </c>
      <c r="AY562" t="s">
        <v>102</v>
      </c>
      <c r="AZ562" t="s">
        <v>103</v>
      </c>
      <c r="BA562" t="s">
        <v>133</v>
      </c>
      <c r="BB562" t="s">
        <v>78</v>
      </c>
      <c r="BC562" t="s">
        <v>78</v>
      </c>
      <c r="BD562" t="s">
        <v>3668</v>
      </c>
      <c r="BE562">
        <v>0</v>
      </c>
      <c r="BF562">
        <v>0</v>
      </c>
      <c r="BG562">
        <v>0</v>
      </c>
      <c r="BH562">
        <v>0</v>
      </c>
      <c r="BJ562" t="s">
        <v>85</v>
      </c>
      <c r="BP562" t="s">
        <v>78</v>
      </c>
      <c r="BQ562" t="s">
        <v>78</v>
      </c>
      <c r="BR562" t="s">
        <v>78</v>
      </c>
    </row>
    <row r="563" customFormat="1" spans="1:70">
      <c r="A563" t="s">
        <v>4450</v>
      </c>
      <c r="B563" t="s">
        <v>4450</v>
      </c>
      <c r="C563" t="s">
        <v>107</v>
      </c>
      <c r="D563" t="s">
        <v>123</v>
      </c>
      <c r="E563">
        <v>1</v>
      </c>
      <c r="F563" t="s">
        <v>3857</v>
      </c>
      <c r="G563" t="s">
        <v>124</v>
      </c>
      <c r="H563">
        <v>289</v>
      </c>
      <c r="I563">
        <v>289</v>
      </c>
      <c r="J563">
        <v>0</v>
      </c>
      <c r="K563">
        <v>0</v>
      </c>
      <c r="L563" t="s">
        <v>78</v>
      </c>
      <c r="M563" t="s">
        <v>78</v>
      </c>
      <c r="N563" t="s">
        <v>78</v>
      </c>
      <c r="O563">
        <v>0</v>
      </c>
      <c r="P563">
        <v>0</v>
      </c>
      <c r="Q563">
        <v>0</v>
      </c>
      <c r="R563" t="s">
        <v>125</v>
      </c>
      <c r="S563">
        <v>0</v>
      </c>
      <c r="T563" t="s">
        <v>80</v>
      </c>
      <c r="U563" t="s">
        <v>80</v>
      </c>
      <c r="V563" t="s">
        <v>887</v>
      </c>
      <c r="W563" t="s">
        <v>1927</v>
      </c>
      <c r="X563" t="s">
        <v>1928</v>
      </c>
      <c r="Y563" t="s">
        <v>1929</v>
      </c>
      <c r="Z563" t="s">
        <v>80</v>
      </c>
      <c r="AA563" t="s">
        <v>85</v>
      </c>
      <c r="AC563" t="s">
        <v>3693</v>
      </c>
      <c r="AD563" t="s">
        <v>87</v>
      </c>
      <c r="AF563" t="s">
        <v>3665</v>
      </c>
      <c r="AG563" t="s">
        <v>3704</v>
      </c>
      <c r="AH563" t="s">
        <v>91</v>
      </c>
      <c r="AI563" t="s">
        <v>92</v>
      </c>
      <c r="AJ563" t="s">
        <v>93</v>
      </c>
      <c r="AK563" t="s">
        <v>3705</v>
      </c>
      <c r="AL563" t="s">
        <v>95</v>
      </c>
      <c r="AM563" t="s">
        <v>96</v>
      </c>
      <c r="AN563" t="s">
        <v>97</v>
      </c>
      <c r="AO563" t="s">
        <v>98</v>
      </c>
      <c r="AP563" t="s">
        <v>78</v>
      </c>
      <c r="AQ563" t="s">
        <v>78</v>
      </c>
      <c r="AS563" t="s">
        <v>78</v>
      </c>
      <c r="AT563" t="s">
        <v>100</v>
      </c>
      <c r="AU563" t="s">
        <v>100</v>
      </c>
      <c r="AW563" t="s">
        <v>85</v>
      </c>
      <c r="AX563" t="s">
        <v>101</v>
      </c>
      <c r="AY563" t="s">
        <v>102</v>
      </c>
      <c r="AZ563" t="s">
        <v>103</v>
      </c>
      <c r="BA563" t="s">
        <v>133</v>
      </c>
      <c r="BB563" t="s">
        <v>78</v>
      </c>
      <c r="BC563" t="s">
        <v>78</v>
      </c>
      <c r="BD563" t="s">
        <v>3668</v>
      </c>
      <c r="BE563">
        <v>0</v>
      </c>
      <c r="BF563">
        <v>0</v>
      </c>
      <c r="BG563">
        <v>0</v>
      </c>
      <c r="BH563">
        <v>0</v>
      </c>
      <c r="BJ563" t="s">
        <v>85</v>
      </c>
      <c r="BP563" t="s">
        <v>78</v>
      </c>
      <c r="BQ563" t="s">
        <v>78</v>
      </c>
      <c r="BR563" t="s">
        <v>78</v>
      </c>
    </row>
    <row r="564" customFormat="1" spans="1:70">
      <c r="A564" t="s">
        <v>4451</v>
      </c>
      <c r="B564" t="s">
        <v>4451</v>
      </c>
      <c r="C564" t="s">
        <v>107</v>
      </c>
      <c r="D564" t="s">
        <v>135</v>
      </c>
      <c r="E564">
        <v>1</v>
      </c>
      <c r="F564" t="s">
        <v>3857</v>
      </c>
      <c r="G564" t="s">
        <v>136</v>
      </c>
      <c r="H564">
        <v>289</v>
      </c>
      <c r="I564">
        <v>289</v>
      </c>
      <c r="J564">
        <v>0</v>
      </c>
      <c r="K564">
        <v>0</v>
      </c>
      <c r="L564" t="s">
        <v>78</v>
      </c>
      <c r="M564" t="s">
        <v>78</v>
      </c>
      <c r="N564" t="s">
        <v>78</v>
      </c>
      <c r="O564">
        <v>0</v>
      </c>
      <c r="P564">
        <v>0</v>
      </c>
      <c r="Q564">
        <v>0</v>
      </c>
      <c r="R564" t="s">
        <v>111</v>
      </c>
      <c r="S564">
        <v>0</v>
      </c>
      <c r="T564" t="s">
        <v>80</v>
      </c>
      <c r="U564" t="s">
        <v>80</v>
      </c>
      <c r="V564" t="s">
        <v>583</v>
      </c>
      <c r="W564" t="s">
        <v>920</v>
      </c>
      <c r="X564" t="s">
        <v>3707</v>
      </c>
      <c r="Y564" t="s">
        <v>3708</v>
      </c>
      <c r="Z564" t="s">
        <v>80</v>
      </c>
      <c r="AA564" t="s">
        <v>85</v>
      </c>
      <c r="AC564" t="s">
        <v>3709</v>
      </c>
      <c r="AD564" t="s">
        <v>87</v>
      </c>
      <c r="AF564" t="s">
        <v>3665</v>
      </c>
      <c r="AG564" t="s">
        <v>3676</v>
      </c>
      <c r="AH564" t="s">
        <v>91</v>
      </c>
      <c r="AI564" t="s">
        <v>92</v>
      </c>
      <c r="AJ564" t="s">
        <v>93</v>
      </c>
      <c r="AK564" t="s">
        <v>3705</v>
      </c>
      <c r="AL564" t="s">
        <v>95</v>
      </c>
      <c r="AM564" t="s">
        <v>96</v>
      </c>
      <c r="AN564" t="s">
        <v>97</v>
      </c>
      <c r="AO564" t="s">
        <v>98</v>
      </c>
      <c r="AP564" t="s">
        <v>78</v>
      </c>
      <c r="AQ564" t="s">
        <v>78</v>
      </c>
      <c r="AS564" t="s">
        <v>78</v>
      </c>
      <c r="AT564" t="s">
        <v>100</v>
      </c>
      <c r="AU564" t="s">
        <v>100</v>
      </c>
      <c r="AW564" t="s">
        <v>85</v>
      </c>
      <c r="AX564" t="s">
        <v>103</v>
      </c>
      <c r="AY564" t="s">
        <v>159</v>
      </c>
      <c r="AZ564" t="s">
        <v>103</v>
      </c>
      <c r="BA564" t="s">
        <v>419</v>
      </c>
      <c r="BB564" t="s">
        <v>78</v>
      </c>
      <c r="BC564" t="s">
        <v>78</v>
      </c>
      <c r="BD564" t="s">
        <v>3668</v>
      </c>
      <c r="BE564">
        <v>0</v>
      </c>
      <c r="BF564">
        <v>0</v>
      </c>
      <c r="BG564">
        <v>0</v>
      </c>
      <c r="BH564">
        <v>0</v>
      </c>
      <c r="BJ564" t="s">
        <v>85</v>
      </c>
      <c r="BP564" t="s">
        <v>78</v>
      </c>
      <c r="BQ564" t="s">
        <v>78</v>
      </c>
      <c r="BR564" t="s">
        <v>78</v>
      </c>
    </row>
    <row r="565" customFormat="1" spans="1:70">
      <c r="A565" t="s">
        <v>4452</v>
      </c>
      <c r="B565" t="s">
        <v>4452</v>
      </c>
      <c r="C565" t="s">
        <v>1050</v>
      </c>
      <c r="D565" t="s">
        <v>2255</v>
      </c>
      <c r="E565">
        <v>1</v>
      </c>
      <c r="F565" t="s">
        <v>3991</v>
      </c>
      <c r="G565" t="s">
        <v>2256</v>
      </c>
      <c r="H565">
        <v>129</v>
      </c>
      <c r="I565">
        <v>129</v>
      </c>
      <c r="J565">
        <v>0</v>
      </c>
      <c r="K565">
        <v>0</v>
      </c>
      <c r="L565" t="s">
        <v>78</v>
      </c>
      <c r="M565" t="s">
        <v>78</v>
      </c>
      <c r="N565" t="s">
        <v>78</v>
      </c>
      <c r="O565">
        <v>0</v>
      </c>
      <c r="P565">
        <v>0</v>
      </c>
      <c r="Q565">
        <v>0</v>
      </c>
      <c r="R565" t="s">
        <v>111</v>
      </c>
      <c r="S565">
        <v>0</v>
      </c>
      <c r="T565" t="s">
        <v>80</v>
      </c>
      <c r="U565" t="s">
        <v>80</v>
      </c>
      <c r="V565" t="s">
        <v>583</v>
      </c>
      <c r="W565" t="s">
        <v>920</v>
      </c>
      <c r="X565" t="s">
        <v>3707</v>
      </c>
      <c r="Y565" t="s">
        <v>3708</v>
      </c>
      <c r="Z565" t="s">
        <v>80</v>
      </c>
      <c r="AA565" t="s">
        <v>85</v>
      </c>
      <c r="AC565" t="s">
        <v>3711</v>
      </c>
      <c r="AD565" t="s">
        <v>87</v>
      </c>
      <c r="AH565" t="s">
        <v>91</v>
      </c>
      <c r="AI565" t="s">
        <v>92</v>
      </c>
      <c r="AJ565" t="s">
        <v>131</v>
      </c>
      <c r="AK565" t="s">
        <v>3712</v>
      </c>
      <c r="AL565" t="s">
        <v>95</v>
      </c>
      <c r="AM565" t="s">
        <v>96</v>
      </c>
      <c r="AN565" t="s">
        <v>97</v>
      </c>
      <c r="AO565" t="s">
        <v>98</v>
      </c>
      <c r="AP565" t="s">
        <v>78</v>
      </c>
      <c r="AQ565" t="s">
        <v>78</v>
      </c>
      <c r="AR565" t="s">
        <v>353</v>
      </c>
      <c r="AS565" t="s">
        <v>78</v>
      </c>
      <c r="AT565" t="s">
        <v>100</v>
      </c>
      <c r="AU565" t="s">
        <v>100</v>
      </c>
      <c r="AW565" t="s">
        <v>85</v>
      </c>
      <c r="AX565" t="s">
        <v>103</v>
      </c>
      <c r="AY565" t="s">
        <v>159</v>
      </c>
      <c r="AZ565" t="s">
        <v>103</v>
      </c>
      <c r="BA565" t="s">
        <v>419</v>
      </c>
      <c r="BB565" t="s">
        <v>78</v>
      </c>
      <c r="BC565" t="s">
        <v>78</v>
      </c>
      <c r="BE565">
        <v>0</v>
      </c>
      <c r="BF565">
        <v>0</v>
      </c>
      <c r="BG565">
        <v>0</v>
      </c>
      <c r="BH565">
        <v>0</v>
      </c>
      <c r="BJ565" t="s">
        <v>85</v>
      </c>
      <c r="BP565" t="s">
        <v>78</v>
      </c>
      <c r="BQ565" t="s">
        <v>78</v>
      </c>
      <c r="BR565" t="s">
        <v>78</v>
      </c>
    </row>
    <row r="566" customFormat="1" spans="1:70">
      <c r="A566" t="s">
        <v>4453</v>
      </c>
      <c r="B566" t="s">
        <v>4453</v>
      </c>
      <c r="C566" t="s">
        <v>107</v>
      </c>
      <c r="D566" t="s">
        <v>108</v>
      </c>
      <c r="E566">
        <v>1</v>
      </c>
      <c r="F566" t="s">
        <v>3857</v>
      </c>
      <c r="G566" t="s">
        <v>110</v>
      </c>
      <c r="H566">
        <v>289</v>
      </c>
      <c r="I566">
        <v>289</v>
      </c>
      <c r="J566">
        <v>0</v>
      </c>
      <c r="K566">
        <v>0</v>
      </c>
      <c r="L566" t="s">
        <v>78</v>
      </c>
      <c r="M566" t="s">
        <v>78</v>
      </c>
      <c r="N566" t="s">
        <v>78</v>
      </c>
      <c r="O566">
        <v>0</v>
      </c>
      <c r="P566">
        <v>0</v>
      </c>
      <c r="Q566">
        <v>0</v>
      </c>
      <c r="R566" t="s">
        <v>125</v>
      </c>
      <c r="S566">
        <v>0</v>
      </c>
      <c r="T566" t="s">
        <v>80</v>
      </c>
      <c r="U566" t="s">
        <v>80</v>
      </c>
      <c r="V566" t="s">
        <v>221</v>
      </c>
      <c r="W566" t="s">
        <v>2406</v>
      </c>
      <c r="X566" t="s">
        <v>3714</v>
      </c>
      <c r="Y566" t="s">
        <v>3715</v>
      </c>
      <c r="Z566" t="s">
        <v>80</v>
      </c>
      <c r="AA566" t="s">
        <v>85</v>
      </c>
      <c r="AC566" t="s">
        <v>3716</v>
      </c>
      <c r="AD566" t="s">
        <v>202</v>
      </c>
      <c r="AE566" t="s">
        <v>3717</v>
      </c>
      <c r="AG566" t="s">
        <v>3718</v>
      </c>
      <c r="AH566" t="s">
        <v>227</v>
      </c>
      <c r="AI566" t="s">
        <v>92</v>
      </c>
      <c r="AJ566" t="s">
        <v>131</v>
      </c>
      <c r="AK566" t="s">
        <v>3719</v>
      </c>
      <c r="AL566" t="s">
        <v>95</v>
      </c>
      <c r="AM566" t="s">
        <v>96</v>
      </c>
      <c r="AN566" t="s">
        <v>97</v>
      </c>
      <c r="AO566" t="s">
        <v>98</v>
      </c>
      <c r="AP566" t="s">
        <v>78</v>
      </c>
      <c r="AQ566" t="s">
        <v>99</v>
      </c>
      <c r="AS566" t="s">
        <v>78</v>
      </c>
      <c r="AT566" t="s">
        <v>100</v>
      </c>
      <c r="AU566" t="s">
        <v>100</v>
      </c>
      <c r="AW566" t="s">
        <v>85</v>
      </c>
      <c r="AX566" t="s">
        <v>101</v>
      </c>
      <c r="AY566" t="s">
        <v>102</v>
      </c>
      <c r="AZ566" t="s">
        <v>103</v>
      </c>
      <c r="BA566" t="s">
        <v>133</v>
      </c>
      <c r="BB566" t="s">
        <v>78</v>
      </c>
      <c r="BC566" t="s">
        <v>78</v>
      </c>
      <c r="BD566" t="s">
        <v>3720</v>
      </c>
      <c r="BE566">
        <v>0</v>
      </c>
      <c r="BF566">
        <v>0</v>
      </c>
      <c r="BG566">
        <v>0</v>
      </c>
      <c r="BH566">
        <v>0</v>
      </c>
      <c r="BJ566" t="s">
        <v>85</v>
      </c>
      <c r="BP566" t="s">
        <v>78</v>
      </c>
      <c r="BQ566" t="s">
        <v>78</v>
      </c>
      <c r="BR566" t="s">
        <v>78</v>
      </c>
    </row>
    <row r="567" customFormat="1" spans="1:70">
      <c r="A567" t="s">
        <v>4454</v>
      </c>
      <c r="B567" t="s">
        <v>4454</v>
      </c>
      <c r="C567" t="s">
        <v>107</v>
      </c>
      <c r="D567" t="s">
        <v>108</v>
      </c>
      <c r="E567">
        <v>1</v>
      </c>
      <c r="F567" t="s">
        <v>3857</v>
      </c>
      <c r="G567" t="s">
        <v>110</v>
      </c>
      <c r="H567">
        <v>289</v>
      </c>
      <c r="I567">
        <v>289</v>
      </c>
      <c r="J567">
        <v>0</v>
      </c>
      <c r="K567">
        <v>0</v>
      </c>
      <c r="L567" t="s">
        <v>78</v>
      </c>
      <c r="M567" t="s">
        <v>78</v>
      </c>
      <c r="N567" t="s">
        <v>78</v>
      </c>
      <c r="O567">
        <v>0</v>
      </c>
      <c r="P567">
        <v>0</v>
      </c>
      <c r="Q567">
        <v>0</v>
      </c>
      <c r="R567" t="s">
        <v>111</v>
      </c>
      <c r="S567">
        <v>0</v>
      </c>
      <c r="T567" t="s">
        <v>80</v>
      </c>
      <c r="U567" t="s">
        <v>80</v>
      </c>
      <c r="V567" t="s">
        <v>112</v>
      </c>
      <c r="W567" t="s">
        <v>113</v>
      </c>
      <c r="X567" t="s">
        <v>816</v>
      </c>
      <c r="Y567" t="s">
        <v>817</v>
      </c>
      <c r="Z567" t="s">
        <v>80</v>
      </c>
      <c r="AA567" t="s">
        <v>85</v>
      </c>
      <c r="AC567" t="s">
        <v>3722</v>
      </c>
      <c r="AD567" t="s">
        <v>87</v>
      </c>
      <c r="AF567" t="s">
        <v>3665</v>
      </c>
      <c r="AG567" t="s">
        <v>3723</v>
      </c>
      <c r="AH567" t="s">
        <v>91</v>
      </c>
      <c r="AI567" t="s">
        <v>92</v>
      </c>
      <c r="AJ567" t="s">
        <v>93</v>
      </c>
      <c r="AK567" t="s">
        <v>3724</v>
      </c>
      <c r="AL567" t="s">
        <v>95</v>
      </c>
      <c r="AM567" t="s">
        <v>96</v>
      </c>
      <c r="AN567" t="s">
        <v>97</v>
      </c>
      <c r="AO567" t="s">
        <v>98</v>
      </c>
      <c r="AP567" t="s">
        <v>78</v>
      </c>
      <c r="AQ567" t="s">
        <v>78</v>
      </c>
      <c r="AS567" t="s">
        <v>78</v>
      </c>
      <c r="AT567" t="s">
        <v>100</v>
      </c>
      <c r="AU567" t="s">
        <v>100</v>
      </c>
      <c r="AW567" t="s">
        <v>85</v>
      </c>
      <c r="AX567" t="s">
        <v>101</v>
      </c>
      <c r="AY567" t="s">
        <v>102</v>
      </c>
      <c r="AZ567" t="s">
        <v>103</v>
      </c>
      <c r="BA567" t="s">
        <v>133</v>
      </c>
      <c r="BB567" t="s">
        <v>78</v>
      </c>
      <c r="BC567" t="s">
        <v>78</v>
      </c>
      <c r="BD567" t="s">
        <v>3668</v>
      </c>
      <c r="BE567">
        <v>0</v>
      </c>
      <c r="BF567">
        <v>0</v>
      </c>
      <c r="BG567">
        <v>0</v>
      </c>
      <c r="BH567">
        <v>0</v>
      </c>
      <c r="BJ567" t="s">
        <v>85</v>
      </c>
      <c r="BP567" t="s">
        <v>78</v>
      </c>
      <c r="BQ567" t="s">
        <v>78</v>
      </c>
      <c r="BR567" t="s">
        <v>78</v>
      </c>
    </row>
    <row r="568" customFormat="1" spans="1:70">
      <c r="A568" t="s">
        <v>4455</v>
      </c>
      <c r="B568" t="s">
        <v>4455</v>
      </c>
      <c r="C568" t="s">
        <v>107</v>
      </c>
      <c r="D568" t="s">
        <v>123</v>
      </c>
      <c r="E568">
        <v>1</v>
      </c>
      <c r="F568" t="s">
        <v>3857</v>
      </c>
      <c r="G568" t="s">
        <v>124</v>
      </c>
      <c r="H568">
        <v>289</v>
      </c>
      <c r="I568">
        <v>289</v>
      </c>
      <c r="J568">
        <v>0</v>
      </c>
      <c r="K568">
        <v>0</v>
      </c>
      <c r="L568" t="s">
        <v>78</v>
      </c>
      <c r="M568" t="s">
        <v>78</v>
      </c>
      <c r="N568" t="s">
        <v>78</v>
      </c>
      <c r="O568">
        <v>0</v>
      </c>
      <c r="P568">
        <v>0</v>
      </c>
      <c r="Q568">
        <v>0</v>
      </c>
      <c r="R568" t="s">
        <v>79</v>
      </c>
      <c r="S568">
        <v>0</v>
      </c>
      <c r="T568" t="s">
        <v>80</v>
      </c>
      <c r="U568" t="s">
        <v>80</v>
      </c>
      <c r="V568" t="s">
        <v>1261</v>
      </c>
      <c r="W568" t="s">
        <v>1262</v>
      </c>
      <c r="X568" t="s">
        <v>1484</v>
      </c>
      <c r="Y568" t="s">
        <v>3726</v>
      </c>
      <c r="Z568" t="s">
        <v>80</v>
      </c>
      <c r="AA568" t="s">
        <v>85</v>
      </c>
      <c r="AC568" t="s">
        <v>3727</v>
      </c>
      <c r="AD568" t="s">
        <v>87</v>
      </c>
      <c r="AF568" t="s">
        <v>3728</v>
      </c>
      <c r="AG568" t="s">
        <v>3729</v>
      </c>
      <c r="AH568" t="s">
        <v>91</v>
      </c>
      <c r="AI568" t="s">
        <v>92</v>
      </c>
      <c r="AJ568" t="s">
        <v>93</v>
      </c>
      <c r="AK568" t="s">
        <v>3730</v>
      </c>
      <c r="AL568" t="s">
        <v>95</v>
      </c>
      <c r="AM568" t="s">
        <v>96</v>
      </c>
      <c r="AN568" t="s">
        <v>97</v>
      </c>
      <c r="AO568" t="s">
        <v>98</v>
      </c>
      <c r="AP568" t="s">
        <v>78</v>
      </c>
      <c r="AQ568" t="s">
        <v>78</v>
      </c>
      <c r="AS568" t="s">
        <v>78</v>
      </c>
      <c r="AT568" t="s">
        <v>100</v>
      </c>
      <c r="AU568" t="s">
        <v>100</v>
      </c>
      <c r="AW568" t="s">
        <v>85</v>
      </c>
      <c r="AX568" t="s">
        <v>101</v>
      </c>
      <c r="AY568" t="s">
        <v>102</v>
      </c>
      <c r="AZ568" t="s">
        <v>103</v>
      </c>
      <c r="BA568" t="s">
        <v>133</v>
      </c>
      <c r="BB568" t="s">
        <v>78</v>
      </c>
      <c r="BC568" t="s">
        <v>78</v>
      </c>
      <c r="BD568" t="s">
        <v>3668</v>
      </c>
      <c r="BE568">
        <v>0</v>
      </c>
      <c r="BF568">
        <v>0</v>
      </c>
      <c r="BG568">
        <v>0</v>
      </c>
      <c r="BH568">
        <v>0</v>
      </c>
      <c r="BJ568" t="s">
        <v>85</v>
      </c>
      <c r="BP568" t="s">
        <v>78</v>
      </c>
      <c r="BQ568" t="s">
        <v>78</v>
      </c>
      <c r="BR568" t="s">
        <v>78</v>
      </c>
    </row>
    <row r="569" customFormat="1" spans="1:70">
      <c r="A569" t="s">
        <v>4456</v>
      </c>
      <c r="B569" t="s">
        <v>4456</v>
      </c>
      <c r="C569" t="s">
        <v>107</v>
      </c>
      <c r="D569" t="s">
        <v>135</v>
      </c>
      <c r="E569">
        <v>1</v>
      </c>
      <c r="F569" t="s">
        <v>3857</v>
      </c>
      <c r="G569" t="s">
        <v>136</v>
      </c>
      <c r="H569">
        <v>289</v>
      </c>
      <c r="I569">
        <v>289</v>
      </c>
      <c r="J569">
        <v>0</v>
      </c>
      <c r="K569">
        <v>0</v>
      </c>
      <c r="L569" t="s">
        <v>78</v>
      </c>
      <c r="M569" t="s">
        <v>78</v>
      </c>
      <c r="N569" t="s">
        <v>78</v>
      </c>
      <c r="O569">
        <v>0</v>
      </c>
      <c r="P569">
        <v>0</v>
      </c>
      <c r="Q569">
        <v>0</v>
      </c>
      <c r="R569" t="s">
        <v>125</v>
      </c>
      <c r="S569">
        <v>0</v>
      </c>
      <c r="T569" t="s">
        <v>80</v>
      </c>
      <c r="U569" t="s">
        <v>80</v>
      </c>
      <c r="V569" t="s">
        <v>574</v>
      </c>
      <c r="W569" t="s">
        <v>574</v>
      </c>
      <c r="X569" t="s">
        <v>2896</v>
      </c>
      <c r="Y569" t="s">
        <v>2897</v>
      </c>
      <c r="Z569" t="s">
        <v>80</v>
      </c>
      <c r="AA569" t="s">
        <v>85</v>
      </c>
      <c r="AC569" t="s">
        <v>3727</v>
      </c>
      <c r="AD569" t="s">
        <v>202</v>
      </c>
      <c r="AE569" t="s">
        <v>3732</v>
      </c>
      <c r="AF569" t="s">
        <v>3733</v>
      </c>
      <c r="AG569" t="s">
        <v>3734</v>
      </c>
      <c r="AH569" t="s">
        <v>91</v>
      </c>
      <c r="AI569" t="s">
        <v>92</v>
      </c>
      <c r="AJ569" t="s">
        <v>93</v>
      </c>
      <c r="AK569" t="s">
        <v>3735</v>
      </c>
      <c r="AL569" t="s">
        <v>95</v>
      </c>
      <c r="AM569" t="s">
        <v>96</v>
      </c>
      <c r="AN569" t="s">
        <v>97</v>
      </c>
      <c r="AO569" t="s">
        <v>98</v>
      </c>
      <c r="AP569" t="s">
        <v>78</v>
      </c>
      <c r="AQ569" t="s">
        <v>99</v>
      </c>
      <c r="AS569" t="s">
        <v>78</v>
      </c>
      <c r="AT569" t="s">
        <v>100</v>
      </c>
      <c r="AU569" t="s">
        <v>100</v>
      </c>
      <c r="AW569" t="s">
        <v>85</v>
      </c>
      <c r="AX569" t="s">
        <v>103</v>
      </c>
      <c r="AY569" t="s">
        <v>159</v>
      </c>
      <c r="AZ569" t="s">
        <v>103</v>
      </c>
      <c r="BA569" t="s">
        <v>419</v>
      </c>
      <c r="BB569" t="s">
        <v>78</v>
      </c>
      <c r="BC569" t="s">
        <v>78</v>
      </c>
      <c r="BD569" t="s">
        <v>3720</v>
      </c>
      <c r="BE569">
        <v>0</v>
      </c>
      <c r="BF569">
        <v>0</v>
      </c>
      <c r="BG569">
        <v>0</v>
      </c>
      <c r="BH569">
        <v>0</v>
      </c>
      <c r="BJ569" t="s">
        <v>85</v>
      </c>
      <c r="BP569" t="s">
        <v>78</v>
      </c>
      <c r="BQ569" t="s">
        <v>78</v>
      </c>
      <c r="BR569" t="s">
        <v>78</v>
      </c>
    </row>
    <row r="570" customFormat="1" spans="1:70">
      <c r="A570" t="s">
        <v>4457</v>
      </c>
      <c r="B570" t="s">
        <v>4457</v>
      </c>
      <c r="C570" t="s">
        <v>107</v>
      </c>
      <c r="D570" t="s">
        <v>123</v>
      </c>
      <c r="E570">
        <v>1</v>
      </c>
      <c r="F570" t="s">
        <v>3857</v>
      </c>
      <c r="G570" t="s">
        <v>124</v>
      </c>
      <c r="H570">
        <v>289</v>
      </c>
      <c r="I570">
        <v>289</v>
      </c>
      <c r="J570">
        <v>0</v>
      </c>
      <c r="K570">
        <v>0</v>
      </c>
      <c r="L570" t="s">
        <v>78</v>
      </c>
      <c r="M570" t="s">
        <v>78</v>
      </c>
      <c r="N570" t="s">
        <v>78</v>
      </c>
      <c r="O570">
        <v>0</v>
      </c>
      <c r="P570">
        <v>0</v>
      </c>
      <c r="Q570">
        <v>0</v>
      </c>
      <c r="R570" t="s">
        <v>111</v>
      </c>
      <c r="S570">
        <v>0</v>
      </c>
      <c r="T570" t="s">
        <v>80</v>
      </c>
      <c r="U570" t="s">
        <v>80</v>
      </c>
      <c r="V570" t="s">
        <v>152</v>
      </c>
      <c r="W570" t="s">
        <v>2101</v>
      </c>
      <c r="X570" t="s">
        <v>2102</v>
      </c>
      <c r="Y570" t="s">
        <v>2103</v>
      </c>
      <c r="Z570" t="s">
        <v>80</v>
      </c>
      <c r="AA570" t="s">
        <v>85</v>
      </c>
      <c r="AC570" t="s">
        <v>3737</v>
      </c>
      <c r="AD570" t="s">
        <v>202</v>
      </c>
      <c r="AE570" t="s">
        <v>3738</v>
      </c>
      <c r="AG570" t="s">
        <v>3734</v>
      </c>
      <c r="AH570" t="s">
        <v>91</v>
      </c>
      <c r="AI570" t="s">
        <v>92</v>
      </c>
      <c r="AJ570" t="s">
        <v>131</v>
      </c>
      <c r="AK570" t="s">
        <v>3730</v>
      </c>
      <c r="AL570" t="s">
        <v>95</v>
      </c>
      <c r="AM570" t="s">
        <v>96</v>
      </c>
      <c r="AN570" t="s">
        <v>97</v>
      </c>
      <c r="AO570" t="s">
        <v>98</v>
      </c>
      <c r="AP570" t="s">
        <v>78</v>
      </c>
      <c r="AQ570" t="s">
        <v>99</v>
      </c>
      <c r="AS570" t="s">
        <v>78</v>
      </c>
      <c r="AT570" t="s">
        <v>100</v>
      </c>
      <c r="AU570" t="s">
        <v>100</v>
      </c>
      <c r="AW570" t="s">
        <v>85</v>
      </c>
      <c r="AX570" t="s">
        <v>101</v>
      </c>
      <c r="AY570" t="s">
        <v>102</v>
      </c>
      <c r="AZ570" t="s">
        <v>103</v>
      </c>
      <c r="BA570" t="s">
        <v>133</v>
      </c>
      <c r="BB570" t="s">
        <v>78</v>
      </c>
      <c r="BC570" t="s">
        <v>78</v>
      </c>
      <c r="BD570" t="s">
        <v>3668</v>
      </c>
      <c r="BE570">
        <v>0</v>
      </c>
      <c r="BF570">
        <v>0</v>
      </c>
      <c r="BG570">
        <v>0</v>
      </c>
      <c r="BH570">
        <v>0</v>
      </c>
      <c r="BJ570" t="s">
        <v>85</v>
      </c>
      <c r="BP570" t="s">
        <v>78</v>
      </c>
      <c r="BQ570" t="s">
        <v>78</v>
      </c>
      <c r="BR570" t="s">
        <v>78</v>
      </c>
    </row>
    <row r="571" customFormat="1" spans="1:70">
      <c r="A571" t="s">
        <v>4458</v>
      </c>
      <c r="B571" t="s">
        <v>4458</v>
      </c>
      <c r="C571" t="s">
        <v>107</v>
      </c>
      <c r="D571" t="s">
        <v>108</v>
      </c>
      <c r="E571">
        <v>1</v>
      </c>
      <c r="F571" t="s">
        <v>3857</v>
      </c>
      <c r="G571" t="s">
        <v>110</v>
      </c>
      <c r="H571">
        <v>289</v>
      </c>
      <c r="I571">
        <v>289</v>
      </c>
      <c r="J571">
        <v>0</v>
      </c>
      <c r="K571">
        <v>0.12</v>
      </c>
      <c r="L571" t="s">
        <v>78</v>
      </c>
      <c r="M571" t="s">
        <v>78</v>
      </c>
      <c r="N571" t="s">
        <v>78</v>
      </c>
      <c r="O571">
        <v>0</v>
      </c>
      <c r="P571">
        <v>0.12</v>
      </c>
      <c r="Q571">
        <v>0</v>
      </c>
      <c r="R571" t="s">
        <v>125</v>
      </c>
      <c r="S571">
        <v>0</v>
      </c>
      <c r="T571" t="s">
        <v>80</v>
      </c>
      <c r="U571" t="s">
        <v>80</v>
      </c>
      <c r="V571" t="s">
        <v>257</v>
      </c>
      <c r="W571" t="s">
        <v>257</v>
      </c>
      <c r="X571" t="s">
        <v>3740</v>
      </c>
      <c r="Y571" t="s">
        <v>3741</v>
      </c>
      <c r="Z571" t="s">
        <v>80</v>
      </c>
      <c r="AA571" t="s">
        <v>85</v>
      </c>
      <c r="AC571" t="s">
        <v>3737</v>
      </c>
      <c r="AD571" t="s">
        <v>202</v>
      </c>
      <c r="AE571" t="s">
        <v>3742</v>
      </c>
      <c r="AG571" t="s">
        <v>3743</v>
      </c>
      <c r="AH571" t="s">
        <v>227</v>
      </c>
      <c r="AI571" t="s">
        <v>92</v>
      </c>
      <c r="AJ571" t="s">
        <v>131</v>
      </c>
      <c r="AK571" t="s">
        <v>3744</v>
      </c>
      <c r="AL571" t="s">
        <v>95</v>
      </c>
      <c r="AM571" t="s">
        <v>96</v>
      </c>
      <c r="AN571" t="s">
        <v>97</v>
      </c>
      <c r="AO571" t="s">
        <v>98</v>
      </c>
      <c r="AP571" t="s">
        <v>78</v>
      </c>
      <c r="AQ571" t="s">
        <v>99</v>
      </c>
      <c r="AS571" t="s">
        <v>78</v>
      </c>
      <c r="AT571" t="s">
        <v>100</v>
      </c>
      <c r="AU571" t="s">
        <v>100</v>
      </c>
      <c r="AW571" t="s">
        <v>85</v>
      </c>
      <c r="AX571" t="s">
        <v>101</v>
      </c>
      <c r="AY571" t="s">
        <v>102</v>
      </c>
      <c r="AZ571" t="s">
        <v>103</v>
      </c>
      <c r="BA571" t="s">
        <v>133</v>
      </c>
      <c r="BB571" t="s">
        <v>78</v>
      </c>
      <c r="BC571" t="s">
        <v>78</v>
      </c>
      <c r="BD571" t="s">
        <v>3668</v>
      </c>
      <c r="BE571">
        <v>0</v>
      </c>
      <c r="BF571">
        <v>0</v>
      </c>
      <c r="BG571">
        <v>0</v>
      </c>
      <c r="BH571">
        <v>0</v>
      </c>
      <c r="BJ571" t="s">
        <v>85</v>
      </c>
      <c r="BP571" t="s">
        <v>78</v>
      </c>
      <c r="BQ571" t="s">
        <v>78</v>
      </c>
      <c r="BR571" t="s">
        <v>78</v>
      </c>
    </row>
    <row r="572" customFormat="1" spans="1:70">
      <c r="A572" t="s">
        <v>4459</v>
      </c>
      <c r="B572" t="s">
        <v>4459</v>
      </c>
      <c r="C572" t="s">
        <v>107</v>
      </c>
      <c r="D572" t="s">
        <v>123</v>
      </c>
      <c r="E572">
        <v>1</v>
      </c>
      <c r="F572" t="s">
        <v>3857</v>
      </c>
      <c r="G572" t="s">
        <v>124</v>
      </c>
      <c r="H572">
        <v>289</v>
      </c>
      <c r="I572">
        <v>289</v>
      </c>
      <c r="J572">
        <v>0</v>
      </c>
      <c r="K572">
        <v>0</v>
      </c>
      <c r="L572" t="s">
        <v>78</v>
      </c>
      <c r="M572" t="s">
        <v>78</v>
      </c>
      <c r="N572" t="s">
        <v>78</v>
      </c>
      <c r="O572">
        <v>0</v>
      </c>
      <c r="P572">
        <v>0</v>
      </c>
      <c r="Q572">
        <v>0</v>
      </c>
      <c r="R572" t="s">
        <v>111</v>
      </c>
      <c r="S572">
        <v>0</v>
      </c>
      <c r="T572" t="s">
        <v>80</v>
      </c>
      <c r="U572" t="s">
        <v>80</v>
      </c>
      <c r="V572" t="s">
        <v>112</v>
      </c>
      <c r="W572" t="s">
        <v>906</v>
      </c>
      <c r="X572" t="s">
        <v>3746</v>
      </c>
      <c r="Y572" t="s">
        <v>3064</v>
      </c>
      <c r="Z572" t="s">
        <v>80</v>
      </c>
      <c r="AA572" t="s">
        <v>85</v>
      </c>
      <c r="AC572" t="s">
        <v>3737</v>
      </c>
      <c r="AD572" t="s">
        <v>87</v>
      </c>
      <c r="AF572" t="s">
        <v>3665</v>
      </c>
      <c r="AG572" t="s">
        <v>3747</v>
      </c>
      <c r="AH572" t="s">
        <v>873</v>
      </c>
      <c r="AI572" t="s">
        <v>92</v>
      </c>
      <c r="AJ572" t="s">
        <v>93</v>
      </c>
      <c r="AK572" t="s">
        <v>3748</v>
      </c>
      <c r="AL572" t="s">
        <v>95</v>
      </c>
      <c r="AM572" t="s">
        <v>96</v>
      </c>
      <c r="AN572" t="s">
        <v>97</v>
      </c>
      <c r="AO572" t="s">
        <v>98</v>
      </c>
      <c r="AP572" t="s">
        <v>78</v>
      </c>
      <c r="AQ572" t="s">
        <v>78</v>
      </c>
      <c r="AS572" t="s">
        <v>78</v>
      </c>
      <c r="AT572" t="s">
        <v>100</v>
      </c>
      <c r="AU572" t="s">
        <v>100</v>
      </c>
      <c r="AW572" t="s">
        <v>85</v>
      </c>
      <c r="AX572" t="s">
        <v>101</v>
      </c>
      <c r="AY572" t="s">
        <v>102</v>
      </c>
      <c r="AZ572" t="s">
        <v>103</v>
      </c>
      <c r="BA572" t="s">
        <v>185</v>
      </c>
      <c r="BB572" t="s">
        <v>78</v>
      </c>
      <c r="BC572" t="s">
        <v>78</v>
      </c>
      <c r="BD572" t="s">
        <v>3668</v>
      </c>
      <c r="BE572">
        <v>0</v>
      </c>
      <c r="BF572">
        <v>0</v>
      </c>
      <c r="BG572">
        <v>0</v>
      </c>
      <c r="BH572">
        <v>0</v>
      </c>
      <c r="BJ572" t="s">
        <v>85</v>
      </c>
      <c r="BP572" t="s">
        <v>78</v>
      </c>
      <c r="BQ572" t="s">
        <v>78</v>
      </c>
      <c r="BR572" t="s">
        <v>78</v>
      </c>
    </row>
    <row r="573" customFormat="1" spans="1:70">
      <c r="A573" t="s">
        <v>4460</v>
      </c>
      <c r="B573" t="s">
        <v>4460</v>
      </c>
      <c r="C573" t="s">
        <v>107</v>
      </c>
      <c r="D573" t="s">
        <v>108</v>
      </c>
      <c r="E573">
        <v>1</v>
      </c>
      <c r="F573" t="s">
        <v>3857</v>
      </c>
      <c r="G573" t="s">
        <v>110</v>
      </c>
      <c r="H573">
        <v>289</v>
      </c>
      <c r="I573">
        <v>289</v>
      </c>
      <c r="J573">
        <v>0</v>
      </c>
      <c r="K573">
        <v>0</v>
      </c>
      <c r="L573" t="s">
        <v>78</v>
      </c>
      <c r="M573" t="s">
        <v>78</v>
      </c>
      <c r="N573" t="s">
        <v>78</v>
      </c>
      <c r="O573">
        <v>0</v>
      </c>
      <c r="P573">
        <v>0</v>
      </c>
      <c r="Q573">
        <v>0</v>
      </c>
      <c r="R573" t="s">
        <v>125</v>
      </c>
      <c r="S573">
        <v>0</v>
      </c>
      <c r="T573" t="s">
        <v>80</v>
      </c>
      <c r="U573" t="s">
        <v>80</v>
      </c>
      <c r="V573" t="s">
        <v>302</v>
      </c>
      <c r="W573" t="s">
        <v>412</v>
      </c>
      <c r="X573" t="s">
        <v>3750</v>
      </c>
      <c r="Y573" t="s">
        <v>3751</v>
      </c>
      <c r="Z573" t="s">
        <v>80</v>
      </c>
      <c r="AA573" t="s">
        <v>85</v>
      </c>
      <c r="AC573" t="s">
        <v>3737</v>
      </c>
      <c r="AD573" t="s">
        <v>362</v>
      </c>
      <c r="AE573" t="s">
        <v>3752</v>
      </c>
      <c r="AF573" t="s">
        <v>3665</v>
      </c>
      <c r="AG573" t="s">
        <v>3727</v>
      </c>
      <c r="AH573" t="s">
        <v>91</v>
      </c>
      <c r="AI573" t="s">
        <v>92</v>
      </c>
      <c r="AJ573" t="s">
        <v>93</v>
      </c>
      <c r="AK573" t="s">
        <v>3753</v>
      </c>
      <c r="AL573" t="s">
        <v>95</v>
      </c>
      <c r="AM573" t="s">
        <v>96</v>
      </c>
      <c r="AN573" t="s">
        <v>97</v>
      </c>
      <c r="AO573" t="s">
        <v>98</v>
      </c>
      <c r="AP573" t="s">
        <v>78</v>
      </c>
      <c r="AQ573" t="s">
        <v>428</v>
      </c>
      <c r="AS573" t="s">
        <v>78</v>
      </c>
      <c r="AT573" t="s">
        <v>100</v>
      </c>
      <c r="AU573" t="s">
        <v>100</v>
      </c>
      <c r="AW573" t="s">
        <v>85</v>
      </c>
      <c r="AX573" t="s">
        <v>101</v>
      </c>
      <c r="AY573" t="s">
        <v>102</v>
      </c>
      <c r="AZ573" t="s">
        <v>103</v>
      </c>
      <c r="BA573" t="s">
        <v>133</v>
      </c>
      <c r="BB573" t="s">
        <v>78</v>
      </c>
      <c r="BC573" t="s">
        <v>78</v>
      </c>
      <c r="BD573" t="s">
        <v>3668</v>
      </c>
      <c r="BE573">
        <v>0</v>
      </c>
      <c r="BF573">
        <v>0</v>
      </c>
      <c r="BG573">
        <v>0</v>
      </c>
      <c r="BH573">
        <v>0</v>
      </c>
      <c r="BJ573" t="s">
        <v>85</v>
      </c>
      <c r="BP573" t="s">
        <v>78</v>
      </c>
      <c r="BQ573" t="s">
        <v>78</v>
      </c>
      <c r="BR573" t="s">
        <v>78</v>
      </c>
    </row>
    <row r="574" customFormat="1" spans="1:70">
      <c r="A574" t="s">
        <v>4461</v>
      </c>
      <c r="B574" t="s">
        <v>4461</v>
      </c>
      <c r="C574" t="s">
        <v>107</v>
      </c>
      <c r="D574" t="s">
        <v>108</v>
      </c>
      <c r="E574">
        <v>1</v>
      </c>
      <c r="F574" t="s">
        <v>3857</v>
      </c>
      <c r="G574" t="s">
        <v>110</v>
      </c>
      <c r="H574">
        <v>289</v>
      </c>
      <c r="I574">
        <v>289</v>
      </c>
      <c r="J574">
        <v>0</v>
      </c>
      <c r="K574">
        <v>0</v>
      </c>
      <c r="L574" t="s">
        <v>78</v>
      </c>
      <c r="M574" t="s">
        <v>78</v>
      </c>
      <c r="N574" t="s">
        <v>78</v>
      </c>
      <c r="O574">
        <v>0</v>
      </c>
      <c r="P574">
        <v>0</v>
      </c>
      <c r="Q574">
        <v>0</v>
      </c>
      <c r="R574" t="s">
        <v>111</v>
      </c>
      <c r="S574">
        <v>0</v>
      </c>
      <c r="T574" t="s">
        <v>80</v>
      </c>
      <c r="U574" t="s">
        <v>80</v>
      </c>
      <c r="V574" t="s">
        <v>161</v>
      </c>
      <c r="W574" t="s">
        <v>161</v>
      </c>
      <c r="X574" t="s">
        <v>162</v>
      </c>
      <c r="Y574" t="s">
        <v>700</v>
      </c>
      <c r="Z574" t="s">
        <v>80</v>
      </c>
      <c r="AA574" t="s">
        <v>85</v>
      </c>
      <c r="AC574" t="s">
        <v>3755</v>
      </c>
      <c r="AD574" t="s">
        <v>87</v>
      </c>
      <c r="AF574" t="s">
        <v>3756</v>
      </c>
      <c r="AG574" t="s">
        <v>3716</v>
      </c>
      <c r="AH574" t="s">
        <v>91</v>
      </c>
      <c r="AI574" t="s">
        <v>92</v>
      </c>
      <c r="AJ574" t="s">
        <v>93</v>
      </c>
      <c r="AK574" t="s">
        <v>3744</v>
      </c>
      <c r="AL574" t="s">
        <v>95</v>
      </c>
      <c r="AM574" t="s">
        <v>96</v>
      </c>
      <c r="AN574" t="s">
        <v>97</v>
      </c>
      <c r="AO574" t="s">
        <v>98</v>
      </c>
      <c r="AP574" t="s">
        <v>78</v>
      </c>
      <c r="AQ574" t="s">
        <v>78</v>
      </c>
      <c r="AS574" t="s">
        <v>78</v>
      </c>
      <c r="AT574" t="s">
        <v>100</v>
      </c>
      <c r="AU574" t="s">
        <v>100</v>
      </c>
      <c r="AW574" t="s">
        <v>85</v>
      </c>
      <c r="AX574" t="s">
        <v>103</v>
      </c>
      <c r="AY574" t="s">
        <v>159</v>
      </c>
      <c r="AZ574" t="s">
        <v>103</v>
      </c>
      <c r="BA574" t="s">
        <v>133</v>
      </c>
      <c r="BB574" t="s">
        <v>78</v>
      </c>
      <c r="BC574" t="s">
        <v>78</v>
      </c>
      <c r="BD574" t="s">
        <v>3720</v>
      </c>
      <c r="BE574">
        <v>0</v>
      </c>
      <c r="BF574">
        <v>0</v>
      </c>
      <c r="BG574">
        <v>0</v>
      </c>
      <c r="BH574">
        <v>0</v>
      </c>
      <c r="BJ574" t="s">
        <v>85</v>
      </c>
      <c r="BP574" t="s">
        <v>78</v>
      </c>
      <c r="BQ574" t="s">
        <v>78</v>
      </c>
      <c r="BR574" t="s">
        <v>78</v>
      </c>
    </row>
    <row r="575" customFormat="1" spans="1:70">
      <c r="A575" t="s">
        <v>4462</v>
      </c>
      <c r="B575" t="s">
        <v>4462</v>
      </c>
      <c r="C575" t="s">
        <v>107</v>
      </c>
      <c r="D575" t="s">
        <v>108</v>
      </c>
      <c r="E575">
        <v>1</v>
      </c>
      <c r="F575" t="s">
        <v>3857</v>
      </c>
      <c r="G575" t="s">
        <v>110</v>
      </c>
      <c r="H575">
        <v>289</v>
      </c>
      <c r="I575">
        <v>289</v>
      </c>
      <c r="J575">
        <v>0</v>
      </c>
      <c r="K575">
        <v>0</v>
      </c>
      <c r="L575" t="s">
        <v>78</v>
      </c>
      <c r="M575" t="s">
        <v>78</v>
      </c>
      <c r="N575" t="s">
        <v>78</v>
      </c>
      <c r="O575">
        <v>0</v>
      </c>
      <c r="P575">
        <v>0</v>
      </c>
      <c r="Q575">
        <v>0</v>
      </c>
      <c r="R575" t="s">
        <v>125</v>
      </c>
      <c r="S575">
        <v>0</v>
      </c>
      <c r="T575" t="s">
        <v>80</v>
      </c>
      <c r="U575" t="s">
        <v>80</v>
      </c>
      <c r="V575" t="s">
        <v>271</v>
      </c>
      <c r="W575" t="s">
        <v>1506</v>
      </c>
      <c r="X575" t="s">
        <v>1507</v>
      </c>
      <c r="Y575" t="s">
        <v>3306</v>
      </c>
      <c r="Z575" t="s">
        <v>80</v>
      </c>
      <c r="AA575" t="s">
        <v>85</v>
      </c>
      <c r="AC575" t="s">
        <v>3755</v>
      </c>
      <c r="AD575" t="s">
        <v>87</v>
      </c>
      <c r="AF575" t="s">
        <v>3665</v>
      </c>
      <c r="AG575" t="s">
        <v>3758</v>
      </c>
      <c r="AH575" t="s">
        <v>227</v>
      </c>
      <c r="AI575" t="s">
        <v>92</v>
      </c>
      <c r="AJ575" t="s">
        <v>93</v>
      </c>
      <c r="AK575" t="s">
        <v>3759</v>
      </c>
      <c r="AL575" t="s">
        <v>95</v>
      </c>
      <c r="AM575" t="s">
        <v>96</v>
      </c>
      <c r="AN575" t="s">
        <v>97</v>
      </c>
      <c r="AO575" t="s">
        <v>98</v>
      </c>
      <c r="AP575" t="s">
        <v>78</v>
      </c>
      <c r="AQ575" t="s">
        <v>78</v>
      </c>
      <c r="AS575" t="s">
        <v>78</v>
      </c>
      <c r="AT575" t="s">
        <v>100</v>
      </c>
      <c r="AU575" t="s">
        <v>100</v>
      </c>
      <c r="AW575" t="s">
        <v>85</v>
      </c>
      <c r="AX575" t="s">
        <v>103</v>
      </c>
      <c r="AY575" t="s">
        <v>159</v>
      </c>
      <c r="AZ575" t="s">
        <v>103</v>
      </c>
      <c r="BA575" t="s">
        <v>104</v>
      </c>
      <c r="BB575" t="s">
        <v>78</v>
      </c>
      <c r="BC575" t="s">
        <v>78</v>
      </c>
      <c r="BD575" t="s">
        <v>3668</v>
      </c>
      <c r="BE575">
        <v>0</v>
      </c>
      <c r="BF575">
        <v>0</v>
      </c>
      <c r="BG575">
        <v>0</v>
      </c>
      <c r="BH575">
        <v>0</v>
      </c>
      <c r="BJ575" t="s">
        <v>85</v>
      </c>
      <c r="BP575" t="s">
        <v>78</v>
      </c>
      <c r="BQ575" t="s">
        <v>78</v>
      </c>
      <c r="BR575" t="s">
        <v>78</v>
      </c>
    </row>
    <row r="576" customFormat="1" spans="1:70">
      <c r="A576" t="s">
        <v>4463</v>
      </c>
      <c r="B576" t="s">
        <v>4463</v>
      </c>
      <c r="C576" t="s">
        <v>107</v>
      </c>
      <c r="D576" t="s">
        <v>135</v>
      </c>
      <c r="E576">
        <v>1</v>
      </c>
      <c r="F576" t="s">
        <v>3857</v>
      </c>
      <c r="G576" t="s">
        <v>136</v>
      </c>
      <c r="H576">
        <v>289</v>
      </c>
      <c r="I576">
        <v>289</v>
      </c>
      <c r="J576">
        <v>0</v>
      </c>
      <c r="K576">
        <v>0</v>
      </c>
      <c r="L576" t="s">
        <v>78</v>
      </c>
      <c r="M576" t="s">
        <v>78</v>
      </c>
      <c r="N576" t="s">
        <v>78</v>
      </c>
      <c r="O576">
        <v>0</v>
      </c>
      <c r="P576">
        <v>0</v>
      </c>
      <c r="Q576">
        <v>0</v>
      </c>
      <c r="R576" t="s">
        <v>79</v>
      </c>
      <c r="S576">
        <v>0</v>
      </c>
      <c r="T576" t="s">
        <v>80</v>
      </c>
      <c r="U576" t="s">
        <v>80</v>
      </c>
      <c r="V576" t="s">
        <v>271</v>
      </c>
      <c r="W576" t="s">
        <v>404</v>
      </c>
      <c r="X576" t="s">
        <v>3761</v>
      </c>
      <c r="Y576" t="s">
        <v>3762</v>
      </c>
      <c r="Z576" t="s">
        <v>80</v>
      </c>
      <c r="AA576" t="s">
        <v>85</v>
      </c>
      <c r="AC576" t="s">
        <v>3763</v>
      </c>
      <c r="AD576" t="s">
        <v>87</v>
      </c>
      <c r="AF576" t="s">
        <v>3756</v>
      </c>
      <c r="AG576" t="s">
        <v>3737</v>
      </c>
      <c r="AH576" t="s">
        <v>227</v>
      </c>
      <c r="AI576" t="s">
        <v>92</v>
      </c>
      <c r="AJ576" t="s">
        <v>93</v>
      </c>
      <c r="AK576" t="s">
        <v>3764</v>
      </c>
      <c r="AL576" t="s">
        <v>95</v>
      </c>
      <c r="AM576" t="s">
        <v>96</v>
      </c>
      <c r="AN576" t="s">
        <v>97</v>
      </c>
      <c r="AO576" t="s">
        <v>98</v>
      </c>
      <c r="AP576" t="s">
        <v>78</v>
      </c>
      <c r="AQ576" t="s">
        <v>78</v>
      </c>
      <c r="AS576" t="s">
        <v>78</v>
      </c>
      <c r="AT576" t="s">
        <v>100</v>
      </c>
      <c r="AU576" t="s">
        <v>100</v>
      </c>
      <c r="AW576" t="s">
        <v>85</v>
      </c>
      <c r="AX576" t="s">
        <v>103</v>
      </c>
      <c r="AY576" t="s">
        <v>159</v>
      </c>
      <c r="AZ576" t="s">
        <v>103</v>
      </c>
      <c r="BA576" t="s">
        <v>133</v>
      </c>
      <c r="BB576" t="s">
        <v>78</v>
      </c>
      <c r="BC576" t="s">
        <v>78</v>
      </c>
      <c r="BD576" t="s">
        <v>3720</v>
      </c>
      <c r="BE576">
        <v>0</v>
      </c>
      <c r="BF576">
        <v>0</v>
      </c>
      <c r="BG576">
        <v>0</v>
      </c>
      <c r="BH576">
        <v>0</v>
      </c>
      <c r="BJ576" t="s">
        <v>85</v>
      </c>
      <c r="BP576" t="s">
        <v>78</v>
      </c>
      <c r="BQ576" t="s">
        <v>78</v>
      </c>
      <c r="BR576" t="s">
        <v>78</v>
      </c>
    </row>
    <row r="577" customFormat="1" spans="1:70">
      <c r="A577" t="s">
        <v>4464</v>
      </c>
      <c r="B577" t="s">
        <v>4464</v>
      </c>
      <c r="C577" t="s">
        <v>107</v>
      </c>
      <c r="D577" t="s">
        <v>108</v>
      </c>
      <c r="E577">
        <v>1</v>
      </c>
      <c r="F577" t="s">
        <v>3857</v>
      </c>
      <c r="G577" t="s">
        <v>110</v>
      </c>
      <c r="H577">
        <v>289</v>
      </c>
      <c r="I577">
        <v>289</v>
      </c>
      <c r="J577">
        <v>0</v>
      </c>
      <c r="K577">
        <v>0</v>
      </c>
      <c r="L577" t="s">
        <v>78</v>
      </c>
      <c r="M577" t="s">
        <v>78</v>
      </c>
      <c r="N577" t="s">
        <v>78</v>
      </c>
      <c r="O577">
        <v>0</v>
      </c>
      <c r="P577">
        <v>0</v>
      </c>
      <c r="Q577">
        <v>0</v>
      </c>
      <c r="R577" t="s">
        <v>125</v>
      </c>
      <c r="S577">
        <v>0</v>
      </c>
      <c r="T577" t="s">
        <v>80</v>
      </c>
      <c r="U577" t="s">
        <v>80</v>
      </c>
      <c r="V577" t="s">
        <v>302</v>
      </c>
      <c r="W577" t="s">
        <v>1394</v>
      </c>
      <c r="X577" t="s">
        <v>2865</v>
      </c>
      <c r="Y577" t="s">
        <v>3766</v>
      </c>
      <c r="Z577" t="s">
        <v>80</v>
      </c>
      <c r="AA577" t="s">
        <v>85</v>
      </c>
      <c r="AC577" t="s">
        <v>3767</v>
      </c>
      <c r="AD577" t="s">
        <v>87</v>
      </c>
      <c r="AF577" t="s">
        <v>3665</v>
      </c>
      <c r="AG577" t="s">
        <v>3763</v>
      </c>
      <c r="AH577" t="s">
        <v>91</v>
      </c>
      <c r="AI577" t="s">
        <v>92</v>
      </c>
      <c r="AJ577" t="s">
        <v>93</v>
      </c>
      <c r="AK577" t="s">
        <v>3768</v>
      </c>
      <c r="AL577" t="s">
        <v>95</v>
      </c>
      <c r="AM577" t="s">
        <v>96</v>
      </c>
      <c r="AN577" t="s">
        <v>97</v>
      </c>
      <c r="AO577" t="s">
        <v>98</v>
      </c>
      <c r="AP577" t="s">
        <v>78</v>
      </c>
      <c r="AQ577" t="s">
        <v>78</v>
      </c>
      <c r="AS577" t="s">
        <v>78</v>
      </c>
      <c r="AT577" t="s">
        <v>100</v>
      </c>
      <c r="AU577" t="s">
        <v>100</v>
      </c>
      <c r="AW577" t="s">
        <v>85</v>
      </c>
      <c r="AX577" t="s">
        <v>101</v>
      </c>
      <c r="AY577" t="s">
        <v>102</v>
      </c>
      <c r="AZ577" t="s">
        <v>103</v>
      </c>
      <c r="BA577" t="s">
        <v>218</v>
      </c>
      <c r="BB577" t="s">
        <v>78</v>
      </c>
      <c r="BC577" t="s">
        <v>78</v>
      </c>
      <c r="BD577" t="s">
        <v>3668</v>
      </c>
      <c r="BE577">
        <v>0</v>
      </c>
      <c r="BF577">
        <v>0</v>
      </c>
      <c r="BG577">
        <v>0</v>
      </c>
      <c r="BH577">
        <v>0</v>
      </c>
      <c r="BJ577" t="s">
        <v>85</v>
      </c>
      <c r="BP577" t="s">
        <v>78</v>
      </c>
      <c r="BQ577" t="s">
        <v>78</v>
      </c>
      <c r="BR577" t="s">
        <v>78</v>
      </c>
    </row>
    <row r="578" customFormat="1" spans="1:70">
      <c r="A578" t="s">
        <v>4465</v>
      </c>
      <c r="B578" t="s">
        <v>4465</v>
      </c>
      <c r="C578" t="s">
        <v>107</v>
      </c>
      <c r="D578" t="s">
        <v>108</v>
      </c>
      <c r="E578">
        <v>1</v>
      </c>
      <c r="F578" t="s">
        <v>3857</v>
      </c>
      <c r="G578" t="s">
        <v>110</v>
      </c>
      <c r="H578">
        <v>289</v>
      </c>
      <c r="I578">
        <v>289</v>
      </c>
      <c r="J578">
        <v>0</v>
      </c>
      <c r="K578">
        <v>0</v>
      </c>
      <c r="L578" t="s">
        <v>78</v>
      </c>
      <c r="M578" t="s">
        <v>78</v>
      </c>
      <c r="N578" t="s">
        <v>78</v>
      </c>
      <c r="O578">
        <v>0</v>
      </c>
      <c r="P578">
        <v>0</v>
      </c>
      <c r="Q578">
        <v>0</v>
      </c>
      <c r="R578" t="s">
        <v>125</v>
      </c>
      <c r="S578">
        <v>0</v>
      </c>
      <c r="T578" t="s">
        <v>80</v>
      </c>
      <c r="U578" t="s">
        <v>80</v>
      </c>
      <c r="V578" t="s">
        <v>302</v>
      </c>
      <c r="W578" t="s">
        <v>412</v>
      </c>
      <c r="X578" t="s">
        <v>2827</v>
      </c>
      <c r="Y578" t="s">
        <v>3770</v>
      </c>
      <c r="Z578" t="s">
        <v>80</v>
      </c>
      <c r="AA578" t="s">
        <v>85</v>
      </c>
      <c r="AC578" t="s">
        <v>3771</v>
      </c>
      <c r="AD578" t="s">
        <v>202</v>
      </c>
      <c r="AE578" t="s">
        <v>3772</v>
      </c>
      <c r="AG578" t="s">
        <v>3763</v>
      </c>
      <c r="AH578" t="s">
        <v>91</v>
      </c>
      <c r="AI578" t="s">
        <v>92</v>
      </c>
      <c r="AJ578" t="s">
        <v>131</v>
      </c>
      <c r="AK578" t="s">
        <v>3773</v>
      </c>
      <c r="AL578" t="s">
        <v>95</v>
      </c>
      <c r="AM578" t="s">
        <v>96</v>
      </c>
      <c r="AN578" t="s">
        <v>97</v>
      </c>
      <c r="AO578" t="s">
        <v>98</v>
      </c>
      <c r="AP578" t="s">
        <v>78</v>
      </c>
      <c r="AQ578" t="s">
        <v>99</v>
      </c>
      <c r="AS578" t="s">
        <v>78</v>
      </c>
      <c r="AT578" t="s">
        <v>100</v>
      </c>
      <c r="AU578" t="s">
        <v>100</v>
      </c>
      <c r="AW578" t="s">
        <v>85</v>
      </c>
      <c r="AX578" t="s">
        <v>103</v>
      </c>
      <c r="AY578" t="s">
        <v>159</v>
      </c>
      <c r="AZ578" t="s">
        <v>103</v>
      </c>
      <c r="BA578" t="s">
        <v>104</v>
      </c>
      <c r="BB578" t="s">
        <v>78</v>
      </c>
      <c r="BC578" t="s">
        <v>78</v>
      </c>
      <c r="BD578" t="s">
        <v>3668</v>
      </c>
      <c r="BE578">
        <v>0</v>
      </c>
      <c r="BF578">
        <v>0</v>
      </c>
      <c r="BG578">
        <v>0</v>
      </c>
      <c r="BH578">
        <v>0</v>
      </c>
      <c r="BJ578" t="s">
        <v>85</v>
      </c>
      <c r="BP578" t="s">
        <v>78</v>
      </c>
      <c r="BQ578" t="s">
        <v>78</v>
      </c>
      <c r="BR578" t="s">
        <v>78</v>
      </c>
    </row>
    <row r="579" customFormat="1" spans="1:70">
      <c r="A579" t="s">
        <v>4466</v>
      </c>
      <c r="B579" t="s">
        <v>4466</v>
      </c>
      <c r="C579" t="s">
        <v>107</v>
      </c>
      <c r="D579" t="s">
        <v>123</v>
      </c>
      <c r="E579">
        <v>1</v>
      </c>
      <c r="F579" t="s">
        <v>3857</v>
      </c>
      <c r="G579" t="s">
        <v>124</v>
      </c>
      <c r="H579">
        <v>289</v>
      </c>
      <c r="I579">
        <v>289</v>
      </c>
      <c r="J579">
        <v>0</v>
      </c>
      <c r="K579">
        <v>0</v>
      </c>
      <c r="L579" t="s">
        <v>78</v>
      </c>
      <c r="M579" t="s">
        <v>78</v>
      </c>
      <c r="N579" t="s">
        <v>78</v>
      </c>
      <c r="O579">
        <v>0</v>
      </c>
      <c r="P579">
        <v>0</v>
      </c>
      <c r="Q579">
        <v>0</v>
      </c>
      <c r="R579" t="s">
        <v>125</v>
      </c>
      <c r="S579">
        <v>0</v>
      </c>
      <c r="T579" t="s">
        <v>80</v>
      </c>
      <c r="U579" t="s">
        <v>80</v>
      </c>
      <c r="V579" t="s">
        <v>1261</v>
      </c>
      <c r="W579" t="s">
        <v>1996</v>
      </c>
      <c r="X579" t="s">
        <v>3775</v>
      </c>
      <c r="Y579" t="s">
        <v>3776</v>
      </c>
      <c r="Z579" t="s">
        <v>80</v>
      </c>
      <c r="AA579" t="s">
        <v>85</v>
      </c>
      <c r="AC579" t="s">
        <v>3771</v>
      </c>
      <c r="AD579" t="s">
        <v>87</v>
      </c>
      <c r="AF579" t="s">
        <v>3756</v>
      </c>
      <c r="AG579" t="s">
        <v>3737</v>
      </c>
      <c r="AH579" t="s">
        <v>91</v>
      </c>
      <c r="AI579" t="s">
        <v>92</v>
      </c>
      <c r="AJ579" t="s">
        <v>93</v>
      </c>
      <c r="AK579" t="s">
        <v>3764</v>
      </c>
      <c r="AL579" t="s">
        <v>95</v>
      </c>
      <c r="AM579" t="s">
        <v>96</v>
      </c>
      <c r="AN579" t="s">
        <v>97</v>
      </c>
      <c r="AO579" t="s">
        <v>98</v>
      </c>
      <c r="AP579" t="s">
        <v>78</v>
      </c>
      <c r="AQ579" t="s">
        <v>78</v>
      </c>
      <c r="AS579" t="s">
        <v>78</v>
      </c>
      <c r="AT579" t="s">
        <v>100</v>
      </c>
      <c r="AU579" t="s">
        <v>100</v>
      </c>
      <c r="AW579" t="s">
        <v>85</v>
      </c>
      <c r="AX579" t="s">
        <v>101</v>
      </c>
      <c r="AY579" t="s">
        <v>102</v>
      </c>
      <c r="AZ579" t="s">
        <v>103</v>
      </c>
      <c r="BA579" t="s">
        <v>104</v>
      </c>
      <c r="BB579" t="s">
        <v>78</v>
      </c>
      <c r="BC579" t="s">
        <v>78</v>
      </c>
      <c r="BD579" t="s">
        <v>3720</v>
      </c>
      <c r="BE579">
        <v>0</v>
      </c>
      <c r="BF579">
        <v>0</v>
      </c>
      <c r="BG579">
        <v>0</v>
      </c>
      <c r="BH579">
        <v>0</v>
      </c>
      <c r="BJ579" t="s">
        <v>85</v>
      </c>
      <c r="BP579" t="s">
        <v>78</v>
      </c>
      <c r="BQ579" t="s">
        <v>78</v>
      </c>
      <c r="BR579" t="s">
        <v>78</v>
      </c>
    </row>
    <row r="580" customFormat="1" spans="1:70">
      <c r="A580" t="s">
        <v>4467</v>
      </c>
      <c r="B580" t="s">
        <v>4467</v>
      </c>
      <c r="C580" t="s">
        <v>107</v>
      </c>
      <c r="D580" t="s">
        <v>135</v>
      </c>
      <c r="E580">
        <v>1</v>
      </c>
      <c r="F580" t="s">
        <v>3857</v>
      </c>
      <c r="G580" t="s">
        <v>136</v>
      </c>
      <c r="H580">
        <v>289</v>
      </c>
      <c r="I580">
        <v>289</v>
      </c>
      <c r="J580">
        <v>0</v>
      </c>
      <c r="K580">
        <v>0</v>
      </c>
      <c r="L580" t="s">
        <v>78</v>
      </c>
      <c r="M580" t="s">
        <v>78</v>
      </c>
      <c r="N580" t="s">
        <v>78</v>
      </c>
      <c r="O580">
        <v>0</v>
      </c>
      <c r="P580">
        <v>0</v>
      </c>
      <c r="Q580">
        <v>0</v>
      </c>
      <c r="R580" t="s">
        <v>79</v>
      </c>
      <c r="S580">
        <v>0</v>
      </c>
      <c r="T580" t="s">
        <v>80</v>
      </c>
      <c r="U580" t="s">
        <v>80</v>
      </c>
      <c r="V580" t="s">
        <v>178</v>
      </c>
      <c r="W580" t="s">
        <v>178</v>
      </c>
      <c r="X580" t="s">
        <v>293</v>
      </c>
      <c r="Y580" t="s">
        <v>294</v>
      </c>
      <c r="Z580" t="s">
        <v>80</v>
      </c>
      <c r="AA580" t="s">
        <v>85</v>
      </c>
      <c r="AC580" t="s">
        <v>3778</v>
      </c>
      <c r="AD580" t="s">
        <v>202</v>
      </c>
      <c r="AE580" t="s">
        <v>3779</v>
      </c>
      <c r="AG580" t="s">
        <v>3767</v>
      </c>
      <c r="AH580" t="s">
        <v>298</v>
      </c>
      <c r="AI580" t="s">
        <v>92</v>
      </c>
      <c r="AJ580" t="s">
        <v>131</v>
      </c>
      <c r="AK580" t="s">
        <v>3780</v>
      </c>
      <c r="AL580" t="s">
        <v>95</v>
      </c>
      <c r="AM580" t="s">
        <v>96</v>
      </c>
      <c r="AN580" t="s">
        <v>97</v>
      </c>
      <c r="AO580" t="s">
        <v>98</v>
      </c>
      <c r="AP580" t="s">
        <v>78</v>
      </c>
      <c r="AQ580" t="s">
        <v>99</v>
      </c>
      <c r="AS580" t="s">
        <v>78</v>
      </c>
      <c r="AT580" t="s">
        <v>100</v>
      </c>
      <c r="AU580" t="s">
        <v>100</v>
      </c>
      <c r="AW580" t="s">
        <v>85</v>
      </c>
      <c r="AX580" t="s">
        <v>101</v>
      </c>
      <c r="AY580" t="s">
        <v>102</v>
      </c>
      <c r="AZ580" t="s">
        <v>103</v>
      </c>
      <c r="BA580" t="s">
        <v>245</v>
      </c>
      <c r="BB580" t="s">
        <v>78</v>
      </c>
      <c r="BC580" t="s">
        <v>78</v>
      </c>
      <c r="BD580" t="s">
        <v>3668</v>
      </c>
      <c r="BE580">
        <v>0</v>
      </c>
      <c r="BF580">
        <v>0</v>
      </c>
      <c r="BG580">
        <v>0</v>
      </c>
      <c r="BH580">
        <v>0</v>
      </c>
      <c r="BJ580" t="s">
        <v>85</v>
      </c>
      <c r="BP580" t="s">
        <v>78</v>
      </c>
      <c r="BQ580" t="s">
        <v>78</v>
      </c>
      <c r="BR580" t="s">
        <v>78</v>
      </c>
    </row>
    <row r="581" customFormat="1" spans="1:70">
      <c r="A581" t="s">
        <v>4468</v>
      </c>
      <c r="B581" t="s">
        <v>4468</v>
      </c>
      <c r="C581" t="s">
        <v>107</v>
      </c>
      <c r="D581" t="s">
        <v>108</v>
      </c>
      <c r="E581">
        <v>1</v>
      </c>
      <c r="F581" t="s">
        <v>3857</v>
      </c>
      <c r="G581" t="s">
        <v>110</v>
      </c>
      <c r="H581">
        <v>289</v>
      </c>
      <c r="I581">
        <v>289</v>
      </c>
      <c r="J581">
        <v>0</v>
      </c>
      <c r="K581">
        <v>0</v>
      </c>
      <c r="L581" t="s">
        <v>78</v>
      </c>
      <c r="M581" t="s">
        <v>78</v>
      </c>
      <c r="N581" t="s">
        <v>78</v>
      </c>
      <c r="O581">
        <v>0</v>
      </c>
      <c r="P581">
        <v>0</v>
      </c>
      <c r="Q581">
        <v>0</v>
      </c>
      <c r="R581" t="s">
        <v>125</v>
      </c>
      <c r="S581">
        <v>0</v>
      </c>
      <c r="T581" t="s">
        <v>80</v>
      </c>
      <c r="U581" t="s">
        <v>80</v>
      </c>
      <c r="V581" t="s">
        <v>271</v>
      </c>
      <c r="W581" t="s">
        <v>939</v>
      </c>
      <c r="X581" t="s">
        <v>3782</v>
      </c>
      <c r="Y581" t="s">
        <v>3783</v>
      </c>
      <c r="Z581" t="s">
        <v>80</v>
      </c>
      <c r="AA581" t="s">
        <v>85</v>
      </c>
      <c r="AC581" t="s">
        <v>3778</v>
      </c>
      <c r="AD581" t="s">
        <v>202</v>
      </c>
      <c r="AE581" t="s">
        <v>3784</v>
      </c>
      <c r="AG581" t="s">
        <v>3722</v>
      </c>
      <c r="AH581" t="s">
        <v>91</v>
      </c>
      <c r="AI581" t="s">
        <v>92</v>
      </c>
      <c r="AJ581" t="s">
        <v>131</v>
      </c>
      <c r="AK581" t="s">
        <v>3785</v>
      </c>
      <c r="AL581" t="s">
        <v>95</v>
      </c>
      <c r="AM581" t="s">
        <v>96</v>
      </c>
      <c r="AN581" t="s">
        <v>97</v>
      </c>
      <c r="AO581" t="s">
        <v>98</v>
      </c>
      <c r="AP581" t="s">
        <v>78</v>
      </c>
      <c r="AQ581" t="s">
        <v>99</v>
      </c>
      <c r="AS581" t="s">
        <v>78</v>
      </c>
      <c r="AT581" t="s">
        <v>100</v>
      </c>
      <c r="AU581" t="s">
        <v>100</v>
      </c>
      <c r="AW581" t="s">
        <v>85</v>
      </c>
      <c r="AX581" t="s">
        <v>101</v>
      </c>
      <c r="AY581" t="s">
        <v>102</v>
      </c>
      <c r="AZ581" t="s">
        <v>103</v>
      </c>
      <c r="BA581" t="s">
        <v>133</v>
      </c>
      <c r="BB581" t="s">
        <v>78</v>
      </c>
      <c r="BC581" t="s">
        <v>78</v>
      </c>
      <c r="BD581" t="s">
        <v>3668</v>
      </c>
      <c r="BE581">
        <v>0</v>
      </c>
      <c r="BF581">
        <v>0</v>
      </c>
      <c r="BG581">
        <v>0</v>
      </c>
      <c r="BH581">
        <v>0</v>
      </c>
      <c r="BJ581" t="s">
        <v>85</v>
      </c>
      <c r="BP581" t="s">
        <v>78</v>
      </c>
      <c r="BQ581" t="s">
        <v>78</v>
      </c>
      <c r="BR581" t="s">
        <v>78</v>
      </c>
    </row>
    <row r="582" customFormat="1" spans="1:70">
      <c r="A582" t="s">
        <v>4469</v>
      </c>
      <c r="B582" t="s">
        <v>4469</v>
      </c>
      <c r="C582" t="s">
        <v>107</v>
      </c>
      <c r="D582" t="s">
        <v>123</v>
      </c>
      <c r="E582">
        <v>1</v>
      </c>
      <c r="F582" t="s">
        <v>3857</v>
      </c>
      <c r="G582" t="s">
        <v>124</v>
      </c>
      <c r="H582">
        <v>289</v>
      </c>
      <c r="I582">
        <v>289</v>
      </c>
      <c r="J582">
        <v>0</v>
      </c>
      <c r="K582">
        <v>0</v>
      </c>
      <c r="L582" t="s">
        <v>78</v>
      </c>
      <c r="M582" t="s">
        <v>78</v>
      </c>
      <c r="N582" t="s">
        <v>78</v>
      </c>
      <c r="O582">
        <v>0</v>
      </c>
      <c r="P582">
        <v>0</v>
      </c>
      <c r="Q582">
        <v>0</v>
      </c>
      <c r="R582" t="s">
        <v>79</v>
      </c>
      <c r="S582">
        <v>0</v>
      </c>
      <c r="T582" t="s">
        <v>80</v>
      </c>
      <c r="U582" t="s">
        <v>80</v>
      </c>
      <c r="V582" t="s">
        <v>464</v>
      </c>
      <c r="W582" t="s">
        <v>1460</v>
      </c>
      <c r="X582" t="s">
        <v>2167</v>
      </c>
      <c r="Y582" t="s">
        <v>2168</v>
      </c>
      <c r="Z582" t="s">
        <v>80</v>
      </c>
      <c r="AA582" t="s">
        <v>85</v>
      </c>
      <c r="AC582" t="s">
        <v>3787</v>
      </c>
      <c r="AD582" t="s">
        <v>202</v>
      </c>
      <c r="AE582" t="s">
        <v>3788</v>
      </c>
      <c r="AF582" t="s">
        <v>3789</v>
      </c>
      <c r="AG582" t="s">
        <v>3778</v>
      </c>
      <c r="AH582" t="s">
        <v>227</v>
      </c>
      <c r="AI582" t="s">
        <v>92</v>
      </c>
      <c r="AJ582" t="s">
        <v>93</v>
      </c>
      <c r="AK582" t="s">
        <v>3790</v>
      </c>
      <c r="AL582" t="s">
        <v>95</v>
      </c>
      <c r="AM582" t="s">
        <v>96</v>
      </c>
      <c r="AN582" t="s">
        <v>97</v>
      </c>
      <c r="AO582" t="s">
        <v>98</v>
      </c>
      <c r="AP582" t="s">
        <v>78</v>
      </c>
      <c r="AQ582" t="s">
        <v>99</v>
      </c>
      <c r="AS582" t="s">
        <v>78</v>
      </c>
      <c r="AT582" t="s">
        <v>100</v>
      </c>
      <c r="AU582" t="s">
        <v>100</v>
      </c>
      <c r="AW582" t="s">
        <v>85</v>
      </c>
      <c r="AX582" t="s">
        <v>103</v>
      </c>
      <c r="AY582" t="s">
        <v>159</v>
      </c>
      <c r="AZ582" t="s">
        <v>103</v>
      </c>
      <c r="BA582" t="s">
        <v>104</v>
      </c>
      <c r="BB582" t="s">
        <v>78</v>
      </c>
      <c r="BC582" t="s">
        <v>78</v>
      </c>
      <c r="BD582" t="s">
        <v>3668</v>
      </c>
      <c r="BE582">
        <v>0</v>
      </c>
      <c r="BF582">
        <v>0</v>
      </c>
      <c r="BG582">
        <v>0</v>
      </c>
      <c r="BH582">
        <v>0</v>
      </c>
      <c r="BJ582" t="s">
        <v>85</v>
      </c>
      <c r="BP582" t="s">
        <v>78</v>
      </c>
      <c r="BQ582" t="s">
        <v>78</v>
      </c>
      <c r="BR582" t="s">
        <v>78</v>
      </c>
    </row>
    <row r="583" customFormat="1" spans="1:70">
      <c r="A583" t="s">
        <v>4470</v>
      </c>
      <c r="B583" t="s">
        <v>4470</v>
      </c>
      <c r="C583" t="s">
        <v>107</v>
      </c>
      <c r="D583" t="s">
        <v>108</v>
      </c>
      <c r="E583">
        <v>1</v>
      </c>
      <c r="F583" t="s">
        <v>3857</v>
      </c>
      <c r="G583" t="s">
        <v>110</v>
      </c>
      <c r="H583">
        <v>289</v>
      </c>
      <c r="I583">
        <v>289</v>
      </c>
      <c r="J583">
        <v>0</v>
      </c>
      <c r="K583">
        <v>0</v>
      </c>
      <c r="L583" t="s">
        <v>78</v>
      </c>
      <c r="M583" t="s">
        <v>78</v>
      </c>
      <c r="N583" t="s">
        <v>78</v>
      </c>
      <c r="O583">
        <v>0</v>
      </c>
      <c r="P583">
        <v>0</v>
      </c>
      <c r="Q583">
        <v>0</v>
      </c>
      <c r="R583" t="s">
        <v>79</v>
      </c>
      <c r="S583">
        <v>0</v>
      </c>
      <c r="T583" t="s">
        <v>80</v>
      </c>
      <c r="U583" t="s">
        <v>80</v>
      </c>
      <c r="V583" t="s">
        <v>138</v>
      </c>
      <c r="W583" t="s">
        <v>3792</v>
      </c>
      <c r="X583" t="s">
        <v>3793</v>
      </c>
      <c r="Y583" t="s">
        <v>1575</v>
      </c>
      <c r="Z583" t="s">
        <v>80</v>
      </c>
      <c r="AA583" t="s">
        <v>85</v>
      </c>
      <c r="AC583" t="s">
        <v>3787</v>
      </c>
      <c r="AD583" t="s">
        <v>202</v>
      </c>
      <c r="AE583" t="s">
        <v>3794</v>
      </c>
      <c r="AF583" t="s">
        <v>3795</v>
      </c>
      <c r="AG583" t="s">
        <v>3771</v>
      </c>
      <c r="AH583" t="s">
        <v>91</v>
      </c>
      <c r="AI583" t="s">
        <v>92</v>
      </c>
      <c r="AJ583" t="s">
        <v>93</v>
      </c>
      <c r="AK583" t="s">
        <v>3796</v>
      </c>
      <c r="AL583" t="s">
        <v>95</v>
      </c>
      <c r="AM583" t="s">
        <v>96</v>
      </c>
      <c r="AN583" t="s">
        <v>97</v>
      </c>
      <c r="AO583" t="s">
        <v>98</v>
      </c>
      <c r="AP583" t="s">
        <v>78</v>
      </c>
      <c r="AQ583" t="s">
        <v>99</v>
      </c>
      <c r="AS583" t="s">
        <v>78</v>
      </c>
      <c r="AT583" t="s">
        <v>100</v>
      </c>
      <c r="AU583" t="s">
        <v>100</v>
      </c>
      <c r="AW583" t="s">
        <v>85</v>
      </c>
      <c r="AX583" t="s">
        <v>101</v>
      </c>
      <c r="AY583" t="s">
        <v>102</v>
      </c>
      <c r="AZ583" t="s">
        <v>103</v>
      </c>
      <c r="BA583" t="s">
        <v>133</v>
      </c>
      <c r="BB583" t="s">
        <v>78</v>
      </c>
      <c r="BC583" t="s">
        <v>78</v>
      </c>
      <c r="BD583" t="s">
        <v>3668</v>
      </c>
      <c r="BE583">
        <v>0</v>
      </c>
      <c r="BF583">
        <v>0</v>
      </c>
      <c r="BG583">
        <v>0</v>
      </c>
      <c r="BH583">
        <v>0</v>
      </c>
      <c r="BJ583" t="s">
        <v>85</v>
      </c>
      <c r="BP583" t="s">
        <v>78</v>
      </c>
      <c r="BQ583" t="s">
        <v>78</v>
      </c>
      <c r="BR583" t="s">
        <v>78</v>
      </c>
    </row>
    <row r="584" customFormat="1" spans="1:70">
      <c r="A584" t="s">
        <v>4471</v>
      </c>
      <c r="B584" t="s">
        <v>4471</v>
      </c>
      <c r="C584" t="s">
        <v>107</v>
      </c>
      <c r="D584" t="s">
        <v>135</v>
      </c>
      <c r="E584">
        <v>1</v>
      </c>
      <c r="F584" t="s">
        <v>3857</v>
      </c>
      <c r="G584" t="s">
        <v>136</v>
      </c>
      <c r="H584">
        <v>289</v>
      </c>
      <c r="I584">
        <v>289</v>
      </c>
      <c r="J584">
        <v>0</v>
      </c>
      <c r="K584">
        <v>0</v>
      </c>
      <c r="L584" t="s">
        <v>78</v>
      </c>
      <c r="M584" t="s">
        <v>78</v>
      </c>
      <c r="N584" t="s">
        <v>78</v>
      </c>
      <c r="O584">
        <v>0</v>
      </c>
      <c r="P584">
        <v>0</v>
      </c>
      <c r="Q584">
        <v>0</v>
      </c>
      <c r="R584" t="s">
        <v>125</v>
      </c>
      <c r="S584">
        <v>0</v>
      </c>
      <c r="T584" t="s">
        <v>80</v>
      </c>
      <c r="U584" t="s">
        <v>80</v>
      </c>
      <c r="V584" t="s">
        <v>161</v>
      </c>
      <c r="W584" t="s">
        <v>161</v>
      </c>
      <c r="X584" t="s">
        <v>822</v>
      </c>
      <c r="Y584" t="s">
        <v>3798</v>
      </c>
      <c r="Z584" t="s">
        <v>80</v>
      </c>
      <c r="AA584" t="s">
        <v>85</v>
      </c>
      <c r="AC584" t="s">
        <v>3799</v>
      </c>
      <c r="AD584" t="s">
        <v>87</v>
      </c>
      <c r="AF584" t="s">
        <v>3800</v>
      </c>
      <c r="AG584" t="s">
        <v>3787</v>
      </c>
      <c r="AH584" t="s">
        <v>91</v>
      </c>
      <c r="AI584" t="s">
        <v>92</v>
      </c>
      <c r="AJ584" t="s">
        <v>93</v>
      </c>
      <c r="AK584" t="s">
        <v>3801</v>
      </c>
      <c r="AL584" t="s">
        <v>95</v>
      </c>
      <c r="AM584" t="s">
        <v>96</v>
      </c>
      <c r="AN584" t="s">
        <v>97</v>
      </c>
      <c r="AO584" t="s">
        <v>98</v>
      </c>
      <c r="AP584" t="s">
        <v>78</v>
      </c>
      <c r="AQ584" t="s">
        <v>78</v>
      </c>
      <c r="AS584" t="s">
        <v>78</v>
      </c>
      <c r="AT584" t="s">
        <v>100</v>
      </c>
      <c r="AU584" t="s">
        <v>100</v>
      </c>
      <c r="AW584" t="s">
        <v>85</v>
      </c>
      <c r="AX584" t="s">
        <v>101</v>
      </c>
      <c r="AY584" t="s">
        <v>102</v>
      </c>
      <c r="AZ584" t="s">
        <v>103</v>
      </c>
      <c r="BA584" t="s">
        <v>104</v>
      </c>
      <c r="BB584" t="s">
        <v>78</v>
      </c>
      <c r="BC584" t="s">
        <v>78</v>
      </c>
      <c r="BD584" t="s">
        <v>3668</v>
      </c>
      <c r="BE584">
        <v>0</v>
      </c>
      <c r="BF584">
        <v>0</v>
      </c>
      <c r="BG584">
        <v>0</v>
      </c>
      <c r="BH584">
        <v>0</v>
      </c>
      <c r="BJ584" t="s">
        <v>85</v>
      </c>
      <c r="BP584" t="s">
        <v>78</v>
      </c>
      <c r="BQ584" t="s">
        <v>78</v>
      </c>
      <c r="BR584" t="s">
        <v>78</v>
      </c>
    </row>
    <row r="585" customFormat="1" spans="1:70">
      <c r="A585" t="s">
        <v>4472</v>
      </c>
      <c r="B585" t="s">
        <v>4472</v>
      </c>
      <c r="C585" t="s">
        <v>1050</v>
      </c>
      <c r="D585" t="s">
        <v>2255</v>
      </c>
      <c r="E585">
        <v>1</v>
      </c>
      <c r="F585" t="s">
        <v>3991</v>
      </c>
      <c r="G585" t="s">
        <v>2256</v>
      </c>
      <c r="H585">
        <v>129</v>
      </c>
      <c r="I585">
        <v>129</v>
      </c>
      <c r="J585">
        <v>0</v>
      </c>
      <c r="K585">
        <v>0</v>
      </c>
      <c r="L585" t="s">
        <v>78</v>
      </c>
      <c r="M585" t="s">
        <v>78</v>
      </c>
      <c r="N585" t="s">
        <v>78</v>
      </c>
      <c r="O585">
        <v>0</v>
      </c>
      <c r="P585">
        <v>0</v>
      </c>
      <c r="Q585">
        <v>0</v>
      </c>
      <c r="R585" t="s">
        <v>125</v>
      </c>
      <c r="S585">
        <v>0</v>
      </c>
      <c r="T585" t="s">
        <v>80</v>
      </c>
      <c r="U585" t="s">
        <v>80</v>
      </c>
      <c r="V585" t="s">
        <v>271</v>
      </c>
      <c r="W585" t="s">
        <v>3803</v>
      </c>
      <c r="X585" t="s">
        <v>3804</v>
      </c>
      <c r="Y585" t="s">
        <v>3805</v>
      </c>
      <c r="Z585" t="s">
        <v>80</v>
      </c>
      <c r="AA585" t="s">
        <v>85</v>
      </c>
      <c r="AC585" t="s">
        <v>3806</v>
      </c>
      <c r="AD585" t="s">
        <v>87</v>
      </c>
      <c r="AG585" t="s">
        <v>3807</v>
      </c>
      <c r="AH585" t="s">
        <v>91</v>
      </c>
      <c r="AI585" t="s">
        <v>92</v>
      </c>
      <c r="AJ585" t="s">
        <v>131</v>
      </c>
      <c r="AK585" t="s">
        <v>3808</v>
      </c>
      <c r="AL585" t="s">
        <v>95</v>
      </c>
      <c r="AM585" t="s">
        <v>96</v>
      </c>
      <c r="AN585" t="s">
        <v>97</v>
      </c>
      <c r="AO585" t="s">
        <v>98</v>
      </c>
      <c r="AP585" t="s">
        <v>78</v>
      </c>
      <c r="AQ585" t="s">
        <v>99</v>
      </c>
      <c r="AS585" t="s">
        <v>78</v>
      </c>
      <c r="AT585" t="s">
        <v>100</v>
      </c>
      <c r="AU585" t="s">
        <v>100</v>
      </c>
      <c r="AW585" t="s">
        <v>85</v>
      </c>
      <c r="AX585" t="s">
        <v>101</v>
      </c>
      <c r="AY585" t="s">
        <v>102</v>
      </c>
      <c r="AZ585" t="s">
        <v>103</v>
      </c>
      <c r="BA585" t="s">
        <v>120</v>
      </c>
      <c r="BB585" t="s">
        <v>78</v>
      </c>
      <c r="BC585" t="s">
        <v>78</v>
      </c>
      <c r="BE585">
        <v>0</v>
      </c>
      <c r="BF585">
        <v>0</v>
      </c>
      <c r="BG585">
        <v>0</v>
      </c>
      <c r="BH585">
        <v>0</v>
      </c>
      <c r="BJ585" t="s">
        <v>85</v>
      </c>
      <c r="BP585" t="s">
        <v>78</v>
      </c>
      <c r="BQ585" t="s">
        <v>78</v>
      </c>
      <c r="BR585" t="s">
        <v>78</v>
      </c>
    </row>
    <row r="586" customFormat="1" spans="1:70">
      <c r="A586" t="s">
        <v>4473</v>
      </c>
      <c r="B586" t="s">
        <v>4473</v>
      </c>
      <c r="C586" t="s">
        <v>1050</v>
      </c>
      <c r="D586" t="s">
        <v>1051</v>
      </c>
      <c r="E586">
        <v>1</v>
      </c>
      <c r="F586" t="s">
        <v>3991</v>
      </c>
      <c r="G586" t="s">
        <v>1053</v>
      </c>
      <c r="H586">
        <v>129</v>
      </c>
      <c r="I586">
        <v>129</v>
      </c>
      <c r="J586">
        <v>0</v>
      </c>
      <c r="K586">
        <v>0</v>
      </c>
      <c r="L586" t="s">
        <v>78</v>
      </c>
      <c r="M586" t="s">
        <v>78</v>
      </c>
      <c r="N586" t="s">
        <v>78</v>
      </c>
      <c r="O586">
        <v>0</v>
      </c>
      <c r="P586">
        <v>0</v>
      </c>
      <c r="Q586">
        <v>0</v>
      </c>
      <c r="R586" t="s">
        <v>125</v>
      </c>
      <c r="S586">
        <v>0</v>
      </c>
      <c r="T586" t="s">
        <v>80</v>
      </c>
      <c r="U586" t="s">
        <v>80</v>
      </c>
      <c r="V586" t="s">
        <v>138</v>
      </c>
      <c r="W586" t="s">
        <v>1438</v>
      </c>
      <c r="X586" t="s">
        <v>3810</v>
      </c>
      <c r="Y586" t="s">
        <v>3811</v>
      </c>
      <c r="Z586" t="s">
        <v>80</v>
      </c>
      <c r="AA586" t="s">
        <v>85</v>
      </c>
      <c r="AC586" t="s">
        <v>3812</v>
      </c>
      <c r="AD586" t="s">
        <v>87</v>
      </c>
      <c r="AH586" t="s">
        <v>2699</v>
      </c>
      <c r="AI586" t="s">
        <v>92</v>
      </c>
      <c r="AJ586" t="s">
        <v>131</v>
      </c>
      <c r="AK586" t="s">
        <v>3813</v>
      </c>
      <c r="AL586" t="s">
        <v>95</v>
      </c>
      <c r="AM586" t="s">
        <v>96</v>
      </c>
      <c r="AN586" t="s">
        <v>97</v>
      </c>
      <c r="AO586" t="s">
        <v>98</v>
      </c>
      <c r="AP586" t="s">
        <v>78</v>
      </c>
      <c r="AQ586" t="s">
        <v>78</v>
      </c>
      <c r="AR586" t="s">
        <v>353</v>
      </c>
      <c r="AS586" t="s">
        <v>78</v>
      </c>
      <c r="AT586" t="s">
        <v>100</v>
      </c>
      <c r="AU586" t="s">
        <v>100</v>
      </c>
      <c r="AW586" t="s">
        <v>85</v>
      </c>
      <c r="AX586" t="s">
        <v>101</v>
      </c>
      <c r="AY586" t="s">
        <v>102</v>
      </c>
      <c r="AZ586" t="s">
        <v>103</v>
      </c>
      <c r="BA586" t="s">
        <v>102</v>
      </c>
      <c r="BB586" t="s">
        <v>78</v>
      </c>
      <c r="BC586" t="s">
        <v>78</v>
      </c>
      <c r="BE586">
        <v>0</v>
      </c>
      <c r="BF586">
        <v>0</v>
      </c>
      <c r="BG586">
        <v>0</v>
      </c>
      <c r="BH586">
        <v>0</v>
      </c>
      <c r="BJ586" t="s">
        <v>85</v>
      </c>
      <c r="BP586" t="s">
        <v>78</v>
      </c>
      <c r="BQ586" t="s">
        <v>78</v>
      </c>
      <c r="BR586" t="s">
        <v>78</v>
      </c>
    </row>
    <row r="587" customFormat="1" spans="1:70">
      <c r="A587" t="s">
        <v>4474</v>
      </c>
      <c r="B587" t="s">
        <v>4474</v>
      </c>
      <c r="C587" t="s">
        <v>1050</v>
      </c>
      <c r="D587" t="s">
        <v>2255</v>
      </c>
      <c r="E587">
        <v>1</v>
      </c>
      <c r="F587" t="s">
        <v>3991</v>
      </c>
      <c r="G587" t="s">
        <v>2256</v>
      </c>
      <c r="H587">
        <v>129</v>
      </c>
      <c r="I587">
        <v>129</v>
      </c>
      <c r="J587">
        <v>0</v>
      </c>
      <c r="K587">
        <v>0</v>
      </c>
      <c r="L587" t="s">
        <v>78</v>
      </c>
      <c r="M587" t="s">
        <v>78</v>
      </c>
      <c r="N587" t="s">
        <v>78</v>
      </c>
      <c r="O587">
        <v>0</v>
      </c>
      <c r="P587">
        <v>0</v>
      </c>
      <c r="Q587">
        <v>0</v>
      </c>
      <c r="R587" t="s">
        <v>125</v>
      </c>
      <c r="S587">
        <v>0</v>
      </c>
      <c r="T587" t="s">
        <v>80</v>
      </c>
      <c r="U587" t="s">
        <v>80</v>
      </c>
      <c r="V587" t="s">
        <v>509</v>
      </c>
      <c r="W587" t="s">
        <v>3512</v>
      </c>
      <c r="X587" t="s">
        <v>3815</v>
      </c>
      <c r="Y587" t="s">
        <v>3816</v>
      </c>
      <c r="Z587" t="s">
        <v>80</v>
      </c>
      <c r="AA587" t="s">
        <v>85</v>
      </c>
      <c r="AC587" t="s">
        <v>3817</v>
      </c>
      <c r="AD587" t="s">
        <v>87</v>
      </c>
      <c r="AH587" t="s">
        <v>227</v>
      </c>
      <c r="AI587" t="s">
        <v>92</v>
      </c>
      <c r="AJ587" t="s">
        <v>131</v>
      </c>
      <c r="AK587" t="s">
        <v>3818</v>
      </c>
      <c r="AL587" t="s">
        <v>95</v>
      </c>
      <c r="AM587" t="s">
        <v>96</v>
      </c>
      <c r="AN587" t="s">
        <v>97</v>
      </c>
      <c r="AO587" t="s">
        <v>98</v>
      </c>
      <c r="AP587" t="s">
        <v>78</v>
      </c>
      <c r="AQ587" t="s">
        <v>78</v>
      </c>
      <c r="AR587" t="s">
        <v>353</v>
      </c>
      <c r="AS587" t="s">
        <v>78</v>
      </c>
      <c r="AT587" t="s">
        <v>100</v>
      </c>
      <c r="AU587" t="s">
        <v>100</v>
      </c>
      <c r="AW587" t="s">
        <v>85</v>
      </c>
      <c r="AX587" t="s">
        <v>103</v>
      </c>
      <c r="AY587" t="s">
        <v>159</v>
      </c>
      <c r="AZ587" t="s">
        <v>103</v>
      </c>
      <c r="BA587" t="s">
        <v>419</v>
      </c>
      <c r="BB587" t="s">
        <v>78</v>
      </c>
      <c r="BC587" t="s">
        <v>78</v>
      </c>
      <c r="BE587">
        <v>0</v>
      </c>
      <c r="BF587">
        <v>0</v>
      </c>
      <c r="BG587">
        <v>0</v>
      </c>
      <c r="BH587">
        <v>0</v>
      </c>
      <c r="BJ587" t="s">
        <v>85</v>
      </c>
      <c r="BP587" t="s">
        <v>78</v>
      </c>
      <c r="BQ587" t="s">
        <v>78</v>
      </c>
      <c r="BR587" t="s">
        <v>78</v>
      </c>
    </row>
    <row r="588" customFormat="1" spans="1:70">
      <c r="A588" t="s">
        <v>4475</v>
      </c>
      <c r="B588" t="s">
        <v>4475</v>
      </c>
      <c r="C588" t="s">
        <v>1050</v>
      </c>
      <c r="D588" t="s">
        <v>1051</v>
      </c>
      <c r="E588">
        <v>1</v>
      </c>
      <c r="F588" t="s">
        <v>3991</v>
      </c>
      <c r="G588" t="s">
        <v>1053</v>
      </c>
      <c r="H588">
        <v>129</v>
      </c>
      <c r="I588">
        <v>129</v>
      </c>
      <c r="J588">
        <v>0</v>
      </c>
      <c r="K588">
        <v>0</v>
      </c>
      <c r="L588" t="s">
        <v>78</v>
      </c>
      <c r="M588" t="s">
        <v>78</v>
      </c>
      <c r="N588" t="s">
        <v>78</v>
      </c>
      <c r="O588">
        <v>0</v>
      </c>
      <c r="P588">
        <v>0</v>
      </c>
      <c r="Q588">
        <v>0</v>
      </c>
      <c r="R588" t="s">
        <v>125</v>
      </c>
      <c r="S588">
        <v>0</v>
      </c>
      <c r="T588" t="s">
        <v>80</v>
      </c>
      <c r="U588" t="s">
        <v>80</v>
      </c>
      <c r="V588" t="s">
        <v>178</v>
      </c>
      <c r="W588" t="s">
        <v>178</v>
      </c>
      <c r="X588" t="s">
        <v>3820</v>
      </c>
      <c r="Y588" t="s">
        <v>3821</v>
      </c>
      <c r="Z588" t="s">
        <v>80</v>
      </c>
      <c r="AA588" t="s">
        <v>85</v>
      </c>
      <c r="AC588" t="s">
        <v>3822</v>
      </c>
      <c r="AD588" t="s">
        <v>87</v>
      </c>
      <c r="AH588" t="s">
        <v>2711</v>
      </c>
      <c r="AI588" t="s">
        <v>92</v>
      </c>
      <c r="AJ588" t="s">
        <v>131</v>
      </c>
      <c r="AK588" t="s">
        <v>3823</v>
      </c>
      <c r="AL588" t="s">
        <v>95</v>
      </c>
      <c r="AM588" t="s">
        <v>96</v>
      </c>
      <c r="AN588" t="s">
        <v>97</v>
      </c>
      <c r="AO588" t="s">
        <v>98</v>
      </c>
      <c r="AP588" t="s">
        <v>78</v>
      </c>
      <c r="AQ588" t="s">
        <v>78</v>
      </c>
      <c r="AR588" t="s">
        <v>353</v>
      </c>
      <c r="AS588" t="s">
        <v>78</v>
      </c>
      <c r="AT588" t="s">
        <v>100</v>
      </c>
      <c r="AU588" t="s">
        <v>100</v>
      </c>
      <c r="AW588" t="s">
        <v>85</v>
      </c>
      <c r="AX588" t="s">
        <v>103</v>
      </c>
      <c r="AY588" t="s">
        <v>159</v>
      </c>
      <c r="AZ588" t="s">
        <v>103</v>
      </c>
      <c r="BA588" t="s">
        <v>102</v>
      </c>
      <c r="BB588" t="s">
        <v>78</v>
      </c>
      <c r="BC588" t="s">
        <v>78</v>
      </c>
      <c r="BE588">
        <v>0</v>
      </c>
      <c r="BF588">
        <v>0</v>
      </c>
      <c r="BG588">
        <v>0</v>
      </c>
      <c r="BH588">
        <v>0</v>
      </c>
      <c r="BJ588" t="s">
        <v>85</v>
      </c>
      <c r="BP588" t="s">
        <v>78</v>
      </c>
      <c r="BQ588" t="s">
        <v>78</v>
      </c>
      <c r="BR588" t="s">
        <v>78</v>
      </c>
    </row>
    <row r="589" customFormat="1" spans="1:70">
      <c r="A589" t="s">
        <v>4476</v>
      </c>
      <c r="B589" t="s">
        <v>4476</v>
      </c>
      <c r="C589" t="s">
        <v>1050</v>
      </c>
      <c r="D589" t="s">
        <v>1377</v>
      </c>
      <c r="E589">
        <v>1</v>
      </c>
      <c r="F589" t="s">
        <v>3991</v>
      </c>
      <c r="G589" t="s">
        <v>1378</v>
      </c>
      <c r="H589">
        <v>129</v>
      </c>
      <c r="I589">
        <v>129</v>
      </c>
      <c r="J589">
        <v>0</v>
      </c>
      <c r="K589">
        <v>0</v>
      </c>
      <c r="L589" t="s">
        <v>78</v>
      </c>
      <c r="M589" t="s">
        <v>78</v>
      </c>
      <c r="N589" t="s">
        <v>78</v>
      </c>
      <c r="O589">
        <v>0</v>
      </c>
      <c r="P589">
        <v>0</v>
      </c>
      <c r="Q589">
        <v>0</v>
      </c>
      <c r="R589" t="s">
        <v>125</v>
      </c>
      <c r="S589">
        <v>0</v>
      </c>
      <c r="T589" t="s">
        <v>80</v>
      </c>
      <c r="U589" t="s">
        <v>80</v>
      </c>
      <c r="V589" t="s">
        <v>81</v>
      </c>
      <c r="W589" t="s">
        <v>82</v>
      </c>
      <c r="X589" t="s">
        <v>3825</v>
      </c>
      <c r="Y589" t="s">
        <v>3826</v>
      </c>
      <c r="Z589" t="s">
        <v>80</v>
      </c>
      <c r="AA589" t="s">
        <v>85</v>
      </c>
      <c r="AC589" t="s">
        <v>3827</v>
      </c>
      <c r="AD589" t="s">
        <v>202</v>
      </c>
      <c r="AE589" t="s">
        <v>3828</v>
      </c>
      <c r="AG589" t="s">
        <v>3829</v>
      </c>
      <c r="AH589" t="s">
        <v>91</v>
      </c>
      <c r="AI589" t="s">
        <v>92</v>
      </c>
      <c r="AJ589" t="s">
        <v>131</v>
      </c>
      <c r="AK589" t="s">
        <v>3830</v>
      </c>
      <c r="AL589" t="s">
        <v>95</v>
      </c>
      <c r="AM589" t="s">
        <v>96</v>
      </c>
      <c r="AN589" t="s">
        <v>97</v>
      </c>
      <c r="AO589" t="s">
        <v>98</v>
      </c>
      <c r="AP589" t="s">
        <v>78</v>
      </c>
      <c r="AQ589" t="s">
        <v>99</v>
      </c>
      <c r="AS589" t="s">
        <v>78</v>
      </c>
      <c r="AT589" t="s">
        <v>100</v>
      </c>
      <c r="AU589" t="s">
        <v>100</v>
      </c>
      <c r="AW589" t="s">
        <v>85</v>
      </c>
      <c r="AX589" t="s">
        <v>103</v>
      </c>
      <c r="AY589" t="s">
        <v>159</v>
      </c>
      <c r="AZ589" t="s">
        <v>103</v>
      </c>
      <c r="BA589" t="s">
        <v>102</v>
      </c>
      <c r="BB589" t="s">
        <v>78</v>
      </c>
      <c r="BC589" t="s">
        <v>78</v>
      </c>
      <c r="BD589" t="s">
        <v>3831</v>
      </c>
      <c r="BE589">
        <v>0</v>
      </c>
      <c r="BF589">
        <v>0</v>
      </c>
      <c r="BG589">
        <v>0</v>
      </c>
      <c r="BH589">
        <v>0</v>
      </c>
      <c r="BJ589" t="s">
        <v>85</v>
      </c>
      <c r="BP589" t="s">
        <v>78</v>
      </c>
      <c r="BQ589" t="s">
        <v>78</v>
      </c>
      <c r="BR589" t="s">
        <v>78</v>
      </c>
    </row>
    <row r="590" customFormat="1" spans="1:70">
      <c r="A590" t="s">
        <v>4477</v>
      </c>
      <c r="B590" t="s">
        <v>4477</v>
      </c>
      <c r="C590" t="s">
        <v>1050</v>
      </c>
      <c r="D590" t="s">
        <v>2255</v>
      </c>
      <c r="E590">
        <v>1</v>
      </c>
      <c r="F590" t="s">
        <v>3991</v>
      </c>
      <c r="G590" t="s">
        <v>2256</v>
      </c>
      <c r="H590">
        <v>129</v>
      </c>
      <c r="I590">
        <v>129</v>
      </c>
      <c r="J590">
        <v>0</v>
      </c>
      <c r="K590">
        <v>0</v>
      </c>
      <c r="L590" t="s">
        <v>78</v>
      </c>
      <c r="M590" t="s">
        <v>78</v>
      </c>
      <c r="N590" t="s">
        <v>78</v>
      </c>
      <c r="O590">
        <v>0</v>
      </c>
      <c r="P590">
        <v>0</v>
      </c>
      <c r="Q590">
        <v>0</v>
      </c>
      <c r="R590" t="s">
        <v>125</v>
      </c>
      <c r="S590">
        <v>0</v>
      </c>
      <c r="T590" t="s">
        <v>80</v>
      </c>
      <c r="U590" t="s">
        <v>80</v>
      </c>
      <c r="V590" t="s">
        <v>556</v>
      </c>
      <c r="W590" t="s">
        <v>3833</v>
      </c>
      <c r="X590" t="s">
        <v>3834</v>
      </c>
      <c r="Y590" t="s">
        <v>3835</v>
      </c>
      <c r="Z590" t="s">
        <v>80</v>
      </c>
      <c r="AA590" t="s">
        <v>85</v>
      </c>
      <c r="AC590" t="s">
        <v>3836</v>
      </c>
      <c r="AD590" t="s">
        <v>87</v>
      </c>
      <c r="AF590" t="s">
        <v>3837</v>
      </c>
      <c r="AG590" t="s">
        <v>3838</v>
      </c>
      <c r="AH590" t="s">
        <v>227</v>
      </c>
      <c r="AI590" t="s">
        <v>92</v>
      </c>
      <c r="AJ590" t="s">
        <v>93</v>
      </c>
      <c r="AK590" t="s">
        <v>3839</v>
      </c>
      <c r="AL590" t="s">
        <v>95</v>
      </c>
      <c r="AM590" t="s">
        <v>96</v>
      </c>
      <c r="AN590" t="s">
        <v>97</v>
      </c>
      <c r="AO590" t="s">
        <v>98</v>
      </c>
      <c r="AP590" t="s">
        <v>78</v>
      </c>
      <c r="AQ590" t="s">
        <v>78</v>
      </c>
      <c r="AS590" t="s">
        <v>78</v>
      </c>
      <c r="AT590" t="s">
        <v>100</v>
      </c>
      <c r="AU590" t="s">
        <v>100</v>
      </c>
      <c r="AW590" t="s">
        <v>85</v>
      </c>
      <c r="AX590" t="s">
        <v>101</v>
      </c>
      <c r="AY590" t="s">
        <v>102</v>
      </c>
      <c r="AZ590" t="s">
        <v>103</v>
      </c>
      <c r="BA590" t="s">
        <v>133</v>
      </c>
      <c r="BB590" t="s">
        <v>78</v>
      </c>
      <c r="BC590" t="s">
        <v>78</v>
      </c>
      <c r="BD590" t="s">
        <v>3840</v>
      </c>
      <c r="BE590">
        <v>0</v>
      </c>
      <c r="BF590">
        <v>0</v>
      </c>
      <c r="BG590">
        <v>0</v>
      </c>
      <c r="BH590">
        <v>0</v>
      </c>
      <c r="BJ590" t="s">
        <v>85</v>
      </c>
      <c r="BP590" t="s">
        <v>78</v>
      </c>
      <c r="BQ590" t="s">
        <v>78</v>
      </c>
      <c r="BR590" t="s">
        <v>78</v>
      </c>
    </row>
    <row r="591" customFormat="1" spans="1:70">
      <c r="A591" t="s">
        <v>4478</v>
      </c>
      <c r="B591" t="s">
        <v>4478</v>
      </c>
      <c r="C591" t="s">
        <v>1050</v>
      </c>
      <c r="D591" t="s">
        <v>1377</v>
      </c>
      <c r="E591">
        <v>1</v>
      </c>
      <c r="F591" t="s">
        <v>3991</v>
      </c>
      <c r="G591" t="s">
        <v>1378</v>
      </c>
      <c r="H591">
        <v>129</v>
      </c>
      <c r="I591">
        <v>129</v>
      </c>
      <c r="J591">
        <v>0</v>
      </c>
      <c r="K591">
        <v>0</v>
      </c>
      <c r="L591" t="s">
        <v>78</v>
      </c>
      <c r="M591" t="s">
        <v>78</v>
      </c>
      <c r="N591" t="s">
        <v>78</v>
      </c>
      <c r="O591">
        <v>0</v>
      </c>
      <c r="P591">
        <v>0</v>
      </c>
      <c r="Q591">
        <v>0</v>
      </c>
      <c r="R591" t="s">
        <v>79</v>
      </c>
      <c r="S591">
        <v>0</v>
      </c>
      <c r="T591" t="s">
        <v>80</v>
      </c>
      <c r="U591" t="s">
        <v>80</v>
      </c>
      <c r="V591" t="s">
        <v>325</v>
      </c>
      <c r="W591" t="s">
        <v>767</v>
      </c>
      <c r="X591" t="s">
        <v>3842</v>
      </c>
      <c r="Y591" t="s">
        <v>3843</v>
      </c>
      <c r="Z591" t="s">
        <v>80</v>
      </c>
      <c r="AA591" t="s">
        <v>85</v>
      </c>
      <c r="AC591" t="s">
        <v>3844</v>
      </c>
      <c r="AD591" t="s">
        <v>87</v>
      </c>
      <c r="AG591" t="s">
        <v>3845</v>
      </c>
      <c r="AH591" t="s">
        <v>91</v>
      </c>
      <c r="AI591" t="s">
        <v>92</v>
      </c>
      <c r="AJ591" t="s">
        <v>131</v>
      </c>
      <c r="AK591" t="s">
        <v>3846</v>
      </c>
      <c r="AL591" t="s">
        <v>95</v>
      </c>
      <c r="AM591" t="s">
        <v>96</v>
      </c>
      <c r="AN591" t="s">
        <v>97</v>
      </c>
      <c r="AO591" t="s">
        <v>98</v>
      </c>
      <c r="AP591" t="s">
        <v>78</v>
      </c>
      <c r="AQ591" t="s">
        <v>99</v>
      </c>
      <c r="AS591" t="s">
        <v>78</v>
      </c>
      <c r="AT591" t="s">
        <v>100</v>
      </c>
      <c r="AU591" t="s">
        <v>100</v>
      </c>
      <c r="AW591" t="s">
        <v>85</v>
      </c>
      <c r="AX591" t="s">
        <v>103</v>
      </c>
      <c r="AY591" t="s">
        <v>159</v>
      </c>
      <c r="AZ591" t="s">
        <v>103</v>
      </c>
      <c r="BA591" t="s">
        <v>419</v>
      </c>
      <c r="BB591" t="s">
        <v>78</v>
      </c>
      <c r="BC591" t="s">
        <v>78</v>
      </c>
      <c r="BE591">
        <v>0</v>
      </c>
      <c r="BF591">
        <v>0</v>
      </c>
      <c r="BG591">
        <v>0</v>
      </c>
      <c r="BH591">
        <v>0</v>
      </c>
      <c r="BJ591" t="s">
        <v>85</v>
      </c>
      <c r="BP591" t="s">
        <v>78</v>
      </c>
      <c r="BQ591" t="s">
        <v>78</v>
      </c>
      <c r="BR591" t="s">
        <v>78</v>
      </c>
    </row>
    <row r="592" customFormat="1" spans="1:70">
      <c r="A592" t="s">
        <v>4479</v>
      </c>
      <c r="B592" t="s">
        <v>4479</v>
      </c>
      <c r="C592" t="s">
        <v>1050</v>
      </c>
      <c r="D592" t="s">
        <v>1189</v>
      </c>
      <c r="E592">
        <v>1</v>
      </c>
      <c r="F592" t="s">
        <v>3991</v>
      </c>
      <c r="G592" t="s">
        <v>1190</v>
      </c>
      <c r="H592">
        <v>129</v>
      </c>
      <c r="I592">
        <v>129</v>
      </c>
      <c r="J592">
        <v>0</v>
      </c>
      <c r="K592">
        <v>0</v>
      </c>
      <c r="L592" t="s">
        <v>78</v>
      </c>
      <c r="M592" t="s">
        <v>78</v>
      </c>
      <c r="N592" t="s">
        <v>78</v>
      </c>
      <c r="O592">
        <v>0</v>
      </c>
      <c r="P592">
        <v>0</v>
      </c>
      <c r="Q592">
        <v>0</v>
      </c>
      <c r="R592" t="s">
        <v>79</v>
      </c>
      <c r="S592">
        <v>0</v>
      </c>
      <c r="T592" t="s">
        <v>80</v>
      </c>
      <c r="U592" t="s">
        <v>80</v>
      </c>
      <c r="V592" t="s">
        <v>325</v>
      </c>
      <c r="W592" t="s">
        <v>796</v>
      </c>
      <c r="X592" t="s">
        <v>797</v>
      </c>
      <c r="Y592" t="s">
        <v>798</v>
      </c>
      <c r="Z592" t="s">
        <v>80</v>
      </c>
      <c r="AA592" t="s">
        <v>85</v>
      </c>
      <c r="AC592" t="s">
        <v>3848</v>
      </c>
      <c r="AD592" t="s">
        <v>87</v>
      </c>
      <c r="AG592" t="s">
        <v>3844</v>
      </c>
      <c r="AH592" t="s">
        <v>91</v>
      </c>
      <c r="AI592" t="s">
        <v>92</v>
      </c>
      <c r="AJ592" t="s">
        <v>131</v>
      </c>
      <c r="AK592" t="s">
        <v>3849</v>
      </c>
      <c r="AL592" t="s">
        <v>95</v>
      </c>
      <c r="AM592" t="s">
        <v>96</v>
      </c>
      <c r="AN592" t="s">
        <v>97</v>
      </c>
      <c r="AO592" t="s">
        <v>98</v>
      </c>
      <c r="AP592" t="s">
        <v>78</v>
      </c>
      <c r="AQ592" t="s">
        <v>99</v>
      </c>
      <c r="AS592" t="s">
        <v>78</v>
      </c>
      <c r="AT592" t="s">
        <v>100</v>
      </c>
      <c r="AU592" t="s">
        <v>100</v>
      </c>
      <c r="AW592" t="s">
        <v>85</v>
      </c>
      <c r="AX592" t="s">
        <v>103</v>
      </c>
      <c r="AY592" t="s">
        <v>159</v>
      </c>
      <c r="AZ592" t="s">
        <v>103</v>
      </c>
      <c r="BA592" t="s">
        <v>104</v>
      </c>
      <c r="BB592" t="s">
        <v>78</v>
      </c>
      <c r="BC592" t="s">
        <v>78</v>
      </c>
      <c r="BE592">
        <v>0</v>
      </c>
      <c r="BF592">
        <v>0</v>
      </c>
      <c r="BG592">
        <v>0</v>
      </c>
      <c r="BH592">
        <v>0</v>
      </c>
      <c r="BJ592" t="s">
        <v>85</v>
      </c>
      <c r="BP592" t="s">
        <v>78</v>
      </c>
      <c r="BQ592" t="s">
        <v>78</v>
      </c>
      <c r="BR592" t="s">
        <v>78</v>
      </c>
    </row>
    <row r="593" customFormat="1" spans="1:70">
      <c r="A593" t="s">
        <v>4480</v>
      </c>
      <c r="B593" t="s">
        <v>4480</v>
      </c>
      <c r="C593" t="s">
        <v>1050</v>
      </c>
      <c r="D593" t="s">
        <v>1377</v>
      </c>
      <c r="E593">
        <v>1</v>
      </c>
      <c r="F593" t="s">
        <v>3991</v>
      </c>
      <c r="G593" t="s">
        <v>1378</v>
      </c>
      <c r="H593">
        <v>129</v>
      </c>
      <c r="I593">
        <v>129</v>
      </c>
      <c r="J593">
        <v>0</v>
      </c>
      <c r="K593">
        <v>0</v>
      </c>
      <c r="L593" t="s">
        <v>78</v>
      </c>
      <c r="M593" t="s">
        <v>78</v>
      </c>
      <c r="N593" t="s">
        <v>78</v>
      </c>
      <c r="O593">
        <v>0</v>
      </c>
      <c r="P593">
        <v>0</v>
      </c>
      <c r="Q593">
        <v>0</v>
      </c>
      <c r="R593" t="s">
        <v>125</v>
      </c>
      <c r="S593">
        <v>0</v>
      </c>
      <c r="T593" t="s">
        <v>80</v>
      </c>
      <c r="U593" t="s">
        <v>80</v>
      </c>
      <c r="V593" t="s">
        <v>189</v>
      </c>
      <c r="W593" t="s">
        <v>3130</v>
      </c>
      <c r="X593" t="s">
        <v>3131</v>
      </c>
      <c r="Y593" t="s">
        <v>3132</v>
      </c>
      <c r="Z593" t="s">
        <v>80</v>
      </c>
      <c r="AA593" t="s">
        <v>85</v>
      </c>
      <c r="AC593" t="s">
        <v>3851</v>
      </c>
      <c r="AD593" t="s">
        <v>87</v>
      </c>
      <c r="AG593" t="s">
        <v>3852</v>
      </c>
      <c r="AH593" t="s">
        <v>91</v>
      </c>
      <c r="AI593" t="s">
        <v>92</v>
      </c>
      <c r="AJ593" t="s">
        <v>131</v>
      </c>
      <c r="AK593" t="s">
        <v>3853</v>
      </c>
      <c r="AL593" t="s">
        <v>95</v>
      </c>
      <c r="AM593" t="s">
        <v>96</v>
      </c>
      <c r="AN593" t="s">
        <v>97</v>
      </c>
      <c r="AO593" t="s">
        <v>98</v>
      </c>
      <c r="AP593" t="s">
        <v>78</v>
      </c>
      <c r="AQ593" t="s">
        <v>99</v>
      </c>
      <c r="AS593" t="s">
        <v>78</v>
      </c>
      <c r="AT593" t="s">
        <v>100</v>
      </c>
      <c r="AU593" t="s">
        <v>100</v>
      </c>
      <c r="AW593" t="s">
        <v>85</v>
      </c>
      <c r="AX593" t="s">
        <v>101</v>
      </c>
      <c r="AY593" t="s">
        <v>102</v>
      </c>
      <c r="AZ593" t="s">
        <v>103</v>
      </c>
      <c r="BA593" t="s">
        <v>245</v>
      </c>
      <c r="BB593" t="s">
        <v>78</v>
      </c>
      <c r="BC593" t="s">
        <v>78</v>
      </c>
      <c r="BE593">
        <v>0</v>
      </c>
      <c r="BF593">
        <v>0</v>
      </c>
      <c r="BG593">
        <v>0</v>
      </c>
      <c r="BH593">
        <v>0</v>
      </c>
      <c r="BJ593" t="s">
        <v>85</v>
      </c>
      <c r="BP593" t="s">
        <v>78</v>
      </c>
      <c r="BQ593" t="s">
        <v>78</v>
      </c>
      <c r="BR593" t="s">
        <v>78</v>
      </c>
    </row>
  </sheetData>
  <autoFilter xmlns:etc="http://www.wps.cn/officeDocument/2017/etCustomData" ref="A1:BU59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97"/>
  <sheetViews>
    <sheetView tabSelected="1" zoomScale="80" zoomScaleNormal="80" workbookViewId="0">
      <pane xSplit="15" ySplit="2" topLeftCell="P3" activePane="bottomRight" state="frozen"/>
      <selection/>
      <selection pane="topRight"/>
      <selection pane="bottomLeft"/>
      <selection pane="bottomRight" activeCell="R10" sqref="R10"/>
    </sheetView>
  </sheetViews>
  <sheetFormatPr defaultColWidth="8.84615384615385" defaultRowHeight="16.8"/>
  <cols>
    <col min="1" max="2" width="8.81730769230769" style="2" customWidth="1"/>
    <col min="3" max="3" width="22.4615384615385" customWidth="1"/>
    <col min="4" max="4" width="19.2211538461538" customWidth="1"/>
    <col min="5" max="5" width="25.8365384615385" customWidth="1"/>
    <col min="6" max="6" width="21.6442307692308" customWidth="1"/>
    <col min="7" max="7" width="18.0192307692308" customWidth="1"/>
    <col min="9" max="9" width="9.14423076923077" customWidth="1"/>
    <col min="11" max="11" width="10.0673076923077" customWidth="1"/>
    <col min="12" max="12" width="12.9519230769231" customWidth="1"/>
    <col min="13" max="13" width="14.2115384615385" customWidth="1"/>
    <col min="14" max="14" width="9.86538461538461" customWidth="1"/>
    <col min="15" max="15" width="13.8942307692308"/>
    <col min="16" max="16" width="14.0192307692308" style="3" customWidth="1"/>
    <col min="17" max="17" width="13.0192307692308" style="3" customWidth="1"/>
    <col min="18" max="18" width="17.3173076923077" style="4" customWidth="1"/>
    <col min="19" max="20" width="22.9519230769231" style="4" customWidth="1"/>
    <col min="21" max="22" width="9.47115384615385" style="4"/>
    <col min="23" max="23" width="23.75" style="4" customWidth="1"/>
    <col min="24" max="24" width="9.47115384615385" style="4"/>
    <col min="25" max="25" width="17.3173076923077" style="4" customWidth="1"/>
    <col min="26" max="26" width="9.47115384615385" style="4"/>
    <col min="27" max="27" width="49.7980769230769" style="4" customWidth="1"/>
    <col min="28" max="38" width="9.47115384615385" style="4"/>
    <col min="39" max="41" width="9.47115384615385" style="5"/>
    <col min="42" max="48" width="9.47115384615385" style="4"/>
    <col min="49" max="50" width="9.47115384615385" style="5"/>
    <col min="51" max="60" width="9.47115384615385" style="4"/>
    <col min="61" max="61" width="22.3173076923077" style="4" customWidth="1"/>
    <col min="62" max="62" width="9.47115384615385" style="4"/>
  </cols>
  <sheetData>
    <row r="1" s="1" customFormat="1" ht="34" spans="1:62">
      <c r="A1" s="6"/>
      <c r="B1" s="6"/>
      <c r="F1" s="7"/>
      <c r="G1" s="1"/>
      <c r="P1" s="8"/>
      <c r="Q1" s="8"/>
      <c r="R1" s="8" t="s">
        <v>4481</v>
      </c>
      <c r="S1" s="8" t="s">
        <v>4482</v>
      </c>
      <c r="T1" s="8" t="s">
        <v>4483</v>
      </c>
      <c r="U1" s="8" t="s">
        <v>4484</v>
      </c>
      <c r="V1" s="8" t="s">
        <v>4485</v>
      </c>
      <c r="W1" s="8" t="s">
        <v>4486</v>
      </c>
      <c r="X1" s="8" t="s">
        <v>4487</v>
      </c>
      <c r="Y1" s="8" t="s">
        <v>4488</v>
      </c>
      <c r="Z1" s="8" t="s">
        <v>5</v>
      </c>
      <c r="AA1" s="8" t="s">
        <v>4489</v>
      </c>
      <c r="AB1" s="8" t="s">
        <v>4</v>
      </c>
      <c r="AC1" s="8" t="s">
        <v>39</v>
      </c>
      <c r="AD1" s="8" t="s">
        <v>4490</v>
      </c>
      <c r="AE1" s="8" t="s">
        <v>4491</v>
      </c>
      <c r="AF1" s="8" t="s">
        <v>37</v>
      </c>
      <c r="AG1" s="8" t="s">
        <v>4492</v>
      </c>
      <c r="AH1" s="8" t="s">
        <v>4493</v>
      </c>
      <c r="AI1" s="8" t="s">
        <v>9</v>
      </c>
      <c r="AJ1" s="8" t="s">
        <v>4494</v>
      </c>
      <c r="AK1" s="8" t="s">
        <v>4495</v>
      </c>
      <c r="AL1" s="8" t="s">
        <v>4496</v>
      </c>
      <c r="AM1" s="9" t="s">
        <v>4497</v>
      </c>
      <c r="AN1" s="9" t="s">
        <v>4498</v>
      </c>
      <c r="AO1" s="9" t="s">
        <v>4499</v>
      </c>
      <c r="AP1" s="8" t="s">
        <v>4500</v>
      </c>
      <c r="AQ1" s="8" t="s">
        <v>4501</v>
      </c>
      <c r="AR1" s="8" t="s">
        <v>4502</v>
      </c>
      <c r="AS1" s="8" t="s">
        <v>4503</v>
      </c>
      <c r="AT1" s="8" t="s">
        <v>4504</v>
      </c>
      <c r="AU1" s="8" t="s">
        <v>4505</v>
      </c>
      <c r="AV1" s="8" t="s">
        <v>4506</v>
      </c>
      <c r="AW1" s="9" t="s">
        <v>4507</v>
      </c>
      <c r="AX1" s="9" t="s">
        <v>4508</v>
      </c>
      <c r="AY1" s="10" t="s">
        <v>4509</v>
      </c>
      <c r="AZ1" s="10" t="s">
        <v>4510</v>
      </c>
      <c r="BA1" s="10" t="s">
        <v>4511</v>
      </c>
      <c r="BB1" s="10" t="s">
        <v>4512</v>
      </c>
      <c r="BC1" s="10" t="s">
        <v>4513</v>
      </c>
      <c r="BD1" s="10" t="s">
        <v>4514</v>
      </c>
      <c r="BE1" s="10" t="s">
        <v>4515</v>
      </c>
      <c r="BF1" s="10" t="s">
        <v>4516</v>
      </c>
      <c r="BG1" s="8" t="s">
        <v>4517</v>
      </c>
      <c r="BH1" s="8" t="s">
        <v>4518</v>
      </c>
      <c r="BI1" s="8" t="s">
        <v>4519</v>
      </c>
      <c r="BJ1" s="8" t="s">
        <v>4520</v>
      </c>
    </row>
    <row r="2" s="1" customFormat="1" ht="16" customHeight="1" spans="1:62">
      <c r="A2" s="11" t="s">
        <v>4521</v>
      </c>
      <c r="B2" s="12" t="s">
        <v>4522</v>
      </c>
      <c r="C2" s="12" t="s">
        <v>4482</v>
      </c>
      <c r="D2" s="12" t="s">
        <v>4523</v>
      </c>
      <c r="E2" s="12" t="s">
        <v>4524</v>
      </c>
      <c r="F2" s="13" t="s">
        <v>4525</v>
      </c>
      <c r="G2" s="14" t="s">
        <v>4526</v>
      </c>
      <c r="H2" s="12" t="s">
        <v>4527</v>
      </c>
      <c r="I2" s="12" t="s">
        <v>4528</v>
      </c>
      <c r="J2" s="12" t="s">
        <v>4529</v>
      </c>
      <c r="K2" s="15" t="s">
        <v>4530</v>
      </c>
      <c r="L2" s="12" t="s">
        <v>4531</v>
      </c>
      <c r="M2" s="12" t="s">
        <v>4532</v>
      </c>
      <c r="N2" s="12" t="s">
        <v>4533</v>
      </c>
      <c r="O2" s="12" t="s">
        <v>4534</v>
      </c>
      <c r="P2" s="16" t="s">
        <v>4535</v>
      </c>
      <c r="Q2" s="16" t="s">
        <v>4536</v>
      </c>
      <c r="R2" s="8" t="s">
        <v>4537</v>
      </c>
      <c r="S2" s="8" t="s">
        <v>4537</v>
      </c>
      <c r="T2" s="8" t="s">
        <v>4537</v>
      </c>
      <c r="U2" s="8" t="s">
        <v>4538</v>
      </c>
      <c r="V2" s="8" t="s">
        <v>4537</v>
      </c>
      <c r="W2" s="8" t="s">
        <v>4537</v>
      </c>
      <c r="X2" s="8" t="s">
        <v>4537</v>
      </c>
      <c r="Y2" s="8" t="s">
        <v>4537</v>
      </c>
      <c r="Z2" s="8" t="s">
        <v>4537</v>
      </c>
      <c r="AA2" s="8" t="s">
        <v>4537</v>
      </c>
      <c r="AB2" s="8" t="s">
        <v>4537</v>
      </c>
      <c r="AC2" s="8" t="s">
        <v>4537</v>
      </c>
      <c r="AD2" s="8" t="s">
        <v>4537</v>
      </c>
      <c r="AE2" s="8" t="s">
        <v>4537</v>
      </c>
      <c r="AF2" s="8" t="s">
        <v>4537</v>
      </c>
      <c r="AG2" s="8" t="s">
        <v>4539</v>
      </c>
      <c r="AH2" s="8" t="s">
        <v>4537</v>
      </c>
      <c r="AI2" s="8" t="s">
        <v>4537</v>
      </c>
      <c r="AJ2" s="8" t="s">
        <v>4540</v>
      </c>
      <c r="AK2" s="8" t="s">
        <v>4541</v>
      </c>
      <c r="AL2" s="8" t="s">
        <v>4542</v>
      </c>
      <c r="AM2" s="9" t="s">
        <v>4537</v>
      </c>
      <c r="AN2" s="9" t="s">
        <v>4543</v>
      </c>
      <c r="AO2" s="9" t="s">
        <v>4544</v>
      </c>
      <c r="AP2" s="8" t="s">
        <v>4537</v>
      </c>
      <c r="AQ2" s="8" t="s">
        <v>4537</v>
      </c>
      <c r="AR2" s="8" t="s">
        <v>4537</v>
      </c>
      <c r="AS2" s="8" t="s">
        <v>4537</v>
      </c>
      <c r="AT2" s="8" t="s">
        <v>4537</v>
      </c>
      <c r="AU2" s="8" t="s">
        <v>4537</v>
      </c>
      <c r="AV2" s="8" t="s">
        <v>4537</v>
      </c>
      <c r="AW2" s="9" t="s">
        <v>4545</v>
      </c>
      <c r="AX2" s="9" t="s">
        <v>4546</v>
      </c>
      <c r="AY2" s="8" t="s">
        <v>4547</v>
      </c>
      <c r="AZ2" s="8" t="s">
        <v>4548</v>
      </c>
      <c r="BA2" s="8" t="s">
        <v>4549</v>
      </c>
      <c r="BB2" s="8" t="s">
        <v>4550</v>
      </c>
      <c r="BC2" s="8" t="s">
        <v>4551</v>
      </c>
      <c r="BD2" s="8" t="s">
        <v>4552</v>
      </c>
      <c r="BE2" s="8" t="s">
        <v>4537</v>
      </c>
      <c r="BF2" s="8" t="s">
        <v>4553</v>
      </c>
      <c r="BG2" s="8" t="s">
        <v>4554</v>
      </c>
      <c r="BH2" s="8" t="s">
        <v>4555</v>
      </c>
      <c r="BI2" s="8" t="s">
        <v>4537</v>
      </c>
      <c r="BJ2" s="8" t="s">
        <v>4537</v>
      </c>
    </row>
    <row r="3" spans="1:62">
      <c r="A3">
        <f>YEAR(R3)</f>
        <v>2025</v>
      </c>
      <c r="B3">
        <f>MONTH(R3)</f>
        <v>8</v>
      </c>
      <c r="C3" s="21" t="str">
        <f>S3</f>
        <v>6944909511565579469</v>
      </c>
      <c r="F3" cm="1">
        <f t="array" ref="F3">IFERROR(INDEX('抖音订单-按支付日期-ABF列，要先手动清除空格'!G:G,MATCH(RIGHT(S3,LEN(S3)-1)&amp;RIGHT(T3,LEN(T3)-1)&amp;RIGHT(Z3,LEN(Z3)-1),'抖音订单-按支付日期-ABF列，要先手动清除空格'!A:A&amp;'抖音订单-按支付日期-ABF列，要先手动清除空格'!B:B&amp;'抖音订单-按支付日期-ABF列，要先手动清除空格'!F:F,0)),0)</f>
        <v>0</v>
      </c>
      <c r="G3" s="17" t="str">
        <f>IFERROR(SUBSTITUTE(CLEAN(LEFT(F3,FIND("-",F3)-1))," ",""),"")</f>
        <v/>
      </c>
      <c r="H3" cm="1">
        <f t="array" ref="H3">IFERROR(_xlfn.IFS(AND(W3="已结算",AW3&gt;30),AB3,LEFT(W3,5)="结算后退款",-AB3,LEFT(W3,5)="保证金退款",0),0)</f>
        <v>1</v>
      </c>
      <c r="I3">
        <f>AV3-K3</f>
        <v>289</v>
      </c>
      <c r="J3">
        <f>SUM(AM3:AU3)</f>
        <v>0</v>
      </c>
      <c r="K3">
        <f>AI3</f>
        <v>0</v>
      </c>
      <c r="L3">
        <f>AX3</f>
        <v>-14.45</v>
      </c>
      <c r="M3">
        <f>SUM(AY3:BD3)</f>
        <v>0</v>
      </c>
      <c r="O3">
        <f>SUM(I3:N3)</f>
        <v>274.55</v>
      </c>
      <c r="R3" s="18">
        <v>45884.7251388889</v>
      </c>
      <c r="S3" s="22" t="s">
        <v>4471</v>
      </c>
      <c r="T3" s="4" t="s">
        <v>4556</v>
      </c>
      <c r="U3" s="4">
        <v>274.55</v>
      </c>
      <c r="V3" s="4" t="s">
        <v>4557</v>
      </c>
      <c r="W3" s="4" t="s">
        <v>4558</v>
      </c>
      <c r="X3" s="4" t="s">
        <v>85</v>
      </c>
      <c r="Y3" s="18">
        <v>45872.6609143519</v>
      </c>
      <c r="Z3" s="4" t="s">
        <v>4559</v>
      </c>
      <c r="AA3" s="4" t="s">
        <v>4560</v>
      </c>
      <c r="AB3" s="4">
        <v>1</v>
      </c>
      <c r="AC3" s="4" t="s">
        <v>4561</v>
      </c>
      <c r="AD3" s="4" t="s">
        <v>98</v>
      </c>
      <c r="AE3" s="4" t="s">
        <v>92</v>
      </c>
      <c r="AF3" s="4" t="s">
        <v>95</v>
      </c>
      <c r="AG3" s="4">
        <v>289</v>
      </c>
      <c r="AH3" s="4">
        <v>289</v>
      </c>
      <c r="AI3" s="4">
        <v>0</v>
      </c>
      <c r="AJ3" s="4">
        <v>0</v>
      </c>
      <c r="AK3" s="4">
        <v>0</v>
      </c>
      <c r="AL3" s="4">
        <v>0</v>
      </c>
      <c r="AM3" s="5">
        <v>0</v>
      </c>
      <c r="AN3" s="5">
        <v>0</v>
      </c>
      <c r="AO3" s="5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289</v>
      </c>
      <c r="AW3" s="5">
        <v>289</v>
      </c>
      <c r="AX3" s="5">
        <v>-14.45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F3" s="4">
        <v>-14.45</v>
      </c>
      <c r="BH3" s="4">
        <v>0</v>
      </c>
      <c r="BI3" s="4" t="s">
        <v>4562</v>
      </c>
    </row>
    <row r="4" spans="1:62">
      <c r="A4">
        <f t="shared" ref="A4:A67" si="0">YEAR(R4)</f>
        <v>2025</v>
      </c>
      <c r="B4">
        <f t="shared" ref="B4:B67" si="1">MONTH(R4)</f>
        <v>8</v>
      </c>
      <c r="C4" t="str">
        <f t="shared" ref="C4:C67" si="2">S4</f>
        <v>'6920625548926615460</v>
      </c>
      <c r="F4" t="str" cm="1">
        <f t="array" ref="F4">IFERROR(INDEX('抖音订单-按支付日期-ABF列，要先手动清除空格'!G:G,MATCH(RIGHT(S4,LEN(S4)-1)&amp;RIGHT(T4,LEN(T4)-1)&amp;RIGHT(Z4,LEN(Z4)-1),'抖音订单-按支付日期-ABF列，要先手动清除空格'!A:A&amp;'抖音订单-按支付日期-ABF列，要先手动清除空格'!B:B&amp;'抖音订单-按支付日期-ABF列，要先手动清除空格'!F:F,0)),0)</f>
        <v>	Z1578-黑色-S</v>
      </c>
      <c r="G4" s="17" t="str">
        <f t="shared" ref="G4:G67" si="3">IFERROR(SUBSTITUTE(CLEAN(LEFT(F4,FIND("-",F4)-1))," ",""),"")</f>
        <v>Z1578</v>
      </c>
      <c r="H4" cm="1">
        <f t="array" ref="H4">IFERROR(_xlfn.IFS(AND(W4="已结算",AW4&gt;30),AB4,LEFT(W4,5)="结算后退款",-AB4,LEFT(W4,5)="保证金退款",0),0)</f>
        <v>1</v>
      </c>
      <c r="I4">
        <f t="shared" ref="I4:I67" si="4">AV4-K4</f>
        <v>289</v>
      </c>
      <c r="J4">
        <f t="shared" ref="J4:J67" si="5">SUM(AM4:AU4)</f>
        <v>0</v>
      </c>
      <c r="K4">
        <f t="shared" ref="K4:K67" si="6">AI4</f>
        <v>0</v>
      </c>
      <c r="L4">
        <f t="shared" ref="L4:L67" si="7">AX4</f>
        <v>-14.45</v>
      </c>
      <c r="M4">
        <f t="shared" ref="M4:M67" si="8">SUM(AY4:BD4)</f>
        <v>0</v>
      </c>
      <c r="O4">
        <f t="shared" ref="O4:O67" si="9">SUM(I4:N4)</f>
        <v>274.55</v>
      </c>
      <c r="R4" s="18">
        <v>45885.5779976852</v>
      </c>
      <c r="S4" s="4" t="s">
        <v>4563</v>
      </c>
      <c r="T4" s="4" t="s">
        <v>4563</v>
      </c>
      <c r="U4" s="4">
        <v>274.55</v>
      </c>
      <c r="V4" s="4" t="s">
        <v>4557</v>
      </c>
      <c r="W4" s="4" t="s">
        <v>4558</v>
      </c>
      <c r="X4" s="4" t="s">
        <v>85</v>
      </c>
      <c r="Y4" s="18">
        <v>45874.6621296296</v>
      </c>
      <c r="Z4" s="4" t="s">
        <v>4564</v>
      </c>
      <c r="AA4" s="4" t="s">
        <v>4565</v>
      </c>
      <c r="AB4" s="4">
        <v>1</v>
      </c>
      <c r="AC4" s="4" t="s">
        <v>4561</v>
      </c>
      <c r="AD4" s="4" t="s">
        <v>98</v>
      </c>
      <c r="AE4" s="4" t="s">
        <v>92</v>
      </c>
      <c r="AF4" s="4" t="s">
        <v>95</v>
      </c>
      <c r="AG4" s="4">
        <v>289</v>
      </c>
      <c r="AH4" s="4">
        <v>289</v>
      </c>
      <c r="AI4" s="4">
        <v>0</v>
      </c>
      <c r="AJ4" s="4">
        <v>0</v>
      </c>
      <c r="AK4" s="4">
        <v>0</v>
      </c>
      <c r="AL4" s="4">
        <v>0</v>
      </c>
      <c r="AM4" s="5">
        <v>0</v>
      </c>
      <c r="AN4" s="5">
        <v>0</v>
      </c>
      <c r="AO4" s="5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289</v>
      </c>
      <c r="AW4" s="5">
        <v>289</v>
      </c>
      <c r="AX4" s="5">
        <v>-14.45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F4" s="4">
        <v>-14.45</v>
      </c>
      <c r="BH4" s="4">
        <v>0</v>
      </c>
      <c r="BI4" s="4" t="s">
        <v>4562</v>
      </c>
    </row>
    <row r="5" spans="1:62">
      <c r="A5">
        <f t="shared" si="0"/>
        <v>2025</v>
      </c>
      <c r="B5">
        <f t="shared" si="1"/>
        <v>8</v>
      </c>
      <c r="C5" t="str">
        <f t="shared" si="2"/>
        <v>'6944946092181821002</v>
      </c>
      <c r="F5" t="str" cm="1">
        <f t="array" ref="F5">IFERROR(INDEX('抖音订单-按支付日期-ABF列，要先手动清除空格'!G:G,MATCH(RIGHT(S5,LEN(S5)-1)&amp;RIGHT(T5,LEN(T5)-1)&amp;RIGHT(Z5,LEN(Z5)-1),'抖音订单-按支付日期-ABF列，要先手动清除空格'!A:A&amp;'抖音订单-按支付日期-ABF列，要先手动清除空格'!B:B&amp;'抖音订单-按支付日期-ABF列，要先手动清除空格'!F:F,0)),0)</f>
        <v>	Z1578-黑色-L</v>
      </c>
      <c r="G5" s="17" t="str">
        <f t="shared" si="3"/>
        <v>Z1578</v>
      </c>
      <c r="H5" cm="1">
        <f t="array" ref="H5">IFERROR(_xlfn.IFS(AND(W5="已结算",AW5&gt;30),AB5,LEFT(W5,5)="结算后退款",-AB5,LEFT(W5,5)="保证金退款",0),0)</f>
        <v>1</v>
      </c>
      <c r="I5">
        <f t="shared" si="4"/>
        <v>289</v>
      </c>
      <c r="J5">
        <f t="shared" si="5"/>
        <v>0</v>
      </c>
      <c r="K5">
        <f t="shared" si="6"/>
        <v>0</v>
      </c>
      <c r="L5">
        <f t="shared" si="7"/>
        <v>-14.45</v>
      </c>
      <c r="M5">
        <f t="shared" si="8"/>
        <v>0</v>
      </c>
      <c r="O5">
        <f t="shared" si="9"/>
        <v>274.55</v>
      </c>
      <c r="R5" s="18">
        <v>45885.6187384259</v>
      </c>
      <c r="S5" s="4" t="s">
        <v>4566</v>
      </c>
      <c r="T5" s="4" t="s">
        <v>4566</v>
      </c>
      <c r="U5" s="4">
        <v>274.55</v>
      </c>
      <c r="V5" s="4" t="s">
        <v>4557</v>
      </c>
      <c r="W5" s="4" t="s">
        <v>4558</v>
      </c>
      <c r="X5" s="4" t="s">
        <v>85</v>
      </c>
      <c r="Y5" s="18">
        <v>45874.6619444444</v>
      </c>
      <c r="Z5" s="4" t="s">
        <v>4564</v>
      </c>
      <c r="AA5" s="4" t="s">
        <v>4565</v>
      </c>
      <c r="AB5" s="4">
        <v>1</v>
      </c>
      <c r="AC5" s="4" t="s">
        <v>4561</v>
      </c>
      <c r="AD5" s="4" t="s">
        <v>98</v>
      </c>
      <c r="AE5" s="4" t="s">
        <v>92</v>
      </c>
      <c r="AF5" s="4" t="s">
        <v>95</v>
      </c>
      <c r="AG5" s="4">
        <v>289</v>
      </c>
      <c r="AH5" s="4">
        <v>289</v>
      </c>
      <c r="AI5" s="4">
        <v>0</v>
      </c>
      <c r="AJ5" s="4">
        <v>0</v>
      </c>
      <c r="AK5" s="4">
        <v>0</v>
      </c>
      <c r="AL5" s="4">
        <v>0</v>
      </c>
      <c r="AM5" s="5">
        <v>0</v>
      </c>
      <c r="AN5" s="5">
        <v>0</v>
      </c>
      <c r="AO5" s="5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289</v>
      </c>
      <c r="AW5" s="5">
        <v>289</v>
      </c>
      <c r="AX5" s="5">
        <v>-14.45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F5" s="4">
        <v>-14.45</v>
      </c>
      <c r="BH5" s="4">
        <v>0</v>
      </c>
      <c r="BI5" s="4" t="s">
        <v>4562</v>
      </c>
    </row>
    <row r="6" spans="1:62">
      <c r="A6">
        <f t="shared" si="0"/>
        <v>2025</v>
      </c>
      <c r="B6">
        <f t="shared" si="1"/>
        <v>8</v>
      </c>
      <c r="C6" t="str">
        <f t="shared" si="2"/>
        <v>'6920588865561066923</v>
      </c>
      <c r="F6" t="str" cm="1">
        <f t="array" ref="F6">IFERROR(INDEX('抖音订单-按支付日期-ABF列，要先手动清除空格'!G:G,MATCH(RIGHT(S6,LEN(S6)-1)&amp;RIGHT(T6,LEN(T6)-1)&amp;RIGHT(Z6,LEN(Z6)-1),'抖音订单-按支付日期-ABF列，要先手动清除空格'!A:A&amp;'抖音订单-按支付日期-ABF列，要先手动清除空格'!B:B&amp;'抖音订单-按支付日期-ABF列，要先手动清除空格'!F:F,0)),0)</f>
        <v>	Z1640-黑色-S</v>
      </c>
      <c r="G6" s="17" t="str">
        <f t="shared" si="3"/>
        <v>Z1640</v>
      </c>
      <c r="H6" cm="1">
        <f t="array" ref="H6">IFERROR(_xlfn.IFS(AND(W6="已结算",AW6&gt;30),AB6,LEFT(W6,5)="结算后退款",-AB6,LEFT(W6,5)="保证金退款",0),0)</f>
        <v>1</v>
      </c>
      <c r="I6">
        <f t="shared" si="4"/>
        <v>289</v>
      </c>
      <c r="J6">
        <f t="shared" si="5"/>
        <v>0</v>
      </c>
      <c r="K6">
        <f t="shared" si="6"/>
        <v>0</v>
      </c>
      <c r="L6">
        <f t="shared" si="7"/>
        <v>-14.45</v>
      </c>
      <c r="M6">
        <f t="shared" si="8"/>
        <v>0</v>
      </c>
      <c r="O6">
        <f t="shared" si="9"/>
        <v>274.55</v>
      </c>
      <c r="R6" s="18">
        <v>45885.6917939815</v>
      </c>
      <c r="S6" s="4" t="s">
        <v>4567</v>
      </c>
      <c r="T6" s="4" t="s">
        <v>4567</v>
      </c>
      <c r="U6" s="4">
        <v>274.55</v>
      </c>
      <c r="V6" s="4" t="s">
        <v>4557</v>
      </c>
      <c r="W6" s="4" t="s">
        <v>4558</v>
      </c>
      <c r="X6" s="4" t="s">
        <v>85</v>
      </c>
      <c r="Y6" s="18">
        <v>45872.6622337963</v>
      </c>
      <c r="Z6" s="4" t="s">
        <v>4559</v>
      </c>
      <c r="AA6" s="4" t="s">
        <v>4560</v>
      </c>
      <c r="AB6" s="4">
        <v>1</v>
      </c>
      <c r="AC6" s="4" t="s">
        <v>4561</v>
      </c>
      <c r="AD6" s="4" t="s">
        <v>98</v>
      </c>
      <c r="AE6" s="4" t="s">
        <v>92</v>
      </c>
      <c r="AF6" s="4" t="s">
        <v>95</v>
      </c>
      <c r="AG6" s="4">
        <v>289</v>
      </c>
      <c r="AH6" s="4">
        <v>289</v>
      </c>
      <c r="AI6" s="4">
        <v>0</v>
      </c>
      <c r="AJ6" s="4">
        <v>0</v>
      </c>
      <c r="AK6" s="4">
        <v>0</v>
      </c>
      <c r="AL6" s="4">
        <v>0</v>
      </c>
      <c r="AM6" s="5">
        <v>0</v>
      </c>
      <c r="AN6" s="5">
        <v>0</v>
      </c>
      <c r="AO6" s="5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289</v>
      </c>
      <c r="AW6" s="5">
        <v>289</v>
      </c>
      <c r="AX6" s="5">
        <v>-14.45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F6" s="4">
        <v>-14.45</v>
      </c>
      <c r="BH6" s="4">
        <v>0</v>
      </c>
      <c r="BI6" s="4" t="s">
        <v>4562</v>
      </c>
    </row>
    <row r="7" spans="1:62">
      <c r="A7">
        <f t="shared" si="0"/>
        <v>2025</v>
      </c>
      <c r="B7">
        <f t="shared" si="1"/>
        <v>8</v>
      </c>
      <c r="C7" t="str">
        <f t="shared" si="2"/>
        <v>'6944948490935997505</v>
      </c>
      <c r="F7" t="str" cm="1">
        <f t="array" ref="F7">IFERROR(INDEX('抖音订单-按支付日期-ABF列，要先手动清除空格'!G:G,MATCH(RIGHT(S7,LEN(S7)-1)&amp;RIGHT(T7,LEN(T7)-1)&amp;RIGHT(Z7,LEN(Z7)-1),'抖音订单-按支付日期-ABF列，要先手动清除空格'!A:A&amp;'抖音订单-按支付日期-ABF列，要先手动清除空格'!B:B&amp;'抖音订单-按支付日期-ABF列，要先手动清除空格'!F:F,0)),0)</f>
        <v>	Z1578-黑色-M</v>
      </c>
      <c r="G7" s="17" t="str">
        <f t="shared" si="3"/>
        <v>Z1578</v>
      </c>
      <c r="H7" cm="1">
        <f t="array" ref="H7">IFERROR(_xlfn.IFS(AND(W7="已结算",AW7&gt;30),AB7,LEFT(W7,5)="结算后退款",-AB7,LEFT(W7,5)="保证金退款",0),0)</f>
        <v>1</v>
      </c>
      <c r="I7">
        <f t="shared" si="4"/>
        <v>289</v>
      </c>
      <c r="J7">
        <f t="shared" si="5"/>
        <v>0</v>
      </c>
      <c r="K7">
        <f t="shared" si="6"/>
        <v>0</v>
      </c>
      <c r="L7">
        <f t="shared" si="7"/>
        <v>-14.45</v>
      </c>
      <c r="M7">
        <f t="shared" si="8"/>
        <v>0</v>
      </c>
      <c r="O7">
        <f t="shared" si="9"/>
        <v>274.55</v>
      </c>
      <c r="R7" s="18">
        <v>45885.7340277778</v>
      </c>
      <c r="S7" s="4" t="s">
        <v>4568</v>
      </c>
      <c r="T7" s="4" t="s">
        <v>4568</v>
      </c>
      <c r="U7" s="4">
        <v>274.55</v>
      </c>
      <c r="V7" s="4" t="s">
        <v>4557</v>
      </c>
      <c r="W7" s="4" t="s">
        <v>4558</v>
      </c>
      <c r="X7" s="4" t="s">
        <v>85</v>
      </c>
      <c r="Y7" s="18">
        <v>45874.661875</v>
      </c>
      <c r="Z7" s="4" t="s">
        <v>4564</v>
      </c>
      <c r="AA7" s="4" t="s">
        <v>4565</v>
      </c>
      <c r="AB7" s="4">
        <v>1</v>
      </c>
      <c r="AC7" s="4" t="s">
        <v>4561</v>
      </c>
      <c r="AD7" s="4" t="s">
        <v>98</v>
      </c>
      <c r="AE7" s="4" t="s">
        <v>92</v>
      </c>
      <c r="AF7" s="4" t="s">
        <v>95</v>
      </c>
      <c r="AG7" s="4">
        <v>289</v>
      </c>
      <c r="AH7" s="4">
        <v>289</v>
      </c>
      <c r="AI7" s="4">
        <v>0</v>
      </c>
      <c r="AJ7" s="4">
        <v>0</v>
      </c>
      <c r="AK7" s="4">
        <v>0</v>
      </c>
      <c r="AL7" s="4">
        <v>0</v>
      </c>
      <c r="AM7" s="5">
        <v>0</v>
      </c>
      <c r="AN7" s="5">
        <v>0</v>
      </c>
      <c r="AO7" s="5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289</v>
      </c>
      <c r="AW7" s="5">
        <v>289</v>
      </c>
      <c r="AX7" s="5">
        <v>-14.45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F7" s="4">
        <v>-14.45</v>
      </c>
      <c r="BH7" s="4">
        <v>0</v>
      </c>
      <c r="BI7" s="4" t="s">
        <v>4562</v>
      </c>
    </row>
    <row r="8" spans="1:62">
      <c r="A8">
        <f t="shared" si="0"/>
        <v>2025</v>
      </c>
      <c r="B8">
        <f t="shared" si="1"/>
        <v>8</v>
      </c>
      <c r="C8" t="str">
        <f t="shared" si="2"/>
        <v>'6945101402919081899</v>
      </c>
      <c r="F8" t="str" cm="1">
        <f t="array" ref="F8">IFERROR(INDEX('抖音订单-按支付日期-ABF列，要先手动清除空格'!G:G,MATCH(RIGHT(S8,LEN(S8)-1)&amp;RIGHT(T8,LEN(T8)-1)&amp;RIGHT(Z8,LEN(Z8)-1),'抖音订单-按支付日期-ABF列，要先手动清除空格'!A:A&amp;'抖音订单-按支付日期-ABF列，要先手动清除空格'!B:B&amp;'抖音订单-按支付日期-ABF列，要先手动清除空格'!F:F,0)),0)</f>
        <v>	Z1688-黑色-L</v>
      </c>
      <c r="G8" s="17" t="str">
        <f t="shared" si="3"/>
        <v>Z1688</v>
      </c>
      <c r="H8" cm="1">
        <f t="array" ref="H8">IFERROR(_xlfn.IFS(AND(W8="已结算",AW8&gt;30),AB8,LEFT(W8,5)="结算后退款",-AB8,LEFT(W8,5)="保证金退款",0),0)</f>
        <v>1</v>
      </c>
      <c r="I8">
        <f t="shared" si="4"/>
        <v>499</v>
      </c>
      <c r="J8">
        <f t="shared" si="5"/>
        <v>0</v>
      </c>
      <c r="K8">
        <f t="shared" si="6"/>
        <v>0</v>
      </c>
      <c r="L8">
        <f t="shared" si="7"/>
        <v>-24.95</v>
      </c>
      <c r="M8">
        <f t="shared" si="8"/>
        <v>0</v>
      </c>
      <c r="O8">
        <f t="shared" si="9"/>
        <v>474.05</v>
      </c>
      <c r="R8" s="18">
        <v>45886.5728703704</v>
      </c>
      <c r="S8" s="4" t="s">
        <v>4569</v>
      </c>
      <c r="T8" s="4" t="s">
        <v>4569</v>
      </c>
      <c r="U8" s="4">
        <v>474.05</v>
      </c>
      <c r="V8" s="4" t="s">
        <v>4557</v>
      </c>
      <c r="W8" s="4" t="s">
        <v>4558</v>
      </c>
      <c r="X8" s="4" t="s">
        <v>85</v>
      </c>
      <c r="Y8" s="18">
        <v>45879.6670949074</v>
      </c>
      <c r="Z8" s="4" t="s">
        <v>4570</v>
      </c>
      <c r="AA8" s="4" t="s">
        <v>4571</v>
      </c>
      <c r="AB8" s="4">
        <v>1</v>
      </c>
      <c r="AC8" s="4" t="s">
        <v>4561</v>
      </c>
      <c r="AD8" s="4" t="s">
        <v>98</v>
      </c>
      <c r="AE8" s="4" t="s">
        <v>92</v>
      </c>
      <c r="AF8" s="4" t="s">
        <v>95</v>
      </c>
      <c r="AG8" s="4">
        <v>499</v>
      </c>
      <c r="AH8" s="4">
        <v>499</v>
      </c>
      <c r="AI8" s="4">
        <v>0</v>
      </c>
      <c r="AJ8" s="4">
        <v>0</v>
      </c>
      <c r="AK8" s="4">
        <v>0</v>
      </c>
      <c r="AL8" s="4">
        <v>0</v>
      </c>
      <c r="AM8" s="5">
        <v>0</v>
      </c>
      <c r="AN8" s="5">
        <v>0</v>
      </c>
      <c r="AO8" s="5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499</v>
      </c>
      <c r="AW8" s="5">
        <v>499</v>
      </c>
      <c r="AX8" s="5">
        <v>-24.95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F8" s="4">
        <v>-24.95</v>
      </c>
      <c r="BH8" s="4">
        <v>0</v>
      </c>
      <c r="BI8" s="4" t="s">
        <v>4562</v>
      </c>
    </row>
    <row r="9" spans="1:62">
      <c r="A9">
        <f t="shared" si="0"/>
        <v>2025</v>
      </c>
      <c r="B9">
        <f t="shared" si="1"/>
        <v>8</v>
      </c>
      <c r="C9" t="str">
        <f t="shared" si="2"/>
        <v>'6944916130719602370</v>
      </c>
      <c r="F9" t="str" cm="1">
        <f t="array" ref="F9">IFERROR(INDEX('抖音订单-按支付日期-ABF列，要先手动清除空格'!G:G,MATCH(RIGHT(S9,LEN(S9)-1)&amp;RIGHT(T9,LEN(T9)-1)&amp;RIGHT(Z9,LEN(Z9)-1),'抖音订单-按支付日期-ABF列，要先手动清除空格'!A:A&amp;'抖音订单-按支付日期-ABF列，要先手动清除空格'!B:B&amp;'抖音订单-按支付日期-ABF列，要先手动清除空格'!F:F,0)),0)</f>
        <v>	Z2219-灰绿色-M</v>
      </c>
      <c r="G9" s="17" t="str">
        <f t="shared" si="3"/>
        <v>Z2219</v>
      </c>
      <c r="H9" cm="1">
        <f t="array" ref="H9">IFERROR(_xlfn.IFS(AND(W9="已结算",AW9&gt;30),AB9,LEFT(W9,5)="结算后退款",-AB9,LEFT(W9,5)="保证金退款",0),0)</f>
        <v>1</v>
      </c>
      <c r="I9">
        <f t="shared" si="4"/>
        <v>239</v>
      </c>
      <c r="J9">
        <f t="shared" si="5"/>
        <v>0</v>
      </c>
      <c r="K9">
        <f t="shared" si="6"/>
        <v>0</v>
      </c>
      <c r="L9">
        <f t="shared" si="7"/>
        <v>-11.95</v>
      </c>
      <c r="M9">
        <f t="shared" si="8"/>
        <v>0</v>
      </c>
      <c r="O9">
        <f t="shared" si="9"/>
        <v>227.05</v>
      </c>
      <c r="R9" s="18">
        <v>45886.7377546296</v>
      </c>
      <c r="S9" s="4" t="s">
        <v>4572</v>
      </c>
      <c r="T9" s="4" t="s">
        <v>4572</v>
      </c>
      <c r="U9" s="4">
        <v>227.05</v>
      </c>
      <c r="V9" s="4" t="s">
        <v>4557</v>
      </c>
      <c r="W9" s="4" t="s">
        <v>4558</v>
      </c>
      <c r="X9" s="4" t="s">
        <v>85</v>
      </c>
      <c r="Y9" s="18">
        <v>45872.8744328704</v>
      </c>
      <c r="Z9" s="4" t="s">
        <v>4573</v>
      </c>
      <c r="AA9" s="4" t="s">
        <v>4574</v>
      </c>
      <c r="AB9" s="4">
        <v>1</v>
      </c>
      <c r="AE9" s="4" t="s">
        <v>216</v>
      </c>
      <c r="AF9" s="4" t="s">
        <v>95</v>
      </c>
      <c r="AG9" s="4">
        <v>239</v>
      </c>
      <c r="AH9" s="4">
        <v>239</v>
      </c>
      <c r="AI9" s="4">
        <v>0</v>
      </c>
      <c r="AJ9" s="4">
        <v>0</v>
      </c>
      <c r="AK9" s="4">
        <v>0</v>
      </c>
      <c r="AL9" s="4">
        <v>0</v>
      </c>
      <c r="AM9" s="5">
        <v>0</v>
      </c>
      <c r="AN9" s="5">
        <v>0</v>
      </c>
      <c r="AO9" s="5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239</v>
      </c>
      <c r="AW9" s="5">
        <v>239</v>
      </c>
      <c r="AX9" s="5">
        <v>-11.95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F9" s="4">
        <v>-11.95</v>
      </c>
      <c r="BG9" s="4" t="s">
        <v>85</v>
      </c>
      <c r="BH9" s="4">
        <v>0</v>
      </c>
      <c r="BI9" s="4" t="s">
        <v>4562</v>
      </c>
    </row>
    <row r="10" spans="1:62">
      <c r="A10">
        <f t="shared" si="0"/>
        <v>2025</v>
      </c>
      <c r="B10">
        <f t="shared" si="1"/>
        <v>8</v>
      </c>
      <c r="C10" t="str">
        <f t="shared" si="2"/>
        <v>'6920680044383403322</v>
      </c>
      <c r="F10" t="str" cm="1">
        <f t="array" ref="F10">IFERROR(INDEX('抖音订单-按支付日期-ABF列，要先手动清除空格'!G:G,MATCH(RIGHT(S10,LEN(S10)-1)&amp;RIGHT(T10,LEN(T10)-1)&amp;RIGHT(Z10,LEN(Z10)-1),'抖音订单-按支付日期-ABF列，要先手动清除空格'!A:A&amp;'抖音订单-按支付日期-ABF列，要先手动清除空格'!B:B&amp;'抖音订单-按支付日期-ABF列，要先手动清除空格'!F:F,0)),0)</f>
        <v>	Z1913-黑色-M</v>
      </c>
      <c r="G10" s="17" t="str">
        <f t="shared" si="3"/>
        <v>Z1913</v>
      </c>
      <c r="H10" cm="1">
        <f t="array" ref="H10">IFERROR(_xlfn.IFS(AND(W10="已结算",AW10&gt;30),AB10,LEFT(W10,5)="结算后退款",-AB10,LEFT(W10,5)="保证金退款",0),0)</f>
        <v>1</v>
      </c>
      <c r="I10">
        <f t="shared" si="4"/>
        <v>299</v>
      </c>
      <c r="J10">
        <f t="shared" si="5"/>
        <v>0</v>
      </c>
      <c r="K10">
        <f t="shared" si="6"/>
        <v>0</v>
      </c>
      <c r="L10">
        <f t="shared" si="7"/>
        <v>-14.95</v>
      </c>
      <c r="M10">
        <f t="shared" si="8"/>
        <v>0</v>
      </c>
      <c r="O10">
        <f t="shared" si="9"/>
        <v>284.05</v>
      </c>
      <c r="R10" s="18">
        <v>45886.7490509259</v>
      </c>
      <c r="S10" s="4" t="s">
        <v>4575</v>
      </c>
      <c r="T10" s="4" t="s">
        <v>4575</v>
      </c>
      <c r="U10" s="4">
        <v>284.05</v>
      </c>
      <c r="V10" s="4" t="s">
        <v>4557</v>
      </c>
      <c r="W10" s="4" t="s">
        <v>4558</v>
      </c>
      <c r="X10" s="4" t="s">
        <v>85</v>
      </c>
      <c r="Y10" s="18">
        <v>45879.97875</v>
      </c>
      <c r="Z10" s="4" t="s">
        <v>4576</v>
      </c>
      <c r="AA10" s="4" t="s">
        <v>4577</v>
      </c>
      <c r="AB10" s="4">
        <v>1</v>
      </c>
      <c r="AE10" s="4" t="s">
        <v>216</v>
      </c>
      <c r="AF10" s="4" t="s">
        <v>95</v>
      </c>
      <c r="AG10" s="4">
        <v>299</v>
      </c>
      <c r="AH10" s="4">
        <v>299</v>
      </c>
      <c r="AI10" s="4">
        <v>0</v>
      </c>
      <c r="AJ10" s="4">
        <v>0</v>
      </c>
      <c r="AK10" s="4">
        <v>0</v>
      </c>
      <c r="AL10" s="4">
        <v>0</v>
      </c>
      <c r="AM10" s="5">
        <v>0</v>
      </c>
      <c r="AN10" s="5">
        <v>0</v>
      </c>
      <c r="AO10" s="5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299</v>
      </c>
      <c r="AW10" s="5">
        <v>299</v>
      </c>
      <c r="AX10" s="5">
        <v>-14.95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F10" s="4">
        <v>-14.95</v>
      </c>
      <c r="BG10" s="4" t="s">
        <v>85</v>
      </c>
      <c r="BH10" s="4">
        <v>0</v>
      </c>
      <c r="BI10" s="4" t="s">
        <v>4562</v>
      </c>
    </row>
    <row r="11" spans="1:62">
      <c r="A11">
        <f t="shared" si="0"/>
        <v>2025</v>
      </c>
      <c r="B11">
        <f t="shared" si="1"/>
        <v>8</v>
      </c>
      <c r="C11" t="str">
        <f t="shared" si="2"/>
        <v>'6944918576931608501</v>
      </c>
      <c r="F11" t="str" cm="1">
        <f t="array" ref="F11">IFERROR(INDEX('抖音订单-按支付日期-ABF列，要先手动清除空格'!G:G,MATCH(RIGHT(S11,LEN(S11)-1)&amp;RIGHT(T11,LEN(T11)-1)&amp;RIGHT(Z11,LEN(Z11)-1),'抖音订单-按支付日期-ABF列，要先手动清除空格'!A:A&amp;'抖音订单-按支付日期-ABF列，要先手动清除空格'!B:B&amp;'抖音订单-按支付日期-ABF列，要先手动清除空格'!F:F,0)),0)</f>
        <v>	Z2183-米白色-L</v>
      </c>
      <c r="G11" s="17" t="str">
        <f t="shared" si="3"/>
        <v>Z2183</v>
      </c>
      <c r="H11" cm="1">
        <f t="array" ref="H11">IFERROR(_xlfn.IFS(AND(W11="已结算",AW11&gt;30),AB11,LEFT(W11,5)="结算后退款",-AB11,LEFT(W11,5)="保证金退款",0),0)</f>
        <v>1</v>
      </c>
      <c r="I11">
        <f t="shared" si="4"/>
        <v>129</v>
      </c>
      <c r="J11">
        <f t="shared" si="5"/>
        <v>0</v>
      </c>
      <c r="K11">
        <f t="shared" si="6"/>
        <v>0</v>
      </c>
      <c r="L11">
        <f t="shared" si="7"/>
        <v>-6.45</v>
      </c>
      <c r="M11">
        <f t="shared" si="8"/>
        <v>0</v>
      </c>
      <c r="O11">
        <f t="shared" si="9"/>
        <v>122.55</v>
      </c>
      <c r="R11" s="18">
        <v>45887.4754976852</v>
      </c>
      <c r="S11" s="4" t="s">
        <v>4578</v>
      </c>
      <c r="T11" s="4" t="s">
        <v>4578</v>
      </c>
      <c r="U11" s="4">
        <v>122.55</v>
      </c>
      <c r="V11" s="4" t="s">
        <v>4557</v>
      </c>
      <c r="W11" s="4" t="s">
        <v>4558</v>
      </c>
      <c r="X11" s="4" t="s">
        <v>85</v>
      </c>
      <c r="Y11" s="18">
        <v>45872.9133333333</v>
      </c>
      <c r="Z11" s="4" t="s">
        <v>4579</v>
      </c>
      <c r="AA11" s="4" t="s">
        <v>4580</v>
      </c>
      <c r="AB11" s="4">
        <v>1</v>
      </c>
      <c r="AC11" s="4" t="s">
        <v>4561</v>
      </c>
      <c r="AD11" s="4" t="s">
        <v>98</v>
      </c>
      <c r="AE11" s="4" t="s">
        <v>92</v>
      </c>
      <c r="AF11" s="4" t="s">
        <v>95</v>
      </c>
      <c r="AG11" s="4">
        <v>129</v>
      </c>
      <c r="AH11" s="4">
        <v>129</v>
      </c>
      <c r="AI11" s="4">
        <v>0</v>
      </c>
      <c r="AJ11" s="4">
        <v>0</v>
      </c>
      <c r="AK11" s="4">
        <v>0</v>
      </c>
      <c r="AL11" s="4">
        <v>0</v>
      </c>
      <c r="AM11" s="5">
        <v>0</v>
      </c>
      <c r="AN11" s="5">
        <v>0</v>
      </c>
      <c r="AO11" s="5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129</v>
      </c>
      <c r="AW11" s="5">
        <v>129</v>
      </c>
      <c r="AX11" s="5">
        <v>-6.45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F11" s="4">
        <v>-6.45</v>
      </c>
      <c r="BH11" s="4">
        <v>0</v>
      </c>
      <c r="BI11" s="4" t="s">
        <v>4562</v>
      </c>
    </row>
    <row r="12" spans="1:62">
      <c r="A12">
        <f t="shared" si="0"/>
        <v>2025</v>
      </c>
      <c r="B12">
        <f t="shared" si="1"/>
        <v>8</v>
      </c>
      <c r="C12" t="str">
        <f t="shared" si="2"/>
        <v>'6944902956203382263</v>
      </c>
      <c r="F12" t="str" cm="1">
        <f t="array" ref="F12">IFERROR(INDEX('抖音订单-按支付日期-ABF列，要先手动清除空格'!G:G,MATCH(RIGHT(S12,LEN(S12)-1)&amp;RIGHT(T12,LEN(T12)-1)&amp;RIGHT(Z12,LEN(Z12)-1),'抖音订单-按支付日期-ABF列，要先手动清除空格'!A:A&amp;'抖音订单-按支付日期-ABF列，要先手动清除空格'!B:B&amp;'抖音订单-按支付日期-ABF列，要先手动清除空格'!F:F,0)),0)</f>
        <v>	Z1640-黑色-L</v>
      </c>
      <c r="G12" s="17" t="str">
        <f t="shared" si="3"/>
        <v>Z1640</v>
      </c>
      <c r="H12" cm="1">
        <f t="array" ref="H12">IFERROR(_xlfn.IFS(AND(W12="已结算",AW12&gt;30),AB12,LEFT(W12,5)="结算后退款",-AB12,LEFT(W12,5)="保证金退款",0),0)</f>
        <v>1</v>
      </c>
      <c r="I12">
        <f t="shared" si="4"/>
        <v>289</v>
      </c>
      <c r="J12">
        <f t="shared" si="5"/>
        <v>0</v>
      </c>
      <c r="K12">
        <f t="shared" si="6"/>
        <v>0</v>
      </c>
      <c r="L12">
        <f t="shared" si="7"/>
        <v>-14.45</v>
      </c>
      <c r="M12">
        <f t="shared" si="8"/>
        <v>0</v>
      </c>
      <c r="O12">
        <f t="shared" si="9"/>
        <v>274.55</v>
      </c>
      <c r="R12" s="18">
        <v>45887.4754976852</v>
      </c>
      <c r="S12" s="4" t="s">
        <v>4581</v>
      </c>
      <c r="T12" s="4" t="s">
        <v>4581</v>
      </c>
      <c r="U12" s="4">
        <v>274.55</v>
      </c>
      <c r="V12" s="4" t="s">
        <v>4557</v>
      </c>
      <c r="W12" s="4" t="s">
        <v>4558</v>
      </c>
      <c r="X12" s="4" t="s">
        <v>85</v>
      </c>
      <c r="Y12" s="18">
        <v>45872.6610648148</v>
      </c>
      <c r="Z12" s="4" t="s">
        <v>4559</v>
      </c>
      <c r="AA12" s="4" t="s">
        <v>4560</v>
      </c>
      <c r="AB12" s="4">
        <v>1</v>
      </c>
      <c r="AC12" s="4" t="s">
        <v>4561</v>
      </c>
      <c r="AD12" s="4" t="s">
        <v>98</v>
      </c>
      <c r="AE12" s="4" t="s">
        <v>92</v>
      </c>
      <c r="AF12" s="4" t="s">
        <v>95</v>
      </c>
      <c r="AG12" s="4">
        <v>289</v>
      </c>
      <c r="AH12" s="4">
        <v>289</v>
      </c>
      <c r="AI12" s="4">
        <v>0</v>
      </c>
      <c r="AJ12" s="4">
        <v>0</v>
      </c>
      <c r="AK12" s="4">
        <v>0</v>
      </c>
      <c r="AL12" s="4">
        <v>0</v>
      </c>
      <c r="AM12" s="5">
        <v>0</v>
      </c>
      <c r="AN12" s="5">
        <v>0</v>
      </c>
      <c r="AO12" s="5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289</v>
      </c>
      <c r="AW12" s="5">
        <v>289</v>
      </c>
      <c r="AX12" s="5">
        <v>-14.45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F12" s="4">
        <v>-14.45</v>
      </c>
      <c r="BH12" s="4">
        <v>0</v>
      </c>
      <c r="BI12" s="4" t="s">
        <v>4562</v>
      </c>
    </row>
    <row r="13" spans="1:62">
      <c r="A13">
        <f t="shared" si="0"/>
        <v>2025</v>
      </c>
      <c r="B13">
        <f t="shared" si="1"/>
        <v>8</v>
      </c>
      <c r="C13" t="str">
        <f t="shared" si="2"/>
        <v>'6944898532312946567</v>
      </c>
      <c r="F13" t="str" cm="1">
        <f t="array" ref="F13">IFERROR(INDEX('抖音订单-按支付日期-ABF列，要先手动清除空格'!G:G,MATCH(RIGHT(S13,LEN(S13)-1)&amp;RIGHT(T13,LEN(T13)-1)&amp;RIGHT(Z13,LEN(Z13)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13" s="17" t="str">
        <f t="shared" si="3"/>
        <v>Z1640</v>
      </c>
      <c r="H13" cm="1">
        <f t="array" ref="H13">IFERROR(_xlfn.IFS(AND(W13="已结算",AW13&gt;30),AB13,LEFT(W13,5)="结算后退款",-AB13,LEFT(W13,5)="保证金退款",0),0)</f>
        <v>1</v>
      </c>
      <c r="I13">
        <f t="shared" si="4"/>
        <v>289</v>
      </c>
      <c r="J13">
        <f t="shared" si="5"/>
        <v>0</v>
      </c>
      <c r="K13">
        <f t="shared" si="6"/>
        <v>0</v>
      </c>
      <c r="L13">
        <f t="shared" si="7"/>
        <v>-14.45</v>
      </c>
      <c r="M13">
        <f t="shared" si="8"/>
        <v>0</v>
      </c>
      <c r="O13">
        <f t="shared" si="9"/>
        <v>274.55</v>
      </c>
      <c r="R13" s="18">
        <v>45889.1737152778</v>
      </c>
      <c r="S13" s="4" t="s">
        <v>4582</v>
      </c>
      <c r="T13" s="4" t="s">
        <v>4582</v>
      </c>
      <c r="U13" s="4">
        <v>274.55</v>
      </c>
      <c r="V13" s="4" t="s">
        <v>4557</v>
      </c>
      <c r="W13" s="4" t="s">
        <v>4558</v>
      </c>
      <c r="X13" s="4" t="s">
        <v>85</v>
      </c>
      <c r="Y13" s="18">
        <v>45872.6610069444</v>
      </c>
      <c r="Z13" s="4" t="s">
        <v>4559</v>
      </c>
      <c r="AA13" s="4" t="s">
        <v>4560</v>
      </c>
      <c r="AB13" s="4">
        <v>1</v>
      </c>
      <c r="AC13" s="4" t="s">
        <v>4561</v>
      </c>
      <c r="AD13" s="4" t="s">
        <v>98</v>
      </c>
      <c r="AE13" s="4" t="s">
        <v>92</v>
      </c>
      <c r="AF13" s="4" t="s">
        <v>95</v>
      </c>
      <c r="AG13" s="4">
        <v>289</v>
      </c>
      <c r="AH13" s="4">
        <v>289</v>
      </c>
      <c r="AI13" s="4">
        <v>0</v>
      </c>
      <c r="AJ13" s="4">
        <v>0</v>
      </c>
      <c r="AK13" s="4">
        <v>0</v>
      </c>
      <c r="AL13" s="4">
        <v>0</v>
      </c>
      <c r="AM13" s="5">
        <v>0</v>
      </c>
      <c r="AN13" s="5">
        <v>0</v>
      </c>
      <c r="AO13" s="5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289</v>
      </c>
      <c r="AW13" s="5">
        <v>289</v>
      </c>
      <c r="AX13" s="5">
        <v>-14.45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F13" s="4">
        <v>-14.45</v>
      </c>
      <c r="BH13" s="4">
        <v>0</v>
      </c>
      <c r="BI13" s="4" t="s">
        <v>4562</v>
      </c>
    </row>
    <row r="14" spans="1:62">
      <c r="A14">
        <f t="shared" si="0"/>
        <v>2025</v>
      </c>
      <c r="B14">
        <f t="shared" si="1"/>
        <v>8</v>
      </c>
      <c r="C14" t="str">
        <f t="shared" si="2"/>
        <v>'6944889464345662958</v>
      </c>
      <c r="F14" t="str" cm="1">
        <f t="array" ref="F14">IFERROR(INDEX('抖音订单-按支付日期-ABF列，要先手动清除空格'!G:G,MATCH(RIGHT(S14,LEN(S14)-1)&amp;RIGHT(T14,LEN(T14)-1)&amp;RIGHT(Z14,LEN(Z14)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14" s="17" t="str">
        <f t="shared" si="3"/>
        <v>Z1640</v>
      </c>
      <c r="H14" cm="1">
        <f t="array" ref="H14">IFERROR(_xlfn.IFS(AND(W14="已结算",AW14&gt;30),AB14,LEFT(W14,5)="结算后退款",-AB14,LEFT(W14,5)="保证金退款",0),0)</f>
        <v>1</v>
      </c>
      <c r="I14">
        <f t="shared" si="4"/>
        <v>289</v>
      </c>
      <c r="J14">
        <f t="shared" si="5"/>
        <v>0</v>
      </c>
      <c r="K14">
        <f t="shared" si="6"/>
        <v>0</v>
      </c>
      <c r="L14">
        <f t="shared" si="7"/>
        <v>-14.45</v>
      </c>
      <c r="M14">
        <f t="shared" si="8"/>
        <v>0</v>
      </c>
      <c r="O14">
        <f t="shared" si="9"/>
        <v>274.55</v>
      </c>
      <c r="R14" s="18">
        <v>45889.5078009259</v>
      </c>
      <c r="S14" s="4" t="s">
        <v>4583</v>
      </c>
      <c r="T14" s="4" t="s">
        <v>4583</v>
      </c>
      <c r="U14" s="4">
        <v>274.55</v>
      </c>
      <c r="V14" s="4" t="s">
        <v>4557</v>
      </c>
      <c r="W14" s="4" t="s">
        <v>4558</v>
      </c>
      <c r="X14" s="4" t="s">
        <v>85</v>
      </c>
      <c r="Y14" s="18">
        <v>45872.6622569444</v>
      </c>
      <c r="Z14" s="4" t="s">
        <v>4559</v>
      </c>
      <c r="AA14" s="4" t="s">
        <v>4560</v>
      </c>
      <c r="AB14" s="4">
        <v>1</v>
      </c>
      <c r="AC14" s="4" t="s">
        <v>4561</v>
      </c>
      <c r="AD14" s="4" t="s">
        <v>98</v>
      </c>
      <c r="AE14" s="4" t="s">
        <v>92</v>
      </c>
      <c r="AF14" s="4" t="s">
        <v>95</v>
      </c>
      <c r="AG14" s="4">
        <v>289</v>
      </c>
      <c r="AH14" s="4">
        <v>289</v>
      </c>
      <c r="AI14" s="4">
        <v>0</v>
      </c>
      <c r="AJ14" s="4">
        <v>0</v>
      </c>
      <c r="AK14" s="4">
        <v>0</v>
      </c>
      <c r="AL14" s="4">
        <v>0</v>
      </c>
      <c r="AM14" s="5">
        <v>0</v>
      </c>
      <c r="AN14" s="5">
        <v>0</v>
      </c>
      <c r="AO14" s="5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289</v>
      </c>
      <c r="AW14" s="5">
        <v>289</v>
      </c>
      <c r="AX14" s="5">
        <v>-14.45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F14" s="4">
        <v>-14.45</v>
      </c>
      <c r="BH14" s="4">
        <v>0</v>
      </c>
      <c r="BI14" s="4" t="s">
        <v>4562</v>
      </c>
    </row>
    <row r="15" spans="1:62">
      <c r="A15">
        <f t="shared" si="0"/>
        <v>2025</v>
      </c>
      <c r="B15">
        <f t="shared" si="1"/>
        <v>8</v>
      </c>
      <c r="C15" t="str">
        <f t="shared" si="2"/>
        <v>'6920588758294560314</v>
      </c>
      <c r="F15" t="str" cm="1">
        <f t="array" ref="F15">IFERROR(INDEX('抖音订单-按支付日期-ABF列，要先手动清除空格'!G:G,MATCH(RIGHT(S15,LEN(S15)-1)&amp;RIGHT(T15,LEN(T15)-1)&amp;RIGHT(Z15,LEN(Z15)-1),'抖音订单-按支付日期-ABF列，要先手动清除空格'!A:A&amp;'抖音订单-按支付日期-ABF列，要先手动清除空格'!B:B&amp;'抖音订单-按支付日期-ABF列，要先手动清除空格'!F:F,0)),0)</f>
        <v>	Z1640-黑色-L</v>
      </c>
      <c r="G15" s="17" t="str">
        <f t="shared" si="3"/>
        <v>Z1640</v>
      </c>
      <c r="H15" cm="1">
        <f t="array" ref="H15">IFERROR(_xlfn.IFS(AND(W15="已结算",AW15&gt;30),AB15,LEFT(W15,5)="结算后退款",-AB15,LEFT(W15,5)="保证金退款",0),0)</f>
        <v>1</v>
      </c>
      <c r="I15">
        <f t="shared" si="4"/>
        <v>289</v>
      </c>
      <c r="J15">
        <f t="shared" si="5"/>
        <v>0</v>
      </c>
      <c r="K15">
        <f t="shared" si="6"/>
        <v>0</v>
      </c>
      <c r="L15">
        <f t="shared" si="7"/>
        <v>-14.45</v>
      </c>
      <c r="M15">
        <f t="shared" si="8"/>
        <v>0</v>
      </c>
      <c r="O15">
        <f t="shared" si="9"/>
        <v>274.55</v>
      </c>
      <c r="R15" s="18">
        <v>45889.5078009259</v>
      </c>
      <c r="S15" s="4" t="s">
        <v>4584</v>
      </c>
      <c r="T15" s="4" t="s">
        <v>4584</v>
      </c>
      <c r="U15" s="4">
        <v>274.55</v>
      </c>
      <c r="V15" s="4" t="s">
        <v>4557</v>
      </c>
      <c r="W15" s="4" t="s">
        <v>4558</v>
      </c>
      <c r="X15" s="4" t="s">
        <v>85</v>
      </c>
      <c r="Y15" s="18">
        <v>45872.6609953704</v>
      </c>
      <c r="Z15" s="4" t="s">
        <v>4559</v>
      </c>
      <c r="AA15" s="4" t="s">
        <v>4560</v>
      </c>
      <c r="AB15" s="4">
        <v>1</v>
      </c>
      <c r="AC15" s="4" t="s">
        <v>4561</v>
      </c>
      <c r="AD15" s="4" t="s">
        <v>98</v>
      </c>
      <c r="AE15" s="4" t="s">
        <v>92</v>
      </c>
      <c r="AF15" s="4" t="s">
        <v>95</v>
      </c>
      <c r="AG15" s="4">
        <v>289</v>
      </c>
      <c r="AH15" s="4">
        <v>289</v>
      </c>
      <c r="AI15" s="4">
        <v>0</v>
      </c>
      <c r="AJ15" s="4">
        <v>0</v>
      </c>
      <c r="AK15" s="4">
        <v>0</v>
      </c>
      <c r="AL15" s="4">
        <v>0</v>
      </c>
      <c r="AM15" s="5">
        <v>0</v>
      </c>
      <c r="AN15" s="5">
        <v>0</v>
      </c>
      <c r="AO15" s="5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289</v>
      </c>
      <c r="AW15" s="5">
        <v>289</v>
      </c>
      <c r="AX15" s="5">
        <v>-14.45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F15" s="4">
        <v>-14.45</v>
      </c>
      <c r="BH15" s="4">
        <v>0</v>
      </c>
      <c r="BI15" s="4" t="s">
        <v>4562</v>
      </c>
    </row>
    <row r="16" spans="1:62">
      <c r="A16">
        <f t="shared" si="0"/>
        <v>2025</v>
      </c>
      <c r="B16">
        <f t="shared" si="1"/>
        <v>8</v>
      </c>
      <c r="C16" t="str">
        <f t="shared" si="2"/>
        <v>'6944900882349627297</v>
      </c>
      <c r="F16" t="str" cm="1">
        <f t="array" ref="F16">IFERROR(INDEX('抖音订单-按支付日期-ABF列，要先手动清除空格'!G:G,MATCH(RIGHT(S16,LEN(S16)-1)&amp;RIGHT(T16,LEN(T16)-1)&amp;RIGHT(Z16,LEN(Z16)-1),'抖音订单-按支付日期-ABF列，要先手动清除空格'!A:A&amp;'抖音订单-按支付日期-ABF列，要先手动清除空格'!B:B&amp;'抖音订单-按支付日期-ABF列，要先手动清除空格'!F:F,0)),0)</f>
        <v>	Z1640-黑色-L</v>
      </c>
      <c r="G16" s="17" t="str">
        <f t="shared" si="3"/>
        <v>Z1640</v>
      </c>
      <c r="H16" cm="1">
        <f t="array" ref="H16">IFERROR(_xlfn.IFS(AND(W16="已结算",AW16&gt;30),AB16,LEFT(W16,5)="结算后退款",-AB16,LEFT(W16,5)="保证金退款",0),0)</f>
        <v>1</v>
      </c>
      <c r="I16">
        <f t="shared" si="4"/>
        <v>289</v>
      </c>
      <c r="J16">
        <f t="shared" si="5"/>
        <v>0</v>
      </c>
      <c r="K16">
        <f t="shared" si="6"/>
        <v>0</v>
      </c>
      <c r="L16">
        <f t="shared" si="7"/>
        <v>-14.45</v>
      </c>
      <c r="M16">
        <f t="shared" si="8"/>
        <v>0</v>
      </c>
      <c r="O16">
        <f t="shared" si="9"/>
        <v>274.55</v>
      </c>
      <c r="R16" s="18">
        <v>45889.5338310185</v>
      </c>
      <c r="S16" s="4" t="s">
        <v>4585</v>
      </c>
      <c r="T16" s="4" t="s">
        <v>4585</v>
      </c>
      <c r="U16" s="4">
        <v>274.55</v>
      </c>
      <c r="V16" s="4" t="s">
        <v>4557</v>
      </c>
      <c r="W16" s="4" t="s">
        <v>4558</v>
      </c>
      <c r="X16" s="4" t="s">
        <v>85</v>
      </c>
      <c r="Y16" s="18">
        <v>45872.6610416667</v>
      </c>
      <c r="Z16" s="4" t="s">
        <v>4559</v>
      </c>
      <c r="AA16" s="4" t="s">
        <v>4560</v>
      </c>
      <c r="AB16" s="4">
        <v>1</v>
      </c>
      <c r="AC16" s="4" t="s">
        <v>4561</v>
      </c>
      <c r="AD16" s="4" t="s">
        <v>98</v>
      </c>
      <c r="AE16" s="4" t="s">
        <v>92</v>
      </c>
      <c r="AF16" s="4" t="s">
        <v>95</v>
      </c>
      <c r="AG16" s="4">
        <v>289</v>
      </c>
      <c r="AH16" s="4">
        <v>289</v>
      </c>
      <c r="AI16" s="4">
        <v>0</v>
      </c>
      <c r="AJ16" s="4">
        <v>0</v>
      </c>
      <c r="AK16" s="4">
        <v>0</v>
      </c>
      <c r="AL16" s="4">
        <v>0</v>
      </c>
      <c r="AM16" s="5">
        <v>0</v>
      </c>
      <c r="AN16" s="5">
        <v>0</v>
      </c>
      <c r="AO16" s="5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289</v>
      </c>
      <c r="AW16" s="5">
        <v>289</v>
      </c>
      <c r="AX16" s="5">
        <v>-14.45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F16" s="4">
        <v>-14.45</v>
      </c>
      <c r="BH16" s="4">
        <v>0</v>
      </c>
      <c r="BI16" s="4" t="s">
        <v>4562</v>
      </c>
    </row>
    <row r="17" spans="1:61">
      <c r="A17">
        <f t="shared" si="0"/>
        <v>2025</v>
      </c>
      <c r="B17">
        <f t="shared" si="1"/>
        <v>8</v>
      </c>
      <c r="C17" t="str">
        <f t="shared" si="2"/>
        <v>'6920588768434027755</v>
      </c>
      <c r="F17" t="str" cm="1">
        <f t="array" ref="F17">IFERROR(INDEX('抖音订单-按支付日期-ABF列，要先手动清除空格'!G:G,MATCH(RIGHT(S17,LEN(S17)-1)&amp;RIGHT(T17,LEN(T17)-1)&amp;RIGHT(Z17,LEN(Z17)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17" s="17" t="str">
        <f t="shared" si="3"/>
        <v>Z1640</v>
      </c>
      <c r="H17" cm="1">
        <f t="array" ref="H17">IFERROR(_xlfn.IFS(AND(W17="已结算",AW17&gt;30),AB17,LEFT(W17,5)="结算后退款",-AB17,LEFT(W17,5)="保证金退款",0),0)</f>
        <v>1</v>
      </c>
      <c r="I17">
        <f t="shared" si="4"/>
        <v>289</v>
      </c>
      <c r="J17">
        <f t="shared" si="5"/>
        <v>0</v>
      </c>
      <c r="K17">
        <f t="shared" si="6"/>
        <v>0</v>
      </c>
      <c r="L17">
        <f t="shared" si="7"/>
        <v>-14.45</v>
      </c>
      <c r="M17">
        <f t="shared" si="8"/>
        <v>0</v>
      </c>
      <c r="O17">
        <f t="shared" si="9"/>
        <v>274.55</v>
      </c>
      <c r="R17" s="18">
        <v>45889.5670601852</v>
      </c>
      <c r="S17" s="4" t="s">
        <v>4586</v>
      </c>
      <c r="T17" s="4" t="s">
        <v>4586</v>
      </c>
      <c r="U17" s="4">
        <v>274.55</v>
      </c>
      <c r="V17" s="4" t="s">
        <v>4557</v>
      </c>
      <c r="W17" s="4" t="s">
        <v>4558</v>
      </c>
      <c r="X17" s="4" t="s">
        <v>85</v>
      </c>
      <c r="Y17" s="18">
        <v>45872.6610300926</v>
      </c>
      <c r="Z17" s="4" t="s">
        <v>4559</v>
      </c>
      <c r="AA17" s="4" t="s">
        <v>4560</v>
      </c>
      <c r="AB17" s="4">
        <v>1</v>
      </c>
      <c r="AC17" s="4" t="s">
        <v>4561</v>
      </c>
      <c r="AD17" s="4" t="s">
        <v>98</v>
      </c>
      <c r="AE17" s="4" t="s">
        <v>92</v>
      </c>
      <c r="AF17" s="4" t="s">
        <v>95</v>
      </c>
      <c r="AG17" s="4">
        <v>289</v>
      </c>
      <c r="AH17" s="4">
        <v>289</v>
      </c>
      <c r="AI17" s="4">
        <v>0</v>
      </c>
      <c r="AJ17" s="4">
        <v>0</v>
      </c>
      <c r="AK17" s="4">
        <v>0</v>
      </c>
      <c r="AL17" s="4">
        <v>0</v>
      </c>
      <c r="AM17" s="5">
        <v>0</v>
      </c>
      <c r="AN17" s="5">
        <v>0</v>
      </c>
      <c r="AO17" s="5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289</v>
      </c>
      <c r="AW17" s="5">
        <v>289</v>
      </c>
      <c r="AX17" s="5">
        <v>-14.45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F17" s="4">
        <v>-14.45</v>
      </c>
      <c r="BH17" s="4">
        <v>0</v>
      </c>
      <c r="BI17" s="4" t="s">
        <v>4562</v>
      </c>
    </row>
    <row r="18" spans="1:61">
      <c r="A18">
        <f t="shared" si="0"/>
        <v>2025</v>
      </c>
      <c r="B18">
        <f t="shared" si="1"/>
        <v>8</v>
      </c>
      <c r="C18" t="str">
        <f t="shared" si="2"/>
        <v>'6920591103095635580</v>
      </c>
      <c r="F18" t="str" cm="1">
        <f t="array" ref="F18">IFERROR(INDEX('抖音订单-按支付日期-ABF列，要先手动清除空格'!G:G,MATCH(RIGHT(S18,LEN(S18)-1)&amp;RIGHT(T18,LEN(T18)-1)&amp;RIGHT(Z18,LEN(Z18)-1),'抖音订单-按支付日期-ABF列，要先手动清除空格'!A:A&amp;'抖音订单-按支付日期-ABF列，要先手动清除空格'!B:B&amp;'抖音订单-按支付日期-ABF列，要先手动清除空格'!F:F,0)),0)</f>
        <v>	Z1640-黑色-S</v>
      </c>
      <c r="G18" s="17" t="str">
        <f t="shared" si="3"/>
        <v>Z1640</v>
      </c>
      <c r="H18" cm="1">
        <f t="array" ref="H18">IFERROR(_xlfn.IFS(AND(W18="已结算",AW18&gt;30),AB18,LEFT(W18,5)="结算后退款",-AB18,LEFT(W18,5)="保证金退款",0),0)</f>
        <v>1</v>
      </c>
      <c r="I18">
        <f t="shared" si="4"/>
        <v>289</v>
      </c>
      <c r="J18">
        <f t="shared" si="5"/>
        <v>0</v>
      </c>
      <c r="K18">
        <f t="shared" si="6"/>
        <v>0</v>
      </c>
      <c r="L18">
        <f t="shared" si="7"/>
        <v>-14.45</v>
      </c>
      <c r="M18">
        <f t="shared" si="8"/>
        <v>0</v>
      </c>
      <c r="O18">
        <f t="shared" si="9"/>
        <v>274.55</v>
      </c>
      <c r="R18" s="18">
        <v>45889.5876388889</v>
      </c>
      <c r="S18" s="4" t="s">
        <v>4587</v>
      </c>
      <c r="T18" s="4" t="s">
        <v>4587</v>
      </c>
      <c r="U18" s="4">
        <v>274.55</v>
      </c>
      <c r="V18" s="4" t="s">
        <v>4557</v>
      </c>
      <c r="W18" s="4" t="s">
        <v>4558</v>
      </c>
      <c r="X18" s="4" t="s">
        <v>85</v>
      </c>
      <c r="Y18" s="18">
        <v>45872.6610185185</v>
      </c>
      <c r="Z18" s="4" t="s">
        <v>4559</v>
      </c>
      <c r="AA18" s="4" t="s">
        <v>4560</v>
      </c>
      <c r="AB18" s="4">
        <v>1</v>
      </c>
      <c r="AC18" s="4" t="s">
        <v>4561</v>
      </c>
      <c r="AD18" s="4" t="s">
        <v>98</v>
      </c>
      <c r="AE18" s="4" t="s">
        <v>92</v>
      </c>
      <c r="AF18" s="4" t="s">
        <v>95</v>
      </c>
      <c r="AG18" s="4">
        <v>289</v>
      </c>
      <c r="AH18" s="4">
        <v>289</v>
      </c>
      <c r="AI18" s="4">
        <v>0</v>
      </c>
      <c r="AJ18" s="4">
        <v>0</v>
      </c>
      <c r="AK18" s="4">
        <v>0</v>
      </c>
      <c r="AL18" s="4">
        <v>0</v>
      </c>
      <c r="AM18" s="5">
        <v>0</v>
      </c>
      <c r="AN18" s="5">
        <v>0</v>
      </c>
      <c r="AO18" s="5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289</v>
      </c>
      <c r="AW18" s="5">
        <v>289</v>
      </c>
      <c r="AX18" s="5">
        <v>-14.45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F18" s="4">
        <v>-14.45</v>
      </c>
      <c r="BH18" s="4">
        <v>0</v>
      </c>
      <c r="BI18" s="4" t="s">
        <v>4562</v>
      </c>
    </row>
    <row r="19" spans="1:61">
      <c r="A19">
        <f t="shared" si="0"/>
        <v>2025</v>
      </c>
      <c r="B19">
        <f t="shared" si="1"/>
        <v>8</v>
      </c>
      <c r="C19" t="str">
        <f t="shared" si="2"/>
        <v>'6944894013550499428</v>
      </c>
      <c r="F19" t="str" cm="1">
        <f t="array" ref="F19">IFERROR(INDEX('抖音订单-按支付日期-ABF列，要先手动清除空格'!G:G,MATCH(RIGHT(S19,LEN(S19)-1)&amp;RIGHT(T19,LEN(T19)-1)&amp;RIGHT(Z19,LEN(Z19)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19" s="17" t="str">
        <f t="shared" si="3"/>
        <v>Z1640</v>
      </c>
      <c r="H19" cm="1">
        <f t="array" ref="H19">IFERROR(_xlfn.IFS(AND(W19="已结算",AW19&gt;30),AB19,LEFT(W19,5)="结算后退款",-AB19,LEFT(W19,5)="保证金退款",0),0)</f>
        <v>1</v>
      </c>
      <c r="I19">
        <f t="shared" si="4"/>
        <v>289</v>
      </c>
      <c r="J19">
        <f t="shared" si="5"/>
        <v>0</v>
      </c>
      <c r="K19">
        <f t="shared" si="6"/>
        <v>0</v>
      </c>
      <c r="L19">
        <f t="shared" si="7"/>
        <v>-14.45</v>
      </c>
      <c r="M19">
        <f t="shared" si="8"/>
        <v>0</v>
      </c>
      <c r="O19">
        <f t="shared" si="9"/>
        <v>274.55</v>
      </c>
      <c r="R19" s="18">
        <v>45889.587650463</v>
      </c>
      <c r="S19" s="4" t="s">
        <v>4588</v>
      </c>
      <c r="T19" s="4" t="s">
        <v>4588</v>
      </c>
      <c r="U19" s="4">
        <v>274.55</v>
      </c>
      <c r="V19" s="4" t="s">
        <v>4557</v>
      </c>
      <c r="W19" s="4" t="s">
        <v>4558</v>
      </c>
      <c r="X19" s="4" t="s">
        <v>85</v>
      </c>
      <c r="Y19" s="18">
        <v>45872.6610300926</v>
      </c>
      <c r="Z19" s="4" t="s">
        <v>4559</v>
      </c>
      <c r="AA19" s="4" t="s">
        <v>4560</v>
      </c>
      <c r="AB19" s="4">
        <v>1</v>
      </c>
      <c r="AC19" s="4" t="s">
        <v>4561</v>
      </c>
      <c r="AD19" s="4" t="s">
        <v>98</v>
      </c>
      <c r="AE19" s="4" t="s">
        <v>92</v>
      </c>
      <c r="AF19" s="4" t="s">
        <v>95</v>
      </c>
      <c r="AG19" s="4">
        <v>289</v>
      </c>
      <c r="AH19" s="4">
        <v>289</v>
      </c>
      <c r="AI19" s="4">
        <v>0</v>
      </c>
      <c r="AJ19" s="4">
        <v>0</v>
      </c>
      <c r="AK19" s="4">
        <v>0</v>
      </c>
      <c r="AL19" s="4">
        <v>0</v>
      </c>
      <c r="AM19" s="5">
        <v>0</v>
      </c>
      <c r="AN19" s="5">
        <v>0</v>
      </c>
      <c r="AO19" s="5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289</v>
      </c>
      <c r="AW19" s="5">
        <v>289</v>
      </c>
      <c r="AX19" s="5">
        <v>-14.45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F19" s="4">
        <v>-14.45</v>
      </c>
      <c r="BH19" s="4">
        <v>0</v>
      </c>
      <c r="BI19" s="4" t="s">
        <v>4562</v>
      </c>
    </row>
    <row r="20" spans="1:61">
      <c r="A20">
        <f t="shared" si="0"/>
        <v>2025</v>
      </c>
      <c r="B20">
        <f t="shared" si="1"/>
        <v>8</v>
      </c>
      <c r="C20" t="str">
        <f t="shared" si="2"/>
        <v>'6944889432733980469</v>
      </c>
      <c r="F20" t="str" cm="1">
        <f t="array" ref="F20">IFERROR(INDEX('抖音订单-按支付日期-ABF列，要先手动清除空格'!G:G,MATCH(RIGHT(S20,LEN(S20)-1)&amp;RIGHT(T20,LEN(T20)-1)&amp;RIGHT(Z20,LEN(Z20)-1),'抖音订单-按支付日期-ABF列，要先手动清除空格'!A:A&amp;'抖音订单-按支付日期-ABF列，要先手动清除空格'!B:B&amp;'抖音订单-按支付日期-ABF列，要先手动清除空格'!F:F,0)),0)</f>
        <v>	Z1640-黑色-S</v>
      </c>
      <c r="G20" s="17" t="str">
        <f t="shared" si="3"/>
        <v>Z1640</v>
      </c>
      <c r="H20" cm="1">
        <f t="array" ref="H20">IFERROR(_xlfn.IFS(AND(W20="已结算",AW20&gt;30),AB20,LEFT(W20,5)="结算后退款",-AB20,LEFT(W20,5)="保证金退款",0),0)</f>
        <v>1</v>
      </c>
      <c r="I20">
        <f t="shared" si="4"/>
        <v>289</v>
      </c>
      <c r="J20">
        <f t="shared" si="5"/>
        <v>0</v>
      </c>
      <c r="K20">
        <f t="shared" si="6"/>
        <v>0</v>
      </c>
      <c r="L20">
        <f t="shared" si="7"/>
        <v>-14.45</v>
      </c>
      <c r="M20">
        <f t="shared" si="8"/>
        <v>0</v>
      </c>
      <c r="O20">
        <f t="shared" si="9"/>
        <v>274.55</v>
      </c>
      <c r="R20" s="18">
        <v>45889.587650463</v>
      </c>
      <c r="S20" s="4" t="s">
        <v>4589</v>
      </c>
      <c r="T20" s="4" t="s">
        <v>4589</v>
      </c>
      <c r="U20" s="4">
        <v>274.55</v>
      </c>
      <c r="V20" s="4" t="s">
        <v>4557</v>
      </c>
      <c r="W20" s="4" t="s">
        <v>4558</v>
      </c>
      <c r="X20" s="4" t="s">
        <v>85</v>
      </c>
      <c r="Y20" s="18">
        <v>45872.6621759259</v>
      </c>
      <c r="Z20" s="4" t="s">
        <v>4559</v>
      </c>
      <c r="AA20" s="4" t="s">
        <v>4560</v>
      </c>
      <c r="AB20" s="4">
        <v>1</v>
      </c>
      <c r="AC20" s="4" t="s">
        <v>4561</v>
      </c>
      <c r="AD20" s="4" t="s">
        <v>98</v>
      </c>
      <c r="AE20" s="4" t="s">
        <v>92</v>
      </c>
      <c r="AF20" s="4" t="s">
        <v>95</v>
      </c>
      <c r="AG20" s="4">
        <v>289</v>
      </c>
      <c r="AH20" s="4">
        <v>289</v>
      </c>
      <c r="AI20" s="4">
        <v>0</v>
      </c>
      <c r="AJ20" s="4">
        <v>0</v>
      </c>
      <c r="AK20" s="4">
        <v>0</v>
      </c>
      <c r="AL20" s="4">
        <v>0</v>
      </c>
      <c r="AM20" s="5">
        <v>0</v>
      </c>
      <c r="AN20" s="5">
        <v>0</v>
      </c>
      <c r="AO20" s="5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289</v>
      </c>
      <c r="AW20" s="5">
        <v>289</v>
      </c>
      <c r="AX20" s="5">
        <v>-14.45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F20" s="4">
        <v>-14.45</v>
      </c>
      <c r="BH20" s="4">
        <v>0</v>
      </c>
      <c r="BI20" s="4" t="s">
        <v>4562</v>
      </c>
    </row>
    <row r="21" spans="1:61">
      <c r="A21">
        <f t="shared" si="0"/>
        <v>2025</v>
      </c>
      <c r="B21">
        <f t="shared" si="1"/>
        <v>8</v>
      </c>
      <c r="C21" t="str">
        <f t="shared" si="2"/>
        <v>'6920595763321732711</v>
      </c>
      <c r="F21" t="str" cm="1">
        <f t="array" ref="F21">IFERROR(INDEX('抖音订单-按支付日期-ABF列，要先手动清除空格'!G:G,MATCH(RIGHT(S21,LEN(S21)-1)&amp;RIGHT(T21,LEN(T21)-1)&amp;RIGHT(Z21,LEN(Z21)-1),'抖音订单-按支付日期-ABF列，要先手动清除空格'!A:A&amp;'抖音订单-按支付日期-ABF列，要先手动清除空格'!B:B&amp;'抖音订单-按支付日期-ABF列，要先手动清除空格'!F:F,0)),0)</f>
        <v>	Z1640-黑色-L</v>
      </c>
      <c r="G21" s="17" t="str">
        <f t="shared" si="3"/>
        <v>Z1640</v>
      </c>
      <c r="H21" cm="1">
        <f t="array" ref="H21">IFERROR(_xlfn.IFS(AND(W21="已结算",AW21&gt;30),AB21,LEFT(W21,5)="结算后退款",-AB21,LEFT(W21,5)="保证金退款",0),0)</f>
        <v>1</v>
      </c>
      <c r="I21">
        <f t="shared" si="4"/>
        <v>289</v>
      </c>
      <c r="J21">
        <f t="shared" si="5"/>
        <v>0</v>
      </c>
      <c r="K21">
        <f t="shared" si="6"/>
        <v>0</v>
      </c>
      <c r="L21">
        <f t="shared" si="7"/>
        <v>-14.45</v>
      </c>
      <c r="M21">
        <f t="shared" si="8"/>
        <v>0</v>
      </c>
      <c r="O21">
        <f t="shared" si="9"/>
        <v>274.55</v>
      </c>
      <c r="R21" s="18">
        <v>45889.6963194444</v>
      </c>
      <c r="S21" s="4" t="s">
        <v>4590</v>
      </c>
      <c r="T21" s="4" t="s">
        <v>4590</v>
      </c>
      <c r="U21" s="4">
        <v>274.55</v>
      </c>
      <c r="V21" s="4" t="s">
        <v>4557</v>
      </c>
      <c r="W21" s="4" t="s">
        <v>4558</v>
      </c>
      <c r="X21" s="4" t="s">
        <v>85</v>
      </c>
      <c r="Y21" s="18">
        <v>45872.6621875</v>
      </c>
      <c r="Z21" s="4" t="s">
        <v>4559</v>
      </c>
      <c r="AA21" s="4" t="s">
        <v>4560</v>
      </c>
      <c r="AB21" s="4">
        <v>1</v>
      </c>
      <c r="AC21" s="4" t="s">
        <v>4561</v>
      </c>
      <c r="AD21" s="4" t="s">
        <v>98</v>
      </c>
      <c r="AE21" s="4" t="s">
        <v>92</v>
      </c>
      <c r="AF21" s="4" t="s">
        <v>95</v>
      </c>
      <c r="AG21" s="4">
        <v>289</v>
      </c>
      <c r="AH21" s="4">
        <v>289</v>
      </c>
      <c r="AI21" s="4">
        <v>0</v>
      </c>
      <c r="AJ21" s="4">
        <v>0</v>
      </c>
      <c r="AK21" s="4">
        <v>0</v>
      </c>
      <c r="AL21" s="4">
        <v>0</v>
      </c>
      <c r="AM21" s="5">
        <v>0</v>
      </c>
      <c r="AN21" s="5">
        <v>0</v>
      </c>
      <c r="AO21" s="5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289</v>
      </c>
      <c r="AW21" s="5">
        <v>289</v>
      </c>
      <c r="AX21" s="5">
        <v>-14.45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F21" s="4">
        <v>-14.45</v>
      </c>
      <c r="BH21" s="4">
        <v>0</v>
      </c>
      <c r="BI21" s="4" t="s">
        <v>4562</v>
      </c>
    </row>
    <row r="22" spans="1:61">
      <c r="A22">
        <f t="shared" si="0"/>
        <v>2025</v>
      </c>
      <c r="B22">
        <f t="shared" si="1"/>
        <v>8</v>
      </c>
      <c r="C22" t="str">
        <f t="shared" si="2"/>
        <v>'6944909565032862834</v>
      </c>
      <c r="F22" t="str" cm="1">
        <f t="array" ref="F22">IFERROR(INDEX('抖音订单-按支付日期-ABF列，要先手动清除空格'!G:G,MATCH(RIGHT(S22,LEN(S22)-1)&amp;RIGHT(T22,LEN(T22)-1)&amp;RIGHT(Z22,LEN(Z22)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22" s="17" t="str">
        <f t="shared" si="3"/>
        <v>Z1640</v>
      </c>
      <c r="H22" cm="1">
        <f t="array" ref="H22">IFERROR(_xlfn.IFS(AND(W22="已结算",AW22&gt;30),AB22,LEFT(W22,5)="结算后退款",-AB22,LEFT(W22,5)="保证金退款",0),0)</f>
        <v>1</v>
      </c>
      <c r="I22">
        <f t="shared" si="4"/>
        <v>289</v>
      </c>
      <c r="J22">
        <f t="shared" si="5"/>
        <v>0</v>
      </c>
      <c r="K22">
        <f t="shared" si="6"/>
        <v>0</v>
      </c>
      <c r="L22">
        <f t="shared" si="7"/>
        <v>-14.45</v>
      </c>
      <c r="M22">
        <f t="shared" si="8"/>
        <v>0</v>
      </c>
      <c r="O22">
        <f t="shared" si="9"/>
        <v>274.55</v>
      </c>
      <c r="R22" s="18">
        <v>45889.7105902778</v>
      </c>
      <c r="S22" s="4" t="s">
        <v>4591</v>
      </c>
      <c r="T22" s="4" t="s">
        <v>4591</v>
      </c>
      <c r="U22" s="4">
        <v>274.55</v>
      </c>
      <c r="V22" s="4" t="s">
        <v>4557</v>
      </c>
      <c r="W22" s="4" t="s">
        <v>4558</v>
      </c>
      <c r="X22" s="4" t="s">
        <v>85</v>
      </c>
      <c r="Y22" s="18">
        <v>45872.6610416667</v>
      </c>
      <c r="Z22" s="4" t="s">
        <v>4559</v>
      </c>
      <c r="AA22" s="4" t="s">
        <v>4560</v>
      </c>
      <c r="AB22" s="4">
        <v>1</v>
      </c>
      <c r="AC22" s="4" t="s">
        <v>4561</v>
      </c>
      <c r="AD22" s="4" t="s">
        <v>98</v>
      </c>
      <c r="AE22" s="4" t="s">
        <v>92</v>
      </c>
      <c r="AF22" s="4" t="s">
        <v>95</v>
      </c>
      <c r="AG22" s="4">
        <v>289</v>
      </c>
      <c r="AH22" s="4">
        <v>289</v>
      </c>
      <c r="AI22" s="4">
        <v>0</v>
      </c>
      <c r="AJ22" s="4">
        <v>0</v>
      </c>
      <c r="AK22" s="4">
        <v>0</v>
      </c>
      <c r="AL22" s="4">
        <v>0</v>
      </c>
      <c r="AM22" s="5">
        <v>0</v>
      </c>
      <c r="AN22" s="5">
        <v>0</v>
      </c>
      <c r="AO22" s="5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289</v>
      </c>
      <c r="AW22" s="5">
        <v>289</v>
      </c>
      <c r="AX22" s="5">
        <v>-14.45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F22" s="4">
        <v>-14.45</v>
      </c>
      <c r="BH22" s="4">
        <v>0</v>
      </c>
      <c r="BI22" s="4" t="s">
        <v>4562</v>
      </c>
    </row>
    <row r="23" spans="1:61">
      <c r="A23">
        <f t="shared" si="0"/>
        <v>2025</v>
      </c>
      <c r="B23">
        <f t="shared" si="1"/>
        <v>8</v>
      </c>
      <c r="C23" t="str">
        <f t="shared" si="2"/>
        <v>'6944902982330619855</v>
      </c>
      <c r="F23" t="str" cm="1">
        <f t="array" ref="F23">IFERROR(INDEX('抖音订单-按支付日期-ABF列，要先手动清除空格'!G:G,MATCH(RIGHT(S23,LEN(S23)-1)&amp;RIGHT(T23,LEN(T23)-1)&amp;RIGHT(Z23,LEN(Z23)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23" s="17" t="str">
        <f t="shared" si="3"/>
        <v>Z1640</v>
      </c>
      <c r="H23" cm="1">
        <f t="array" ref="H23">IFERROR(_xlfn.IFS(AND(W23="已结算",AW23&gt;30),AB23,LEFT(W23,5)="结算后退款",-AB23,LEFT(W23,5)="保证金退款",0),0)</f>
        <v>1</v>
      </c>
      <c r="I23">
        <f t="shared" si="4"/>
        <v>289</v>
      </c>
      <c r="J23">
        <f t="shared" si="5"/>
        <v>0</v>
      </c>
      <c r="K23">
        <f t="shared" si="6"/>
        <v>0</v>
      </c>
      <c r="L23">
        <f t="shared" si="7"/>
        <v>-14.45</v>
      </c>
      <c r="M23">
        <f t="shared" si="8"/>
        <v>0</v>
      </c>
      <c r="O23">
        <f t="shared" si="9"/>
        <v>274.55</v>
      </c>
      <c r="R23" s="18">
        <v>45889.7160648148</v>
      </c>
      <c r="S23" s="4" t="s">
        <v>4592</v>
      </c>
      <c r="T23" s="4" t="s">
        <v>4592</v>
      </c>
      <c r="U23" s="4">
        <v>274.55</v>
      </c>
      <c r="V23" s="4" t="s">
        <v>4557</v>
      </c>
      <c r="W23" s="4" t="s">
        <v>4558</v>
      </c>
      <c r="X23" s="4" t="s">
        <v>85</v>
      </c>
      <c r="Y23" s="18">
        <v>45872.6610763889</v>
      </c>
      <c r="Z23" s="4" t="s">
        <v>4559</v>
      </c>
      <c r="AA23" s="4" t="s">
        <v>4560</v>
      </c>
      <c r="AB23" s="4">
        <v>1</v>
      </c>
      <c r="AC23" s="4" t="s">
        <v>4561</v>
      </c>
      <c r="AD23" s="4" t="s">
        <v>98</v>
      </c>
      <c r="AE23" s="4" t="s">
        <v>92</v>
      </c>
      <c r="AF23" s="4" t="s">
        <v>95</v>
      </c>
      <c r="AG23" s="4">
        <v>289</v>
      </c>
      <c r="AH23" s="4">
        <v>289</v>
      </c>
      <c r="AI23" s="4">
        <v>0</v>
      </c>
      <c r="AJ23" s="4">
        <v>0</v>
      </c>
      <c r="AK23" s="4">
        <v>0</v>
      </c>
      <c r="AL23" s="4">
        <v>0</v>
      </c>
      <c r="AM23" s="5">
        <v>0</v>
      </c>
      <c r="AN23" s="5">
        <v>0</v>
      </c>
      <c r="AO23" s="5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289</v>
      </c>
      <c r="AW23" s="5">
        <v>289</v>
      </c>
      <c r="AX23" s="5">
        <v>-14.45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F23" s="4">
        <v>-14.45</v>
      </c>
      <c r="BH23" s="4">
        <v>0</v>
      </c>
      <c r="BI23" s="4" t="s">
        <v>4562</v>
      </c>
    </row>
    <row r="24" spans="1:61">
      <c r="A24">
        <f t="shared" si="0"/>
        <v>2025</v>
      </c>
      <c r="B24">
        <f t="shared" si="1"/>
        <v>8</v>
      </c>
      <c r="C24" t="str">
        <f t="shared" si="2"/>
        <v>'6944894348539598117</v>
      </c>
      <c r="F24" t="str" cm="1">
        <f t="array" ref="F24">IFERROR(INDEX('抖音订单-按支付日期-ABF列，要先手动清除空格'!G:G,MATCH(RIGHT(S24,LEN(S24)-1)&amp;RIGHT(T24,LEN(T24)-1)&amp;RIGHT(Z24,LEN(Z24)-1),'抖音订单-按支付日期-ABF列，要先手动清除空格'!A:A&amp;'抖音订单-按支付日期-ABF列，要先手动清除空格'!B:B&amp;'抖音订单-按支付日期-ABF列，要先手动清除空格'!F:F,0)),0)</f>
        <v>	Z2183-米白色-M</v>
      </c>
      <c r="G24" s="17" t="str">
        <f t="shared" si="3"/>
        <v>Z2183</v>
      </c>
      <c r="H24" cm="1">
        <f t="array" ref="H24">IFERROR(_xlfn.IFS(AND(W24="已结算",AW24&gt;30),AB24,LEFT(W24,5)="结算后退款",-AB24,LEFT(W24,5)="保证金退款",0),0)</f>
        <v>1</v>
      </c>
      <c r="I24">
        <f t="shared" si="4"/>
        <v>129</v>
      </c>
      <c r="J24">
        <f t="shared" si="5"/>
        <v>0</v>
      </c>
      <c r="K24">
        <f t="shared" si="6"/>
        <v>0</v>
      </c>
      <c r="L24">
        <f t="shared" si="7"/>
        <v>-6.45</v>
      </c>
      <c r="M24">
        <f t="shared" si="8"/>
        <v>0</v>
      </c>
      <c r="O24">
        <f t="shared" si="9"/>
        <v>122.55</v>
      </c>
      <c r="R24" s="18">
        <v>45889.7185763889</v>
      </c>
      <c r="S24" s="4" t="s">
        <v>4593</v>
      </c>
      <c r="T24" s="4" t="s">
        <v>4593</v>
      </c>
      <c r="U24" s="4">
        <v>122.55</v>
      </c>
      <c r="V24" s="4" t="s">
        <v>4557</v>
      </c>
      <c r="W24" s="4" t="s">
        <v>4558</v>
      </c>
      <c r="X24" s="4" t="s">
        <v>85</v>
      </c>
      <c r="Y24" s="18">
        <v>45872.8583449074</v>
      </c>
      <c r="Z24" s="4" t="s">
        <v>4579</v>
      </c>
      <c r="AA24" s="4" t="s">
        <v>4580</v>
      </c>
      <c r="AB24" s="4">
        <v>1</v>
      </c>
      <c r="AC24" s="4" t="s">
        <v>4561</v>
      </c>
      <c r="AD24" s="4" t="s">
        <v>98</v>
      </c>
      <c r="AE24" s="4" t="s">
        <v>92</v>
      </c>
      <c r="AF24" s="4" t="s">
        <v>95</v>
      </c>
      <c r="AG24" s="4">
        <v>129</v>
      </c>
      <c r="AH24" s="4">
        <v>129</v>
      </c>
      <c r="AI24" s="4">
        <v>0</v>
      </c>
      <c r="AJ24" s="4">
        <v>0</v>
      </c>
      <c r="AK24" s="4">
        <v>0</v>
      </c>
      <c r="AL24" s="4">
        <v>0</v>
      </c>
      <c r="AM24" s="5">
        <v>0</v>
      </c>
      <c r="AN24" s="5">
        <v>0</v>
      </c>
      <c r="AO24" s="5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129</v>
      </c>
      <c r="AW24" s="5">
        <v>129</v>
      </c>
      <c r="AX24" s="5">
        <v>-6.45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F24" s="4">
        <v>-6.45</v>
      </c>
      <c r="BH24" s="4">
        <v>0</v>
      </c>
      <c r="BI24" s="4" t="s">
        <v>4562</v>
      </c>
    </row>
    <row r="25" spans="1:61">
      <c r="A25">
        <f t="shared" si="0"/>
        <v>2025</v>
      </c>
      <c r="B25">
        <f t="shared" si="1"/>
        <v>8</v>
      </c>
      <c r="C25" t="str">
        <f t="shared" si="2"/>
        <v>'6944898523525224184</v>
      </c>
      <c r="F25" t="str" cm="1">
        <f t="array" ref="F25">IFERROR(INDEX('抖音订单-按支付日期-ABF列，要先手动清除空格'!G:G,MATCH(RIGHT(S25,LEN(S25)-1)&amp;RIGHT(T25,LEN(T25)-1)&amp;RIGHT(Z25,LEN(Z25)-1),'抖音订单-按支付日期-ABF列，要先手动清除空格'!A:A&amp;'抖音订单-按支付日期-ABF列，要先手动清除空格'!B:B&amp;'抖音订单-按支付日期-ABF列，要先手动清除空格'!F:F,0)),0)</f>
        <v>	Z1640-黑色-L</v>
      </c>
      <c r="G25" s="17" t="str">
        <f t="shared" si="3"/>
        <v>Z1640</v>
      </c>
      <c r="H25" cm="1">
        <f t="array" ref="H25">IFERROR(_xlfn.IFS(AND(W25="已结算",AW25&gt;30),AB25,LEFT(W25,5)="结算后退款",-AB25,LEFT(W25,5)="保证金退款",0),0)</f>
        <v>1</v>
      </c>
      <c r="I25">
        <f t="shared" si="4"/>
        <v>289</v>
      </c>
      <c r="J25">
        <f t="shared" si="5"/>
        <v>0</v>
      </c>
      <c r="K25">
        <f t="shared" si="6"/>
        <v>0</v>
      </c>
      <c r="L25">
        <f t="shared" si="7"/>
        <v>-14.45</v>
      </c>
      <c r="M25">
        <f t="shared" si="8"/>
        <v>0</v>
      </c>
      <c r="O25">
        <f t="shared" si="9"/>
        <v>274.55</v>
      </c>
      <c r="R25" s="18">
        <v>45889.7235648148</v>
      </c>
      <c r="S25" s="4" t="s">
        <v>4594</v>
      </c>
      <c r="T25" s="4" t="s">
        <v>4594</v>
      </c>
      <c r="U25" s="4">
        <v>274.55</v>
      </c>
      <c r="V25" s="4" t="s">
        <v>4557</v>
      </c>
      <c r="W25" s="4" t="s">
        <v>4558</v>
      </c>
      <c r="X25" s="4" t="s">
        <v>85</v>
      </c>
      <c r="Y25" s="18">
        <v>45872.6621875</v>
      </c>
      <c r="Z25" s="4" t="s">
        <v>4559</v>
      </c>
      <c r="AA25" s="4" t="s">
        <v>4560</v>
      </c>
      <c r="AB25" s="4">
        <v>1</v>
      </c>
      <c r="AC25" s="4" t="s">
        <v>4561</v>
      </c>
      <c r="AD25" s="4" t="s">
        <v>98</v>
      </c>
      <c r="AE25" s="4" t="s">
        <v>92</v>
      </c>
      <c r="AF25" s="4" t="s">
        <v>95</v>
      </c>
      <c r="AG25" s="4">
        <v>289</v>
      </c>
      <c r="AH25" s="4">
        <v>289</v>
      </c>
      <c r="AI25" s="4">
        <v>0</v>
      </c>
      <c r="AJ25" s="4">
        <v>0</v>
      </c>
      <c r="AK25" s="4">
        <v>0</v>
      </c>
      <c r="AL25" s="4">
        <v>0</v>
      </c>
      <c r="AM25" s="5">
        <v>0</v>
      </c>
      <c r="AN25" s="5">
        <v>0</v>
      </c>
      <c r="AO25" s="5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289</v>
      </c>
      <c r="AW25" s="5">
        <v>289</v>
      </c>
      <c r="AX25" s="5">
        <v>-14.45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F25" s="4">
        <v>-14.45</v>
      </c>
      <c r="BH25" s="4">
        <v>0</v>
      </c>
      <c r="BI25" s="4" t="s">
        <v>4562</v>
      </c>
    </row>
    <row r="26" spans="1:61">
      <c r="A26">
        <f t="shared" si="0"/>
        <v>2025</v>
      </c>
      <c r="B26">
        <f t="shared" si="1"/>
        <v>8</v>
      </c>
      <c r="C26" t="str">
        <f t="shared" si="2"/>
        <v>'6944896306207725197</v>
      </c>
      <c r="F26" t="str" cm="1">
        <f t="array" ref="F26">IFERROR(INDEX('抖音订单-按支付日期-ABF列，要先手动清除空格'!G:G,MATCH(RIGHT(S26,LEN(S26)-1)&amp;RIGHT(T26,LEN(T26)-1)&amp;RIGHT(Z26,LEN(Z26)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26" s="17" t="str">
        <f t="shared" si="3"/>
        <v>Z1640</v>
      </c>
      <c r="H26" cm="1">
        <f t="array" ref="H26">IFERROR(_xlfn.IFS(AND(W26="已结算",AW26&gt;30),AB26,LEFT(W26,5)="结算后退款",-AB26,LEFT(W26,5)="保证金退款",0),0)</f>
        <v>1</v>
      </c>
      <c r="I26">
        <f t="shared" si="4"/>
        <v>289</v>
      </c>
      <c r="J26">
        <f t="shared" si="5"/>
        <v>0</v>
      </c>
      <c r="K26">
        <f t="shared" si="6"/>
        <v>0</v>
      </c>
      <c r="L26">
        <f t="shared" si="7"/>
        <v>-14.45</v>
      </c>
      <c r="M26">
        <f t="shared" si="8"/>
        <v>0</v>
      </c>
      <c r="O26">
        <f t="shared" si="9"/>
        <v>274.55</v>
      </c>
      <c r="R26" s="18">
        <v>45889.7254398148</v>
      </c>
      <c r="S26" s="4" t="s">
        <v>4595</v>
      </c>
      <c r="T26" s="4" t="s">
        <v>4595</v>
      </c>
      <c r="U26" s="4">
        <v>274.55</v>
      </c>
      <c r="V26" s="4" t="s">
        <v>4557</v>
      </c>
      <c r="W26" s="4" t="s">
        <v>4558</v>
      </c>
      <c r="X26" s="4" t="s">
        <v>85</v>
      </c>
      <c r="Y26" s="18">
        <v>45872.6623611111</v>
      </c>
      <c r="Z26" s="4" t="s">
        <v>4559</v>
      </c>
      <c r="AA26" s="4" t="s">
        <v>4560</v>
      </c>
      <c r="AB26" s="4">
        <v>1</v>
      </c>
      <c r="AC26" s="4" t="s">
        <v>4561</v>
      </c>
      <c r="AD26" s="4" t="s">
        <v>98</v>
      </c>
      <c r="AE26" s="4" t="s">
        <v>92</v>
      </c>
      <c r="AF26" s="4" t="s">
        <v>95</v>
      </c>
      <c r="AG26" s="4">
        <v>289</v>
      </c>
      <c r="AH26" s="4">
        <v>289</v>
      </c>
      <c r="AI26" s="4">
        <v>0</v>
      </c>
      <c r="AJ26" s="4">
        <v>0</v>
      </c>
      <c r="AK26" s="4">
        <v>0</v>
      </c>
      <c r="AL26" s="4">
        <v>0</v>
      </c>
      <c r="AM26" s="5">
        <v>0</v>
      </c>
      <c r="AN26" s="5">
        <v>0</v>
      </c>
      <c r="AO26" s="5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289</v>
      </c>
      <c r="AW26" s="5">
        <v>289</v>
      </c>
      <c r="AX26" s="5">
        <v>-14.45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F26" s="4">
        <v>-14.45</v>
      </c>
      <c r="BH26" s="4">
        <v>0</v>
      </c>
      <c r="BI26" s="4" t="s">
        <v>4562</v>
      </c>
    </row>
    <row r="27" spans="1:61">
      <c r="A27">
        <f t="shared" si="0"/>
        <v>2025</v>
      </c>
      <c r="B27">
        <f t="shared" si="1"/>
        <v>8</v>
      </c>
      <c r="C27" t="str">
        <f t="shared" si="2"/>
        <v>'6945099143779652673</v>
      </c>
      <c r="F27" t="str" cm="1">
        <f t="array" ref="F27">IFERROR(INDEX('抖音订单-按支付日期-ABF列，要先手动清除空格'!G:G,MATCH(RIGHT(S27,LEN(S27)-1)&amp;RIGHT(T27,LEN(T27)-1)&amp;RIGHT(Z27,LEN(Z27)-1),'抖音订单-按支付日期-ABF列，要先手动清除空格'!A:A&amp;'抖音订单-按支付日期-ABF列，要先手动清除空格'!B:B&amp;'抖音订单-按支付日期-ABF列，要先手动清除空格'!F:F,0)),0)</f>
        <v>	Z1688-黑色-S</v>
      </c>
      <c r="G27" s="17" t="str">
        <f t="shared" si="3"/>
        <v>Z1688</v>
      </c>
      <c r="H27" cm="1">
        <f t="array" ref="H27">IFERROR(_xlfn.IFS(AND(W27="已结算",AW27&gt;30),AB27,LEFT(W27,5)="结算后退款",-AB27,LEFT(W27,5)="保证金退款",0),0)</f>
        <v>1</v>
      </c>
      <c r="I27">
        <f t="shared" si="4"/>
        <v>499</v>
      </c>
      <c r="J27">
        <f t="shared" si="5"/>
        <v>0</v>
      </c>
      <c r="K27">
        <f t="shared" si="6"/>
        <v>0</v>
      </c>
      <c r="L27">
        <f t="shared" si="7"/>
        <v>-24.95</v>
      </c>
      <c r="M27">
        <f t="shared" si="8"/>
        <v>0</v>
      </c>
      <c r="O27">
        <f t="shared" si="9"/>
        <v>474.05</v>
      </c>
      <c r="R27" s="18">
        <v>45890.5067476852</v>
      </c>
      <c r="S27" s="4" t="s">
        <v>4596</v>
      </c>
      <c r="T27" s="4" t="s">
        <v>4596</v>
      </c>
      <c r="U27" s="4">
        <v>474.05</v>
      </c>
      <c r="V27" s="4" t="s">
        <v>4557</v>
      </c>
      <c r="W27" s="4" t="s">
        <v>4558</v>
      </c>
      <c r="X27" s="4" t="s">
        <v>85</v>
      </c>
      <c r="Y27" s="18">
        <v>45879.6626041667</v>
      </c>
      <c r="Z27" s="4" t="s">
        <v>4570</v>
      </c>
      <c r="AA27" s="4" t="s">
        <v>4571</v>
      </c>
      <c r="AB27" s="4">
        <v>1</v>
      </c>
      <c r="AC27" s="4" t="s">
        <v>4561</v>
      </c>
      <c r="AD27" s="4" t="s">
        <v>98</v>
      </c>
      <c r="AE27" s="4" t="s">
        <v>92</v>
      </c>
      <c r="AF27" s="4" t="s">
        <v>95</v>
      </c>
      <c r="AG27" s="4">
        <v>499</v>
      </c>
      <c r="AH27" s="4">
        <v>499</v>
      </c>
      <c r="AI27" s="4">
        <v>0</v>
      </c>
      <c r="AJ27" s="4">
        <v>0</v>
      </c>
      <c r="AK27" s="4">
        <v>0</v>
      </c>
      <c r="AL27" s="4">
        <v>0</v>
      </c>
      <c r="AM27" s="5">
        <v>0</v>
      </c>
      <c r="AN27" s="5">
        <v>0</v>
      </c>
      <c r="AO27" s="5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499</v>
      </c>
      <c r="AW27" s="5">
        <v>499</v>
      </c>
      <c r="AX27" s="5">
        <v>-24.95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F27" s="4">
        <v>-24.95</v>
      </c>
      <c r="BH27" s="4">
        <v>0</v>
      </c>
      <c r="BI27" s="4" t="s">
        <v>4562</v>
      </c>
    </row>
    <row r="28" spans="1:61">
      <c r="A28">
        <f t="shared" si="0"/>
        <v>2025</v>
      </c>
      <c r="B28">
        <f t="shared" si="1"/>
        <v>8</v>
      </c>
      <c r="C28" t="str">
        <f t="shared" si="2"/>
        <v>'6944950715772180275</v>
      </c>
      <c r="F28" t="str" cm="1">
        <f t="array" ref="F28">IFERROR(INDEX('抖音订单-按支付日期-ABF列，要先手动清除空格'!G:G,MATCH(RIGHT(S28,LEN(S28)-1)&amp;RIGHT(T28,LEN(T28)-1)&amp;RIGHT(Z28,LEN(Z28)-1),'抖音订单-按支付日期-ABF列，要先手动清除空格'!A:A&amp;'抖音订单-按支付日期-ABF列，要先手动清除空格'!B:B&amp;'抖音订单-按支付日期-ABF列，要先手动清除空格'!F:F,0)),0)</f>
        <v>	Z1578-浅灰色-M</v>
      </c>
      <c r="G28" s="17" t="str">
        <f t="shared" si="3"/>
        <v>Z1578</v>
      </c>
      <c r="H28" cm="1">
        <f t="array" ref="H28">IFERROR(_xlfn.IFS(AND(W28="已结算",AW28&gt;30),AB28,LEFT(W28,5)="结算后退款",-AB28,LEFT(W28,5)="保证金退款",0),0)</f>
        <v>1</v>
      </c>
      <c r="I28">
        <f t="shared" si="4"/>
        <v>289</v>
      </c>
      <c r="J28">
        <f t="shared" si="5"/>
        <v>0</v>
      </c>
      <c r="K28">
        <f t="shared" si="6"/>
        <v>0</v>
      </c>
      <c r="L28">
        <f t="shared" si="7"/>
        <v>-14.45</v>
      </c>
      <c r="M28">
        <f t="shared" si="8"/>
        <v>0</v>
      </c>
      <c r="O28">
        <f t="shared" si="9"/>
        <v>274.55</v>
      </c>
      <c r="R28" s="18">
        <v>45890.5067476852</v>
      </c>
      <c r="S28" s="4" t="s">
        <v>4597</v>
      </c>
      <c r="T28" s="4" t="s">
        <v>4597</v>
      </c>
      <c r="U28" s="4">
        <v>274.55</v>
      </c>
      <c r="V28" s="4" t="s">
        <v>4557</v>
      </c>
      <c r="W28" s="4" t="s">
        <v>4558</v>
      </c>
      <c r="X28" s="4" t="s">
        <v>85</v>
      </c>
      <c r="Y28" s="18">
        <v>45874.6647685185</v>
      </c>
      <c r="Z28" s="4" t="s">
        <v>4564</v>
      </c>
      <c r="AA28" s="4" t="s">
        <v>4565</v>
      </c>
      <c r="AB28" s="4">
        <v>1</v>
      </c>
      <c r="AC28" s="4" t="s">
        <v>4561</v>
      </c>
      <c r="AD28" s="4" t="s">
        <v>98</v>
      </c>
      <c r="AE28" s="4" t="s">
        <v>92</v>
      </c>
      <c r="AF28" s="4" t="s">
        <v>95</v>
      </c>
      <c r="AG28" s="4">
        <v>289</v>
      </c>
      <c r="AH28" s="4">
        <v>289</v>
      </c>
      <c r="AI28" s="4">
        <v>0</v>
      </c>
      <c r="AJ28" s="4">
        <v>0</v>
      </c>
      <c r="AK28" s="4">
        <v>0</v>
      </c>
      <c r="AL28" s="4">
        <v>0</v>
      </c>
      <c r="AM28" s="5">
        <v>0</v>
      </c>
      <c r="AN28" s="5">
        <v>0</v>
      </c>
      <c r="AO28" s="5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289</v>
      </c>
      <c r="AW28" s="5">
        <v>289</v>
      </c>
      <c r="AX28" s="5">
        <v>-14.45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F28" s="4">
        <v>-14.45</v>
      </c>
      <c r="BH28" s="4">
        <v>0</v>
      </c>
      <c r="BI28" s="4" t="s">
        <v>4562</v>
      </c>
    </row>
    <row r="29" spans="1:61">
      <c r="A29">
        <f t="shared" si="0"/>
        <v>2025</v>
      </c>
      <c r="B29">
        <f t="shared" si="1"/>
        <v>8</v>
      </c>
      <c r="C29" t="str">
        <f t="shared" si="2"/>
        <v>'6945101596984350471</v>
      </c>
      <c r="F29" t="str" cm="1">
        <f t="array" ref="F29">IFERROR(INDEX('抖音订单-按支付日期-ABF列，要先手动清除空格'!G:G,MATCH(RIGHT(S29,LEN(S29)-1)&amp;RIGHT(T29,LEN(T29)-1)&amp;RIGHT(Z29,LEN(Z29)-1),'抖音订单-按支付日期-ABF列，要先手动清除空格'!A:A&amp;'抖音订单-按支付日期-ABF列，要先手动清除空格'!B:B&amp;'抖音订单-按支付日期-ABF列，要先手动清除空格'!F:F,0)),0)</f>
        <v>	Z2183-米白色-L</v>
      </c>
      <c r="G29" s="17" t="str">
        <f t="shared" si="3"/>
        <v>Z2183</v>
      </c>
      <c r="H29" cm="1">
        <f t="array" ref="H29">IFERROR(_xlfn.IFS(AND(W29="已结算",AW29&gt;30),AB29,LEFT(W29,5)="结算后退款",-AB29,LEFT(W29,5)="保证金退款",0),0)</f>
        <v>1</v>
      </c>
      <c r="I29">
        <f t="shared" si="4"/>
        <v>112</v>
      </c>
      <c r="J29">
        <f t="shared" si="5"/>
        <v>17</v>
      </c>
      <c r="K29">
        <f t="shared" si="6"/>
        <v>0</v>
      </c>
      <c r="L29">
        <f t="shared" si="7"/>
        <v>-6.45</v>
      </c>
      <c r="M29">
        <f t="shared" si="8"/>
        <v>0</v>
      </c>
      <c r="O29">
        <f t="shared" si="9"/>
        <v>122.55</v>
      </c>
      <c r="R29" s="18">
        <v>45890.5067476852</v>
      </c>
      <c r="S29" s="4" t="s">
        <v>4598</v>
      </c>
      <c r="T29" s="4" t="s">
        <v>4598</v>
      </c>
      <c r="U29" s="4">
        <v>122.55</v>
      </c>
      <c r="V29" s="4" t="s">
        <v>4557</v>
      </c>
      <c r="W29" s="4" t="s">
        <v>4558</v>
      </c>
      <c r="X29" s="4" t="s">
        <v>85</v>
      </c>
      <c r="Y29" s="18">
        <v>45879.7790393519</v>
      </c>
      <c r="Z29" s="4" t="s">
        <v>4579</v>
      </c>
      <c r="AA29" s="4" t="s">
        <v>4580</v>
      </c>
      <c r="AB29" s="4">
        <v>1</v>
      </c>
      <c r="AC29" s="4" t="s">
        <v>4561</v>
      </c>
      <c r="AD29" s="4" t="s">
        <v>98</v>
      </c>
      <c r="AE29" s="4" t="s">
        <v>92</v>
      </c>
      <c r="AF29" s="4" t="s">
        <v>95</v>
      </c>
      <c r="AG29" s="4">
        <v>129</v>
      </c>
      <c r="AH29" s="4">
        <v>129</v>
      </c>
      <c r="AI29" s="4">
        <v>0</v>
      </c>
      <c r="AJ29" s="4">
        <v>0</v>
      </c>
      <c r="AK29" s="4">
        <v>0</v>
      </c>
      <c r="AL29" s="4">
        <v>0</v>
      </c>
      <c r="AM29" s="5">
        <v>15</v>
      </c>
      <c r="AN29" s="5">
        <v>0</v>
      </c>
      <c r="AO29" s="5">
        <v>0</v>
      </c>
      <c r="AP29" s="4">
        <v>0</v>
      </c>
      <c r="AQ29" s="4">
        <v>0</v>
      </c>
      <c r="AR29" s="4">
        <v>2</v>
      </c>
      <c r="AS29" s="4">
        <v>0</v>
      </c>
      <c r="AT29" s="4">
        <v>0</v>
      </c>
      <c r="AU29" s="4">
        <v>0</v>
      </c>
      <c r="AV29" s="4">
        <v>112</v>
      </c>
      <c r="AW29" s="5">
        <v>129</v>
      </c>
      <c r="AX29" s="5">
        <v>-6.45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F29" s="4">
        <v>-6.45</v>
      </c>
      <c r="BH29" s="4">
        <v>0</v>
      </c>
      <c r="BI29" s="4" t="s">
        <v>4562</v>
      </c>
    </row>
    <row r="30" spans="1:61">
      <c r="A30">
        <f t="shared" si="0"/>
        <v>2025</v>
      </c>
      <c r="B30">
        <f t="shared" si="1"/>
        <v>8</v>
      </c>
      <c r="C30" t="str">
        <f t="shared" si="2"/>
        <v>'6945099068288406909</v>
      </c>
      <c r="F30" t="str" cm="1">
        <f t="array" ref="F30">IFERROR(INDEX('抖音订单-按支付日期-ABF列，要先手动清除空格'!G:G,MATCH(RIGHT(S30,LEN(S30)-1)&amp;RIGHT(T30,LEN(T30)-1)&amp;RIGHT(Z30,LEN(Z30)-1),'抖音订单-按支付日期-ABF列，要先手动清除空格'!A:A&amp;'抖音订单-按支付日期-ABF列，要先手动清除空格'!B:B&amp;'抖音订单-按支付日期-ABF列，要先手动清除空格'!F:F,0)),0)</f>
        <v>	Z1688-黑色-S</v>
      </c>
      <c r="G30" s="17" t="str">
        <f t="shared" si="3"/>
        <v>Z1688</v>
      </c>
      <c r="H30" cm="1">
        <f t="array" ref="H30">IFERROR(_xlfn.IFS(AND(W30="已结算",AW30&gt;30),AB30,LEFT(W30,5)="结算后退款",-AB30,LEFT(W30,5)="保证金退款",0),0)</f>
        <v>1</v>
      </c>
      <c r="I30">
        <f t="shared" si="4"/>
        <v>499</v>
      </c>
      <c r="J30">
        <f t="shared" si="5"/>
        <v>0</v>
      </c>
      <c r="K30">
        <f t="shared" si="6"/>
        <v>0</v>
      </c>
      <c r="L30">
        <f t="shared" si="7"/>
        <v>-24.95</v>
      </c>
      <c r="M30">
        <f t="shared" si="8"/>
        <v>0</v>
      </c>
      <c r="O30">
        <f t="shared" si="9"/>
        <v>474.05</v>
      </c>
      <c r="R30" s="18">
        <v>45890.7425694444</v>
      </c>
      <c r="S30" s="4" t="s">
        <v>4599</v>
      </c>
      <c r="T30" s="4" t="s">
        <v>4599</v>
      </c>
      <c r="U30" s="4">
        <v>474.05</v>
      </c>
      <c r="V30" s="4" t="s">
        <v>4557</v>
      </c>
      <c r="W30" s="4" t="s">
        <v>4558</v>
      </c>
      <c r="X30" s="4" t="s">
        <v>85</v>
      </c>
      <c r="Y30" s="18">
        <v>45879.6626157407</v>
      </c>
      <c r="Z30" s="4" t="s">
        <v>4570</v>
      </c>
      <c r="AA30" s="4" t="s">
        <v>4571</v>
      </c>
      <c r="AB30" s="4">
        <v>1</v>
      </c>
      <c r="AC30" s="4" t="s">
        <v>4561</v>
      </c>
      <c r="AD30" s="4" t="s">
        <v>98</v>
      </c>
      <c r="AE30" s="4" t="s">
        <v>92</v>
      </c>
      <c r="AF30" s="4" t="s">
        <v>95</v>
      </c>
      <c r="AG30" s="4">
        <v>499</v>
      </c>
      <c r="AH30" s="4">
        <v>499</v>
      </c>
      <c r="AI30" s="4">
        <v>0</v>
      </c>
      <c r="AJ30" s="4">
        <v>0</v>
      </c>
      <c r="AK30" s="4">
        <v>0</v>
      </c>
      <c r="AL30" s="4">
        <v>0</v>
      </c>
      <c r="AM30" s="5">
        <v>0</v>
      </c>
      <c r="AN30" s="5">
        <v>0</v>
      </c>
      <c r="AO30" s="5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499</v>
      </c>
      <c r="AW30" s="5">
        <v>499</v>
      </c>
      <c r="AX30" s="5">
        <v>-24.95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F30" s="4">
        <v>-24.95</v>
      </c>
      <c r="BH30" s="4">
        <v>0</v>
      </c>
      <c r="BI30" s="4" t="s">
        <v>4562</v>
      </c>
    </row>
    <row r="31" spans="1:61">
      <c r="A31">
        <f t="shared" si="0"/>
        <v>2025</v>
      </c>
      <c r="B31">
        <f t="shared" si="1"/>
        <v>8</v>
      </c>
      <c r="C31" t="str">
        <f t="shared" si="2"/>
        <v>'6945125745113634337</v>
      </c>
      <c r="F31" t="str" cm="1">
        <f t="array" ref="F31">IFERROR(INDEX('抖音订单-按支付日期-ABF列，要先手动清除空格'!G:G,MATCH(RIGHT(S31,LEN(S31)-1)&amp;RIGHT(T31,LEN(T31)-1)&amp;RIGHT(Z31,LEN(Z31)-1),'抖音订单-按支付日期-ABF列，要先手动清除空格'!A:A&amp;'抖音订单-按支付日期-ABF列，要先手动清除空格'!B:B&amp;'抖音订单-按支付日期-ABF列，要先手动清除空格'!F:F,0)),0)</f>
        <v>	Z1688-黑色-L</v>
      </c>
      <c r="G31" s="17" t="str">
        <f t="shared" si="3"/>
        <v>Z1688</v>
      </c>
      <c r="H31" cm="1">
        <f t="array" ref="H31">IFERROR(_xlfn.IFS(AND(W31="已结算",AW31&gt;30),AB31,LEFT(W31,5)="结算后退款",-AB31,LEFT(W31,5)="保证金退款",0),0)</f>
        <v>1</v>
      </c>
      <c r="I31">
        <f t="shared" si="4"/>
        <v>499</v>
      </c>
      <c r="J31">
        <f t="shared" si="5"/>
        <v>0</v>
      </c>
      <c r="K31">
        <f t="shared" si="6"/>
        <v>0</v>
      </c>
      <c r="L31">
        <f t="shared" si="7"/>
        <v>-24.95</v>
      </c>
      <c r="M31">
        <f t="shared" si="8"/>
        <v>0</v>
      </c>
      <c r="O31">
        <f t="shared" si="9"/>
        <v>474.05</v>
      </c>
      <c r="R31" s="18">
        <v>45891.3843518519</v>
      </c>
      <c r="S31" s="4" t="s">
        <v>4600</v>
      </c>
      <c r="T31" s="4" t="s">
        <v>4600</v>
      </c>
      <c r="U31" s="4">
        <v>474.05</v>
      </c>
      <c r="V31" s="4" t="s">
        <v>4557</v>
      </c>
      <c r="W31" s="4" t="s">
        <v>4558</v>
      </c>
      <c r="X31" s="4" t="s">
        <v>85</v>
      </c>
      <c r="Y31" s="18">
        <v>45879.6674884259</v>
      </c>
      <c r="Z31" s="4" t="s">
        <v>4570</v>
      </c>
      <c r="AA31" s="4" t="s">
        <v>4571</v>
      </c>
      <c r="AB31" s="4">
        <v>1</v>
      </c>
      <c r="AC31" s="4" t="s">
        <v>4561</v>
      </c>
      <c r="AD31" s="4" t="s">
        <v>98</v>
      </c>
      <c r="AE31" s="4" t="s">
        <v>92</v>
      </c>
      <c r="AF31" s="4" t="s">
        <v>95</v>
      </c>
      <c r="AG31" s="4">
        <v>499</v>
      </c>
      <c r="AH31" s="4">
        <v>499</v>
      </c>
      <c r="AI31" s="4">
        <v>0</v>
      </c>
      <c r="AJ31" s="4">
        <v>0</v>
      </c>
      <c r="AK31" s="4">
        <v>0</v>
      </c>
      <c r="AL31" s="4">
        <v>0</v>
      </c>
      <c r="AM31" s="5">
        <v>0</v>
      </c>
      <c r="AN31" s="5">
        <v>0</v>
      </c>
      <c r="AO31" s="5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499</v>
      </c>
      <c r="AW31" s="5">
        <v>499</v>
      </c>
      <c r="AX31" s="5">
        <v>-24.95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F31" s="4">
        <v>-24.95</v>
      </c>
      <c r="BH31" s="4">
        <v>0</v>
      </c>
      <c r="BI31" s="4" t="s">
        <v>4562</v>
      </c>
    </row>
    <row r="32" spans="1:61">
      <c r="A32">
        <f t="shared" si="0"/>
        <v>2025</v>
      </c>
      <c r="B32">
        <f t="shared" si="1"/>
        <v>8</v>
      </c>
      <c r="C32" t="str">
        <f t="shared" si="2"/>
        <v>'6944892079395116489</v>
      </c>
      <c r="F32" t="str" cm="1">
        <f t="array" ref="F32">IFERROR(INDEX('抖音订单-按支付日期-ABF列，要先手动清除空格'!G:G,MATCH(RIGHT(S32,LEN(S32)-1)&amp;RIGHT(T32,LEN(T32)-1)&amp;RIGHT(Z32,LEN(Z32)-1),'抖音订单-按支付日期-ABF列，要先手动清除空格'!A:A&amp;'抖音订单-按支付日期-ABF列，要先手动清除空格'!B:B&amp;'抖音订单-按支付日期-ABF列，要先手动清除空格'!F:F,0)),0)</f>
        <v>	Z2183-黑色-XL</v>
      </c>
      <c r="G32" s="17" t="str">
        <f t="shared" si="3"/>
        <v>Z2183</v>
      </c>
      <c r="H32" cm="1">
        <f t="array" ref="H32">IFERROR(_xlfn.IFS(AND(W32="已结算",AW32&gt;30),AB32,LEFT(W32,5)="结算后退款",-AB32,LEFT(W32,5)="保证金退款",0),0)</f>
        <v>1</v>
      </c>
      <c r="I32">
        <f t="shared" si="4"/>
        <v>129</v>
      </c>
      <c r="J32">
        <f t="shared" si="5"/>
        <v>0</v>
      </c>
      <c r="K32">
        <f t="shared" si="6"/>
        <v>0</v>
      </c>
      <c r="L32">
        <f t="shared" si="7"/>
        <v>-6.45</v>
      </c>
      <c r="M32">
        <f t="shared" si="8"/>
        <v>0</v>
      </c>
      <c r="O32">
        <f t="shared" si="9"/>
        <v>122.55</v>
      </c>
      <c r="R32" s="18">
        <v>45891.4397106481</v>
      </c>
      <c r="S32" s="4" t="s">
        <v>4601</v>
      </c>
      <c r="T32" s="4" t="s">
        <v>4601</v>
      </c>
      <c r="U32" s="4">
        <v>122.55</v>
      </c>
      <c r="V32" s="4" t="s">
        <v>4557</v>
      </c>
      <c r="W32" s="4" t="s">
        <v>4558</v>
      </c>
      <c r="X32" s="4" t="s">
        <v>85</v>
      </c>
      <c r="Y32" s="18">
        <v>45872.8702430556</v>
      </c>
      <c r="Z32" s="4" t="s">
        <v>4579</v>
      </c>
      <c r="AA32" s="4" t="s">
        <v>4580</v>
      </c>
      <c r="AB32" s="4">
        <v>1</v>
      </c>
      <c r="AC32" s="4" t="s">
        <v>4561</v>
      </c>
      <c r="AD32" s="4" t="s">
        <v>98</v>
      </c>
      <c r="AE32" s="4" t="s">
        <v>92</v>
      </c>
      <c r="AF32" s="4" t="s">
        <v>95</v>
      </c>
      <c r="AG32" s="4">
        <v>129</v>
      </c>
      <c r="AH32" s="4">
        <v>129</v>
      </c>
      <c r="AI32" s="4">
        <v>0</v>
      </c>
      <c r="AJ32" s="4">
        <v>0</v>
      </c>
      <c r="AK32" s="4">
        <v>0</v>
      </c>
      <c r="AL32" s="4">
        <v>0</v>
      </c>
      <c r="AM32" s="5">
        <v>0</v>
      </c>
      <c r="AN32" s="5">
        <v>0</v>
      </c>
      <c r="AO32" s="5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129</v>
      </c>
      <c r="AW32" s="5">
        <v>129</v>
      </c>
      <c r="AX32" s="5">
        <v>-6.45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F32" s="4">
        <v>-6.45</v>
      </c>
      <c r="BH32" s="4">
        <v>0</v>
      </c>
      <c r="BI32" s="4" t="s">
        <v>4562</v>
      </c>
    </row>
    <row r="33" spans="1:61">
      <c r="A33">
        <f t="shared" si="0"/>
        <v>2025</v>
      </c>
      <c r="B33">
        <f t="shared" si="1"/>
        <v>8</v>
      </c>
      <c r="C33" t="str">
        <f t="shared" si="2"/>
        <v>'6945119329413174815</v>
      </c>
      <c r="F33" t="str" cm="1">
        <f t="array" ref="F33">IFERROR(INDEX('抖音订单-按支付日期-ABF列，要先手动清除空格'!G:G,MATCH(RIGHT(S33,LEN(S33)-1)&amp;RIGHT(T33,LEN(T33)-1)&amp;RIGHT(Z33,LEN(Z33)-1),'抖音订单-按支付日期-ABF列，要先手动清除空格'!A:A&amp;'抖音订单-按支付日期-ABF列，要先手动清除空格'!B:B&amp;'抖音订单-按支付日期-ABF列，要先手动清除空格'!F:F,0)),0)</f>
        <v>	Z476-灰色-L</v>
      </c>
      <c r="G33" s="17" t="str">
        <f t="shared" si="3"/>
        <v>Z476</v>
      </c>
      <c r="H33" cm="1">
        <f t="array" ref="H33">IFERROR(_xlfn.IFS(AND(W33="已结算",AW33&gt;30),AB33,LEFT(W33,5)="结算后退款",-AB33,LEFT(W33,5)="保证金退款",0),0)</f>
        <v>1</v>
      </c>
      <c r="I33">
        <f t="shared" si="4"/>
        <v>180</v>
      </c>
      <c r="J33">
        <f t="shared" si="5"/>
        <v>0</v>
      </c>
      <c r="K33">
        <f t="shared" si="6"/>
        <v>0</v>
      </c>
      <c r="L33">
        <f t="shared" si="7"/>
        <v>-9</v>
      </c>
      <c r="M33">
        <f t="shared" si="8"/>
        <v>0</v>
      </c>
      <c r="O33">
        <f t="shared" si="9"/>
        <v>171</v>
      </c>
      <c r="R33" s="18">
        <v>45892.3535069444</v>
      </c>
      <c r="S33" s="4" t="s">
        <v>4602</v>
      </c>
      <c r="T33" s="4" t="s">
        <v>4602</v>
      </c>
      <c r="U33" s="4">
        <v>171</v>
      </c>
      <c r="V33" s="4" t="s">
        <v>4557</v>
      </c>
      <c r="W33" s="4" t="s">
        <v>4558</v>
      </c>
      <c r="X33" s="4" t="s">
        <v>85</v>
      </c>
      <c r="Y33" s="18">
        <v>45879.7713541667</v>
      </c>
      <c r="Z33" s="4" t="s">
        <v>4603</v>
      </c>
      <c r="AA33" s="4" t="s">
        <v>4604</v>
      </c>
      <c r="AB33" s="4">
        <v>1</v>
      </c>
      <c r="AC33" s="4" t="s">
        <v>4561</v>
      </c>
      <c r="AD33" s="4" t="s">
        <v>98</v>
      </c>
      <c r="AE33" s="4" t="s">
        <v>92</v>
      </c>
      <c r="AF33" s="4" t="s">
        <v>95</v>
      </c>
      <c r="AG33" s="4">
        <v>180</v>
      </c>
      <c r="AH33" s="4">
        <v>180</v>
      </c>
      <c r="AI33" s="4">
        <v>0</v>
      </c>
      <c r="AJ33" s="4">
        <v>0</v>
      </c>
      <c r="AK33" s="4">
        <v>0</v>
      </c>
      <c r="AL33" s="4">
        <v>0</v>
      </c>
      <c r="AM33" s="5">
        <v>0</v>
      </c>
      <c r="AN33" s="5">
        <v>0</v>
      </c>
      <c r="AO33" s="5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180</v>
      </c>
      <c r="AW33" s="5">
        <v>180</v>
      </c>
      <c r="AX33" s="5">
        <v>-9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F33" s="4">
        <v>-9</v>
      </c>
      <c r="BH33" s="4">
        <v>0</v>
      </c>
      <c r="BI33" s="4" t="s">
        <v>4562</v>
      </c>
    </row>
    <row r="34" spans="1:61">
      <c r="A34">
        <f t="shared" si="0"/>
        <v>2025</v>
      </c>
      <c r="B34">
        <f t="shared" si="1"/>
        <v>8</v>
      </c>
      <c r="C34" t="str">
        <f t="shared" si="2"/>
        <v>'6920600395440946785</v>
      </c>
      <c r="F34" t="str" cm="1">
        <f t="array" ref="F34">IFERROR(INDEX('抖音订单-按支付日期-ABF列，要先手动清除空格'!G:G,MATCH(RIGHT(S34,LEN(S34)-1)&amp;RIGHT(T34,LEN(T34)-1)&amp;RIGHT(Z34,LEN(Z34)-1),'抖音订单-按支付日期-ABF列，要先手动清除空格'!A:A&amp;'抖音订单-按支付日期-ABF列，要先手动清除空格'!B:B&amp;'抖音订单-按支付日期-ABF列，要先手动清除空格'!F:F,0)),0)</f>
        <v>	Z2256-粉色-XL</v>
      </c>
      <c r="G34" s="17" t="str">
        <f t="shared" si="3"/>
        <v>Z2256</v>
      </c>
      <c r="H34" cm="1">
        <f t="array" ref="H34">IFERROR(_xlfn.IFS(AND(W34="已结算",AW34&gt;30),AB34,LEFT(W34,5)="结算后退款",-AB34,LEFT(W34,5)="保证金退款",0),0)</f>
        <v>1</v>
      </c>
      <c r="I34">
        <f t="shared" si="4"/>
        <v>299</v>
      </c>
      <c r="J34">
        <f t="shared" si="5"/>
        <v>0</v>
      </c>
      <c r="K34">
        <f t="shared" si="6"/>
        <v>0</v>
      </c>
      <c r="L34">
        <f t="shared" si="7"/>
        <v>-14.95</v>
      </c>
      <c r="M34">
        <f t="shared" si="8"/>
        <v>0</v>
      </c>
      <c r="O34">
        <f t="shared" si="9"/>
        <v>284.05</v>
      </c>
      <c r="R34" s="18">
        <v>45892.5443171296</v>
      </c>
      <c r="S34" s="4" t="s">
        <v>4605</v>
      </c>
      <c r="T34" s="4" t="s">
        <v>4606</v>
      </c>
      <c r="U34" s="4">
        <v>284.05</v>
      </c>
      <c r="V34" s="4" t="s">
        <v>4557</v>
      </c>
      <c r="W34" s="4" t="s">
        <v>4558</v>
      </c>
      <c r="X34" s="4" t="s">
        <v>85</v>
      </c>
      <c r="Y34" s="18">
        <v>45873.5128009259</v>
      </c>
      <c r="Z34" s="4" t="s">
        <v>4607</v>
      </c>
      <c r="AA34" s="4" t="s">
        <v>4608</v>
      </c>
      <c r="AB34" s="4">
        <v>1</v>
      </c>
      <c r="AE34" s="4" t="s">
        <v>216</v>
      </c>
      <c r="AF34" s="4" t="s">
        <v>95</v>
      </c>
      <c r="AG34" s="4">
        <v>299</v>
      </c>
      <c r="AH34" s="4">
        <v>299</v>
      </c>
      <c r="AI34" s="4">
        <v>0</v>
      </c>
      <c r="AJ34" s="4">
        <v>0</v>
      </c>
      <c r="AK34" s="4">
        <v>0</v>
      </c>
      <c r="AL34" s="4">
        <v>0</v>
      </c>
      <c r="AM34" s="5">
        <v>0</v>
      </c>
      <c r="AN34" s="5">
        <v>0</v>
      </c>
      <c r="AO34" s="5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299</v>
      </c>
      <c r="AW34" s="5">
        <v>299</v>
      </c>
      <c r="AX34" s="5">
        <v>-14.95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F34" s="4">
        <v>-14.95</v>
      </c>
      <c r="BG34" s="4" t="s">
        <v>85</v>
      </c>
      <c r="BH34" s="4">
        <v>0</v>
      </c>
      <c r="BI34" s="4" t="s">
        <v>4562</v>
      </c>
    </row>
    <row r="35" spans="1:61">
      <c r="A35">
        <f t="shared" si="0"/>
        <v>2025</v>
      </c>
      <c r="B35">
        <f t="shared" si="1"/>
        <v>8</v>
      </c>
      <c r="C35" t="str">
        <f t="shared" si="2"/>
        <v>'6920600395440946785</v>
      </c>
      <c r="F35" t="str" cm="1">
        <f t="array" ref="F35">IFERROR(INDEX('抖音订单-按支付日期-ABF列，要先手动清除空格'!G:G,MATCH(RIGHT(S35,LEN(S35)-1)&amp;RIGHT(T35,LEN(T35)-1)&amp;RIGHT(Z35,LEN(Z35)-1),'抖音订单-按支付日期-ABF列，要先手动清除空格'!A:A&amp;'抖音订单-按支付日期-ABF列，要先手动清除空格'!B:B&amp;'抖音订单-按支付日期-ABF列，要先手动清除空格'!F:F,0)),0)</f>
        <v>	Z2183-米白色-XL</v>
      </c>
      <c r="G35" s="17" t="str">
        <f t="shared" si="3"/>
        <v>Z2183</v>
      </c>
      <c r="H35" cm="1">
        <f t="array" ref="H35">IFERROR(_xlfn.IFS(AND(W35="已结算",AW35&gt;30),AB35,LEFT(W35,5)="结算后退款",-AB35,LEFT(W35,5)="保证金退款",0),0)</f>
        <v>1</v>
      </c>
      <c r="I35">
        <f t="shared" si="4"/>
        <v>129</v>
      </c>
      <c r="J35">
        <f t="shared" si="5"/>
        <v>0</v>
      </c>
      <c r="K35">
        <f t="shared" si="6"/>
        <v>0</v>
      </c>
      <c r="L35">
        <f t="shared" si="7"/>
        <v>-6.45</v>
      </c>
      <c r="M35">
        <f t="shared" si="8"/>
        <v>0</v>
      </c>
      <c r="O35">
        <f t="shared" si="9"/>
        <v>122.55</v>
      </c>
      <c r="R35" s="18">
        <v>45892.6422800926</v>
      </c>
      <c r="S35" s="4" t="s">
        <v>4605</v>
      </c>
      <c r="T35" s="4" t="s">
        <v>4605</v>
      </c>
      <c r="U35" s="4">
        <v>122.55</v>
      </c>
      <c r="V35" s="4" t="s">
        <v>4557</v>
      </c>
      <c r="W35" s="4" t="s">
        <v>4558</v>
      </c>
      <c r="X35" s="4" t="s">
        <v>85</v>
      </c>
      <c r="Y35" s="18">
        <v>45873.5128009259</v>
      </c>
      <c r="Z35" s="4" t="s">
        <v>4579</v>
      </c>
      <c r="AA35" s="4" t="s">
        <v>4580</v>
      </c>
      <c r="AB35" s="4">
        <v>1</v>
      </c>
      <c r="AC35" s="4" t="s">
        <v>4561</v>
      </c>
      <c r="AD35" s="4" t="s">
        <v>98</v>
      </c>
      <c r="AE35" s="4" t="s">
        <v>92</v>
      </c>
      <c r="AF35" s="4" t="s">
        <v>95</v>
      </c>
      <c r="AG35" s="4">
        <v>129</v>
      </c>
      <c r="AH35" s="4">
        <v>129</v>
      </c>
      <c r="AI35" s="4">
        <v>0</v>
      </c>
      <c r="AJ35" s="4">
        <v>0</v>
      </c>
      <c r="AK35" s="4">
        <v>0</v>
      </c>
      <c r="AL35" s="4">
        <v>0</v>
      </c>
      <c r="AM35" s="5">
        <v>0</v>
      </c>
      <c r="AN35" s="5">
        <v>0</v>
      </c>
      <c r="AO35" s="5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129</v>
      </c>
      <c r="AW35" s="5">
        <v>129</v>
      </c>
      <c r="AX35" s="5">
        <v>-6.45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F35" s="4">
        <v>-6.45</v>
      </c>
      <c r="BG35" s="4" t="s">
        <v>85</v>
      </c>
      <c r="BH35" s="4">
        <v>0</v>
      </c>
      <c r="BI35" s="4" t="s">
        <v>4562</v>
      </c>
    </row>
    <row r="36" spans="1:61">
      <c r="A36">
        <f t="shared" si="0"/>
        <v>2025</v>
      </c>
      <c r="B36">
        <f t="shared" si="1"/>
        <v>8</v>
      </c>
      <c r="C36" t="str">
        <f t="shared" si="2"/>
        <v>'6944950932732318859</v>
      </c>
      <c r="F36" t="str" cm="1">
        <f t="array" ref="F36">IFERROR(INDEX('抖音订单-按支付日期-ABF列，要先手动清除空格'!G:G,MATCH(RIGHT(S36,LEN(S36)-1)&amp;RIGHT(T36,LEN(T36)-1)&amp;RIGHT(Z36,LEN(Z36)-1),'抖音订单-按支付日期-ABF列，要先手动清除空格'!A:A&amp;'抖音订单-按支付日期-ABF列，要先手动清除空格'!B:B&amp;'抖音订单-按支付日期-ABF列，要先手动清除空格'!F:F,0)),0)</f>
        <v>	Z1640-黑色-L</v>
      </c>
      <c r="G36" s="17" t="str">
        <f t="shared" si="3"/>
        <v>Z1640</v>
      </c>
      <c r="H36" cm="1">
        <f t="array" ref="H36">IFERROR(_xlfn.IFS(AND(W36="已结算",AW36&gt;30),AB36,LEFT(W36,5)="结算后退款",-AB36,LEFT(W36,5)="保证金退款",0),0)</f>
        <v>1</v>
      </c>
      <c r="I36">
        <f t="shared" si="4"/>
        <v>289</v>
      </c>
      <c r="J36">
        <f t="shared" si="5"/>
        <v>0</v>
      </c>
      <c r="K36">
        <f t="shared" si="6"/>
        <v>0</v>
      </c>
      <c r="L36">
        <f t="shared" si="7"/>
        <v>-14.45</v>
      </c>
      <c r="M36">
        <f t="shared" si="8"/>
        <v>0</v>
      </c>
      <c r="O36">
        <f t="shared" si="9"/>
        <v>274.55</v>
      </c>
      <c r="R36" s="18">
        <v>45892.6970486111</v>
      </c>
      <c r="S36" s="4" t="s">
        <v>4609</v>
      </c>
      <c r="T36" s="4" t="s">
        <v>4609</v>
      </c>
      <c r="U36" s="4">
        <v>274.55</v>
      </c>
      <c r="V36" s="4" t="s">
        <v>4557</v>
      </c>
      <c r="W36" s="4" t="s">
        <v>4558</v>
      </c>
      <c r="X36" s="4" t="s">
        <v>85</v>
      </c>
      <c r="Y36" s="18">
        <v>45874.6767361111</v>
      </c>
      <c r="Z36" s="4" t="s">
        <v>4559</v>
      </c>
      <c r="AA36" s="4" t="s">
        <v>4560</v>
      </c>
      <c r="AB36" s="4">
        <v>1</v>
      </c>
      <c r="AC36" s="4" t="s">
        <v>4561</v>
      </c>
      <c r="AD36" s="4" t="s">
        <v>98</v>
      </c>
      <c r="AE36" s="4" t="s">
        <v>92</v>
      </c>
      <c r="AF36" s="4" t="s">
        <v>95</v>
      </c>
      <c r="AG36" s="4">
        <v>289</v>
      </c>
      <c r="AH36" s="4">
        <v>289</v>
      </c>
      <c r="AI36" s="4">
        <v>0</v>
      </c>
      <c r="AJ36" s="4">
        <v>0</v>
      </c>
      <c r="AK36" s="4">
        <v>0</v>
      </c>
      <c r="AL36" s="4">
        <v>0</v>
      </c>
      <c r="AM36" s="5">
        <v>0</v>
      </c>
      <c r="AN36" s="5">
        <v>0</v>
      </c>
      <c r="AO36" s="5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289</v>
      </c>
      <c r="AW36" s="5">
        <v>289</v>
      </c>
      <c r="AX36" s="5">
        <v>-14.45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F36" s="4">
        <v>-14.45</v>
      </c>
      <c r="BH36" s="4">
        <v>0</v>
      </c>
      <c r="BI36" s="4" t="s">
        <v>4562</v>
      </c>
    </row>
    <row r="37" spans="1:61">
      <c r="A37">
        <f t="shared" si="0"/>
        <v>2025</v>
      </c>
      <c r="B37">
        <f t="shared" si="1"/>
        <v>8</v>
      </c>
      <c r="C37" t="str">
        <f t="shared" si="2"/>
        <v>'6945097200975353681</v>
      </c>
      <c r="F37" t="str" cm="1">
        <f t="array" ref="F37">IFERROR(INDEX('抖音订单-按支付日期-ABF列，要先手动清除空格'!G:G,MATCH(RIGHT(S37,LEN(S37)-1)&amp;RIGHT(T37,LEN(T37)-1)&amp;RIGHT(Z37,LEN(Z37)-1),'抖音订单-按支付日期-ABF列，要先手动清除空格'!A:A&amp;'抖音订单-按支付日期-ABF列，要先手动清除空格'!B:B&amp;'抖音订单-按支付日期-ABF列，要先手动清除空格'!F:F,0)),0)</f>
        <v>	Z1688-黑色-M</v>
      </c>
      <c r="G37" s="17" t="str">
        <f t="shared" si="3"/>
        <v>Z1688</v>
      </c>
      <c r="H37" cm="1">
        <f t="array" ref="H37">IFERROR(_xlfn.IFS(AND(W37="已结算",AW37&gt;30),AB37,LEFT(W37,5)="结算后退款",-AB37,LEFT(W37,5)="保证金退款",0),0)</f>
        <v>1</v>
      </c>
      <c r="I37">
        <f t="shared" si="4"/>
        <v>499</v>
      </c>
      <c r="J37">
        <f t="shared" si="5"/>
        <v>0</v>
      </c>
      <c r="K37">
        <f t="shared" si="6"/>
        <v>0</v>
      </c>
      <c r="L37">
        <f t="shared" si="7"/>
        <v>-24.95</v>
      </c>
      <c r="M37">
        <f t="shared" si="8"/>
        <v>0</v>
      </c>
      <c r="O37">
        <f t="shared" si="9"/>
        <v>474.05</v>
      </c>
      <c r="R37" s="18">
        <v>45893.5184837963</v>
      </c>
      <c r="S37" s="4" t="s">
        <v>4610</v>
      </c>
      <c r="T37" s="4" t="s">
        <v>4610</v>
      </c>
      <c r="U37" s="4">
        <v>474.05</v>
      </c>
      <c r="V37" s="4" t="s">
        <v>4557</v>
      </c>
      <c r="W37" s="4" t="s">
        <v>4558</v>
      </c>
      <c r="X37" s="4" t="s">
        <v>85</v>
      </c>
      <c r="Y37" s="18">
        <v>45879.8625</v>
      </c>
      <c r="Z37" s="4" t="s">
        <v>4570</v>
      </c>
      <c r="AA37" s="4" t="s">
        <v>4571</v>
      </c>
      <c r="AB37" s="4">
        <v>1</v>
      </c>
      <c r="AC37" s="4" t="s">
        <v>4561</v>
      </c>
      <c r="AD37" s="4" t="s">
        <v>98</v>
      </c>
      <c r="AE37" s="4" t="s">
        <v>92</v>
      </c>
      <c r="AF37" s="4" t="s">
        <v>95</v>
      </c>
      <c r="AG37" s="4">
        <v>499</v>
      </c>
      <c r="AH37" s="4">
        <v>499</v>
      </c>
      <c r="AI37" s="4">
        <v>0</v>
      </c>
      <c r="AJ37" s="4">
        <v>0</v>
      </c>
      <c r="AK37" s="4">
        <v>0</v>
      </c>
      <c r="AL37" s="4">
        <v>0</v>
      </c>
      <c r="AM37" s="5">
        <v>0</v>
      </c>
      <c r="AN37" s="5">
        <v>0</v>
      </c>
      <c r="AO37" s="5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499</v>
      </c>
      <c r="AW37" s="5">
        <v>499</v>
      </c>
      <c r="AX37" s="5">
        <v>-24.95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F37" s="4">
        <v>-24.95</v>
      </c>
      <c r="BH37" s="4">
        <v>0</v>
      </c>
      <c r="BI37" s="4" t="s">
        <v>4562</v>
      </c>
    </row>
    <row r="38" spans="1:61">
      <c r="A38">
        <f t="shared" si="0"/>
        <v>2025</v>
      </c>
      <c r="B38">
        <f t="shared" si="1"/>
        <v>8</v>
      </c>
      <c r="C38" t="str">
        <f t="shared" si="2"/>
        <v>'6944913823821207524</v>
      </c>
      <c r="F38" t="str" cm="1">
        <f t="array" ref="F38">IFERROR(INDEX('抖音订单-按支付日期-ABF列，要先手动清除空格'!G:G,MATCH(RIGHT(S38,LEN(S38)-1)&amp;RIGHT(T38,LEN(T38)-1)&amp;RIGHT(Z38,LEN(Z38)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38" s="17" t="str">
        <f t="shared" si="3"/>
        <v>Z1640</v>
      </c>
      <c r="H38" cm="1">
        <f t="array" ref="H38">IFERROR(_xlfn.IFS(AND(W38="已结算",AW38&gt;30),AB38,LEFT(W38,5)="结算后退款",-AB38,LEFT(W38,5)="保证金退款",0),0)</f>
        <v>1</v>
      </c>
      <c r="I38">
        <f t="shared" si="4"/>
        <v>289</v>
      </c>
      <c r="J38">
        <f t="shared" si="5"/>
        <v>0</v>
      </c>
      <c r="K38">
        <f t="shared" si="6"/>
        <v>0</v>
      </c>
      <c r="L38">
        <f t="shared" si="7"/>
        <v>-14.45</v>
      </c>
      <c r="M38">
        <f t="shared" si="8"/>
        <v>0</v>
      </c>
      <c r="O38">
        <f t="shared" si="9"/>
        <v>274.55</v>
      </c>
      <c r="R38" s="18">
        <v>45893.5184837963</v>
      </c>
      <c r="S38" s="4" t="s">
        <v>4611</v>
      </c>
      <c r="T38" s="4" t="s">
        <v>4611</v>
      </c>
      <c r="U38" s="4">
        <v>274.55</v>
      </c>
      <c r="V38" s="4" t="s">
        <v>4557</v>
      </c>
      <c r="W38" s="4" t="s">
        <v>4558</v>
      </c>
      <c r="X38" s="4" t="s">
        <v>85</v>
      </c>
      <c r="Y38" s="18">
        <v>45872.6715972222</v>
      </c>
      <c r="Z38" s="4" t="s">
        <v>4559</v>
      </c>
      <c r="AA38" s="4" t="s">
        <v>4560</v>
      </c>
      <c r="AB38" s="4">
        <v>1</v>
      </c>
      <c r="AC38" s="4" t="s">
        <v>4561</v>
      </c>
      <c r="AD38" s="4" t="s">
        <v>98</v>
      </c>
      <c r="AE38" s="4" t="s">
        <v>92</v>
      </c>
      <c r="AF38" s="4" t="s">
        <v>95</v>
      </c>
      <c r="AG38" s="4">
        <v>289</v>
      </c>
      <c r="AH38" s="4">
        <v>289</v>
      </c>
      <c r="AI38" s="4">
        <v>0</v>
      </c>
      <c r="AJ38" s="4">
        <v>0</v>
      </c>
      <c r="AK38" s="4">
        <v>0</v>
      </c>
      <c r="AL38" s="4">
        <v>0</v>
      </c>
      <c r="AM38" s="5">
        <v>0</v>
      </c>
      <c r="AN38" s="5">
        <v>0</v>
      </c>
      <c r="AO38" s="5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289</v>
      </c>
      <c r="AW38" s="5">
        <v>289</v>
      </c>
      <c r="AX38" s="5">
        <v>-14.45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F38" s="4">
        <v>-14.45</v>
      </c>
      <c r="BH38" s="4">
        <v>0</v>
      </c>
      <c r="BI38" s="4" t="s">
        <v>4562</v>
      </c>
    </row>
    <row r="39" spans="1:61">
      <c r="A39">
        <f t="shared" si="0"/>
        <v>2025</v>
      </c>
      <c r="B39">
        <f t="shared" si="1"/>
        <v>8</v>
      </c>
      <c r="C39" t="str">
        <f t="shared" si="2"/>
        <v>'6944953285442541377</v>
      </c>
      <c r="F39" t="str" cm="1">
        <f t="array" ref="F39">IFERROR(INDEX('抖音订单-按支付日期-ABF列，要先手动清除空格'!G:G,MATCH(RIGHT(S39,LEN(S39)-1)&amp;RIGHT(T39,LEN(T39)-1)&amp;RIGHT(Z39,LEN(Z39)-1),'抖音订单-按支付日期-ABF列，要先手动清除空格'!A:A&amp;'抖音订单-按支付日期-ABF列，要先手动清除空格'!B:B&amp;'抖音订单-按支付日期-ABF列，要先手动清除空格'!F:F,0)),0)</f>
        <v>	Z2183-黑色-M</v>
      </c>
      <c r="G39" s="17" t="str">
        <f t="shared" si="3"/>
        <v>Z2183</v>
      </c>
      <c r="H39" cm="1">
        <f t="array" ref="H39">IFERROR(_xlfn.IFS(AND(W39="已结算",AW39&gt;30),AB39,LEFT(W39,5)="结算后退款",-AB39,LEFT(W39,5)="保证金退款",0),0)</f>
        <v>1</v>
      </c>
      <c r="I39">
        <f t="shared" si="4"/>
        <v>129</v>
      </c>
      <c r="J39">
        <f t="shared" si="5"/>
        <v>0</v>
      </c>
      <c r="K39">
        <f t="shared" si="6"/>
        <v>0</v>
      </c>
      <c r="L39">
        <f t="shared" si="7"/>
        <v>-6.45</v>
      </c>
      <c r="M39">
        <f t="shared" si="8"/>
        <v>0</v>
      </c>
      <c r="O39">
        <f t="shared" si="9"/>
        <v>122.55</v>
      </c>
      <c r="R39" s="18">
        <v>45893.6209375</v>
      </c>
      <c r="S39" s="4" t="s">
        <v>4612</v>
      </c>
      <c r="T39" s="4" t="s">
        <v>4612</v>
      </c>
      <c r="U39" s="4">
        <v>122.55</v>
      </c>
      <c r="V39" s="4" t="s">
        <v>4557</v>
      </c>
      <c r="W39" s="4" t="s">
        <v>4558</v>
      </c>
      <c r="X39" s="4" t="s">
        <v>85</v>
      </c>
      <c r="Y39" s="18">
        <v>45874.9346064815</v>
      </c>
      <c r="Z39" s="4" t="s">
        <v>4579</v>
      </c>
      <c r="AA39" s="4" t="s">
        <v>4580</v>
      </c>
      <c r="AB39" s="4">
        <v>1</v>
      </c>
      <c r="AC39" s="4" t="s">
        <v>4561</v>
      </c>
      <c r="AD39" s="4" t="s">
        <v>98</v>
      </c>
      <c r="AE39" s="4" t="s">
        <v>92</v>
      </c>
      <c r="AF39" s="4" t="s">
        <v>95</v>
      </c>
      <c r="AG39" s="4">
        <v>129</v>
      </c>
      <c r="AH39" s="4">
        <v>129</v>
      </c>
      <c r="AI39" s="4">
        <v>0</v>
      </c>
      <c r="AJ39" s="4">
        <v>0</v>
      </c>
      <c r="AK39" s="4">
        <v>0</v>
      </c>
      <c r="AL39" s="4">
        <v>0</v>
      </c>
      <c r="AM39" s="5">
        <v>0</v>
      </c>
      <c r="AN39" s="5">
        <v>0</v>
      </c>
      <c r="AO39" s="5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129</v>
      </c>
      <c r="AW39" s="5">
        <v>129</v>
      </c>
      <c r="AX39" s="5">
        <v>-6.45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F39" s="4">
        <v>-6.45</v>
      </c>
      <c r="BH39" s="4">
        <v>0</v>
      </c>
      <c r="BI39" s="4" t="s">
        <v>4562</v>
      </c>
    </row>
    <row r="40" spans="1:61">
      <c r="A40">
        <f t="shared" si="0"/>
        <v>2025</v>
      </c>
      <c r="B40">
        <f t="shared" si="1"/>
        <v>8</v>
      </c>
      <c r="C40" t="str">
        <f t="shared" si="2"/>
        <v>'6920679374368898969</v>
      </c>
      <c r="F40" t="str" cm="1">
        <f t="array" ref="F40">IFERROR(INDEX('抖音订单-按支付日期-ABF列，要先手动清除空格'!G:G,MATCH(RIGHT(S40,LEN(S40)-1)&amp;RIGHT(T40,LEN(T40)-1)&amp;RIGHT(Z40,LEN(Z40)-1),'抖音订单-按支付日期-ABF列，要先手动清除空格'!A:A&amp;'抖音订单-按支付日期-ABF列，要先手动清除空格'!B:B&amp;'抖音订单-按支付日期-ABF列，要先手动清除空格'!F:F,0)),0)</f>
        <v>	Z482-黑色-M</v>
      </c>
      <c r="G40" s="17" t="str">
        <f t="shared" si="3"/>
        <v>Z482</v>
      </c>
      <c r="H40" cm="1">
        <f t="array" ref="H40">IFERROR(_xlfn.IFS(AND(W40="已结算",AW40&gt;30),AB40,LEFT(W40,5)="结算后退款",-AB40,LEFT(W40,5)="保证金退款",0),0)</f>
        <v>1</v>
      </c>
      <c r="I40">
        <f t="shared" si="4"/>
        <v>289</v>
      </c>
      <c r="J40">
        <f t="shared" si="5"/>
        <v>0</v>
      </c>
      <c r="K40">
        <f t="shared" si="6"/>
        <v>0</v>
      </c>
      <c r="L40">
        <f t="shared" si="7"/>
        <v>-14.45</v>
      </c>
      <c r="M40">
        <f t="shared" si="8"/>
        <v>0</v>
      </c>
      <c r="O40">
        <f t="shared" si="9"/>
        <v>274.55</v>
      </c>
      <c r="R40" s="18">
        <v>45894.507037037</v>
      </c>
      <c r="S40" s="4" t="s">
        <v>4613</v>
      </c>
      <c r="T40" s="4" t="s">
        <v>4613</v>
      </c>
      <c r="U40" s="4">
        <v>274.55</v>
      </c>
      <c r="V40" s="4" t="s">
        <v>4557</v>
      </c>
      <c r="W40" s="4" t="s">
        <v>4558</v>
      </c>
      <c r="X40" s="4" t="s">
        <v>85</v>
      </c>
      <c r="Y40" s="18">
        <v>45879.7694560185</v>
      </c>
      <c r="Z40" s="4" t="s">
        <v>4614</v>
      </c>
      <c r="AA40" s="4" t="s">
        <v>4615</v>
      </c>
      <c r="AB40" s="4">
        <v>1</v>
      </c>
      <c r="AC40" s="4" t="s">
        <v>4561</v>
      </c>
      <c r="AD40" s="4" t="s">
        <v>98</v>
      </c>
      <c r="AE40" s="4" t="s">
        <v>92</v>
      </c>
      <c r="AF40" s="4" t="s">
        <v>95</v>
      </c>
      <c r="AG40" s="4">
        <v>289</v>
      </c>
      <c r="AH40" s="4">
        <v>289</v>
      </c>
      <c r="AI40" s="4">
        <v>0</v>
      </c>
      <c r="AJ40" s="4">
        <v>0</v>
      </c>
      <c r="AK40" s="4">
        <v>0</v>
      </c>
      <c r="AL40" s="4">
        <v>0</v>
      </c>
      <c r="AM40" s="5">
        <v>0</v>
      </c>
      <c r="AN40" s="5">
        <v>0</v>
      </c>
      <c r="AO40" s="5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289</v>
      </c>
      <c r="AW40" s="5">
        <v>289</v>
      </c>
      <c r="AX40" s="5">
        <v>-14.45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F40" s="4">
        <v>-14.45</v>
      </c>
      <c r="BH40" s="4">
        <v>0</v>
      </c>
      <c r="BI40" s="4" t="s">
        <v>4562</v>
      </c>
    </row>
    <row r="41" spans="1:61">
      <c r="A41">
        <f t="shared" si="0"/>
        <v>2025</v>
      </c>
      <c r="B41">
        <f t="shared" si="1"/>
        <v>8</v>
      </c>
      <c r="C41" t="str">
        <f t="shared" si="2"/>
        <v>'6920688272115924197</v>
      </c>
      <c r="F41" t="str" cm="1">
        <f t="array" ref="F41">IFERROR(INDEX('抖音订单-按支付日期-ABF列，要先手动清除空格'!G:G,MATCH(RIGHT(S41,LEN(S41)-1)&amp;RIGHT(T41,LEN(T41)-1)&amp;RIGHT(Z41,LEN(Z41)-1),'抖音订单-按支付日期-ABF列，要先手动清除空格'!A:A&amp;'抖音订单-按支付日期-ABF列，要先手动清除空格'!B:B&amp;'抖音订单-按支付日期-ABF列，要先手动清除空格'!F:F,0)),0)</f>
        <v>	Z482-黑色-L</v>
      </c>
      <c r="G41" s="17" t="str">
        <f t="shared" si="3"/>
        <v>Z482</v>
      </c>
      <c r="H41" cm="1">
        <f t="array" ref="H41">IFERROR(_xlfn.IFS(AND(W41="已结算",AW41&gt;30),AB41,LEFT(W41,5)="结算后退款",-AB41,LEFT(W41,5)="保证金退款",0),0)</f>
        <v>1</v>
      </c>
      <c r="I41">
        <f t="shared" si="4"/>
        <v>289</v>
      </c>
      <c r="J41">
        <f t="shared" si="5"/>
        <v>0</v>
      </c>
      <c r="K41">
        <f t="shared" si="6"/>
        <v>0</v>
      </c>
      <c r="L41">
        <f t="shared" si="7"/>
        <v>-14.45</v>
      </c>
      <c r="M41">
        <f t="shared" si="8"/>
        <v>0</v>
      </c>
      <c r="O41">
        <f t="shared" si="9"/>
        <v>274.55</v>
      </c>
      <c r="R41" s="18">
        <v>45894.5190162037</v>
      </c>
      <c r="S41" s="4" t="s">
        <v>4616</v>
      </c>
      <c r="T41" s="4" t="s">
        <v>4616</v>
      </c>
      <c r="U41" s="4">
        <v>274.55</v>
      </c>
      <c r="V41" s="4" t="s">
        <v>4557</v>
      </c>
      <c r="W41" s="4" t="s">
        <v>4558</v>
      </c>
      <c r="X41" s="4" t="s">
        <v>85</v>
      </c>
      <c r="Y41" s="18">
        <v>45879.8126273148</v>
      </c>
      <c r="Z41" s="4" t="s">
        <v>4614</v>
      </c>
      <c r="AA41" s="4" t="s">
        <v>4615</v>
      </c>
      <c r="AB41" s="4">
        <v>1</v>
      </c>
      <c r="AC41" s="4" t="s">
        <v>4561</v>
      </c>
      <c r="AD41" s="4" t="s">
        <v>98</v>
      </c>
      <c r="AE41" s="4" t="s">
        <v>92</v>
      </c>
      <c r="AF41" s="4" t="s">
        <v>95</v>
      </c>
      <c r="AG41" s="4">
        <v>289</v>
      </c>
      <c r="AH41" s="4">
        <v>289</v>
      </c>
      <c r="AI41" s="4">
        <v>0</v>
      </c>
      <c r="AJ41" s="4">
        <v>0</v>
      </c>
      <c r="AK41" s="4">
        <v>0</v>
      </c>
      <c r="AL41" s="4">
        <v>0</v>
      </c>
      <c r="AM41" s="5">
        <v>0</v>
      </c>
      <c r="AN41" s="5">
        <v>0</v>
      </c>
      <c r="AO41" s="5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289</v>
      </c>
      <c r="AW41" s="5">
        <v>289</v>
      </c>
      <c r="AX41" s="5">
        <v>-14.45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F41" s="4">
        <v>-14.45</v>
      </c>
      <c r="BH41" s="4">
        <v>0</v>
      </c>
      <c r="BI41" s="4" t="s">
        <v>4562</v>
      </c>
    </row>
    <row r="42" spans="1:61">
      <c r="A42">
        <f t="shared" si="0"/>
        <v>2025</v>
      </c>
      <c r="B42">
        <f t="shared" si="1"/>
        <v>8</v>
      </c>
      <c r="C42" t="str">
        <f t="shared" si="2"/>
        <v>'6945123623644894425</v>
      </c>
      <c r="F42" t="str" cm="1">
        <f t="array" ref="F42">IFERROR(INDEX('抖音订单-按支付日期-ABF列，要先手动清除空格'!G:G,MATCH(RIGHT(S42,LEN(S42)-1)&amp;RIGHT(T42,LEN(T42)-1)&amp;RIGHT(Z42,LEN(Z42)-1),'抖音订单-按支付日期-ABF列，要先手动清除空格'!A:A&amp;'抖音订单-按支付日期-ABF列，要先手动清除空格'!B:B&amp;'抖音订单-按支付日期-ABF列，要先手动清除空格'!F:F,0)),0)</f>
        <v>	Z482-黑色-S</v>
      </c>
      <c r="G42" s="17" t="str">
        <f t="shared" si="3"/>
        <v>Z482</v>
      </c>
      <c r="H42" cm="1">
        <f t="array" ref="H42">IFERROR(_xlfn.IFS(AND(W42="已结算",AW42&gt;30),AB42,LEFT(W42,5)="结算后退款",-AB42,LEFT(W42,5)="保证金退款",0),0)</f>
        <v>1</v>
      </c>
      <c r="I42">
        <f t="shared" si="4"/>
        <v>289</v>
      </c>
      <c r="J42">
        <f t="shared" si="5"/>
        <v>0</v>
      </c>
      <c r="K42">
        <f t="shared" si="6"/>
        <v>0</v>
      </c>
      <c r="L42">
        <f t="shared" si="7"/>
        <v>-14.45</v>
      </c>
      <c r="M42">
        <f t="shared" si="8"/>
        <v>0</v>
      </c>
      <c r="O42">
        <f t="shared" si="9"/>
        <v>274.55</v>
      </c>
      <c r="R42" s="18">
        <v>45894.5190277778</v>
      </c>
      <c r="S42" s="4" t="s">
        <v>4617</v>
      </c>
      <c r="T42" s="4" t="s">
        <v>4617</v>
      </c>
      <c r="U42" s="4">
        <v>274.55</v>
      </c>
      <c r="V42" s="4" t="s">
        <v>4557</v>
      </c>
      <c r="W42" s="4" t="s">
        <v>4558</v>
      </c>
      <c r="X42" s="4" t="s">
        <v>85</v>
      </c>
      <c r="Y42" s="18">
        <v>45879.7719444444</v>
      </c>
      <c r="Z42" s="4" t="s">
        <v>4614</v>
      </c>
      <c r="AA42" s="4" t="s">
        <v>4615</v>
      </c>
      <c r="AB42" s="4">
        <v>1</v>
      </c>
      <c r="AC42" s="4" t="s">
        <v>4561</v>
      </c>
      <c r="AD42" s="4" t="s">
        <v>98</v>
      </c>
      <c r="AE42" s="4" t="s">
        <v>92</v>
      </c>
      <c r="AF42" s="4" t="s">
        <v>95</v>
      </c>
      <c r="AG42" s="4">
        <v>289</v>
      </c>
      <c r="AH42" s="4">
        <v>289</v>
      </c>
      <c r="AI42" s="4">
        <v>0</v>
      </c>
      <c r="AJ42" s="4">
        <v>0</v>
      </c>
      <c r="AK42" s="4">
        <v>0</v>
      </c>
      <c r="AL42" s="4">
        <v>0</v>
      </c>
      <c r="AM42" s="5">
        <v>0</v>
      </c>
      <c r="AN42" s="5">
        <v>0</v>
      </c>
      <c r="AO42" s="5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289</v>
      </c>
      <c r="AW42" s="5">
        <v>289</v>
      </c>
      <c r="AX42" s="5">
        <v>-14.45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F42" s="4">
        <v>-14.45</v>
      </c>
      <c r="BH42" s="4">
        <v>0</v>
      </c>
      <c r="BI42" s="4" t="s">
        <v>4562</v>
      </c>
    </row>
    <row r="43" spans="1:61">
      <c r="A43">
        <f t="shared" si="0"/>
        <v>2025</v>
      </c>
      <c r="B43">
        <f t="shared" si="1"/>
        <v>8</v>
      </c>
      <c r="C43" t="str">
        <f t="shared" si="2"/>
        <v>'6945117197164287538</v>
      </c>
      <c r="F43" t="str" cm="1">
        <f t="array" ref="F43">IFERROR(INDEX('抖音订单-按支付日期-ABF列，要先手动清除空格'!G:G,MATCH(RIGHT(S43,LEN(S43)-1)&amp;RIGHT(T43,LEN(T43)-1)&amp;RIGHT(Z43,LEN(Z43)-1),'抖音订单-按支付日期-ABF列，要先手动清除空格'!A:A&amp;'抖音订单-按支付日期-ABF列，要先手动清除空格'!B:B&amp;'抖音订单-按支付日期-ABF列，要先手动清除空格'!F:F,0)),0)</f>
        <v>	Z482-黑色-S</v>
      </c>
      <c r="G43" s="17" t="str">
        <f t="shared" si="3"/>
        <v>Z482</v>
      </c>
      <c r="H43" cm="1">
        <f t="array" ref="H43">IFERROR(_xlfn.IFS(AND(W43="已结算",AW43&gt;30),AB43,LEFT(W43,5)="结算后退款",-AB43,LEFT(W43,5)="保证金退款",0),0)</f>
        <v>1</v>
      </c>
      <c r="I43">
        <f t="shared" si="4"/>
        <v>289</v>
      </c>
      <c r="J43">
        <f t="shared" si="5"/>
        <v>0</v>
      </c>
      <c r="K43">
        <f t="shared" si="6"/>
        <v>0</v>
      </c>
      <c r="L43">
        <f t="shared" si="7"/>
        <v>-14.45</v>
      </c>
      <c r="M43">
        <f t="shared" si="8"/>
        <v>0</v>
      </c>
      <c r="O43">
        <f t="shared" si="9"/>
        <v>274.55</v>
      </c>
      <c r="R43" s="18">
        <v>45894.6589930556</v>
      </c>
      <c r="S43" s="4" t="s">
        <v>4618</v>
      </c>
      <c r="T43" s="4" t="s">
        <v>4618</v>
      </c>
      <c r="U43" s="4">
        <v>274.55</v>
      </c>
      <c r="V43" s="4" t="s">
        <v>4557</v>
      </c>
      <c r="W43" s="4" t="s">
        <v>4558</v>
      </c>
      <c r="X43" s="4" t="s">
        <v>85</v>
      </c>
      <c r="Y43" s="18">
        <v>45879.7694328704</v>
      </c>
      <c r="Z43" s="4" t="s">
        <v>4614</v>
      </c>
      <c r="AA43" s="4" t="s">
        <v>4615</v>
      </c>
      <c r="AB43" s="4">
        <v>1</v>
      </c>
      <c r="AC43" s="4" t="s">
        <v>4561</v>
      </c>
      <c r="AD43" s="4" t="s">
        <v>98</v>
      </c>
      <c r="AE43" s="4" t="s">
        <v>92</v>
      </c>
      <c r="AF43" s="4" t="s">
        <v>95</v>
      </c>
      <c r="AG43" s="4">
        <v>289</v>
      </c>
      <c r="AH43" s="4">
        <v>289</v>
      </c>
      <c r="AI43" s="4">
        <v>0</v>
      </c>
      <c r="AJ43" s="4">
        <v>0</v>
      </c>
      <c r="AK43" s="4">
        <v>0</v>
      </c>
      <c r="AL43" s="4">
        <v>0</v>
      </c>
      <c r="AM43" s="5">
        <v>0</v>
      </c>
      <c r="AN43" s="5">
        <v>0</v>
      </c>
      <c r="AO43" s="5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289</v>
      </c>
      <c r="AW43" s="5">
        <v>289</v>
      </c>
      <c r="AX43" s="5">
        <v>-14.45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F43" s="4">
        <v>-14.45</v>
      </c>
      <c r="BH43" s="4">
        <v>0</v>
      </c>
      <c r="BI43" s="4" t="s">
        <v>4562</v>
      </c>
    </row>
    <row r="44" spans="1:61">
      <c r="A44">
        <f t="shared" si="0"/>
        <v>2025</v>
      </c>
      <c r="B44">
        <f t="shared" si="1"/>
        <v>8</v>
      </c>
      <c r="C44" t="str">
        <f t="shared" si="2"/>
        <v>'6920678506888920975</v>
      </c>
      <c r="F44" t="str" cm="1">
        <f t="array" ref="F44">IFERROR(INDEX('抖音订单-按支付日期-ABF列，要先手动清除空格'!G:G,MATCH(RIGHT(S44,LEN(S44)-1)&amp;RIGHT(T44,LEN(T44)-1)&amp;RIGHT(Z44,LEN(Z44)-1),'抖音订单-按支付日期-ABF列，要先手动清除空格'!A:A&amp;'抖音订单-按支付日期-ABF列，要先手动清除空格'!B:B&amp;'抖音订单-按支付日期-ABF列，要先手动清除空格'!F:F,0)),0)</f>
        <v>	Z482-黑色-L</v>
      </c>
      <c r="G44" s="17" t="str">
        <f t="shared" si="3"/>
        <v>Z482</v>
      </c>
      <c r="H44" cm="1">
        <f t="array" ref="H44">IFERROR(_xlfn.IFS(AND(W44="已结算",AW44&gt;30),AB44,LEFT(W44,5)="结算后退款",-AB44,LEFT(W44,5)="保证金退款",0),0)</f>
        <v>1</v>
      </c>
      <c r="I44">
        <f t="shared" si="4"/>
        <v>289</v>
      </c>
      <c r="J44">
        <f t="shared" si="5"/>
        <v>0</v>
      </c>
      <c r="K44">
        <f t="shared" si="6"/>
        <v>0</v>
      </c>
      <c r="L44">
        <f t="shared" si="7"/>
        <v>-14.45</v>
      </c>
      <c r="M44">
        <f t="shared" si="8"/>
        <v>0</v>
      </c>
      <c r="O44">
        <f t="shared" si="9"/>
        <v>274.55</v>
      </c>
      <c r="R44" s="18">
        <v>45894.8365046296</v>
      </c>
      <c r="S44" s="4" t="s">
        <v>4619</v>
      </c>
      <c r="T44" s="4" t="s">
        <v>4619</v>
      </c>
      <c r="U44" s="4">
        <v>274.55</v>
      </c>
      <c r="V44" s="4" t="s">
        <v>4557</v>
      </c>
      <c r="W44" s="4" t="s">
        <v>4558</v>
      </c>
      <c r="X44" s="4" t="s">
        <v>85</v>
      </c>
      <c r="Y44" s="18">
        <v>45879.7694328704</v>
      </c>
      <c r="Z44" s="4" t="s">
        <v>4614</v>
      </c>
      <c r="AA44" s="4" t="s">
        <v>4615</v>
      </c>
      <c r="AB44" s="4">
        <v>1</v>
      </c>
      <c r="AC44" s="4" t="s">
        <v>4561</v>
      </c>
      <c r="AD44" s="4" t="s">
        <v>98</v>
      </c>
      <c r="AE44" s="4" t="s">
        <v>92</v>
      </c>
      <c r="AF44" s="4" t="s">
        <v>95</v>
      </c>
      <c r="AG44" s="4">
        <v>289</v>
      </c>
      <c r="AH44" s="4">
        <v>289</v>
      </c>
      <c r="AI44" s="4">
        <v>0</v>
      </c>
      <c r="AJ44" s="4">
        <v>0</v>
      </c>
      <c r="AK44" s="4">
        <v>0</v>
      </c>
      <c r="AL44" s="4">
        <v>0</v>
      </c>
      <c r="AM44" s="5">
        <v>0</v>
      </c>
      <c r="AN44" s="5">
        <v>0</v>
      </c>
      <c r="AO44" s="5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289</v>
      </c>
      <c r="AW44" s="5">
        <v>289</v>
      </c>
      <c r="AX44" s="5">
        <v>-14.45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F44" s="4">
        <v>-14.45</v>
      </c>
      <c r="BH44" s="4">
        <v>0</v>
      </c>
      <c r="BI44" s="4" t="s">
        <v>4562</v>
      </c>
    </row>
    <row r="45" spans="1:61">
      <c r="A45">
        <f t="shared" si="0"/>
        <v>2025</v>
      </c>
      <c r="B45">
        <f t="shared" si="1"/>
        <v>8</v>
      </c>
      <c r="C45" t="str">
        <f t="shared" si="2"/>
        <v>'6944950906906088501</v>
      </c>
      <c r="F45" t="str" cm="1">
        <f t="array" ref="F45">IFERROR(INDEX('抖音订单-按支付日期-ABF列，要先手动清除空格'!G:G,MATCH(RIGHT(S45,LEN(S45)-1)&amp;RIGHT(T45,LEN(T45)-1)&amp;RIGHT(Z45,LEN(Z45)-1),'抖音订单-按支付日期-ABF列，要先手动清除空格'!A:A&amp;'抖音订单-按支付日期-ABF列，要先手动清除空格'!B:B&amp;'抖音订单-按支付日期-ABF列，要先手动清除空格'!F:F,0)),0)</f>
        <v>	Z1578-浅灰色-M</v>
      </c>
      <c r="G45" s="17" t="str">
        <f t="shared" si="3"/>
        <v>Z1578</v>
      </c>
      <c r="H45" cm="1">
        <f t="array" ref="H45">IFERROR(_xlfn.IFS(AND(W45="已结算",AW45&gt;30),AB45,LEFT(W45,5)="结算后退款",-AB45,LEFT(W45,5)="保证金退款",0),0)</f>
        <v>1</v>
      </c>
      <c r="I45">
        <f t="shared" si="4"/>
        <v>289</v>
      </c>
      <c r="J45">
        <f t="shared" si="5"/>
        <v>0</v>
      </c>
      <c r="K45">
        <f t="shared" si="6"/>
        <v>0</v>
      </c>
      <c r="L45">
        <f t="shared" si="7"/>
        <v>-14.45</v>
      </c>
      <c r="M45">
        <f t="shared" si="8"/>
        <v>0</v>
      </c>
      <c r="O45">
        <f t="shared" si="9"/>
        <v>274.55</v>
      </c>
      <c r="R45" s="18">
        <v>45895.5788194444</v>
      </c>
      <c r="S45" s="4" t="s">
        <v>4620</v>
      </c>
      <c r="T45" s="4" t="s">
        <v>4620</v>
      </c>
      <c r="U45" s="4">
        <v>274.55</v>
      </c>
      <c r="V45" s="4" t="s">
        <v>4557</v>
      </c>
      <c r="W45" s="4" t="s">
        <v>4558</v>
      </c>
      <c r="X45" s="4" t="s">
        <v>85</v>
      </c>
      <c r="Y45" s="18">
        <v>45874.6751967593</v>
      </c>
      <c r="Z45" s="4" t="s">
        <v>4564</v>
      </c>
      <c r="AA45" s="4" t="s">
        <v>4565</v>
      </c>
      <c r="AB45" s="4">
        <v>1</v>
      </c>
      <c r="AC45" s="4" t="s">
        <v>4561</v>
      </c>
      <c r="AD45" s="4" t="s">
        <v>98</v>
      </c>
      <c r="AE45" s="4" t="s">
        <v>92</v>
      </c>
      <c r="AF45" s="4" t="s">
        <v>95</v>
      </c>
      <c r="AG45" s="4">
        <v>289</v>
      </c>
      <c r="AH45" s="4">
        <v>289</v>
      </c>
      <c r="AI45" s="4">
        <v>0</v>
      </c>
      <c r="AJ45" s="4">
        <v>0</v>
      </c>
      <c r="AK45" s="4">
        <v>0</v>
      </c>
      <c r="AL45" s="4">
        <v>0</v>
      </c>
      <c r="AM45" s="5">
        <v>0</v>
      </c>
      <c r="AN45" s="5">
        <v>0</v>
      </c>
      <c r="AO45" s="5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289</v>
      </c>
      <c r="AW45" s="5">
        <v>289</v>
      </c>
      <c r="AX45" s="5">
        <v>-14.45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F45" s="4">
        <v>-14.45</v>
      </c>
      <c r="BH45" s="4">
        <v>0</v>
      </c>
      <c r="BI45" s="4" t="s">
        <v>4562</v>
      </c>
    </row>
    <row r="46" spans="1:61">
      <c r="A46">
        <f t="shared" si="0"/>
        <v>2025</v>
      </c>
      <c r="B46">
        <f t="shared" si="1"/>
        <v>8</v>
      </c>
      <c r="C46" t="str">
        <f t="shared" si="2"/>
        <v>'6944887162760664290</v>
      </c>
      <c r="F46" t="str" cm="1">
        <f t="array" ref="F46">IFERROR(INDEX('抖音订单-按支付日期-ABF列，要先手动清除空格'!G:G,MATCH(RIGHT(S46,LEN(S46)-1)&amp;RIGHT(T46,LEN(T46)-1)&amp;RIGHT(Z46,LEN(Z46)-1),'抖音订单-按支付日期-ABF列，要先手动清除空格'!A:A&amp;'抖音订单-按支付日期-ABF列，要先手动清除空格'!B:B&amp;'抖音订单-按支付日期-ABF列，要先手动清除空格'!F:F,0)),0)</f>
        <v>	Z1640-黑色-L</v>
      </c>
      <c r="G46" s="17" t="str">
        <f t="shared" si="3"/>
        <v>Z1640</v>
      </c>
      <c r="H46" cm="1">
        <f t="array" ref="H46">IFERROR(_xlfn.IFS(AND(W46="已结算",AW46&gt;30),AB46,LEFT(W46,5)="结算后退款",-AB46,LEFT(W46,5)="保证金退款",0),0)</f>
        <v>1</v>
      </c>
      <c r="I46">
        <f t="shared" si="4"/>
        <v>289</v>
      </c>
      <c r="J46">
        <f t="shared" si="5"/>
        <v>0</v>
      </c>
      <c r="K46">
        <f t="shared" si="6"/>
        <v>0</v>
      </c>
      <c r="L46">
        <f t="shared" si="7"/>
        <v>-14.45</v>
      </c>
      <c r="M46">
        <f t="shared" si="8"/>
        <v>0</v>
      </c>
      <c r="O46">
        <f t="shared" si="9"/>
        <v>274.55</v>
      </c>
      <c r="R46" s="18">
        <v>45895.637349537</v>
      </c>
      <c r="S46" s="4" t="s">
        <v>4621</v>
      </c>
      <c r="T46" s="4" t="s">
        <v>4621</v>
      </c>
      <c r="U46" s="4">
        <v>274.55</v>
      </c>
      <c r="V46" s="4" t="s">
        <v>4557</v>
      </c>
      <c r="W46" s="4" t="s">
        <v>4558</v>
      </c>
      <c r="X46" s="4" t="s">
        <v>85</v>
      </c>
      <c r="Y46" s="18">
        <v>45872.6714930556</v>
      </c>
      <c r="Z46" s="4" t="s">
        <v>4559</v>
      </c>
      <c r="AA46" s="4" t="s">
        <v>4560</v>
      </c>
      <c r="AB46" s="4">
        <v>1</v>
      </c>
      <c r="AC46" s="4" t="s">
        <v>4561</v>
      </c>
      <c r="AD46" s="4" t="s">
        <v>98</v>
      </c>
      <c r="AE46" s="4" t="s">
        <v>92</v>
      </c>
      <c r="AF46" s="4" t="s">
        <v>95</v>
      </c>
      <c r="AG46" s="4">
        <v>289</v>
      </c>
      <c r="AH46" s="4">
        <v>289</v>
      </c>
      <c r="AI46" s="4">
        <v>0</v>
      </c>
      <c r="AJ46" s="4">
        <v>0</v>
      </c>
      <c r="AK46" s="4">
        <v>0</v>
      </c>
      <c r="AL46" s="4">
        <v>0</v>
      </c>
      <c r="AM46" s="5">
        <v>0</v>
      </c>
      <c r="AN46" s="5">
        <v>0</v>
      </c>
      <c r="AO46" s="5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289</v>
      </c>
      <c r="AW46" s="5">
        <v>289</v>
      </c>
      <c r="AX46" s="5">
        <v>-14.45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F46" s="4">
        <v>-14.45</v>
      </c>
      <c r="BH46" s="4">
        <v>0</v>
      </c>
      <c r="BI46" s="4" t="s">
        <v>4562</v>
      </c>
    </row>
    <row r="47" spans="1:61">
      <c r="A47" s="2">
        <f t="shared" si="0"/>
        <v>2025</v>
      </c>
      <c r="B47" s="2">
        <f t="shared" si="1"/>
        <v>8</v>
      </c>
      <c r="C47" t="str">
        <f t="shared" si="2"/>
        <v>'6945125745113634337</v>
      </c>
      <c r="F47" t="str" cm="1">
        <f t="array" ref="F47">IFERROR(INDEX('抖音订单-按支付日期-ABF列，要先手动清除空格'!G:G,MATCH(RIGHT(S47,LEN(S47)-1)&amp;RIGHT(T47,LEN(T47)-1)&amp;RIGHT(Z47,LEN(Z47)-1),'抖音订单-按支付日期-ABF列，要先手动清除空格'!A:A&amp;'抖音订单-按支付日期-ABF列，要先手动清除空格'!B:B&amp;'抖音订单-按支付日期-ABF列，要先手动清除空格'!F:F,0)),0)</f>
        <v>	Z1688-黑色-L</v>
      </c>
      <c r="G47" s="17" t="str">
        <f t="shared" si="3"/>
        <v>Z1688</v>
      </c>
      <c r="H47" cm="1">
        <f t="array" ref="H47">IFERROR(_xlfn.IFS(AND(W47="已结算",AW47&gt;30),AB47,LEFT(W47,5)="结算后退款",-AB47,LEFT(W47,5)="保证金退款",0),0)</f>
        <v>-1</v>
      </c>
      <c r="I47">
        <f t="shared" si="4"/>
        <v>-499</v>
      </c>
      <c r="J47">
        <f t="shared" si="5"/>
        <v>0</v>
      </c>
      <c r="K47">
        <f t="shared" si="6"/>
        <v>0</v>
      </c>
      <c r="L47">
        <f t="shared" si="7"/>
        <v>24.95</v>
      </c>
      <c r="M47">
        <f t="shared" si="8"/>
        <v>0</v>
      </c>
      <c r="O47">
        <f t="shared" si="9"/>
        <v>-474.05</v>
      </c>
      <c r="R47" s="18">
        <v>45895.6588310185</v>
      </c>
      <c r="S47" s="4" t="s">
        <v>4600</v>
      </c>
      <c r="T47" s="4" t="s">
        <v>4600</v>
      </c>
      <c r="U47" s="4">
        <v>-474.05</v>
      </c>
      <c r="V47" s="4" t="s">
        <v>4557</v>
      </c>
      <c r="W47" s="4" t="s">
        <v>4622</v>
      </c>
      <c r="X47" s="4" t="s">
        <v>85</v>
      </c>
      <c r="Y47" s="18">
        <v>45879.6674884259</v>
      </c>
      <c r="Z47" s="4" t="s">
        <v>4570</v>
      </c>
      <c r="AA47" s="4" t="s">
        <v>4571</v>
      </c>
      <c r="AB47" s="4">
        <v>1</v>
      </c>
      <c r="AC47" s="4" t="s">
        <v>4561</v>
      </c>
      <c r="AD47" s="4" t="s">
        <v>98</v>
      </c>
      <c r="AE47" s="4" t="s">
        <v>92</v>
      </c>
      <c r="AF47" s="4" t="s">
        <v>95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5">
        <v>0</v>
      </c>
      <c r="AN47" s="5">
        <v>0</v>
      </c>
      <c r="AO47" s="5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-499</v>
      </c>
      <c r="AW47" s="5">
        <v>-499</v>
      </c>
      <c r="AX47" s="5">
        <v>24.95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F47" s="4">
        <v>24.95</v>
      </c>
      <c r="BH47" s="4">
        <v>0</v>
      </c>
      <c r="BI47" s="4" t="s">
        <v>4562</v>
      </c>
    </row>
    <row r="48" spans="1:61">
      <c r="A48">
        <f t="shared" si="0"/>
        <v>2025</v>
      </c>
      <c r="B48">
        <f t="shared" si="1"/>
        <v>8</v>
      </c>
      <c r="C48" t="str">
        <f t="shared" si="2"/>
        <v>'6945249536084416116</v>
      </c>
      <c r="F48" t="str" cm="1">
        <f t="array" ref="F48">IFERROR(INDEX('抖音订单-按支付日期-ABF列，要先手动清除空格'!G:G,MATCH(RIGHT(S48,LEN(S48)-1)&amp;RIGHT(T48,LEN(T48)-1)&amp;RIGHT(Z48,LEN(Z48)-1),'抖音订单-按支付日期-ABF列，要先手动清除空格'!A:A&amp;'抖音订单-按支付日期-ABF列，要先手动清除空格'!B:B&amp;'抖音订单-按支付日期-ABF列，要先手动清除空格'!F:F,0)),0)</f>
        <v>	Z2183-米白色-M</v>
      </c>
      <c r="G48" s="17" t="str">
        <f t="shared" si="3"/>
        <v>Z2183</v>
      </c>
      <c r="H48" cm="1">
        <f t="array" ref="H48">IFERROR(_xlfn.IFS(AND(W48="已结算",AW48&gt;30),AB48,LEFT(W48,5)="结算后退款",-AB48,LEFT(W48,5)="保证金退款",0),0)</f>
        <v>1</v>
      </c>
      <c r="I48">
        <f t="shared" si="4"/>
        <v>129</v>
      </c>
      <c r="J48">
        <f t="shared" si="5"/>
        <v>0</v>
      </c>
      <c r="K48">
        <f t="shared" si="6"/>
        <v>0</v>
      </c>
      <c r="L48">
        <f t="shared" si="7"/>
        <v>-6.45</v>
      </c>
      <c r="M48">
        <f t="shared" si="8"/>
        <v>0</v>
      </c>
      <c r="O48">
        <f t="shared" si="9"/>
        <v>122.55</v>
      </c>
      <c r="R48" s="18">
        <v>45895.837337963</v>
      </c>
      <c r="S48" s="4" t="s">
        <v>4623</v>
      </c>
      <c r="T48" s="4" t="s">
        <v>4623</v>
      </c>
      <c r="U48" s="4">
        <v>122.55</v>
      </c>
      <c r="V48" s="4" t="s">
        <v>4557</v>
      </c>
      <c r="W48" s="4" t="s">
        <v>4558</v>
      </c>
      <c r="X48" s="4" t="s">
        <v>85</v>
      </c>
      <c r="Y48" s="18">
        <v>45884.922650463</v>
      </c>
      <c r="Z48" s="4" t="s">
        <v>4579</v>
      </c>
      <c r="AA48" s="4" t="s">
        <v>4580</v>
      </c>
      <c r="AB48" s="4">
        <v>1</v>
      </c>
      <c r="AC48" s="4" t="s">
        <v>4561</v>
      </c>
      <c r="AD48" s="4" t="s">
        <v>98</v>
      </c>
      <c r="AE48" s="4" t="s">
        <v>92</v>
      </c>
      <c r="AF48" s="4" t="s">
        <v>95</v>
      </c>
      <c r="AG48" s="4">
        <v>129</v>
      </c>
      <c r="AH48" s="4">
        <v>129</v>
      </c>
      <c r="AI48" s="4">
        <v>0</v>
      </c>
      <c r="AJ48" s="4">
        <v>0</v>
      </c>
      <c r="AK48" s="4">
        <v>0</v>
      </c>
      <c r="AL48" s="4">
        <v>0</v>
      </c>
      <c r="AM48" s="5">
        <v>0</v>
      </c>
      <c r="AN48" s="5">
        <v>0</v>
      </c>
      <c r="AO48" s="5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129</v>
      </c>
      <c r="AW48" s="5">
        <v>129</v>
      </c>
      <c r="AX48" s="5">
        <v>-6.45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F48" s="4">
        <v>-6.45</v>
      </c>
      <c r="BH48" s="4">
        <v>0</v>
      </c>
      <c r="BI48" s="4" t="s">
        <v>4562</v>
      </c>
    </row>
    <row r="49" spans="1:61">
      <c r="A49">
        <f t="shared" si="0"/>
        <v>2025</v>
      </c>
      <c r="B49">
        <f t="shared" si="1"/>
        <v>8</v>
      </c>
      <c r="C49" t="str">
        <f t="shared" si="2"/>
        <v>'6920685781384396346</v>
      </c>
      <c r="F49" t="str" cm="1">
        <f t="array" ref="F49">IFERROR(INDEX('抖音订单-按支付日期-ABF列，要先手动清除空格'!G:G,MATCH(RIGHT(S49,LEN(S49)-1)&amp;RIGHT(T49,LEN(T49)-1)&amp;RIGHT(Z49,LEN(Z49)-1),'抖音订单-按支付日期-ABF列，要先手动清除空格'!A:A&amp;'抖音订单-按支付日期-ABF列，要先手动清除空格'!B:B&amp;'抖音订单-按支付日期-ABF列，要先手动清除空格'!F:F,0)),0)</f>
        <v>	Z476-灰色-M</v>
      </c>
      <c r="G49" s="17" t="str">
        <f t="shared" si="3"/>
        <v>Z476</v>
      </c>
      <c r="H49" cm="1">
        <f t="array" ref="H49">IFERROR(_xlfn.IFS(AND(W49="已结算",AW49&gt;30),AB49,LEFT(W49,5)="结算后退款",-AB49,LEFT(W49,5)="保证金退款",0),0)</f>
        <v>1</v>
      </c>
      <c r="I49">
        <f t="shared" si="4"/>
        <v>180</v>
      </c>
      <c r="J49">
        <f t="shared" si="5"/>
        <v>0</v>
      </c>
      <c r="K49">
        <f t="shared" si="6"/>
        <v>0</v>
      </c>
      <c r="L49">
        <f t="shared" si="7"/>
        <v>-9</v>
      </c>
      <c r="M49">
        <f t="shared" si="8"/>
        <v>0</v>
      </c>
      <c r="O49">
        <f t="shared" si="9"/>
        <v>171</v>
      </c>
      <c r="R49" s="18">
        <v>45896.5396296296</v>
      </c>
      <c r="S49" s="4" t="s">
        <v>4624</v>
      </c>
      <c r="T49" s="4" t="s">
        <v>4624</v>
      </c>
      <c r="U49" s="4">
        <v>171</v>
      </c>
      <c r="V49" s="4" t="s">
        <v>4557</v>
      </c>
      <c r="W49" s="4" t="s">
        <v>4558</v>
      </c>
      <c r="X49" s="4" t="s">
        <v>85</v>
      </c>
      <c r="Y49" s="18">
        <v>45879.7718402778</v>
      </c>
      <c r="Z49" s="4" t="s">
        <v>4603</v>
      </c>
      <c r="AA49" s="4" t="s">
        <v>4604</v>
      </c>
      <c r="AB49" s="4">
        <v>1</v>
      </c>
      <c r="AC49" s="4" t="s">
        <v>4561</v>
      </c>
      <c r="AD49" s="4" t="s">
        <v>98</v>
      </c>
      <c r="AE49" s="4" t="s">
        <v>92</v>
      </c>
      <c r="AF49" s="4" t="s">
        <v>95</v>
      </c>
      <c r="AG49" s="4">
        <v>180</v>
      </c>
      <c r="AH49" s="4">
        <v>180</v>
      </c>
      <c r="AI49" s="4">
        <v>0</v>
      </c>
      <c r="AJ49" s="4">
        <v>0</v>
      </c>
      <c r="AK49" s="4">
        <v>0</v>
      </c>
      <c r="AL49" s="4">
        <v>0</v>
      </c>
      <c r="AM49" s="5">
        <v>0</v>
      </c>
      <c r="AN49" s="5">
        <v>0</v>
      </c>
      <c r="AO49" s="5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180</v>
      </c>
      <c r="AW49" s="5">
        <v>180</v>
      </c>
      <c r="AX49" s="5">
        <v>-9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F49" s="4">
        <v>-9</v>
      </c>
      <c r="BH49" s="4">
        <v>0</v>
      </c>
      <c r="BI49" s="4" t="s">
        <v>4562</v>
      </c>
    </row>
    <row r="50" spans="1:61">
      <c r="A50">
        <f t="shared" si="0"/>
        <v>2025</v>
      </c>
      <c r="B50">
        <f t="shared" si="1"/>
        <v>8</v>
      </c>
      <c r="C50" t="str">
        <f t="shared" si="2"/>
        <v>'6920673950760664985</v>
      </c>
      <c r="F50" t="str" cm="1">
        <f t="array" ref="F50">IFERROR(INDEX('抖音订单-按支付日期-ABF列，要先手动清除空格'!G:G,MATCH(RIGHT(S50,LEN(S50)-1)&amp;RIGHT(T50,LEN(T50)-1)&amp;RIGHT(Z50,LEN(Z50)-1),'抖音订单-按支付日期-ABF列，要先手动清除空格'!A:A&amp;'抖音订单-按支付日期-ABF列，要先手动清除空格'!B:B&amp;'抖音订单-按支付日期-ABF列，要先手动清除空格'!F:F,0)),0)</f>
        <v>	Z476-灰色-M</v>
      </c>
      <c r="G50" s="17" t="str">
        <f t="shared" si="3"/>
        <v>Z476</v>
      </c>
      <c r="H50" cm="1">
        <f t="array" ref="H50">IFERROR(_xlfn.IFS(AND(W50="已结算",AW50&gt;30),AB50,LEFT(W50,5)="结算后退款",-AB50,LEFT(W50,5)="保证金退款",0),0)</f>
        <v>1</v>
      </c>
      <c r="I50">
        <f t="shared" si="4"/>
        <v>180</v>
      </c>
      <c r="J50">
        <f t="shared" si="5"/>
        <v>0</v>
      </c>
      <c r="K50">
        <f t="shared" si="6"/>
        <v>0</v>
      </c>
      <c r="L50">
        <f t="shared" si="7"/>
        <v>-9</v>
      </c>
      <c r="M50">
        <f t="shared" si="8"/>
        <v>0</v>
      </c>
      <c r="O50">
        <f t="shared" si="9"/>
        <v>171</v>
      </c>
      <c r="R50" s="18">
        <v>45896.5396296296</v>
      </c>
      <c r="S50" s="4" t="s">
        <v>4625</v>
      </c>
      <c r="T50" s="4" t="s">
        <v>4625</v>
      </c>
      <c r="U50" s="4">
        <v>171</v>
      </c>
      <c r="V50" s="4" t="s">
        <v>4557</v>
      </c>
      <c r="W50" s="4" t="s">
        <v>4558</v>
      </c>
      <c r="X50" s="4" t="s">
        <v>85</v>
      </c>
      <c r="Y50" s="18">
        <v>45879.7710185185</v>
      </c>
      <c r="Z50" s="4" t="s">
        <v>4603</v>
      </c>
      <c r="AA50" s="4" t="s">
        <v>4604</v>
      </c>
      <c r="AB50" s="4">
        <v>1</v>
      </c>
      <c r="AC50" s="4" t="s">
        <v>4561</v>
      </c>
      <c r="AD50" s="4" t="s">
        <v>98</v>
      </c>
      <c r="AE50" s="4" t="s">
        <v>92</v>
      </c>
      <c r="AF50" s="4" t="s">
        <v>95</v>
      </c>
      <c r="AG50" s="4">
        <v>180</v>
      </c>
      <c r="AH50" s="4">
        <v>180</v>
      </c>
      <c r="AI50" s="4">
        <v>0</v>
      </c>
      <c r="AJ50" s="4">
        <v>0</v>
      </c>
      <c r="AK50" s="4">
        <v>0</v>
      </c>
      <c r="AL50" s="4">
        <v>0</v>
      </c>
      <c r="AM50" s="5">
        <v>0</v>
      </c>
      <c r="AN50" s="5">
        <v>0</v>
      </c>
      <c r="AO50" s="5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180</v>
      </c>
      <c r="AW50" s="5">
        <v>180</v>
      </c>
      <c r="AX50" s="5">
        <v>-9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F50" s="4">
        <v>-9</v>
      </c>
      <c r="BH50" s="4">
        <v>0</v>
      </c>
      <c r="BI50" s="4" t="s">
        <v>4562</v>
      </c>
    </row>
    <row r="51" spans="1:61">
      <c r="A51">
        <f t="shared" si="0"/>
        <v>2025</v>
      </c>
      <c r="B51">
        <f t="shared" si="1"/>
        <v>8</v>
      </c>
      <c r="C51" t="str">
        <f t="shared" si="2"/>
        <v>'6945105626723718706</v>
      </c>
      <c r="F51" t="str" cm="1">
        <f t="array" ref="F51">IFERROR(INDEX('抖音订单-按支付日期-ABF列，要先手动清除空格'!G:G,MATCH(RIGHT(S51,LEN(S51)-1)&amp;RIGHT(T51,LEN(T51)-1)&amp;RIGHT(Z51,LEN(Z51)-1),'抖音订单-按支付日期-ABF列，要先手动清除空格'!A:A&amp;'抖音订单-按支付日期-ABF列，要先手动清除空格'!B:B&amp;'抖音订单-按支付日期-ABF列，要先手动清除空格'!F:F,0)),0)</f>
        <v>	Z476-灰色-S</v>
      </c>
      <c r="G51" s="17" t="str">
        <f t="shared" si="3"/>
        <v>Z476</v>
      </c>
      <c r="H51" cm="1">
        <f t="array" ref="H51">IFERROR(_xlfn.IFS(AND(W51="已结算",AW51&gt;30),AB51,LEFT(W51,5)="结算后退款",-AB51,LEFT(W51,5)="保证金退款",0),0)</f>
        <v>1</v>
      </c>
      <c r="I51">
        <f t="shared" si="4"/>
        <v>180</v>
      </c>
      <c r="J51">
        <f t="shared" si="5"/>
        <v>0</v>
      </c>
      <c r="K51">
        <f t="shared" si="6"/>
        <v>0</v>
      </c>
      <c r="L51">
        <f t="shared" si="7"/>
        <v>-9</v>
      </c>
      <c r="M51">
        <f t="shared" si="8"/>
        <v>0</v>
      </c>
      <c r="O51">
        <f t="shared" si="9"/>
        <v>171</v>
      </c>
      <c r="R51" s="18">
        <v>45896.5396296296</v>
      </c>
      <c r="S51" s="4" t="s">
        <v>4626</v>
      </c>
      <c r="T51" s="4" t="s">
        <v>4626</v>
      </c>
      <c r="U51" s="4">
        <v>171</v>
      </c>
      <c r="V51" s="4" t="s">
        <v>4557</v>
      </c>
      <c r="W51" s="4" t="s">
        <v>4558</v>
      </c>
      <c r="X51" s="4" t="s">
        <v>85</v>
      </c>
      <c r="Y51" s="18">
        <v>45879.7710069444</v>
      </c>
      <c r="Z51" s="4" t="s">
        <v>4603</v>
      </c>
      <c r="AA51" s="4" t="s">
        <v>4604</v>
      </c>
      <c r="AB51" s="4">
        <v>1</v>
      </c>
      <c r="AC51" s="4" t="s">
        <v>4561</v>
      </c>
      <c r="AD51" s="4" t="s">
        <v>98</v>
      </c>
      <c r="AE51" s="4" t="s">
        <v>92</v>
      </c>
      <c r="AF51" s="4" t="s">
        <v>95</v>
      </c>
      <c r="AG51" s="4">
        <v>180</v>
      </c>
      <c r="AH51" s="4">
        <v>180</v>
      </c>
      <c r="AI51" s="4">
        <v>0</v>
      </c>
      <c r="AJ51" s="4">
        <v>0</v>
      </c>
      <c r="AK51" s="4">
        <v>0</v>
      </c>
      <c r="AL51" s="4">
        <v>0</v>
      </c>
      <c r="AM51" s="5">
        <v>0</v>
      </c>
      <c r="AN51" s="5">
        <v>0</v>
      </c>
      <c r="AO51" s="5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180</v>
      </c>
      <c r="AW51" s="5">
        <v>180</v>
      </c>
      <c r="AX51" s="5">
        <v>-9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F51" s="4">
        <v>-9</v>
      </c>
      <c r="BH51" s="4">
        <v>0</v>
      </c>
      <c r="BI51" s="4" t="s">
        <v>4562</v>
      </c>
    </row>
    <row r="52" spans="1:61">
      <c r="A52">
        <f t="shared" si="0"/>
        <v>2025</v>
      </c>
      <c r="B52">
        <f t="shared" si="1"/>
        <v>8</v>
      </c>
      <c r="C52" t="str">
        <f t="shared" si="2"/>
        <v>'6920679373399687055</v>
      </c>
      <c r="F52" t="str" cm="1">
        <f t="array" ref="F52">IFERROR(INDEX('抖音订单-按支付日期-ABF列，要先手动清除空格'!G:G,MATCH(RIGHT(S52,LEN(S52)-1)&amp;RIGHT(T52,LEN(T52)-1)&amp;RIGHT(Z52,LEN(Z52)-1),'抖音订单-按支付日期-ABF列，要先手动清除空格'!A:A&amp;'抖音订单-按支付日期-ABF列，要先手动清除空格'!B:B&amp;'抖音订单-按支付日期-ABF列，要先手动清除空格'!F:F,0)),0)</f>
        <v>	Z476-灰色-L</v>
      </c>
      <c r="G52" s="17" t="str">
        <f t="shared" si="3"/>
        <v>Z476</v>
      </c>
      <c r="H52" cm="1">
        <f t="array" ref="H52">IFERROR(_xlfn.IFS(AND(W52="已结算",AW52&gt;30),AB52,LEFT(W52,5)="结算后退款",-AB52,LEFT(W52,5)="保证金退款",0),0)</f>
        <v>1</v>
      </c>
      <c r="I52">
        <f t="shared" si="4"/>
        <v>180</v>
      </c>
      <c r="J52">
        <f t="shared" si="5"/>
        <v>0</v>
      </c>
      <c r="K52">
        <f t="shared" si="6"/>
        <v>0</v>
      </c>
      <c r="L52">
        <f t="shared" si="7"/>
        <v>-9</v>
      </c>
      <c r="M52">
        <f t="shared" si="8"/>
        <v>0</v>
      </c>
      <c r="O52">
        <f t="shared" si="9"/>
        <v>171</v>
      </c>
      <c r="R52" s="18">
        <v>45896.5856597222</v>
      </c>
      <c r="S52" s="4" t="s">
        <v>4627</v>
      </c>
      <c r="T52" s="4" t="s">
        <v>4627</v>
      </c>
      <c r="U52" s="4">
        <v>171</v>
      </c>
      <c r="V52" s="4" t="s">
        <v>4557</v>
      </c>
      <c r="W52" s="4" t="s">
        <v>4558</v>
      </c>
      <c r="X52" s="4" t="s">
        <v>85</v>
      </c>
      <c r="Y52" s="18">
        <v>45879.7709259259</v>
      </c>
      <c r="Z52" s="4" t="s">
        <v>4603</v>
      </c>
      <c r="AA52" s="4" t="s">
        <v>4604</v>
      </c>
      <c r="AB52" s="4">
        <v>1</v>
      </c>
      <c r="AC52" s="4" t="s">
        <v>4561</v>
      </c>
      <c r="AD52" s="4" t="s">
        <v>98</v>
      </c>
      <c r="AE52" s="4" t="s">
        <v>92</v>
      </c>
      <c r="AF52" s="4" t="s">
        <v>95</v>
      </c>
      <c r="AG52" s="4">
        <v>180</v>
      </c>
      <c r="AH52" s="4">
        <v>180</v>
      </c>
      <c r="AI52" s="4">
        <v>0</v>
      </c>
      <c r="AJ52" s="4">
        <v>0</v>
      </c>
      <c r="AK52" s="4">
        <v>0</v>
      </c>
      <c r="AL52" s="4">
        <v>0</v>
      </c>
      <c r="AM52" s="5">
        <v>0</v>
      </c>
      <c r="AN52" s="5">
        <v>0</v>
      </c>
      <c r="AO52" s="5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180</v>
      </c>
      <c r="AW52" s="5">
        <v>180</v>
      </c>
      <c r="AX52" s="5">
        <v>-9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F52" s="4">
        <v>-9</v>
      </c>
      <c r="BH52" s="4">
        <v>0</v>
      </c>
      <c r="BI52" s="4" t="s">
        <v>4562</v>
      </c>
    </row>
    <row r="53" spans="1:61">
      <c r="A53">
        <f t="shared" si="0"/>
        <v>2025</v>
      </c>
      <c r="B53">
        <f t="shared" si="1"/>
        <v>8</v>
      </c>
      <c r="C53" t="str">
        <f t="shared" si="2"/>
        <v>'6920595828799602096</v>
      </c>
      <c r="F53" t="str" cm="1">
        <f t="array" ref="F53">IFERROR(INDEX('抖音订单-按支付日期-ABF列，要先手动清除空格'!G:G,MATCH(RIGHT(S53,LEN(S53)-1)&amp;RIGHT(T53,LEN(T53)-1)&amp;RIGHT(Z53,LEN(Z53)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53" s="17" t="str">
        <f t="shared" si="3"/>
        <v>Z1640</v>
      </c>
      <c r="H53" cm="1">
        <f t="array" ref="H53">IFERROR(_xlfn.IFS(AND(W53="已结算",AW53&gt;30),AB53,LEFT(W53,5)="结算后退款",-AB53,LEFT(W53,5)="保证金退款",0),0)</f>
        <v>1</v>
      </c>
      <c r="I53">
        <f t="shared" si="4"/>
        <v>289</v>
      </c>
      <c r="J53">
        <f t="shared" si="5"/>
        <v>0</v>
      </c>
      <c r="K53">
        <f t="shared" si="6"/>
        <v>0</v>
      </c>
      <c r="L53">
        <f t="shared" si="7"/>
        <v>-14.45</v>
      </c>
      <c r="M53">
        <f t="shared" si="8"/>
        <v>0</v>
      </c>
      <c r="O53">
        <f t="shared" si="9"/>
        <v>274.55</v>
      </c>
      <c r="R53" s="18">
        <v>45896.6816435185</v>
      </c>
      <c r="S53" s="4" t="s">
        <v>4628</v>
      </c>
      <c r="T53" s="4" t="s">
        <v>4628</v>
      </c>
      <c r="U53" s="4">
        <v>274.55</v>
      </c>
      <c r="V53" s="4" t="s">
        <v>4557</v>
      </c>
      <c r="W53" s="4" t="s">
        <v>4558</v>
      </c>
      <c r="X53" s="4" t="s">
        <v>85</v>
      </c>
      <c r="Y53" s="18">
        <v>45872.6715972222</v>
      </c>
      <c r="Z53" s="4" t="s">
        <v>4559</v>
      </c>
      <c r="AA53" s="4" t="s">
        <v>4560</v>
      </c>
      <c r="AB53" s="4">
        <v>1</v>
      </c>
      <c r="AC53" s="4" t="s">
        <v>4561</v>
      </c>
      <c r="AD53" s="4" t="s">
        <v>98</v>
      </c>
      <c r="AE53" s="4" t="s">
        <v>92</v>
      </c>
      <c r="AF53" s="4" t="s">
        <v>95</v>
      </c>
      <c r="AG53" s="4">
        <v>289</v>
      </c>
      <c r="AH53" s="4">
        <v>289</v>
      </c>
      <c r="AI53" s="4">
        <v>0</v>
      </c>
      <c r="AJ53" s="4">
        <v>0</v>
      </c>
      <c r="AK53" s="4">
        <v>0</v>
      </c>
      <c r="AL53" s="4">
        <v>0</v>
      </c>
      <c r="AM53" s="5">
        <v>0</v>
      </c>
      <c r="AN53" s="5">
        <v>0</v>
      </c>
      <c r="AO53" s="5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289</v>
      </c>
      <c r="AW53" s="5">
        <v>289</v>
      </c>
      <c r="AX53" s="5">
        <v>-14.45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F53" s="4">
        <v>-14.45</v>
      </c>
      <c r="BH53" s="4">
        <v>0</v>
      </c>
      <c r="BI53" s="4" t="s">
        <v>4562</v>
      </c>
    </row>
    <row r="54" spans="1:61">
      <c r="A54">
        <f t="shared" si="0"/>
        <v>2025</v>
      </c>
      <c r="B54">
        <f t="shared" si="1"/>
        <v>8</v>
      </c>
      <c r="C54" t="str">
        <f t="shared" si="2"/>
        <v>'6920683550216846708</v>
      </c>
      <c r="F54" t="str" cm="1">
        <f t="array" ref="F54">IFERROR(INDEX('抖音订单-按支付日期-ABF列，要先手动清除空格'!G:G,MATCH(RIGHT(S54,LEN(S54)-1)&amp;RIGHT(T54,LEN(T54)-1)&amp;RIGHT(Z54,LEN(Z54)-1),'抖音订单-按支付日期-ABF列，要先手动清除空格'!A:A&amp;'抖音订单-按支付日期-ABF列，要先手动清除空格'!B:B&amp;'抖音订单-按支付日期-ABF列，要先手动清除空格'!F:F,0)),0)</f>
        <v>	Z482-黑色-M</v>
      </c>
      <c r="G54" s="17" t="str">
        <f t="shared" si="3"/>
        <v>Z482</v>
      </c>
      <c r="H54" cm="1">
        <f t="array" ref="H54">IFERROR(_xlfn.IFS(AND(W54="已结算",AW54&gt;30),AB54,LEFT(W54,5)="结算后退款",-AB54,LEFT(W54,5)="保证金退款",0),0)</f>
        <v>1</v>
      </c>
      <c r="I54">
        <f t="shared" si="4"/>
        <v>289</v>
      </c>
      <c r="J54">
        <f t="shared" si="5"/>
        <v>0</v>
      </c>
      <c r="K54">
        <f t="shared" si="6"/>
        <v>0</v>
      </c>
      <c r="L54">
        <f t="shared" si="7"/>
        <v>-14.45</v>
      </c>
      <c r="M54">
        <f t="shared" si="8"/>
        <v>0</v>
      </c>
      <c r="O54">
        <f t="shared" si="9"/>
        <v>274.55</v>
      </c>
      <c r="R54" s="18">
        <v>45896.6879976852</v>
      </c>
      <c r="S54" s="4" t="s">
        <v>4629</v>
      </c>
      <c r="T54" s="4" t="s">
        <v>4629</v>
      </c>
      <c r="U54" s="4">
        <v>274.55</v>
      </c>
      <c r="V54" s="4" t="s">
        <v>4557</v>
      </c>
      <c r="W54" s="4" t="s">
        <v>4558</v>
      </c>
      <c r="X54" s="4" t="s">
        <v>85</v>
      </c>
      <c r="Y54" s="18">
        <v>45879.8275115741</v>
      </c>
      <c r="Z54" s="4" t="s">
        <v>4614</v>
      </c>
      <c r="AA54" s="4" t="s">
        <v>4615</v>
      </c>
      <c r="AB54" s="4">
        <v>1</v>
      </c>
      <c r="AC54" s="4" t="s">
        <v>4561</v>
      </c>
      <c r="AD54" s="4" t="s">
        <v>98</v>
      </c>
      <c r="AE54" s="4" t="s">
        <v>92</v>
      </c>
      <c r="AF54" s="4" t="s">
        <v>95</v>
      </c>
      <c r="AG54" s="4">
        <v>289</v>
      </c>
      <c r="AH54" s="4">
        <v>289</v>
      </c>
      <c r="AI54" s="4">
        <v>0</v>
      </c>
      <c r="AJ54" s="4">
        <v>0</v>
      </c>
      <c r="AK54" s="4">
        <v>0</v>
      </c>
      <c r="AL54" s="4">
        <v>0</v>
      </c>
      <c r="AM54" s="5">
        <v>0</v>
      </c>
      <c r="AN54" s="5">
        <v>0</v>
      </c>
      <c r="AO54" s="5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289</v>
      </c>
      <c r="AW54" s="5">
        <v>289</v>
      </c>
      <c r="AX54" s="5">
        <v>-14.45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F54" s="4">
        <v>-14.45</v>
      </c>
      <c r="BH54" s="4">
        <v>0</v>
      </c>
      <c r="BI54" s="4" t="s">
        <v>4562</v>
      </c>
    </row>
    <row r="55" spans="1:61">
      <c r="A55">
        <f t="shared" si="0"/>
        <v>2025</v>
      </c>
      <c r="B55">
        <f t="shared" si="1"/>
        <v>8</v>
      </c>
      <c r="C55" t="str">
        <f t="shared" si="2"/>
        <v>'6920681161974774893</v>
      </c>
      <c r="F55" t="str" cm="1">
        <f t="array" ref="F55">IFERROR(INDEX('抖音订单-按支付日期-ABF列，要先手动清除空格'!G:G,MATCH(RIGHT(S55,LEN(S55)-1)&amp;RIGHT(T55,LEN(T55)-1)&amp;RIGHT(Z55,LEN(Z55)-1),'抖音订单-按支付日期-ABF列，要先手动清除空格'!A:A&amp;'抖音订单-按支付日期-ABF列，要先手动清除空格'!B:B&amp;'抖音订单-按支付日期-ABF列，要先手动清除空格'!F:F,0)),0)</f>
        <v>	Z476-灰色-M</v>
      </c>
      <c r="G55" s="17" t="str">
        <f t="shared" si="3"/>
        <v>Z476</v>
      </c>
      <c r="H55" cm="1">
        <f t="array" ref="H55">IFERROR(_xlfn.IFS(AND(W55="已结算",AW55&gt;30),AB55,LEFT(W55,5)="结算后退款",-AB55,LEFT(W55,5)="保证金退款",0),0)</f>
        <v>1</v>
      </c>
      <c r="I55">
        <f t="shared" si="4"/>
        <v>180</v>
      </c>
      <c r="J55">
        <f t="shared" si="5"/>
        <v>0</v>
      </c>
      <c r="K55">
        <f t="shared" si="6"/>
        <v>0</v>
      </c>
      <c r="L55">
        <f t="shared" si="7"/>
        <v>-9</v>
      </c>
      <c r="M55">
        <f t="shared" si="8"/>
        <v>0</v>
      </c>
      <c r="O55">
        <f t="shared" si="9"/>
        <v>171</v>
      </c>
      <c r="R55" s="18">
        <v>45896.7071064815</v>
      </c>
      <c r="S55" s="4" t="s">
        <v>4630</v>
      </c>
      <c r="T55" s="4" t="s">
        <v>4630</v>
      </c>
      <c r="U55" s="4">
        <v>171</v>
      </c>
      <c r="V55" s="4" t="s">
        <v>4557</v>
      </c>
      <c r="W55" s="4" t="s">
        <v>4558</v>
      </c>
      <c r="X55" s="4" t="s">
        <v>85</v>
      </c>
      <c r="Y55" s="18">
        <v>45879.7727777778</v>
      </c>
      <c r="Z55" s="4" t="s">
        <v>4603</v>
      </c>
      <c r="AA55" s="4" t="s">
        <v>4604</v>
      </c>
      <c r="AB55" s="4">
        <v>1</v>
      </c>
      <c r="AC55" s="4" t="s">
        <v>4561</v>
      </c>
      <c r="AD55" s="4" t="s">
        <v>98</v>
      </c>
      <c r="AE55" s="4" t="s">
        <v>92</v>
      </c>
      <c r="AF55" s="4" t="s">
        <v>95</v>
      </c>
      <c r="AG55" s="4">
        <v>180</v>
      </c>
      <c r="AH55" s="4">
        <v>180</v>
      </c>
      <c r="AI55" s="4">
        <v>0</v>
      </c>
      <c r="AJ55" s="4">
        <v>0</v>
      </c>
      <c r="AK55" s="4">
        <v>0</v>
      </c>
      <c r="AL55" s="4">
        <v>0</v>
      </c>
      <c r="AM55" s="5">
        <v>0</v>
      </c>
      <c r="AN55" s="5">
        <v>0</v>
      </c>
      <c r="AO55" s="5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180</v>
      </c>
      <c r="AW55" s="5">
        <v>180</v>
      </c>
      <c r="AX55" s="5">
        <v>-9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F55" s="4">
        <v>-9</v>
      </c>
      <c r="BH55" s="4">
        <v>0</v>
      </c>
      <c r="BI55" s="4" t="s">
        <v>4562</v>
      </c>
    </row>
    <row r="56" spans="1:61">
      <c r="A56">
        <f t="shared" si="0"/>
        <v>2025</v>
      </c>
      <c r="B56">
        <f t="shared" si="1"/>
        <v>8</v>
      </c>
      <c r="C56" t="str">
        <f t="shared" si="2"/>
        <v>'6945128145686894025</v>
      </c>
      <c r="F56" t="str" cm="1">
        <f t="array" ref="F56">IFERROR(INDEX('抖音订单-按支付日期-ABF列，要先手动清除空格'!G:G,MATCH(RIGHT(S56,LEN(S56)-1)&amp;RIGHT(T56,LEN(T56)-1)&amp;RIGHT(Z56,LEN(Z56)-1),'抖音订单-按支付日期-ABF列，要先手动清除空格'!A:A&amp;'抖音订单-按支付日期-ABF列，要先手动清除空格'!B:B&amp;'抖音订单-按支付日期-ABF列，要先手动清除空格'!F:F,0)),0)</f>
        <v>	Z1688-黑色-M</v>
      </c>
      <c r="G56" s="17" t="str">
        <f t="shared" si="3"/>
        <v>Z1688</v>
      </c>
      <c r="H56" cm="1">
        <f t="array" ref="H56">IFERROR(_xlfn.IFS(AND(W56="已结算",AW56&gt;30),AB56,LEFT(W56,5)="结算后退款",-AB56,LEFT(W56,5)="保证金退款",0),0)</f>
        <v>1</v>
      </c>
      <c r="I56">
        <f t="shared" si="4"/>
        <v>499</v>
      </c>
      <c r="J56">
        <f t="shared" si="5"/>
        <v>0</v>
      </c>
      <c r="K56">
        <f t="shared" si="6"/>
        <v>0</v>
      </c>
      <c r="L56">
        <f t="shared" si="7"/>
        <v>-24.95</v>
      </c>
      <c r="M56">
        <f t="shared" si="8"/>
        <v>0</v>
      </c>
      <c r="O56">
        <f t="shared" si="9"/>
        <v>474.05</v>
      </c>
      <c r="R56" s="18">
        <v>45896.7262384259</v>
      </c>
      <c r="S56" s="4" t="s">
        <v>4631</v>
      </c>
      <c r="T56" s="4" t="s">
        <v>4631</v>
      </c>
      <c r="U56" s="4">
        <v>474.05</v>
      </c>
      <c r="V56" s="4" t="s">
        <v>4557</v>
      </c>
      <c r="W56" s="4" t="s">
        <v>4558</v>
      </c>
      <c r="X56" s="4" t="s">
        <v>85</v>
      </c>
      <c r="Y56" s="18">
        <v>45879.8625115741</v>
      </c>
      <c r="Z56" s="4" t="s">
        <v>4570</v>
      </c>
      <c r="AA56" s="4" t="s">
        <v>4571</v>
      </c>
      <c r="AB56" s="4">
        <v>1</v>
      </c>
      <c r="AC56" s="4" t="s">
        <v>4561</v>
      </c>
      <c r="AD56" s="4" t="s">
        <v>98</v>
      </c>
      <c r="AE56" s="4" t="s">
        <v>92</v>
      </c>
      <c r="AF56" s="4" t="s">
        <v>95</v>
      </c>
      <c r="AG56" s="4">
        <v>499</v>
      </c>
      <c r="AH56" s="4">
        <v>499</v>
      </c>
      <c r="AI56" s="4">
        <v>0</v>
      </c>
      <c r="AJ56" s="4">
        <v>0</v>
      </c>
      <c r="AK56" s="4">
        <v>0</v>
      </c>
      <c r="AL56" s="4">
        <v>0</v>
      </c>
      <c r="AM56" s="5">
        <v>0</v>
      </c>
      <c r="AN56" s="5">
        <v>0</v>
      </c>
      <c r="AO56" s="5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499</v>
      </c>
      <c r="AW56" s="5">
        <v>499</v>
      </c>
      <c r="AX56" s="5">
        <v>-24.95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F56" s="4">
        <v>-24.95</v>
      </c>
      <c r="BH56" s="4">
        <v>0</v>
      </c>
      <c r="BI56" s="4" t="s">
        <v>4562</v>
      </c>
    </row>
    <row r="57" spans="1:61">
      <c r="A57">
        <f t="shared" si="0"/>
        <v>2025</v>
      </c>
      <c r="B57">
        <f t="shared" si="1"/>
        <v>8</v>
      </c>
      <c r="C57" t="str">
        <f t="shared" si="2"/>
        <v>'6945335753862223835</v>
      </c>
      <c r="F57" t="str" cm="1">
        <f t="array" ref="F57">IFERROR(INDEX('抖音订单-按支付日期-ABF列，要先手动清除空格'!G:G,MATCH(RIGHT(S57,LEN(S57)-1)&amp;RIGHT(T57,LEN(T57)-1)&amp;RIGHT(Z57,LEN(Z57)-1),'抖音订单-按支付日期-ABF列，要先手动清除空格'!A:A&amp;'抖音订单-按支付日期-ABF列，要先手动清除空格'!B:B&amp;'抖音订单-按支付日期-ABF列，要先手动清除空格'!F:F,0)),0)</f>
        <v>	Z2298-杏色-M</v>
      </c>
      <c r="G57" s="17" t="str">
        <f t="shared" si="3"/>
        <v>Z2298</v>
      </c>
      <c r="H57" cm="1">
        <f t="array" ref="H57">IFERROR(_xlfn.IFS(AND(W57="已结算",AW57&gt;30),AB57,LEFT(W57,5)="结算后退款",-AB57,LEFT(W57,5)="保证金退款",0),0)</f>
        <v>1</v>
      </c>
      <c r="I57">
        <f t="shared" si="4"/>
        <v>189</v>
      </c>
      <c r="J57">
        <f t="shared" si="5"/>
        <v>0</v>
      </c>
      <c r="K57">
        <f t="shared" si="6"/>
        <v>0</v>
      </c>
      <c r="L57">
        <f t="shared" si="7"/>
        <v>-9.45</v>
      </c>
      <c r="M57">
        <f t="shared" si="8"/>
        <v>0</v>
      </c>
      <c r="O57">
        <f t="shared" si="9"/>
        <v>179.55</v>
      </c>
      <c r="R57" s="18">
        <v>45896.7420486111</v>
      </c>
      <c r="S57" s="4" t="s">
        <v>4632</v>
      </c>
      <c r="T57" s="4" t="s">
        <v>4632</v>
      </c>
      <c r="U57" s="4">
        <v>179.55</v>
      </c>
      <c r="V57" s="4" t="s">
        <v>4557</v>
      </c>
      <c r="W57" s="4" t="s">
        <v>4558</v>
      </c>
      <c r="X57" s="4" t="s">
        <v>85</v>
      </c>
      <c r="Y57" s="18">
        <v>45887.6002314815</v>
      </c>
      <c r="Z57" s="4" t="s">
        <v>4633</v>
      </c>
      <c r="AA57" s="4" t="s">
        <v>4634</v>
      </c>
      <c r="AB57" s="4">
        <v>1</v>
      </c>
      <c r="AE57" s="4" t="s">
        <v>216</v>
      </c>
      <c r="AF57" s="4" t="s">
        <v>95</v>
      </c>
      <c r="AG57" s="4">
        <v>189</v>
      </c>
      <c r="AH57" s="4">
        <v>189</v>
      </c>
      <c r="AI57" s="4">
        <v>0</v>
      </c>
      <c r="AJ57" s="4">
        <v>0</v>
      </c>
      <c r="AK57" s="4">
        <v>0</v>
      </c>
      <c r="AL57" s="4">
        <v>0</v>
      </c>
      <c r="AM57" s="5">
        <v>0</v>
      </c>
      <c r="AN57" s="5">
        <v>0</v>
      </c>
      <c r="AO57" s="5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189</v>
      </c>
      <c r="AW57" s="5">
        <v>189</v>
      </c>
      <c r="AX57" s="5">
        <v>-9.45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F57" s="4">
        <v>-9.45</v>
      </c>
      <c r="BG57" s="4" t="s">
        <v>85</v>
      </c>
      <c r="BH57" s="4">
        <v>0</v>
      </c>
      <c r="BI57" s="4" t="s">
        <v>4562</v>
      </c>
    </row>
    <row r="58" spans="1:61">
      <c r="A58">
        <f t="shared" si="0"/>
        <v>2025</v>
      </c>
      <c r="B58">
        <f t="shared" si="1"/>
        <v>8</v>
      </c>
      <c r="C58" t="str">
        <f t="shared" si="2"/>
        <v>'6945123672683976537</v>
      </c>
      <c r="F58" t="str" cm="1">
        <f t="array" ref="F58">IFERROR(INDEX('抖音订单-按支付日期-ABF列，要先手动清除空格'!G:G,MATCH(RIGHT(S58,LEN(S58)-1)&amp;RIGHT(T58,LEN(T58)-1)&amp;RIGHT(Z58,LEN(Z58)-1),'抖音订单-按支付日期-ABF列，要先手动清除空格'!A:A&amp;'抖音订单-按支付日期-ABF列，要先手动清除空格'!B:B&amp;'抖音订单-按支付日期-ABF列，要先手动清除空格'!F:F,0)),0)</f>
        <v>	Z476-灰色-S</v>
      </c>
      <c r="G58" s="17" t="str">
        <f t="shared" si="3"/>
        <v>Z476</v>
      </c>
      <c r="H58" cm="1">
        <f t="array" ref="H58">IFERROR(_xlfn.IFS(AND(W58="已结算",AW58&gt;30),AB58,LEFT(W58,5)="结算后退款",-AB58,LEFT(W58,5)="保证金退款",0),0)</f>
        <v>1</v>
      </c>
      <c r="I58">
        <f t="shared" si="4"/>
        <v>180</v>
      </c>
      <c r="J58">
        <f t="shared" si="5"/>
        <v>0</v>
      </c>
      <c r="K58">
        <f t="shared" si="6"/>
        <v>0</v>
      </c>
      <c r="L58">
        <f t="shared" si="7"/>
        <v>-9</v>
      </c>
      <c r="M58">
        <f t="shared" si="8"/>
        <v>0</v>
      </c>
      <c r="O58">
        <f t="shared" si="9"/>
        <v>171</v>
      </c>
      <c r="R58" s="18">
        <v>45896.76125</v>
      </c>
      <c r="S58" s="4" t="s">
        <v>4635</v>
      </c>
      <c r="T58" s="4" t="s">
        <v>4635</v>
      </c>
      <c r="U58" s="4">
        <v>171</v>
      </c>
      <c r="V58" s="4" t="s">
        <v>4557</v>
      </c>
      <c r="W58" s="4" t="s">
        <v>4558</v>
      </c>
      <c r="X58" s="4" t="s">
        <v>85</v>
      </c>
      <c r="Y58" s="18">
        <v>45879.772974537</v>
      </c>
      <c r="Z58" s="4" t="s">
        <v>4603</v>
      </c>
      <c r="AA58" s="4" t="s">
        <v>4604</v>
      </c>
      <c r="AB58" s="4">
        <v>1</v>
      </c>
      <c r="AC58" s="4" t="s">
        <v>4561</v>
      </c>
      <c r="AD58" s="4" t="s">
        <v>98</v>
      </c>
      <c r="AE58" s="4" t="s">
        <v>92</v>
      </c>
      <c r="AF58" s="4" t="s">
        <v>95</v>
      </c>
      <c r="AG58" s="4">
        <v>180</v>
      </c>
      <c r="AH58" s="4">
        <v>180</v>
      </c>
      <c r="AI58" s="4">
        <v>0</v>
      </c>
      <c r="AJ58" s="4">
        <v>0</v>
      </c>
      <c r="AK58" s="4">
        <v>0</v>
      </c>
      <c r="AL58" s="4">
        <v>0</v>
      </c>
      <c r="AM58" s="5">
        <v>0</v>
      </c>
      <c r="AN58" s="5">
        <v>0</v>
      </c>
      <c r="AO58" s="5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180</v>
      </c>
      <c r="AW58" s="5">
        <v>180</v>
      </c>
      <c r="AX58" s="5">
        <v>-9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F58" s="4">
        <v>-9</v>
      </c>
      <c r="BH58" s="4">
        <v>0</v>
      </c>
      <c r="BI58" s="4" t="s">
        <v>4562</v>
      </c>
    </row>
    <row r="59" spans="1:61">
      <c r="A59">
        <f t="shared" si="0"/>
        <v>2025</v>
      </c>
      <c r="B59">
        <f t="shared" si="1"/>
        <v>8</v>
      </c>
      <c r="C59" t="str">
        <f t="shared" si="2"/>
        <v>'6920685791216106605</v>
      </c>
      <c r="F59" t="str" cm="1">
        <f t="array" ref="F59">IFERROR(INDEX('抖音订单-按支付日期-ABF列，要先手动清除空格'!G:G,MATCH(RIGHT(S59,LEN(S59)-1)&amp;RIGHT(T59,LEN(T59)-1)&amp;RIGHT(Z59,LEN(Z59)-1),'抖音订单-按支付日期-ABF列，要先手动清除空格'!A:A&amp;'抖音订单-按支付日期-ABF列，要先手动清除空格'!B:B&amp;'抖音订单-按支付日期-ABF列，要先手动清除空格'!F:F,0)),0)</f>
        <v>	Z482-黑色-M</v>
      </c>
      <c r="G59" s="17" t="str">
        <f t="shared" si="3"/>
        <v>Z482</v>
      </c>
      <c r="H59" cm="1">
        <f t="array" ref="H59">IFERROR(_xlfn.IFS(AND(W59="已结算",AW59&gt;30),AB59,LEFT(W59,5)="结算后退款",-AB59,LEFT(W59,5)="保证金退款",0),0)</f>
        <v>1</v>
      </c>
      <c r="I59">
        <f t="shared" si="4"/>
        <v>289</v>
      </c>
      <c r="J59">
        <f t="shared" si="5"/>
        <v>0</v>
      </c>
      <c r="K59">
        <f t="shared" si="6"/>
        <v>0</v>
      </c>
      <c r="L59">
        <f t="shared" si="7"/>
        <v>-14.45</v>
      </c>
      <c r="M59">
        <f t="shared" si="8"/>
        <v>0</v>
      </c>
      <c r="O59">
        <f t="shared" si="9"/>
        <v>274.55</v>
      </c>
      <c r="R59" s="18">
        <v>45896.7613888889</v>
      </c>
      <c r="S59" s="4" t="s">
        <v>4636</v>
      </c>
      <c r="T59" s="4" t="s">
        <v>4636</v>
      </c>
      <c r="U59" s="4">
        <v>274.55</v>
      </c>
      <c r="V59" s="4" t="s">
        <v>4557</v>
      </c>
      <c r="W59" s="4" t="s">
        <v>4558</v>
      </c>
      <c r="X59" s="4" t="s">
        <v>85</v>
      </c>
      <c r="Y59" s="18">
        <v>45879.7725</v>
      </c>
      <c r="Z59" s="4" t="s">
        <v>4614</v>
      </c>
      <c r="AA59" s="4" t="s">
        <v>4615</v>
      </c>
      <c r="AB59" s="4">
        <v>1</v>
      </c>
      <c r="AC59" s="4" t="s">
        <v>4561</v>
      </c>
      <c r="AD59" s="4" t="s">
        <v>98</v>
      </c>
      <c r="AE59" s="4" t="s">
        <v>92</v>
      </c>
      <c r="AF59" s="4" t="s">
        <v>95</v>
      </c>
      <c r="AG59" s="4">
        <v>289</v>
      </c>
      <c r="AH59" s="4">
        <v>289</v>
      </c>
      <c r="AI59" s="4">
        <v>0</v>
      </c>
      <c r="AJ59" s="4">
        <v>0</v>
      </c>
      <c r="AK59" s="4">
        <v>0</v>
      </c>
      <c r="AL59" s="4">
        <v>0</v>
      </c>
      <c r="AM59" s="5">
        <v>0</v>
      </c>
      <c r="AN59" s="5">
        <v>0</v>
      </c>
      <c r="AO59" s="5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289</v>
      </c>
      <c r="AW59" s="5">
        <v>289</v>
      </c>
      <c r="AX59" s="5">
        <v>-14.45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F59" s="4">
        <v>-14.45</v>
      </c>
      <c r="BH59" s="4">
        <v>0</v>
      </c>
      <c r="BI59" s="4" t="s">
        <v>4562</v>
      </c>
    </row>
    <row r="60" spans="1:61">
      <c r="A60">
        <f t="shared" si="0"/>
        <v>2025</v>
      </c>
      <c r="B60">
        <f t="shared" si="1"/>
        <v>8</v>
      </c>
      <c r="C60" t="str">
        <f t="shared" si="2"/>
        <v>'6944909737862109152</v>
      </c>
      <c r="F60" t="str" cm="1">
        <f t="array" ref="F60">IFERROR(INDEX('抖音订单-按支付日期-ABF列，要先手动清除空格'!G:G,MATCH(RIGHT(S60,LEN(S60)-1)&amp;RIGHT(T60,LEN(T60)-1)&amp;RIGHT(Z60,LEN(Z60)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60" s="17" t="str">
        <f t="shared" si="3"/>
        <v>Z1640</v>
      </c>
      <c r="H60" cm="1">
        <f t="array" ref="H60">IFERROR(_xlfn.IFS(AND(W60="已结算",AW60&gt;30),AB60,LEFT(W60,5)="结算后退款",-AB60,LEFT(W60,5)="保证金退款",0),0)</f>
        <v>1</v>
      </c>
      <c r="I60">
        <f t="shared" si="4"/>
        <v>289</v>
      </c>
      <c r="J60">
        <f t="shared" si="5"/>
        <v>0</v>
      </c>
      <c r="K60">
        <f t="shared" si="6"/>
        <v>0</v>
      </c>
      <c r="L60">
        <f t="shared" si="7"/>
        <v>-14.45</v>
      </c>
      <c r="M60">
        <f t="shared" si="8"/>
        <v>0</v>
      </c>
      <c r="O60">
        <f t="shared" si="9"/>
        <v>274.55</v>
      </c>
      <c r="R60" s="18">
        <v>45897.5773842593</v>
      </c>
      <c r="S60" s="4" t="s">
        <v>4637</v>
      </c>
      <c r="T60" s="4" t="s">
        <v>4637</v>
      </c>
      <c r="U60" s="4">
        <v>274.55</v>
      </c>
      <c r="V60" s="4" t="s">
        <v>4557</v>
      </c>
      <c r="W60" s="4" t="s">
        <v>4558</v>
      </c>
      <c r="X60" s="4" t="s">
        <v>85</v>
      </c>
      <c r="Y60" s="18">
        <v>45872.7483912037</v>
      </c>
      <c r="Z60" s="4" t="s">
        <v>4559</v>
      </c>
      <c r="AA60" s="4" t="s">
        <v>4560</v>
      </c>
      <c r="AB60" s="4">
        <v>1</v>
      </c>
      <c r="AC60" s="4" t="s">
        <v>4561</v>
      </c>
      <c r="AD60" s="4" t="s">
        <v>98</v>
      </c>
      <c r="AE60" s="4" t="s">
        <v>92</v>
      </c>
      <c r="AF60" s="4" t="s">
        <v>95</v>
      </c>
      <c r="AG60" s="4">
        <v>289</v>
      </c>
      <c r="AH60" s="4">
        <v>289</v>
      </c>
      <c r="AI60" s="4">
        <v>0</v>
      </c>
      <c r="AJ60" s="4">
        <v>0</v>
      </c>
      <c r="AK60" s="4">
        <v>0</v>
      </c>
      <c r="AL60" s="4">
        <v>0</v>
      </c>
      <c r="AM60" s="5">
        <v>0</v>
      </c>
      <c r="AN60" s="5">
        <v>0</v>
      </c>
      <c r="AO60" s="5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289</v>
      </c>
      <c r="AW60" s="5">
        <v>289</v>
      </c>
      <c r="AX60" s="5">
        <v>-14.45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F60" s="4">
        <v>-14.45</v>
      </c>
      <c r="BH60" s="4">
        <v>0</v>
      </c>
      <c r="BI60" s="4" t="s">
        <v>4562</v>
      </c>
    </row>
    <row r="61" spans="1:61">
      <c r="A61">
        <f t="shared" si="0"/>
        <v>2025</v>
      </c>
      <c r="B61">
        <f t="shared" si="1"/>
        <v>8</v>
      </c>
      <c r="C61" t="str">
        <f t="shared" si="2"/>
        <v>'6920681483720490688</v>
      </c>
      <c r="F61" t="str" cm="1">
        <f t="array" ref="F61">IFERROR(INDEX('抖音订单-按支付日期-ABF列，要先手动清除空格'!G:G,MATCH(RIGHT(S61,LEN(S61)-1)&amp;RIGHT(T61,LEN(T61)-1)&amp;RIGHT(Z61,LEN(Z61)-1),'抖音订单-按支付日期-ABF列，要先手动清除空格'!A:A&amp;'抖音订单-按支付日期-ABF列，要先手动清除空格'!B:B&amp;'抖音订单-按支付日期-ABF列，要先手动清除空格'!F:F,0)),0)</f>
        <v>	Z1688-黑色-L</v>
      </c>
      <c r="G61" s="17" t="str">
        <f t="shared" si="3"/>
        <v>Z1688</v>
      </c>
      <c r="H61" cm="1">
        <f t="array" ref="H61">IFERROR(_xlfn.IFS(AND(W61="已结算",AW61&gt;30),AB61,LEFT(W61,5)="结算后退款",-AB61,LEFT(W61,5)="保证金退款",0),0)</f>
        <v>1</v>
      </c>
      <c r="I61">
        <f t="shared" si="4"/>
        <v>497</v>
      </c>
      <c r="J61">
        <f t="shared" si="5"/>
        <v>2</v>
      </c>
      <c r="K61">
        <f t="shared" si="6"/>
        <v>0</v>
      </c>
      <c r="L61">
        <f t="shared" si="7"/>
        <v>-24.95</v>
      </c>
      <c r="M61">
        <f t="shared" si="8"/>
        <v>0</v>
      </c>
      <c r="O61">
        <f t="shared" si="9"/>
        <v>474.05</v>
      </c>
      <c r="R61" s="18">
        <v>45897.5836805556</v>
      </c>
      <c r="S61" s="4" t="s">
        <v>4638</v>
      </c>
      <c r="T61" s="4" t="s">
        <v>4638</v>
      </c>
      <c r="U61" s="4">
        <v>474.05</v>
      </c>
      <c r="V61" s="4" t="s">
        <v>4557</v>
      </c>
      <c r="W61" s="4" t="s">
        <v>4558</v>
      </c>
      <c r="X61" s="4" t="s">
        <v>85</v>
      </c>
      <c r="Y61" s="18">
        <v>45879.8626273148</v>
      </c>
      <c r="Z61" s="4" t="s">
        <v>4570</v>
      </c>
      <c r="AA61" s="4" t="s">
        <v>4571</v>
      </c>
      <c r="AB61" s="4">
        <v>1</v>
      </c>
      <c r="AC61" s="4" t="s">
        <v>4561</v>
      </c>
      <c r="AD61" s="4" t="s">
        <v>98</v>
      </c>
      <c r="AE61" s="4" t="s">
        <v>92</v>
      </c>
      <c r="AF61" s="4" t="s">
        <v>95</v>
      </c>
      <c r="AG61" s="4">
        <v>499</v>
      </c>
      <c r="AH61" s="4">
        <v>499</v>
      </c>
      <c r="AI61" s="4">
        <v>0</v>
      </c>
      <c r="AJ61" s="4">
        <v>0</v>
      </c>
      <c r="AK61" s="4">
        <v>0</v>
      </c>
      <c r="AL61" s="4">
        <v>0</v>
      </c>
      <c r="AM61" s="5">
        <v>0</v>
      </c>
      <c r="AN61" s="5">
        <v>0</v>
      </c>
      <c r="AO61" s="5">
        <v>0</v>
      </c>
      <c r="AP61" s="4">
        <v>0</v>
      </c>
      <c r="AQ61" s="4">
        <v>0</v>
      </c>
      <c r="AR61" s="4">
        <v>2</v>
      </c>
      <c r="AS61" s="4">
        <v>0</v>
      </c>
      <c r="AT61" s="4">
        <v>0</v>
      </c>
      <c r="AU61" s="4">
        <v>0</v>
      </c>
      <c r="AV61" s="4">
        <v>497</v>
      </c>
      <c r="AW61" s="5">
        <v>499</v>
      </c>
      <c r="AX61" s="5">
        <v>-24.95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F61" s="4">
        <v>-24.95</v>
      </c>
      <c r="BH61" s="4">
        <v>0</v>
      </c>
      <c r="BI61" s="4" t="s">
        <v>4562</v>
      </c>
    </row>
    <row r="62" spans="1:61">
      <c r="A62">
        <f t="shared" si="0"/>
        <v>2025</v>
      </c>
      <c r="B62">
        <f t="shared" si="1"/>
        <v>8</v>
      </c>
      <c r="C62" t="str">
        <f t="shared" si="2"/>
        <v>'6945181644850927145</v>
      </c>
      <c r="F62" t="str" cm="1">
        <f t="array" ref="F62">IFERROR(INDEX('抖音订单-按支付日期-ABF列，要先手动清除空格'!G:G,MATCH(RIGHT(S62,LEN(S62)-1)&amp;RIGHT(T62,LEN(T62)-1)&amp;RIGHT(Z62,LEN(Z62)-1),'抖音订单-按支付日期-ABF列，要先手动清除空格'!A:A&amp;'抖音订单-按支付日期-ABF列，要先手动清除空格'!B:B&amp;'抖音订单-按支付日期-ABF列，要先手动清除空格'!F:F,0)),0)</f>
        <v>	Z1578-浅灰色-S</v>
      </c>
      <c r="G62" s="17" t="str">
        <f t="shared" si="3"/>
        <v>Z1578</v>
      </c>
      <c r="H62" cm="1">
        <f t="array" ref="H62">IFERROR(_xlfn.IFS(AND(W62="已结算",AW62&gt;30),AB62,LEFT(W62,5)="结算后退款",-AB62,LEFT(W62,5)="保证金退款",0),0)</f>
        <v>1</v>
      </c>
      <c r="I62">
        <f t="shared" si="4"/>
        <v>279</v>
      </c>
      <c r="J62">
        <f t="shared" si="5"/>
        <v>10</v>
      </c>
      <c r="K62">
        <f t="shared" si="6"/>
        <v>0</v>
      </c>
      <c r="L62">
        <f t="shared" si="7"/>
        <v>-14.45</v>
      </c>
      <c r="M62">
        <f t="shared" si="8"/>
        <v>0</v>
      </c>
      <c r="O62">
        <f t="shared" si="9"/>
        <v>274.55</v>
      </c>
      <c r="R62" s="18">
        <v>45897.6002546296</v>
      </c>
      <c r="S62" s="4" t="s">
        <v>4639</v>
      </c>
      <c r="T62" s="4" t="s">
        <v>4639</v>
      </c>
      <c r="U62" s="4">
        <v>274.55</v>
      </c>
      <c r="V62" s="4" t="s">
        <v>4557</v>
      </c>
      <c r="W62" s="4" t="s">
        <v>4558</v>
      </c>
      <c r="X62" s="4" t="s">
        <v>85</v>
      </c>
      <c r="Y62" s="18">
        <v>45882.9082175926</v>
      </c>
      <c r="Z62" s="4" t="s">
        <v>4564</v>
      </c>
      <c r="AA62" s="4" t="s">
        <v>4565</v>
      </c>
      <c r="AB62" s="4">
        <v>1</v>
      </c>
      <c r="AC62" s="4" t="s">
        <v>4561</v>
      </c>
      <c r="AD62" s="4" t="s">
        <v>98</v>
      </c>
      <c r="AE62" s="4" t="s">
        <v>92</v>
      </c>
      <c r="AF62" s="4" t="s">
        <v>95</v>
      </c>
      <c r="AG62" s="4">
        <v>289</v>
      </c>
      <c r="AH62" s="4">
        <v>289</v>
      </c>
      <c r="AI62" s="4">
        <v>0</v>
      </c>
      <c r="AJ62" s="4">
        <v>0</v>
      </c>
      <c r="AK62" s="4">
        <v>0</v>
      </c>
      <c r="AL62" s="4">
        <v>0</v>
      </c>
      <c r="AM62" s="5">
        <v>10</v>
      </c>
      <c r="AN62" s="5">
        <v>0</v>
      </c>
      <c r="AO62" s="5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279</v>
      </c>
      <c r="AW62" s="5">
        <v>289</v>
      </c>
      <c r="AX62" s="5">
        <v>-14.45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F62" s="4">
        <v>-14.45</v>
      </c>
      <c r="BH62" s="4">
        <v>0</v>
      </c>
      <c r="BI62" s="4" t="s">
        <v>4562</v>
      </c>
    </row>
    <row r="63" spans="1:61">
      <c r="A63">
        <f t="shared" si="0"/>
        <v>2025</v>
      </c>
      <c r="B63">
        <f t="shared" si="1"/>
        <v>8</v>
      </c>
      <c r="C63" t="str">
        <f t="shared" si="2"/>
        <v>'6920715978398465705</v>
      </c>
      <c r="F63" t="str" cm="1">
        <f t="array" ref="F63">IFERROR(INDEX('抖音订单-按支付日期-ABF列，要先手动清除空格'!G:G,MATCH(RIGHT(S63,LEN(S63)-1)&amp;RIGHT(T63,LEN(T63)-1)&amp;RIGHT(Z63,LEN(Z63)-1),'抖音订单-按支付日期-ABF列，要先手动清除空格'!A:A&amp;'抖音订单-按支付日期-ABF列，要先手动清除空格'!B:B&amp;'抖音订单-按支付日期-ABF列，要先手动清除空格'!F:F,0)),0)</f>
        <v>	Z1578-黑色-M</v>
      </c>
      <c r="G63" s="17" t="str">
        <f t="shared" si="3"/>
        <v>Z1578</v>
      </c>
      <c r="H63" cm="1">
        <f t="array" ref="H63">IFERROR(_xlfn.IFS(AND(W63="已结算",AW63&gt;30),AB63,LEFT(W63,5)="结算后退款",-AB63,LEFT(W63,5)="保证金退款",0),0)</f>
        <v>1</v>
      </c>
      <c r="I63">
        <f t="shared" si="4"/>
        <v>289</v>
      </c>
      <c r="J63">
        <f t="shared" si="5"/>
        <v>0</v>
      </c>
      <c r="K63">
        <f t="shared" si="6"/>
        <v>0</v>
      </c>
      <c r="L63">
        <f t="shared" si="7"/>
        <v>-14.45</v>
      </c>
      <c r="M63">
        <f t="shared" si="8"/>
        <v>0</v>
      </c>
      <c r="O63">
        <f t="shared" si="9"/>
        <v>274.55</v>
      </c>
      <c r="R63" s="18">
        <v>45897.6002546296</v>
      </c>
      <c r="S63" s="4" t="s">
        <v>4640</v>
      </c>
      <c r="T63" s="4" t="s">
        <v>4640</v>
      </c>
      <c r="U63" s="4">
        <v>274.55</v>
      </c>
      <c r="V63" s="4" t="s">
        <v>4557</v>
      </c>
      <c r="W63" s="4" t="s">
        <v>4558</v>
      </c>
      <c r="X63" s="4" t="s">
        <v>85</v>
      </c>
      <c r="Y63" s="18">
        <v>45882.7115856481</v>
      </c>
      <c r="Z63" s="4" t="s">
        <v>4564</v>
      </c>
      <c r="AA63" s="4" t="s">
        <v>4565</v>
      </c>
      <c r="AB63" s="4">
        <v>1</v>
      </c>
      <c r="AC63" s="4" t="s">
        <v>4561</v>
      </c>
      <c r="AD63" s="4" t="s">
        <v>98</v>
      </c>
      <c r="AE63" s="4" t="s">
        <v>92</v>
      </c>
      <c r="AF63" s="4" t="s">
        <v>95</v>
      </c>
      <c r="AG63" s="4">
        <v>289</v>
      </c>
      <c r="AH63" s="4">
        <v>289</v>
      </c>
      <c r="AI63" s="4">
        <v>0</v>
      </c>
      <c r="AJ63" s="4">
        <v>0</v>
      </c>
      <c r="AK63" s="4">
        <v>0</v>
      </c>
      <c r="AL63" s="4">
        <v>0</v>
      </c>
      <c r="AM63" s="5">
        <v>0</v>
      </c>
      <c r="AN63" s="5">
        <v>0</v>
      </c>
      <c r="AO63" s="5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289</v>
      </c>
      <c r="AW63" s="5">
        <v>289</v>
      </c>
      <c r="AX63" s="5">
        <v>-14.45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F63" s="4">
        <v>-14.45</v>
      </c>
      <c r="BH63" s="4">
        <v>0</v>
      </c>
      <c r="BI63" s="4" t="s">
        <v>4562</v>
      </c>
    </row>
    <row r="64" spans="1:61">
      <c r="A64">
        <f t="shared" si="0"/>
        <v>2025</v>
      </c>
      <c r="B64">
        <f t="shared" si="1"/>
        <v>8</v>
      </c>
      <c r="C64" t="str">
        <f t="shared" si="2"/>
        <v>'6920593429064155094</v>
      </c>
      <c r="F64" t="str" cm="1">
        <f t="array" ref="F64">IFERROR(INDEX('抖音订单-按支付日期-ABF列，要先手动清除空格'!G:G,MATCH(RIGHT(S64,LEN(S64)-1)&amp;RIGHT(T64,LEN(T64)-1)&amp;RIGHT(Z64,LEN(Z64)-1),'抖音订单-按支付日期-ABF列，要先手动清除空格'!A:A&amp;'抖音订单-按支付日期-ABF列，要先手动清除空格'!B:B&amp;'抖音订单-按支付日期-ABF列，要先手动清除空格'!F:F,0)),0)</f>
        <v>	Z1640-黑色-L</v>
      </c>
      <c r="G64" s="17" t="str">
        <f t="shared" si="3"/>
        <v>Z1640</v>
      </c>
      <c r="H64" cm="1">
        <f t="array" ref="H64">IFERROR(_xlfn.IFS(AND(W64="已结算",AW64&gt;30),AB64,LEFT(W64,5)="结算后退款",-AB64,LEFT(W64,5)="保证金退款",0),0)</f>
        <v>1</v>
      </c>
      <c r="I64">
        <f t="shared" si="4"/>
        <v>289</v>
      </c>
      <c r="J64">
        <f t="shared" si="5"/>
        <v>0</v>
      </c>
      <c r="K64">
        <f t="shared" si="6"/>
        <v>0</v>
      </c>
      <c r="L64">
        <f t="shared" si="7"/>
        <v>-14.45</v>
      </c>
      <c r="M64">
        <f t="shared" si="8"/>
        <v>0</v>
      </c>
      <c r="O64">
        <f t="shared" si="9"/>
        <v>274.55</v>
      </c>
      <c r="R64" s="18">
        <v>45897.7296875</v>
      </c>
      <c r="S64" s="4" t="s">
        <v>4641</v>
      </c>
      <c r="T64" s="4" t="s">
        <v>4641</v>
      </c>
      <c r="U64" s="4">
        <v>274.55</v>
      </c>
      <c r="V64" s="4" t="s">
        <v>4557</v>
      </c>
      <c r="W64" s="4" t="s">
        <v>4558</v>
      </c>
      <c r="X64" s="4" t="s">
        <v>85</v>
      </c>
      <c r="Y64" s="18">
        <v>45872.6729050926</v>
      </c>
      <c r="Z64" s="4" t="s">
        <v>4559</v>
      </c>
      <c r="AA64" s="4" t="s">
        <v>4560</v>
      </c>
      <c r="AB64" s="4">
        <v>1</v>
      </c>
      <c r="AC64" s="4" t="s">
        <v>4561</v>
      </c>
      <c r="AD64" s="4" t="s">
        <v>98</v>
      </c>
      <c r="AE64" s="4" t="s">
        <v>92</v>
      </c>
      <c r="AF64" s="4" t="s">
        <v>95</v>
      </c>
      <c r="AG64" s="4">
        <v>289</v>
      </c>
      <c r="AH64" s="4">
        <v>289</v>
      </c>
      <c r="AI64" s="4">
        <v>0</v>
      </c>
      <c r="AJ64" s="4">
        <v>0</v>
      </c>
      <c r="AK64" s="4">
        <v>0</v>
      </c>
      <c r="AL64" s="4">
        <v>0</v>
      </c>
      <c r="AM64" s="5">
        <v>0</v>
      </c>
      <c r="AN64" s="5">
        <v>0</v>
      </c>
      <c r="AO64" s="5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289</v>
      </c>
      <c r="AW64" s="5">
        <v>289</v>
      </c>
      <c r="AX64" s="5">
        <v>-14.45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F64" s="4">
        <v>-14.45</v>
      </c>
      <c r="BH64" s="4">
        <v>0</v>
      </c>
      <c r="BI64" s="4" t="s">
        <v>4562</v>
      </c>
    </row>
    <row r="65" spans="1:61">
      <c r="A65">
        <f t="shared" si="0"/>
        <v>2025</v>
      </c>
      <c r="B65">
        <f t="shared" si="1"/>
        <v>8</v>
      </c>
      <c r="C65" t="str">
        <f t="shared" si="2"/>
        <v>'6920717505666383504</v>
      </c>
      <c r="F65" t="str" cm="1">
        <f t="array" ref="F65">IFERROR(INDEX('抖音订单-按支付日期-ABF列，要先手动清除空格'!G:G,MATCH(RIGHT(S65,LEN(S65)-1)&amp;RIGHT(T65,LEN(T65)-1)&amp;RIGHT(Z65,LEN(Z65)-1),'抖音订单-按支付日期-ABF列，要先手动清除空格'!A:A&amp;'抖音订单-按支付日期-ABF列，要先手动清除空格'!B:B&amp;'抖音订单-按支付日期-ABF列，要先手动清除空格'!F:F,0)),0)</f>
        <v>	Z1578-浅灰色-L</v>
      </c>
      <c r="G65" s="17" t="str">
        <f t="shared" si="3"/>
        <v>Z1578</v>
      </c>
      <c r="H65" cm="1">
        <f t="array" ref="H65">IFERROR(_xlfn.IFS(AND(W65="已结算",AW65&gt;30),AB65,LEFT(W65,5)="结算后退款",-AB65,LEFT(W65,5)="保证金退款",0),0)</f>
        <v>1</v>
      </c>
      <c r="I65">
        <f t="shared" si="4"/>
        <v>289</v>
      </c>
      <c r="J65">
        <f t="shared" si="5"/>
        <v>0</v>
      </c>
      <c r="K65">
        <f t="shared" si="6"/>
        <v>0</v>
      </c>
      <c r="L65">
        <f t="shared" si="7"/>
        <v>-14.45</v>
      </c>
      <c r="M65">
        <f t="shared" si="8"/>
        <v>0</v>
      </c>
      <c r="O65">
        <f t="shared" si="9"/>
        <v>274.55</v>
      </c>
      <c r="R65" s="18">
        <v>45897.7366319444</v>
      </c>
      <c r="S65" s="4" t="s">
        <v>4642</v>
      </c>
      <c r="T65" s="4" t="s">
        <v>4642</v>
      </c>
      <c r="U65" s="4">
        <v>274.55</v>
      </c>
      <c r="V65" s="4" t="s">
        <v>4557</v>
      </c>
      <c r="W65" s="4" t="s">
        <v>4558</v>
      </c>
      <c r="X65" s="4" t="s">
        <v>85</v>
      </c>
      <c r="Y65" s="18">
        <v>45882.7121759259</v>
      </c>
      <c r="Z65" s="4" t="s">
        <v>4564</v>
      </c>
      <c r="AA65" s="4" t="s">
        <v>4565</v>
      </c>
      <c r="AB65" s="4">
        <v>1</v>
      </c>
      <c r="AC65" s="4" t="s">
        <v>4561</v>
      </c>
      <c r="AD65" s="4" t="s">
        <v>98</v>
      </c>
      <c r="AE65" s="4" t="s">
        <v>92</v>
      </c>
      <c r="AF65" s="4" t="s">
        <v>95</v>
      </c>
      <c r="AG65" s="4">
        <v>289</v>
      </c>
      <c r="AH65" s="4">
        <v>289</v>
      </c>
      <c r="AI65" s="4">
        <v>0</v>
      </c>
      <c r="AJ65" s="4">
        <v>0</v>
      </c>
      <c r="AK65" s="4">
        <v>0</v>
      </c>
      <c r="AL65" s="4">
        <v>0</v>
      </c>
      <c r="AM65" s="5">
        <v>0</v>
      </c>
      <c r="AN65" s="5">
        <v>0</v>
      </c>
      <c r="AO65" s="5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289</v>
      </c>
      <c r="AW65" s="5">
        <v>289</v>
      </c>
      <c r="AX65" s="5">
        <v>-14.45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F65" s="4">
        <v>-14.45</v>
      </c>
      <c r="BH65" s="4">
        <v>0</v>
      </c>
      <c r="BI65" s="4" t="s">
        <v>4562</v>
      </c>
    </row>
    <row r="66" spans="1:61">
      <c r="A66">
        <f t="shared" si="0"/>
        <v>2025</v>
      </c>
      <c r="B66">
        <f t="shared" si="1"/>
        <v>8</v>
      </c>
      <c r="C66" t="str">
        <f t="shared" si="2"/>
        <v>'6920596653714472528</v>
      </c>
      <c r="F66" t="str" cm="1">
        <f t="array" ref="F66">IFERROR(INDEX('抖音订单-按支付日期-ABF列，要先手动清除空格'!G:G,MATCH(RIGHT(S66,LEN(S66)-1)&amp;RIGHT(T66,LEN(T66)-1)&amp;RIGHT(Z66,LEN(Z66)-1),'抖音订单-按支付日期-ABF列，要先手动清除空格'!A:A&amp;'抖音订单-按支付日期-ABF列，要先手动清除空格'!B:B&amp;'抖音订单-按支付日期-ABF列，要先手动清除空格'!F:F,0)),0)</f>
        <v>	Z1640-黑色-L</v>
      </c>
      <c r="G66" s="17" t="str">
        <f t="shared" si="3"/>
        <v>Z1640</v>
      </c>
      <c r="H66" cm="1">
        <f t="array" ref="H66">IFERROR(_xlfn.IFS(AND(W66="已结算",AW66&gt;30),AB66,LEFT(W66,5)="结算后退款",-AB66,LEFT(W66,5)="保证金退款",0),0)</f>
        <v>1</v>
      </c>
      <c r="I66">
        <f t="shared" si="4"/>
        <v>289</v>
      </c>
      <c r="J66">
        <f t="shared" si="5"/>
        <v>0</v>
      </c>
      <c r="K66">
        <f t="shared" si="6"/>
        <v>0</v>
      </c>
      <c r="L66">
        <f t="shared" si="7"/>
        <v>-14.45</v>
      </c>
      <c r="M66">
        <f t="shared" si="8"/>
        <v>0</v>
      </c>
      <c r="O66">
        <f t="shared" si="9"/>
        <v>274.55</v>
      </c>
      <c r="R66" s="18">
        <v>45897.7460532407</v>
      </c>
      <c r="S66" s="4" t="s">
        <v>4643</v>
      </c>
      <c r="T66" s="4" t="s">
        <v>4643</v>
      </c>
      <c r="U66" s="4">
        <v>274.55</v>
      </c>
      <c r="V66" s="4" t="s">
        <v>4557</v>
      </c>
      <c r="W66" s="4" t="s">
        <v>4558</v>
      </c>
      <c r="X66" s="4" t="s">
        <v>85</v>
      </c>
      <c r="Y66" s="18">
        <v>45872.7376967593</v>
      </c>
      <c r="Z66" s="4" t="s">
        <v>4559</v>
      </c>
      <c r="AA66" s="4" t="s">
        <v>4560</v>
      </c>
      <c r="AB66" s="4">
        <v>1</v>
      </c>
      <c r="AC66" s="4" t="s">
        <v>4561</v>
      </c>
      <c r="AD66" s="4" t="s">
        <v>98</v>
      </c>
      <c r="AE66" s="4" t="s">
        <v>92</v>
      </c>
      <c r="AF66" s="4" t="s">
        <v>95</v>
      </c>
      <c r="AG66" s="4">
        <v>289</v>
      </c>
      <c r="AH66" s="4">
        <v>289</v>
      </c>
      <c r="AI66" s="4">
        <v>0</v>
      </c>
      <c r="AJ66" s="4">
        <v>0</v>
      </c>
      <c r="AK66" s="4">
        <v>0</v>
      </c>
      <c r="AL66" s="4">
        <v>0</v>
      </c>
      <c r="AM66" s="5">
        <v>0</v>
      </c>
      <c r="AN66" s="5">
        <v>0</v>
      </c>
      <c r="AO66" s="5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289</v>
      </c>
      <c r="AW66" s="5">
        <v>289</v>
      </c>
      <c r="AX66" s="5">
        <v>-14.45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F66" s="4">
        <v>-14.45</v>
      </c>
      <c r="BH66" s="4">
        <v>0</v>
      </c>
      <c r="BI66" s="4" t="s">
        <v>4562</v>
      </c>
    </row>
    <row r="67" spans="1:61">
      <c r="A67">
        <f t="shared" si="0"/>
        <v>2025</v>
      </c>
      <c r="B67">
        <f t="shared" si="1"/>
        <v>8</v>
      </c>
      <c r="C67" t="str">
        <f t="shared" si="2"/>
        <v>'6920591145836052327</v>
      </c>
      <c r="F67" t="str" cm="1">
        <f t="array" ref="F67">IFERROR(INDEX('抖音订单-按支付日期-ABF列，要先手动清除空格'!G:G,MATCH(RIGHT(S67,LEN(S67)-1)&amp;RIGHT(T67,LEN(T67)-1)&amp;RIGHT(Z67,LEN(Z67)-1),'抖音订单-按支付日期-ABF列，要先手动清除空格'!A:A&amp;'抖音订单-按支付日期-ABF列，要先手动清除空格'!B:B&amp;'抖音订单-按支付日期-ABF列，要先手动清除空格'!F:F,0)),0)</f>
        <v>	Z2183-黑色-M</v>
      </c>
      <c r="G67" s="17" t="str">
        <f t="shared" si="3"/>
        <v>Z2183</v>
      </c>
      <c r="H67" cm="1">
        <f t="array" ref="H67">IFERROR(_xlfn.IFS(AND(W67="已结算",AW67&gt;30),AB67,LEFT(W67,5)="结算后退款",-AB67,LEFT(W67,5)="保证金退款",0),0)</f>
        <v>1</v>
      </c>
      <c r="I67">
        <f t="shared" si="4"/>
        <v>129</v>
      </c>
      <c r="J67">
        <f t="shared" si="5"/>
        <v>0</v>
      </c>
      <c r="K67">
        <f t="shared" si="6"/>
        <v>0</v>
      </c>
      <c r="L67">
        <f t="shared" si="7"/>
        <v>-6.45</v>
      </c>
      <c r="M67">
        <f t="shared" si="8"/>
        <v>0</v>
      </c>
      <c r="O67">
        <f t="shared" si="9"/>
        <v>122.55</v>
      </c>
      <c r="R67" s="18">
        <v>45897.7771064815</v>
      </c>
      <c r="S67" s="4" t="s">
        <v>4644</v>
      </c>
      <c r="T67" s="4" t="s">
        <v>4644</v>
      </c>
      <c r="U67" s="4">
        <v>122.55</v>
      </c>
      <c r="V67" s="4" t="s">
        <v>4557</v>
      </c>
      <c r="W67" s="4" t="s">
        <v>4558</v>
      </c>
      <c r="X67" s="4" t="s">
        <v>85</v>
      </c>
      <c r="Y67" s="18">
        <v>45872.6430439815</v>
      </c>
      <c r="Z67" s="4" t="s">
        <v>4579</v>
      </c>
      <c r="AA67" s="4" t="s">
        <v>4580</v>
      </c>
      <c r="AB67" s="4">
        <v>1</v>
      </c>
      <c r="AC67" s="4" t="s">
        <v>4561</v>
      </c>
      <c r="AD67" s="4" t="s">
        <v>98</v>
      </c>
      <c r="AE67" s="4" t="s">
        <v>92</v>
      </c>
      <c r="AF67" s="4" t="s">
        <v>95</v>
      </c>
      <c r="AG67" s="4">
        <v>129</v>
      </c>
      <c r="AH67" s="4">
        <v>129</v>
      </c>
      <c r="AI67" s="4">
        <v>0</v>
      </c>
      <c r="AJ67" s="4">
        <v>0</v>
      </c>
      <c r="AK67" s="4">
        <v>0</v>
      </c>
      <c r="AL67" s="4">
        <v>0</v>
      </c>
      <c r="AM67" s="5">
        <v>0</v>
      </c>
      <c r="AN67" s="5">
        <v>0</v>
      </c>
      <c r="AO67" s="5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129</v>
      </c>
      <c r="AW67" s="5">
        <v>129</v>
      </c>
      <c r="AX67" s="5">
        <v>-6.45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F67" s="4">
        <v>-6.45</v>
      </c>
      <c r="BH67" s="4">
        <v>0</v>
      </c>
      <c r="BI67" s="4" t="s">
        <v>4562</v>
      </c>
    </row>
    <row r="68" spans="1:61">
      <c r="A68">
        <f t="shared" ref="A68:A95" si="10">YEAR(R68)</f>
        <v>2025</v>
      </c>
      <c r="B68">
        <f t="shared" ref="B68:B95" si="11">MONTH(R68)</f>
        <v>8</v>
      </c>
      <c r="C68" t="str">
        <f t="shared" ref="C68:C95" si="12">S68</f>
        <v>'6920679823593798975</v>
      </c>
      <c r="F68" t="str" cm="1">
        <f t="array" ref="F68">IFERROR(INDEX('抖音订单-按支付日期-ABF列，要先手动清除空格'!G:G,MATCH(RIGHT(S68,LEN(S68)-1)&amp;RIGHT(T68,LEN(T68)-1)&amp;RIGHT(Z68,LEN(Z68)-1),'抖音订单-按支付日期-ABF列，要先手动清除空格'!A:A&amp;'抖音订单-按支付日期-ABF列，要先手动清除空格'!B:B&amp;'抖音订单-按支付日期-ABF列，要先手动清除空格'!F:F,0)),0)</f>
        <v>	Z476-灰色-L</v>
      </c>
      <c r="G68" s="17" t="str">
        <f t="shared" ref="G68:G131" si="13">IFERROR(SUBSTITUTE(CLEAN(LEFT(F68,FIND("-",F68)-1))," ",""),"")</f>
        <v>Z476</v>
      </c>
      <c r="H68" cm="1">
        <f t="array" ref="H68">IFERROR(_xlfn.IFS(AND(W68="已结算",AW68&gt;30),AB68,LEFT(W68,5)="结算后退款",-AB68,LEFT(W68,5)="保证金退款",0),0)</f>
        <v>1</v>
      </c>
      <c r="I68">
        <f t="shared" ref="I68:I131" si="14">AV68-K68</f>
        <v>180</v>
      </c>
      <c r="J68">
        <f t="shared" ref="J68:J95" si="15">SUM(AM68:AU68)</f>
        <v>0</v>
      </c>
      <c r="K68">
        <f t="shared" ref="K68:K95" si="16">AI68</f>
        <v>0</v>
      </c>
      <c r="L68">
        <f t="shared" ref="L68:L95" si="17">AX68</f>
        <v>-9</v>
      </c>
      <c r="M68">
        <f t="shared" ref="M68:M95" si="18">SUM(AY68:BD68)</f>
        <v>0</v>
      </c>
      <c r="O68">
        <f t="shared" ref="O68:O95" si="19">SUM(I68:N68)</f>
        <v>171</v>
      </c>
      <c r="R68" s="18">
        <v>45898.4736342593</v>
      </c>
      <c r="S68" s="4" t="s">
        <v>4645</v>
      </c>
      <c r="T68" s="4" t="s">
        <v>4645</v>
      </c>
      <c r="U68" s="4">
        <v>171</v>
      </c>
      <c r="V68" s="4" t="s">
        <v>4557</v>
      </c>
      <c r="W68" s="4" t="s">
        <v>4558</v>
      </c>
      <c r="X68" s="4" t="s">
        <v>85</v>
      </c>
      <c r="Y68" s="18">
        <v>45879.9017824074</v>
      </c>
      <c r="Z68" s="4" t="s">
        <v>4603</v>
      </c>
      <c r="AA68" s="4" t="s">
        <v>4604</v>
      </c>
      <c r="AB68" s="4">
        <v>1</v>
      </c>
      <c r="AE68" s="4" t="s">
        <v>216</v>
      </c>
      <c r="AF68" s="4" t="s">
        <v>95</v>
      </c>
      <c r="AG68" s="4">
        <v>180</v>
      </c>
      <c r="AH68" s="4">
        <v>180</v>
      </c>
      <c r="AI68" s="4">
        <v>0</v>
      </c>
      <c r="AJ68" s="4">
        <v>0</v>
      </c>
      <c r="AK68" s="4">
        <v>0</v>
      </c>
      <c r="AL68" s="4">
        <v>0</v>
      </c>
      <c r="AM68" s="5">
        <v>0</v>
      </c>
      <c r="AN68" s="5">
        <v>0</v>
      </c>
      <c r="AO68" s="5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180</v>
      </c>
      <c r="AW68" s="5">
        <v>180</v>
      </c>
      <c r="AX68" s="5">
        <v>-9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F68" s="4">
        <v>-9</v>
      </c>
      <c r="BG68" s="4" t="s">
        <v>85</v>
      </c>
      <c r="BH68" s="4">
        <v>0</v>
      </c>
      <c r="BI68" s="4" t="s">
        <v>4562</v>
      </c>
    </row>
    <row r="69" spans="1:61">
      <c r="A69">
        <f t="shared" si="10"/>
        <v>2025</v>
      </c>
      <c r="B69">
        <f t="shared" si="11"/>
        <v>8</v>
      </c>
      <c r="C69" t="str">
        <f t="shared" si="12"/>
        <v>'6920712704446856506</v>
      </c>
      <c r="F69" t="str" cm="1">
        <f t="array" ref="F69">IFERROR(INDEX('抖音订单-按支付日期-ABF列，要先手动清除空格'!G:G,MATCH(RIGHT(S69,LEN(S69)-1)&amp;RIGHT(T69,LEN(T69)-1)&amp;RIGHT(Z69,LEN(Z69)-1),'抖音订单-按支付日期-ABF列，要先手动清除空格'!A:A&amp;'抖音订单-按支付日期-ABF列，要先手动清除空格'!B:B&amp;'抖音订单-按支付日期-ABF列，要先手动清除空格'!F:F,0)),0)</f>
        <v>	Z2211-藏蓝色-M</v>
      </c>
      <c r="G69" s="17" t="str">
        <f t="shared" si="13"/>
        <v>Z2211</v>
      </c>
      <c r="H69" cm="1">
        <f t="array" ref="H69">IFERROR(_xlfn.IFS(AND(W69="已结算",AW69&gt;30),AB69,LEFT(W69,5)="结算后退款",-AB69,LEFT(W69,5)="保证金退款",0),0)</f>
        <v>1</v>
      </c>
      <c r="I69">
        <f t="shared" si="14"/>
        <v>239</v>
      </c>
      <c r="J69">
        <f t="shared" si="15"/>
        <v>0</v>
      </c>
      <c r="K69">
        <f t="shared" si="16"/>
        <v>0</v>
      </c>
      <c r="L69">
        <f t="shared" si="17"/>
        <v>-11.95</v>
      </c>
      <c r="M69">
        <f t="shared" si="18"/>
        <v>0</v>
      </c>
      <c r="O69">
        <f t="shared" si="19"/>
        <v>227.05</v>
      </c>
      <c r="R69" s="18">
        <v>45898.4934490741</v>
      </c>
      <c r="S69" s="4" t="s">
        <v>4646</v>
      </c>
      <c r="T69" s="4" t="s">
        <v>4646</v>
      </c>
      <c r="U69" s="4">
        <v>227.05</v>
      </c>
      <c r="V69" s="4" t="s">
        <v>4557</v>
      </c>
      <c r="W69" s="4" t="s">
        <v>4558</v>
      </c>
      <c r="X69" s="4" t="s">
        <v>85</v>
      </c>
      <c r="Y69" s="18">
        <v>45881.8357291667</v>
      </c>
      <c r="Z69" s="4" t="s">
        <v>4647</v>
      </c>
      <c r="AA69" s="4" t="s">
        <v>4648</v>
      </c>
      <c r="AB69" s="4">
        <v>1</v>
      </c>
      <c r="AE69" s="4" t="s">
        <v>216</v>
      </c>
      <c r="AF69" s="4" t="s">
        <v>95</v>
      </c>
      <c r="AG69" s="4">
        <v>239</v>
      </c>
      <c r="AH69" s="4">
        <v>239</v>
      </c>
      <c r="AI69" s="4">
        <v>0</v>
      </c>
      <c r="AJ69" s="4">
        <v>0</v>
      </c>
      <c r="AK69" s="4">
        <v>0</v>
      </c>
      <c r="AL69" s="4">
        <v>0</v>
      </c>
      <c r="AM69" s="5">
        <v>0</v>
      </c>
      <c r="AN69" s="5">
        <v>0</v>
      </c>
      <c r="AO69" s="5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239</v>
      </c>
      <c r="AW69" s="5">
        <v>239</v>
      </c>
      <c r="AX69" s="5">
        <v>-11.95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F69" s="4">
        <v>-11.95</v>
      </c>
      <c r="BG69" s="4" t="s">
        <v>85</v>
      </c>
      <c r="BH69" s="4">
        <v>0</v>
      </c>
      <c r="BI69" s="4" t="s">
        <v>4562</v>
      </c>
    </row>
    <row r="70" spans="1:61">
      <c r="A70">
        <f t="shared" si="10"/>
        <v>2025</v>
      </c>
      <c r="B70">
        <f t="shared" si="11"/>
        <v>8</v>
      </c>
      <c r="C70" t="str">
        <f t="shared" si="12"/>
        <v>'6945311586967754354</v>
      </c>
      <c r="F70" t="str" cm="1">
        <f t="array" ref="F70">IFERROR(INDEX('抖音订单-按支付日期-ABF列，要先手动清除空格'!G:G,MATCH(RIGHT(S70,LEN(S70)-1)&amp;RIGHT(T70,LEN(T70)-1)&amp;RIGHT(Z70,LEN(Z70)-1),'抖音订单-按支付日期-ABF列，要先手动清除空格'!A:A&amp;'抖音订单-按支付日期-ABF列，要先手动清除空格'!B:B&amp;'抖音订单-按支付日期-ABF列，要先手动清除空格'!F:F,0)),0)</f>
        <v>	Z2183-米白色-M</v>
      </c>
      <c r="G70" s="17" t="str">
        <f t="shared" si="13"/>
        <v>Z2183</v>
      </c>
      <c r="H70" cm="1">
        <f t="array" ref="H70">IFERROR(_xlfn.IFS(AND(W70="已结算",AW70&gt;30),AB70,LEFT(W70,5)="结算后退款",-AB70,LEFT(W70,5)="保证金退款",0),0)</f>
        <v>1</v>
      </c>
      <c r="I70">
        <f t="shared" si="14"/>
        <v>99</v>
      </c>
      <c r="J70">
        <f t="shared" si="15"/>
        <v>30</v>
      </c>
      <c r="K70">
        <f t="shared" si="16"/>
        <v>0</v>
      </c>
      <c r="L70">
        <f t="shared" si="17"/>
        <v>-6.45</v>
      </c>
      <c r="M70">
        <f t="shared" si="18"/>
        <v>0</v>
      </c>
      <c r="O70">
        <f t="shared" si="19"/>
        <v>122.55</v>
      </c>
      <c r="R70" s="18">
        <v>45898.5827199074</v>
      </c>
      <c r="S70" s="4" t="s">
        <v>4649</v>
      </c>
      <c r="T70" s="4" t="s">
        <v>4649</v>
      </c>
      <c r="U70" s="4">
        <v>122.55</v>
      </c>
      <c r="V70" s="4" t="s">
        <v>4557</v>
      </c>
      <c r="W70" s="4" t="s">
        <v>4558</v>
      </c>
      <c r="X70" s="4" t="s">
        <v>85</v>
      </c>
      <c r="Y70" s="18">
        <v>45887.5777893519</v>
      </c>
      <c r="Z70" s="4" t="s">
        <v>4579</v>
      </c>
      <c r="AA70" s="4" t="s">
        <v>4580</v>
      </c>
      <c r="AB70" s="4">
        <v>1</v>
      </c>
      <c r="AE70" s="4" t="s">
        <v>216</v>
      </c>
      <c r="AF70" s="4" t="s">
        <v>95</v>
      </c>
      <c r="AG70" s="4">
        <v>129</v>
      </c>
      <c r="AH70" s="4">
        <v>129</v>
      </c>
      <c r="AI70" s="4">
        <v>0</v>
      </c>
      <c r="AJ70" s="4">
        <v>0</v>
      </c>
      <c r="AK70" s="4">
        <v>0</v>
      </c>
      <c r="AL70" s="4">
        <v>0</v>
      </c>
      <c r="AM70" s="5">
        <v>10</v>
      </c>
      <c r="AN70" s="5">
        <v>0</v>
      </c>
      <c r="AO70" s="5">
        <v>0</v>
      </c>
      <c r="AP70" s="4">
        <v>0</v>
      </c>
      <c r="AQ70" s="4">
        <v>0</v>
      </c>
      <c r="AR70" s="4">
        <v>20</v>
      </c>
      <c r="AS70" s="4">
        <v>0</v>
      </c>
      <c r="AT70" s="4">
        <v>0</v>
      </c>
      <c r="AU70" s="4">
        <v>0</v>
      </c>
      <c r="AV70" s="4">
        <v>99</v>
      </c>
      <c r="AW70" s="5">
        <v>129</v>
      </c>
      <c r="AX70" s="5">
        <v>-6.45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F70" s="4">
        <v>-6.45</v>
      </c>
      <c r="BG70" s="4" t="s">
        <v>85</v>
      </c>
      <c r="BH70" s="4">
        <v>0</v>
      </c>
      <c r="BI70" s="4" t="s">
        <v>4562</v>
      </c>
    </row>
    <row r="71" spans="1:61">
      <c r="A71">
        <f t="shared" si="10"/>
        <v>2025</v>
      </c>
      <c r="B71">
        <f t="shared" si="11"/>
        <v>8</v>
      </c>
      <c r="C71" t="str">
        <f t="shared" si="12"/>
        <v>'6920623249652940196</v>
      </c>
      <c r="F71" t="str" cm="1">
        <f t="array" ref="F71">IFERROR(INDEX('抖音订单-按支付日期-ABF列，要先手动清除空格'!G:G,MATCH(RIGHT(S71,LEN(S71)-1)&amp;RIGHT(T71,LEN(T71)-1)&amp;RIGHT(Z71,LEN(Z71)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71" s="17" t="str">
        <f t="shared" si="13"/>
        <v>Z1640</v>
      </c>
      <c r="H71" cm="1">
        <f t="array" ref="H71">IFERROR(_xlfn.IFS(AND(W71="已结算",AW71&gt;30),AB71,LEFT(W71,5)="结算后退款",-AB71,LEFT(W71,5)="保证金退款",0),0)</f>
        <v>1</v>
      </c>
      <c r="I71">
        <f t="shared" si="14"/>
        <v>289</v>
      </c>
      <c r="J71">
        <f t="shared" si="15"/>
        <v>0</v>
      </c>
      <c r="K71">
        <f t="shared" si="16"/>
        <v>0</v>
      </c>
      <c r="L71">
        <f t="shared" si="17"/>
        <v>-14.45</v>
      </c>
      <c r="M71">
        <f t="shared" si="18"/>
        <v>0</v>
      </c>
      <c r="O71">
        <f t="shared" si="19"/>
        <v>274.55</v>
      </c>
      <c r="R71" s="18">
        <v>45898.5941435185</v>
      </c>
      <c r="S71" s="4" t="s">
        <v>4650</v>
      </c>
      <c r="T71" s="4" t="s">
        <v>4650</v>
      </c>
      <c r="U71" s="4">
        <v>274.55</v>
      </c>
      <c r="V71" s="4" t="s">
        <v>4557</v>
      </c>
      <c r="W71" s="4" t="s">
        <v>4558</v>
      </c>
      <c r="X71" s="4" t="s">
        <v>85</v>
      </c>
      <c r="Y71" s="18">
        <v>45874.6766782407</v>
      </c>
      <c r="Z71" s="4" t="s">
        <v>4559</v>
      </c>
      <c r="AA71" s="4" t="s">
        <v>4560</v>
      </c>
      <c r="AB71" s="4">
        <v>1</v>
      </c>
      <c r="AC71" s="4" t="s">
        <v>4561</v>
      </c>
      <c r="AD71" s="4" t="s">
        <v>98</v>
      </c>
      <c r="AE71" s="4" t="s">
        <v>92</v>
      </c>
      <c r="AF71" s="4" t="s">
        <v>95</v>
      </c>
      <c r="AG71" s="4">
        <v>289</v>
      </c>
      <c r="AH71" s="4">
        <v>289</v>
      </c>
      <c r="AI71" s="4">
        <v>0</v>
      </c>
      <c r="AJ71" s="4">
        <v>0</v>
      </c>
      <c r="AK71" s="4">
        <v>0</v>
      </c>
      <c r="AL71" s="4">
        <v>0</v>
      </c>
      <c r="AM71" s="5">
        <v>0</v>
      </c>
      <c r="AN71" s="5">
        <v>0</v>
      </c>
      <c r="AO71" s="5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289</v>
      </c>
      <c r="AW71" s="5">
        <v>289</v>
      </c>
      <c r="AX71" s="5">
        <v>-14.45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F71" s="4">
        <v>-14.45</v>
      </c>
      <c r="BH71" s="4">
        <v>0</v>
      </c>
      <c r="BI71" s="4" t="s">
        <v>4562</v>
      </c>
    </row>
    <row r="72" spans="1:61">
      <c r="A72">
        <f t="shared" si="10"/>
        <v>2025</v>
      </c>
      <c r="B72">
        <f t="shared" si="11"/>
        <v>8</v>
      </c>
      <c r="C72" t="str">
        <f t="shared" si="12"/>
        <v>'6920600395440946785</v>
      </c>
      <c r="F72" t="str" cm="1">
        <f t="array" ref="F72">IFERROR(INDEX('抖音订单-按支付日期-ABF列，要先手动清除空格'!G:G,MATCH(RIGHT(S72,LEN(S72)-1)&amp;RIGHT(T72,LEN(T72)-1)&amp;RIGHT(Z72,LEN(Z72)-1),'抖音订单-按支付日期-ABF列，要先手动清除空格'!A:A&amp;'抖音订单-按支付日期-ABF列，要先手动清除空格'!B:B&amp;'抖音订单-按支付日期-ABF列，要先手动清除空格'!F:F,0)),0)</f>
        <v>	Z2183-黑色-XL</v>
      </c>
      <c r="G72" s="17" t="str">
        <f t="shared" si="13"/>
        <v>Z2183</v>
      </c>
      <c r="H72" cm="1">
        <f t="array" ref="H72">IFERROR(_xlfn.IFS(AND(W72="已结算",AW72&gt;30),AB72,LEFT(W72,5)="结算后退款",-AB72,LEFT(W72,5)="保证金退款",0),0)</f>
        <v>1</v>
      </c>
      <c r="I72">
        <f t="shared" si="14"/>
        <v>129</v>
      </c>
      <c r="J72">
        <f t="shared" si="15"/>
        <v>0</v>
      </c>
      <c r="K72">
        <f t="shared" si="16"/>
        <v>0</v>
      </c>
      <c r="L72">
        <f t="shared" si="17"/>
        <v>-6.45</v>
      </c>
      <c r="M72">
        <f t="shared" si="18"/>
        <v>0</v>
      </c>
      <c r="O72">
        <f t="shared" si="19"/>
        <v>122.55</v>
      </c>
      <c r="R72" s="18">
        <v>45898.7022800926</v>
      </c>
      <c r="S72" s="4" t="s">
        <v>4605</v>
      </c>
      <c r="T72" s="4" t="s">
        <v>4651</v>
      </c>
      <c r="U72" s="4">
        <v>122.55</v>
      </c>
      <c r="V72" s="4" t="s">
        <v>4557</v>
      </c>
      <c r="W72" s="4" t="s">
        <v>4558</v>
      </c>
      <c r="X72" s="4" t="s">
        <v>85</v>
      </c>
      <c r="Y72" s="18">
        <v>45873.5128009259</v>
      </c>
      <c r="Z72" s="4" t="s">
        <v>4579</v>
      </c>
      <c r="AA72" s="4" t="s">
        <v>4580</v>
      </c>
      <c r="AB72" s="4">
        <v>1</v>
      </c>
      <c r="AC72" s="4" t="s">
        <v>4561</v>
      </c>
      <c r="AD72" s="4" t="s">
        <v>98</v>
      </c>
      <c r="AE72" s="4" t="s">
        <v>92</v>
      </c>
      <c r="AF72" s="4" t="s">
        <v>95</v>
      </c>
      <c r="AG72" s="4">
        <v>129</v>
      </c>
      <c r="AH72" s="4">
        <v>129</v>
      </c>
      <c r="AI72" s="4">
        <v>0</v>
      </c>
      <c r="AJ72" s="4">
        <v>0</v>
      </c>
      <c r="AK72" s="4">
        <v>0</v>
      </c>
      <c r="AL72" s="4">
        <v>0</v>
      </c>
      <c r="AM72" s="5">
        <v>0</v>
      </c>
      <c r="AN72" s="5">
        <v>0</v>
      </c>
      <c r="AO72" s="5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129</v>
      </c>
      <c r="AW72" s="5">
        <v>129</v>
      </c>
      <c r="AX72" s="5">
        <v>-6.45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F72" s="4">
        <v>-6.45</v>
      </c>
      <c r="BH72" s="4">
        <v>0</v>
      </c>
      <c r="BI72" s="4" t="s">
        <v>4562</v>
      </c>
    </row>
    <row r="73" spans="1:61">
      <c r="A73">
        <f t="shared" si="10"/>
        <v>2025</v>
      </c>
      <c r="B73">
        <f t="shared" si="11"/>
        <v>8</v>
      </c>
      <c r="C73" t="str">
        <f t="shared" si="12"/>
        <v>'6920712704446856506</v>
      </c>
      <c r="F73" t="str" cm="1">
        <f t="array" ref="F73">IFERROR(INDEX('抖音订单-按支付日期-ABF列，要先手动清除空格'!G:G,MATCH(RIGHT(S73,LEN(S73)-1)&amp;RIGHT(T73,LEN(T73)-1)&amp;RIGHT(Z73,LEN(Z73)-1),'抖音订单-按支付日期-ABF列，要先手动清除空格'!A:A&amp;'抖音订单-按支付日期-ABF列，要先手动清除空格'!B:B&amp;'抖音订单-按支付日期-ABF列，要先手动清除空格'!F:F,0)),0)</f>
        <v>	Z2183-黑色-L</v>
      </c>
      <c r="G73" s="17" t="str">
        <f t="shared" si="13"/>
        <v>Z2183</v>
      </c>
      <c r="H73" cm="1">
        <f t="array" ref="H73">IFERROR(_xlfn.IFS(AND(W73="已结算",AW73&gt;30),AB73,LEFT(W73,5)="结算后退款",-AB73,LEFT(W73,5)="保证金退款",0),0)</f>
        <v>1</v>
      </c>
      <c r="I73">
        <f t="shared" si="14"/>
        <v>129</v>
      </c>
      <c r="J73">
        <f t="shared" si="15"/>
        <v>0</v>
      </c>
      <c r="K73">
        <f t="shared" si="16"/>
        <v>0</v>
      </c>
      <c r="L73">
        <f t="shared" si="17"/>
        <v>-6.45</v>
      </c>
      <c r="M73">
        <f t="shared" si="18"/>
        <v>0</v>
      </c>
      <c r="O73">
        <f t="shared" si="19"/>
        <v>122.55</v>
      </c>
      <c r="R73" s="18">
        <v>45898.7340046296</v>
      </c>
      <c r="S73" s="4" t="s">
        <v>4646</v>
      </c>
      <c r="T73" s="4" t="s">
        <v>4652</v>
      </c>
      <c r="U73" s="4">
        <v>122.55</v>
      </c>
      <c r="V73" s="4" t="s">
        <v>4557</v>
      </c>
      <c r="W73" s="4" t="s">
        <v>4558</v>
      </c>
      <c r="X73" s="4" t="s">
        <v>85</v>
      </c>
      <c r="Y73" s="18">
        <v>45881.8357291667</v>
      </c>
      <c r="Z73" s="4" t="s">
        <v>4579</v>
      </c>
      <c r="AA73" s="4" t="s">
        <v>4580</v>
      </c>
      <c r="AB73" s="4">
        <v>1</v>
      </c>
      <c r="AC73" s="4" t="s">
        <v>4561</v>
      </c>
      <c r="AD73" s="4" t="s">
        <v>98</v>
      </c>
      <c r="AE73" s="4" t="s">
        <v>92</v>
      </c>
      <c r="AF73" s="4" t="s">
        <v>95</v>
      </c>
      <c r="AG73" s="4">
        <v>129</v>
      </c>
      <c r="AH73" s="4">
        <v>129</v>
      </c>
      <c r="AI73" s="4">
        <v>0</v>
      </c>
      <c r="AJ73" s="4">
        <v>0</v>
      </c>
      <c r="AK73" s="4">
        <v>0</v>
      </c>
      <c r="AL73" s="4">
        <v>0</v>
      </c>
      <c r="AM73" s="5">
        <v>0</v>
      </c>
      <c r="AN73" s="5">
        <v>0</v>
      </c>
      <c r="AO73" s="5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129</v>
      </c>
      <c r="AW73" s="5">
        <v>129</v>
      </c>
      <c r="AX73" s="5">
        <v>-6.45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F73" s="4">
        <v>-6.45</v>
      </c>
      <c r="BH73" s="4">
        <v>0</v>
      </c>
      <c r="BI73" s="4" t="s">
        <v>4562</v>
      </c>
    </row>
    <row r="74" spans="1:61">
      <c r="A74">
        <f t="shared" si="10"/>
        <v>2025</v>
      </c>
      <c r="B74">
        <f t="shared" si="11"/>
        <v>8</v>
      </c>
      <c r="C74" t="str">
        <f t="shared" si="12"/>
        <v>'6944950801309242421</v>
      </c>
      <c r="F74" t="str" cm="1">
        <f t="array" ref="F74">IFERROR(INDEX('抖音订单-按支付日期-ABF列，要先手动清除空格'!G:G,MATCH(RIGHT(S74,LEN(S74)-1)&amp;RIGHT(T74,LEN(T74)-1)&amp;RIGHT(Z74,LEN(Z74)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74" s="17" t="str">
        <f t="shared" si="13"/>
        <v>Z1640</v>
      </c>
      <c r="H74" cm="1">
        <f t="array" ref="H74">IFERROR(_xlfn.IFS(AND(W74="已结算",AW74&gt;30),AB74,LEFT(W74,5)="结算后退款",-AB74,LEFT(W74,5)="保证金退款",0),0)</f>
        <v>1</v>
      </c>
      <c r="I74">
        <f t="shared" si="14"/>
        <v>289</v>
      </c>
      <c r="J74">
        <f t="shared" si="15"/>
        <v>0</v>
      </c>
      <c r="K74">
        <f t="shared" si="16"/>
        <v>0</v>
      </c>
      <c r="L74">
        <f t="shared" si="17"/>
        <v>-14.45</v>
      </c>
      <c r="M74">
        <f t="shared" si="18"/>
        <v>0</v>
      </c>
      <c r="O74">
        <f t="shared" si="19"/>
        <v>274.55</v>
      </c>
      <c r="R74" s="18">
        <v>45898.7367708333</v>
      </c>
      <c r="S74" s="4" t="s">
        <v>4653</v>
      </c>
      <c r="T74" s="4" t="s">
        <v>4653</v>
      </c>
      <c r="U74" s="4">
        <v>274.55</v>
      </c>
      <c r="V74" s="4" t="s">
        <v>4557</v>
      </c>
      <c r="W74" s="4" t="s">
        <v>4558</v>
      </c>
      <c r="X74" s="4" t="s">
        <v>85</v>
      </c>
      <c r="Y74" s="18">
        <v>45874.672349537</v>
      </c>
      <c r="Z74" s="4" t="s">
        <v>4559</v>
      </c>
      <c r="AA74" s="4" t="s">
        <v>4560</v>
      </c>
      <c r="AB74" s="4">
        <v>1</v>
      </c>
      <c r="AC74" s="4" t="s">
        <v>4561</v>
      </c>
      <c r="AD74" s="4" t="s">
        <v>98</v>
      </c>
      <c r="AE74" s="4" t="s">
        <v>92</v>
      </c>
      <c r="AF74" s="4" t="s">
        <v>95</v>
      </c>
      <c r="AG74" s="4">
        <v>289</v>
      </c>
      <c r="AH74" s="4">
        <v>289</v>
      </c>
      <c r="AI74" s="4">
        <v>0</v>
      </c>
      <c r="AJ74" s="4">
        <v>0</v>
      </c>
      <c r="AK74" s="4">
        <v>0</v>
      </c>
      <c r="AL74" s="4">
        <v>0</v>
      </c>
      <c r="AM74" s="5">
        <v>0</v>
      </c>
      <c r="AN74" s="5">
        <v>0</v>
      </c>
      <c r="AO74" s="5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289</v>
      </c>
      <c r="AW74" s="5">
        <v>289</v>
      </c>
      <c r="AX74" s="5">
        <v>-14.45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F74" s="4">
        <v>-14.45</v>
      </c>
      <c r="BH74" s="4">
        <v>0</v>
      </c>
      <c r="BI74" s="4" t="s">
        <v>4562</v>
      </c>
    </row>
    <row r="75" spans="1:61">
      <c r="A75">
        <f t="shared" si="10"/>
        <v>2025</v>
      </c>
      <c r="B75">
        <f t="shared" si="11"/>
        <v>8</v>
      </c>
      <c r="C75" t="str">
        <f t="shared" si="12"/>
        <v>'6944968570105369665</v>
      </c>
      <c r="F75" t="str" cm="1">
        <f t="array" ref="F75">IFERROR(INDEX('抖音订单-按支付日期-ABF列，要先手动清除空格'!G:G,MATCH(RIGHT(S75,LEN(S75)-1)&amp;RIGHT(T75,LEN(T75)-1)&amp;RIGHT(Z75,LEN(Z75)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75" s="17" t="str">
        <f t="shared" si="13"/>
        <v>Z1640</v>
      </c>
      <c r="H75" cm="1">
        <f t="array" ref="H75">IFERROR(_xlfn.IFS(AND(W75="已结算",AW75&gt;30),AB75,LEFT(W75,5)="结算后退款",-AB75,LEFT(W75,5)="保证金退款",0),0)</f>
        <v>1</v>
      </c>
      <c r="I75">
        <f t="shared" si="14"/>
        <v>289</v>
      </c>
      <c r="J75">
        <f t="shared" si="15"/>
        <v>0</v>
      </c>
      <c r="K75">
        <f t="shared" si="16"/>
        <v>0</v>
      </c>
      <c r="L75">
        <f t="shared" si="17"/>
        <v>-14.45</v>
      </c>
      <c r="M75">
        <f t="shared" si="18"/>
        <v>0</v>
      </c>
      <c r="O75">
        <f t="shared" si="19"/>
        <v>274.55</v>
      </c>
      <c r="R75" s="18">
        <v>45898.736875</v>
      </c>
      <c r="S75" s="4" t="s">
        <v>4654</v>
      </c>
      <c r="T75" s="4" t="s">
        <v>4654</v>
      </c>
      <c r="U75" s="4">
        <v>274.55</v>
      </c>
      <c r="V75" s="4" t="s">
        <v>4557</v>
      </c>
      <c r="W75" s="4" t="s">
        <v>4558</v>
      </c>
      <c r="X75" s="4" t="s">
        <v>85</v>
      </c>
      <c r="Y75" s="18">
        <v>45874.6722685185</v>
      </c>
      <c r="Z75" s="4" t="s">
        <v>4559</v>
      </c>
      <c r="AA75" s="4" t="s">
        <v>4560</v>
      </c>
      <c r="AB75" s="4">
        <v>1</v>
      </c>
      <c r="AC75" s="4" t="s">
        <v>4561</v>
      </c>
      <c r="AD75" s="4" t="s">
        <v>98</v>
      </c>
      <c r="AE75" s="4" t="s">
        <v>92</v>
      </c>
      <c r="AF75" s="4" t="s">
        <v>95</v>
      </c>
      <c r="AG75" s="4">
        <v>289</v>
      </c>
      <c r="AH75" s="4">
        <v>289</v>
      </c>
      <c r="AI75" s="4">
        <v>0</v>
      </c>
      <c r="AJ75" s="4">
        <v>0</v>
      </c>
      <c r="AK75" s="4">
        <v>0</v>
      </c>
      <c r="AL75" s="4">
        <v>0</v>
      </c>
      <c r="AM75" s="5">
        <v>0</v>
      </c>
      <c r="AN75" s="5">
        <v>0</v>
      </c>
      <c r="AO75" s="5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289</v>
      </c>
      <c r="AW75" s="5">
        <v>289</v>
      </c>
      <c r="AX75" s="5">
        <v>-14.45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F75" s="4">
        <v>-14.45</v>
      </c>
      <c r="BH75" s="4">
        <v>0</v>
      </c>
      <c r="BI75" s="4" t="s">
        <v>4562</v>
      </c>
    </row>
    <row r="76" spans="1:61">
      <c r="A76">
        <f t="shared" si="10"/>
        <v>2025</v>
      </c>
      <c r="B76">
        <f t="shared" si="11"/>
        <v>8</v>
      </c>
      <c r="C76" t="str">
        <f t="shared" si="12"/>
        <v>'6920623208407596480</v>
      </c>
      <c r="F76" t="str" cm="1">
        <f t="array" ref="F76">IFERROR(INDEX('抖音订单-按支付日期-ABF列，要先手动清除空格'!G:G,MATCH(RIGHT(S76,LEN(S76)-1)&amp;RIGHT(T76,LEN(T76)-1)&amp;RIGHT(Z76,LEN(Z76)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76" s="17" t="str">
        <f t="shared" si="13"/>
        <v>Z1640</v>
      </c>
      <c r="H76" cm="1">
        <f t="array" ref="H76">IFERROR(_xlfn.IFS(AND(W76="已结算",AW76&gt;30),AB76,LEFT(W76,5)="结算后退款",-AB76,LEFT(W76,5)="保证金退款",0),0)</f>
        <v>1</v>
      </c>
      <c r="I76">
        <f t="shared" si="14"/>
        <v>289</v>
      </c>
      <c r="J76">
        <f t="shared" si="15"/>
        <v>0</v>
      </c>
      <c r="K76">
        <f t="shared" si="16"/>
        <v>0</v>
      </c>
      <c r="L76">
        <f t="shared" si="17"/>
        <v>-14.45</v>
      </c>
      <c r="M76">
        <f t="shared" si="18"/>
        <v>0</v>
      </c>
      <c r="O76">
        <f t="shared" si="19"/>
        <v>274.55</v>
      </c>
      <c r="R76" s="18">
        <v>45898.7576273148</v>
      </c>
      <c r="S76" s="4" t="s">
        <v>4655</v>
      </c>
      <c r="T76" s="4" t="s">
        <v>4655</v>
      </c>
      <c r="U76" s="4">
        <v>274.55</v>
      </c>
      <c r="V76" s="4" t="s">
        <v>4557</v>
      </c>
      <c r="W76" s="4" t="s">
        <v>4558</v>
      </c>
      <c r="X76" s="4" t="s">
        <v>85</v>
      </c>
      <c r="Y76" s="18">
        <v>45874.6765972222</v>
      </c>
      <c r="Z76" s="4" t="s">
        <v>4559</v>
      </c>
      <c r="AA76" s="4" t="s">
        <v>4560</v>
      </c>
      <c r="AB76" s="4">
        <v>1</v>
      </c>
      <c r="AC76" s="4" t="s">
        <v>4561</v>
      </c>
      <c r="AD76" s="4" t="s">
        <v>98</v>
      </c>
      <c r="AE76" s="4" t="s">
        <v>92</v>
      </c>
      <c r="AF76" s="4" t="s">
        <v>95</v>
      </c>
      <c r="AG76" s="4">
        <v>289</v>
      </c>
      <c r="AH76" s="4">
        <v>289</v>
      </c>
      <c r="AI76" s="4">
        <v>0</v>
      </c>
      <c r="AJ76" s="4">
        <v>0</v>
      </c>
      <c r="AK76" s="4">
        <v>0</v>
      </c>
      <c r="AL76" s="4">
        <v>0</v>
      </c>
      <c r="AM76" s="5">
        <v>0</v>
      </c>
      <c r="AN76" s="5">
        <v>0</v>
      </c>
      <c r="AO76" s="5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289</v>
      </c>
      <c r="AW76" s="5">
        <v>289</v>
      </c>
      <c r="AX76" s="5">
        <v>-14.45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F76" s="4">
        <v>-14.45</v>
      </c>
      <c r="BH76" s="4">
        <v>0</v>
      </c>
      <c r="BI76" s="4" t="s">
        <v>4562</v>
      </c>
    </row>
    <row r="77" spans="1:61">
      <c r="A77">
        <f t="shared" si="10"/>
        <v>2025</v>
      </c>
      <c r="B77">
        <f t="shared" si="11"/>
        <v>8</v>
      </c>
      <c r="C77" t="str">
        <f t="shared" si="12"/>
        <v>'6920720675995614368</v>
      </c>
      <c r="F77" t="str" cm="1">
        <f t="array" ref="F77">IFERROR(INDEX('抖音订单-按支付日期-ABF列，要先手动清除空格'!G:G,MATCH(RIGHT(S77,LEN(S77)-1)&amp;RIGHT(T77,LEN(T77)-1)&amp;RIGHT(Z77,LEN(Z77)-1),'抖音订单-按支付日期-ABF列，要先手动清除空格'!A:A&amp;'抖音订单-按支付日期-ABF列，要先手动清除空格'!B:B&amp;'抖音订单-按支付日期-ABF列，要先手动清除空格'!F:F,0)),0)</f>
        <v>	Z1781-蓝色-M</v>
      </c>
      <c r="G77" s="17" t="str">
        <f t="shared" si="13"/>
        <v>Z1781</v>
      </c>
      <c r="H77" cm="1">
        <f t="array" ref="H77">IFERROR(_xlfn.IFS(AND(W77="已结算",AW77&gt;30),AB77,LEFT(W77,5)="结算后退款",-AB77,LEFT(W77,5)="保证金退款",0),0)</f>
        <v>1</v>
      </c>
      <c r="I77">
        <f t="shared" si="14"/>
        <v>249</v>
      </c>
      <c r="J77">
        <f t="shared" si="15"/>
        <v>0</v>
      </c>
      <c r="K77">
        <f t="shared" si="16"/>
        <v>0</v>
      </c>
      <c r="L77">
        <f t="shared" si="17"/>
        <v>-12.45</v>
      </c>
      <c r="M77">
        <f t="shared" si="18"/>
        <v>0</v>
      </c>
      <c r="O77">
        <f t="shared" si="19"/>
        <v>236.55</v>
      </c>
      <c r="R77" s="18">
        <v>45898.7626967593</v>
      </c>
      <c r="S77" s="4" t="s">
        <v>4656</v>
      </c>
      <c r="T77" s="4" t="s">
        <v>4656</v>
      </c>
      <c r="U77" s="4">
        <v>236.55</v>
      </c>
      <c r="V77" s="4" t="s">
        <v>4557</v>
      </c>
      <c r="W77" s="4" t="s">
        <v>4558</v>
      </c>
      <c r="X77" s="4" t="s">
        <v>85</v>
      </c>
      <c r="Y77" s="18">
        <v>45882.761412037</v>
      </c>
      <c r="Z77" s="4" t="s">
        <v>4657</v>
      </c>
      <c r="AA77" s="4" t="s">
        <v>4658</v>
      </c>
      <c r="AB77" s="4">
        <v>1</v>
      </c>
      <c r="AC77" s="4" t="s">
        <v>4561</v>
      </c>
      <c r="AD77" s="4" t="s">
        <v>98</v>
      </c>
      <c r="AE77" s="4" t="s">
        <v>92</v>
      </c>
      <c r="AF77" s="4" t="s">
        <v>95</v>
      </c>
      <c r="AG77" s="4">
        <v>249</v>
      </c>
      <c r="AH77" s="4">
        <v>249</v>
      </c>
      <c r="AI77" s="4">
        <v>0</v>
      </c>
      <c r="AJ77" s="4">
        <v>0</v>
      </c>
      <c r="AK77" s="4">
        <v>0</v>
      </c>
      <c r="AL77" s="4">
        <v>0</v>
      </c>
      <c r="AM77" s="5">
        <v>0</v>
      </c>
      <c r="AN77" s="5">
        <v>0</v>
      </c>
      <c r="AO77" s="5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249</v>
      </c>
      <c r="AW77" s="5">
        <v>249</v>
      </c>
      <c r="AX77" s="5">
        <v>-12.45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F77" s="4">
        <v>-12.45</v>
      </c>
      <c r="BH77" s="4">
        <v>0</v>
      </c>
      <c r="BI77" s="4" t="s">
        <v>4562</v>
      </c>
    </row>
    <row r="78" spans="1:61">
      <c r="A78">
        <f t="shared" si="10"/>
        <v>2025</v>
      </c>
      <c r="B78">
        <f t="shared" si="11"/>
        <v>8</v>
      </c>
      <c r="C78" t="str">
        <f t="shared" si="12"/>
        <v>'6920862917685968813</v>
      </c>
      <c r="F78" t="str" cm="1">
        <f t="array" ref="F78">IFERROR(INDEX('抖音订单-按支付日期-ABF列，要先手动清除空格'!G:G,MATCH(RIGHT(S78,LEN(S78)-1)&amp;RIGHT(T78,LEN(T78)-1)&amp;RIGHT(Z78,LEN(Z78)-1),'抖音订单-按支付日期-ABF列，要先手动清除空格'!A:A&amp;'抖音订单-按支付日期-ABF列，要先手动清除空格'!B:B&amp;'抖音订单-按支付日期-ABF列，要先手动清除空格'!F:F,0)),0)</f>
        <v>	Z476-灰色-L</v>
      </c>
      <c r="G78" s="17" t="str">
        <f t="shared" si="13"/>
        <v>Z476</v>
      </c>
      <c r="H78" cm="1">
        <f t="array" ref="H78">IFERROR(_xlfn.IFS(AND(W78="已结算",AW78&gt;30),AB78,LEFT(W78,5)="结算后退款",-AB78,LEFT(W78,5)="保证金退款",0),0)</f>
        <v>1</v>
      </c>
      <c r="I78">
        <f t="shared" si="14"/>
        <v>180</v>
      </c>
      <c r="J78">
        <f t="shared" si="15"/>
        <v>0</v>
      </c>
      <c r="K78">
        <f t="shared" si="16"/>
        <v>0</v>
      </c>
      <c r="L78">
        <f t="shared" si="17"/>
        <v>-9</v>
      </c>
      <c r="M78">
        <f t="shared" si="18"/>
        <v>0</v>
      </c>
      <c r="O78">
        <f t="shared" si="19"/>
        <v>171</v>
      </c>
      <c r="R78" s="18">
        <v>45898.8352430556</v>
      </c>
      <c r="S78" s="4" t="s">
        <v>4659</v>
      </c>
      <c r="T78" s="4" t="s">
        <v>4659</v>
      </c>
      <c r="U78" s="4">
        <v>171</v>
      </c>
      <c r="V78" s="4" t="s">
        <v>4557</v>
      </c>
      <c r="W78" s="4" t="s">
        <v>4558</v>
      </c>
      <c r="X78" s="4" t="s">
        <v>85</v>
      </c>
      <c r="Y78" s="18">
        <v>45890.2769097222</v>
      </c>
      <c r="Z78" s="4" t="s">
        <v>4603</v>
      </c>
      <c r="AA78" s="4" t="s">
        <v>4604</v>
      </c>
      <c r="AB78" s="4">
        <v>1</v>
      </c>
      <c r="AC78" s="4" t="s">
        <v>4561</v>
      </c>
      <c r="AD78" s="4" t="s">
        <v>98</v>
      </c>
      <c r="AE78" s="4" t="s">
        <v>92</v>
      </c>
      <c r="AF78" s="4" t="s">
        <v>95</v>
      </c>
      <c r="AG78" s="4">
        <v>180</v>
      </c>
      <c r="AH78" s="4">
        <v>180</v>
      </c>
      <c r="AI78" s="4">
        <v>0</v>
      </c>
      <c r="AJ78" s="4">
        <v>0</v>
      </c>
      <c r="AK78" s="4">
        <v>0</v>
      </c>
      <c r="AL78" s="4">
        <v>0</v>
      </c>
      <c r="AM78" s="5">
        <v>0</v>
      </c>
      <c r="AN78" s="5">
        <v>0</v>
      </c>
      <c r="AO78" s="5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180</v>
      </c>
      <c r="AW78" s="5">
        <v>180</v>
      </c>
      <c r="AX78" s="5">
        <v>-9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F78" s="4">
        <v>-9</v>
      </c>
      <c r="BG78" s="4" t="s">
        <v>85</v>
      </c>
      <c r="BH78" s="4">
        <v>0</v>
      </c>
      <c r="BI78" s="4" t="s">
        <v>4562</v>
      </c>
    </row>
    <row r="79" spans="1:61">
      <c r="A79">
        <f t="shared" si="10"/>
        <v>2025</v>
      </c>
      <c r="B79">
        <f t="shared" si="11"/>
        <v>8</v>
      </c>
      <c r="C79" t="str">
        <f t="shared" si="12"/>
        <v>'6944959062942357247</v>
      </c>
      <c r="F79" t="str" cm="1">
        <f t="array" ref="F79">IFERROR(INDEX('抖音订单-按支付日期-ABF列，要先手动清除空格'!G:G,MATCH(RIGHT(S79,LEN(S79)-1)&amp;RIGHT(T79,LEN(T79)-1)&amp;RIGHT(Z79,LEN(Z79)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79" s="17" t="str">
        <f t="shared" si="13"/>
        <v>Z1640</v>
      </c>
      <c r="H79" cm="1">
        <f t="array" ref="H79">IFERROR(_xlfn.IFS(AND(W79="已结算",AW79&gt;30),AB79,LEFT(W79,5)="结算后退款",-AB79,LEFT(W79,5)="保证金退款",0),0)</f>
        <v>1</v>
      </c>
      <c r="I79">
        <f t="shared" si="14"/>
        <v>274</v>
      </c>
      <c r="J79">
        <f t="shared" si="15"/>
        <v>15</v>
      </c>
      <c r="K79">
        <f t="shared" si="16"/>
        <v>0</v>
      </c>
      <c r="L79">
        <f t="shared" si="17"/>
        <v>-14.45</v>
      </c>
      <c r="M79">
        <f t="shared" si="18"/>
        <v>0</v>
      </c>
      <c r="O79">
        <f t="shared" si="19"/>
        <v>274.55</v>
      </c>
      <c r="R79" s="18">
        <v>45898.8528125</v>
      </c>
      <c r="S79" s="4" t="s">
        <v>4660</v>
      </c>
      <c r="T79" s="4" t="s">
        <v>4660</v>
      </c>
      <c r="U79" s="4">
        <v>274.55</v>
      </c>
      <c r="V79" s="4" t="s">
        <v>4557</v>
      </c>
      <c r="W79" s="4" t="s">
        <v>4558</v>
      </c>
      <c r="X79" s="4" t="s">
        <v>85</v>
      </c>
      <c r="Y79" s="18">
        <v>45874.6768518519</v>
      </c>
      <c r="Z79" s="4" t="s">
        <v>4559</v>
      </c>
      <c r="AA79" s="4" t="s">
        <v>4560</v>
      </c>
      <c r="AB79" s="4">
        <v>1</v>
      </c>
      <c r="AC79" s="4" t="s">
        <v>4561</v>
      </c>
      <c r="AD79" s="4" t="s">
        <v>98</v>
      </c>
      <c r="AE79" s="4" t="s">
        <v>92</v>
      </c>
      <c r="AF79" s="4" t="s">
        <v>95</v>
      </c>
      <c r="AG79" s="4">
        <v>289</v>
      </c>
      <c r="AH79" s="4">
        <v>289</v>
      </c>
      <c r="AI79" s="4">
        <v>0</v>
      </c>
      <c r="AJ79" s="4">
        <v>0</v>
      </c>
      <c r="AK79" s="4">
        <v>0</v>
      </c>
      <c r="AL79" s="4">
        <v>0</v>
      </c>
      <c r="AM79" s="5">
        <v>15</v>
      </c>
      <c r="AN79" s="5">
        <v>0</v>
      </c>
      <c r="AO79" s="5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274</v>
      </c>
      <c r="AW79" s="5">
        <v>289</v>
      </c>
      <c r="AX79" s="5">
        <v>-14.45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F79" s="4">
        <v>-14.45</v>
      </c>
      <c r="BH79" s="4">
        <v>0</v>
      </c>
      <c r="BI79" s="4" t="s">
        <v>4562</v>
      </c>
    </row>
    <row r="80" spans="1:61">
      <c r="A80">
        <f t="shared" si="10"/>
        <v>2025</v>
      </c>
      <c r="B80">
        <f t="shared" si="11"/>
        <v>8</v>
      </c>
      <c r="C80" t="str">
        <f t="shared" si="12"/>
        <v>'6920678506888920975</v>
      </c>
      <c r="F80" t="str" cm="1">
        <f t="array" ref="F80">IFERROR(INDEX('抖音订单-按支付日期-ABF列，要先手动清除空格'!G:G,MATCH(RIGHT(S80,LEN(S80)-1)&amp;RIGHT(T80,LEN(T80)-1)&amp;RIGHT(Z80,LEN(Z80)-1),'抖音订单-按支付日期-ABF列，要先手动清除空格'!A:A&amp;'抖音订单-按支付日期-ABF列，要先手动清除空格'!B:B&amp;'抖音订单-按支付日期-ABF列，要先手动清除空格'!F:F,0)),0)</f>
        <v>	Z482-黑色-L</v>
      </c>
      <c r="G80" s="17" t="str">
        <f t="shared" si="13"/>
        <v>Z482</v>
      </c>
      <c r="H80" cm="1">
        <f t="array" ref="H80">IFERROR(_xlfn.IFS(AND(W80="已结算",AW80&gt;30),AB80,LEFT(W80,5)="结算后退款",-AB80,LEFT(W80,5)="保证金退款",0),0)</f>
        <v>0</v>
      </c>
      <c r="I80">
        <f t="shared" si="14"/>
        <v>0</v>
      </c>
      <c r="J80">
        <f t="shared" si="15"/>
        <v>0</v>
      </c>
      <c r="K80">
        <f t="shared" si="16"/>
        <v>0</v>
      </c>
      <c r="L80">
        <f t="shared" si="17"/>
        <v>14.45</v>
      </c>
      <c r="M80">
        <f t="shared" si="18"/>
        <v>0</v>
      </c>
      <c r="O80">
        <f t="shared" si="19"/>
        <v>14.45</v>
      </c>
      <c r="R80" s="18">
        <v>45899.4929282407</v>
      </c>
      <c r="S80" s="4" t="s">
        <v>4619</v>
      </c>
      <c r="T80" s="4" t="s">
        <v>4619</v>
      </c>
      <c r="U80" s="4">
        <v>14.45</v>
      </c>
      <c r="V80" s="4" t="s">
        <v>4557</v>
      </c>
      <c r="W80" s="4" t="s">
        <v>4661</v>
      </c>
      <c r="X80" s="4" t="s">
        <v>85</v>
      </c>
      <c r="Y80" s="18">
        <v>45879.7694328704</v>
      </c>
      <c r="Z80" s="4" t="s">
        <v>4614</v>
      </c>
      <c r="AA80" s="4" t="s">
        <v>4615</v>
      </c>
      <c r="AB80" s="4">
        <v>1</v>
      </c>
      <c r="AC80" s="4" t="s">
        <v>4561</v>
      </c>
      <c r="AD80" s="4" t="s">
        <v>98</v>
      </c>
      <c r="AE80" s="4" t="s">
        <v>92</v>
      </c>
      <c r="AF80" s="4" t="s">
        <v>95</v>
      </c>
      <c r="AG80" s="4">
        <v>289</v>
      </c>
      <c r="AH80" s="4">
        <v>289</v>
      </c>
      <c r="AI80" s="4">
        <v>0</v>
      </c>
      <c r="AJ80" s="4">
        <v>0</v>
      </c>
      <c r="AK80" s="4">
        <v>0</v>
      </c>
      <c r="AL80" s="4">
        <v>0</v>
      </c>
      <c r="AM80" s="5">
        <v>0</v>
      </c>
      <c r="AN80" s="5">
        <v>0</v>
      </c>
      <c r="AO80" s="5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5">
        <v>0</v>
      </c>
      <c r="AX80" s="5">
        <v>14.45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F80" s="4">
        <v>14.45</v>
      </c>
      <c r="BH80" s="4">
        <v>0</v>
      </c>
      <c r="BI80" s="4" t="s">
        <v>4562</v>
      </c>
    </row>
    <row r="81" spans="1:63">
      <c r="A81" s="2">
        <f t="shared" si="10"/>
        <v>2025</v>
      </c>
      <c r="B81" s="2">
        <f t="shared" si="11"/>
        <v>8</v>
      </c>
      <c r="C81" t="str">
        <f t="shared" si="12"/>
        <v>'6920678506888920975</v>
      </c>
      <c r="F81" t="str" cm="1">
        <f t="array" ref="F81">IFERROR(INDEX('抖音订单-按支付日期-ABF列，要先手动清除空格'!G:G,MATCH(RIGHT(S81,LEN(S81)-1)&amp;RIGHT(T81,LEN(T81)-1)&amp;RIGHT(Z81,LEN(Z81)-1),'抖音订单-按支付日期-ABF列，要先手动清除空格'!A:A&amp;'抖音订单-按支付日期-ABF列，要先手动清除空格'!B:B&amp;'抖音订单-按支付日期-ABF列，要先手动清除空格'!F:F,0)),0)</f>
        <v>	Z482-黑色-L</v>
      </c>
      <c r="G81" s="17" t="str">
        <f t="shared" si="13"/>
        <v>Z482</v>
      </c>
      <c r="H81" cm="1">
        <f t="array" ref="H81">IFERROR(_xlfn.IFS(AND(W81="已结算",AW81&gt;30),AB81,LEFT(W81,5)="结算后退款",-AB81,LEFT(W81,5)="保证金退款",0),0)</f>
        <v>-1</v>
      </c>
      <c r="I81">
        <f t="shared" si="14"/>
        <v>-289</v>
      </c>
      <c r="J81">
        <f t="shared" si="15"/>
        <v>0</v>
      </c>
      <c r="K81">
        <f t="shared" si="16"/>
        <v>0</v>
      </c>
      <c r="L81">
        <f t="shared" si="17"/>
        <v>0</v>
      </c>
      <c r="M81">
        <f t="shared" si="18"/>
        <v>0</v>
      </c>
      <c r="O81">
        <f t="shared" si="19"/>
        <v>-289</v>
      </c>
      <c r="R81" s="18">
        <v>45899.4929282407</v>
      </c>
      <c r="S81" s="4" t="s">
        <v>4619</v>
      </c>
      <c r="T81" s="4" t="s">
        <v>4619</v>
      </c>
      <c r="U81" s="4">
        <v>-289</v>
      </c>
      <c r="V81" s="4" t="s">
        <v>4557</v>
      </c>
      <c r="W81" s="4" t="s">
        <v>4662</v>
      </c>
      <c r="X81" s="4" t="s">
        <v>85</v>
      </c>
      <c r="Y81" s="18">
        <v>45879.7694328704</v>
      </c>
      <c r="Z81" s="4" t="s">
        <v>4614</v>
      </c>
      <c r="AA81" s="4" t="s">
        <v>4615</v>
      </c>
      <c r="AB81" s="4">
        <v>1</v>
      </c>
      <c r="AC81" s="4" t="s">
        <v>4561</v>
      </c>
      <c r="AD81" s="4" t="s">
        <v>98</v>
      </c>
      <c r="AE81" s="4" t="s">
        <v>92</v>
      </c>
      <c r="AF81" s="4" t="s">
        <v>95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5">
        <v>0</v>
      </c>
      <c r="AN81" s="5">
        <v>0</v>
      </c>
      <c r="AO81" s="5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-289</v>
      </c>
      <c r="AW81" s="5">
        <v>-289</v>
      </c>
      <c r="AX81" s="5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F81" s="4">
        <v>0</v>
      </c>
      <c r="BH81" s="4">
        <v>0</v>
      </c>
      <c r="BI81" s="4" t="s">
        <v>4562</v>
      </c>
    </row>
    <row r="82" spans="1:63">
      <c r="A82">
        <f t="shared" si="10"/>
        <v>2025</v>
      </c>
      <c r="B82">
        <f t="shared" si="11"/>
        <v>8</v>
      </c>
      <c r="C82" t="str">
        <f t="shared" si="12"/>
        <v>'6920671423990824206</v>
      </c>
      <c r="F82" t="str" cm="1">
        <f t="array" ref="F82">IFERROR(INDEX('抖音订单-按支付日期-ABF列，要先手动清除空格'!G:G,MATCH(RIGHT(S82,LEN(S82)-1)&amp;RIGHT(T82,LEN(T82)-1)&amp;RIGHT(Z82,LEN(Z82)-1),'抖音订单-按支付日期-ABF列，要先手动清除空格'!A:A&amp;'抖音订单-按支付日期-ABF列，要先手动清除空格'!B:B&amp;'抖音订单-按支付日期-ABF列，要先手动清除空格'!F:F,0)),0)</f>
        <v>	Z1640-黑色-S</v>
      </c>
      <c r="G82" s="17" t="str">
        <f t="shared" si="13"/>
        <v>Z1640</v>
      </c>
      <c r="H82" cm="1">
        <f t="array" ref="H82">IFERROR(_xlfn.IFS(AND(W82="已结算",AW82&gt;30),AB82,LEFT(W82,5)="结算后退款",-AB82,LEFT(W82,5)="保证金退款",0),0)</f>
        <v>1</v>
      </c>
      <c r="I82">
        <f t="shared" si="14"/>
        <v>289</v>
      </c>
      <c r="J82">
        <f t="shared" si="15"/>
        <v>0</v>
      </c>
      <c r="K82">
        <f t="shared" si="16"/>
        <v>0</v>
      </c>
      <c r="L82">
        <f t="shared" si="17"/>
        <v>-14.45</v>
      </c>
      <c r="M82">
        <f t="shared" si="18"/>
        <v>0</v>
      </c>
      <c r="O82">
        <f t="shared" si="19"/>
        <v>274.55</v>
      </c>
      <c r="R82" s="18">
        <v>45899.5671990741</v>
      </c>
      <c r="S82" s="4" t="s">
        <v>4663</v>
      </c>
      <c r="T82" s="4" t="s">
        <v>4663</v>
      </c>
      <c r="U82" s="4">
        <v>274.55</v>
      </c>
      <c r="V82" s="4" t="s">
        <v>4557</v>
      </c>
      <c r="W82" s="4" t="s">
        <v>4558</v>
      </c>
      <c r="X82" s="4" t="s">
        <v>85</v>
      </c>
      <c r="Y82" s="18">
        <v>45879.6755902778</v>
      </c>
      <c r="Z82" s="4" t="s">
        <v>4559</v>
      </c>
      <c r="AA82" s="4" t="s">
        <v>4560</v>
      </c>
      <c r="AB82" s="4">
        <v>1</v>
      </c>
      <c r="AC82" s="4" t="s">
        <v>4561</v>
      </c>
      <c r="AD82" s="4" t="s">
        <v>98</v>
      </c>
      <c r="AE82" s="4" t="s">
        <v>92</v>
      </c>
      <c r="AF82" s="4" t="s">
        <v>95</v>
      </c>
      <c r="AG82" s="4">
        <v>289</v>
      </c>
      <c r="AH82" s="4">
        <v>289</v>
      </c>
      <c r="AI82" s="4">
        <v>0</v>
      </c>
      <c r="AJ82" s="4">
        <v>0</v>
      </c>
      <c r="AK82" s="4">
        <v>0</v>
      </c>
      <c r="AL82" s="4">
        <v>0</v>
      </c>
      <c r="AM82" s="5">
        <v>0</v>
      </c>
      <c r="AN82" s="5">
        <v>0</v>
      </c>
      <c r="AO82" s="5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289</v>
      </c>
      <c r="AW82" s="5">
        <v>289</v>
      </c>
      <c r="AX82" s="5">
        <v>-14.45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F82" s="4">
        <v>-14.45</v>
      </c>
      <c r="BH82" s="4">
        <v>0</v>
      </c>
      <c r="BI82" s="4" t="s">
        <v>4562</v>
      </c>
    </row>
    <row r="83" spans="1:63">
      <c r="A83">
        <f t="shared" si="10"/>
        <v>2025</v>
      </c>
      <c r="B83">
        <f t="shared" si="11"/>
        <v>8</v>
      </c>
      <c r="C83" t="str">
        <f t="shared" si="12"/>
        <v>'6920725368513855311</v>
      </c>
      <c r="F83" t="str" cm="1">
        <f t="array" ref="F83">IFERROR(INDEX('抖音订单-按支付日期-ABF列，要先手动清除空格'!G:G,MATCH(RIGHT(S83,LEN(S83)-1)&amp;RIGHT(T83,LEN(T83)-1)&amp;RIGHT(Z83,LEN(Z83)-1),'抖音订单-按支付日期-ABF列，要先手动清除空格'!A:A&amp;'抖音订单-按支付日期-ABF列，要先手动清除空格'!B:B&amp;'抖音订单-按支付日期-ABF列，要先手动清除空格'!F:F,0)),0)</f>
        <v>	Z1578-黑色-M</v>
      </c>
      <c r="G83" s="17" t="str">
        <f t="shared" si="13"/>
        <v>Z1578</v>
      </c>
      <c r="H83" cm="1">
        <f t="array" ref="H83">IFERROR(_xlfn.IFS(AND(W83="已结算",AW83&gt;30),AB83,LEFT(W83,5)="结算后退款",-AB83,LEFT(W83,5)="保证金退款",0),0)</f>
        <v>1</v>
      </c>
      <c r="I83">
        <f t="shared" si="14"/>
        <v>289</v>
      </c>
      <c r="J83">
        <f t="shared" si="15"/>
        <v>0</v>
      </c>
      <c r="K83">
        <f t="shared" si="16"/>
        <v>0</v>
      </c>
      <c r="L83">
        <f t="shared" si="17"/>
        <v>-14.45</v>
      </c>
      <c r="M83">
        <f t="shared" si="18"/>
        <v>0</v>
      </c>
      <c r="O83">
        <f t="shared" si="19"/>
        <v>274.55</v>
      </c>
      <c r="R83" s="18">
        <v>45899.6015856481</v>
      </c>
      <c r="S83" s="4" t="s">
        <v>4664</v>
      </c>
      <c r="T83" s="4" t="s">
        <v>4664</v>
      </c>
      <c r="U83" s="4">
        <v>274.55</v>
      </c>
      <c r="V83" s="4" t="s">
        <v>4557</v>
      </c>
      <c r="W83" s="4" t="s">
        <v>4558</v>
      </c>
      <c r="X83" s="4" t="s">
        <v>85</v>
      </c>
      <c r="Y83" s="18">
        <v>45882.719837963</v>
      </c>
      <c r="Z83" s="4" t="s">
        <v>4564</v>
      </c>
      <c r="AA83" s="4" t="s">
        <v>4565</v>
      </c>
      <c r="AB83" s="4">
        <v>1</v>
      </c>
      <c r="AC83" s="4" t="s">
        <v>4561</v>
      </c>
      <c r="AD83" s="4" t="s">
        <v>98</v>
      </c>
      <c r="AE83" s="4" t="s">
        <v>92</v>
      </c>
      <c r="AF83" s="4" t="s">
        <v>95</v>
      </c>
      <c r="AG83" s="4">
        <v>289</v>
      </c>
      <c r="AH83" s="4">
        <v>289</v>
      </c>
      <c r="AI83" s="4">
        <v>0</v>
      </c>
      <c r="AJ83" s="4">
        <v>0</v>
      </c>
      <c r="AK83" s="4">
        <v>0</v>
      </c>
      <c r="AL83" s="4">
        <v>0</v>
      </c>
      <c r="AM83" s="5">
        <v>0</v>
      </c>
      <c r="AN83" s="5">
        <v>0</v>
      </c>
      <c r="AO83" s="5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289</v>
      </c>
      <c r="AW83" s="5">
        <v>289</v>
      </c>
      <c r="AX83" s="5">
        <v>-14.45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F83" s="4">
        <v>-14.45</v>
      </c>
      <c r="BH83" s="4">
        <v>0</v>
      </c>
      <c r="BI83" s="4" t="s">
        <v>4562</v>
      </c>
    </row>
    <row r="84" spans="1:63">
      <c r="A84">
        <f t="shared" si="10"/>
        <v>2025</v>
      </c>
      <c r="B84">
        <f t="shared" si="11"/>
        <v>8</v>
      </c>
      <c r="C84" t="str">
        <f t="shared" si="12"/>
        <v>'6920588888889982814</v>
      </c>
      <c r="F84" t="str" cm="1">
        <f t="array" ref="F84">IFERROR(INDEX('抖音订单-按支付日期-ABF列，要先手动清除空格'!G:G,MATCH(RIGHT(S84,LEN(S84)-1)&amp;RIGHT(T84,LEN(T84)-1)&amp;RIGHT(Z84,LEN(Z84)-1),'抖音订单-按支付日期-ABF列，要先手动清除空格'!A:A&amp;'抖音订单-按支付日期-ABF列，要先手动清除空格'!B:B&amp;'抖音订单-按支付日期-ABF列，要先手动清除空格'!F:F,0)),0)</f>
        <v>	Z2183-黑色-L</v>
      </c>
      <c r="G84" s="17" t="str">
        <f t="shared" si="13"/>
        <v>Z2183</v>
      </c>
      <c r="H84" cm="1">
        <f t="array" ref="H84">IFERROR(_xlfn.IFS(AND(W84="已结算",AW84&gt;30),AB84,LEFT(W84,5)="结算后退款",-AB84,LEFT(W84,5)="保证金退款",0),0)</f>
        <v>1</v>
      </c>
      <c r="I84">
        <f t="shared" si="14"/>
        <v>129</v>
      </c>
      <c r="J84">
        <f t="shared" si="15"/>
        <v>0</v>
      </c>
      <c r="K84">
        <f t="shared" si="16"/>
        <v>0</v>
      </c>
      <c r="L84">
        <f t="shared" si="17"/>
        <v>-6.45</v>
      </c>
      <c r="M84">
        <f t="shared" si="18"/>
        <v>0</v>
      </c>
      <c r="O84">
        <f t="shared" si="19"/>
        <v>122.55</v>
      </c>
      <c r="R84" s="18">
        <v>45899.7103935185</v>
      </c>
      <c r="S84" s="4" t="s">
        <v>4665</v>
      </c>
      <c r="T84" s="4" t="s">
        <v>4665</v>
      </c>
      <c r="U84" s="4">
        <v>122.55</v>
      </c>
      <c r="V84" s="4" t="s">
        <v>4557</v>
      </c>
      <c r="W84" s="4" t="s">
        <v>4558</v>
      </c>
      <c r="X84" s="4" t="s">
        <v>85</v>
      </c>
      <c r="Y84" s="18">
        <v>45872.6788078704</v>
      </c>
      <c r="Z84" s="4" t="s">
        <v>4579</v>
      </c>
      <c r="AA84" s="4" t="s">
        <v>4580</v>
      </c>
      <c r="AB84" s="4">
        <v>1</v>
      </c>
      <c r="AC84" s="4" t="s">
        <v>4561</v>
      </c>
      <c r="AD84" s="4" t="s">
        <v>98</v>
      </c>
      <c r="AE84" s="4" t="s">
        <v>92</v>
      </c>
      <c r="AF84" s="4" t="s">
        <v>95</v>
      </c>
      <c r="AG84" s="4">
        <v>129</v>
      </c>
      <c r="AH84" s="4">
        <v>129</v>
      </c>
      <c r="AI84" s="4">
        <v>0</v>
      </c>
      <c r="AJ84" s="4">
        <v>0</v>
      </c>
      <c r="AK84" s="4">
        <v>0</v>
      </c>
      <c r="AL84" s="4">
        <v>0</v>
      </c>
      <c r="AM84" s="5">
        <v>0</v>
      </c>
      <c r="AN84" s="5">
        <v>0</v>
      </c>
      <c r="AO84" s="5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129</v>
      </c>
      <c r="AW84" s="5">
        <v>129</v>
      </c>
      <c r="AX84" s="5">
        <v>-6.45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F84" s="4">
        <v>-6.45</v>
      </c>
      <c r="BH84" s="4">
        <v>0</v>
      </c>
      <c r="BI84" s="4" t="s">
        <v>4562</v>
      </c>
    </row>
    <row r="85" spans="1:63">
      <c r="A85">
        <f t="shared" si="10"/>
        <v>2025</v>
      </c>
      <c r="B85">
        <f t="shared" si="11"/>
        <v>8</v>
      </c>
      <c r="C85" t="str">
        <f t="shared" si="12"/>
        <v>'6920736283076886495</v>
      </c>
      <c r="F85" t="str" cm="1">
        <f t="array" ref="F85">IFERROR(INDEX('抖音订单-按支付日期-ABF列，要先手动清除空格'!G:G,MATCH(RIGHT(S85,LEN(S85)-1)&amp;RIGHT(T85,LEN(T85)-1)&amp;RIGHT(Z85,LEN(Z85)-1),'抖音订单-按支付日期-ABF列，要先手动清除空格'!A:A&amp;'抖音订单-按支付日期-ABF列，要先手动清除空格'!B:B&amp;'抖音订单-按支付日期-ABF列，要先手动清除空格'!F:F,0)),0)</f>
        <v>	Z1578-黑色-M</v>
      </c>
      <c r="G85" s="17" t="str">
        <f t="shared" si="13"/>
        <v>Z1578</v>
      </c>
      <c r="H85" cm="1">
        <f t="array" ref="H85">IFERROR(_xlfn.IFS(AND(W85="已结算",AW85&gt;30),AB85,LEFT(W85,5)="结算后退款",-AB85,LEFT(W85,5)="保证金退款",0),0)</f>
        <v>1</v>
      </c>
      <c r="I85">
        <f t="shared" si="14"/>
        <v>289</v>
      </c>
      <c r="J85">
        <f t="shared" si="15"/>
        <v>0</v>
      </c>
      <c r="K85">
        <f t="shared" si="16"/>
        <v>0</v>
      </c>
      <c r="L85">
        <f t="shared" si="17"/>
        <v>-14.45</v>
      </c>
      <c r="M85">
        <f t="shared" si="18"/>
        <v>0</v>
      </c>
      <c r="O85">
        <f t="shared" si="19"/>
        <v>274.55</v>
      </c>
      <c r="R85" s="18">
        <v>45900.2041550926</v>
      </c>
      <c r="S85" s="4" t="s">
        <v>4666</v>
      </c>
      <c r="T85" s="4" t="s">
        <v>4666</v>
      </c>
      <c r="U85" s="4">
        <v>274.55</v>
      </c>
      <c r="V85" s="4" t="s">
        <v>4557</v>
      </c>
      <c r="W85" s="4" t="s">
        <v>4558</v>
      </c>
      <c r="X85" s="4" t="s">
        <v>85</v>
      </c>
      <c r="Y85" s="18">
        <v>45882.9647222222</v>
      </c>
      <c r="Z85" s="4" t="s">
        <v>4564</v>
      </c>
      <c r="AA85" s="4" t="s">
        <v>4565</v>
      </c>
      <c r="AB85" s="4">
        <v>1</v>
      </c>
      <c r="AC85" s="4" t="s">
        <v>4561</v>
      </c>
      <c r="AD85" s="4" t="s">
        <v>98</v>
      </c>
      <c r="AE85" s="4" t="s">
        <v>92</v>
      </c>
      <c r="AF85" s="4" t="s">
        <v>95</v>
      </c>
      <c r="AG85" s="4">
        <v>289</v>
      </c>
      <c r="AH85" s="4">
        <v>289</v>
      </c>
      <c r="AI85" s="4">
        <v>0</v>
      </c>
      <c r="AJ85" s="4">
        <v>0</v>
      </c>
      <c r="AK85" s="4">
        <v>0</v>
      </c>
      <c r="AL85" s="4">
        <v>0</v>
      </c>
      <c r="AM85" s="5">
        <v>0</v>
      </c>
      <c r="AN85" s="5">
        <v>0</v>
      </c>
      <c r="AO85" s="5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289</v>
      </c>
      <c r="AW85" s="5">
        <v>289</v>
      </c>
      <c r="AX85" s="5">
        <v>-14.45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F85" s="4">
        <v>-14.45</v>
      </c>
      <c r="BH85" s="4">
        <v>0</v>
      </c>
      <c r="BI85" s="4" t="s">
        <v>4562</v>
      </c>
    </row>
    <row r="86" spans="1:63">
      <c r="A86">
        <f t="shared" si="10"/>
        <v>2025</v>
      </c>
      <c r="B86">
        <f t="shared" si="11"/>
        <v>8</v>
      </c>
      <c r="C86" t="str">
        <f t="shared" si="12"/>
        <v>'6944975555435107709</v>
      </c>
      <c r="F86" t="str" cm="1">
        <f t="array" ref="F86">IFERROR(INDEX('抖音订单-按支付日期-ABF列，要先手动清除空格'!G:G,MATCH(RIGHT(S86,LEN(S86)-1)&amp;RIGHT(T86,LEN(T86)-1)&amp;RIGHT(Z86,LEN(Z86)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86" s="17" t="str">
        <f t="shared" si="13"/>
        <v>Z1640</v>
      </c>
      <c r="H86" cm="1">
        <f t="array" ref="H86">IFERROR(_xlfn.IFS(AND(W86="已结算",AW86&gt;30),AB86,LEFT(W86,5)="结算后退款",-AB86,LEFT(W86,5)="保证金退款",0),0)</f>
        <v>1</v>
      </c>
      <c r="I86">
        <f t="shared" si="14"/>
        <v>289</v>
      </c>
      <c r="J86">
        <f t="shared" si="15"/>
        <v>0</v>
      </c>
      <c r="K86">
        <f t="shared" si="16"/>
        <v>0</v>
      </c>
      <c r="L86">
        <f t="shared" si="17"/>
        <v>-14.45</v>
      </c>
      <c r="M86">
        <f t="shared" si="18"/>
        <v>0</v>
      </c>
      <c r="O86">
        <f t="shared" si="19"/>
        <v>274.55</v>
      </c>
      <c r="R86" s="18">
        <v>45900.2064236111</v>
      </c>
      <c r="S86" s="4" t="s">
        <v>4667</v>
      </c>
      <c r="T86" s="4" t="s">
        <v>4667</v>
      </c>
      <c r="U86" s="4">
        <v>274.55</v>
      </c>
      <c r="V86" s="4" t="s">
        <v>4557</v>
      </c>
      <c r="W86" s="4" t="s">
        <v>4558</v>
      </c>
      <c r="X86" s="4" t="s">
        <v>85</v>
      </c>
      <c r="Y86" s="18">
        <v>45874.8310300926</v>
      </c>
      <c r="Z86" s="4" t="s">
        <v>4559</v>
      </c>
      <c r="AA86" s="4" t="s">
        <v>4560</v>
      </c>
      <c r="AB86" s="4">
        <v>1</v>
      </c>
      <c r="AE86" s="4" t="s">
        <v>216</v>
      </c>
      <c r="AF86" s="4" t="s">
        <v>95</v>
      </c>
      <c r="AG86" s="4">
        <v>289</v>
      </c>
      <c r="AH86" s="4">
        <v>289</v>
      </c>
      <c r="AI86" s="4">
        <v>0</v>
      </c>
      <c r="AJ86" s="4">
        <v>0</v>
      </c>
      <c r="AK86" s="4">
        <v>0</v>
      </c>
      <c r="AL86" s="4">
        <v>0</v>
      </c>
      <c r="AM86" s="5">
        <v>0</v>
      </c>
      <c r="AN86" s="5">
        <v>0</v>
      </c>
      <c r="AO86" s="5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289</v>
      </c>
      <c r="AW86" s="5">
        <v>289</v>
      </c>
      <c r="AX86" s="5">
        <v>-14.45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F86" s="4">
        <v>-14.45</v>
      </c>
      <c r="BH86" s="4">
        <v>0</v>
      </c>
      <c r="BI86" s="4" t="s">
        <v>4562</v>
      </c>
    </row>
    <row r="87" spans="1:63">
      <c r="A87">
        <f t="shared" si="10"/>
        <v>2025</v>
      </c>
      <c r="B87">
        <f t="shared" si="11"/>
        <v>8</v>
      </c>
      <c r="C87" t="str">
        <f t="shared" si="12"/>
        <v>'6920727387720678877</v>
      </c>
      <c r="F87" t="str" cm="1">
        <f t="array" ref="F87">IFERROR(INDEX('抖音订单-按支付日期-ABF列，要先手动清除空格'!G:G,MATCH(RIGHT(S87,LEN(S87)-1)&amp;RIGHT(T87,LEN(T87)-1)&amp;RIGHT(Z87,LEN(Z87)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87" s="17" t="str">
        <f t="shared" si="13"/>
        <v>Z1640</v>
      </c>
      <c r="H87" cm="1">
        <f t="array" ref="H87">IFERROR(_xlfn.IFS(AND(W87="已结算",AW87&gt;30),AB87,LEFT(W87,5)="结算后退款",-AB87,LEFT(W87,5)="保证金退款",0),0)</f>
        <v>1</v>
      </c>
      <c r="I87">
        <f t="shared" si="14"/>
        <v>289</v>
      </c>
      <c r="J87">
        <f t="shared" si="15"/>
        <v>0</v>
      </c>
      <c r="K87">
        <f t="shared" si="16"/>
        <v>0</v>
      </c>
      <c r="L87">
        <f t="shared" si="17"/>
        <v>-14.45</v>
      </c>
      <c r="M87">
        <f t="shared" si="18"/>
        <v>0</v>
      </c>
      <c r="O87">
        <f t="shared" si="19"/>
        <v>274.55</v>
      </c>
      <c r="R87" s="18">
        <v>45900.2220601852</v>
      </c>
      <c r="S87" s="4" t="s">
        <v>4668</v>
      </c>
      <c r="T87" s="4" t="s">
        <v>4668</v>
      </c>
      <c r="U87" s="4">
        <v>274.55</v>
      </c>
      <c r="V87" s="4" t="s">
        <v>4557</v>
      </c>
      <c r="W87" s="4" t="s">
        <v>4558</v>
      </c>
      <c r="X87" s="4" t="s">
        <v>85</v>
      </c>
      <c r="Y87" s="18">
        <v>45882.9235416667</v>
      </c>
      <c r="Z87" s="4" t="s">
        <v>4559</v>
      </c>
      <c r="AA87" s="4" t="s">
        <v>4560</v>
      </c>
      <c r="AB87" s="4">
        <v>1</v>
      </c>
      <c r="AC87" s="4" t="s">
        <v>4561</v>
      </c>
      <c r="AD87" s="4" t="s">
        <v>98</v>
      </c>
      <c r="AE87" s="4" t="s">
        <v>92</v>
      </c>
      <c r="AF87" s="4" t="s">
        <v>95</v>
      </c>
      <c r="AG87" s="4">
        <v>289</v>
      </c>
      <c r="AH87" s="4">
        <v>289</v>
      </c>
      <c r="AI87" s="4">
        <v>0</v>
      </c>
      <c r="AJ87" s="4">
        <v>0</v>
      </c>
      <c r="AK87" s="4">
        <v>0</v>
      </c>
      <c r="AL87" s="4">
        <v>0</v>
      </c>
      <c r="AM87" s="5">
        <v>0</v>
      </c>
      <c r="AN87" s="5">
        <v>0</v>
      </c>
      <c r="AO87" s="5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289</v>
      </c>
      <c r="AW87" s="5">
        <v>289</v>
      </c>
      <c r="AX87" s="5">
        <v>-14.45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F87" s="4">
        <v>-14.45</v>
      </c>
      <c r="BH87" s="4">
        <v>0</v>
      </c>
      <c r="BI87" s="4" t="s">
        <v>4562</v>
      </c>
    </row>
    <row r="88" spans="1:63">
      <c r="A88">
        <f t="shared" si="10"/>
        <v>2025</v>
      </c>
      <c r="B88">
        <f t="shared" si="11"/>
        <v>8</v>
      </c>
      <c r="C88" t="str">
        <f t="shared" si="12"/>
        <v>'6945121894632265431</v>
      </c>
      <c r="F88" t="str" cm="1">
        <f t="array" ref="F88">IFERROR(INDEX('抖音订单-按支付日期-ABF列，要先手动清除空格'!G:G,MATCH(RIGHT(S88,LEN(S88)-1)&amp;RIGHT(T88,LEN(T88)-1)&amp;RIGHT(Z88,LEN(Z88)-1),'抖音订单-按支付日期-ABF列，要先手动清除空格'!A:A&amp;'抖音订单-按支付日期-ABF列，要先手动清除空格'!B:B&amp;'抖音订单-按支付日期-ABF列，要先手动清除空格'!F:F,0)),0)</f>
        <v>	Z482-黑色-M</v>
      </c>
      <c r="G88" s="17" t="str">
        <f t="shared" si="13"/>
        <v>Z482</v>
      </c>
      <c r="H88" cm="1">
        <f t="array" ref="H88">IFERROR(_xlfn.IFS(AND(W88="已结算",AW88&gt;30),AB88,LEFT(W88,5)="结算后退款",-AB88,LEFT(W88,5)="保证金退款",0),0)</f>
        <v>1</v>
      </c>
      <c r="I88">
        <f t="shared" si="14"/>
        <v>289</v>
      </c>
      <c r="J88">
        <f t="shared" si="15"/>
        <v>0</v>
      </c>
      <c r="K88">
        <f t="shared" si="16"/>
        <v>0</v>
      </c>
      <c r="L88">
        <f t="shared" si="17"/>
        <v>-14.45</v>
      </c>
      <c r="M88">
        <f t="shared" si="18"/>
        <v>0</v>
      </c>
      <c r="O88">
        <f t="shared" si="19"/>
        <v>274.55</v>
      </c>
      <c r="R88" s="18">
        <v>45900.2316666667</v>
      </c>
      <c r="S88" s="4" t="s">
        <v>4669</v>
      </c>
      <c r="T88" s="4" t="s">
        <v>4669</v>
      </c>
      <c r="U88" s="4">
        <v>274.55</v>
      </c>
      <c r="V88" s="4" t="s">
        <v>4557</v>
      </c>
      <c r="W88" s="4" t="s">
        <v>4558</v>
      </c>
      <c r="X88" s="4" t="s">
        <v>85</v>
      </c>
      <c r="Y88" s="18">
        <v>45879.8251273148</v>
      </c>
      <c r="Z88" s="4" t="s">
        <v>4614</v>
      </c>
      <c r="AA88" s="4" t="s">
        <v>4615</v>
      </c>
      <c r="AB88" s="4">
        <v>1</v>
      </c>
      <c r="AC88" s="4" t="s">
        <v>4561</v>
      </c>
      <c r="AD88" s="4" t="s">
        <v>98</v>
      </c>
      <c r="AE88" s="4" t="s">
        <v>92</v>
      </c>
      <c r="AF88" s="4" t="s">
        <v>95</v>
      </c>
      <c r="AG88" s="4">
        <v>289</v>
      </c>
      <c r="AH88" s="4">
        <v>289</v>
      </c>
      <c r="AI88" s="4">
        <v>0</v>
      </c>
      <c r="AJ88" s="4">
        <v>0</v>
      </c>
      <c r="AK88" s="4">
        <v>0</v>
      </c>
      <c r="AL88" s="4">
        <v>0</v>
      </c>
      <c r="AM88" s="5">
        <v>0</v>
      </c>
      <c r="AN88" s="5">
        <v>0</v>
      </c>
      <c r="AO88" s="5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289</v>
      </c>
      <c r="AW88" s="5">
        <v>289</v>
      </c>
      <c r="AX88" s="5">
        <v>-14.45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F88" s="4">
        <v>-14.45</v>
      </c>
      <c r="BH88" s="4">
        <v>0</v>
      </c>
      <c r="BI88" s="4" t="s">
        <v>4562</v>
      </c>
    </row>
    <row r="89" spans="1:63">
      <c r="A89">
        <f t="shared" si="10"/>
        <v>2025</v>
      </c>
      <c r="B89">
        <f t="shared" si="11"/>
        <v>8</v>
      </c>
      <c r="C89" t="str">
        <f t="shared" si="12"/>
        <v>'6945103635475010952</v>
      </c>
      <c r="F89" t="str" cm="1">
        <f t="array" ref="F89">IFERROR(INDEX('抖音订单-按支付日期-ABF列，要先手动清除空格'!G:G,MATCH(RIGHT(S89,LEN(S89)-1)&amp;RIGHT(T89,LEN(T89)-1)&amp;RIGHT(Z89,LEN(Z89)-1),'抖音订单-按支付日期-ABF列，要先手动清除空格'!A:A&amp;'抖音订单-按支付日期-ABF列，要先手动清除空格'!B:B&amp;'抖音订单-按支付日期-ABF列，要先手动清除空格'!F:F,0)),0)</f>
        <v>	Z2183-黑色-L</v>
      </c>
      <c r="G89" s="17" t="str">
        <f t="shared" si="13"/>
        <v>Z2183</v>
      </c>
      <c r="H89" cm="1">
        <f t="array" ref="H89">IFERROR(_xlfn.IFS(AND(W89="已结算",AW89&gt;30),AB89,LEFT(W89,5)="结算后退款",-AB89,LEFT(W89,5)="保证金退款",0),0)</f>
        <v>1</v>
      </c>
      <c r="I89">
        <f t="shared" si="14"/>
        <v>129</v>
      </c>
      <c r="J89">
        <f t="shared" si="15"/>
        <v>0</v>
      </c>
      <c r="K89">
        <f t="shared" si="16"/>
        <v>0</v>
      </c>
      <c r="L89">
        <f t="shared" si="17"/>
        <v>-6.45</v>
      </c>
      <c r="M89">
        <f t="shared" si="18"/>
        <v>0</v>
      </c>
      <c r="O89">
        <f t="shared" si="19"/>
        <v>122.55</v>
      </c>
      <c r="R89" s="18">
        <v>45900.2316666667</v>
      </c>
      <c r="S89" s="4" t="s">
        <v>4670</v>
      </c>
      <c r="T89" s="4" t="s">
        <v>4670</v>
      </c>
      <c r="U89" s="4">
        <v>122.55</v>
      </c>
      <c r="V89" s="4" t="s">
        <v>4557</v>
      </c>
      <c r="W89" s="4" t="s">
        <v>4558</v>
      </c>
      <c r="X89" s="4" t="s">
        <v>85</v>
      </c>
      <c r="Y89" s="18">
        <v>45879.6537962963</v>
      </c>
      <c r="Z89" s="4" t="s">
        <v>4579</v>
      </c>
      <c r="AA89" s="4" t="s">
        <v>4580</v>
      </c>
      <c r="AB89" s="4">
        <v>1</v>
      </c>
      <c r="AC89" s="4" t="s">
        <v>4561</v>
      </c>
      <c r="AD89" s="4" t="s">
        <v>98</v>
      </c>
      <c r="AE89" s="4" t="s">
        <v>92</v>
      </c>
      <c r="AF89" s="4" t="s">
        <v>95</v>
      </c>
      <c r="AG89" s="4">
        <v>129</v>
      </c>
      <c r="AH89" s="4">
        <v>129</v>
      </c>
      <c r="AI89" s="4">
        <v>0</v>
      </c>
      <c r="AJ89" s="4">
        <v>0</v>
      </c>
      <c r="AK89" s="4">
        <v>0</v>
      </c>
      <c r="AL89" s="4">
        <v>0</v>
      </c>
      <c r="AM89" s="5">
        <v>0</v>
      </c>
      <c r="AN89" s="5">
        <v>0</v>
      </c>
      <c r="AO89" s="5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129</v>
      </c>
      <c r="AW89" s="5">
        <v>129</v>
      </c>
      <c r="AX89" s="5">
        <v>-6.45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F89" s="4">
        <v>-6.45</v>
      </c>
      <c r="BH89" s="4">
        <v>0</v>
      </c>
      <c r="BI89" s="4" t="s">
        <v>4562</v>
      </c>
    </row>
    <row r="90" spans="1:63">
      <c r="A90">
        <f t="shared" si="10"/>
        <v>2025</v>
      </c>
      <c r="B90">
        <f t="shared" si="11"/>
        <v>8</v>
      </c>
      <c r="C90" t="str">
        <f t="shared" si="12"/>
        <v>'6944961394970727602</v>
      </c>
      <c r="F90" t="str" cm="1">
        <f t="array" ref="F90">IFERROR(INDEX('抖音订单-按支付日期-ABF列，要先手动清除空格'!G:G,MATCH(RIGHT(S90,LEN(S90)-1)&amp;RIGHT(T90,LEN(T90)-1)&amp;RIGHT(Z90,LEN(Z90)-1),'抖音订单-按支付日期-ABF列，要先手动清除空格'!A:A&amp;'抖音订单-按支付日期-ABF列，要先手动清除空格'!B:B&amp;'抖音订单-按支付日期-ABF列，要先手动清除空格'!F:F,0)),0)</f>
        <v>	Z1640-黑色-S</v>
      </c>
      <c r="G90" s="17" t="str">
        <f t="shared" si="13"/>
        <v>Z1640</v>
      </c>
      <c r="H90" cm="1">
        <f t="array" ref="H90">IFERROR(_xlfn.IFS(AND(W90="已结算",AW90&gt;30),AB90,LEFT(W90,5)="结算后退款",-AB90,LEFT(W90,5)="保证金退款",0),0)</f>
        <v>1</v>
      </c>
      <c r="I90">
        <f t="shared" si="14"/>
        <v>289</v>
      </c>
      <c r="J90">
        <f t="shared" si="15"/>
        <v>0</v>
      </c>
      <c r="K90">
        <f t="shared" si="16"/>
        <v>0</v>
      </c>
      <c r="L90">
        <f t="shared" si="17"/>
        <v>-14.45</v>
      </c>
      <c r="M90">
        <f t="shared" si="18"/>
        <v>0</v>
      </c>
      <c r="O90">
        <f t="shared" si="19"/>
        <v>274.55</v>
      </c>
      <c r="R90" s="18">
        <v>45900.2414930556</v>
      </c>
      <c r="S90" s="4" t="s">
        <v>4671</v>
      </c>
      <c r="T90" s="4" t="s">
        <v>4671</v>
      </c>
      <c r="U90" s="4">
        <v>274.55</v>
      </c>
      <c r="V90" s="4" t="s">
        <v>4557</v>
      </c>
      <c r="W90" s="4" t="s">
        <v>4558</v>
      </c>
      <c r="X90" s="4" t="s">
        <v>85</v>
      </c>
      <c r="Y90" s="18">
        <v>45874.676712963</v>
      </c>
      <c r="Z90" s="4" t="s">
        <v>4559</v>
      </c>
      <c r="AA90" s="4" t="s">
        <v>4560</v>
      </c>
      <c r="AB90" s="4">
        <v>1</v>
      </c>
      <c r="AC90" s="4" t="s">
        <v>4561</v>
      </c>
      <c r="AD90" s="4" t="s">
        <v>98</v>
      </c>
      <c r="AE90" s="4" t="s">
        <v>92</v>
      </c>
      <c r="AF90" s="4" t="s">
        <v>95</v>
      </c>
      <c r="AG90" s="4">
        <v>289</v>
      </c>
      <c r="AH90" s="4">
        <v>289</v>
      </c>
      <c r="AI90" s="4">
        <v>0</v>
      </c>
      <c r="AJ90" s="4">
        <v>0</v>
      </c>
      <c r="AK90" s="4">
        <v>0</v>
      </c>
      <c r="AL90" s="4">
        <v>0</v>
      </c>
      <c r="AM90" s="5">
        <v>0</v>
      </c>
      <c r="AN90" s="5">
        <v>0</v>
      </c>
      <c r="AO90" s="5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289</v>
      </c>
      <c r="AW90" s="5">
        <v>289</v>
      </c>
      <c r="AX90" s="5">
        <v>-14.45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F90" s="4">
        <v>-14.45</v>
      </c>
      <c r="BH90" s="4">
        <v>0</v>
      </c>
      <c r="BI90" s="4" t="s">
        <v>4562</v>
      </c>
    </row>
    <row r="91" spans="1:63">
      <c r="A91">
        <f t="shared" si="10"/>
        <v>2025</v>
      </c>
      <c r="B91">
        <f t="shared" si="11"/>
        <v>8</v>
      </c>
      <c r="C91" t="str">
        <f t="shared" si="12"/>
        <v>'6944975891039327449</v>
      </c>
      <c r="F91" t="str" cm="1">
        <f t="array" ref="F91">IFERROR(INDEX('抖音订单-按支付日期-ABF列，要先手动清除空格'!G:G,MATCH(RIGHT(S91,LEN(S91)-1)&amp;RIGHT(T91,LEN(T91)-1)&amp;RIGHT(Z91,LEN(Z91)-1),'抖音订单-按支付日期-ABF列，要先手动清除空格'!A:A&amp;'抖音订单-按支付日期-ABF列，要先手动清除空格'!B:B&amp;'抖音订单-按支付日期-ABF列，要先手动清除空格'!F:F,0)),0)</f>
        <v>	Z1640-黑色-S</v>
      </c>
      <c r="G91" s="17" t="str">
        <f t="shared" si="13"/>
        <v>Z1640</v>
      </c>
      <c r="H91" cm="1">
        <f t="array" ref="H91">IFERROR(_xlfn.IFS(AND(W91="已结算",AW91&gt;30),AB91,LEFT(W91,5)="结算后退款",-AB91,LEFT(W91,5)="保证金退款",0),0)</f>
        <v>1</v>
      </c>
      <c r="I91">
        <f t="shared" si="14"/>
        <v>284</v>
      </c>
      <c r="J91">
        <f t="shared" si="15"/>
        <v>5</v>
      </c>
      <c r="K91">
        <f t="shared" si="16"/>
        <v>0</v>
      </c>
      <c r="L91">
        <f t="shared" si="17"/>
        <v>-14.45</v>
      </c>
      <c r="M91">
        <f t="shared" si="18"/>
        <v>0</v>
      </c>
      <c r="O91">
        <f t="shared" si="19"/>
        <v>274.55</v>
      </c>
      <c r="R91" s="18">
        <v>45900.3537037037</v>
      </c>
      <c r="S91" s="4" t="s">
        <v>4672</v>
      </c>
      <c r="T91" s="4" t="s">
        <v>4672</v>
      </c>
      <c r="U91" s="4">
        <v>274.55</v>
      </c>
      <c r="V91" s="4" t="s">
        <v>4557</v>
      </c>
      <c r="W91" s="4" t="s">
        <v>4558</v>
      </c>
      <c r="X91" s="4" t="s">
        <v>85</v>
      </c>
      <c r="Y91" s="18">
        <v>45874.9728125</v>
      </c>
      <c r="Z91" s="4" t="s">
        <v>4559</v>
      </c>
      <c r="AA91" s="4" t="s">
        <v>4560</v>
      </c>
      <c r="AB91" s="4">
        <v>1</v>
      </c>
      <c r="AC91" s="4" t="s">
        <v>4561</v>
      </c>
      <c r="AD91" s="4" t="s">
        <v>98</v>
      </c>
      <c r="AE91" s="4" t="s">
        <v>92</v>
      </c>
      <c r="AF91" s="4" t="s">
        <v>95</v>
      </c>
      <c r="AG91" s="4">
        <v>289</v>
      </c>
      <c r="AH91" s="4">
        <v>289</v>
      </c>
      <c r="AI91" s="4">
        <v>0</v>
      </c>
      <c r="AJ91" s="4">
        <v>0</v>
      </c>
      <c r="AK91" s="4">
        <v>0</v>
      </c>
      <c r="AL91" s="4">
        <v>0</v>
      </c>
      <c r="AM91" s="5">
        <v>5</v>
      </c>
      <c r="AN91" s="5">
        <v>0</v>
      </c>
      <c r="AO91" s="5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284</v>
      </c>
      <c r="AW91" s="5">
        <v>289</v>
      </c>
      <c r="AX91" s="5">
        <v>-14.45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F91" s="4">
        <v>-14.45</v>
      </c>
      <c r="BH91" s="4">
        <v>0</v>
      </c>
      <c r="BI91" s="4" t="s">
        <v>4562</v>
      </c>
    </row>
    <row r="92" spans="1:63">
      <c r="A92">
        <f t="shared" si="10"/>
        <v>2025</v>
      </c>
      <c r="B92">
        <f t="shared" si="11"/>
        <v>8</v>
      </c>
      <c r="C92" t="str">
        <f t="shared" si="12"/>
        <v>'6920707472428990351</v>
      </c>
      <c r="F92" t="str" cm="1">
        <f t="array" ref="F92">IFERROR(INDEX('抖音订单-按支付日期-ABF列，要先手动清除空格'!G:G,MATCH(RIGHT(S92,LEN(S92)-1)&amp;RIGHT(T92,LEN(T92)-1)&amp;RIGHT(Z92,LEN(Z92)-1),'抖音订单-按支付日期-ABF列，要先手动清除空格'!A:A&amp;'抖音订单-按支付日期-ABF列，要先手动清除空格'!B:B&amp;'抖音订单-按支付日期-ABF列，要先手动清除空格'!F:F,0)),0)</f>
        <v>	Z482-黑色-M</v>
      </c>
      <c r="G92" s="17" t="str">
        <f t="shared" si="13"/>
        <v>Z482</v>
      </c>
      <c r="H92" cm="1">
        <f t="array" ref="H92">IFERROR(_xlfn.IFS(AND(W92="已结算",AW92&gt;30),AB92,LEFT(W92,5)="结算后退款",-AB92,LEFT(W92,5)="保证金退款",0),0)</f>
        <v>1</v>
      </c>
      <c r="I92">
        <f t="shared" si="14"/>
        <v>289</v>
      </c>
      <c r="J92">
        <f t="shared" si="15"/>
        <v>0</v>
      </c>
      <c r="K92">
        <f t="shared" si="16"/>
        <v>0</v>
      </c>
      <c r="L92">
        <f t="shared" si="17"/>
        <v>-14.45</v>
      </c>
      <c r="M92">
        <f t="shared" si="18"/>
        <v>0</v>
      </c>
      <c r="O92">
        <f t="shared" si="19"/>
        <v>274.55</v>
      </c>
      <c r="R92" s="18">
        <v>45900.471875</v>
      </c>
      <c r="S92" s="4" t="s">
        <v>4673</v>
      </c>
      <c r="T92" s="4" t="s">
        <v>4673</v>
      </c>
      <c r="U92" s="4">
        <v>274.55</v>
      </c>
      <c r="V92" s="4" t="s">
        <v>4557</v>
      </c>
      <c r="W92" s="4" t="s">
        <v>4558</v>
      </c>
      <c r="X92" s="4" t="s">
        <v>85</v>
      </c>
      <c r="Y92" s="18">
        <v>45881.6739814815</v>
      </c>
      <c r="Z92" s="4" t="s">
        <v>4614</v>
      </c>
      <c r="AA92" s="4" t="s">
        <v>4615</v>
      </c>
      <c r="AB92" s="4">
        <v>1</v>
      </c>
      <c r="AE92" s="4" t="s">
        <v>216</v>
      </c>
      <c r="AF92" s="4" t="s">
        <v>95</v>
      </c>
      <c r="AG92" s="4">
        <v>289</v>
      </c>
      <c r="AH92" s="4">
        <v>289</v>
      </c>
      <c r="AI92" s="4">
        <v>0</v>
      </c>
      <c r="AJ92" s="4">
        <v>0</v>
      </c>
      <c r="AK92" s="4">
        <v>0</v>
      </c>
      <c r="AL92" s="4">
        <v>0</v>
      </c>
      <c r="AM92" s="5">
        <v>0</v>
      </c>
      <c r="AN92" s="5">
        <v>0</v>
      </c>
      <c r="AO92" s="5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289</v>
      </c>
      <c r="AW92" s="5">
        <v>289</v>
      </c>
      <c r="AX92" s="5">
        <v>-14.45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F92" s="4">
        <v>-14.45</v>
      </c>
      <c r="BG92" s="4" t="s">
        <v>85</v>
      </c>
      <c r="BH92" s="4">
        <v>0</v>
      </c>
      <c r="BI92" s="4" t="s">
        <v>4562</v>
      </c>
    </row>
    <row r="93" spans="1:63">
      <c r="A93">
        <f t="shared" si="10"/>
        <v>2025</v>
      </c>
      <c r="B93">
        <f t="shared" si="11"/>
        <v>8</v>
      </c>
      <c r="C93" t="str">
        <f t="shared" si="12"/>
        <v>'6920622059630394415</v>
      </c>
      <c r="F93" t="str" cm="1">
        <f t="array" ref="F93">IFERROR(INDEX('抖音订单-按支付日期-ABF列，要先手动清除空格'!G:G,MATCH(RIGHT(S93,LEN(S93)-1)&amp;RIGHT(T93,LEN(T93)-1)&amp;RIGHT(Z93,LEN(Z93)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93" s="17" t="str">
        <f t="shared" si="13"/>
        <v>Z1640</v>
      </c>
      <c r="H93" cm="1">
        <f t="array" ref="H93">IFERROR(_xlfn.IFS(AND(W93="已结算",AW93&gt;30),AB93,LEFT(W93,5)="结算后退款",-AB93,LEFT(W93,5)="保证金退款",0),0)</f>
        <v>1</v>
      </c>
      <c r="I93">
        <f t="shared" si="14"/>
        <v>289</v>
      </c>
      <c r="J93">
        <f t="shared" si="15"/>
        <v>0</v>
      </c>
      <c r="K93">
        <f t="shared" si="16"/>
        <v>0</v>
      </c>
      <c r="L93">
        <f t="shared" si="17"/>
        <v>-14.45</v>
      </c>
      <c r="M93">
        <f t="shared" si="18"/>
        <v>0</v>
      </c>
      <c r="O93">
        <f t="shared" si="19"/>
        <v>274.55</v>
      </c>
      <c r="R93" s="18">
        <v>45900.5469097222</v>
      </c>
      <c r="S93" s="4" t="s">
        <v>4674</v>
      </c>
      <c r="T93" s="4" t="s">
        <v>4674</v>
      </c>
      <c r="U93" s="4">
        <v>274.55</v>
      </c>
      <c r="V93" s="4" t="s">
        <v>4557</v>
      </c>
      <c r="W93" s="4" t="s">
        <v>4558</v>
      </c>
      <c r="X93" s="4" t="s">
        <v>85</v>
      </c>
      <c r="Y93" s="18">
        <v>45874.9023726852</v>
      </c>
      <c r="Z93" s="4" t="s">
        <v>4559</v>
      </c>
      <c r="AA93" s="4" t="s">
        <v>4560</v>
      </c>
      <c r="AB93" s="4">
        <v>1</v>
      </c>
      <c r="AC93" s="4" t="s">
        <v>4561</v>
      </c>
      <c r="AD93" s="4" t="s">
        <v>98</v>
      </c>
      <c r="AE93" s="4" t="s">
        <v>92</v>
      </c>
      <c r="AF93" s="4" t="s">
        <v>95</v>
      </c>
      <c r="AG93" s="4">
        <v>289</v>
      </c>
      <c r="AH93" s="4">
        <v>289</v>
      </c>
      <c r="AI93" s="4">
        <v>0</v>
      </c>
      <c r="AJ93" s="4">
        <v>0</v>
      </c>
      <c r="AK93" s="4">
        <v>0</v>
      </c>
      <c r="AL93" s="4">
        <v>0</v>
      </c>
      <c r="AM93" s="5">
        <v>0</v>
      </c>
      <c r="AN93" s="5">
        <v>0</v>
      </c>
      <c r="AO93" s="5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289</v>
      </c>
      <c r="AW93" s="5">
        <v>289</v>
      </c>
      <c r="AX93" s="5">
        <v>-14.45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F93" s="4">
        <v>-14.45</v>
      </c>
      <c r="BH93" s="4">
        <v>0</v>
      </c>
      <c r="BI93" s="4" t="s">
        <v>4562</v>
      </c>
    </row>
    <row r="94" spans="1:63">
      <c r="A94">
        <f t="shared" si="10"/>
        <v>2025</v>
      </c>
      <c r="B94">
        <f t="shared" si="11"/>
        <v>8</v>
      </c>
      <c r="C94" t="str">
        <f t="shared" si="12"/>
        <v>'6920623177386654869</v>
      </c>
      <c r="F94" t="str" cm="1">
        <f t="array" ref="F94">IFERROR(INDEX('抖音订单-按支付日期-ABF列，要先手动清除空格'!G:G,MATCH(RIGHT(S94,LEN(S94)-1)&amp;RIGHT(T94,LEN(T94)-1)&amp;RIGHT(Z94,LEN(Z94)-1),'抖音订单-按支付日期-ABF列，要先手动清除空格'!A:A&amp;'抖音订单-按支付日期-ABF列，要先手动清除空格'!B:B&amp;'抖音订单-按支付日期-ABF列，要先手动清除空格'!F:F,0)),0)</f>
        <v>	Z1640-黑色-S</v>
      </c>
      <c r="G94" s="17" t="str">
        <f t="shared" si="13"/>
        <v>Z1640</v>
      </c>
      <c r="H94" cm="1">
        <f t="array" ref="H94">IFERROR(_xlfn.IFS(AND(W94="已结算",AW94&gt;30),AB94,LEFT(W94,5)="结算后退款",-AB94,LEFT(W94,5)="保证金退款",0),0)</f>
        <v>1</v>
      </c>
      <c r="I94">
        <f t="shared" si="14"/>
        <v>289</v>
      </c>
      <c r="J94">
        <f t="shared" si="15"/>
        <v>0</v>
      </c>
      <c r="K94">
        <f t="shared" si="16"/>
        <v>0</v>
      </c>
      <c r="L94">
        <f t="shared" si="17"/>
        <v>-14.45</v>
      </c>
      <c r="M94">
        <f t="shared" si="18"/>
        <v>0</v>
      </c>
      <c r="O94">
        <f t="shared" si="19"/>
        <v>274.55</v>
      </c>
      <c r="R94" s="18">
        <v>45900.5553009259</v>
      </c>
      <c r="S94" s="4" t="s">
        <v>4675</v>
      </c>
      <c r="T94" s="4" t="s">
        <v>4675</v>
      </c>
      <c r="U94" s="4">
        <v>274.55</v>
      </c>
      <c r="V94" s="4" t="s">
        <v>4557</v>
      </c>
      <c r="W94" s="4" t="s">
        <v>4558</v>
      </c>
      <c r="X94" s="4" t="s">
        <v>85</v>
      </c>
      <c r="Y94" s="18">
        <v>45874.6766435185</v>
      </c>
      <c r="Z94" s="4" t="s">
        <v>4559</v>
      </c>
      <c r="AA94" s="4" t="s">
        <v>4560</v>
      </c>
      <c r="AB94" s="4">
        <v>1</v>
      </c>
      <c r="AC94" s="4" t="s">
        <v>4561</v>
      </c>
      <c r="AD94" s="4" t="s">
        <v>98</v>
      </c>
      <c r="AE94" s="4" t="s">
        <v>92</v>
      </c>
      <c r="AF94" s="4" t="s">
        <v>95</v>
      </c>
      <c r="AG94" s="4">
        <v>289</v>
      </c>
      <c r="AH94" s="4">
        <v>289</v>
      </c>
      <c r="AI94" s="4">
        <v>0</v>
      </c>
      <c r="AJ94" s="4">
        <v>0</v>
      </c>
      <c r="AK94" s="4">
        <v>0</v>
      </c>
      <c r="AL94" s="4">
        <v>0</v>
      </c>
      <c r="AM94" s="5">
        <v>0</v>
      </c>
      <c r="AN94" s="5">
        <v>0</v>
      </c>
      <c r="AO94" s="5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289</v>
      </c>
      <c r="AW94" s="5">
        <v>289</v>
      </c>
      <c r="AX94" s="5">
        <v>-14.45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F94" s="4">
        <v>-14.45</v>
      </c>
      <c r="BH94" s="4">
        <v>0</v>
      </c>
      <c r="BI94" s="4" t="s">
        <v>4562</v>
      </c>
    </row>
    <row r="95" spans="1:63">
      <c r="A95">
        <f t="shared" si="10"/>
        <v>2025</v>
      </c>
      <c r="B95">
        <f t="shared" si="11"/>
        <v>8</v>
      </c>
      <c r="C95" t="str">
        <f t="shared" si="12"/>
        <v>'6944969232220493527</v>
      </c>
      <c r="F95" t="str" cm="1">
        <f t="array" ref="F95">IFERROR(INDEX('抖音订单-按支付日期-ABF列，要先手动清除空格'!G:G,MATCH(RIGHT(S95,LEN(S95)-1)&amp;RIGHT(T95,LEN(T95)-1)&amp;RIGHT(Z95,LEN(Z95)-1),'抖音订单-按支付日期-ABF列，要先手动清除空格'!A:A&amp;'抖音订单-按支付日期-ABF列，要先手动清除空格'!B:B&amp;'抖音订单-按支付日期-ABF列，要先手动清除空格'!F:F,0)),0)</f>
        <v>	Z1640-黑色-M</v>
      </c>
      <c r="G95" s="17" t="str">
        <f t="shared" si="13"/>
        <v>Z1640</v>
      </c>
      <c r="H95" cm="1">
        <f t="array" ref="H95">IFERROR(_xlfn.IFS(AND(W95="已结算",AW95&gt;30),AB95,LEFT(W95,5)="结算后退款",-AB95,LEFT(W95,5)="保证金退款",0),0)</f>
        <v>1</v>
      </c>
      <c r="I95">
        <f t="shared" si="14"/>
        <v>289</v>
      </c>
      <c r="J95">
        <f t="shared" si="15"/>
        <v>0</v>
      </c>
      <c r="K95">
        <f t="shared" si="16"/>
        <v>0</v>
      </c>
      <c r="L95">
        <f t="shared" si="17"/>
        <v>-14.45</v>
      </c>
      <c r="M95">
        <f t="shared" si="18"/>
        <v>0</v>
      </c>
      <c r="O95">
        <f t="shared" si="19"/>
        <v>274.55</v>
      </c>
      <c r="R95" s="18">
        <v>45900.560787037</v>
      </c>
      <c r="S95" s="4" t="s">
        <v>4676</v>
      </c>
      <c r="T95" s="4" t="s">
        <v>4676</v>
      </c>
      <c r="U95" s="4">
        <v>274.55</v>
      </c>
      <c r="V95" s="4" t="s">
        <v>4557</v>
      </c>
      <c r="W95" s="4" t="s">
        <v>4558</v>
      </c>
      <c r="X95" s="4" t="s">
        <v>85</v>
      </c>
      <c r="Y95" s="18">
        <v>45874.9654513889</v>
      </c>
      <c r="Z95" s="4" t="s">
        <v>4559</v>
      </c>
      <c r="AA95" s="4" t="s">
        <v>4560</v>
      </c>
      <c r="AB95" s="4">
        <v>1</v>
      </c>
      <c r="AC95" s="4" t="s">
        <v>4561</v>
      </c>
      <c r="AD95" s="4" t="s">
        <v>98</v>
      </c>
      <c r="AE95" s="4" t="s">
        <v>92</v>
      </c>
      <c r="AF95" s="4" t="s">
        <v>95</v>
      </c>
      <c r="AG95" s="4">
        <v>289</v>
      </c>
      <c r="AH95" s="4">
        <v>289</v>
      </c>
      <c r="AI95" s="4">
        <v>0</v>
      </c>
      <c r="AJ95" s="4">
        <v>0</v>
      </c>
      <c r="AK95" s="4">
        <v>0</v>
      </c>
      <c r="AL95" s="4">
        <v>0</v>
      </c>
      <c r="AM95" s="5">
        <v>0</v>
      </c>
      <c r="AN95" s="5">
        <v>0</v>
      </c>
      <c r="AO95" s="5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289</v>
      </c>
      <c r="AW95" s="5">
        <v>289</v>
      </c>
      <c r="AX95" s="5">
        <v>-14.45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F95" s="4">
        <v>-14.45</v>
      </c>
      <c r="BH95" s="4">
        <v>0</v>
      </c>
      <c r="BI95" s="4" t="s">
        <v>4562</v>
      </c>
    </row>
    <row r="96" spans="1:63">
      <c r="AM96" s="4"/>
      <c r="AN96" s="4"/>
      <c r="AO96" s="4"/>
      <c r="AW96" s="4"/>
      <c r="AX96" s="4"/>
      <c r="BK96" s="4"/>
    </row>
    <row r="97" spans="39:63">
      <c r="AM97" s="4"/>
      <c r="AN97" s="4"/>
      <c r="AO97" s="4"/>
      <c r="AW97" s="4"/>
      <c r="AX97" s="4"/>
      <c r="BK97" s="4"/>
    </row>
  </sheetData>
  <autoFilter xmlns:etc="http://www.wps.cn/officeDocument/2017/etCustomData" ref="A2:BK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抖音订单-按支付日期-原表</vt:lpstr>
      <vt:lpstr>抖音订单-按支付日期-ABF列，要先手动清除空格</vt:lpstr>
      <vt:lpstr>抖音结算账单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</dc:creator>
  <cp:lastModifiedBy>jasonlin</cp:lastModifiedBy>
  <dcterms:created xsi:type="dcterms:W3CDTF">2025-10-25T18:37:00Z</dcterms:created>
  <dcterms:modified xsi:type="dcterms:W3CDTF">2025-10-28T11:00:20Z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D3A634921B5B4F299016CFFDF7A8F641_13</vt:lpwstr>
  </property>
  <property fmtid="{D5CDD505-2E9C-101B-9397-08002B2CF9AE}" pid="3" name="KSOProductBuildVer">
    <vt:lpwstr>2052-12.1.23540.23540</vt:lpwstr>
  </property>
</Properties>
</file>