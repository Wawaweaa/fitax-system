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6980" activeTab="1"/>
  </bookViews>
  <sheets>
    <sheet name="订单明细" sheetId="2" r:id="rId1"/>
    <sheet name="结算明细" sheetId="3" r:id="rId2"/>
  </sheets>
  <definedNames>
    <definedName name="_xlnm._FilterDatabase" localSheetId="0" hidden="1">订单明细!$A$1:$BS$103</definedName>
    <definedName name="_xlnm._FilterDatabase" localSheetId="1" hidden="1">结算明细!$A$1:$BE$152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U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Y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AE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AL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AM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R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T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U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BB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<sst xmlns="http://schemas.openxmlformats.org/spreadsheetml/2006/main" count="9630" uniqueCount="2063">
  <si>
    <t>订单号</t>
  </si>
  <si>
    <t>订单状态</t>
  </si>
  <si>
    <t>售后状态</t>
  </si>
  <si>
    <t>订单类型</t>
  </si>
  <si>
    <t>订单标记</t>
  </si>
  <si>
    <t>收件人姓名</t>
  </si>
  <si>
    <t>收件人电话</t>
  </si>
  <si>
    <t>收件人地址</t>
  </si>
  <si>
    <t>省</t>
  </si>
  <si>
    <t>市</t>
  </si>
  <si>
    <t>区</t>
  </si>
  <si>
    <t>区域编码</t>
  </si>
  <si>
    <t>小红书编码</t>
  </si>
  <si>
    <t>条形码</t>
  </si>
  <si>
    <t>规格ID</t>
  </si>
  <si>
    <t>达人ID</t>
  </si>
  <si>
    <t>达人名称</t>
  </si>
  <si>
    <t>SKU名称</t>
  </si>
  <si>
    <t>SKU规格</t>
  </si>
  <si>
    <t>SKU件数</t>
  </si>
  <si>
    <t>是否为赠品</t>
  </si>
  <si>
    <t>发票/Invoice</t>
  </si>
  <si>
    <t>商品总价(元)</t>
  </si>
  <si>
    <t>用户应付金额(元)</t>
  </si>
  <si>
    <t>平台优惠(元)</t>
  </si>
  <si>
    <t>店铺优惠(元)</t>
  </si>
  <si>
    <t>支付渠道优惠(元)</t>
  </si>
  <si>
    <t>SKU商家改价(元)</t>
  </si>
  <si>
    <t>商家应收金额(元)（支付金额）</t>
  </si>
  <si>
    <t>支付方式</t>
  </si>
  <si>
    <t>支付渠道订单号</t>
  </si>
  <si>
    <t>支付期数</t>
  </si>
  <si>
    <t>利息费用</t>
  </si>
  <si>
    <t>手续费承担方</t>
  </si>
  <si>
    <t>支付时间</t>
  </si>
  <si>
    <t>sku净重(kg)</t>
  </si>
  <si>
    <t>包裹总净重(kg)</t>
  </si>
  <si>
    <t>包裹总运费(元)</t>
  </si>
  <si>
    <t>快递公司</t>
  </si>
  <si>
    <t>快递单号</t>
  </si>
  <si>
    <t>大头笔/Paint Marker</t>
  </si>
  <si>
    <t>集包地/Express Extend 1</t>
  </si>
  <si>
    <t>三段码/Express Extend 2</t>
  </si>
  <si>
    <t>订购人身份证姓名/ID Name</t>
  </si>
  <si>
    <t>订购人身份证号/ID Number</t>
  </si>
  <si>
    <t>收件人身份证姓名</t>
  </si>
  <si>
    <t>收件人身份证号</t>
  </si>
  <si>
    <t>订单创建时间</t>
  </si>
  <si>
    <t>预售订单开始发货时间</t>
  </si>
  <si>
    <t>预售订单截止发货时间</t>
  </si>
  <si>
    <t>承诺发货时间</t>
  </si>
  <si>
    <t>订单发货时间</t>
  </si>
  <si>
    <t>订单完成时间</t>
  </si>
  <si>
    <t>发货仓库</t>
  </si>
  <si>
    <t>确认收货类型</t>
  </si>
  <si>
    <t>是否延迟收货</t>
  </si>
  <si>
    <t>用户备注</t>
  </si>
  <si>
    <t>包裹备注标记</t>
  </si>
  <si>
    <t>包裹备注信息</t>
  </si>
  <si>
    <t>异常原因</t>
  </si>
  <si>
    <t>店铺名称</t>
  </si>
  <si>
    <t>用户编号</t>
  </si>
  <si>
    <t>运费模版名称</t>
  </si>
  <si>
    <t>物流方案名称</t>
  </si>
  <si>
    <t>第三方机构订单号</t>
  </si>
  <si>
    <t>国补模式</t>
  </si>
  <si>
    <t>供应商id</t>
  </si>
  <si>
    <t>供应商名称</t>
  </si>
  <si>
    <t>商家编码</t>
  </si>
  <si>
    <t>商品ID</t>
  </si>
  <si>
    <t>商品名称</t>
  </si>
  <si>
    <t>P771683143371443691</t>
  </si>
  <si>
    <t>已完成</t>
  </si>
  <si>
    <t>无售后</t>
  </si>
  <si>
    <t>预售订单</t>
  </si>
  <si>
    <t/>
  </si>
  <si>
    <t>陆*</t>
  </si>
  <si>
    <t>199****2821</t>
  </si>
  <si>
    <t>上海 上海市 宝山区 ***</t>
  </si>
  <si>
    <t>上海</t>
  </si>
  <si>
    <t>上海市</t>
  </si>
  <si>
    <t>宝山区</t>
  </si>
  <si>
    <t>310113111000</t>
  </si>
  <si>
    <t>6894ac11aa1e7b001555658f</t>
  </si>
  <si>
    <t>XHS-3IRER6T45U68</t>
  </si>
  <si>
    <t>6894ac11aa1e7b001555658e</t>
  </si>
  <si>
    <t>【老板周】复古老钱 新品小众宽松时髦腰果花松紧腰休闲裤 花色 M（100-120斤）</t>
  </si>
  <si>
    <t>花色 M（100-120斤）</t>
  </si>
  <si>
    <t>1</t>
  </si>
  <si>
    <t>249.00</t>
  </si>
  <si>
    <t>0.00</t>
  </si>
  <si>
    <t>微信</t>
  </si>
  <si>
    <t>4350802247202508259221136879</t>
  </si>
  <si>
    <t>2025-08-25 22:12:30</t>
  </si>
  <si>
    <t>0.000</t>
  </si>
  <si>
    <t>中通速递</t>
  </si>
  <si>
    <t>73569586895536</t>
  </si>
  <si>
    <t>2025-08-25 22:12:23</t>
  </si>
  <si>
    <t>2025-09-09 22:12:30</t>
  </si>
  <si>
    <t>2025-08-25 22:56:08</t>
  </si>
  <si>
    <t>2025-08-27 16:51:27</t>
  </si>
  <si>
    <t>第三方平台卖家电子库存</t>
  </si>
  <si>
    <t>用户确认收货</t>
  </si>
  <si>
    <t>否</t>
  </si>
  <si>
    <t>LAO BAN ZHOU的店</t>
  </si>
  <si>
    <t>5661009c5e87e718219897ac</t>
  </si>
  <si>
    <t>公司店运费模版</t>
  </si>
  <si>
    <t xml:space="preserve"> 小红书公司</t>
  </si>
  <si>
    <t>Z2338-花色-M</t>
  </si>
  <si>
    <t>6894ac11aa1e7b001555658b</t>
  </si>
  <si>
    <t>【老板周】复古老钱 新品小众宽松时髦腰果花松紧腰休闲裤</t>
  </si>
  <si>
    <t>P771601056297099071</t>
  </si>
  <si>
    <t>已关闭</t>
  </si>
  <si>
    <t>售后完成</t>
  </si>
  <si>
    <t>史*</t>
  </si>
  <si>
    <t>135****5235</t>
  </si>
  <si>
    <t>广东省 江门市 江海区 ***</t>
  </si>
  <si>
    <t>广东省</t>
  </si>
  <si>
    <t>江门市</t>
  </si>
  <si>
    <t>江海区</t>
  </si>
  <si>
    <t>440704001</t>
  </si>
  <si>
    <t>6894b76bf735ce00153807e6</t>
  </si>
  <si>
    <t>XHS-3I9QHHLHJ400</t>
  </si>
  <si>
    <t>6894b76bf735ce00153807e5</t>
  </si>
  <si>
    <t>【老板周】慵懒慵 秋冬新款复古撞色条纹松弛感毛衣 条纹 S（80-100斤）</t>
  </si>
  <si>
    <t>条纹 S（80-100斤）</t>
  </si>
  <si>
    <t>289.00</t>
  </si>
  <si>
    <t>4302302286202508243205233952</t>
  </si>
  <si>
    <t>2025-08-24 23:24:26</t>
  </si>
  <si>
    <t>73569436349866</t>
  </si>
  <si>
    <t>2025-08-24 23:24:16</t>
  </si>
  <si>
    <t>2025-09-08 23:24:26</t>
  </si>
  <si>
    <t>2025-08-24 23:44:31</t>
  </si>
  <si>
    <t>蓝旗</t>
  </si>
  <si>
    <t>;SF3230026344337(收） Z2271-条纹-S*1#</t>
  </si>
  <si>
    <t>67603dc70000000018015c4e</t>
  </si>
  <si>
    <t>Z2271-条纹-S</t>
  </si>
  <si>
    <t>6894b76bf735ce00153807e4</t>
  </si>
  <si>
    <t>【老板周】慵懒慵 秋冬新款复古撞色条纹松弛感毛衣</t>
  </si>
  <si>
    <t>P771077302074017641</t>
  </si>
  <si>
    <t>物流异常</t>
  </si>
  <si>
    <t>周*</t>
  </si>
  <si>
    <t>150****4975</t>
  </si>
  <si>
    <t>内蒙古自治区 鄂尔多斯市 康巴什区 ***</t>
  </si>
  <si>
    <t>内蒙古自治区</t>
  </si>
  <si>
    <t>鄂尔多斯市</t>
  </si>
  <si>
    <t>康巴什区</t>
  </si>
  <si>
    <t>150603</t>
  </si>
  <si>
    <t>6896fe0c6d08080015500893</t>
  </si>
  <si>
    <t>XHS-3EHYVMD8SZR4</t>
  </si>
  <si>
    <t>6896fe0c6d08080015500892</t>
  </si>
  <si>
    <t>650d6e9f000000001603a6ac</t>
  </si>
  <si>
    <t>老板周.</t>
  </si>
  <si>
    <t>【老板周】夏季轻盈 新品圆领气质轻薄不规则透气上衣 黑色 M（80-100斤）</t>
  </si>
  <si>
    <t>黑色 M（80-100斤）</t>
  </si>
  <si>
    <t>129.00</t>
  </si>
  <si>
    <t>4337602246202508189619352845</t>
  </si>
  <si>
    <t>2025-08-18 21:55:09</t>
  </si>
  <si>
    <t>73568731918406</t>
  </si>
  <si>
    <t>2025-08-18 21:55:02</t>
  </si>
  <si>
    <t>2025-09-02 21:55:09</t>
  </si>
  <si>
    <t>2025-08-19 22:18:12</t>
  </si>
  <si>
    <t>2025-08-26 22:18:12</t>
  </si>
  <si>
    <t>系统自动收货</t>
  </si>
  <si>
    <t>拦截;73568592691278(收） Z2183-米白色-M*1#</t>
  </si>
  <si>
    <t>5f8e45b90000000001001f97</t>
  </si>
  <si>
    <t>Z2183-黑色-M</t>
  </si>
  <si>
    <t>6896fe0c6d08080015500891</t>
  </si>
  <si>
    <t>【老板周】夏季轻盈 新品圆领气质轻薄不规则透气上衣</t>
  </si>
  <si>
    <t>6896fe0c6d08080015500899</t>
  </si>
  <si>
    <t>XHS-3EHYVMDNSDTS</t>
  </si>
  <si>
    <t>6896fe0c6d08080015500898</t>
  </si>
  <si>
    <t>【老板周】夏季轻盈 新品圆领气质轻薄不规则透气上衣 米白色 M（80-100斤）</t>
  </si>
  <si>
    <t>米白色 M（80-100斤）</t>
  </si>
  <si>
    <t>73568592691278</t>
  </si>
  <si>
    <t>2025-08-18 22:55:40</t>
  </si>
  <si>
    <t>Z2183-米白色-M</t>
  </si>
  <si>
    <t>P770990197404134041</t>
  </si>
  <si>
    <t>陈**</t>
  </si>
  <si>
    <t>138****3883</t>
  </si>
  <si>
    <t>上海 上海市 长宁区 ***</t>
  </si>
  <si>
    <t>长宁区</t>
  </si>
  <si>
    <t>310105011000</t>
  </si>
  <si>
    <t>68949ffbc34eef001610ef47</t>
  </si>
  <si>
    <t>XHS-3HO32A90HCZK</t>
  </si>
  <si>
    <t>68949ffbc34eef001610ef46</t>
  </si>
  <si>
    <t>【老板周】夏季新款 小众轻盈空气感重工泡泡绉小飞袖上衣 黑色 M（100-120斤）</t>
  </si>
  <si>
    <t>黑色 M（100-120斤）</t>
  </si>
  <si>
    <t>339.00</t>
  </si>
  <si>
    <t>4307502582202508176171663706</t>
  </si>
  <si>
    <t>2025-08-17 21:43:23</t>
  </si>
  <si>
    <t>73568587025232</t>
  </si>
  <si>
    <t>2025-08-17 21:43:17</t>
  </si>
  <si>
    <t>2025-09-01 21:43:23</t>
  </si>
  <si>
    <t>2025-08-18 21:23:31</t>
  </si>
  <si>
    <t>2025-08-25 21:23:33</t>
  </si>
  <si>
    <t>;SF3230107717291(收） Z2308-黑色-M*1#</t>
  </si>
  <si>
    <t>5ef987090000000001001e3d</t>
  </si>
  <si>
    <t>Z2308-黑色-M</t>
  </si>
  <si>
    <t>68949ffbc34eef001610ef43</t>
  </si>
  <si>
    <t>【老板周】夏季新款 小众轻盈空气感重工泡泡绉小飞袖上衣</t>
  </si>
  <si>
    <t>P770990615215304131</t>
  </si>
  <si>
    <t>何*</t>
  </si>
  <si>
    <t>189****1661</t>
  </si>
  <si>
    <t>湖南省 长沙市 雨花区 ***</t>
  </si>
  <si>
    <t>湖南省</t>
  </si>
  <si>
    <t>长沙市</t>
  </si>
  <si>
    <t>雨花区</t>
  </si>
  <si>
    <t>430111</t>
  </si>
  <si>
    <t>6896e3fdd48cf90015433efb</t>
  </si>
  <si>
    <t>XHS-3G6Z6JI0FO5C</t>
  </si>
  <si>
    <t>6896e3fdd48cf90015433efa</t>
  </si>
  <si>
    <t>【老板周】休闲腔调 夏季薄款圆领口袋设计百搭三角T恤 黄绿色 S（80-100斤）</t>
  </si>
  <si>
    <t>黄绿色 S（80-100斤）</t>
  </si>
  <si>
    <t>269.00</t>
  </si>
  <si>
    <t>支付宝</t>
  </si>
  <si>
    <t>2025081722001438351419440818</t>
  </si>
  <si>
    <t>2025-08-17 21:50:20</t>
  </si>
  <si>
    <t>73568444482820</t>
  </si>
  <si>
    <t>2025-08-17 21:50:15</t>
  </si>
  <si>
    <t>2025-09-01 21:50:20</t>
  </si>
  <si>
    <t>2025-08-17 22:55:10</t>
  </si>
  <si>
    <t>2025-08-24 22:55:11</t>
  </si>
  <si>
    <t>肩膀勾线;SF3230325430957(收） Z2233-黄绿色-S*1#</t>
  </si>
  <si>
    <t>5bde6c50d9463d00012dd3b7</t>
  </si>
  <si>
    <t>Z2233-黄绿色-S</t>
  </si>
  <si>
    <t>6896e3fdd48cf90015433eed</t>
  </si>
  <si>
    <t>【老板周】休闲腔调 夏季薄款圆领口袋设计百搭三角T恤</t>
  </si>
  <si>
    <t>P770986869946371481</t>
  </si>
  <si>
    <t>刘**</t>
  </si>
  <si>
    <t>158****3237</t>
  </si>
  <si>
    <t>陕西省 西安市 新城区 ***</t>
  </si>
  <si>
    <t>陕西省</t>
  </si>
  <si>
    <t>西安市</t>
  </si>
  <si>
    <t>新城区</t>
  </si>
  <si>
    <t>610102007</t>
  </si>
  <si>
    <t>689704bae53c1000157cfa9f</t>
  </si>
  <si>
    <t>XHS-3FAGCOT1V85C</t>
  </si>
  <si>
    <t>689704bae53c1000157cfa9e</t>
  </si>
  <si>
    <t>【老板周】法式随性 夏季时髦叠门襟无袖设计感开叉马甲 黑色 M（100-120斤）</t>
  </si>
  <si>
    <t>229.00</t>
  </si>
  <si>
    <t>4306702271202508170222076938</t>
  </si>
  <si>
    <t>2025-08-17 20:47:56</t>
  </si>
  <si>
    <t>73568441965438</t>
  </si>
  <si>
    <t>2025-08-17 20:47:50</t>
  </si>
  <si>
    <t>2025-09-01 20:47:56</t>
  </si>
  <si>
    <t>2025-08-17 21:32:26</t>
  </si>
  <si>
    <t>2025-08-24 21:32:26</t>
  </si>
  <si>
    <t>;SF3289318820600(收） Z2218-黑色-S*1
Z2218-黑色-M*1#</t>
  </si>
  <si>
    <t>5c793a590000000010012874</t>
  </si>
  <si>
    <t>Z2218-黑色-M</t>
  </si>
  <si>
    <t>689704bae53c1000157cfa9b</t>
  </si>
  <si>
    <t>【老板周】法式随性 夏季时髦叠门襟无袖设计感开叉马甲</t>
  </si>
  <si>
    <t>689704bae53c1000157cfa9d</t>
  </si>
  <si>
    <t>XHS-3FAGCOSWVFGG</t>
  </si>
  <si>
    <t>689704bae53c1000157cfa9c</t>
  </si>
  <si>
    <t>【老板周】法式随性 夏季时髦叠门襟无袖设计感开叉马甲 黑色 S（80-100斤）</t>
  </si>
  <si>
    <t>黑色 S（80-100斤）</t>
  </si>
  <si>
    <t>73568576683034</t>
  </si>
  <si>
    <t>2025-08-18 19:43:07</t>
  </si>
  <si>
    <t>2025-08-25 19:43:08</t>
  </si>
  <si>
    <t>Z2218-黑色-S</t>
  </si>
  <si>
    <t>P770986580251454261</t>
  </si>
  <si>
    <t>王**</t>
  </si>
  <si>
    <t>157****7660</t>
  </si>
  <si>
    <t>甘肃省 兰州市 安宁区 ***</t>
  </si>
  <si>
    <t>甘肃省</t>
  </si>
  <si>
    <t>兰州市</t>
  </si>
  <si>
    <t>安宁区</t>
  </si>
  <si>
    <t>620105</t>
  </si>
  <si>
    <t>4336802247202508170250305747</t>
  </si>
  <si>
    <t>2025-08-17 20:43:06</t>
  </si>
  <si>
    <t>73568556568537</t>
  </si>
  <si>
    <t>2025-08-17 20:43:00</t>
  </si>
  <si>
    <t>2025-09-01 20:43:06</t>
  </si>
  <si>
    <t>2025-08-18 17:29:30</t>
  </si>
  <si>
    <t>2025-08-25 17:29:30</t>
  </si>
  <si>
    <t>;JDX042496871681(收） Z2218-黑色-S*1#</t>
  </si>
  <si>
    <t>5a966dd7e8ac2b762a5a6e20</t>
  </si>
  <si>
    <t>P770984511919250241</t>
  </si>
  <si>
    <t>玉**</t>
  </si>
  <si>
    <t>139****3111</t>
  </si>
  <si>
    <t>辽宁省 沈阳市 浑南区 ***</t>
  </si>
  <si>
    <t>辽宁省</t>
  </si>
  <si>
    <t>沈阳市</t>
  </si>
  <si>
    <t>浑南区</t>
  </si>
  <si>
    <t>210112</t>
  </si>
  <si>
    <t>689704bae53c1000157cfaa1</t>
  </si>
  <si>
    <t>XHS-3FAGCOT6V0U8</t>
  </si>
  <si>
    <t>689704bae53c1000157cfaa0</t>
  </si>
  <si>
    <t>【老板周】法式随性 夏季时髦叠门襟无袖设计感开叉马甲 黑色 L（120-135斤）</t>
  </si>
  <si>
    <t>黑色 L（120-135斤）</t>
  </si>
  <si>
    <t>银联</t>
  </si>
  <si>
    <t>432508172008322427418</t>
  </si>
  <si>
    <t>2025-08-17 20:08:37</t>
  </si>
  <si>
    <t>73568436568058</t>
  </si>
  <si>
    <t>2025-08-17 20:08:32</t>
  </si>
  <si>
    <t>2025-09-01 20:08:37</t>
  </si>
  <si>
    <t>2025-08-17 20:35:14</t>
  </si>
  <si>
    <t>2025-08-24 20:35:14</t>
  </si>
  <si>
    <t>;73569281821300(收） Z2218-黑色-L*1#</t>
  </si>
  <si>
    <t>5abc9bade8ac2b23030f3e59</t>
  </si>
  <si>
    <t>Z2218-黑色-L</t>
  </si>
  <si>
    <t>P770983921263440451</t>
  </si>
  <si>
    <t>186****8688</t>
  </si>
  <si>
    <t>内蒙古自治区 呼伦贝尔市 海拉尔区 ***</t>
  </si>
  <si>
    <t>呼伦贝尔市</t>
  </si>
  <si>
    <t>海拉尔区</t>
  </si>
  <si>
    <t>150702101000</t>
  </si>
  <si>
    <t>2025081722001445001452299017</t>
  </si>
  <si>
    <t>2025-08-17 19:58:48</t>
  </si>
  <si>
    <t>73568436950563</t>
  </si>
  <si>
    <t>2025-08-17 19:58:41</t>
  </si>
  <si>
    <t>2025-09-01 19:58:48</t>
  </si>
  <si>
    <t>;SF3280467567718(收） Z2218-黑色-L*1#</t>
  </si>
  <si>
    <t>5a2552fd4eacab6a98c94bb1</t>
  </si>
  <si>
    <t>P770822898182284051</t>
  </si>
  <si>
    <t>何</t>
  </si>
  <si>
    <t>135****0291</t>
  </si>
  <si>
    <t>湖南省 长沙市 岳麓区 ***</t>
  </si>
  <si>
    <t>岳麓区</t>
  </si>
  <si>
    <t>430104005</t>
  </si>
  <si>
    <t>689dee3bbc668f00150ae4a2</t>
  </si>
  <si>
    <t>XHS-3JY88WA16VWG</t>
  </si>
  <si>
    <t>689dee3bbc668f00150ae4a1</t>
  </si>
  <si>
    <t>【老板周】经典慵懒 秋季经典撞色条纹镂空针织上衣 黑白条纹 M（100-135斤）</t>
  </si>
  <si>
    <t>黑白条纹 M（100-135斤）</t>
  </si>
  <si>
    <t>219.00</t>
  </si>
  <si>
    <t>2025081522001457781456456422</t>
  </si>
  <si>
    <t>2025-08-15 23:15:05</t>
  </si>
  <si>
    <t>73568875427704</t>
  </si>
  <si>
    <t>2025-08-15 23:14:58</t>
  </si>
  <si>
    <t>2025-08-30 23:15:05</t>
  </si>
  <si>
    <t>2025-08-21 00:20:35</t>
  </si>
  <si>
    <t>;SF3289575962710(收） Z2376-黑白条纹-M*1#</t>
  </si>
  <si>
    <t>5c1a271e000000000703e641</t>
  </si>
  <si>
    <t>Z2376-黑白条纹-M</t>
  </si>
  <si>
    <t>689dee3bbc668f00150ae49e</t>
  </si>
  <si>
    <t>【老板周】经典慵懒 秋季经典撞色条纹镂空针织上衣</t>
  </si>
  <si>
    <t>P770821520016218311</t>
  </si>
  <si>
    <t>王*</t>
  </si>
  <si>
    <t>138****7966</t>
  </si>
  <si>
    <t>福建省 三明市 沙县区 ***</t>
  </si>
  <si>
    <t>福建省</t>
  </si>
  <si>
    <t>三明市</t>
  </si>
  <si>
    <t>沙县区</t>
  </si>
  <si>
    <t>350405</t>
  </si>
  <si>
    <t>689dee5baa1e7b00156ae7c1</t>
  </si>
  <si>
    <t>XHS-3JY9LAG89YPS</t>
  </si>
  <si>
    <t>689dee5baa1e7b00156ae7c0</t>
  </si>
  <si>
    <t>LAO BAN ZHOU 【老板周】极简主义 秋冬新款复古卷边前短后长针织上衣 灰色 S（80-100斤）</t>
  </si>
  <si>
    <t>灰色 S（80-100斤）</t>
  </si>
  <si>
    <t>微信先用后付</t>
  </si>
  <si>
    <t>2025-08-15 22:52:00</t>
  </si>
  <si>
    <t>73569287102336</t>
  </si>
  <si>
    <t>2025-08-30 22:52:00</t>
  </si>
  <si>
    <t>2025-08-25 19:55:00</t>
  </si>
  <si>
    <t>2025-08-27 17:10:53</t>
  </si>
  <si>
    <t>573725d782ec392b7aac36a5</t>
  </si>
  <si>
    <t>Z2365-灰色-S</t>
  </si>
  <si>
    <t>689dee5baa1e7b00156ae7bb</t>
  </si>
  <si>
    <t>【老板周】极简主义 秋冬新款复古卷边前短后长针织上衣</t>
  </si>
  <si>
    <t>P770818894631507761</t>
  </si>
  <si>
    <t>毛</t>
  </si>
  <si>
    <t>188****0712</t>
  </si>
  <si>
    <t>上海 上海市 杨浦区 ***</t>
  </si>
  <si>
    <t>杨浦区</t>
  </si>
  <si>
    <t>310110006</t>
  </si>
  <si>
    <t>689dee541ea4cb00155e6f97</t>
  </si>
  <si>
    <t>XHS-3JY9BQCVPTDS</t>
  </si>
  <si>
    <t>689dee541ea4cb00155e6f96</t>
  </si>
  <si>
    <t>LAO BAN ZHOU 【老板周】百搭气质 秋冬新款百搭造型感气质三角巾 藏青色</t>
  </si>
  <si>
    <t>藏青色</t>
  </si>
  <si>
    <t>199.00</t>
  </si>
  <si>
    <t>支付宝免密</t>
  </si>
  <si>
    <t>2025081522001459511443799810</t>
  </si>
  <si>
    <t>2025-08-15 22:08:16</t>
  </si>
  <si>
    <t>73569428130248</t>
  </si>
  <si>
    <t>2025-08-15 22:08:14</t>
  </si>
  <si>
    <t>2025-08-30 22:08:16</t>
  </si>
  <si>
    <t>2025-08-24 21:27:21</t>
  </si>
  <si>
    <t>2025-08-27 08:52:15</t>
  </si>
  <si>
    <t>5aaaf92e4eacab0922af9f62</t>
  </si>
  <si>
    <t>Z2380-藏青色</t>
  </si>
  <si>
    <t>689dee541ea4cb00155e6f93</t>
  </si>
  <si>
    <t>【老板周】百搭气质 秋冬新款百搭造型感气质三角巾</t>
  </si>
  <si>
    <t>P770818846205191671</t>
  </si>
  <si>
    <t>方*</t>
  </si>
  <si>
    <t>199****7277</t>
  </si>
  <si>
    <t>山东省 日照市 东港区 ***</t>
  </si>
  <si>
    <t>山东省</t>
  </si>
  <si>
    <t>日照市</t>
  </si>
  <si>
    <t>东港区</t>
  </si>
  <si>
    <t>371102008000</t>
  </si>
  <si>
    <t>6896fe48057f570015d29245</t>
  </si>
  <si>
    <t>XHS-2Z0D3J1YAL8G</t>
  </si>
  <si>
    <t>6896fe48057f570015d29244</t>
  </si>
  <si>
    <t>【老板周】时髦撞色 春季新款假两件显瘦长袖打底T恤上衣 黑色 M（100-120斤）</t>
  </si>
  <si>
    <t>2025081522001446921455566706</t>
  </si>
  <si>
    <t>2025-08-15 22:07:36</t>
  </si>
  <si>
    <t>73569429601749</t>
  </si>
  <si>
    <t>2025-08-15 22:07:26</t>
  </si>
  <si>
    <t>2025-08-30 22:07:36</t>
  </si>
  <si>
    <t>2025-08-24 21:24:18</t>
  </si>
  <si>
    <t>2025-08-27 16:15:17</t>
  </si>
  <si>
    <t>5b219a89e8ac2b2d65a2a890</t>
  </si>
  <si>
    <t>Z1576-黑色-M</t>
  </si>
  <si>
    <t>6896fe48057f570015d29241</t>
  </si>
  <si>
    <t>【老板周】时髦撞色 春季新款假两件显瘦长袖打底T恤上衣</t>
  </si>
  <si>
    <t>P770817653033321541</t>
  </si>
  <si>
    <t>铁</t>
  </si>
  <si>
    <t>188****9286</t>
  </si>
  <si>
    <t>浙江省 绍兴市 诸暨市 ***</t>
  </si>
  <si>
    <t>浙江省</t>
  </si>
  <si>
    <t>绍兴市</t>
  </si>
  <si>
    <t>诸暨市</t>
  </si>
  <si>
    <t>330681005000</t>
  </si>
  <si>
    <t>6896fe67c165480015b3eb01</t>
  </si>
  <si>
    <t>XHS-2Z4TJTXW55OG</t>
  </si>
  <si>
    <t>6896fe67c165480015b3eb00</t>
  </si>
  <si>
    <t>【老板周】舒适休闲 极简短版腰头抽绳设计宽松半身裙 黑色 S（80-100斤）</t>
  </si>
  <si>
    <t>189.00</t>
  </si>
  <si>
    <t>2025081522001420121433136963</t>
  </si>
  <si>
    <t>2025-08-15 21:48:31</t>
  </si>
  <si>
    <t>73569255709053</t>
  </si>
  <si>
    <t>2025-08-15 21:47:33</t>
  </si>
  <si>
    <t>2025-08-30 21:48:31</t>
  </si>
  <si>
    <t>2025-08-23 17:27:48</t>
  </si>
  <si>
    <t>;78934215260877(收） Z1645-黑色-S*1#</t>
  </si>
  <si>
    <t>5b5c85dbe8ac2b5d1dc7f406</t>
  </si>
  <si>
    <t>Z1645-黑色-S</t>
  </si>
  <si>
    <t>6896fe67c165480015b3eaff</t>
  </si>
  <si>
    <t>【老板周】舒适休闲 极简短版腰头抽绳设计宽松半身裙</t>
  </si>
  <si>
    <t>P770815073365177321</t>
  </si>
  <si>
    <t>朱**</t>
  </si>
  <si>
    <t>133****6756</t>
  </si>
  <si>
    <t>江苏省 常州市 钟楼区 ***</t>
  </si>
  <si>
    <t>江苏省</t>
  </si>
  <si>
    <t>常州市</t>
  </si>
  <si>
    <t>钟楼区</t>
  </si>
  <si>
    <t>320404002</t>
  </si>
  <si>
    <t>689dee45c34eef00157e1208</t>
  </si>
  <si>
    <t>XHS-3JY8RM3UZL6O</t>
  </si>
  <si>
    <t>689dee45c34eef00157e1207</t>
  </si>
  <si>
    <t>【老板周】小众日系 秋冬叠穿时髦下摆不规则宽松马甲 灰色 S（80-100斤）</t>
  </si>
  <si>
    <t>179.00</t>
  </si>
  <si>
    <t>4347802469202508151936939245</t>
  </si>
  <si>
    <t>2025-08-15 21:04:40</t>
  </si>
  <si>
    <t>73569144709848</t>
  </si>
  <si>
    <t>2025-08-15 21:04:33</t>
  </si>
  <si>
    <t>2025-08-30 21:04:40</t>
  </si>
  <si>
    <t>2025-08-22 21:16:10</t>
  </si>
  <si>
    <t>;JDX042510841197(收） Z2378-灰色-S*1#</t>
  </si>
  <si>
    <t>5ae3fc4211be1062fa142bc7</t>
  </si>
  <si>
    <t>Z2378-灰色-S</t>
  </si>
  <si>
    <t>689dee45c34eef00157e11fa</t>
  </si>
  <si>
    <t>【老板周】小众日系 秋冬叠穿时髦下摆不规则宽松马甲</t>
  </si>
  <si>
    <t>P770813889954234671</t>
  </si>
  <si>
    <t>仇**</t>
  </si>
  <si>
    <t>139****2227</t>
  </si>
  <si>
    <t>天津 天津市 滨海新区 ***</t>
  </si>
  <si>
    <t>天津</t>
  </si>
  <si>
    <t>天津市</t>
  </si>
  <si>
    <t>滨海新区</t>
  </si>
  <si>
    <t>120116</t>
  </si>
  <si>
    <t>689dee5baa1e7b00156ae7bd</t>
  </si>
  <si>
    <t>XHS-3JY9LAG0S9OG</t>
  </si>
  <si>
    <t>689dee5baa1e7b00156ae7bc</t>
  </si>
  <si>
    <t>LAO BAN ZHOU 【老板周】极简主义 秋冬新款复古卷边前短后长针织上衣 黑色 S（80-100斤）</t>
  </si>
  <si>
    <t>2025081522001400711430980476</t>
  </si>
  <si>
    <t>2025-08-15 20:44:57</t>
  </si>
  <si>
    <t>73569144710903</t>
  </si>
  <si>
    <t>2025-08-15 20:44:50</t>
  </si>
  <si>
    <t>2025-08-30 20:44:57</t>
  </si>
  <si>
    <t>2025-08-22 21:11:54</t>
  </si>
  <si>
    <t>;JDX042517220056(收） Z2365-黑色-S*1#</t>
  </si>
  <si>
    <t>5dac2bc6000000000100347a</t>
  </si>
  <si>
    <t>Z2365-黑色-S</t>
  </si>
  <si>
    <t>P770811839659457301</t>
  </si>
  <si>
    <t>赵**</t>
  </si>
  <si>
    <t>138****7478</t>
  </si>
  <si>
    <t>广东省 佛山市 顺德区 ***</t>
  </si>
  <si>
    <t>佛山市</t>
  </si>
  <si>
    <t>顺德区</t>
  </si>
  <si>
    <t>440606006000</t>
  </si>
  <si>
    <t>4350102250202508157176301480</t>
  </si>
  <si>
    <t>2025-08-15 20:10:46</t>
  </si>
  <si>
    <t>73569424315508</t>
  </si>
  <si>
    <t>2025-08-15 20:10:39</t>
  </si>
  <si>
    <t>2025-08-30 20:10:46</t>
  </si>
  <si>
    <t>2025-08-24 20:19:50</t>
  </si>
  <si>
    <t>2025-08-26 22:28:56</t>
  </si>
  <si>
    <t>6290506300000000210294b2</t>
  </si>
  <si>
    <t>P770809432946213601</t>
  </si>
  <si>
    <t>180****1869</t>
  </si>
  <si>
    <t>安徽省 合肥市 蜀山区 ***</t>
  </si>
  <si>
    <t>安徽省</t>
  </si>
  <si>
    <t>合肥市</t>
  </si>
  <si>
    <t>蜀山区</t>
  </si>
  <si>
    <t>340104</t>
  </si>
  <si>
    <t>689dee5baa1e7b00156ae7c3</t>
  </si>
  <si>
    <t>XHS-3JY9LAGFRNR4</t>
  </si>
  <si>
    <t>689dee5baa1e7b00156ae7c2</t>
  </si>
  <si>
    <t>LAO BAN ZHOU 【老板周】极简主义 秋冬新款复古卷边前短后长针织上衣 灰色 M（100-135斤）</t>
  </si>
  <si>
    <t>灰色 M（100-135斤）</t>
  </si>
  <si>
    <t>4326602241202508159115746828</t>
  </si>
  <si>
    <t>2025-08-15 19:30:40</t>
  </si>
  <si>
    <t>73568592670460</t>
  </si>
  <si>
    <t>2025-08-15 19:30:33</t>
  </si>
  <si>
    <t>2025-08-30 19:30:40</t>
  </si>
  <si>
    <t>2025-08-18 22:35:44</t>
  </si>
  <si>
    <t>2025-08-25 22:35:44</t>
  </si>
  <si>
    <t>;JDX042534359284(收） Z2365-灰色-M*1#</t>
  </si>
  <si>
    <t>5b15fe3ff7e8b96ea4ab300b</t>
  </si>
  <si>
    <t>Z2365-灰色-M</t>
  </si>
  <si>
    <t>P770807071130358401</t>
  </si>
  <si>
    <t>邹*</t>
  </si>
  <si>
    <t>182****1061</t>
  </si>
  <si>
    <t>江苏省 南京市 建邺区 ***</t>
  </si>
  <si>
    <t>南京市</t>
  </si>
  <si>
    <t>建邺区</t>
  </si>
  <si>
    <t>320105001000</t>
  </si>
  <si>
    <t>689dee541ea4cb00155e6f95</t>
  </si>
  <si>
    <t>XHS-3JY9BQCQQ0OW</t>
  </si>
  <si>
    <t>689dee541ea4cb00155e6f94</t>
  </si>
  <si>
    <t>【老板周】百搭气质 秋冬新款百搭造型感气质三角巾 黑色</t>
  </si>
  <si>
    <t>黑色</t>
  </si>
  <si>
    <t>4327402459202508152067557130</t>
  </si>
  <si>
    <t>2025-08-15 18:51:19</t>
  </si>
  <si>
    <t>73568735152201</t>
  </si>
  <si>
    <t>2025-08-15 18:51:11</t>
  </si>
  <si>
    <t>2025-08-30 18:51:19</t>
  </si>
  <si>
    <t>2025-08-19 23:52:01</t>
  </si>
  <si>
    <t>2025-08-26 23:52:01</t>
  </si>
  <si>
    <t>64a58eea000000001003691c</t>
  </si>
  <si>
    <t>Z2380-黑色</t>
  </si>
  <si>
    <t>P770802455479324851</t>
  </si>
  <si>
    <t>童</t>
  </si>
  <si>
    <t>186****5600</t>
  </si>
  <si>
    <t>浙江省 杭州市 萧山区 ***</t>
  </si>
  <si>
    <t>杭州市</t>
  </si>
  <si>
    <t>萧山区</t>
  </si>
  <si>
    <t>330109110</t>
  </si>
  <si>
    <t>XHS-3JFVUELM3W8W</t>
  </si>
  <si>
    <t>689720eeb6005400015a679b</t>
  </si>
  <si>
    <t>【老板周】气质经典 秋冬无缝一体半高领显瘦打底针织 黑色 L（100-120斤）</t>
  </si>
  <si>
    <t>黑色 L（100-120斤）</t>
  </si>
  <si>
    <t>4329902477202508151518076766</t>
  </si>
  <si>
    <t>2025-08-15 17:34:25</t>
  </si>
  <si>
    <t>73569144711713</t>
  </si>
  <si>
    <t>2025-08-15 17:34:15</t>
  </si>
  <si>
    <t>2025-08-30 17:34:25</t>
  </si>
  <si>
    <t>2025-08-22 20:56:19</t>
  </si>
  <si>
    <t>2025-08-27 08:17:40</t>
  </si>
  <si>
    <t>5d6148d8000000000100aeb9</t>
  </si>
  <si>
    <t>Z2351-黑色-L</t>
  </si>
  <si>
    <t>689720eeb6005400015a6797</t>
  </si>
  <si>
    <t>【老板周】气质经典 秋冬无缝一体半高领显瘦打底针织</t>
  </si>
  <si>
    <t>P770802417453059131</t>
  </si>
  <si>
    <t>党*</t>
  </si>
  <si>
    <t>139****6606</t>
  </si>
  <si>
    <t>新疆维吾尔自治区 乌鲁木齐市 天山区 ***</t>
  </si>
  <si>
    <t>新疆维吾尔自治区</t>
  </si>
  <si>
    <t>乌鲁木齐市</t>
  </si>
  <si>
    <t>天山区</t>
  </si>
  <si>
    <t>650102012</t>
  </si>
  <si>
    <t>2025081522001452271435125494</t>
  </si>
  <si>
    <t>2025-08-15 17:35:16</t>
  </si>
  <si>
    <t>10.00</t>
  </si>
  <si>
    <t>73569144711826</t>
  </si>
  <si>
    <t>2025-08-15 17:33:37</t>
  </si>
  <si>
    <t>2025-08-30 17:35:16</t>
  </si>
  <si>
    <t>2025-08-26 22:26:55</t>
  </si>
  <si>
    <t>5a221f7fdb2e6047a150b1e7</t>
  </si>
  <si>
    <t>P770801203180185471</t>
  </si>
  <si>
    <t>四***</t>
  </si>
  <si>
    <t>181****6065</t>
  </si>
  <si>
    <t>广东省 深圳市 宝安区 ***</t>
  </si>
  <si>
    <t>深圳市</t>
  </si>
  <si>
    <t>宝安区</t>
  </si>
  <si>
    <t>440306021000</t>
  </si>
  <si>
    <t>689dee65ae962f0015895c5e</t>
  </si>
  <si>
    <t>XHS-3JY9YVCTEBR4</t>
  </si>
  <si>
    <t>689dee65ae962f0015895c5d</t>
  </si>
  <si>
    <t>LAO BAN ZHOU 【老板周】复古休闲 秋冬细腻柔软连帽单排扣针织上衣 灰色 S（80-100斤）</t>
  </si>
  <si>
    <t>299.00</t>
  </si>
  <si>
    <t>2025081523001435931400346554</t>
  </si>
  <si>
    <t>2025-08-15 17:13:32</t>
  </si>
  <si>
    <t>73568731901762</t>
  </si>
  <si>
    <t>2025-08-15 17:13:23</t>
  </si>
  <si>
    <t>2025-08-30 17:13:32</t>
  </si>
  <si>
    <t>2025-08-19 22:39:49</t>
  </si>
  <si>
    <t>2025-08-26 22:39:49</t>
  </si>
  <si>
    <t>5c37daa6000000000502f411</t>
  </si>
  <si>
    <t>Z2366-灰色-S</t>
  </si>
  <si>
    <t>689dee65ae962f0015895c58</t>
  </si>
  <si>
    <t>【老板周】复古休闲 秋冬细腻柔软连帽单排扣针织上衣</t>
  </si>
  <si>
    <t>P770800342402378981</t>
  </si>
  <si>
    <t>法********</t>
  </si>
  <si>
    <t>183****4792</t>
  </si>
  <si>
    <t>广东省 惠州市 惠阳区 ***</t>
  </si>
  <si>
    <t>惠州市</t>
  </si>
  <si>
    <t>惠阳区</t>
  </si>
  <si>
    <t>441303008000</t>
  </si>
  <si>
    <t>689dee335cb635001516ec70</t>
  </si>
  <si>
    <t>XHS-3JY7U8WB1P1C</t>
  </si>
  <si>
    <t>689dee335cb635001516ec6f</t>
  </si>
  <si>
    <t>LAO BAN ZHOU 【老板周】复古调性 秋冬新款百搭松紧腰分割线廓形九分裤 深藏青色 L（110-125斤）</t>
  </si>
  <si>
    <t>深藏青色 L（110-125斤）</t>
  </si>
  <si>
    <t>2025081522001412281457345278</t>
  </si>
  <si>
    <t>2025-08-15 16:59:08</t>
  </si>
  <si>
    <t>73568735152148</t>
  </si>
  <si>
    <t>2025-08-15 16:59:02</t>
  </si>
  <si>
    <t>2025-08-30 16:59:08</t>
  </si>
  <si>
    <t>2025-08-19 23:53:31</t>
  </si>
  <si>
    <t>2025-08-26 23:53:32</t>
  </si>
  <si>
    <t>5d0a54ca0000000011027781</t>
  </si>
  <si>
    <t>Z2375-深藏青色-L</t>
  </si>
  <si>
    <t>689dee335cb635001516ec6a</t>
  </si>
  <si>
    <t>【老板周】复古调性 秋冬新款百搭松紧腰分割线廓形九分裤</t>
  </si>
  <si>
    <t>P770800341884471531</t>
  </si>
  <si>
    <t>飛*</t>
  </si>
  <si>
    <t>189****4299</t>
  </si>
  <si>
    <t>福建省 厦门市 思明区 ***</t>
  </si>
  <si>
    <t>厦门市</t>
  </si>
  <si>
    <t>思明区</t>
  </si>
  <si>
    <t>350203008</t>
  </si>
  <si>
    <t>689dee335cb635001516ec72</t>
  </si>
  <si>
    <t>XHS-3JY7U8WG1HQ8</t>
  </si>
  <si>
    <t>689dee335cb635001516ec71</t>
  </si>
  <si>
    <t>LAO BAN ZHOU 【老板周】复古调性 秋冬新款百搭松紧腰分割线廓形九分裤 深藏青色 XL（125-140斤）</t>
  </si>
  <si>
    <t>深藏青色 XL（125-140斤）</t>
  </si>
  <si>
    <t>2025081522001420281447898668</t>
  </si>
  <si>
    <t>2025-08-15 16:59:17</t>
  </si>
  <si>
    <t>73568735151749</t>
  </si>
  <si>
    <t>2025-08-30 16:59:17</t>
  </si>
  <si>
    <t>2025-08-19 23:50:59</t>
  </si>
  <si>
    <t>2025-08-26 23:51:00</t>
  </si>
  <si>
    <t>5b56f65411be1079cb320859</t>
  </si>
  <si>
    <t>Z2375-黑色-XL</t>
  </si>
  <si>
    <t>P770800349964423951</t>
  </si>
  <si>
    <t>洛**********</t>
  </si>
  <si>
    <t>138****7815</t>
  </si>
  <si>
    <t>上海 上海市 松江区 ***</t>
  </si>
  <si>
    <t>松江区</t>
  </si>
  <si>
    <t>310117102</t>
  </si>
  <si>
    <t>4331702257202508151255946117</t>
  </si>
  <si>
    <t>73568735152467</t>
  </si>
  <si>
    <t>2025-08-15 16:59:10</t>
  </si>
  <si>
    <t>59c7427f51783a624bf0c129</t>
  </si>
  <si>
    <t>P770800340656114071</t>
  </si>
  <si>
    <t>天********</t>
  </si>
  <si>
    <t>151****5145</t>
  </si>
  <si>
    <t>上海 上海市 青浦区 ***</t>
  </si>
  <si>
    <t>青浦区</t>
  </si>
  <si>
    <t>310118110</t>
  </si>
  <si>
    <t>689dee335cb635001516ec76</t>
  </si>
  <si>
    <t>XHS-3JY7U8WQ1340</t>
  </si>
  <si>
    <t>689dee335cb635001516ec75</t>
  </si>
  <si>
    <t>LAO BAN ZHOU 【老板周】复古调性 秋冬新款百搭松紧腰分割线廓形九分裤 杏色 M（95-110斤）</t>
  </si>
  <si>
    <t>杏色 M（95-110斤）</t>
  </si>
  <si>
    <t>2025081522001407191429949693</t>
  </si>
  <si>
    <t>2025-08-15 16:59:07</t>
  </si>
  <si>
    <t>73568735151897</t>
  </si>
  <si>
    <t>2025-08-15 16:59:00</t>
  </si>
  <si>
    <t>2025-08-30 16:59:07</t>
  </si>
  <si>
    <t>2025-08-19 23:51:25</t>
  </si>
  <si>
    <t>2025-08-26 23:51:25</t>
  </si>
  <si>
    <t>5cf2ea8a0000000012014485</t>
  </si>
  <si>
    <t>Z2375-杏色-M</t>
  </si>
  <si>
    <t>P770800341731245681</t>
  </si>
  <si>
    <t>娜*</t>
  </si>
  <si>
    <t>186****6007</t>
  </si>
  <si>
    <t>浙江省 宁波市 海曙区 ***</t>
  </si>
  <si>
    <t>宁波市</t>
  </si>
  <si>
    <t>海曙区</t>
  </si>
  <si>
    <t>330203008</t>
  </si>
  <si>
    <t>689dee335cb635001516ec6e</t>
  </si>
  <si>
    <t>XHS-3JY7U8W8JSOW</t>
  </si>
  <si>
    <t>689dee335cb635001516ec6d</t>
  </si>
  <si>
    <t>LAO BAN ZHOU 【老板周】复古调性 秋冬新款百搭松紧腰分割线廓形九分裤 深藏青色 M（95-110斤）</t>
  </si>
  <si>
    <t>深藏青色 M（95-110斤）</t>
  </si>
  <si>
    <t>2025081522001404551429034447</t>
  </si>
  <si>
    <t>73568735152189</t>
  </si>
  <si>
    <t>2025-08-15 16:59:01</t>
  </si>
  <si>
    <t>2025-08-30 16:59:10</t>
  </si>
  <si>
    <t>2025-08-19 23:54:36</t>
  </si>
  <si>
    <t>2025-08-26 23:54:36</t>
  </si>
  <si>
    <t>575f9c7982ec395b0b158782</t>
  </si>
  <si>
    <t>Z2375-深藏青色-M</t>
  </si>
  <si>
    <t>P770800350927090411</t>
  </si>
  <si>
    <t>138****2102</t>
  </si>
  <si>
    <t>安徽省 宣城市 宣州区 ***</t>
  </si>
  <si>
    <t>宣城市</t>
  </si>
  <si>
    <t>宣州区</t>
  </si>
  <si>
    <t>341802002</t>
  </si>
  <si>
    <t>4334302258202508158131147276</t>
  </si>
  <si>
    <t>2025-08-15 16:59:15</t>
  </si>
  <si>
    <t>73568735152388</t>
  </si>
  <si>
    <t>2025-08-15 16:59:11</t>
  </si>
  <si>
    <t>2025-08-30 16:59:15</t>
  </si>
  <si>
    <t>57f103df50c4b44080876d63</t>
  </si>
  <si>
    <t>P770800347247449271</t>
  </si>
  <si>
    <t>1****</t>
  </si>
  <si>
    <t>186****0711</t>
  </si>
  <si>
    <t>440306003</t>
  </si>
  <si>
    <t>73568735152069</t>
  </si>
  <si>
    <t>5bd8468373bdbf0001982456</t>
  </si>
  <si>
    <t>P770800356297378821</t>
  </si>
  <si>
    <t>689dee335cb635001516ec78</t>
  </si>
  <si>
    <t>XHS-3JY7U8WV0VSW</t>
  </si>
  <si>
    <t>689dee335cb635001516ec77</t>
  </si>
  <si>
    <t>LAO BAN ZHOU 【老板周】复古调性 秋冬新款百搭松紧腰分割线廓形九分裤 杏色 L（110-125斤）</t>
  </si>
  <si>
    <t>杏色 L（110-125斤）</t>
  </si>
  <si>
    <t>2025081523001412281458634745</t>
  </si>
  <si>
    <t>2025-08-15 16:59:22</t>
  </si>
  <si>
    <t>73568735151922</t>
  </si>
  <si>
    <t>2025-08-15 16:59:16</t>
  </si>
  <si>
    <t>2025-08-30 16:59:22</t>
  </si>
  <si>
    <t>2025-08-19 23:55:20</t>
  </si>
  <si>
    <t>2025-08-26 23:55:20</t>
  </si>
  <si>
    <t>Z2375-杏色-L</t>
  </si>
  <si>
    <t>P770799979667284611</t>
  </si>
  <si>
    <t>2025081522001457781456515826</t>
  </si>
  <si>
    <t>2025-08-15 16:53:07</t>
  </si>
  <si>
    <t>73568592670776</t>
  </si>
  <si>
    <t>2025-08-15 16:52:59</t>
  </si>
  <si>
    <t>2025-08-30 16:53:07</t>
  </si>
  <si>
    <t>2025-08-18 22:30:28</t>
  </si>
  <si>
    <t>2025-08-25 22:30:29</t>
  </si>
  <si>
    <t>;SF3289575962710(收） Z2380-藏青色*1#</t>
  </si>
  <si>
    <t>P770800038248138451</t>
  </si>
  <si>
    <t>l**</t>
  </si>
  <si>
    <t>183****6177</t>
  </si>
  <si>
    <t>四川省 绵阳市 涪城区 ***</t>
  </si>
  <si>
    <t>四川省</t>
  </si>
  <si>
    <t>绵阳市</t>
  </si>
  <si>
    <t>涪城区</t>
  </si>
  <si>
    <t>510703</t>
  </si>
  <si>
    <t>4309702285202508159958080728</t>
  </si>
  <si>
    <t>2025-08-15 16:54:04</t>
  </si>
  <si>
    <t>73568592688365</t>
  </si>
  <si>
    <t>2025-08-15 16:53:58</t>
  </si>
  <si>
    <t>2025-08-30 16:54:04</t>
  </si>
  <si>
    <t>2025-08-18 22:31:19</t>
  </si>
  <si>
    <t>2025-08-25 22:31:19</t>
  </si>
  <si>
    <t>;SF3289877149275(收） Z2380-藏青色*1
Z2380-黑色*1#</t>
  </si>
  <si>
    <t>6067c578000000000100a225</t>
  </si>
  <si>
    <t>73568864925966</t>
  </si>
  <si>
    <t>2025-08-20 20:48:44</t>
  </si>
  <si>
    <t>P770799964547510201</t>
  </si>
  <si>
    <t>段**</t>
  </si>
  <si>
    <t>136****6258</t>
  </si>
  <si>
    <t>福建省 三明市 三元区 ***</t>
  </si>
  <si>
    <t>三元区</t>
  </si>
  <si>
    <t>350403001</t>
  </si>
  <si>
    <t>2025081522001439961455318841</t>
  </si>
  <si>
    <t>2025-08-15 16:52:50</t>
  </si>
  <si>
    <t>73568592670842</t>
  </si>
  <si>
    <t>2025-08-15 16:52:44</t>
  </si>
  <si>
    <t>2025-08-30 16:52:50</t>
  </si>
  <si>
    <t>;SF3230365475335(收） Z2380-黑色*1#</t>
  </si>
  <si>
    <t>5bed014017885e0001f01556</t>
  </si>
  <si>
    <t>P770798353781374661</t>
  </si>
  <si>
    <t>曹**</t>
  </si>
  <si>
    <t>187****3097</t>
  </si>
  <si>
    <t>4316902246202508157348165609</t>
  </si>
  <si>
    <t>2025-08-15 16:26:01</t>
  </si>
  <si>
    <t>73568735151828</t>
  </si>
  <si>
    <t>2025-08-15 16:25:54</t>
  </si>
  <si>
    <t>2025-08-30 16:26:01</t>
  </si>
  <si>
    <t>2025-08-19 23:36:17</t>
  </si>
  <si>
    <t>2025-08-26 23:36:18</t>
  </si>
  <si>
    <t>;JDX042487675994(收） Z2378-灰色-S*1#</t>
  </si>
  <si>
    <t>5a03262d4eacab7812d21919</t>
  </si>
  <si>
    <t>P770798387983284011</t>
  </si>
  <si>
    <t>689d92c8956aac0015f36639</t>
  </si>
  <si>
    <t>XHS-2PMHDZ8YH728</t>
  </si>
  <si>
    <t>689d92c8956aac0015f36638</t>
  </si>
  <si>
    <t>【老板周】舒适经典 新款柔软细腻无缝一体半高领打底衫 黑色 M（100-120斤）</t>
  </si>
  <si>
    <t>2025081522001457781454758034</t>
  </si>
  <si>
    <t>2025-08-15 16:26:34</t>
  </si>
  <si>
    <t>73568864925675</t>
  </si>
  <si>
    <t>2025-08-15 16:26:28</t>
  </si>
  <si>
    <t>2025-08-30 16:26:34</t>
  </si>
  <si>
    <t>2025-08-20 20:38:35</t>
  </si>
  <si>
    <t>;SF3289575962710(收） Z1248-黑色-M*1#</t>
  </si>
  <si>
    <t>Z1248-黑色-M</t>
  </si>
  <si>
    <t>689d92c8956aac0015f3662f</t>
  </si>
  <si>
    <t>【老板周】舒适经典 新款柔软细腻无缝一体半高领打底衫</t>
  </si>
  <si>
    <t>P770798754835129721</t>
  </si>
  <si>
    <t>三*</t>
  </si>
  <si>
    <t>177****6716</t>
  </si>
  <si>
    <t>宁夏回族自治区 银川市 兴庆区 ***</t>
  </si>
  <si>
    <t>宁夏回族自治区</t>
  </si>
  <si>
    <t>银川市</t>
  </si>
  <si>
    <t>兴庆区</t>
  </si>
  <si>
    <t>640104</t>
  </si>
  <si>
    <t>689d92c8956aac0015f3663b</t>
  </si>
  <si>
    <t>XHS-2PMHE0F2J5DS</t>
  </si>
  <si>
    <t>689d92c8956aac0015f3663a</t>
  </si>
  <si>
    <t>【老板周】舒适经典 新款柔软细腻无缝一体半高领打底衫 黑色 L（120-135斤）</t>
  </si>
  <si>
    <t>4334002477202508159661676431</t>
  </si>
  <si>
    <t>2025-08-15 16:32:40</t>
  </si>
  <si>
    <t>73568874677198</t>
  </si>
  <si>
    <t>2025-08-15 16:32:35</t>
  </si>
  <si>
    <t>2025-08-30 16:32:40</t>
  </si>
  <si>
    <t>2025-08-20 23:54:30</t>
  </si>
  <si>
    <t>2025-08-27 10:54:57</t>
  </si>
  <si>
    <t>5eb402c90000000001002da9</t>
  </si>
  <si>
    <t>Z1248-黑色-L</t>
  </si>
  <si>
    <t>P770798117968454421</t>
  </si>
  <si>
    <t>2025081522001422071432990777</t>
  </si>
  <si>
    <t>2025-08-15 16:22:27</t>
  </si>
  <si>
    <t>73568586201255</t>
  </si>
  <si>
    <t>2025-08-15 16:21:58</t>
  </si>
  <si>
    <t>2025-08-30 16:22:27</t>
  </si>
  <si>
    <t>2025-08-18 21:15:14</t>
  </si>
  <si>
    <t>2025-08-25 21:15:15</t>
  </si>
  <si>
    <t>;JDX042496871681(收） Z2365-灰色-S*1#</t>
  </si>
  <si>
    <t>P770798337207284891</t>
  </si>
  <si>
    <t>689dee45c34eef00157e11fe</t>
  </si>
  <si>
    <t>XHS-3JY8RM360LQ8</t>
  </si>
  <si>
    <t>689dee45c34eef00157e11fd</t>
  </si>
  <si>
    <t>【老板周】小众日系 秋冬叠穿时髦下摆不规则宽松马甲 花纱色 M（100-135斤）</t>
  </si>
  <si>
    <t>花纱色 M（100-135斤）</t>
  </si>
  <si>
    <t>2025081522001457781456530401</t>
  </si>
  <si>
    <t>2025-08-15 16:25:44</t>
  </si>
  <si>
    <t>73569148403912</t>
  </si>
  <si>
    <t>2025-08-15 16:25:37</t>
  </si>
  <si>
    <t>2025-08-30 16:25:44</t>
  </si>
  <si>
    <t>2025-08-22 21:57:29</t>
  </si>
  <si>
    <t>;SF3289575962710(收） Z2378-花纱色-M*1#</t>
  </si>
  <si>
    <t>Z2378-花纱色-M</t>
  </si>
  <si>
    <t>P770797478381146081</t>
  </si>
  <si>
    <t>139****3693</t>
  </si>
  <si>
    <t>310118106000</t>
  </si>
  <si>
    <t>689dee2db292580015c1974c</t>
  </si>
  <si>
    <t>XHS-3JY78059ZB40</t>
  </si>
  <si>
    <t>689dee2db292580015c1974b</t>
  </si>
  <si>
    <t>【老板周】通勤质感 秋冬重磅新品半松紧腰垂感口袋西裤 灰色 M（100-120斤）</t>
  </si>
  <si>
    <t>灰色 M（100-120斤）</t>
  </si>
  <si>
    <t>359.00</t>
  </si>
  <si>
    <t>4330002578202508159124990143</t>
  </si>
  <si>
    <t>2025-08-15 16:11:24</t>
  </si>
  <si>
    <t>73569589599965</t>
  </si>
  <si>
    <t>2025-08-15 16:11:18</t>
  </si>
  <si>
    <t>2025-08-30 16:11:24</t>
  </si>
  <si>
    <t>2025-08-25 23:34:04</t>
  </si>
  <si>
    <t>2025-08-27 11:01:59</t>
  </si>
  <si>
    <t>5cf22c5300000000170337ba</t>
  </si>
  <si>
    <t>Z2363-灰色-M</t>
  </si>
  <si>
    <t>689dee2db292580015c19742</t>
  </si>
  <si>
    <t>【老板周】通勤质感 秋冬重磅新品半松紧腰垂感口袋西裤</t>
  </si>
  <si>
    <t>P770797313602194761</t>
  </si>
  <si>
    <t>张**</t>
  </si>
  <si>
    <t>186****1435</t>
  </si>
  <si>
    <t>北京 北京市 通州区 ***</t>
  </si>
  <si>
    <t>北京</t>
  </si>
  <si>
    <t>北京市</t>
  </si>
  <si>
    <t>通州区</t>
  </si>
  <si>
    <t>110112003</t>
  </si>
  <si>
    <t>689d98fa3b9d470015b74589</t>
  </si>
  <si>
    <t>XHS-33LDRKJ82328</t>
  </si>
  <si>
    <t>689d98fa3b9d470015b74588</t>
  </si>
  <si>
    <t>【老板周】小众休闲 春季单口袋翻领设计感廓形百搭衬衫 黑色 L（120-135斤）</t>
  </si>
  <si>
    <t>2025081522001403541431507443</t>
  </si>
  <si>
    <t>2025-08-15 16:08:42</t>
  </si>
  <si>
    <t>73568731901642</t>
  </si>
  <si>
    <t>2025-08-15 16:08:33</t>
  </si>
  <si>
    <t>2025-08-30 16:08:42</t>
  </si>
  <si>
    <t>2025-08-19 22:20:09</t>
  </si>
  <si>
    <t>2025-08-26 22:20:09</t>
  </si>
  <si>
    <t>;SF3230664726480(收） Z1744-黑色-L*1#</t>
  </si>
  <si>
    <t>55edb487e4b1cf15d5cde665</t>
  </si>
  <si>
    <t>Z1744-黑色-L</t>
  </si>
  <si>
    <t>689d98fa3b9d470015b74583</t>
  </si>
  <si>
    <t>【老板周】小众休闲 春季单口袋翻领设计感廓形百搭衬衫</t>
  </si>
  <si>
    <t>P770796465763337081</t>
  </si>
  <si>
    <t>138****2801</t>
  </si>
  <si>
    <t>上海 上海市 浦东新区 ***</t>
  </si>
  <si>
    <t>浦东新区</t>
  </si>
  <si>
    <t>310115</t>
  </si>
  <si>
    <t>XHS-3JXERVVVBFUO</t>
  </si>
  <si>
    <t>689d9a9c731333000196a4cd</t>
  </si>
  <si>
    <t>【老板周】舒适经典 新款柔软细腻无缝一体半高领打底衫 杏色 M（100-120斤）</t>
  </si>
  <si>
    <t>杏色 M（100-120斤）</t>
  </si>
  <si>
    <t>2025081523001470641401813146</t>
  </si>
  <si>
    <t>2025-08-15 15:54:30</t>
  </si>
  <si>
    <t>73568875428093</t>
  </si>
  <si>
    <t>2025-08-15 15:54:26</t>
  </si>
  <si>
    <t>2025-08-30 15:54:30</t>
  </si>
  <si>
    <t>2025-08-21 00:14:51</t>
  </si>
  <si>
    <t>2025-08-27 11:14:15</t>
  </si>
  <si>
    <t>5485cc1fd6e4a92d747bfb90</t>
  </si>
  <si>
    <t>Z1248-杏色-M</t>
  </si>
  <si>
    <t>P770796470293501151</t>
  </si>
  <si>
    <t>庄*</t>
  </si>
  <si>
    <t>187****1622</t>
  </si>
  <si>
    <t>黑龙江省 哈尔滨市 道里区 ***</t>
  </si>
  <si>
    <t>黑龙江省</t>
  </si>
  <si>
    <t>哈尔滨市</t>
  </si>
  <si>
    <t>道里区</t>
  </si>
  <si>
    <t>230102</t>
  </si>
  <si>
    <t>4349902483202508153516961941</t>
  </si>
  <si>
    <t>2025-08-15 15:54:44</t>
  </si>
  <si>
    <t>73568871669615</t>
  </si>
  <si>
    <t>2025-08-30 15:54:44</t>
  </si>
  <si>
    <t>2025-08-20 22:29:50</t>
  </si>
  <si>
    <t>;772046902829039(收） Z1248-黑色-L*1#</t>
  </si>
  <si>
    <t>584821d16a6a6950c491bd8f</t>
  </si>
  <si>
    <t>P770796096694064811</t>
  </si>
  <si>
    <t>I*********</t>
  </si>
  <si>
    <t>191****8044</t>
  </si>
  <si>
    <t>广东省 东莞市 樟木头镇 ***</t>
  </si>
  <si>
    <t>东莞市</t>
  </si>
  <si>
    <t>樟木头镇</t>
  </si>
  <si>
    <t>441900112000</t>
  </si>
  <si>
    <t>689dee45c34eef00157e120a</t>
  </si>
  <si>
    <t>XHS-3JY8RM3ZZDVK</t>
  </si>
  <si>
    <t>689dee45c34eef00157e1209</t>
  </si>
  <si>
    <t>【老板周】小众日系 秋冬叠穿时髦下摆不规则宽松马甲 灰色 M（100-135斤）</t>
  </si>
  <si>
    <t>2025081522001434691415547577</t>
  </si>
  <si>
    <t>2025-08-15 15:48:26</t>
  </si>
  <si>
    <t>73568735151338</t>
  </si>
  <si>
    <t>2025-08-15 15:48:16</t>
  </si>
  <si>
    <t>2025-08-30 15:48:26</t>
  </si>
  <si>
    <t>2025-08-19 23:36:42</t>
  </si>
  <si>
    <t>2025-08-26 23:36:42</t>
  </si>
  <si>
    <t>5f4db7270000000001001385</t>
  </si>
  <si>
    <t>Z2378-灰色-M</t>
  </si>
  <si>
    <t>P770796110033183261</t>
  </si>
  <si>
    <t>134****2812</t>
  </si>
  <si>
    <t>广东省 深圳市 福田区 ***</t>
  </si>
  <si>
    <t>福田区</t>
  </si>
  <si>
    <t>440304007</t>
  </si>
  <si>
    <t>689dee45c34eef00157e11fc</t>
  </si>
  <si>
    <t>XHS-3JY8RM310T1C</t>
  </si>
  <si>
    <t>689dee45c34eef00157e11fb</t>
  </si>
  <si>
    <t>【老板周】小众日系 秋冬叠穿时髦下摆不规则宽松马甲 花纱色 S（80-100斤）</t>
  </si>
  <si>
    <t>花纱色 S（80-100斤）</t>
  </si>
  <si>
    <t>2025081522001482941453653204</t>
  </si>
  <si>
    <t>2025-08-15 15:48:36</t>
  </si>
  <si>
    <t>73569411582317</t>
  </si>
  <si>
    <t>2025-08-15 15:48:30</t>
  </si>
  <si>
    <t>2025-08-30 15:48:36</t>
  </si>
  <si>
    <t>2025-08-24 19:20:35</t>
  </si>
  <si>
    <t>;SF3230032965181(收） Z2378-花纱色-S*1#</t>
  </si>
  <si>
    <t>56f1f9f784edcd70cdc3da52</t>
  </si>
  <si>
    <t>Z2378-花纱色-S</t>
  </si>
  <si>
    <t>P770796097446414361</t>
  </si>
  <si>
    <t>方**</t>
  </si>
  <si>
    <t>152****0022</t>
  </si>
  <si>
    <t>天津 天津市 武清区 ***</t>
  </si>
  <si>
    <t>武清区</t>
  </si>
  <si>
    <t>120114115000</t>
  </si>
  <si>
    <t>2025081522001449701411814067</t>
  </si>
  <si>
    <t>2025-08-15 15:48:27</t>
  </si>
  <si>
    <t>73569144710214</t>
  </si>
  <si>
    <t>2025-08-15 15:48:17</t>
  </si>
  <si>
    <t>2025-08-30 15:48:27</t>
  </si>
  <si>
    <t>2025-08-22 21:27:46</t>
  </si>
  <si>
    <t>;JDX042539808890(收） Z2378-花纱色-S*1#</t>
  </si>
  <si>
    <t>5e46a01d0000000001008d31</t>
  </si>
  <si>
    <t>P770796111496158521</t>
  </si>
  <si>
    <t>李*</t>
  </si>
  <si>
    <t>176****0421</t>
  </si>
  <si>
    <t>陕西省 西安市 未央区 ***</t>
  </si>
  <si>
    <t>未央区</t>
  </si>
  <si>
    <t>610112001</t>
  </si>
  <si>
    <t>2025081522001465651424501445</t>
  </si>
  <si>
    <t>2025-08-15 15:48:35</t>
  </si>
  <si>
    <t>73568735151432</t>
  </si>
  <si>
    <t>2025-08-15 15:48:31</t>
  </si>
  <si>
    <t>2025-08-30 15:48:35</t>
  </si>
  <si>
    <t>5fd34cc20000000001003bc8</t>
  </si>
  <si>
    <t>P770795108315278051</t>
  </si>
  <si>
    <t>136****7066</t>
  </si>
  <si>
    <t>北京 北京市 西城区 ***</t>
  </si>
  <si>
    <t>西城区</t>
  </si>
  <si>
    <t>110102017000</t>
  </si>
  <si>
    <t>689dee2db292580015c19746</t>
  </si>
  <si>
    <t>XHS-3JY7804XHTDS</t>
  </si>
  <si>
    <t>689dee2db292580015c19745</t>
  </si>
  <si>
    <t>【老板周】通勤质感 秋冬重磅新品半松紧腰垂感口袋西裤 黑色 M（100-120斤）</t>
  </si>
  <si>
    <t>2025081522001492241418896447</t>
  </si>
  <si>
    <t>2025-08-15 15:31:56</t>
  </si>
  <si>
    <t>73569432293407</t>
  </si>
  <si>
    <t>2025-08-15 15:31:48</t>
  </si>
  <si>
    <t>2025-08-30 15:31:56</t>
  </si>
  <si>
    <t>2025-08-24 22:12:09</t>
  </si>
  <si>
    <t>2025-08-27 11:49:06</t>
  </si>
  <si>
    <t>;JDX042584202698(收） Z2363-黑色-M*1#</t>
  </si>
  <si>
    <t>5ebe9831000000000101ef7f</t>
  </si>
  <si>
    <t>Z2363-黑色-M</t>
  </si>
  <si>
    <t>P770795407221086221</t>
  </si>
  <si>
    <t>催发货</t>
  </si>
  <si>
    <t>192****0049</t>
  </si>
  <si>
    <t>辽宁省 沈阳市 沈河区 ***</t>
  </si>
  <si>
    <t>沈河区</t>
  </si>
  <si>
    <t>210103</t>
  </si>
  <si>
    <t>4336702239202508150999383593</t>
  </si>
  <si>
    <t>2025-08-15 15:36:55</t>
  </si>
  <si>
    <t>73569432293369</t>
  </si>
  <si>
    <t>2025-08-15 15:36:47</t>
  </si>
  <si>
    <t>2025-08-30 15:36:55</t>
  </si>
  <si>
    <t>2025-08-24 22:08:23</t>
  </si>
  <si>
    <t>2025-08-27 17:23:23</t>
  </si>
  <si>
    <t>5c8ca9040000000012030379</t>
  </si>
  <si>
    <t>P770795400699278151</t>
  </si>
  <si>
    <t>2025081523001492241419507831</t>
  </si>
  <si>
    <t>2025-08-15 15:36:48</t>
  </si>
  <si>
    <t>73569432293009</t>
  </si>
  <si>
    <t>2025-08-15 15:36:40</t>
  </si>
  <si>
    <t>2025-08-30 15:36:48</t>
  </si>
  <si>
    <t>2025-08-27 11:48:59</t>
  </si>
  <si>
    <t>;JDX042584202698(收） Z2363-灰色-M*1#</t>
  </si>
  <si>
    <t>P770795092998457951</t>
  </si>
  <si>
    <t>曹*</t>
  </si>
  <si>
    <t>159****0903</t>
  </si>
  <si>
    <t>北京 北京市 大兴区 ***</t>
  </si>
  <si>
    <t>大兴区</t>
  </si>
  <si>
    <t>110115</t>
  </si>
  <si>
    <t>2025081522001491851430393327</t>
  </si>
  <si>
    <t>2025-08-15 15:31:45</t>
  </si>
  <si>
    <t>73569378742529</t>
  </si>
  <si>
    <t>2025-08-15 15:31:33</t>
  </si>
  <si>
    <t>2025-08-30 15:31:45</t>
  </si>
  <si>
    <t>2025-08-24 14:31:36</t>
  </si>
  <si>
    <t>2025-08-26 22:44:43</t>
  </si>
  <si>
    <t>5af8be4211be105a03654a46</t>
  </si>
  <si>
    <t>P770795098086034121</t>
  </si>
  <si>
    <t>张*</t>
  </si>
  <si>
    <t>173****9346</t>
  </si>
  <si>
    <t>310115105</t>
  </si>
  <si>
    <t>689dee2db292580015c19748</t>
  </si>
  <si>
    <t>XHS-3JY78052HM2O</t>
  </si>
  <si>
    <t>689dee2db292580015c19747</t>
  </si>
  <si>
    <t>【老板周】通勤质感 秋冬重磅新品半松紧腰垂感口袋西裤 黑色 L（120-135斤）</t>
  </si>
  <si>
    <t>2025081522001450481431049812</t>
  </si>
  <si>
    <t>2025-08-15 15:31:50</t>
  </si>
  <si>
    <t>73569590703128</t>
  </si>
  <si>
    <t>2025-08-15 15:31:38</t>
  </si>
  <si>
    <t>2025-08-30 15:31:50</t>
  </si>
  <si>
    <t>2025-08-26 00:10:35</t>
  </si>
  <si>
    <t>2025-08-27 17:06:35</t>
  </si>
  <si>
    <t>;SF3280485190011(收） Z2363-黑色-L*1#</t>
  </si>
  <si>
    <t>6626194c0000000003033a71</t>
  </si>
  <si>
    <t>Z2363-黑色-L</t>
  </si>
  <si>
    <t>P770795099673396171</t>
  </si>
  <si>
    <t>涂**</t>
  </si>
  <si>
    <t>138****0622</t>
  </si>
  <si>
    <t>四川省 成都市 双流区 ***</t>
  </si>
  <si>
    <t>成都市</t>
  </si>
  <si>
    <t>双流区</t>
  </si>
  <si>
    <t>510116003000</t>
  </si>
  <si>
    <t>4316002575202508152432784547</t>
  </si>
  <si>
    <t>2025-08-15 15:31:46</t>
  </si>
  <si>
    <t>73569294175907</t>
  </si>
  <si>
    <t>2025-08-15 15:31:39</t>
  </si>
  <si>
    <t>2025-08-30 15:31:46</t>
  </si>
  <si>
    <t>2025-08-23 23:21:46</t>
  </si>
  <si>
    <t>2025-08-27 14:42:54</t>
  </si>
  <si>
    <t>;SF3239924337345(收） Z2363-灰色-M*1#</t>
  </si>
  <si>
    <t>594b18b95e87e7271006d25a</t>
  </si>
  <si>
    <t>P770795098672334381</t>
  </si>
  <si>
    <t>许**</t>
  </si>
  <si>
    <t>186****0536</t>
  </si>
  <si>
    <t>陕西省 榆林市 横山区 ***</t>
  </si>
  <si>
    <t>榆林市</t>
  </si>
  <si>
    <t>横山区</t>
  </si>
  <si>
    <t>610803</t>
  </si>
  <si>
    <t>689dee2db292580015c1974e</t>
  </si>
  <si>
    <t>XHS-3JY7805CH7GG</t>
  </si>
  <si>
    <t>689dee2db292580015c1974d</t>
  </si>
  <si>
    <t>【老板周】通勤质感 秋冬重磅新品半松紧腰垂感口袋西裤 灰色 L（120-135斤）</t>
  </si>
  <si>
    <t>灰色 L（120-135斤）</t>
  </si>
  <si>
    <t>73569432293621</t>
  </si>
  <si>
    <t>2025-08-30 15:31:39</t>
  </si>
  <si>
    <t>2025-08-24 22:07:19</t>
  </si>
  <si>
    <t>2025-08-27 14:52:25</t>
  </si>
  <si>
    <t>5af3cae811be1017e37263a1</t>
  </si>
  <si>
    <t>Z2363-灰色-L</t>
  </si>
  <si>
    <t>P770795096898414161</t>
  </si>
  <si>
    <t>133****8131</t>
  </si>
  <si>
    <t>上海 上海市 闵行区 ***</t>
  </si>
  <si>
    <t>闵行区</t>
  </si>
  <si>
    <t>310112103000</t>
  </si>
  <si>
    <t>4307802469202508157342709693</t>
  </si>
  <si>
    <t>2025-08-15 15:31:41</t>
  </si>
  <si>
    <t>73569287102422</t>
  </si>
  <si>
    <t>2025-08-15 15:31:37</t>
  </si>
  <si>
    <t>2025-08-30 15:31:41</t>
  </si>
  <si>
    <t>2025-08-23 20:57:59</t>
  </si>
  <si>
    <t>;SF1522073487212(收） Z2363-灰色-M*1#</t>
  </si>
  <si>
    <t>5e57b71f000000000100b1ef</t>
  </si>
  <si>
    <t>P770795097742070261</t>
  </si>
  <si>
    <t>丛**</t>
  </si>
  <si>
    <t>135****8332</t>
  </si>
  <si>
    <t>吉林省 长春市 南关区 ***</t>
  </si>
  <si>
    <t>吉林省</t>
  </si>
  <si>
    <t>长春市</t>
  </si>
  <si>
    <t>南关区</t>
  </si>
  <si>
    <t>220102</t>
  </si>
  <si>
    <t>689dee2db292580015c1974a</t>
  </si>
  <si>
    <t>XHS-3JY78054ZIF4</t>
  </si>
  <si>
    <t>689dee2db292580015c19749</t>
  </si>
  <si>
    <t>【老板周】通勤质感 秋冬重磅新品半松紧腰垂感口袋西裤 灰色 S（80-100斤）</t>
  </si>
  <si>
    <t>4326602467202508159812340740</t>
  </si>
  <si>
    <t>2025-08-15 15:31:43</t>
  </si>
  <si>
    <t>73569432292163</t>
  </si>
  <si>
    <t>2025-08-30 15:31:43</t>
  </si>
  <si>
    <t>2025-08-24 22:08:57</t>
  </si>
  <si>
    <t>加急 拦截;73569432292163(收） Z2363-灰色-S*1#</t>
  </si>
  <si>
    <t>590d488150c4b43cbb96e939</t>
  </si>
  <si>
    <t>Z2363-灰色-S</t>
  </si>
  <si>
    <t>P770794938906198011</t>
  </si>
  <si>
    <t>等*</t>
  </si>
  <si>
    <t>159****5950</t>
  </si>
  <si>
    <t>重庆 重庆市 万州区 ***</t>
  </si>
  <si>
    <t>重庆</t>
  </si>
  <si>
    <t>重庆市</t>
  </si>
  <si>
    <t>万州区</t>
  </si>
  <si>
    <t>500101018000</t>
  </si>
  <si>
    <t>4311002265202508153944380222</t>
  </si>
  <si>
    <t>2025-08-15 15:29:08</t>
  </si>
  <si>
    <t>73569432292321</t>
  </si>
  <si>
    <t>2025-08-15 15:28:59</t>
  </si>
  <si>
    <t>2025-08-30 15:29:08</t>
  </si>
  <si>
    <t>2025-08-27 10:43:58</t>
  </si>
  <si>
    <t>5c615f07000000001b013f8e</t>
  </si>
  <si>
    <t>P770794934880461651</t>
  </si>
  <si>
    <t>郭**</t>
  </si>
  <si>
    <t>135****2037</t>
  </si>
  <si>
    <t>广东省 广州市 番禺区 ***</t>
  </si>
  <si>
    <t>广州市</t>
  </si>
  <si>
    <t>番禺区</t>
  </si>
  <si>
    <t>440113012</t>
  </si>
  <si>
    <t>2025081522001403291453515521</t>
  </si>
  <si>
    <t>2025-08-15 15:29:03</t>
  </si>
  <si>
    <t>73569287101396</t>
  </si>
  <si>
    <t>2025-08-15 15:28:55</t>
  </si>
  <si>
    <t>2025-08-30 15:29:03</t>
  </si>
  <si>
    <t>2025-08-26 22:58:44</t>
  </si>
  <si>
    <t>571a4b9a4775a74ab677dd1c</t>
  </si>
  <si>
    <t>P770794618887352631</t>
  </si>
  <si>
    <t>159****5120</t>
  </si>
  <si>
    <t>110102</t>
  </si>
  <si>
    <t>689d92c8956aac0015f36637</t>
  </si>
  <si>
    <t>XHS-2PMHDY7HMXHC</t>
  </si>
  <si>
    <t>689d92c8956aac0015f36636</t>
  </si>
  <si>
    <t>【老板周】舒适经典 新款柔软细腻无缝一体半高领打底衫 黑色 S（80-100斤）</t>
  </si>
  <si>
    <t>4314902586202508158568930623</t>
  </si>
  <si>
    <t>2025-08-15 15:23:44</t>
  </si>
  <si>
    <t>73568871667396</t>
  </si>
  <si>
    <t>2025-08-15 15:23:39</t>
  </si>
  <si>
    <t>2025-08-30 15:23:44</t>
  </si>
  <si>
    <t>2025-08-20 22:31:23</t>
  </si>
  <si>
    <t>2025-08-27 10:33:20</t>
  </si>
  <si>
    <t>5627508c447608016830a2bf</t>
  </si>
  <si>
    <t>Z1248-黑色-S</t>
  </si>
  <si>
    <t>P770794262760472121</t>
  </si>
  <si>
    <t>米*</t>
  </si>
  <si>
    <t>138****1008</t>
  </si>
  <si>
    <t>江苏省 苏州市 太仓市 ***</t>
  </si>
  <si>
    <t>苏州市</t>
  </si>
  <si>
    <t>太仓市</t>
  </si>
  <si>
    <t>320585403000</t>
  </si>
  <si>
    <t>4319502252202508152954273060</t>
  </si>
  <si>
    <t>2025-08-15 15:17:47</t>
  </si>
  <si>
    <t>73568871666050</t>
  </si>
  <si>
    <t>2025-08-15 15:17:43</t>
  </si>
  <si>
    <t>2025-08-30 15:17:47</t>
  </si>
  <si>
    <t>;JDX042520199702(收） Z1248-黑色-S*1#</t>
  </si>
  <si>
    <t>58a2e1dc69aa52071ba94c00</t>
  </si>
  <si>
    <t>P770794525672392531</t>
  </si>
  <si>
    <t>吴**</t>
  </si>
  <si>
    <t>188****1225</t>
  </si>
  <si>
    <t>广东省 珠海市 香洲区 ***</t>
  </si>
  <si>
    <t>珠海市</t>
  </si>
  <si>
    <t>香洲区</t>
  </si>
  <si>
    <t>440402102000</t>
  </si>
  <si>
    <t>2025081523001435301455746655</t>
  </si>
  <si>
    <t>2025-08-15 15:22:16</t>
  </si>
  <si>
    <t>73568735150528</t>
  </si>
  <si>
    <t>2025-08-15 15:22:05</t>
  </si>
  <si>
    <t>2025-08-30 15:22:16</t>
  </si>
  <si>
    <t>5dd08c5f0000000001004592</t>
  </si>
  <si>
    <t>P770794257861206101</t>
  </si>
  <si>
    <t>181****8680</t>
  </si>
  <si>
    <t>310113103000</t>
  </si>
  <si>
    <t>4313502286202508158189547016</t>
  </si>
  <si>
    <t>2025-08-15 15:17:45</t>
  </si>
  <si>
    <t>73568871665081</t>
  </si>
  <si>
    <t>2025-08-15 15:17:38</t>
  </si>
  <si>
    <t>2025-08-30 15:17:45</t>
  </si>
  <si>
    <t>2025-08-27 09:37:58</t>
  </si>
  <si>
    <t>红旗</t>
  </si>
  <si>
    <t>Z1248小礼物;补发(6127889)#;补发73569574884104</t>
  </si>
  <si>
    <t>5a589de34eacab61267bc6ae</t>
  </si>
  <si>
    <t>P770794446611478281</t>
  </si>
  <si>
    <t>郝**</t>
  </si>
  <si>
    <t>150****1320</t>
  </si>
  <si>
    <t>内蒙古自治区 呼和浩特市 回民区 ***</t>
  </si>
  <si>
    <t>呼和浩特市</t>
  </si>
  <si>
    <t>回民区</t>
  </si>
  <si>
    <t>150103</t>
  </si>
  <si>
    <t>2025081522001419551423053635</t>
  </si>
  <si>
    <t>2025-08-15 15:20:56</t>
  </si>
  <si>
    <t>73568875428052</t>
  </si>
  <si>
    <t>2025-08-15 15:20:46</t>
  </si>
  <si>
    <t>2025-08-30 15:20:56</t>
  </si>
  <si>
    <t>;73569356446260(收） Z2378-花纱色-S*1#</t>
  </si>
  <si>
    <t>5da81c91000000000100a656</t>
  </si>
  <si>
    <t>P770794260083193631</t>
  </si>
  <si>
    <t>7**</t>
  </si>
  <si>
    <t>136****1561</t>
  </si>
  <si>
    <t>广西壮族自治区 柳州市 城中区 ***</t>
  </si>
  <si>
    <t>广西壮族自治区</t>
  </si>
  <si>
    <t>柳州市</t>
  </si>
  <si>
    <t>城中区</t>
  </si>
  <si>
    <t>450202005000</t>
  </si>
  <si>
    <t>4332402475202508159443479448</t>
  </si>
  <si>
    <t>73568871666182</t>
  </si>
  <si>
    <t>2025-08-15 15:17:40</t>
  </si>
  <si>
    <t>2025-08-27 12:31:45</t>
  </si>
  <si>
    <t>是</t>
  </si>
  <si>
    <t>Z1248小礼物;补发(6127893)#;补发73569574884385</t>
  </si>
  <si>
    <t>5ace005b4eacab4013550665</t>
  </si>
  <si>
    <t>P770794613000337021</t>
  </si>
  <si>
    <t>2025081522001470641402028241</t>
  </si>
  <si>
    <t>2025-08-15 15:23:40</t>
  </si>
  <si>
    <t>73568864925236</t>
  </si>
  <si>
    <t>2025-08-15 15:23:33</t>
  </si>
  <si>
    <t>2025-08-30 15:23:40</t>
  </si>
  <si>
    <t>2025-08-27 11:14:53</t>
  </si>
  <si>
    <t>P770794057829472761</t>
  </si>
  <si>
    <t>4303302579202508152843431070</t>
  </si>
  <si>
    <t>2025-08-15 15:14:23</t>
  </si>
  <si>
    <t>73568874677040</t>
  </si>
  <si>
    <t>2025-08-15 15:14:18</t>
  </si>
  <si>
    <t>2025-08-30 15:14:23</t>
  </si>
  <si>
    <t>2025-08-20 23:49:17</t>
  </si>
  <si>
    <t>;JDX042520199702(收） Z2378-花纱色-S*1#</t>
  </si>
  <si>
    <t>P770794027175352691</t>
  </si>
  <si>
    <t>4313702240202508155196574523</t>
  </si>
  <si>
    <t>2025-08-15 15:13:53</t>
  </si>
  <si>
    <t>73568874677514</t>
  </si>
  <si>
    <t>2025-08-15 15:13:47</t>
  </si>
  <si>
    <t>2025-08-30 15:13:53</t>
  </si>
  <si>
    <t>2025-08-27 10:33:35</t>
  </si>
  <si>
    <t>P770794042509304891</t>
  </si>
  <si>
    <t>138****6762</t>
  </si>
  <si>
    <t>新疆维吾尔自治区 乌鲁木齐市 水磨沟区 ***</t>
  </si>
  <si>
    <t>水磨沟区</t>
  </si>
  <si>
    <t>650105</t>
  </si>
  <si>
    <t>4330102235202508158090006582</t>
  </si>
  <si>
    <t>2025-08-15 15:14:10</t>
  </si>
  <si>
    <t>73568871665896</t>
  </si>
  <si>
    <t>2025-08-15 15:14:02</t>
  </si>
  <si>
    <t>2025-08-30 15:14:10</t>
  </si>
  <si>
    <t>2025-08-20 22:37:00</t>
  </si>
  <si>
    <t>2025-08-25 00:10:29</t>
  </si>
  <si>
    <t>;SF3230042266135(收） Z2378-花纱色-M*1#</t>
  </si>
  <si>
    <t>5cde3dda00000000050330bd</t>
  </si>
  <si>
    <t>P770794022057206671</t>
  </si>
  <si>
    <t>纪**</t>
  </si>
  <si>
    <t>180****2785</t>
  </si>
  <si>
    <t>重庆 重庆市 沙坪坝区 ***</t>
  </si>
  <si>
    <t>沙坪坝区</t>
  </si>
  <si>
    <t>500106016000</t>
  </si>
  <si>
    <t>2025081522001420241411120796</t>
  </si>
  <si>
    <t>2025-08-15 15:13:50</t>
  </si>
  <si>
    <t>73568735151062</t>
  </si>
  <si>
    <t>2025-08-15 15:13:42</t>
  </si>
  <si>
    <t>2025-08-30 15:13:50</t>
  </si>
  <si>
    <t>2025-08-19 23:25:35</t>
  </si>
  <si>
    <t>2025-08-26 23:25:35</t>
  </si>
  <si>
    <t>567cb8f4e00dd861900f2723</t>
  </si>
  <si>
    <t>P770794018572034931</t>
  </si>
  <si>
    <t>胖*</t>
  </si>
  <si>
    <t>158****0396</t>
  </si>
  <si>
    <t>浙江省 温州市 苍南县 ***</t>
  </si>
  <si>
    <t>温州市</t>
  </si>
  <si>
    <t>苍南县</t>
  </si>
  <si>
    <t>330327100000</t>
  </si>
  <si>
    <t>4348502245202508159628346390</t>
  </si>
  <si>
    <t>2025-08-15 15:13:44</t>
  </si>
  <si>
    <t>73568735151312</t>
  </si>
  <si>
    <t>2025-08-15 15:13:38</t>
  </si>
  <si>
    <t>2025-08-30 15:13:44</t>
  </si>
  <si>
    <t>2025-08-19 23:37:09</t>
  </si>
  <si>
    <t>2025-08-26 23:37:09</t>
  </si>
  <si>
    <t>62788d0c0000000010005c63</t>
  </si>
  <si>
    <t>P770794019971106161</t>
  </si>
  <si>
    <t>138****0996</t>
  </si>
  <si>
    <t>4343402237202508155774463952</t>
  </si>
  <si>
    <t>2025-08-15 15:13:46</t>
  </si>
  <si>
    <t>73568735151287</t>
  </si>
  <si>
    <t>2025-08-15 15:13:40</t>
  </si>
  <si>
    <t>2025-08-30 15:13:46</t>
  </si>
  <si>
    <t>5a791d6ddb2e6075f46e5388</t>
  </si>
  <si>
    <t>P770794020008329151</t>
  </si>
  <si>
    <t>杨**</t>
  </si>
  <si>
    <t>152****7878</t>
  </si>
  <si>
    <t>山东省 滨州市 沾化区 ***</t>
  </si>
  <si>
    <t>滨州市</t>
  </si>
  <si>
    <t>沾化区</t>
  </si>
  <si>
    <t>371603001000</t>
  </si>
  <si>
    <t>2025081523001498651431776212</t>
  </si>
  <si>
    <t>2025-08-15 15:14:06</t>
  </si>
  <si>
    <t>73568874677726</t>
  </si>
  <si>
    <t>2025-08-30 15:14:06</t>
  </si>
  <si>
    <t>;JDX042515159145(收） Z2378-花纱色-S*1#</t>
  </si>
  <si>
    <t>5a9517cc4eacab5b758a2332</t>
  </si>
  <si>
    <t>P770793869532382601</t>
  </si>
  <si>
    <t>180****1532</t>
  </si>
  <si>
    <t>上海 上海市 普陀区 ***</t>
  </si>
  <si>
    <t>普陀区</t>
  </si>
  <si>
    <t>310107</t>
  </si>
  <si>
    <t>4339602479202508159867562177</t>
  </si>
  <si>
    <t>2025-08-15 15:11:16</t>
  </si>
  <si>
    <t>73568735150543</t>
  </si>
  <si>
    <t>2025-08-15 15:11:09</t>
  </si>
  <si>
    <t>2025-08-30 15:11:16</t>
  </si>
  <si>
    <t>;SF3230865560918(收） Z2378-灰色-M*1#</t>
  </si>
  <si>
    <t>5b2e5e756b58b75a69c5fce8</t>
  </si>
  <si>
    <t>P770794020316255331</t>
  </si>
  <si>
    <t>9*****</t>
  </si>
  <si>
    <t>180****7809</t>
  </si>
  <si>
    <t>广东省 中山市 板芙镇 ***</t>
  </si>
  <si>
    <t>中山市</t>
  </si>
  <si>
    <t>板芙镇</t>
  </si>
  <si>
    <t>442000115000</t>
  </si>
  <si>
    <t>4319602253202508154825309425</t>
  </si>
  <si>
    <t>73568735151141</t>
  </si>
  <si>
    <t>5c27b7140000000005039e8f</t>
  </si>
  <si>
    <t>P770794018587272501</t>
  </si>
  <si>
    <t>139****7729</t>
  </si>
  <si>
    <t>浙江省 嘉兴市 南湖区 ***</t>
  </si>
  <si>
    <t>嘉兴市</t>
  </si>
  <si>
    <t>南湖区</t>
  </si>
  <si>
    <t>330402014</t>
  </si>
  <si>
    <t>2025081522001401441437615721</t>
  </si>
  <si>
    <t>73568735151019</t>
  </si>
  <si>
    <t>;773373691988931(收） Z2378-花纱色-M*1#</t>
  </si>
  <si>
    <t>5d1dcd5f0000000016022c66</t>
  </si>
  <si>
    <t>P770794019357298741</t>
  </si>
  <si>
    <t>黄**</t>
  </si>
  <si>
    <t>138****8611</t>
  </si>
  <si>
    <t>江苏省 泰州市 靖江市 ***</t>
  </si>
  <si>
    <t>泰州市</t>
  </si>
  <si>
    <t>靖江市</t>
  </si>
  <si>
    <t>321282</t>
  </si>
  <si>
    <t>2025081522001418651441975041</t>
  </si>
  <si>
    <t>2025-08-15 15:13:45</t>
  </si>
  <si>
    <t>73568735150252</t>
  </si>
  <si>
    <t>2025-08-15 15:13:39</t>
  </si>
  <si>
    <t>2025-08-30 15:13:45</t>
  </si>
  <si>
    <t>5bae3990dc55cf000120d032</t>
  </si>
  <si>
    <t>P770794018286221631</t>
  </si>
  <si>
    <t>137****8275</t>
  </si>
  <si>
    <t>440113015000</t>
  </si>
  <si>
    <t>2025081523001422461431672573</t>
  </si>
  <si>
    <t>2025-08-15 15:13:48</t>
  </si>
  <si>
    <t>73568735150648</t>
  </si>
  <si>
    <t>2025-08-30 15:13:48</t>
  </si>
  <si>
    <t>5f8ad074000000000101c803</t>
  </si>
  <si>
    <t>P770794020469428631</t>
  </si>
  <si>
    <t>s***</t>
  </si>
  <si>
    <t>136****8881</t>
  </si>
  <si>
    <t>四川省 成都市 郫都区 ***</t>
  </si>
  <si>
    <t>郫都区</t>
  </si>
  <si>
    <t>510124108</t>
  </si>
  <si>
    <t>2025081522001444341440753302</t>
  </si>
  <si>
    <t>73568735150081</t>
  </si>
  <si>
    <t>2025-08-30 15:13:47</t>
  </si>
  <si>
    <t>5481bc0cd6e4a968faed64db</t>
  </si>
  <si>
    <t>P770794019497300331</t>
  </si>
  <si>
    <t>丁**</t>
  </si>
  <si>
    <t>137****8267</t>
  </si>
  <si>
    <t>310113109000</t>
  </si>
  <si>
    <t>4350902465202508157181310652</t>
  </si>
  <si>
    <t>73568735150597</t>
  </si>
  <si>
    <t>5558a9d167bc653fc2f3e4ab</t>
  </si>
  <si>
    <t>P770794019068036511</t>
  </si>
  <si>
    <t>张</t>
  </si>
  <si>
    <t>157****8966</t>
  </si>
  <si>
    <t>内蒙古自治区 鄂尔多斯市 伊金霍洛旗 ***</t>
  </si>
  <si>
    <t>伊金霍洛旗</t>
  </si>
  <si>
    <t>150627</t>
  </si>
  <si>
    <t>2025081523001418451412697964</t>
  </si>
  <si>
    <t>73568735150939</t>
  </si>
  <si>
    <t>59dcb65fde5fb43d22d6e00f</t>
  </si>
  <si>
    <t>P770794018206458841</t>
  </si>
  <si>
    <t>阎**</t>
  </si>
  <si>
    <t>139****3167</t>
  </si>
  <si>
    <t>甘肃省 兰州市 城关区 ***</t>
  </si>
  <si>
    <t>城关区</t>
  </si>
  <si>
    <t>620102</t>
  </si>
  <si>
    <t>2025081522001415121422827257</t>
  </si>
  <si>
    <t>73568735151466</t>
  </si>
  <si>
    <t>;JDX042497264569(收） Z2378-花纱色-M*1#</t>
  </si>
  <si>
    <t>5b601fae4eacab6cf4db9917</t>
  </si>
  <si>
    <t>P770794017000112911</t>
  </si>
  <si>
    <t>小**</t>
  </si>
  <si>
    <t>138****1113</t>
  </si>
  <si>
    <t>江苏省 苏州市 姑苏区 ***</t>
  </si>
  <si>
    <t>姑苏区</t>
  </si>
  <si>
    <t>320508024000</t>
  </si>
  <si>
    <t>2025081522001401121429359236</t>
  </si>
  <si>
    <t>73568735151417</t>
  </si>
  <si>
    <t>2025-08-15 15:13:37</t>
  </si>
  <si>
    <t>560a02243397db0e6720e25a</t>
  </si>
  <si>
    <t>P770643835711413521</t>
  </si>
  <si>
    <t>181****5302</t>
  </si>
  <si>
    <t>河南省 郑州市 郑州经济技术开发区 ***</t>
  </si>
  <si>
    <t>河南省</t>
  </si>
  <si>
    <t>郑州市</t>
  </si>
  <si>
    <t>郑州经济技术开发区</t>
  </si>
  <si>
    <t>410171561000</t>
  </si>
  <si>
    <t>2025081322001479671408881982</t>
  </si>
  <si>
    <t>2025-08-13 21:30:46</t>
  </si>
  <si>
    <t>73568874685735</t>
  </si>
  <si>
    <t>2025-08-13 21:30:36</t>
  </si>
  <si>
    <t>2025-08-28 21:30:46</t>
  </si>
  <si>
    <t>2025-08-20 23:50:55</t>
  </si>
  <si>
    <t>;SF3289570487093(收） Z1576-黑色-S*1
Z1645-黑色-S*1#</t>
  </si>
  <si>
    <t>58c5584c5e87e743058ba819</t>
  </si>
  <si>
    <t>6896fe48057f570015d29243</t>
  </si>
  <si>
    <t>XHS-2Z0D3IBQCYKG</t>
  </si>
  <si>
    <t>6896fe48057f570015d29242</t>
  </si>
  <si>
    <t>【老板周】时髦撞色 春季新款假两件显瘦长袖打底T恤上衣 黑色 S（80-100斤）</t>
  </si>
  <si>
    <t>73569012203279</t>
  </si>
  <si>
    <t>2025-08-21 23:19:25</t>
  </si>
  <si>
    <t>Z1576-黑色-S</t>
  </si>
  <si>
    <t>6896fe5c3b9d47001590a857</t>
  </si>
  <si>
    <t>XHS-31AJPPHCTL34</t>
  </si>
  <si>
    <t>6896fe5c3b9d47001590a856</t>
  </si>
  <si>
    <t>【老板周】日系极简 春季新品圆领简约设计感无袖马甲 黑色 S（80-100斤）</t>
  </si>
  <si>
    <t>Z1640-黑色-S</t>
  </si>
  <si>
    <t>6896fe5c3b9d47001590a855</t>
  </si>
  <si>
    <t>【老板周】日系极简 春季新品圆领简约设计感无袖马甲</t>
  </si>
  <si>
    <t>P770645825682316701</t>
  </si>
  <si>
    <t>罗</t>
  </si>
  <si>
    <t>139****6727</t>
  </si>
  <si>
    <t>310117105000</t>
  </si>
  <si>
    <t>4303502284202508134947847381</t>
  </si>
  <si>
    <t>2025-08-13 22:03:51</t>
  </si>
  <si>
    <t>73569012203440</t>
  </si>
  <si>
    <t>2025-08-13 22:03:45</t>
  </si>
  <si>
    <t>2025-08-28 22:03:51</t>
  </si>
  <si>
    <t>2025-08-27 06:17:55</t>
  </si>
  <si>
    <t>5e940fa200000000010067c3</t>
  </si>
  <si>
    <t>P770645880641023381</t>
  </si>
  <si>
    <t>陈*</t>
  </si>
  <si>
    <t>177****1409</t>
  </si>
  <si>
    <t>重庆 重庆市 江津区 ***</t>
  </si>
  <si>
    <t>江津区</t>
  </si>
  <si>
    <t>500116006</t>
  </si>
  <si>
    <t>4348702586202508138748925665</t>
  </si>
  <si>
    <t>2025-08-13 22:04:56</t>
  </si>
  <si>
    <t>73569012202336</t>
  </si>
  <si>
    <t>2025-08-13 22:04:40</t>
  </si>
  <si>
    <t>2025-08-28 22:04:56</t>
  </si>
  <si>
    <t>2025-08-21 23:19:26</t>
  </si>
  <si>
    <t>;JDX042521186517(收） Z1576-黑色-M*1#</t>
  </si>
  <si>
    <t>618892ca0000000010007c31</t>
  </si>
  <si>
    <t>P770638780093456882</t>
  </si>
  <si>
    <t>181****8041</t>
  </si>
  <si>
    <t>440306004</t>
  </si>
  <si>
    <t>6896fe335cb63500154f597a</t>
  </si>
  <si>
    <t>XHS-2Z0FTLHATY4G</t>
  </si>
  <si>
    <t>6896fe335cb63500154f5979</t>
  </si>
  <si>
    <t>【老板周】松弛感 春夏新款简约休闲宽松阔腿弯刀私服裤 黑色 M（100-120斤）</t>
  </si>
  <si>
    <t>2025-08-13 20:06:25</t>
  </si>
  <si>
    <t>73568731902560</t>
  </si>
  <si>
    <t>2025-08-13 20:06:20</t>
  </si>
  <si>
    <t>2025-08-28 20:06:25</t>
  </si>
  <si>
    <t>2025-08-19 22:48:51</t>
  </si>
  <si>
    <t>2025-08-26 22:48:51</t>
  </si>
  <si>
    <t>5ad200f54eacab2e0d3580f1</t>
  </si>
  <si>
    <t>Z1581-黑色-M</t>
  </si>
  <si>
    <t>6896fe335cb63500154f5970</t>
  </si>
  <si>
    <t>【老板周】松弛感 春夏新款简约休闲宽松阔腿弯刀私服裤</t>
  </si>
  <si>
    <t>P770637065043122801</t>
  </si>
  <si>
    <t>橘*</t>
  </si>
  <si>
    <t>188****3517</t>
  </si>
  <si>
    <t>广西壮族自治区 南宁市 青秀区 ***</t>
  </si>
  <si>
    <t>南宁市</t>
  </si>
  <si>
    <t>青秀区</t>
  </si>
  <si>
    <t>450103</t>
  </si>
  <si>
    <t>6896fe335cb63500154f5974</t>
  </si>
  <si>
    <t>XHS-2Z0FTJ3XWUM8</t>
  </si>
  <si>
    <t>6896fe335cb63500154f5973</t>
  </si>
  <si>
    <t>【老板周】松弛感 春夏新款简约休闲宽松阔腿弯刀私服裤 白色 M（100-120斤）</t>
  </si>
  <si>
    <t>白色 M（100-120斤）</t>
  </si>
  <si>
    <t>4350602266202508138211126988</t>
  </si>
  <si>
    <t>2025-08-13 19:38:00</t>
  </si>
  <si>
    <t>73568731902440</t>
  </si>
  <si>
    <t>2025-08-13 19:37:45</t>
  </si>
  <si>
    <t>2025-08-28 19:38:00</t>
  </si>
  <si>
    <t>2025-08-19 22:29:58</t>
  </si>
  <si>
    <t>2025-08-26 22:29:58</t>
  </si>
  <si>
    <t>57629b8f50c4b43c0b5f0f18</t>
  </si>
  <si>
    <t>Z1581-白色-M</t>
  </si>
  <si>
    <t>P770629227939064881</t>
  </si>
  <si>
    <t>冯**</t>
  </si>
  <si>
    <t>156****4106</t>
  </si>
  <si>
    <t>北京 北京市 平谷区 ***</t>
  </si>
  <si>
    <t>平谷区</t>
  </si>
  <si>
    <t>110117005000</t>
  </si>
  <si>
    <t>6894abfd581ea2001544ce83</t>
  </si>
  <si>
    <t>XHS-3IRG3JNKD98G</t>
  </si>
  <si>
    <t>6894abfd581ea2001544ce82</t>
  </si>
  <si>
    <t>【老板周】法式复古 秋冬新品不规则纹理白天鹅针织上衣 米白色 L（120-135斤）</t>
  </si>
  <si>
    <t>米白色 L（120-135斤）</t>
  </si>
  <si>
    <t>169.00</t>
  </si>
  <si>
    <t>2025-08-13 17:27:09</t>
  </si>
  <si>
    <t>73569291685753</t>
  </si>
  <si>
    <t>2025-08-13 17:27:08</t>
  </si>
  <si>
    <t>2025-08-28 17:27:09</t>
  </si>
  <si>
    <t>2025-08-23 22:17:49</t>
  </si>
  <si>
    <t>2025-08-27 07:04:23</t>
  </si>
  <si>
    <t>60364dbb0000000001000844</t>
  </si>
  <si>
    <t>Z2333-米白色-L</t>
  </si>
  <si>
    <t>6894abfd581ea2001544ce7d</t>
  </si>
  <si>
    <t>【老板周】法式复古 秋冬新品不规则纹理白天鹅针织上衣</t>
  </si>
  <si>
    <t>P770633097859472931</t>
  </si>
  <si>
    <t>文**</t>
  </si>
  <si>
    <t>138****5050</t>
  </si>
  <si>
    <t>辽宁省 沈阳市 苏家屯区 ***</t>
  </si>
  <si>
    <t>苏家屯区</t>
  </si>
  <si>
    <t>210111</t>
  </si>
  <si>
    <t>6896fe335cb63500154f597c</t>
  </si>
  <si>
    <t>XHS-2Z0FTM8FFZEO</t>
  </si>
  <si>
    <t>6896fe335cb63500154f597b</t>
  </si>
  <si>
    <t>【老板周】松弛感 春夏新款简约休闲宽松阔腿弯刀私服裤 黑色 L（120-135斤）</t>
  </si>
  <si>
    <t>2025081322001471731419169749</t>
  </si>
  <si>
    <t>2025-08-13 18:31:44</t>
  </si>
  <si>
    <t>73568731902281</t>
  </si>
  <si>
    <t>2025-08-13 18:31:38</t>
  </si>
  <si>
    <t>2025-08-28 18:31:44</t>
  </si>
  <si>
    <t>2025-08-19 22:17:32</t>
  </si>
  <si>
    <t>2025-08-26 22:17:33</t>
  </si>
  <si>
    <t>;772046773695972(收） Z1581-黑色-L*1#</t>
  </si>
  <si>
    <t>5c2cd2ef0000000007037223</t>
  </si>
  <si>
    <t>Z1581-黑色-L</t>
  </si>
  <si>
    <t>P770628663394212021</t>
  </si>
  <si>
    <t>风*</t>
  </si>
  <si>
    <t>182****6980</t>
  </si>
  <si>
    <t>河南省 南阳市 唐河县 ***</t>
  </si>
  <si>
    <t>南阳市</t>
  </si>
  <si>
    <t>唐河县</t>
  </si>
  <si>
    <t>411328101000</t>
  </si>
  <si>
    <t>6894abfd581ea2001544ce81</t>
  </si>
  <si>
    <t>XHS-3IRG3JNFDGJK</t>
  </si>
  <si>
    <t>6894abfd581ea2001544ce80</t>
  </si>
  <si>
    <t>【老板周】法式复古 秋冬新品不规则纹理白天鹅针织上衣 米白色 M（100-120斤）</t>
  </si>
  <si>
    <t>米白色 M（100-120斤）</t>
  </si>
  <si>
    <t>2025081322001411221414995144</t>
  </si>
  <si>
    <t>2025-08-13 17:17:55</t>
  </si>
  <si>
    <t>73569291686316</t>
  </si>
  <si>
    <t>2025-08-13 17:17:43</t>
  </si>
  <si>
    <t>2025-08-28 17:17:55</t>
  </si>
  <si>
    <t>2025-08-23 22:19:03</t>
  </si>
  <si>
    <t>;SF3230189229018(收） Z2333-米白色-M*1#</t>
  </si>
  <si>
    <t>5fc21a700000000001005077</t>
  </si>
  <si>
    <t>Z2333-米白色-M</t>
  </si>
  <si>
    <t>P770625887719453891</t>
  </si>
  <si>
    <t>138****1310</t>
  </si>
  <si>
    <t>天津 天津市 河西区 ***</t>
  </si>
  <si>
    <t>河西区</t>
  </si>
  <si>
    <t>120103003</t>
  </si>
  <si>
    <t>689b434256a70c0015776468</t>
  </si>
  <si>
    <t>XHS-3JR16LNXWRGG</t>
  </si>
  <si>
    <t>689b434256a70c0015776467</t>
  </si>
  <si>
    <t>LAO BAN ZHOU 【老板周】休闲经典 秋冬新品时髦百搭牛仔破洞背带裤 牛仔蓝色 L（120-135斤）</t>
  </si>
  <si>
    <t>牛仔蓝色 L（120-135斤）</t>
  </si>
  <si>
    <t>399.00</t>
  </si>
  <si>
    <t>2025081322001463681445754321</t>
  </si>
  <si>
    <t>2025-08-13 16:31:38</t>
  </si>
  <si>
    <t>73568436949837</t>
  </si>
  <si>
    <t>2025-08-13 16:31:27</t>
  </si>
  <si>
    <t>2025-08-28 16:31:38</t>
  </si>
  <si>
    <t>2025-08-17 20:43:59</t>
  </si>
  <si>
    <t>2025-08-24 20:43:59</t>
  </si>
  <si>
    <t>;JDX042558273617(收） Z2284-牛仔蓝色-L*1#</t>
  </si>
  <si>
    <t>574a54625e87e71443ed2da8</t>
  </si>
  <si>
    <t>Z2284-牛仔蓝色-L</t>
  </si>
  <si>
    <t>689b434256a70c0015776462</t>
  </si>
  <si>
    <t>【老板周】休闲经典 秋冬新品时髦百搭牛仔破洞背带裤</t>
  </si>
  <si>
    <t>P770388218319370581</t>
  </si>
  <si>
    <t>唐**</t>
  </si>
  <si>
    <t>138****6293</t>
  </si>
  <si>
    <t>浙江省 绍兴市 越城区 ***</t>
  </si>
  <si>
    <t>越城区</t>
  </si>
  <si>
    <t>330602006000</t>
  </si>
  <si>
    <t>6894abfd581ea2001544ce7f</t>
  </si>
  <si>
    <t>XHS-3IRG3JNADNUO</t>
  </si>
  <si>
    <t>6894abfd581ea2001544ce7e</t>
  </si>
  <si>
    <t>【老板周】法式复古 秋冬新品不规则纹理白天鹅针织上衣 米白色 S（80-100斤）</t>
  </si>
  <si>
    <t>米白色 S（80-100斤）</t>
  </si>
  <si>
    <t>4304702266202508100505551309</t>
  </si>
  <si>
    <t>2025-08-10 22:30:26</t>
  </si>
  <si>
    <t>73568735150240</t>
  </si>
  <si>
    <t>2025-08-10 22:30:18</t>
  </si>
  <si>
    <t>2025-08-25 22:30:26</t>
  </si>
  <si>
    <t>2025-08-19 23:24:11</t>
  </si>
  <si>
    <t>2025-08-26 23:24:11</t>
  </si>
  <si>
    <t>5890a2d76a6a690a36528a3e</t>
  </si>
  <si>
    <t>Z2333-米白色-S</t>
  </si>
  <si>
    <t>P770388132291000981</t>
  </si>
  <si>
    <t>J******</t>
  </si>
  <si>
    <t>150****6385</t>
  </si>
  <si>
    <t>辽宁省 沈阳市 和平区 ***</t>
  </si>
  <si>
    <t>和平区</t>
  </si>
  <si>
    <t>210102</t>
  </si>
  <si>
    <t>2025081022001411621442949422</t>
  </si>
  <si>
    <t>2025-08-10 22:28:58</t>
  </si>
  <si>
    <t>73568735151325</t>
  </si>
  <si>
    <t>2025-08-10 22:28:52</t>
  </si>
  <si>
    <t>2025-08-25 22:28:58</t>
  </si>
  <si>
    <t>2025-08-19 23:24:06</t>
  </si>
  <si>
    <t>2025-08-26 23:24:06</t>
  </si>
  <si>
    <t>5759b61150c4b432a713734c</t>
  </si>
  <si>
    <t>P770381824712038751</t>
  </si>
  <si>
    <t>已改地址</t>
  </si>
  <si>
    <t>贺*</t>
  </si>
  <si>
    <t>136****5810</t>
  </si>
  <si>
    <t>山东省 青岛市 市北区 ***</t>
  </si>
  <si>
    <t>青岛市</t>
  </si>
  <si>
    <t>市北区</t>
  </si>
  <si>
    <t>370203035000</t>
  </si>
  <si>
    <t>68970ccdfe39ac0015b91516</t>
  </si>
  <si>
    <t>XHS-31Z6WPZ8ZG1S</t>
  </si>
  <si>
    <t>68970ccdfe39ac0015b91515</t>
  </si>
  <si>
    <t>【老板周】复古英伦 极简设计立体剪裁无领廓形外套 黑色 L（120-135斤）</t>
  </si>
  <si>
    <t>499.00</t>
  </si>
  <si>
    <t>4324602291202508101380702260</t>
  </si>
  <si>
    <t>2025-08-10 20:43:53</t>
  </si>
  <si>
    <t>73568444479401</t>
  </si>
  <si>
    <t>2025-08-10 20:43:44</t>
  </si>
  <si>
    <t>2025-08-25 20:43:53</t>
  </si>
  <si>
    <t>2025-08-17 22:17:32</t>
  </si>
  <si>
    <t>2025-08-24 22:17:32</t>
  </si>
  <si>
    <t>;JDX042514972942(收） Z1688-黑色-L*1#</t>
  </si>
  <si>
    <t>598eec1f5e87e77b1b9d8e14</t>
  </si>
  <si>
    <t>Z1688-黑色-L</t>
  </si>
  <si>
    <t>68970ccdfe39ac0015b91510</t>
  </si>
  <si>
    <t>【老板周】复古英伦 极简设计立体剪裁无领廓形外套</t>
  </si>
  <si>
    <t>P770450992956407491</t>
  </si>
  <si>
    <t>令*</t>
  </si>
  <si>
    <t>139****0198</t>
  </si>
  <si>
    <t>江苏省 南京市 鼓楼区 ***</t>
  </si>
  <si>
    <t>鼓楼区</t>
  </si>
  <si>
    <t>320106004000</t>
  </si>
  <si>
    <t>6896fe0c6d08080015500897</t>
  </si>
  <si>
    <t>XHS-3EHYVMDISL4W</t>
  </si>
  <si>
    <t>6896fe0c6d08080015500896</t>
  </si>
  <si>
    <t>【老板周】夏季轻盈 新品圆领气质轻薄不规则透气上衣 黑色 XL（120-135斤）</t>
  </si>
  <si>
    <t>黑色 XL（120-135斤）</t>
  </si>
  <si>
    <t>4350202571202508117674522708</t>
  </si>
  <si>
    <t>2025-08-11 15:56:40</t>
  </si>
  <si>
    <t>73568587024805</t>
  </si>
  <si>
    <t>2025-08-11 15:56:33</t>
  </si>
  <si>
    <t>2025-08-26 15:56:40</t>
  </si>
  <si>
    <t>2025-08-18 21:22:40</t>
  </si>
  <si>
    <t>2025-08-25 21:22:40</t>
  </si>
  <si>
    <t>;JDX042627226783(收） Z2183-黑色-XL*1#</t>
  </si>
  <si>
    <t>590833fb6a6a692fae5bf779</t>
  </si>
  <si>
    <t>Z2183-黑色-XL</t>
  </si>
  <si>
    <t>P770367158896295821</t>
  </si>
  <si>
    <t>任**</t>
  </si>
  <si>
    <t>155****7855</t>
  </si>
  <si>
    <t>河南省 驻马店市 驿城区 ***</t>
  </si>
  <si>
    <t>驻马店市</t>
  </si>
  <si>
    <t>驿城区</t>
  </si>
  <si>
    <t>411702560</t>
  </si>
  <si>
    <t>159.00</t>
  </si>
  <si>
    <t>4301302476202508106956897163</t>
  </si>
  <si>
    <t>2025-08-10 16:39:25</t>
  </si>
  <si>
    <t>73568735151047</t>
  </si>
  <si>
    <t>2025-08-10 16:39:19</t>
  </si>
  <si>
    <t>2025-08-25 16:39:25</t>
  </si>
  <si>
    <t>59e062c844363b30f6a635bc</t>
  </si>
  <si>
    <t>P770368565398098151</t>
  </si>
  <si>
    <t>孙*</t>
  </si>
  <si>
    <t>186****6469</t>
  </si>
  <si>
    <t>210112019000</t>
  </si>
  <si>
    <t>6896fe335cb63500154f5972</t>
  </si>
  <si>
    <t>XHS-2Z0FTICW0FSW</t>
  </si>
  <si>
    <t>6896fe335cb63500154f5971</t>
  </si>
  <si>
    <t>【老板周】松弛感 春夏新款简约休闲宽松阔腿弯刀私服裤 白色 S（80-100斤）</t>
  </si>
  <si>
    <t>白色 S（80-100斤）</t>
  </si>
  <si>
    <t>2025081022001423741445185826</t>
  </si>
  <si>
    <t>2025-08-10 17:02:58</t>
  </si>
  <si>
    <t>73568735151182</t>
  </si>
  <si>
    <t>2025-08-10 17:02:45</t>
  </si>
  <si>
    <t>2025-08-25 17:02:58</t>
  </si>
  <si>
    <t>2025-08-19 23:42:34</t>
  </si>
  <si>
    <t>2025-08-26 23:42:35</t>
  </si>
  <si>
    <t>59ff31844eacab1697d24a79</t>
  </si>
  <si>
    <t>Z1581-白色-S</t>
  </si>
  <si>
    <t>P770376704723157681</t>
  </si>
  <si>
    <t>159****8552</t>
  </si>
  <si>
    <t>6896fe5c3b9d47001590a85b</t>
  </si>
  <si>
    <t>XHS-31AJPPHPB2TC</t>
  </si>
  <si>
    <t>6896fe5c3b9d47001590a85a</t>
  </si>
  <si>
    <t>【老板周】日系极简 春季新品圆领简约设计感无袖马甲 黑色 L（120-135斤）</t>
  </si>
  <si>
    <t>2025081022001473501431899573</t>
  </si>
  <si>
    <t>2025-08-10 19:18:30</t>
  </si>
  <si>
    <t>73569295930221</t>
  </si>
  <si>
    <t>2025-08-10 19:18:24</t>
  </si>
  <si>
    <t>2025-08-25 19:18:30</t>
  </si>
  <si>
    <t>2025-08-24 00:29:28</t>
  </si>
  <si>
    <t>;SF3230105023507(收） Z1640-黑色-L*1#</t>
  </si>
  <si>
    <t>558e7773c2bdeb562f568ff8</t>
  </si>
  <si>
    <t>Z1640-黑色-L</t>
  </si>
  <si>
    <t>年</t>
  </si>
  <si>
    <t>月</t>
  </si>
  <si>
    <t>订单行数</t>
  </si>
  <si>
    <t>订单序位</t>
  </si>
  <si>
    <t>财务核算编码</t>
  </si>
  <si>
    <t>销售数量</t>
  </si>
  <si>
    <t>应收客户</t>
  </si>
  <si>
    <t>应收平台</t>
  </si>
  <si>
    <t>收：价外收费</t>
  </si>
  <si>
    <t>扣：平台佣金用</t>
  </si>
  <si>
    <t>扣：分销佣金</t>
  </si>
  <si>
    <t>扣其它费用</t>
  </si>
  <si>
    <t>应到账金额</t>
  </si>
  <si>
    <t>备注1</t>
  </si>
  <si>
    <r>
      <t>备注</t>
    </r>
    <r>
      <rPr>
        <sz val="9"/>
        <color theme="1"/>
        <rFont val="Arial"/>
        <charset val="134"/>
      </rPr>
      <t>2</t>
    </r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</si>
  <si>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</si>
  <si>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</si>
  <si>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</si>
  <si>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</si>
  <si>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</si>
  <si>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</si>
  <si>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</si>
  <si>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类目</t>
  </si>
  <si>
    <r>
      <rPr>
        <b/>
        <sz val="9"/>
        <color theme="1"/>
        <rFont val="Arial"/>
        <charset val="134"/>
      </rPr>
      <t>SKU</t>
    </r>
    <r>
      <rPr>
        <b/>
        <sz val="9"/>
        <color theme="1"/>
        <rFont val="方正书宋_GBK"/>
        <charset val="134"/>
      </rPr>
      <t>条码</t>
    </r>
  </si>
  <si>
    <r>
      <rPr>
        <b/>
        <sz val="9"/>
        <rFont val="宋体"/>
        <charset val="134"/>
      </rPr>
      <t>规格</t>
    </r>
    <r>
      <rPr>
        <b/>
        <sz val="9"/>
        <rFont val="Arial"/>
        <charset val="134"/>
      </rPr>
      <t>ID</t>
    </r>
  </si>
  <si>
    <t>商品数量</t>
  </si>
  <si>
    <t>计佣基数</t>
  </si>
  <si>
    <r>
      <rPr>
        <b/>
        <sz val="9"/>
        <rFont val="宋体"/>
        <charset val="134"/>
      </rPr>
      <t>商品实付</t>
    </r>
    <r>
      <rPr>
        <b/>
        <sz val="9"/>
        <rFont val="Arial"/>
        <charset val="134"/>
      </rPr>
      <t>/</t>
    </r>
    <r>
      <rPr>
        <b/>
        <sz val="9"/>
        <rFont val="宋体"/>
        <charset val="134"/>
      </rPr>
      <t>实退</t>
    </r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</si>
  <si>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</si>
  <si>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</si>
  <si>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</si>
  <si>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</si>
  <si>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</si>
  <si>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</si>
  <si>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</si>
  <si>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含税</t>
    </r>
    <r>
      <rPr>
        <b/>
        <sz val="9"/>
        <rFont val="Arial"/>
        <charset val="134"/>
      </rPr>
      <t>)</t>
    </r>
  </si>
  <si>
    <r>
      <rPr>
        <b/>
        <sz val="9"/>
        <rFont val="方正书宋_GBK"/>
        <charset val="134"/>
      </rPr>
      <t>计税价格</t>
    </r>
    <r>
      <rPr>
        <b/>
        <sz val="9"/>
        <rFont val="Arial"/>
        <charset val="134"/>
      </rPr>
      <t>(</t>
    </r>
    <r>
      <rPr>
        <b/>
        <sz val="9"/>
        <rFont val="方正书宋_GBK"/>
        <charset val="134"/>
      </rPr>
      <t>未税</t>
    </r>
    <r>
      <rPr>
        <b/>
        <sz val="9"/>
        <rFont val="Arial"/>
        <charset val="134"/>
      </rPr>
      <t>)</t>
    </r>
  </si>
  <si>
    <t>税率</t>
  </si>
  <si>
    <t>跨境税代缴</t>
  </si>
  <si>
    <t>商品税金</t>
  </si>
  <si>
    <r>
      <rPr>
        <b/>
        <sz val="9"/>
        <rFont val="宋体"/>
        <charset val="134"/>
      </rPr>
      <t>卖家</t>
    </r>
    <r>
      <rPr>
        <b/>
        <sz val="9"/>
        <rFont val="Arial"/>
        <charset val="134"/>
      </rPr>
      <t>CPS</t>
    </r>
    <r>
      <rPr>
        <b/>
        <sz val="9"/>
        <rFont val="宋体"/>
        <charset val="134"/>
      </rPr>
      <t>佣金率</t>
    </r>
  </si>
  <si>
    <t>分销佣金</t>
  </si>
  <si>
    <r>
      <rPr>
        <b/>
        <sz val="9"/>
        <rFont val="Arial"/>
        <charset val="134"/>
      </rPr>
      <t>_x0008__x0008_</t>
    </r>
    <r>
      <rPr>
        <b/>
        <sz val="9"/>
        <rFont val="宋体"/>
        <charset val="134"/>
      </rPr>
      <t>推广</t>
    </r>
    <r>
      <rPr>
        <b/>
        <sz val="9"/>
        <rFont val="Arial"/>
        <charset val="134"/>
      </rPr>
      <t>_x0008_</t>
    </r>
    <r>
      <rPr>
        <b/>
        <sz val="9"/>
        <rFont val="宋体"/>
        <charset val="134"/>
      </rPr>
      <t>达人</t>
    </r>
    <r>
      <rPr>
        <b/>
        <sz val="9"/>
        <rFont val="Arial"/>
        <charset val="134"/>
      </rPr>
      <t>ID</t>
    </r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</si>
  <si>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</si>
  <si>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</si>
  <si>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</si>
  <si>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</si>
  <si>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</si>
  <si>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</si>
  <si>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</si>
  <si>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</si>
  <si>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</si>
  <si>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</si>
  <si>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R5640749128652672</t>
  </si>
  <si>
    <t>2025-08-31 14:13:53</t>
  </si>
  <si>
    <t>2025-08-31 22:10:26</t>
  </si>
  <si>
    <t>退款</t>
  </si>
  <si>
    <t>店铺余额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</si>
  <si>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</si>
  <si>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&gt;T</t>
    </r>
    <r>
      <rPr>
        <sz val="9"/>
        <color theme="1"/>
        <rFont val="宋体"/>
        <charset val="134"/>
      </rPr>
      <t>恤</t>
    </r>
  </si>
  <si>
    <r>
      <rPr>
        <sz val="9"/>
        <color theme="1"/>
        <rFont val="宋体"/>
        <charset val="134"/>
      </rPr>
      <t>老板周</t>
    </r>
    <r>
      <rPr>
        <sz val="9"/>
        <color theme="1"/>
        <rFont val="Arial"/>
        <charset val="134"/>
      </rPr>
      <t>.</t>
    </r>
  </si>
  <si>
    <t>达人带货</t>
  </si>
  <si>
    <t>2025-08-25 21:22:41</t>
  </si>
  <si>
    <t>结算入账</t>
  </si>
  <si>
    <t>2025-08-31 17:54:09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</si>
  <si>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</si>
  <si>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西装裤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正装裤</t>
    </r>
  </si>
  <si>
    <t>2025-08-31 17:40:23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</si>
  <si>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</si>
  <si>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毛针织衫</t>
    </r>
  </si>
  <si>
    <t>2025-08-31 17:24:56</t>
  </si>
  <si>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【老板周】复古老钱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新品小众宽松时髦腰果花松紧腰休闲裤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</si>
  <si>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裤子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休闲裤</t>
    </r>
  </si>
  <si>
    <t>R8603412185555555</t>
  </si>
  <si>
    <t>2025-08-27 18:38:57</t>
  </si>
  <si>
    <t>2025-08-31 17:18:01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</si>
  <si>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</si>
  <si>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R1925024178435962</t>
  </si>
  <si>
    <t>2025-08-17 20:08:31</t>
  </si>
  <si>
    <t>2025-08-27 17:06:50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</si>
  <si>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</si>
  <si>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马夹</t>
    </r>
  </si>
  <si>
    <t>R1203875175623359</t>
  </si>
  <si>
    <t>2025-08-24 20:11:22</t>
  </si>
  <si>
    <t>2025-08-31 17:08:33</t>
  </si>
  <si>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【老板周】复古英伦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极简设计立体剪裁无领廓形外套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</si>
  <si>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短外套</t>
    </r>
  </si>
  <si>
    <t>2025-08-27 16:58:50</t>
  </si>
  <si>
    <t>2025-08-31 16:46:31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</si>
  <si>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</si>
  <si>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R6845442155679510</t>
  </si>
  <si>
    <t>2025-08-24 10:33:34</t>
  </si>
  <si>
    <t>2025-08-31 16:38:40</t>
  </si>
  <si>
    <t>R5145426155617207</t>
  </si>
  <si>
    <t>2025-08-24 10:33:44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</si>
  <si>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</si>
  <si>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16:24:28</t>
  </si>
  <si>
    <t>2025-08-27 16:24:29</t>
  </si>
  <si>
    <t>R5423467132482381</t>
  </si>
  <si>
    <t>2025-08-15 20:44:49</t>
  </si>
  <si>
    <t>2025-08-25 17:13:43</t>
  </si>
  <si>
    <t>2025-08-31 16:38:36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</si>
  <si>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</si>
  <si>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16:20:07</t>
  </si>
  <si>
    <t>R0645884157385706</t>
  </si>
  <si>
    <t>2025-08-24 10:56:35</t>
  </si>
  <si>
    <t>2025-08-31 16:28:41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</si>
  <si>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</si>
  <si>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2025-08-27 16:18:15</t>
  </si>
  <si>
    <t>R3238260190940580</t>
  </si>
  <si>
    <t>2025-08-29 10:31:02</t>
  </si>
  <si>
    <t>2025-08-31 16:18:01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</si>
  <si>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</si>
  <si>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R4641436114866881</t>
  </si>
  <si>
    <t>2025-08-25 17:52:36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</si>
  <si>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花纱色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</si>
  <si>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R0930489179160166</t>
  </si>
  <si>
    <t>2025-08-26 12:45:50</t>
  </si>
  <si>
    <t>2025-08-27 16:07:44</t>
  </si>
  <si>
    <t>R0832915122860985</t>
  </si>
  <si>
    <t>2025-08-24 17:52:27</t>
  </si>
  <si>
    <t>2025-08-31 16:18:00</t>
  </si>
  <si>
    <t>2025-08-27 16:05:05</t>
  </si>
  <si>
    <t>R2315768193245155</t>
  </si>
  <si>
    <t>2025-08-27 15:44:52</t>
  </si>
  <si>
    <t>2025-08-31 15:58:32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</si>
  <si>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</si>
  <si>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15:44:50</t>
  </si>
  <si>
    <t>R9709907173119522</t>
  </si>
  <si>
    <t>2025-08-26 11:51:51</t>
  </si>
  <si>
    <t>2025-08-31 15:47:53</t>
  </si>
  <si>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【老板周】慵懒风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秋冬新款复古撞色条纹松弛感毛衣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条纹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</si>
  <si>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毛衣</t>
    </r>
  </si>
  <si>
    <t>2025-08-27 15:33:25</t>
  </si>
  <si>
    <t>R2947276140633243</t>
  </si>
  <si>
    <t>2025-08-15 15:14:17</t>
  </si>
  <si>
    <t>2025-08-25 11:49:57</t>
  </si>
  <si>
    <t>2025-08-31 15:38:21</t>
  </si>
  <si>
    <t>R6047212140616203</t>
  </si>
  <si>
    <t>2025-08-15 15:17:42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</si>
  <si>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</si>
  <si>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男士内衣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家居服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打底衣</t>
    </r>
  </si>
  <si>
    <t>2025-08-27 15:28:03</t>
  </si>
  <si>
    <t>2025-08-31 15:25:56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</si>
  <si>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</si>
  <si>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2025-08-31 15:15:19</t>
  </si>
  <si>
    <t>R4813845165840954</t>
  </si>
  <si>
    <t>2025-08-23 12:45:29</t>
  </si>
  <si>
    <t>2025-08-31 14:58:04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</si>
  <si>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藏青色</t>
    </r>
  </si>
  <si>
    <r>
      <rPr>
        <sz val="9"/>
        <color theme="1"/>
        <rFont val="宋体"/>
        <charset val="134"/>
      </rPr>
      <t>服饰配件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皮带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帽子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围巾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丝巾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披肩</t>
    </r>
  </si>
  <si>
    <t>R4813845165856171</t>
  </si>
  <si>
    <t>2025-08-23 12:55:22</t>
  </si>
  <si>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【老板周】百搭气质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秋冬新款百搭造型感气质三角巾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</si>
  <si>
    <t>R6517732120696464</t>
  </si>
  <si>
    <t>2025-08-24 19:50:23</t>
  </si>
  <si>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【老板周】小众日系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秋冬叠穿时髦下摆不规则宽松马甲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</si>
  <si>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14:44:36</t>
  </si>
  <si>
    <t>2025-08-27 14:46:38</t>
  </si>
  <si>
    <t>R4102338144623173</t>
  </si>
  <si>
    <t>2025-08-25 14:12:58</t>
  </si>
  <si>
    <t>2025-08-31 14:38:22</t>
  </si>
  <si>
    <t>2025-08-27 14:20:40</t>
  </si>
  <si>
    <t>R6728461164648415</t>
  </si>
  <si>
    <t>2025-08-27 14:18:33</t>
  </si>
  <si>
    <t>2025-08-31 14:28:00</t>
  </si>
  <si>
    <t>R0728489164679306</t>
  </si>
  <si>
    <t>R8328401169215658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</si>
  <si>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</si>
  <si>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R8228405164600003</t>
  </si>
  <si>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【老板周】经典慵懒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秋季经典撞色条纹镂空针织上衣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黑白条纹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</si>
  <si>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R1527805166706445</t>
  </si>
  <si>
    <t>2025-08-28 11:45:00</t>
  </si>
  <si>
    <t>2025-08-31 14:18:21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</si>
  <si>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</si>
  <si>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R9927815166637890</t>
  </si>
  <si>
    <t>R6344045174935685</t>
  </si>
  <si>
    <t>2025-08-27 15:24:48</t>
  </si>
  <si>
    <t>R9350115148146774</t>
  </si>
  <si>
    <t>2025-08-24 21:46:31</t>
  </si>
  <si>
    <t>2025-08-31 14:18:20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</si>
  <si>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</si>
  <si>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14:00:06</t>
  </si>
  <si>
    <t>R0219476121665775</t>
  </si>
  <si>
    <t>2025-08-24 12:07:11</t>
  </si>
  <si>
    <t>2025-08-31 14:07:16</t>
  </si>
  <si>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【老板周】小众休闲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春季单口袋翻领设计感廓形百搭衬衫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</si>
  <si>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衬衫</t>
    </r>
  </si>
  <si>
    <t>2025-08-27 13:56:03</t>
  </si>
  <si>
    <t>R0413404195862919</t>
  </si>
  <si>
    <t>2025-08-25 16:01:04</t>
  </si>
  <si>
    <t>2025-08-31 13:58:03</t>
  </si>
  <si>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【老板周】夏季新款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小众轻盈空气感重工泡泡绉小飞袖上衣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</si>
  <si>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R8137466135191193</t>
  </si>
  <si>
    <t>2025-08-15 16:25:53</t>
  </si>
  <si>
    <t>2025-08-25 16:14:30</t>
  </si>
  <si>
    <t>2025-08-27 13:48:11</t>
  </si>
  <si>
    <t>2025-08-27 13:41:04</t>
  </si>
  <si>
    <t>R4621360104909250</t>
  </si>
  <si>
    <t>2025-08-15 19:30:32</t>
  </si>
  <si>
    <t>2025-08-25 16:10:49</t>
  </si>
  <si>
    <t>2025-08-31 13:27:42</t>
  </si>
  <si>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【老板周】极简主义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秋冬新款复古卷边前短后长针织上衣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100-135</t>
    </r>
    <r>
      <rPr>
        <sz val="9"/>
        <color theme="1"/>
        <rFont val="宋体"/>
        <charset val="134"/>
      </rPr>
      <t>斤）</t>
    </r>
  </si>
  <si>
    <t>2025-08-27 13:17:15</t>
  </si>
  <si>
    <t>2025-08-31 13:00:49</t>
  </si>
  <si>
    <t>R1945389187966553</t>
  </si>
  <si>
    <t>2025-08-30 16:28:36</t>
  </si>
  <si>
    <t>2025-08-31 12:15:26</t>
  </si>
  <si>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秋冬新品时髦百搭牛仔破洞背带裤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牛仔蓝色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</si>
  <si>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连体衣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裤</t>
    </r>
  </si>
  <si>
    <t>R1141352150688208</t>
  </si>
  <si>
    <t>2025-08-13 21:30:35</t>
  </si>
  <si>
    <t>2025-08-25 10:31:17</t>
  </si>
  <si>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极简短版腰头抽绳设计宽松半身裙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</si>
  <si>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女装</t>
    </r>
    <r>
      <rPr>
        <sz val="9"/>
        <color theme="1"/>
        <rFont val="Arial"/>
        <charset val="134"/>
      </rPr>
      <t>/</t>
    </r>
    <r>
      <rPr>
        <sz val="9"/>
        <color theme="1"/>
        <rFont val="宋体"/>
        <charset val="134"/>
      </rPr>
      <t>女士精品</t>
    </r>
    <r>
      <rPr>
        <sz val="9"/>
        <color theme="1"/>
        <rFont val="Arial"/>
        <charset val="134"/>
      </rPr>
      <t>&gt;</t>
    </r>
    <r>
      <rPr>
        <sz val="9"/>
        <color theme="1"/>
        <rFont val="宋体"/>
        <charset val="134"/>
      </rPr>
      <t>半身裙</t>
    </r>
  </si>
  <si>
    <t>R1141352150668192</t>
  </si>
  <si>
    <t>2025-08-25 10:32:17</t>
  </si>
  <si>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【老板周】时髦撞色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春季新款假两件显瘦长袖打底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</si>
  <si>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R1141352150628113</t>
  </si>
  <si>
    <t>2025-08-24 23:50:33</t>
  </si>
  <si>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【老板周】日系极简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春季新品圆领简约设计感无袖马甲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</si>
  <si>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11:52:32</t>
  </si>
  <si>
    <t>R4637148133227398</t>
  </si>
  <si>
    <t>2025-08-17 20:47:49</t>
  </si>
  <si>
    <t>2025-08-25 12:32:23</t>
  </si>
  <si>
    <t>2025-08-31 11:59:48</t>
  </si>
  <si>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【老板周】法式随性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夏季时髦叠门襟无袖设计感开叉马甲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</si>
  <si>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R4637148133202968</t>
  </si>
  <si>
    <t>2025-08-25 12:31:23</t>
  </si>
  <si>
    <t>R9421202111594216</t>
  </si>
  <si>
    <t>2025-08-25 17:50:58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</si>
  <si>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</si>
  <si>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R1530413144788905</t>
  </si>
  <si>
    <t>2025-08-25 09:49:42</t>
  </si>
  <si>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【老板周】休闲腔调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夏季薄款圆领口袋设计百搭三角</t>
    </r>
    <r>
      <rPr>
        <sz val="9"/>
        <color theme="1"/>
        <rFont val="Arial"/>
        <charset val="134"/>
      </rPr>
      <t>T</t>
    </r>
    <r>
      <rPr>
        <sz val="9"/>
        <color theme="1"/>
        <rFont val="宋体"/>
        <charset val="134"/>
      </rPr>
      <t>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黄绿色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</si>
  <si>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2025-08-27 11:35:16</t>
  </si>
  <si>
    <t>2025-08-27 11:37:31</t>
  </si>
  <si>
    <t>2025-08-27 11:35:49</t>
  </si>
  <si>
    <t>2025-08-15 15:54:25</t>
  </si>
  <si>
    <t>2025-08-31 11:47:24</t>
  </si>
  <si>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【老板周】舒适经典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新款柔软细腻无缝一体半高领打底衫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</si>
  <si>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R3318326126160277</t>
  </si>
  <si>
    <t>2025-08-25 20:54:30</t>
  </si>
  <si>
    <t>2025-08-31 11:46:59</t>
  </si>
  <si>
    <t>2025-08-27 11:24:41</t>
  </si>
  <si>
    <t>2025-08-31 11:41:04</t>
  </si>
  <si>
    <t>R5947293108593952</t>
  </si>
  <si>
    <t>2025-08-13 18:31:37</t>
  </si>
  <si>
    <t>2025-08-27 11:09:08</t>
  </si>
  <si>
    <t>2025-08-31 11:29:41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</si>
  <si>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</si>
  <si>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2025-08-27 11:09:07</t>
  </si>
  <si>
    <t>2025-08-15 16:32:34</t>
  </si>
  <si>
    <t>2025-08-31 11:18:56</t>
  </si>
  <si>
    <t>2025-08-15 15:28:58</t>
  </si>
  <si>
    <t>2025-08-31 11:18:21</t>
  </si>
  <si>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【老板周】通勤质感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秋冬重磅新品半松紧腰垂感口袋西裤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</si>
  <si>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R8727250146668891</t>
  </si>
  <si>
    <t>2025-08-25 14:28:40</t>
  </si>
  <si>
    <t>2025-08-31 11:09:17</t>
  </si>
  <si>
    <t>2025-08-27 10:49:39</t>
  </si>
  <si>
    <t>2025-08-31 11:02:24</t>
  </si>
  <si>
    <t>2025-08-15 15:23:38</t>
  </si>
  <si>
    <t>2025-08-31 11:02:02</t>
  </si>
  <si>
    <t>R9841416122823869</t>
  </si>
  <si>
    <t>2025-08-15 15:31:36</t>
  </si>
  <si>
    <t>2025-08-27 10:36:55</t>
  </si>
  <si>
    <t>2025-08-31 10:48:24</t>
  </si>
  <si>
    <t>R3332154112866328</t>
  </si>
  <si>
    <t>2025-08-25 22:25:34</t>
  </si>
  <si>
    <t>2025-08-27 10:35:24</t>
  </si>
  <si>
    <t>2025-08-27 10:36:35</t>
  </si>
  <si>
    <t>R4751020114022398</t>
  </si>
  <si>
    <t>2025-08-26 10:37:32</t>
  </si>
  <si>
    <t>2025-08-31 10:48:22</t>
  </si>
  <si>
    <t>2025-08-27 10:33:10</t>
  </si>
  <si>
    <t>R1147828149607596</t>
  </si>
  <si>
    <t>2025-08-24 17:56:12</t>
  </si>
  <si>
    <t>2025-08-31 10:18:22</t>
  </si>
  <si>
    <t>2025-08-27 10:01:50</t>
  </si>
  <si>
    <t>2025-08-15 15:17:37</t>
  </si>
  <si>
    <t>2025-08-31 09:57:03</t>
  </si>
  <si>
    <t>2025-08-31 09:00:28</t>
  </si>
  <si>
    <t>2025-08-31 08:24:46</t>
  </si>
  <si>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【老板周】气质经典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秋冬无缝一体半高领显瘦打底针织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</si>
  <si>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2025-08-13 17:27:07</t>
  </si>
  <si>
    <t>2025-08-31 07:12:30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</si>
  <si>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120-135</t>
    </r>
    <r>
      <rPr>
        <sz val="9"/>
        <color theme="1"/>
        <rFont val="宋体"/>
        <charset val="134"/>
      </rPr>
      <t>斤）</t>
    </r>
  </si>
  <si>
    <t>R4207026192578684</t>
  </si>
  <si>
    <t>2025-08-27 06:54:20</t>
  </si>
  <si>
    <t>2025-08-31 07:00:40</t>
  </si>
  <si>
    <t>2025-08-27 06:54:08</t>
  </si>
  <si>
    <t>2025-08-31 06:22:21</t>
  </si>
  <si>
    <t>2025-08-10 16:39:18</t>
  </si>
  <si>
    <t>2025-08-26 23:24:07</t>
  </si>
  <si>
    <t>2025-08-31 00:38:36</t>
  </si>
  <si>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【老板周】法式复古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秋冬新品不规则纹理白天鹅针织上衣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</si>
  <si>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惊喜回归券</t>
    </r>
    <r>
      <rPr>
        <sz val="9"/>
        <color theme="1"/>
        <rFont val="Arial"/>
        <charset val="134"/>
      </rPr>
      <t>,</t>
    </r>
    <r>
      <rPr>
        <sz val="9"/>
        <color theme="1"/>
        <rFont val="宋体"/>
        <charset val="134"/>
      </rPr>
      <t>参与计税</t>
    </r>
    <r>
      <rPr>
        <sz val="9"/>
        <color theme="1"/>
        <rFont val="Arial"/>
        <charset val="134"/>
      </rPr>
      <t>;</t>
    </r>
  </si>
  <si>
    <t>2025-08-31 00:25:47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</si>
  <si>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</si>
  <si>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R7401764168672366</t>
  </si>
  <si>
    <t>2025-08-20 21:02:20</t>
  </si>
  <si>
    <t>2025-08-31 00:25:46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</si>
  <si>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米白色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</si>
  <si>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2025-08-26 22:18:13</t>
  </si>
  <si>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【老板周】夏季轻盈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新品圆领气质轻薄不规则透气上衣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黑色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</si>
  <si>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00:25:39</t>
  </si>
  <si>
    <t>2025-08-31 00:25:21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</si>
  <si>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</si>
  <si>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00:25:14</t>
  </si>
  <si>
    <t>2025-08-31 00:25:02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</si>
  <si>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</si>
  <si>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110-125</t>
    </r>
    <r>
      <rPr>
        <sz val="9"/>
        <color theme="1"/>
        <rFont val="宋体"/>
        <charset val="134"/>
      </rPr>
      <t>斤）</t>
    </r>
  </si>
  <si>
    <t>2025-08-31 00:24:53</t>
  </si>
  <si>
    <t>2025-08-15 15:28:54</t>
  </si>
  <si>
    <t>2025-08-31 00:24:49</t>
  </si>
  <si>
    <t>2025-08-31 00:24:46</t>
  </si>
  <si>
    <t>2025-08-31 00:24:44</t>
  </si>
  <si>
    <t>2025-08-31 00:24:17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</si>
  <si>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</si>
  <si>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2025-08-31 00:24:05</t>
  </si>
  <si>
    <t>2025-08-31 00:24:03</t>
  </si>
  <si>
    <t>2025-08-31 00:23:37</t>
  </si>
  <si>
    <t>2025-08-31 00:22:52</t>
  </si>
  <si>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【老板周】复古休闲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秋冬细腻柔软连帽单排扣针织上衣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灰色</t>
    </r>
    <r>
      <rPr>
        <sz val="9"/>
        <color theme="1"/>
        <rFont val="Arial"/>
        <charset val="134"/>
      </rPr>
      <t xml:space="preserve"> S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80-100</t>
    </r>
    <r>
      <rPr>
        <sz val="9"/>
        <color theme="1"/>
        <rFont val="宋体"/>
        <charset val="134"/>
      </rPr>
      <t>斤）</t>
    </r>
  </si>
  <si>
    <t>2025-08-31 00:22:07</t>
  </si>
  <si>
    <t>2025-08-31 00:22:03</t>
  </si>
  <si>
    <t>2025-08-31 00:22:01</t>
  </si>
  <si>
    <t>2025-08-31 00:21:58</t>
  </si>
  <si>
    <t>2025-08-31 00:21:41</t>
  </si>
  <si>
    <t>2025-08-31 00:21:40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</si>
  <si>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杏色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95-110</t>
    </r>
    <r>
      <rPr>
        <sz val="9"/>
        <color theme="1"/>
        <rFont val="宋体"/>
        <charset val="134"/>
      </rPr>
      <t>斤）</t>
    </r>
  </si>
  <si>
    <t>2025-08-31 00:21:37</t>
  </si>
  <si>
    <t>2025-08-31 00:21:16</t>
  </si>
  <si>
    <t>2025-08-31 00:21:11</t>
  </si>
  <si>
    <t>2025-08-31 00:21:03</t>
  </si>
  <si>
    <t>2025-08-31 00:21:00</t>
  </si>
  <si>
    <t>2025-08-31 00:20:43</t>
  </si>
  <si>
    <t>2025-08-31 00:20:17</t>
  </si>
  <si>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【老板周】复古调性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秋冬新款百搭松紧腰分割线廓形九分裤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深藏青色</t>
    </r>
    <r>
      <rPr>
        <sz val="9"/>
        <color theme="1"/>
        <rFont val="Arial"/>
        <charset val="134"/>
      </rPr>
      <t xml:space="preserve"> XL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125-140</t>
    </r>
    <r>
      <rPr>
        <sz val="9"/>
        <color theme="1"/>
        <rFont val="宋体"/>
        <charset val="134"/>
      </rPr>
      <t>斤）</t>
    </r>
  </si>
  <si>
    <t>2025-08-31 00:19:59</t>
  </si>
  <si>
    <t>2025-08-31 00:19:52</t>
  </si>
  <si>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</t>
    </r>
    <r>
      <rPr>
        <sz val="9"/>
        <color theme="1"/>
        <rFont val="Arial"/>
        <charset val="134"/>
      </rPr>
      <t xml:space="preserve"> · </t>
    </r>
    <r>
      <rPr>
        <sz val="9"/>
        <color theme="1"/>
        <rFont val="宋体"/>
        <charset val="134"/>
      </rPr>
      <t>【老板周】松弛感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春夏新款简约休闲宽松阔腿弯刀私服裤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宋体"/>
        <charset val="134"/>
      </rPr>
      <t>白色</t>
    </r>
    <r>
      <rPr>
        <sz val="9"/>
        <color theme="1"/>
        <rFont val="Arial"/>
        <charset val="134"/>
      </rPr>
      <t xml:space="preserve"> M</t>
    </r>
    <r>
      <rPr>
        <sz val="9"/>
        <color theme="1"/>
        <rFont val="宋体"/>
        <charset val="134"/>
      </rPr>
      <t>（</t>
    </r>
    <r>
      <rPr>
        <sz val="9"/>
        <color theme="1"/>
        <rFont val="Arial"/>
        <charset val="134"/>
      </rPr>
      <t>100-120</t>
    </r>
    <r>
      <rPr>
        <sz val="9"/>
        <color theme="1"/>
        <rFont val="宋体"/>
        <charset val="134"/>
      </rPr>
      <t>斤）</t>
    </r>
  </si>
  <si>
    <t>2025-08-31 00:19:43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</si>
</sst>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9"/>
      <color theme="0"/>
      <name val="Microsoft YaHei"/>
      <charset val="134"/>
    </font>
    <font>
      <sz val="9"/>
      <color theme="1"/>
      <name val="宋体-简"/>
      <charset val="134"/>
    </font>
    <font>
      <b/>
      <sz val="9"/>
      <name val="宋体"/>
      <charset val="134"/>
    </font>
    <font>
      <b/>
      <sz val="9"/>
      <name val="方正书宋_GBK"/>
      <charset val="134"/>
    </font>
    <font>
      <b/>
      <sz val="9"/>
      <name val="宋体-简"/>
      <charset val="134"/>
    </font>
    <font>
      <b/>
      <sz val="9"/>
      <color theme="1"/>
      <name val="Arial"/>
      <charset val="134"/>
    </font>
    <font>
      <b/>
      <sz val="9"/>
      <name val="Microsoft YaHei"/>
      <charset val="134"/>
    </font>
    <font>
      <b/>
      <sz val="9"/>
      <name val="Arial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1"/>
      <color indexed="8"/>
      <name val="宋体"/>
      <charset val="134"/>
      <scheme val="minor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方正书宋_GBK"/>
      <charset val="134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7" tint="0.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43" fontId="1" fillId="2" borderId="0" xfId="0" applyNumberFormat="1" applyFont="1" applyFill="1">
      <alignment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43" fontId="4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" fillId="4" borderId="4" xfId="0" applyNumberFormat="1" applyFont="1" applyFill="1" applyBorder="1" applyAlignment="1">
      <alignment horizontal="center" vertical="center" wrapText="1"/>
    </xf>
    <xf numFmtId="0" fontId="1" fillId="4" borderId="5" xfId="0" applyNumberFormat="1" applyFont="1" applyFill="1" applyBorder="1" applyAlignment="1">
      <alignment horizontal="center" vertical="center" wrapText="1"/>
    </xf>
    <xf numFmtId="0" fontId="11" fillId="4" borderId="5" xfId="0" applyNumberFormat="1" applyFont="1" applyFill="1" applyBorder="1" applyAlignment="1">
      <alignment horizontal="center" vertical="center" wrapText="1"/>
    </xf>
    <xf numFmtId="0" fontId="1" fillId="4" borderId="6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4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2" fillId="2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43" fontId="12" fillId="2" borderId="0" xfId="0" applyNumberFormat="1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43" fontId="13" fillId="2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103"/>
  <sheetViews>
    <sheetView zoomScale="70" zoomScaleNormal="70" workbookViewId="0">
      <pane xSplit="1" ySplit="1" topLeftCell="C2" activePane="bottomRight" state="frozen"/>
      <selection/>
      <selection pane="topRight"/>
      <selection pane="bottomLeft"/>
      <selection pane="bottomRight" activeCell="E4" sqref="E4"/>
    </sheetView>
  </sheetViews>
  <sheetFormatPr defaultColWidth="8.84615384615385" defaultRowHeight="16.8"/>
  <cols>
    <col min="1" max="1" width="22.9519230769231" style="35" customWidth="1"/>
    <col min="2" max="2" width="10.7884615384615" style="36" customWidth="1"/>
    <col min="3" max="4" width="16" style="36"/>
    <col min="5" max="5" width="10.5288461538462" style="36" customWidth="1"/>
    <col min="6" max="12" width="16" style="36"/>
    <col min="13" max="13" width="27.4230769230769" style="36" customWidth="1"/>
    <col min="14" max="14" width="18.4230769230769" style="36" customWidth="1"/>
    <col min="15" max="15" width="27.4230769230769" style="35" customWidth="1"/>
    <col min="16" max="17" width="16" style="36"/>
    <col min="18" max="18" width="48.8461538461538" style="36" customWidth="1"/>
    <col min="19" max="19" width="46.5769230769231" style="36" customWidth="1"/>
    <col min="20" max="20" width="5.71153846153846" style="35" customWidth="1"/>
    <col min="21" max="22" width="8.47115384615385" style="36" customWidth="1"/>
    <col min="23" max="23" width="16" style="36"/>
    <col min="24" max="24" width="16" style="37"/>
    <col min="25" max="25" width="16" style="35"/>
    <col min="26" max="26" width="16" style="36"/>
    <col min="27" max="27" width="6.63461538461539" style="36" customWidth="1"/>
    <col min="28" max="32" width="16" style="36"/>
    <col min="33" max="33" width="10.875" style="36" customWidth="1"/>
    <col min="34" max="37" width="16" style="36"/>
    <col min="38" max="38" width="16" style="35"/>
    <col min="39" max="50" width="16" style="36"/>
    <col min="51" max="51" width="21.7884615384615" style="36" customWidth="1"/>
    <col min="52" max="52" width="16" style="36"/>
    <col min="53" max="53" width="21.7884615384615" style="36" customWidth="1"/>
    <col min="54" max="68" width="16" style="36"/>
    <col min="69" max="69" width="16" style="35"/>
    <col min="70" max="70" width="26.9038461538462" style="36" customWidth="1"/>
    <col min="71" max="71" width="63.0480769230769" style="38" customWidth="1"/>
  </cols>
  <sheetData>
    <row r="1" s="34" customFormat="1" ht="77" spans="1:71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1" t="s">
        <v>13</v>
      </c>
      <c r="O1" s="39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39" t="s">
        <v>19</v>
      </c>
      <c r="U1" s="40" t="s">
        <v>20</v>
      </c>
      <c r="V1" s="40" t="s">
        <v>21</v>
      </c>
      <c r="W1" s="40" t="s">
        <v>22</v>
      </c>
      <c r="X1" s="42" t="s">
        <v>23</v>
      </c>
      <c r="Y1" s="39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39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  <c r="BG1" s="40" t="s">
        <v>58</v>
      </c>
      <c r="BH1" s="40" t="s">
        <v>59</v>
      </c>
      <c r="BI1" s="40" t="s">
        <v>60</v>
      </c>
      <c r="BJ1" s="40" t="s">
        <v>61</v>
      </c>
      <c r="BK1" s="40" t="s">
        <v>62</v>
      </c>
      <c r="BL1" s="40" t="s">
        <v>63</v>
      </c>
      <c r="BM1" s="40" t="s">
        <v>64</v>
      </c>
      <c r="BN1" s="40" t="s">
        <v>65</v>
      </c>
      <c r="BO1" s="40" t="s">
        <v>66</v>
      </c>
      <c r="BP1" s="40" t="s">
        <v>67</v>
      </c>
      <c r="BQ1" s="39" t="s">
        <v>68</v>
      </c>
      <c r="BR1" s="40" t="s">
        <v>69</v>
      </c>
      <c r="BS1" s="43" t="s">
        <v>70</v>
      </c>
    </row>
    <row r="2" spans="1:71">
      <c r="A2" s="35" t="s">
        <v>71</v>
      </c>
      <c r="B2" s="36" t="s">
        <v>72</v>
      </c>
      <c r="C2" s="36" t="s">
        <v>73</v>
      </c>
      <c r="D2" s="36" t="s">
        <v>74</v>
      </c>
      <c r="E2" s="36" t="s">
        <v>75</v>
      </c>
      <c r="F2" s="36" t="s">
        <v>76</v>
      </c>
      <c r="G2" s="36" t="s">
        <v>77</v>
      </c>
      <c r="H2" s="36" t="s">
        <v>78</v>
      </c>
      <c r="I2" s="36" t="s">
        <v>79</v>
      </c>
      <c r="J2" s="36" t="s">
        <v>80</v>
      </c>
      <c r="K2" s="36" t="s">
        <v>81</v>
      </c>
      <c r="L2" s="36" t="s">
        <v>82</v>
      </c>
      <c r="M2" s="36" t="s">
        <v>83</v>
      </c>
      <c r="N2" s="36" t="s">
        <v>84</v>
      </c>
      <c r="O2" s="35" t="s">
        <v>85</v>
      </c>
      <c r="P2" s="36" t="s">
        <v>75</v>
      </c>
      <c r="Q2" s="36" t="s">
        <v>75</v>
      </c>
      <c r="R2" s="36" t="s">
        <v>86</v>
      </c>
      <c r="S2" s="36" t="s">
        <v>87</v>
      </c>
      <c r="T2" s="35" t="s">
        <v>88</v>
      </c>
      <c r="U2" s="36" t="s">
        <v>75</v>
      </c>
      <c r="V2" s="36" t="s">
        <v>75</v>
      </c>
      <c r="W2" s="36" t="s">
        <v>89</v>
      </c>
      <c r="X2" s="37" t="s">
        <v>89</v>
      </c>
      <c r="Y2" s="35" t="s">
        <v>90</v>
      </c>
      <c r="Z2" s="36" t="s">
        <v>90</v>
      </c>
      <c r="AA2" s="36" t="s">
        <v>75</v>
      </c>
      <c r="AB2" s="36" t="s">
        <v>90</v>
      </c>
      <c r="AC2" s="36" t="s">
        <v>89</v>
      </c>
      <c r="AD2" s="36" t="s">
        <v>91</v>
      </c>
      <c r="AE2" s="36" t="s">
        <v>92</v>
      </c>
      <c r="AF2" s="36" t="s">
        <v>75</v>
      </c>
      <c r="AG2" s="36" t="s">
        <v>75</v>
      </c>
      <c r="AH2" s="36" t="s">
        <v>75</v>
      </c>
      <c r="AI2" s="36" t="s">
        <v>93</v>
      </c>
      <c r="AJ2" s="36" t="s">
        <v>75</v>
      </c>
      <c r="AK2" s="36" t="s">
        <v>94</v>
      </c>
      <c r="AL2" s="35" t="s">
        <v>90</v>
      </c>
      <c r="AM2" s="36" t="s">
        <v>95</v>
      </c>
      <c r="AN2" s="36" t="s">
        <v>96</v>
      </c>
      <c r="AO2" s="36" t="s">
        <v>75</v>
      </c>
      <c r="AP2" s="36" t="s">
        <v>75</v>
      </c>
      <c r="AQ2" s="36" t="s">
        <v>75</v>
      </c>
      <c r="AR2" s="36" t="s">
        <v>75</v>
      </c>
      <c r="AS2" s="36" t="s">
        <v>75</v>
      </c>
      <c r="AT2" s="36" t="s">
        <v>75</v>
      </c>
      <c r="AU2" s="36" t="s">
        <v>75</v>
      </c>
      <c r="AV2" s="36" t="s">
        <v>97</v>
      </c>
      <c r="AW2" s="36" t="s">
        <v>75</v>
      </c>
      <c r="AX2" s="36" t="s">
        <v>75</v>
      </c>
      <c r="AY2" s="36" t="s">
        <v>98</v>
      </c>
      <c r="AZ2" s="36" t="s">
        <v>99</v>
      </c>
      <c r="BA2" s="36" t="s">
        <v>100</v>
      </c>
      <c r="BB2" s="36" t="s">
        <v>101</v>
      </c>
      <c r="BC2" s="36" t="s">
        <v>102</v>
      </c>
      <c r="BD2" s="36" t="s">
        <v>103</v>
      </c>
      <c r="BE2" s="36" t="s">
        <v>75</v>
      </c>
      <c r="BF2" s="36" t="s">
        <v>75</v>
      </c>
      <c r="BG2" s="36" t="s">
        <v>75</v>
      </c>
      <c r="BH2" s="36" t="s">
        <v>75</v>
      </c>
      <c r="BI2" s="36" t="s">
        <v>104</v>
      </c>
      <c r="BJ2" s="36" t="s">
        <v>105</v>
      </c>
      <c r="BK2" s="36" t="s">
        <v>106</v>
      </c>
      <c r="BL2" s="36" t="s">
        <v>107</v>
      </c>
      <c r="BM2" s="36" t="s">
        <v>75</v>
      </c>
      <c r="BN2" s="36" t="s">
        <v>75</v>
      </c>
      <c r="BO2" s="36" t="s">
        <v>75</v>
      </c>
      <c r="BP2" s="36" t="s">
        <v>75</v>
      </c>
      <c r="BQ2" s="35" t="s">
        <v>108</v>
      </c>
      <c r="BR2" s="36" t="s">
        <v>109</v>
      </c>
      <c r="BS2" s="38" t="s">
        <v>110</v>
      </c>
    </row>
    <row r="3" spans="1:71">
      <c r="A3" s="35" t="s">
        <v>111</v>
      </c>
      <c r="B3" s="36" t="s">
        <v>112</v>
      </c>
      <c r="C3" s="36" t="s">
        <v>113</v>
      </c>
      <c r="D3" s="36" t="s">
        <v>74</v>
      </c>
      <c r="E3" s="36" t="s">
        <v>75</v>
      </c>
      <c r="F3" s="36" t="s">
        <v>114</v>
      </c>
      <c r="G3" s="36" t="s">
        <v>115</v>
      </c>
      <c r="H3" s="36" t="s">
        <v>116</v>
      </c>
      <c r="I3" s="36" t="s">
        <v>117</v>
      </c>
      <c r="J3" s="36" t="s">
        <v>118</v>
      </c>
      <c r="K3" s="36" t="s">
        <v>119</v>
      </c>
      <c r="L3" s="36" t="s">
        <v>120</v>
      </c>
      <c r="M3" s="36" t="s">
        <v>121</v>
      </c>
      <c r="N3" s="36" t="s">
        <v>122</v>
      </c>
      <c r="O3" s="35" t="s">
        <v>123</v>
      </c>
      <c r="P3" s="36" t="s">
        <v>75</v>
      </c>
      <c r="Q3" s="36" t="s">
        <v>75</v>
      </c>
      <c r="R3" s="36" t="s">
        <v>124</v>
      </c>
      <c r="S3" s="36" t="s">
        <v>125</v>
      </c>
      <c r="T3" s="35" t="s">
        <v>88</v>
      </c>
      <c r="U3" s="36" t="s">
        <v>75</v>
      </c>
      <c r="V3" s="36" t="s">
        <v>75</v>
      </c>
      <c r="W3" s="36" t="s">
        <v>126</v>
      </c>
      <c r="X3" s="37" t="s">
        <v>126</v>
      </c>
      <c r="Y3" s="35" t="s">
        <v>90</v>
      </c>
      <c r="Z3" s="36" t="s">
        <v>90</v>
      </c>
      <c r="AA3" s="36" t="s">
        <v>75</v>
      </c>
      <c r="AB3" s="36" t="s">
        <v>90</v>
      </c>
      <c r="AC3" s="36" t="s">
        <v>126</v>
      </c>
      <c r="AD3" s="36" t="s">
        <v>91</v>
      </c>
      <c r="AE3" s="36" t="s">
        <v>127</v>
      </c>
      <c r="AF3" s="36" t="s">
        <v>75</v>
      </c>
      <c r="AG3" s="36" t="s">
        <v>75</v>
      </c>
      <c r="AH3" s="36" t="s">
        <v>75</v>
      </c>
      <c r="AI3" s="36" t="s">
        <v>128</v>
      </c>
      <c r="AJ3" s="36" t="s">
        <v>75</v>
      </c>
      <c r="AK3" s="36" t="s">
        <v>94</v>
      </c>
      <c r="AL3" s="35" t="s">
        <v>90</v>
      </c>
      <c r="AM3" s="36" t="s">
        <v>95</v>
      </c>
      <c r="AN3" s="36" t="s">
        <v>129</v>
      </c>
      <c r="AO3" s="36" t="s">
        <v>75</v>
      </c>
      <c r="AP3" s="36" t="s">
        <v>75</v>
      </c>
      <c r="AQ3" s="36" t="s">
        <v>75</v>
      </c>
      <c r="AR3" s="36" t="s">
        <v>75</v>
      </c>
      <c r="AS3" s="36" t="s">
        <v>75</v>
      </c>
      <c r="AT3" s="36" t="s">
        <v>75</v>
      </c>
      <c r="AU3" s="36" t="s">
        <v>75</v>
      </c>
      <c r="AV3" s="36" t="s">
        <v>130</v>
      </c>
      <c r="AW3" s="36" t="s">
        <v>75</v>
      </c>
      <c r="AX3" s="36" t="s">
        <v>75</v>
      </c>
      <c r="AY3" s="36" t="s">
        <v>131</v>
      </c>
      <c r="AZ3" s="36" t="s">
        <v>132</v>
      </c>
      <c r="BA3" s="36" t="s">
        <v>75</v>
      </c>
      <c r="BB3" s="36" t="s">
        <v>101</v>
      </c>
      <c r="BC3" s="36" t="s">
        <v>75</v>
      </c>
      <c r="BD3" s="36" t="s">
        <v>103</v>
      </c>
      <c r="BE3" s="36" t="s">
        <v>75</v>
      </c>
      <c r="BF3" s="36" t="s">
        <v>133</v>
      </c>
      <c r="BG3" s="36" t="s">
        <v>134</v>
      </c>
      <c r="BH3" s="36" t="s">
        <v>75</v>
      </c>
      <c r="BI3" s="36" t="s">
        <v>104</v>
      </c>
      <c r="BJ3" s="36" t="s">
        <v>135</v>
      </c>
      <c r="BK3" s="36" t="s">
        <v>106</v>
      </c>
      <c r="BL3" s="36" t="s">
        <v>107</v>
      </c>
      <c r="BM3" s="36" t="s">
        <v>75</v>
      </c>
      <c r="BN3" s="36" t="s">
        <v>75</v>
      </c>
      <c r="BO3" s="36" t="s">
        <v>75</v>
      </c>
      <c r="BP3" s="36" t="s">
        <v>75</v>
      </c>
      <c r="BQ3" s="35" t="s">
        <v>136</v>
      </c>
      <c r="BR3" s="36" t="s">
        <v>137</v>
      </c>
      <c r="BS3" s="38" t="s">
        <v>138</v>
      </c>
    </row>
    <row r="4" spans="1:71">
      <c r="A4" s="35" t="s">
        <v>139</v>
      </c>
      <c r="B4" s="36" t="s">
        <v>72</v>
      </c>
      <c r="C4" s="36" t="s">
        <v>73</v>
      </c>
      <c r="D4" s="36" t="s">
        <v>74</v>
      </c>
      <c r="E4" s="36" t="s">
        <v>140</v>
      </c>
      <c r="F4" s="36" t="s">
        <v>141</v>
      </c>
      <c r="G4" s="36" t="s">
        <v>142</v>
      </c>
      <c r="H4" s="36" t="s">
        <v>143</v>
      </c>
      <c r="I4" s="36" t="s">
        <v>144</v>
      </c>
      <c r="J4" s="36" t="s">
        <v>145</v>
      </c>
      <c r="K4" s="36" t="s">
        <v>146</v>
      </c>
      <c r="L4" s="36" t="s">
        <v>147</v>
      </c>
      <c r="M4" s="36" t="s">
        <v>148</v>
      </c>
      <c r="N4" s="36" t="s">
        <v>149</v>
      </c>
      <c r="O4" s="35" t="s">
        <v>150</v>
      </c>
      <c r="P4" s="36" t="s">
        <v>151</v>
      </c>
      <c r="Q4" s="36" t="s">
        <v>152</v>
      </c>
      <c r="R4" s="36" t="s">
        <v>153</v>
      </c>
      <c r="S4" s="36" t="s">
        <v>154</v>
      </c>
      <c r="T4" s="35" t="s">
        <v>88</v>
      </c>
      <c r="U4" s="36" t="s">
        <v>75</v>
      </c>
      <c r="V4" s="36" t="s">
        <v>75</v>
      </c>
      <c r="W4" s="36" t="s">
        <v>155</v>
      </c>
      <c r="X4" s="37" t="s">
        <v>155</v>
      </c>
      <c r="Y4" s="35" t="s">
        <v>90</v>
      </c>
      <c r="Z4" s="36" t="s">
        <v>90</v>
      </c>
      <c r="AA4" s="36" t="s">
        <v>75</v>
      </c>
      <c r="AB4" s="36" t="s">
        <v>90</v>
      </c>
      <c r="AC4" s="36" t="s">
        <v>155</v>
      </c>
      <c r="AD4" s="36" t="s">
        <v>91</v>
      </c>
      <c r="AE4" s="36" t="s">
        <v>156</v>
      </c>
      <c r="AF4" s="36" t="s">
        <v>75</v>
      </c>
      <c r="AG4" s="36" t="s">
        <v>75</v>
      </c>
      <c r="AH4" s="36" t="s">
        <v>75</v>
      </c>
      <c r="AI4" s="36" t="s">
        <v>157</v>
      </c>
      <c r="AJ4" s="36" t="s">
        <v>75</v>
      </c>
      <c r="AK4" s="36" t="s">
        <v>94</v>
      </c>
      <c r="AL4" s="35" t="s">
        <v>90</v>
      </c>
      <c r="AM4" s="36" t="s">
        <v>95</v>
      </c>
      <c r="AN4" s="36" t="s">
        <v>158</v>
      </c>
      <c r="AO4" s="36" t="s">
        <v>75</v>
      </c>
      <c r="AP4" s="36" t="s">
        <v>75</v>
      </c>
      <c r="AQ4" s="36" t="s">
        <v>75</v>
      </c>
      <c r="AR4" s="36" t="s">
        <v>75</v>
      </c>
      <c r="AS4" s="36" t="s">
        <v>75</v>
      </c>
      <c r="AT4" s="36" t="s">
        <v>75</v>
      </c>
      <c r="AU4" s="36" t="s">
        <v>75</v>
      </c>
      <c r="AV4" s="36" t="s">
        <v>159</v>
      </c>
      <c r="AW4" s="36" t="s">
        <v>75</v>
      </c>
      <c r="AX4" s="36" t="s">
        <v>75</v>
      </c>
      <c r="AY4" s="36" t="s">
        <v>160</v>
      </c>
      <c r="AZ4" s="36" t="s">
        <v>161</v>
      </c>
      <c r="BA4" s="36" t="s">
        <v>162</v>
      </c>
      <c r="BB4" s="36" t="s">
        <v>101</v>
      </c>
      <c r="BC4" s="36" t="s">
        <v>163</v>
      </c>
      <c r="BD4" s="36" t="s">
        <v>103</v>
      </c>
      <c r="BE4" s="36" t="s">
        <v>75</v>
      </c>
      <c r="BF4" s="36" t="s">
        <v>133</v>
      </c>
      <c r="BG4" s="36" t="s">
        <v>164</v>
      </c>
      <c r="BH4" s="36" t="s">
        <v>75</v>
      </c>
      <c r="BI4" s="36" t="s">
        <v>104</v>
      </c>
      <c r="BJ4" s="36" t="s">
        <v>165</v>
      </c>
      <c r="BK4" s="36" t="s">
        <v>106</v>
      </c>
      <c r="BL4" s="36" t="s">
        <v>107</v>
      </c>
      <c r="BM4" s="36" t="s">
        <v>75</v>
      </c>
      <c r="BN4" s="36" t="s">
        <v>75</v>
      </c>
      <c r="BO4" s="36" t="s">
        <v>75</v>
      </c>
      <c r="BP4" s="36" t="s">
        <v>75</v>
      </c>
      <c r="BQ4" s="35" t="s">
        <v>166</v>
      </c>
      <c r="BR4" s="36" t="s">
        <v>167</v>
      </c>
      <c r="BS4" s="38" t="s">
        <v>168</v>
      </c>
    </row>
    <row r="5" spans="1:71">
      <c r="A5" s="35" t="s">
        <v>139</v>
      </c>
      <c r="B5" s="36" t="s">
        <v>72</v>
      </c>
      <c r="C5" s="36" t="s">
        <v>113</v>
      </c>
      <c r="D5" s="36" t="s">
        <v>74</v>
      </c>
      <c r="E5" s="36" t="s">
        <v>140</v>
      </c>
      <c r="F5" s="36" t="s">
        <v>141</v>
      </c>
      <c r="G5" s="36" t="s">
        <v>142</v>
      </c>
      <c r="H5" s="36" t="s">
        <v>143</v>
      </c>
      <c r="I5" s="36" t="s">
        <v>144</v>
      </c>
      <c r="J5" s="36" t="s">
        <v>145</v>
      </c>
      <c r="K5" s="36" t="s">
        <v>146</v>
      </c>
      <c r="L5" s="36" t="s">
        <v>147</v>
      </c>
      <c r="M5" s="36" t="s">
        <v>169</v>
      </c>
      <c r="N5" s="36" t="s">
        <v>170</v>
      </c>
      <c r="O5" s="35" t="s">
        <v>171</v>
      </c>
      <c r="P5" s="36" t="s">
        <v>151</v>
      </c>
      <c r="Q5" s="36" t="s">
        <v>152</v>
      </c>
      <c r="R5" s="36" t="s">
        <v>172</v>
      </c>
      <c r="S5" s="36" t="s">
        <v>173</v>
      </c>
      <c r="T5" s="35" t="s">
        <v>88</v>
      </c>
      <c r="U5" s="36" t="s">
        <v>75</v>
      </c>
      <c r="V5" s="36" t="s">
        <v>75</v>
      </c>
      <c r="W5" s="36" t="s">
        <v>155</v>
      </c>
      <c r="X5" s="37" t="s">
        <v>155</v>
      </c>
      <c r="Y5" s="35" t="s">
        <v>90</v>
      </c>
      <c r="Z5" s="36" t="s">
        <v>90</v>
      </c>
      <c r="AA5" s="36" t="s">
        <v>75</v>
      </c>
      <c r="AB5" s="36" t="s">
        <v>90</v>
      </c>
      <c r="AC5" s="36" t="s">
        <v>155</v>
      </c>
      <c r="AD5" s="36" t="s">
        <v>91</v>
      </c>
      <c r="AE5" s="36" t="s">
        <v>156</v>
      </c>
      <c r="AF5" s="36" t="s">
        <v>75</v>
      </c>
      <c r="AG5" s="36" t="s">
        <v>75</v>
      </c>
      <c r="AH5" s="36" t="s">
        <v>75</v>
      </c>
      <c r="AI5" s="36" t="s">
        <v>157</v>
      </c>
      <c r="AJ5" s="36" t="s">
        <v>75</v>
      </c>
      <c r="AK5" s="36" t="s">
        <v>94</v>
      </c>
      <c r="AL5" s="35" t="s">
        <v>90</v>
      </c>
      <c r="AM5" s="36" t="s">
        <v>95</v>
      </c>
      <c r="AN5" s="36" t="s">
        <v>174</v>
      </c>
      <c r="AO5" s="36" t="s">
        <v>75</v>
      </c>
      <c r="AP5" s="36" t="s">
        <v>75</v>
      </c>
      <c r="AQ5" s="36" t="s">
        <v>75</v>
      </c>
      <c r="AR5" s="36" t="s">
        <v>75</v>
      </c>
      <c r="AS5" s="36" t="s">
        <v>75</v>
      </c>
      <c r="AT5" s="36" t="s">
        <v>75</v>
      </c>
      <c r="AU5" s="36" t="s">
        <v>75</v>
      </c>
      <c r="AV5" s="36" t="s">
        <v>159</v>
      </c>
      <c r="AW5" s="36" t="s">
        <v>75</v>
      </c>
      <c r="AX5" s="36" t="s">
        <v>75</v>
      </c>
      <c r="AY5" s="36" t="s">
        <v>160</v>
      </c>
      <c r="AZ5" s="36" t="s">
        <v>175</v>
      </c>
      <c r="BA5" s="36" t="s">
        <v>75</v>
      </c>
      <c r="BB5" s="36" t="s">
        <v>101</v>
      </c>
      <c r="BC5" s="36" t="s">
        <v>75</v>
      </c>
      <c r="BD5" s="36" t="s">
        <v>103</v>
      </c>
      <c r="BE5" s="36" t="s">
        <v>75</v>
      </c>
      <c r="BF5" s="36" t="s">
        <v>133</v>
      </c>
      <c r="BG5" s="36" t="s">
        <v>164</v>
      </c>
      <c r="BH5" s="36" t="s">
        <v>75</v>
      </c>
      <c r="BI5" s="36" t="s">
        <v>104</v>
      </c>
      <c r="BJ5" s="36" t="s">
        <v>165</v>
      </c>
      <c r="BK5" s="36" t="s">
        <v>106</v>
      </c>
      <c r="BL5" s="36" t="s">
        <v>107</v>
      </c>
      <c r="BM5" s="36" t="s">
        <v>75</v>
      </c>
      <c r="BN5" s="36" t="s">
        <v>75</v>
      </c>
      <c r="BO5" s="36" t="s">
        <v>75</v>
      </c>
      <c r="BP5" s="36" t="s">
        <v>75</v>
      </c>
      <c r="BQ5" s="35" t="s">
        <v>176</v>
      </c>
      <c r="BR5" s="36" t="s">
        <v>167</v>
      </c>
      <c r="BS5" s="38" t="s">
        <v>168</v>
      </c>
    </row>
    <row r="6" spans="1:71">
      <c r="A6" s="35" t="s">
        <v>177</v>
      </c>
      <c r="B6" s="36" t="s">
        <v>112</v>
      </c>
      <c r="C6" s="36" t="s">
        <v>113</v>
      </c>
      <c r="D6" s="36" t="s">
        <v>74</v>
      </c>
      <c r="E6" s="36" t="s">
        <v>75</v>
      </c>
      <c r="F6" s="36" t="s">
        <v>178</v>
      </c>
      <c r="G6" s="36" t="s">
        <v>179</v>
      </c>
      <c r="H6" s="36" t="s">
        <v>180</v>
      </c>
      <c r="I6" s="36" t="s">
        <v>79</v>
      </c>
      <c r="J6" s="36" t="s">
        <v>80</v>
      </c>
      <c r="K6" s="36" t="s">
        <v>181</v>
      </c>
      <c r="L6" s="36" t="s">
        <v>182</v>
      </c>
      <c r="M6" s="36" t="s">
        <v>183</v>
      </c>
      <c r="N6" s="36" t="s">
        <v>184</v>
      </c>
      <c r="O6" s="35" t="s">
        <v>185</v>
      </c>
      <c r="P6" s="36" t="s">
        <v>151</v>
      </c>
      <c r="Q6" s="36" t="s">
        <v>152</v>
      </c>
      <c r="R6" s="36" t="s">
        <v>186</v>
      </c>
      <c r="S6" s="36" t="s">
        <v>187</v>
      </c>
      <c r="T6" s="35" t="s">
        <v>88</v>
      </c>
      <c r="U6" s="36" t="s">
        <v>75</v>
      </c>
      <c r="V6" s="36" t="s">
        <v>75</v>
      </c>
      <c r="W6" s="36" t="s">
        <v>188</v>
      </c>
      <c r="X6" s="37" t="s">
        <v>188</v>
      </c>
      <c r="Y6" s="35" t="s">
        <v>90</v>
      </c>
      <c r="Z6" s="36" t="s">
        <v>90</v>
      </c>
      <c r="AA6" s="36" t="s">
        <v>75</v>
      </c>
      <c r="AB6" s="36" t="s">
        <v>90</v>
      </c>
      <c r="AC6" s="36" t="s">
        <v>188</v>
      </c>
      <c r="AD6" s="36" t="s">
        <v>91</v>
      </c>
      <c r="AE6" s="36" t="s">
        <v>189</v>
      </c>
      <c r="AF6" s="36" t="s">
        <v>75</v>
      </c>
      <c r="AG6" s="36" t="s">
        <v>75</v>
      </c>
      <c r="AH6" s="36" t="s">
        <v>75</v>
      </c>
      <c r="AI6" s="36" t="s">
        <v>190</v>
      </c>
      <c r="AJ6" s="36" t="s">
        <v>75</v>
      </c>
      <c r="AK6" s="36" t="s">
        <v>94</v>
      </c>
      <c r="AL6" s="35" t="s">
        <v>90</v>
      </c>
      <c r="AM6" s="36" t="s">
        <v>95</v>
      </c>
      <c r="AN6" s="36" t="s">
        <v>191</v>
      </c>
      <c r="AO6" s="36" t="s">
        <v>75</v>
      </c>
      <c r="AP6" s="36" t="s">
        <v>75</v>
      </c>
      <c r="AQ6" s="36" t="s">
        <v>75</v>
      </c>
      <c r="AR6" s="36" t="s">
        <v>75</v>
      </c>
      <c r="AS6" s="36" t="s">
        <v>75</v>
      </c>
      <c r="AT6" s="36" t="s">
        <v>75</v>
      </c>
      <c r="AU6" s="36" t="s">
        <v>75</v>
      </c>
      <c r="AV6" s="36" t="s">
        <v>192</v>
      </c>
      <c r="AW6" s="36" t="s">
        <v>75</v>
      </c>
      <c r="AX6" s="36" t="s">
        <v>75</v>
      </c>
      <c r="AY6" s="36" t="s">
        <v>193</v>
      </c>
      <c r="AZ6" s="36" t="s">
        <v>194</v>
      </c>
      <c r="BA6" s="36" t="s">
        <v>195</v>
      </c>
      <c r="BB6" s="36" t="s">
        <v>101</v>
      </c>
      <c r="BC6" s="36" t="s">
        <v>163</v>
      </c>
      <c r="BD6" s="36" t="s">
        <v>103</v>
      </c>
      <c r="BE6" s="36" t="s">
        <v>75</v>
      </c>
      <c r="BF6" s="36" t="s">
        <v>133</v>
      </c>
      <c r="BG6" s="36" t="s">
        <v>196</v>
      </c>
      <c r="BH6" s="36" t="s">
        <v>75</v>
      </c>
      <c r="BI6" s="36" t="s">
        <v>104</v>
      </c>
      <c r="BJ6" s="36" t="s">
        <v>197</v>
      </c>
      <c r="BK6" s="36" t="s">
        <v>106</v>
      </c>
      <c r="BL6" s="36" t="s">
        <v>107</v>
      </c>
      <c r="BM6" s="36" t="s">
        <v>75</v>
      </c>
      <c r="BN6" s="36" t="s">
        <v>75</v>
      </c>
      <c r="BO6" s="36" t="s">
        <v>75</v>
      </c>
      <c r="BP6" s="36" t="s">
        <v>75</v>
      </c>
      <c r="BQ6" s="35" t="s">
        <v>198</v>
      </c>
      <c r="BR6" s="36" t="s">
        <v>199</v>
      </c>
      <c r="BS6" s="38" t="s">
        <v>200</v>
      </c>
    </row>
    <row r="7" spans="1:71">
      <c r="A7" s="35" t="s">
        <v>201</v>
      </c>
      <c r="B7" s="36" t="s">
        <v>112</v>
      </c>
      <c r="C7" s="36" t="s">
        <v>113</v>
      </c>
      <c r="D7" s="36" t="s">
        <v>74</v>
      </c>
      <c r="E7" s="36" t="s">
        <v>75</v>
      </c>
      <c r="F7" s="36" t="s">
        <v>202</v>
      </c>
      <c r="G7" s="36" t="s">
        <v>203</v>
      </c>
      <c r="H7" s="36" t="s">
        <v>204</v>
      </c>
      <c r="I7" s="36" t="s">
        <v>205</v>
      </c>
      <c r="J7" s="36" t="s">
        <v>206</v>
      </c>
      <c r="K7" s="36" t="s">
        <v>207</v>
      </c>
      <c r="L7" s="36" t="s">
        <v>208</v>
      </c>
      <c r="M7" s="36" t="s">
        <v>209</v>
      </c>
      <c r="N7" s="36" t="s">
        <v>210</v>
      </c>
      <c r="O7" s="35" t="s">
        <v>211</v>
      </c>
      <c r="P7" s="36" t="s">
        <v>151</v>
      </c>
      <c r="Q7" s="36" t="s">
        <v>152</v>
      </c>
      <c r="R7" s="36" t="s">
        <v>212</v>
      </c>
      <c r="S7" s="36" t="s">
        <v>213</v>
      </c>
      <c r="T7" s="35" t="s">
        <v>88</v>
      </c>
      <c r="U7" s="36" t="s">
        <v>75</v>
      </c>
      <c r="V7" s="36" t="s">
        <v>75</v>
      </c>
      <c r="W7" s="36" t="s">
        <v>214</v>
      </c>
      <c r="X7" s="37" t="s">
        <v>214</v>
      </c>
      <c r="Y7" s="35" t="s">
        <v>90</v>
      </c>
      <c r="Z7" s="36" t="s">
        <v>90</v>
      </c>
      <c r="AA7" s="36" t="s">
        <v>75</v>
      </c>
      <c r="AB7" s="36" t="s">
        <v>90</v>
      </c>
      <c r="AC7" s="36" t="s">
        <v>214</v>
      </c>
      <c r="AD7" s="36" t="s">
        <v>215</v>
      </c>
      <c r="AE7" s="36" t="s">
        <v>216</v>
      </c>
      <c r="AF7" s="36" t="s">
        <v>75</v>
      </c>
      <c r="AG7" s="36" t="s">
        <v>75</v>
      </c>
      <c r="AH7" s="36" t="s">
        <v>75</v>
      </c>
      <c r="AI7" s="36" t="s">
        <v>217</v>
      </c>
      <c r="AJ7" s="36" t="s">
        <v>75</v>
      </c>
      <c r="AK7" s="36" t="s">
        <v>94</v>
      </c>
      <c r="AL7" s="35" t="s">
        <v>90</v>
      </c>
      <c r="AM7" s="36" t="s">
        <v>95</v>
      </c>
      <c r="AN7" s="36" t="s">
        <v>218</v>
      </c>
      <c r="AO7" s="36" t="s">
        <v>75</v>
      </c>
      <c r="AP7" s="36" t="s">
        <v>75</v>
      </c>
      <c r="AQ7" s="36" t="s">
        <v>75</v>
      </c>
      <c r="AR7" s="36" t="s">
        <v>75</v>
      </c>
      <c r="AS7" s="36" t="s">
        <v>75</v>
      </c>
      <c r="AT7" s="36" t="s">
        <v>75</v>
      </c>
      <c r="AU7" s="36" t="s">
        <v>75</v>
      </c>
      <c r="AV7" s="36" t="s">
        <v>219</v>
      </c>
      <c r="AW7" s="36" t="s">
        <v>75</v>
      </c>
      <c r="AX7" s="36" t="s">
        <v>75</v>
      </c>
      <c r="AY7" s="36" t="s">
        <v>220</v>
      </c>
      <c r="AZ7" s="36" t="s">
        <v>221</v>
      </c>
      <c r="BA7" s="36" t="s">
        <v>222</v>
      </c>
      <c r="BB7" s="36" t="s">
        <v>101</v>
      </c>
      <c r="BC7" s="36" t="s">
        <v>163</v>
      </c>
      <c r="BD7" s="36" t="s">
        <v>103</v>
      </c>
      <c r="BE7" s="36" t="s">
        <v>75</v>
      </c>
      <c r="BF7" s="36" t="s">
        <v>133</v>
      </c>
      <c r="BG7" s="36" t="s">
        <v>223</v>
      </c>
      <c r="BH7" s="36" t="s">
        <v>75</v>
      </c>
      <c r="BI7" s="36" t="s">
        <v>104</v>
      </c>
      <c r="BJ7" s="36" t="s">
        <v>224</v>
      </c>
      <c r="BK7" s="36" t="s">
        <v>106</v>
      </c>
      <c r="BL7" s="36" t="s">
        <v>107</v>
      </c>
      <c r="BM7" s="36" t="s">
        <v>75</v>
      </c>
      <c r="BN7" s="36" t="s">
        <v>75</v>
      </c>
      <c r="BO7" s="36" t="s">
        <v>75</v>
      </c>
      <c r="BP7" s="36" t="s">
        <v>75</v>
      </c>
      <c r="BQ7" s="35" t="s">
        <v>225</v>
      </c>
      <c r="BR7" s="36" t="s">
        <v>226</v>
      </c>
      <c r="BS7" s="38" t="s">
        <v>227</v>
      </c>
    </row>
    <row r="8" spans="1:71">
      <c r="A8" s="35" t="s">
        <v>228</v>
      </c>
      <c r="B8" s="36" t="s">
        <v>112</v>
      </c>
      <c r="C8" s="36" t="s">
        <v>113</v>
      </c>
      <c r="D8" s="36" t="s">
        <v>74</v>
      </c>
      <c r="E8" s="36" t="s">
        <v>75</v>
      </c>
      <c r="F8" s="36" t="s">
        <v>229</v>
      </c>
      <c r="G8" s="36" t="s">
        <v>230</v>
      </c>
      <c r="H8" s="36" t="s">
        <v>231</v>
      </c>
      <c r="I8" s="36" t="s">
        <v>232</v>
      </c>
      <c r="J8" s="36" t="s">
        <v>233</v>
      </c>
      <c r="K8" s="36" t="s">
        <v>234</v>
      </c>
      <c r="L8" s="36" t="s">
        <v>235</v>
      </c>
      <c r="M8" s="36" t="s">
        <v>236</v>
      </c>
      <c r="N8" s="36" t="s">
        <v>237</v>
      </c>
      <c r="O8" s="35" t="s">
        <v>238</v>
      </c>
      <c r="P8" s="36" t="s">
        <v>151</v>
      </c>
      <c r="Q8" s="36" t="s">
        <v>152</v>
      </c>
      <c r="R8" s="36" t="s">
        <v>239</v>
      </c>
      <c r="S8" s="36" t="s">
        <v>187</v>
      </c>
      <c r="T8" s="35" t="s">
        <v>88</v>
      </c>
      <c r="U8" s="36" t="s">
        <v>75</v>
      </c>
      <c r="V8" s="36" t="s">
        <v>75</v>
      </c>
      <c r="W8" s="36" t="s">
        <v>240</v>
      </c>
      <c r="X8" s="37" t="s">
        <v>240</v>
      </c>
      <c r="Y8" s="35" t="s">
        <v>90</v>
      </c>
      <c r="Z8" s="36" t="s">
        <v>90</v>
      </c>
      <c r="AA8" s="36" t="s">
        <v>75</v>
      </c>
      <c r="AB8" s="36" t="s">
        <v>90</v>
      </c>
      <c r="AC8" s="36" t="s">
        <v>240</v>
      </c>
      <c r="AD8" s="36" t="s">
        <v>91</v>
      </c>
      <c r="AE8" s="36" t="s">
        <v>241</v>
      </c>
      <c r="AF8" s="36" t="s">
        <v>75</v>
      </c>
      <c r="AG8" s="36" t="s">
        <v>75</v>
      </c>
      <c r="AH8" s="36" t="s">
        <v>75</v>
      </c>
      <c r="AI8" s="36" t="s">
        <v>242</v>
      </c>
      <c r="AJ8" s="36" t="s">
        <v>75</v>
      </c>
      <c r="AK8" s="36" t="s">
        <v>94</v>
      </c>
      <c r="AL8" s="35" t="s">
        <v>90</v>
      </c>
      <c r="AM8" s="36" t="s">
        <v>95</v>
      </c>
      <c r="AN8" s="36" t="s">
        <v>243</v>
      </c>
      <c r="AO8" s="36" t="s">
        <v>75</v>
      </c>
      <c r="AP8" s="36" t="s">
        <v>75</v>
      </c>
      <c r="AQ8" s="36" t="s">
        <v>75</v>
      </c>
      <c r="AR8" s="36" t="s">
        <v>75</v>
      </c>
      <c r="AS8" s="36" t="s">
        <v>75</v>
      </c>
      <c r="AT8" s="36" t="s">
        <v>75</v>
      </c>
      <c r="AU8" s="36" t="s">
        <v>75</v>
      </c>
      <c r="AV8" s="36" t="s">
        <v>244</v>
      </c>
      <c r="AW8" s="36" t="s">
        <v>75</v>
      </c>
      <c r="AX8" s="36" t="s">
        <v>75</v>
      </c>
      <c r="AY8" s="36" t="s">
        <v>245</v>
      </c>
      <c r="AZ8" s="36" t="s">
        <v>246</v>
      </c>
      <c r="BA8" s="36" t="s">
        <v>247</v>
      </c>
      <c r="BB8" s="36" t="s">
        <v>101</v>
      </c>
      <c r="BC8" s="36" t="s">
        <v>163</v>
      </c>
      <c r="BD8" s="36" t="s">
        <v>103</v>
      </c>
      <c r="BE8" s="36" t="s">
        <v>75</v>
      </c>
      <c r="BF8" s="36" t="s">
        <v>133</v>
      </c>
      <c r="BG8" s="36" t="s">
        <v>248</v>
      </c>
      <c r="BH8" s="36" t="s">
        <v>75</v>
      </c>
      <c r="BI8" s="36" t="s">
        <v>104</v>
      </c>
      <c r="BJ8" s="36" t="s">
        <v>249</v>
      </c>
      <c r="BK8" s="36" t="s">
        <v>106</v>
      </c>
      <c r="BL8" s="36" t="s">
        <v>107</v>
      </c>
      <c r="BM8" s="36" t="s">
        <v>75</v>
      </c>
      <c r="BN8" s="36" t="s">
        <v>75</v>
      </c>
      <c r="BO8" s="36" t="s">
        <v>75</v>
      </c>
      <c r="BP8" s="36" t="s">
        <v>75</v>
      </c>
      <c r="BQ8" s="35" t="s">
        <v>250</v>
      </c>
      <c r="BR8" s="36" t="s">
        <v>251</v>
      </c>
      <c r="BS8" s="38" t="s">
        <v>252</v>
      </c>
    </row>
    <row r="9" spans="1:71">
      <c r="A9" s="35" t="s">
        <v>228</v>
      </c>
      <c r="B9" s="36" t="s">
        <v>112</v>
      </c>
      <c r="C9" s="36" t="s">
        <v>113</v>
      </c>
      <c r="D9" s="36" t="s">
        <v>74</v>
      </c>
      <c r="E9" s="36" t="s">
        <v>75</v>
      </c>
      <c r="F9" s="36" t="s">
        <v>229</v>
      </c>
      <c r="G9" s="36" t="s">
        <v>230</v>
      </c>
      <c r="H9" s="36" t="s">
        <v>231</v>
      </c>
      <c r="I9" s="36" t="s">
        <v>232</v>
      </c>
      <c r="J9" s="36" t="s">
        <v>233</v>
      </c>
      <c r="K9" s="36" t="s">
        <v>234</v>
      </c>
      <c r="L9" s="36" t="s">
        <v>235</v>
      </c>
      <c r="M9" s="36" t="s">
        <v>253</v>
      </c>
      <c r="N9" s="36" t="s">
        <v>254</v>
      </c>
      <c r="O9" s="35" t="s">
        <v>255</v>
      </c>
      <c r="P9" s="36" t="s">
        <v>151</v>
      </c>
      <c r="Q9" s="36" t="s">
        <v>152</v>
      </c>
      <c r="R9" s="36" t="s">
        <v>256</v>
      </c>
      <c r="S9" s="36" t="s">
        <v>257</v>
      </c>
      <c r="T9" s="35" t="s">
        <v>88</v>
      </c>
      <c r="U9" s="36" t="s">
        <v>75</v>
      </c>
      <c r="V9" s="36" t="s">
        <v>75</v>
      </c>
      <c r="W9" s="36" t="s">
        <v>240</v>
      </c>
      <c r="X9" s="37" t="s">
        <v>240</v>
      </c>
      <c r="Y9" s="35" t="s">
        <v>90</v>
      </c>
      <c r="Z9" s="36" t="s">
        <v>90</v>
      </c>
      <c r="AA9" s="36" t="s">
        <v>75</v>
      </c>
      <c r="AB9" s="36" t="s">
        <v>90</v>
      </c>
      <c r="AC9" s="36" t="s">
        <v>240</v>
      </c>
      <c r="AD9" s="36" t="s">
        <v>91</v>
      </c>
      <c r="AE9" s="36" t="s">
        <v>241</v>
      </c>
      <c r="AF9" s="36" t="s">
        <v>75</v>
      </c>
      <c r="AG9" s="36" t="s">
        <v>75</v>
      </c>
      <c r="AH9" s="36" t="s">
        <v>75</v>
      </c>
      <c r="AI9" s="36" t="s">
        <v>242</v>
      </c>
      <c r="AJ9" s="36" t="s">
        <v>75</v>
      </c>
      <c r="AK9" s="36" t="s">
        <v>94</v>
      </c>
      <c r="AL9" s="35" t="s">
        <v>90</v>
      </c>
      <c r="AM9" s="36" t="s">
        <v>95</v>
      </c>
      <c r="AN9" s="36" t="s">
        <v>258</v>
      </c>
      <c r="AO9" s="36" t="s">
        <v>75</v>
      </c>
      <c r="AP9" s="36" t="s">
        <v>75</v>
      </c>
      <c r="AQ9" s="36" t="s">
        <v>75</v>
      </c>
      <c r="AR9" s="36" t="s">
        <v>75</v>
      </c>
      <c r="AS9" s="36" t="s">
        <v>75</v>
      </c>
      <c r="AT9" s="36" t="s">
        <v>75</v>
      </c>
      <c r="AU9" s="36" t="s">
        <v>75</v>
      </c>
      <c r="AV9" s="36" t="s">
        <v>244</v>
      </c>
      <c r="AW9" s="36" t="s">
        <v>75</v>
      </c>
      <c r="AX9" s="36" t="s">
        <v>75</v>
      </c>
      <c r="AY9" s="36" t="s">
        <v>245</v>
      </c>
      <c r="AZ9" s="36" t="s">
        <v>259</v>
      </c>
      <c r="BA9" s="36" t="s">
        <v>260</v>
      </c>
      <c r="BB9" s="36" t="s">
        <v>101</v>
      </c>
      <c r="BC9" s="36" t="s">
        <v>163</v>
      </c>
      <c r="BD9" s="36" t="s">
        <v>103</v>
      </c>
      <c r="BE9" s="36" t="s">
        <v>75</v>
      </c>
      <c r="BF9" s="36" t="s">
        <v>133</v>
      </c>
      <c r="BG9" s="36" t="s">
        <v>248</v>
      </c>
      <c r="BH9" s="36" t="s">
        <v>75</v>
      </c>
      <c r="BI9" s="36" t="s">
        <v>104</v>
      </c>
      <c r="BJ9" s="36" t="s">
        <v>249</v>
      </c>
      <c r="BK9" s="36" t="s">
        <v>106</v>
      </c>
      <c r="BL9" s="36" t="s">
        <v>107</v>
      </c>
      <c r="BM9" s="36" t="s">
        <v>75</v>
      </c>
      <c r="BN9" s="36" t="s">
        <v>75</v>
      </c>
      <c r="BO9" s="36" t="s">
        <v>75</v>
      </c>
      <c r="BP9" s="36" t="s">
        <v>75</v>
      </c>
      <c r="BQ9" s="35" t="s">
        <v>261</v>
      </c>
      <c r="BR9" s="36" t="s">
        <v>251</v>
      </c>
      <c r="BS9" s="38" t="s">
        <v>252</v>
      </c>
    </row>
    <row r="10" spans="1:71">
      <c r="A10" s="35" t="s">
        <v>262</v>
      </c>
      <c r="B10" s="36" t="s">
        <v>112</v>
      </c>
      <c r="C10" s="36" t="s">
        <v>113</v>
      </c>
      <c r="D10" s="36" t="s">
        <v>74</v>
      </c>
      <c r="E10" s="36" t="s">
        <v>75</v>
      </c>
      <c r="F10" s="36" t="s">
        <v>263</v>
      </c>
      <c r="G10" s="36" t="s">
        <v>264</v>
      </c>
      <c r="H10" s="36" t="s">
        <v>265</v>
      </c>
      <c r="I10" s="36" t="s">
        <v>266</v>
      </c>
      <c r="J10" s="36" t="s">
        <v>267</v>
      </c>
      <c r="K10" s="36" t="s">
        <v>268</v>
      </c>
      <c r="L10" s="36" t="s">
        <v>269</v>
      </c>
      <c r="M10" s="36" t="s">
        <v>253</v>
      </c>
      <c r="N10" s="36" t="s">
        <v>254</v>
      </c>
      <c r="O10" s="35" t="s">
        <v>255</v>
      </c>
      <c r="P10" s="36" t="s">
        <v>151</v>
      </c>
      <c r="Q10" s="36" t="s">
        <v>152</v>
      </c>
      <c r="R10" s="36" t="s">
        <v>256</v>
      </c>
      <c r="S10" s="36" t="s">
        <v>257</v>
      </c>
      <c r="T10" s="35" t="s">
        <v>88</v>
      </c>
      <c r="U10" s="36" t="s">
        <v>75</v>
      </c>
      <c r="V10" s="36" t="s">
        <v>75</v>
      </c>
      <c r="W10" s="36" t="s">
        <v>240</v>
      </c>
      <c r="X10" s="37" t="s">
        <v>240</v>
      </c>
      <c r="Y10" s="35" t="s">
        <v>90</v>
      </c>
      <c r="Z10" s="36" t="s">
        <v>90</v>
      </c>
      <c r="AA10" s="36" t="s">
        <v>75</v>
      </c>
      <c r="AB10" s="36" t="s">
        <v>90</v>
      </c>
      <c r="AC10" s="36" t="s">
        <v>240</v>
      </c>
      <c r="AD10" s="36" t="s">
        <v>91</v>
      </c>
      <c r="AE10" s="36" t="s">
        <v>270</v>
      </c>
      <c r="AF10" s="36" t="s">
        <v>75</v>
      </c>
      <c r="AG10" s="36" t="s">
        <v>75</v>
      </c>
      <c r="AH10" s="36" t="s">
        <v>75</v>
      </c>
      <c r="AI10" s="36" t="s">
        <v>271</v>
      </c>
      <c r="AJ10" s="36" t="s">
        <v>75</v>
      </c>
      <c r="AK10" s="36" t="s">
        <v>94</v>
      </c>
      <c r="AL10" s="35" t="s">
        <v>90</v>
      </c>
      <c r="AM10" s="36" t="s">
        <v>95</v>
      </c>
      <c r="AN10" s="36" t="s">
        <v>272</v>
      </c>
      <c r="AO10" s="36" t="s">
        <v>75</v>
      </c>
      <c r="AP10" s="36" t="s">
        <v>75</v>
      </c>
      <c r="AQ10" s="36" t="s">
        <v>75</v>
      </c>
      <c r="AR10" s="36" t="s">
        <v>75</v>
      </c>
      <c r="AS10" s="36" t="s">
        <v>75</v>
      </c>
      <c r="AT10" s="36" t="s">
        <v>75</v>
      </c>
      <c r="AU10" s="36" t="s">
        <v>75</v>
      </c>
      <c r="AV10" s="36" t="s">
        <v>273</v>
      </c>
      <c r="AW10" s="36" t="s">
        <v>75</v>
      </c>
      <c r="AX10" s="36" t="s">
        <v>75</v>
      </c>
      <c r="AY10" s="36" t="s">
        <v>274</v>
      </c>
      <c r="AZ10" s="36" t="s">
        <v>275</v>
      </c>
      <c r="BA10" s="36" t="s">
        <v>276</v>
      </c>
      <c r="BB10" s="36" t="s">
        <v>101</v>
      </c>
      <c r="BC10" s="36" t="s">
        <v>163</v>
      </c>
      <c r="BD10" s="36" t="s">
        <v>103</v>
      </c>
      <c r="BE10" s="36" t="s">
        <v>75</v>
      </c>
      <c r="BF10" s="36" t="s">
        <v>133</v>
      </c>
      <c r="BG10" s="36" t="s">
        <v>277</v>
      </c>
      <c r="BH10" s="36" t="s">
        <v>75</v>
      </c>
      <c r="BI10" s="36" t="s">
        <v>104</v>
      </c>
      <c r="BJ10" s="36" t="s">
        <v>278</v>
      </c>
      <c r="BK10" s="36" t="s">
        <v>106</v>
      </c>
      <c r="BL10" s="36" t="s">
        <v>107</v>
      </c>
      <c r="BM10" s="36" t="s">
        <v>75</v>
      </c>
      <c r="BN10" s="36" t="s">
        <v>75</v>
      </c>
      <c r="BO10" s="36" t="s">
        <v>75</v>
      </c>
      <c r="BP10" s="36" t="s">
        <v>75</v>
      </c>
      <c r="BQ10" s="35" t="s">
        <v>261</v>
      </c>
      <c r="BR10" s="36" t="s">
        <v>251</v>
      </c>
      <c r="BS10" s="38" t="s">
        <v>252</v>
      </c>
    </row>
    <row r="11" spans="1:71">
      <c r="A11" s="35" t="s">
        <v>279</v>
      </c>
      <c r="B11" s="36" t="s">
        <v>112</v>
      </c>
      <c r="C11" s="36" t="s">
        <v>113</v>
      </c>
      <c r="D11" s="36" t="s">
        <v>74</v>
      </c>
      <c r="E11" s="36" t="s">
        <v>75</v>
      </c>
      <c r="F11" s="36" t="s">
        <v>280</v>
      </c>
      <c r="G11" s="36" t="s">
        <v>281</v>
      </c>
      <c r="H11" s="36" t="s">
        <v>282</v>
      </c>
      <c r="I11" s="36" t="s">
        <v>283</v>
      </c>
      <c r="J11" s="36" t="s">
        <v>284</v>
      </c>
      <c r="K11" s="36" t="s">
        <v>285</v>
      </c>
      <c r="L11" s="36" t="s">
        <v>286</v>
      </c>
      <c r="M11" s="36" t="s">
        <v>287</v>
      </c>
      <c r="N11" s="36" t="s">
        <v>288</v>
      </c>
      <c r="O11" s="35" t="s">
        <v>289</v>
      </c>
      <c r="P11" s="36" t="s">
        <v>151</v>
      </c>
      <c r="Q11" s="36" t="s">
        <v>152</v>
      </c>
      <c r="R11" s="36" t="s">
        <v>290</v>
      </c>
      <c r="S11" s="36" t="s">
        <v>291</v>
      </c>
      <c r="T11" s="35" t="s">
        <v>88</v>
      </c>
      <c r="U11" s="36" t="s">
        <v>75</v>
      </c>
      <c r="V11" s="36" t="s">
        <v>75</v>
      </c>
      <c r="W11" s="36" t="s">
        <v>240</v>
      </c>
      <c r="X11" s="37" t="s">
        <v>240</v>
      </c>
      <c r="Y11" s="35" t="s">
        <v>90</v>
      </c>
      <c r="Z11" s="36" t="s">
        <v>90</v>
      </c>
      <c r="AA11" s="36" t="s">
        <v>75</v>
      </c>
      <c r="AB11" s="36" t="s">
        <v>90</v>
      </c>
      <c r="AC11" s="36" t="s">
        <v>240</v>
      </c>
      <c r="AD11" s="36" t="s">
        <v>292</v>
      </c>
      <c r="AE11" s="36" t="s">
        <v>293</v>
      </c>
      <c r="AF11" s="36" t="s">
        <v>75</v>
      </c>
      <c r="AG11" s="36" t="s">
        <v>75</v>
      </c>
      <c r="AH11" s="36" t="s">
        <v>75</v>
      </c>
      <c r="AI11" s="36" t="s">
        <v>294</v>
      </c>
      <c r="AJ11" s="36" t="s">
        <v>75</v>
      </c>
      <c r="AK11" s="36" t="s">
        <v>94</v>
      </c>
      <c r="AL11" s="35" t="s">
        <v>90</v>
      </c>
      <c r="AM11" s="36" t="s">
        <v>95</v>
      </c>
      <c r="AN11" s="36" t="s">
        <v>295</v>
      </c>
      <c r="AO11" s="36" t="s">
        <v>75</v>
      </c>
      <c r="AP11" s="36" t="s">
        <v>75</v>
      </c>
      <c r="AQ11" s="36" t="s">
        <v>75</v>
      </c>
      <c r="AR11" s="36" t="s">
        <v>75</v>
      </c>
      <c r="AS11" s="36" t="s">
        <v>75</v>
      </c>
      <c r="AT11" s="36" t="s">
        <v>75</v>
      </c>
      <c r="AU11" s="36" t="s">
        <v>75</v>
      </c>
      <c r="AV11" s="36" t="s">
        <v>296</v>
      </c>
      <c r="AW11" s="36" t="s">
        <v>75</v>
      </c>
      <c r="AX11" s="36" t="s">
        <v>75</v>
      </c>
      <c r="AY11" s="36" t="s">
        <v>297</v>
      </c>
      <c r="AZ11" s="36" t="s">
        <v>298</v>
      </c>
      <c r="BA11" s="36" t="s">
        <v>299</v>
      </c>
      <c r="BB11" s="36" t="s">
        <v>101</v>
      </c>
      <c r="BC11" s="36" t="s">
        <v>163</v>
      </c>
      <c r="BD11" s="36" t="s">
        <v>103</v>
      </c>
      <c r="BE11" s="36" t="s">
        <v>75</v>
      </c>
      <c r="BF11" s="36" t="s">
        <v>133</v>
      </c>
      <c r="BG11" s="36" t="s">
        <v>300</v>
      </c>
      <c r="BH11" s="36" t="s">
        <v>75</v>
      </c>
      <c r="BI11" s="36" t="s">
        <v>104</v>
      </c>
      <c r="BJ11" s="36" t="s">
        <v>301</v>
      </c>
      <c r="BK11" s="36" t="s">
        <v>106</v>
      </c>
      <c r="BL11" s="36" t="s">
        <v>107</v>
      </c>
      <c r="BM11" s="36" t="s">
        <v>75</v>
      </c>
      <c r="BN11" s="36" t="s">
        <v>75</v>
      </c>
      <c r="BO11" s="36" t="s">
        <v>75</v>
      </c>
      <c r="BP11" s="36" t="s">
        <v>75</v>
      </c>
      <c r="BQ11" s="35" t="s">
        <v>302</v>
      </c>
      <c r="BR11" s="36" t="s">
        <v>251</v>
      </c>
      <c r="BS11" s="38" t="s">
        <v>252</v>
      </c>
    </row>
    <row r="12" spans="1:71">
      <c r="A12" s="35" t="s">
        <v>303</v>
      </c>
      <c r="B12" s="36" t="s">
        <v>72</v>
      </c>
      <c r="C12" s="36" t="s">
        <v>113</v>
      </c>
      <c r="D12" s="36" t="s">
        <v>74</v>
      </c>
      <c r="E12" s="36" t="s">
        <v>75</v>
      </c>
      <c r="F12" s="36" t="s">
        <v>263</v>
      </c>
      <c r="G12" s="36" t="s">
        <v>304</v>
      </c>
      <c r="H12" s="36" t="s">
        <v>305</v>
      </c>
      <c r="I12" s="36" t="s">
        <v>144</v>
      </c>
      <c r="J12" s="36" t="s">
        <v>306</v>
      </c>
      <c r="K12" s="36" t="s">
        <v>307</v>
      </c>
      <c r="L12" s="36" t="s">
        <v>308</v>
      </c>
      <c r="M12" s="36" t="s">
        <v>287</v>
      </c>
      <c r="N12" s="36" t="s">
        <v>288</v>
      </c>
      <c r="O12" s="35" t="s">
        <v>289</v>
      </c>
      <c r="P12" s="36" t="s">
        <v>151</v>
      </c>
      <c r="Q12" s="36" t="s">
        <v>152</v>
      </c>
      <c r="R12" s="36" t="s">
        <v>290</v>
      </c>
      <c r="S12" s="36" t="s">
        <v>291</v>
      </c>
      <c r="T12" s="35" t="s">
        <v>88</v>
      </c>
      <c r="U12" s="36" t="s">
        <v>75</v>
      </c>
      <c r="V12" s="36" t="s">
        <v>75</v>
      </c>
      <c r="W12" s="36" t="s">
        <v>240</v>
      </c>
      <c r="X12" s="37" t="s">
        <v>240</v>
      </c>
      <c r="Y12" s="35" t="s">
        <v>90</v>
      </c>
      <c r="Z12" s="36" t="s">
        <v>90</v>
      </c>
      <c r="AA12" s="36" t="s">
        <v>75</v>
      </c>
      <c r="AB12" s="36" t="s">
        <v>90</v>
      </c>
      <c r="AC12" s="36" t="s">
        <v>240</v>
      </c>
      <c r="AD12" s="36" t="s">
        <v>215</v>
      </c>
      <c r="AE12" s="36" t="s">
        <v>309</v>
      </c>
      <c r="AF12" s="36" t="s">
        <v>75</v>
      </c>
      <c r="AG12" s="36" t="s">
        <v>75</v>
      </c>
      <c r="AH12" s="36" t="s">
        <v>75</v>
      </c>
      <c r="AI12" s="36" t="s">
        <v>310</v>
      </c>
      <c r="AJ12" s="36" t="s">
        <v>75</v>
      </c>
      <c r="AK12" s="36" t="s">
        <v>94</v>
      </c>
      <c r="AL12" s="35" t="s">
        <v>90</v>
      </c>
      <c r="AM12" s="36" t="s">
        <v>95</v>
      </c>
      <c r="AN12" s="36" t="s">
        <v>311</v>
      </c>
      <c r="AO12" s="36" t="s">
        <v>75</v>
      </c>
      <c r="AP12" s="36" t="s">
        <v>75</v>
      </c>
      <c r="AQ12" s="36" t="s">
        <v>75</v>
      </c>
      <c r="AR12" s="36" t="s">
        <v>75</v>
      </c>
      <c r="AS12" s="36" t="s">
        <v>75</v>
      </c>
      <c r="AT12" s="36" t="s">
        <v>75</v>
      </c>
      <c r="AU12" s="36" t="s">
        <v>75</v>
      </c>
      <c r="AV12" s="36" t="s">
        <v>312</v>
      </c>
      <c r="AW12" s="36" t="s">
        <v>75</v>
      </c>
      <c r="AX12" s="36" t="s">
        <v>75</v>
      </c>
      <c r="AY12" s="36" t="s">
        <v>313</v>
      </c>
      <c r="AZ12" s="36" t="s">
        <v>298</v>
      </c>
      <c r="BA12" s="36" t="s">
        <v>299</v>
      </c>
      <c r="BB12" s="36" t="s">
        <v>101</v>
      </c>
      <c r="BC12" s="36" t="s">
        <v>163</v>
      </c>
      <c r="BD12" s="36" t="s">
        <v>103</v>
      </c>
      <c r="BE12" s="36" t="s">
        <v>75</v>
      </c>
      <c r="BF12" s="36" t="s">
        <v>133</v>
      </c>
      <c r="BG12" s="36" t="s">
        <v>314</v>
      </c>
      <c r="BH12" s="36" t="s">
        <v>75</v>
      </c>
      <c r="BI12" s="36" t="s">
        <v>104</v>
      </c>
      <c r="BJ12" s="36" t="s">
        <v>315</v>
      </c>
      <c r="BK12" s="36" t="s">
        <v>106</v>
      </c>
      <c r="BL12" s="36" t="s">
        <v>107</v>
      </c>
      <c r="BM12" s="36" t="s">
        <v>75</v>
      </c>
      <c r="BN12" s="36" t="s">
        <v>75</v>
      </c>
      <c r="BO12" s="36" t="s">
        <v>75</v>
      </c>
      <c r="BP12" s="36" t="s">
        <v>75</v>
      </c>
      <c r="BQ12" s="35" t="s">
        <v>302</v>
      </c>
      <c r="BR12" s="36" t="s">
        <v>251</v>
      </c>
      <c r="BS12" s="38" t="s">
        <v>252</v>
      </c>
    </row>
    <row r="13" spans="1:71">
      <c r="A13" s="35" t="s">
        <v>316</v>
      </c>
      <c r="B13" s="36" t="s">
        <v>112</v>
      </c>
      <c r="C13" s="36" t="s">
        <v>113</v>
      </c>
      <c r="D13" s="36" t="s">
        <v>74</v>
      </c>
      <c r="E13" s="36" t="s">
        <v>75</v>
      </c>
      <c r="F13" s="36" t="s">
        <v>317</v>
      </c>
      <c r="G13" s="36" t="s">
        <v>318</v>
      </c>
      <c r="H13" s="36" t="s">
        <v>319</v>
      </c>
      <c r="I13" s="36" t="s">
        <v>205</v>
      </c>
      <c r="J13" s="36" t="s">
        <v>206</v>
      </c>
      <c r="K13" s="36" t="s">
        <v>320</v>
      </c>
      <c r="L13" s="36" t="s">
        <v>321</v>
      </c>
      <c r="M13" s="36" t="s">
        <v>322</v>
      </c>
      <c r="N13" s="36" t="s">
        <v>323</v>
      </c>
      <c r="O13" s="35" t="s">
        <v>324</v>
      </c>
      <c r="P13" s="36" t="s">
        <v>151</v>
      </c>
      <c r="Q13" s="36" t="s">
        <v>152</v>
      </c>
      <c r="R13" s="36" t="s">
        <v>325</v>
      </c>
      <c r="S13" s="36" t="s">
        <v>326</v>
      </c>
      <c r="T13" s="35" t="s">
        <v>88</v>
      </c>
      <c r="U13" s="36" t="s">
        <v>75</v>
      </c>
      <c r="V13" s="36" t="s">
        <v>75</v>
      </c>
      <c r="W13" s="36" t="s">
        <v>327</v>
      </c>
      <c r="X13" s="37" t="s">
        <v>327</v>
      </c>
      <c r="Y13" s="35" t="s">
        <v>90</v>
      </c>
      <c r="Z13" s="36" t="s">
        <v>90</v>
      </c>
      <c r="AA13" s="36" t="s">
        <v>75</v>
      </c>
      <c r="AB13" s="36" t="s">
        <v>90</v>
      </c>
      <c r="AC13" s="36" t="s">
        <v>327</v>
      </c>
      <c r="AD13" s="36" t="s">
        <v>215</v>
      </c>
      <c r="AE13" s="36" t="s">
        <v>328</v>
      </c>
      <c r="AF13" s="36" t="s">
        <v>75</v>
      </c>
      <c r="AG13" s="36" t="s">
        <v>75</v>
      </c>
      <c r="AH13" s="36" t="s">
        <v>75</v>
      </c>
      <c r="AI13" s="36" t="s">
        <v>329</v>
      </c>
      <c r="AJ13" s="36" t="s">
        <v>75</v>
      </c>
      <c r="AK13" s="36" t="s">
        <v>94</v>
      </c>
      <c r="AL13" s="35" t="s">
        <v>90</v>
      </c>
      <c r="AM13" s="36" t="s">
        <v>95</v>
      </c>
      <c r="AN13" s="36" t="s">
        <v>330</v>
      </c>
      <c r="AO13" s="36" t="s">
        <v>75</v>
      </c>
      <c r="AP13" s="36" t="s">
        <v>75</v>
      </c>
      <c r="AQ13" s="36" t="s">
        <v>75</v>
      </c>
      <c r="AR13" s="36" t="s">
        <v>75</v>
      </c>
      <c r="AS13" s="36" t="s">
        <v>75</v>
      </c>
      <c r="AT13" s="36" t="s">
        <v>75</v>
      </c>
      <c r="AU13" s="36" t="s">
        <v>75</v>
      </c>
      <c r="AV13" s="36" t="s">
        <v>331</v>
      </c>
      <c r="AW13" s="36" t="s">
        <v>75</v>
      </c>
      <c r="AX13" s="36" t="s">
        <v>75</v>
      </c>
      <c r="AY13" s="36" t="s">
        <v>332</v>
      </c>
      <c r="AZ13" s="36" t="s">
        <v>333</v>
      </c>
      <c r="BA13" s="36" t="s">
        <v>75</v>
      </c>
      <c r="BB13" s="36" t="s">
        <v>101</v>
      </c>
      <c r="BC13" s="36" t="s">
        <v>75</v>
      </c>
      <c r="BD13" s="36" t="s">
        <v>103</v>
      </c>
      <c r="BE13" s="36" t="s">
        <v>75</v>
      </c>
      <c r="BF13" s="36" t="s">
        <v>133</v>
      </c>
      <c r="BG13" s="36" t="s">
        <v>334</v>
      </c>
      <c r="BH13" s="36" t="s">
        <v>75</v>
      </c>
      <c r="BI13" s="36" t="s">
        <v>104</v>
      </c>
      <c r="BJ13" s="36" t="s">
        <v>335</v>
      </c>
      <c r="BK13" s="36" t="s">
        <v>106</v>
      </c>
      <c r="BL13" s="36" t="s">
        <v>107</v>
      </c>
      <c r="BM13" s="36" t="s">
        <v>75</v>
      </c>
      <c r="BN13" s="36" t="s">
        <v>75</v>
      </c>
      <c r="BO13" s="36" t="s">
        <v>75</v>
      </c>
      <c r="BP13" s="36" t="s">
        <v>75</v>
      </c>
      <c r="BQ13" s="35" t="s">
        <v>336</v>
      </c>
      <c r="BR13" s="36" t="s">
        <v>337</v>
      </c>
      <c r="BS13" s="38" t="s">
        <v>338</v>
      </c>
    </row>
    <row r="14" spans="1:71">
      <c r="A14" s="35" t="s">
        <v>339</v>
      </c>
      <c r="B14" s="36" t="s">
        <v>72</v>
      </c>
      <c r="C14" s="36" t="s">
        <v>73</v>
      </c>
      <c r="D14" s="36" t="s">
        <v>74</v>
      </c>
      <c r="E14" s="36" t="s">
        <v>75</v>
      </c>
      <c r="F14" s="36" t="s">
        <v>340</v>
      </c>
      <c r="G14" s="36" t="s">
        <v>341</v>
      </c>
      <c r="H14" s="36" t="s">
        <v>342</v>
      </c>
      <c r="I14" s="36" t="s">
        <v>343</v>
      </c>
      <c r="J14" s="36" t="s">
        <v>344</v>
      </c>
      <c r="K14" s="36" t="s">
        <v>345</v>
      </c>
      <c r="L14" s="36" t="s">
        <v>346</v>
      </c>
      <c r="M14" s="36" t="s">
        <v>347</v>
      </c>
      <c r="N14" s="36" t="s">
        <v>348</v>
      </c>
      <c r="O14" s="35" t="s">
        <v>349</v>
      </c>
      <c r="P14" s="36" t="s">
        <v>151</v>
      </c>
      <c r="Q14" s="36" t="s">
        <v>152</v>
      </c>
      <c r="R14" s="36" t="s">
        <v>350</v>
      </c>
      <c r="S14" s="36" t="s">
        <v>351</v>
      </c>
      <c r="T14" s="35" t="s">
        <v>88</v>
      </c>
      <c r="U14" s="36" t="s">
        <v>75</v>
      </c>
      <c r="V14" s="36" t="s">
        <v>75</v>
      </c>
      <c r="W14" s="36" t="s">
        <v>327</v>
      </c>
      <c r="X14" s="37" t="s">
        <v>327</v>
      </c>
      <c r="Y14" s="35" t="s">
        <v>90</v>
      </c>
      <c r="Z14" s="36" t="s">
        <v>90</v>
      </c>
      <c r="AA14" s="36" t="s">
        <v>75</v>
      </c>
      <c r="AB14" s="36" t="s">
        <v>90</v>
      </c>
      <c r="AC14" s="36" t="s">
        <v>327</v>
      </c>
      <c r="AD14" s="36" t="s">
        <v>352</v>
      </c>
      <c r="AE14" s="36" t="s">
        <v>75</v>
      </c>
      <c r="AF14" s="36" t="s">
        <v>75</v>
      </c>
      <c r="AG14" s="36" t="s">
        <v>75</v>
      </c>
      <c r="AH14" s="36" t="s">
        <v>75</v>
      </c>
      <c r="AI14" s="36" t="s">
        <v>353</v>
      </c>
      <c r="AJ14" s="36" t="s">
        <v>75</v>
      </c>
      <c r="AK14" s="36" t="s">
        <v>94</v>
      </c>
      <c r="AL14" s="35" t="s">
        <v>90</v>
      </c>
      <c r="AM14" s="36" t="s">
        <v>95</v>
      </c>
      <c r="AN14" s="36" t="s">
        <v>354</v>
      </c>
      <c r="AO14" s="36" t="s">
        <v>75</v>
      </c>
      <c r="AP14" s="36" t="s">
        <v>75</v>
      </c>
      <c r="AQ14" s="36" t="s">
        <v>75</v>
      </c>
      <c r="AR14" s="36" t="s">
        <v>75</v>
      </c>
      <c r="AS14" s="36" t="s">
        <v>75</v>
      </c>
      <c r="AT14" s="36" t="s">
        <v>75</v>
      </c>
      <c r="AU14" s="36" t="s">
        <v>75</v>
      </c>
      <c r="AV14" s="36" t="s">
        <v>353</v>
      </c>
      <c r="AW14" s="36" t="s">
        <v>75</v>
      </c>
      <c r="AX14" s="36" t="s">
        <v>75</v>
      </c>
      <c r="AY14" s="36" t="s">
        <v>355</v>
      </c>
      <c r="AZ14" s="36" t="s">
        <v>356</v>
      </c>
      <c r="BA14" s="36" t="s">
        <v>357</v>
      </c>
      <c r="BB14" s="36" t="s">
        <v>101</v>
      </c>
      <c r="BC14" s="36" t="s">
        <v>102</v>
      </c>
      <c r="BD14" s="36" t="s">
        <v>103</v>
      </c>
      <c r="BE14" s="36" t="s">
        <v>75</v>
      </c>
      <c r="BF14" s="36" t="s">
        <v>75</v>
      </c>
      <c r="BG14" s="36" t="s">
        <v>75</v>
      </c>
      <c r="BH14" s="36" t="s">
        <v>75</v>
      </c>
      <c r="BI14" s="36" t="s">
        <v>104</v>
      </c>
      <c r="BJ14" s="36" t="s">
        <v>358</v>
      </c>
      <c r="BK14" s="36" t="s">
        <v>106</v>
      </c>
      <c r="BL14" s="36" t="s">
        <v>107</v>
      </c>
      <c r="BM14" s="36" t="s">
        <v>75</v>
      </c>
      <c r="BN14" s="36" t="s">
        <v>75</v>
      </c>
      <c r="BO14" s="36" t="s">
        <v>75</v>
      </c>
      <c r="BP14" s="36" t="s">
        <v>75</v>
      </c>
      <c r="BQ14" s="35" t="s">
        <v>359</v>
      </c>
      <c r="BR14" s="36" t="s">
        <v>360</v>
      </c>
      <c r="BS14" s="38" t="s">
        <v>361</v>
      </c>
    </row>
    <row r="15" spans="1:71">
      <c r="A15" s="35" t="s">
        <v>362</v>
      </c>
      <c r="B15" s="36" t="s">
        <v>72</v>
      </c>
      <c r="C15" s="36" t="s">
        <v>73</v>
      </c>
      <c r="D15" s="36" t="s">
        <v>74</v>
      </c>
      <c r="E15" s="36" t="s">
        <v>75</v>
      </c>
      <c r="F15" s="36" t="s">
        <v>363</v>
      </c>
      <c r="G15" s="36" t="s">
        <v>364</v>
      </c>
      <c r="H15" s="36" t="s">
        <v>365</v>
      </c>
      <c r="I15" s="36" t="s">
        <v>79</v>
      </c>
      <c r="J15" s="36" t="s">
        <v>80</v>
      </c>
      <c r="K15" s="36" t="s">
        <v>366</v>
      </c>
      <c r="L15" s="36" t="s">
        <v>367</v>
      </c>
      <c r="M15" s="36" t="s">
        <v>368</v>
      </c>
      <c r="N15" s="36" t="s">
        <v>369</v>
      </c>
      <c r="O15" s="35" t="s">
        <v>370</v>
      </c>
      <c r="P15" s="36" t="s">
        <v>151</v>
      </c>
      <c r="Q15" s="36" t="s">
        <v>152</v>
      </c>
      <c r="R15" s="36" t="s">
        <v>371</v>
      </c>
      <c r="S15" s="36" t="s">
        <v>372</v>
      </c>
      <c r="T15" s="35" t="s">
        <v>88</v>
      </c>
      <c r="U15" s="36" t="s">
        <v>75</v>
      </c>
      <c r="V15" s="36" t="s">
        <v>75</v>
      </c>
      <c r="W15" s="36" t="s">
        <v>373</v>
      </c>
      <c r="X15" s="37" t="s">
        <v>373</v>
      </c>
      <c r="Y15" s="35" t="s">
        <v>90</v>
      </c>
      <c r="Z15" s="36" t="s">
        <v>90</v>
      </c>
      <c r="AA15" s="36" t="s">
        <v>75</v>
      </c>
      <c r="AB15" s="36" t="s">
        <v>90</v>
      </c>
      <c r="AC15" s="36" t="s">
        <v>373</v>
      </c>
      <c r="AD15" s="36" t="s">
        <v>374</v>
      </c>
      <c r="AE15" s="36" t="s">
        <v>375</v>
      </c>
      <c r="AF15" s="36" t="s">
        <v>75</v>
      </c>
      <c r="AG15" s="36" t="s">
        <v>75</v>
      </c>
      <c r="AH15" s="36" t="s">
        <v>75</v>
      </c>
      <c r="AI15" s="36" t="s">
        <v>376</v>
      </c>
      <c r="AJ15" s="36" t="s">
        <v>75</v>
      </c>
      <c r="AK15" s="36" t="s">
        <v>94</v>
      </c>
      <c r="AL15" s="35" t="s">
        <v>90</v>
      </c>
      <c r="AM15" s="36" t="s">
        <v>95</v>
      </c>
      <c r="AN15" s="36" t="s">
        <v>377</v>
      </c>
      <c r="AO15" s="36" t="s">
        <v>75</v>
      </c>
      <c r="AP15" s="36" t="s">
        <v>75</v>
      </c>
      <c r="AQ15" s="36" t="s">
        <v>75</v>
      </c>
      <c r="AR15" s="36" t="s">
        <v>75</v>
      </c>
      <c r="AS15" s="36" t="s">
        <v>75</v>
      </c>
      <c r="AT15" s="36" t="s">
        <v>75</v>
      </c>
      <c r="AU15" s="36" t="s">
        <v>75</v>
      </c>
      <c r="AV15" s="36" t="s">
        <v>378</v>
      </c>
      <c r="AW15" s="36" t="s">
        <v>75</v>
      </c>
      <c r="AX15" s="36" t="s">
        <v>75</v>
      </c>
      <c r="AY15" s="36" t="s">
        <v>379</v>
      </c>
      <c r="AZ15" s="36" t="s">
        <v>380</v>
      </c>
      <c r="BA15" s="36" t="s">
        <v>381</v>
      </c>
      <c r="BB15" s="36" t="s">
        <v>101</v>
      </c>
      <c r="BC15" s="36" t="s">
        <v>102</v>
      </c>
      <c r="BD15" s="36" t="s">
        <v>103</v>
      </c>
      <c r="BE15" s="36" t="s">
        <v>75</v>
      </c>
      <c r="BF15" s="36" t="s">
        <v>75</v>
      </c>
      <c r="BG15" s="36" t="s">
        <v>75</v>
      </c>
      <c r="BH15" s="36" t="s">
        <v>75</v>
      </c>
      <c r="BI15" s="36" t="s">
        <v>104</v>
      </c>
      <c r="BJ15" s="36" t="s">
        <v>382</v>
      </c>
      <c r="BK15" s="36" t="s">
        <v>106</v>
      </c>
      <c r="BL15" s="36" t="s">
        <v>107</v>
      </c>
      <c r="BM15" s="36" t="s">
        <v>75</v>
      </c>
      <c r="BN15" s="36" t="s">
        <v>75</v>
      </c>
      <c r="BO15" s="36" t="s">
        <v>75</v>
      </c>
      <c r="BP15" s="36" t="s">
        <v>75</v>
      </c>
      <c r="BQ15" s="35" t="s">
        <v>383</v>
      </c>
      <c r="BR15" s="36" t="s">
        <v>384</v>
      </c>
      <c r="BS15" s="38" t="s">
        <v>385</v>
      </c>
    </row>
    <row r="16" spans="1:71">
      <c r="A16" s="35" t="s">
        <v>386</v>
      </c>
      <c r="B16" s="36" t="s">
        <v>72</v>
      </c>
      <c r="C16" s="36" t="s">
        <v>73</v>
      </c>
      <c r="D16" s="36" t="s">
        <v>74</v>
      </c>
      <c r="E16" s="36" t="s">
        <v>75</v>
      </c>
      <c r="F16" s="36" t="s">
        <v>387</v>
      </c>
      <c r="G16" s="36" t="s">
        <v>388</v>
      </c>
      <c r="H16" s="36" t="s">
        <v>389</v>
      </c>
      <c r="I16" s="36" t="s">
        <v>390</v>
      </c>
      <c r="J16" s="36" t="s">
        <v>391</v>
      </c>
      <c r="K16" s="36" t="s">
        <v>392</v>
      </c>
      <c r="L16" s="36" t="s">
        <v>393</v>
      </c>
      <c r="M16" s="36" t="s">
        <v>394</v>
      </c>
      <c r="N16" s="36" t="s">
        <v>395</v>
      </c>
      <c r="O16" s="35" t="s">
        <v>396</v>
      </c>
      <c r="P16" s="36" t="s">
        <v>151</v>
      </c>
      <c r="Q16" s="36" t="s">
        <v>152</v>
      </c>
      <c r="R16" s="36" t="s">
        <v>397</v>
      </c>
      <c r="S16" s="36" t="s">
        <v>187</v>
      </c>
      <c r="T16" s="35" t="s">
        <v>88</v>
      </c>
      <c r="U16" s="36" t="s">
        <v>75</v>
      </c>
      <c r="V16" s="36" t="s">
        <v>75</v>
      </c>
      <c r="W16" s="36" t="s">
        <v>373</v>
      </c>
      <c r="X16" s="37" t="s">
        <v>373</v>
      </c>
      <c r="Y16" s="35" t="s">
        <v>90</v>
      </c>
      <c r="Z16" s="36" t="s">
        <v>90</v>
      </c>
      <c r="AA16" s="36" t="s">
        <v>75</v>
      </c>
      <c r="AB16" s="36" t="s">
        <v>90</v>
      </c>
      <c r="AC16" s="36" t="s">
        <v>373</v>
      </c>
      <c r="AD16" s="36" t="s">
        <v>215</v>
      </c>
      <c r="AE16" s="36" t="s">
        <v>398</v>
      </c>
      <c r="AF16" s="36" t="s">
        <v>75</v>
      </c>
      <c r="AG16" s="36" t="s">
        <v>75</v>
      </c>
      <c r="AH16" s="36" t="s">
        <v>75</v>
      </c>
      <c r="AI16" s="36" t="s">
        <v>399</v>
      </c>
      <c r="AJ16" s="36" t="s">
        <v>75</v>
      </c>
      <c r="AK16" s="36" t="s">
        <v>94</v>
      </c>
      <c r="AL16" s="35" t="s">
        <v>90</v>
      </c>
      <c r="AM16" s="36" t="s">
        <v>95</v>
      </c>
      <c r="AN16" s="36" t="s">
        <v>400</v>
      </c>
      <c r="AO16" s="36" t="s">
        <v>75</v>
      </c>
      <c r="AP16" s="36" t="s">
        <v>75</v>
      </c>
      <c r="AQ16" s="36" t="s">
        <v>75</v>
      </c>
      <c r="AR16" s="36" t="s">
        <v>75</v>
      </c>
      <c r="AS16" s="36" t="s">
        <v>75</v>
      </c>
      <c r="AT16" s="36" t="s">
        <v>75</v>
      </c>
      <c r="AU16" s="36" t="s">
        <v>75</v>
      </c>
      <c r="AV16" s="36" t="s">
        <v>401</v>
      </c>
      <c r="AW16" s="36" t="s">
        <v>75</v>
      </c>
      <c r="AX16" s="36" t="s">
        <v>75</v>
      </c>
      <c r="AY16" s="36" t="s">
        <v>402</v>
      </c>
      <c r="AZ16" s="36" t="s">
        <v>403</v>
      </c>
      <c r="BA16" s="36" t="s">
        <v>404</v>
      </c>
      <c r="BB16" s="36" t="s">
        <v>101</v>
      </c>
      <c r="BC16" s="36" t="s">
        <v>102</v>
      </c>
      <c r="BD16" s="36" t="s">
        <v>103</v>
      </c>
      <c r="BE16" s="36" t="s">
        <v>75</v>
      </c>
      <c r="BF16" s="36" t="s">
        <v>75</v>
      </c>
      <c r="BG16" s="36" t="s">
        <v>75</v>
      </c>
      <c r="BH16" s="36" t="s">
        <v>75</v>
      </c>
      <c r="BI16" s="36" t="s">
        <v>104</v>
      </c>
      <c r="BJ16" s="36" t="s">
        <v>405</v>
      </c>
      <c r="BK16" s="36" t="s">
        <v>106</v>
      </c>
      <c r="BL16" s="36" t="s">
        <v>107</v>
      </c>
      <c r="BM16" s="36" t="s">
        <v>75</v>
      </c>
      <c r="BN16" s="36" t="s">
        <v>75</v>
      </c>
      <c r="BO16" s="36" t="s">
        <v>75</v>
      </c>
      <c r="BP16" s="36" t="s">
        <v>75</v>
      </c>
      <c r="BQ16" s="35" t="s">
        <v>406</v>
      </c>
      <c r="BR16" s="36" t="s">
        <v>407</v>
      </c>
      <c r="BS16" s="38" t="s">
        <v>408</v>
      </c>
    </row>
    <row r="17" spans="1:71">
      <c r="A17" s="35" t="s">
        <v>409</v>
      </c>
      <c r="B17" s="36" t="s">
        <v>112</v>
      </c>
      <c r="C17" s="36" t="s">
        <v>113</v>
      </c>
      <c r="D17" s="36" t="s">
        <v>74</v>
      </c>
      <c r="E17" s="36" t="s">
        <v>75</v>
      </c>
      <c r="F17" s="36" t="s">
        <v>410</v>
      </c>
      <c r="G17" s="36" t="s">
        <v>411</v>
      </c>
      <c r="H17" s="36" t="s">
        <v>412</v>
      </c>
      <c r="I17" s="36" t="s">
        <v>413</v>
      </c>
      <c r="J17" s="36" t="s">
        <v>414</v>
      </c>
      <c r="K17" s="36" t="s">
        <v>415</v>
      </c>
      <c r="L17" s="36" t="s">
        <v>416</v>
      </c>
      <c r="M17" s="36" t="s">
        <v>417</v>
      </c>
      <c r="N17" s="36" t="s">
        <v>418</v>
      </c>
      <c r="O17" s="35" t="s">
        <v>419</v>
      </c>
      <c r="P17" s="36" t="s">
        <v>75</v>
      </c>
      <c r="Q17" s="36" t="s">
        <v>75</v>
      </c>
      <c r="R17" s="36" t="s">
        <v>420</v>
      </c>
      <c r="S17" s="36" t="s">
        <v>257</v>
      </c>
      <c r="T17" s="35" t="s">
        <v>88</v>
      </c>
      <c r="U17" s="36" t="s">
        <v>75</v>
      </c>
      <c r="V17" s="36" t="s">
        <v>75</v>
      </c>
      <c r="W17" s="36" t="s">
        <v>421</v>
      </c>
      <c r="X17" s="37" t="s">
        <v>421</v>
      </c>
      <c r="Y17" s="35" t="s">
        <v>90</v>
      </c>
      <c r="Z17" s="36" t="s">
        <v>90</v>
      </c>
      <c r="AA17" s="36" t="s">
        <v>75</v>
      </c>
      <c r="AB17" s="36" t="s">
        <v>90</v>
      </c>
      <c r="AC17" s="36" t="s">
        <v>421</v>
      </c>
      <c r="AD17" s="36" t="s">
        <v>215</v>
      </c>
      <c r="AE17" s="36" t="s">
        <v>422</v>
      </c>
      <c r="AF17" s="36" t="s">
        <v>75</v>
      </c>
      <c r="AG17" s="36" t="s">
        <v>75</v>
      </c>
      <c r="AH17" s="36" t="s">
        <v>75</v>
      </c>
      <c r="AI17" s="36" t="s">
        <v>423</v>
      </c>
      <c r="AJ17" s="36" t="s">
        <v>75</v>
      </c>
      <c r="AK17" s="36" t="s">
        <v>94</v>
      </c>
      <c r="AL17" s="35" t="s">
        <v>90</v>
      </c>
      <c r="AM17" s="36" t="s">
        <v>95</v>
      </c>
      <c r="AN17" s="36" t="s">
        <v>424</v>
      </c>
      <c r="AO17" s="36" t="s">
        <v>75</v>
      </c>
      <c r="AP17" s="36" t="s">
        <v>75</v>
      </c>
      <c r="AQ17" s="36" t="s">
        <v>75</v>
      </c>
      <c r="AR17" s="36" t="s">
        <v>75</v>
      </c>
      <c r="AS17" s="36" t="s">
        <v>75</v>
      </c>
      <c r="AT17" s="36" t="s">
        <v>75</v>
      </c>
      <c r="AU17" s="36" t="s">
        <v>75</v>
      </c>
      <c r="AV17" s="36" t="s">
        <v>425</v>
      </c>
      <c r="AW17" s="36" t="s">
        <v>75</v>
      </c>
      <c r="AX17" s="36" t="s">
        <v>75</v>
      </c>
      <c r="AY17" s="36" t="s">
        <v>426</v>
      </c>
      <c r="AZ17" s="36" t="s">
        <v>427</v>
      </c>
      <c r="BA17" s="36" t="s">
        <v>75</v>
      </c>
      <c r="BB17" s="36" t="s">
        <v>101</v>
      </c>
      <c r="BC17" s="36" t="s">
        <v>75</v>
      </c>
      <c r="BD17" s="36" t="s">
        <v>103</v>
      </c>
      <c r="BE17" s="36" t="s">
        <v>75</v>
      </c>
      <c r="BF17" s="36" t="s">
        <v>133</v>
      </c>
      <c r="BG17" s="36" t="s">
        <v>428</v>
      </c>
      <c r="BH17" s="36" t="s">
        <v>75</v>
      </c>
      <c r="BI17" s="36" t="s">
        <v>104</v>
      </c>
      <c r="BJ17" s="36" t="s">
        <v>429</v>
      </c>
      <c r="BK17" s="36" t="s">
        <v>106</v>
      </c>
      <c r="BL17" s="36" t="s">
        <v>107</v>
      </c>
      <c r="BM17" s="36" t="s">
        <v>75</v>
      </c>
      <c r="BN17" s="36" t="s">
        <v>75</v>
      </c>
      <c r="BO17" s="36" t="s">
        <v>75</v>
      </c>
      <c r="BP17" s="36" t="s">
        <v>75</v>
      </c>
      <c r="BQ17" s="35" t="s">
        <v>430</v>
      </c>
      <c r="BR17" s="36" t="s">
        <v>431</v>
      </c>
      <c r="BS17" s="38" t="s">
        <v>432</v>
      </c>
    </row>
    <row r="18" spans="1:71">
      <c r="A18" s="35" t="s">
        <v>433</v>
      </c>
      <c r="B18" s="36" t="s">
        <v>112</v>
      </c>
      <c r="C18" s="36" t="s">
        <v>113</v>
      </c>
      <c r="D18" s="36" t="s">
        <v>74</v>
      </c>
      <c r="E18" s="36" t="s">
        <v>75</v>
      </c>
      <c r="F18" s="36" t="s">
        <v>434</v>
      </c>
      <c r="G18" s="36" t="s">
        <v>435</v>
      </c>
      <c r="H18" s="36" t="s">
        <v>436</v>
      </c>
      <c r="I18" s="36" t="s">
        <v>437</v>
      </c>
      <c r="J18" s="36" t="s">
        <v>438</v>
      </c>
      <c r="K18" s="36" t="s">
        <v>439</v>
      </c>
      <c r="L18" s="36" t="s">
        <v>440</v>
      </c>
      <c r="M18" s="36" t="s">
        <v>441</v>
      </c>
      <c r="N18" s="36" t="s">
        <v>442</v>
      </c>
      <c r="O18" s="35" t="s">
        <v>443</v>
      </c>
      <c r="P18" s="36" t="s">
        <v>151</v>
      </c>
      <c r="Q18" s="36" t="s">
        <v>152</v>
      </c>
      <c r="R18" s="36" t="s">
        <v>444</v>
      </c>
      <c r="S18" s="36" t="s">
        <v>351</v>
      </c>
      <c r="T18" s="35" t="s">
        <v>88</v>
      </c>
      <c r="U18" s="36" t="s">
        <v>75</v>
      </c>
      <c r="V18" s="36" t="s">
        <v>75</v>
      </c>
      <c r="W18" s="36" t="s">
        <v>445</v>
      </c>
      <c r="X18" s="37" t="s">
        <v>445</v>
      </c>
      <c r="Y18" s="35" t="s">
        <v>90</v>
      </c>
      <c r="Z18" s="36" t="s">
        <v>90</v>
      </c>
      <c r="AA18" s="36" t="s">
        <v>75</v>
      </c>
      <c r="AB18" s="36" t="s">
        <v>90</v>
      </c>
      <c r="AC18" s="36" t="s">
        <v>445</v>
      </c>
      <c r="AD18" s="36" t="s">
        <v>91</v>
      </c>
      <c r="AE18" s="36" t="s">
        <v>446</v>
      </c>
      <c r="AF18" s="36" t="s">
        <v>75</v>
      </c>
      <c r="AG18" s="36" t="s">
        <v>75</v>
      </c>
      <c r="AH18" s="36" t="s">
        <v>75</v>
      </c>
      <c r="AI18" s="36" t="s">
        <v>447</v>
      </c>
      <c r="AJ18" s="36" t="s">
        <v>75</v>
      </c>
      <c r="AK18" s="36" t="s">
        <v>94</v>
      </c>
      <c r="AL18" s="35" t="s">
        <v>90</v>
      </c>
      <c r="AM18" s="36" t="s">
        <v>95</v>
      </c>
      <c r="AN18" s="36" t="s">
        <v>448</v>
      </c>
      <c r="AO18" s="36" t="s">
        <v>75</v>
      </c>
      <c r="AP18" s="36" t="s">
        <v>75</v>
      </c>
      <c r="AQ18" s="36" t="s">
        <v>75</v>
      </c>
      <c r="AR18" s="36" t="s">
        <v>75</v>
      </c>
      <c r="AS18" s="36" t="s">
        <v>75</v>
      </c>
      <c r="AT18" s="36" t="s">
        <v>75</v>
      </c>
      <c r="AU18" s="36" t="s">
        <v>75</v>
      </c>
      <c r="AV18" s="36" t="s">
        <v>449</v>
      </c>
      <c r="AW18" s="36" t="s">
        <v>75</v>
      </c>
      <c r="AX18" s="36" t="s">
        <v>75</v>
      </c>
      <c r="AY18" s="36" t="s">
        <v>450</v>
      </c>
      <c r="AZ18" s="36" t="s">
        <v>451</v>
      </c>
      <c r="BA18" s="36" t="s">
        <v>75</v>
      </c>
      <c r="BB18" s="36" t="s">
        <v>101</v>
      </c>
      <c r="BC18" s="36" t="s">
        <v>75</v>
      </c>
      <c r="BD18" s="36" t="s">
        <v>103</v>
      </c>
      <c r="BE18" s="36" t="s">
        <v>75</v>
      </c>
      <c r="BF18" s="36" t="s">
        <v>133</v>
      </c>
      <c r="BG18" s="36" t="s">
        <v>452</v>
      </c>
      <c r="BH18" s="36" t="s">
        <v>75</v>
      </c>
      <c r="BI18" s="36" t="s">
        <v>104</v>
      </c>
      <c r="BJ18" s="36" t="s">
        <v>453</v>
      </c>
      <c r="BK18" s="36" t="s">
        <v>106</v>
      </c>
      <c r="BL18" s="36" t="s">
        <v>107</v>
      </c>
      <c r="BM18" s="36" t="s">
        <v>75</v>
      </c>
      <c r="BN18" s="36" t="s">
        <v>75</v>
      </c>
      <c r="BO18" s="36" t="s">
        <v>75</v>
      </c>
      <c r="BP18" s="36" t="s">
        <v>75</v>
      </c>
      <c r="BQ18" s="35" t="s">
        <v>454</v>
      </c>
      <c r="BR18" s="36" t="s">
        <v>455</v>
      </c>
      <c r="BS18" s="38" t="s">
        <v>456</v>
      </c>
    </row>
    <row r="19" spans="1:71">
      <c r="A19" s="35" t="s">
        <v>457</v>
      </c>
      <c r="B19" s="36" t="s">
        <v>112</v>
      </c>
      <c r="C19" s="36" t="s">
        <v>113</v>
      </c>
      <c r="D19" s="36" t="s">
        <v>74</v>
      </c>
      <c r="E19" s="36" t="s">
        <v>75</v>
      </c>
      <c r="F19" s="36" t="s">
        <v>458</v>
      </c>
      <c r="G19" s="36" t="s">
        <v>459</v>
      </c>
      <c r="H19" s="36" t="s">
        <v>460</v>
      </c>
      <c r="I19" s="36" t="s">
        <v>461</v>
      </c>
      <c r="J19" s="36" t="s">
        <v>462</v>
      </c>
      <c r="K19" s="36" t="s">
        <v>463</v>
      </c>
      <c r="L19" s="36" t="s">
        <v>464</v>
      </c>
      <c r="M19" s="36" t="s">
        <v>465</v>
      </c>
      <c r="N19" s="36" t="s">
        <v>466</v>
      </c>
      <c r="O19" s="35" t="s">
        <v>467</v>
      </c>
      <c r="P19" s="36" t="s">
        <v>151</v>
      </c>
      <c r="Q19" s="36" t="s">
        <v>152</v>
      </c>
      <c r="R19" s="36" t="s">
        <v>468</v>
      </c>
      <c r="S19" s="36" t="s">
        <v>257</v>
      </c>
      <c r="T19" s="35" t="s">
        <v>88</v>
      </c>
      <c r="U19" s="36" t="s">
        <v>75</v>
      </c>
      <c r="V19" s="36" t="s">
        <v>75</v>
      </c>
      <c r="W19" s="36" t="s">
        <v>327</v>
      </c>
      <c r="X19" s="37" t="s">
        <v>327</v>
      </c>
      <c r="Y19" s="35" t="s">
        <v>90</v>
      </c>
      <c r="Z19" s="36" t="s">
        <v>90</v>
      </c>
      <c r="AA19" s="36" t="s">
        <v>75</v>
      </c>
      <c r="AB19" s="36" t="s">
        <v>90</v>
      </c>
      <c r="AC19" s="36" t="s">
        <v>327</v>
      </c>
      <c r="AD19" s="36" t="s">
        <v>215</v>
      </c>
      <c r="AE19" s="36" t="s">
        <v>469</v>
      </c>
      <c r="AF19" s="36" t="s">
        <v>75</v>
      </c>
      <c r="AG19" s="36" t="s">
        <v>75</v>
      </c>
      <c r="AH19" s="36" t="s">
        <v>75</v>
      </c>
      <c r="AI19" s="36" t="s">
        <v>470</v>
      </c>
      <c r="AJ19" s="36" t="s">
        <v>75</v>
      </c>
      <c r="AK19" s="36" t="s">
        <v>94</v>
      </c>
      <c r="AL19" s="35" t="s">
        <v>90</v>
      </c>
      <c r="AM19" s="36" t="s">
        <v>95</v>
      </c>
      <c r="AN19" s="36" t="s">
        <v>471</v>
      </c>
      <c r="AO19" s="36" t="s">
        <v>75</v>
      </c>
      <c r="AP19" s="36" t="s">
        <v>75</v>
      </c>
      <c r="AQ19" s="36" t="s">
        <v>75</v>
      </c>
      <c r="AR19" s="36" t="s">
        <v>75</v>
      </c>
      <c r="AS19" s="36" t="s">
        <v>75</v>
      </c>
      <c r="AT19" s="36" t="s">
        <v>75</v>
      </c>
      <c r="AU19" s="36" t="s">
        <v>75</v>
      </c>
      <c r="AV19" s="36" t="s">
        <v>472</v>
      </c>
      <c r="AW19" s="36" t="s">
        <v>75</v>
      </c>
      <c r="AX19" s="36" t="s">
        <v>75</v>
      </c>
      <c r="AY19" s="36" t="s">
        <v>473</v>
      </c>
      <c r="AZ19" s="36" t="s">
        <v>474</v>
      </c>
      <c r="BA19" s="36" t="s">
        <v>75</v>
      </c>
      <c r="BB19" s="36" t="s">
        <v>101</v>
      </c>
      <c r="BC19" s="36" t="s">
        <v>75</v>
      </c>
      <c r="BD19" s="36" t="s">
        <v>103</v>
      </c>
      <c r="BE19" s="36" t="s">
        <v>75</v>
      </c>
      <c r="BF19" s="36" t="s">
        <v>133</v>
      </c>
      <c r="BG19" s="36" t="s">
        <v>475</v>
      </c>
      <c r="BH19" s="36" t="s">
        <v>75</v>
      </c>
      <c r="BI19" s="36" t="s">
        <v>104</v>
      </c>
      <c r="BJ19" s="36" t="s">
        <v>476</v>
      </c>
      <c r="BK19" s="36" t="s">
        <v>106</v>
      </c>
      <c r="BL19" s="36" t="s">
        <v>107</v>
      </c>
      <c r="BM19" s="36" t="s">
        <v>75</v>
      </c>
      <c r="BN19" s="36" t="s">
        <v>75</v>
      </c>
      <c r="BO19" s="36" t="s">
        <v>75</v>
      </c>
      <c r="BP19" s="36" t="s">
        <v>75</v>
      </c>
      <c r="BQ19" s="35" t="s">
        <v>477</v>
      </c>
      <c r="BR19" s="36" t="s">
        <v>360</v>
      </c>
      <c r="BS19" s="38" t="s">
        <v>361</v>
      </c>
    </row>
    <row r="20" spans="1:71">
      <c r="A20" s="35" t="s">
        <v>478</v>
      </c>
      <c r="B20" s="36" t="s">
        <v>72</v>
      </c>
      <c r="C20" s="36" t="s">
        <v>73</v>
      </c>
      <c r="D20" s="36" t="s">
        <v>74</v>
      </c>
      <c r="E20" s="36" t="s">
        <v>75</v>
      </c>
      <c r="F20" s="36" t="s">
        <v>479</v>
      </c>
      <c r="G20" s="36" t="s">
        <v>480</v>
      </c>
      <c r="H20" s="36" t="s">
        <v>481</v>
      </c>
      <c r="I20" s="36" t="s">
        <v>117</v>
      </c>
      <c r="J20" s="36" t="s">
        <v>482</v>
      </c>
      <c r="K20" s="36" t="s">
        <v>483</v>
      </c>
      <c r="L20" s="36" t="s">
        <v>484</v>
      </c>
      <c r="M20" s="36" t="s">
        <v>368</v>
      </c>
      <c r="N20" s="36" t="s">
        <v>369</v>
      </c>
      <c r="O20" s="35" t="s">
        <v>370</v>
      </c>
      <c r="P20" s="36" t="s">
        <v>151</v>
      </c>
      <c r="Q20" s="36" t="s">
        <v>152</v>
      </c>
      <c r="R20" s="36" t="s">
        <v>371</v>
      </c>
      <c r="S20" s="36" t="s">
        <v>372</v>
      </c>
      <c r="T20" s="35" t="s">
        <v>88</v>
      </c>
      <c r="U20" s="36" t="s">
        <v>75</v>
      </c>
      <c r="V20" s="36" t="s">
        <v>75</v>
      </c>
      <c r="W20" s="36" t="s">
        <v>373</v>
      </c>
      <c r="X20" s="37" t="s">
        <v>373</v>
      </c>
      <c r="Y20" s="35" t="s">
        <v>90</v>
      </c>
      <c r="Z20" s="36" t="s">
        <v>90</v>
      </c>
      <c r="AA20" s="36" t="s">
        <v>75</v>
      </c>
      <c r="AB20" s="36" t="s">
        <v>90</v>
      </c>
      <c r="AC20" s="36" t="s">
        <v>373</v>
      </c>
      <c r="AD20" s="36" t="s">
        <v>91</v>
      </c>
      <c r="AE20" s="36" t="s">
        <v>485</v>
      </c>
      <c r="AF20" s="36" t="s">
        <v>75</v>
      </c>
      <c r="AG20" s="36" t="s">
        <v>75</v>
      </c>
      <c r="AH20" s="36" t="s">
        <v>75</v>
      </c>
      <c r="AI20" s="36" t="s">
        <v>486</v>
      </c>
      <c r="AJ20" s="36" t="s">
        <v>75</v>
      </c>
      <c r="AK20" s="36" t="s">
        <v>94</v>
      </c>
      <c r="AL20" s="35" t="s">
        <v>90</v>
      </c>
      <c r="AM20" s="36" t="s">
        <v>95</v>
      </c>
      <c r="AN20" s="36" t="s">
        <v>487</v>
      </c>
      <c r="AO20" s="36" t="s">
        <v>75</v>
      </c>
      <c r="AP20" s="36" t="s">
        <v>75</v>
      </c>
      <c r="AQ20" s="36" t="s">
        <v>75</v>
      </c>
      <c r="AR20" s="36" t="s">
        <v>75</v>
      </c>
      <c r="AS20" s="36" t="s">
        <v>75</v>
      </c>
      <c r="AT20" s="36" t="s">
        <v>75</v>
      </c>
      <c r="AU20" s="36" t="s">
        <v>75</v>
      </c>
      <c r="AV20" s="36" t="s">
        <v>488</v>
      </c>
      <c r="AW20" s="36" t="s">
        <v>75</v>
      </c>
      <c r="AX20" s="36" t="s">
        <v>75</v>
      </c>
      <c r="AY20" s="36" t="s">
        <v>489</v>
      </c>
      <c r="AZ20" s="36" t="s">
        <v>490</v>
      </c>
      <c r="BA20" s="36" t="s">
        <v>491</v>
      </c>
      <c r="BB20" s="36" t="s">
        <v>101</v>
      </c>
      <c r="BC20" s="36" t="s">
        <v>102</v>
      </c>
      <c r="BD20" s="36" t="s">
        <v>103</v>
      </c>
      <c r="BE20" s="36" t="s">
        <v>75</v>
      </c>
      <c r="BF20" s="36" t="s">
        <v>75</v>
      </c>
      <c r="BG20" s="36" t="s">
        <v>75</v>
      </c>
      <c r="BH20" s="36" t="s">
        <v>75</v>
      </c>
      <c r="BI20" s="36" t="s">
        <v>104</v>
      </c>
      <c r="BJ20" s="36" t="s">
        <v>492</v>
      </c>
      <c r="BK20" s="36" t="s">
        <v>106</v>
      </c>
      <c r="BL20" s="36" t="s">
        <v>107</v>
      </c>
      <c r="BM20" s="36" t="s">
        <v>75</v>
      </c>
      <c r="BN20" s="36" t="s">
        <v>75</v>
      </c>
      <c r="BO20" s="36" t="s">
        <v>75</v>
      </c>
      <c r="BP20" s="36" t="s">
        <v>75</v>
      </c>
      <c r="BQ20" s="35" t="s">
        <v>383</v>
      </c>
      <c r="BR20" s="36" t="s">
        <v>384</v>
      </c>
      <c r="BS20" s="38" t="s">
        <v>385</v>
      </c>
    </row>
    <row r="21" spans="1:71">
      <c r="A21" s="35" t="s">
        <v>493</v>
      </c>
      <c r="B21" s="36" t="s">
        <v>112</v>
      </c>
      <c r="C21" s="36" t="s">
        <v>113</v>
      </c>
      <c r="D21" s="36" t="s">
        <v>74</v>
      </c>
      <c r="E21" s="36" t="s">
        <v>75</v>
      </c>
      <c r="F21" s="36" t="s">
        <v>340</v>
      </c>
      <c r="G21" s="36" t="s">
        <v>494</v>
      </c>
      <c r="H21" s="36" t="s">
        <v>495</v>
      </c>
      <c r="I21" s="36" t="s">
        <v>496</v>
      </c>
      <c r="J21" s="36" t="s">
        <v>497</v>
      </c>
      <c r="K21" s="36" t="s">
        <v>498</v>
      </c>
      <c r="L21" s="36" t="s">
        <v>499</v>
      </c>
      <c r="M21" s="36" t="s">
        <v>500</v>
      </c>
      <c r="N21" s="36" t="s">
        <v>501</v>
      </c>
      <c r="O21" s="35" t="s">
        <v>502</v>
      </c>
      <c r="P21" s="36" t="s">
        <v>151</v>
      </c>
      <c r="Q21" s="36" t="s">
        <v>152</v>
      </c>
      <c r="R21" s="36" t="s">
        <v>503</v>
      </c>
      <c r="S21" s="36" t="s">
        <v>504</v>
      </c>
      <c r="T21" s="35" t="s">
        <v>88</v>
      </c>
      <c r="U21" s="36" t="s">
        <v>75</v>
      </c>
      <c r="V21" s="36" t="s">
        <v>75</v>
      </c>
      <c r="W21" s="36" t="s">
        <v>327</v>
      </c>
      <c r="X21" s="37" t="s">
        <v>327</v>
      </c>
      <c r="Y21" s="35" t="s">
        <v>90</v>
      </c>
      <c r="Z21" s="36" t="s">
        <v>90</v>
      </c>
      <c r="AA21" s="36" t="s">
        <v>75</v>
      </c>
      <c r="AB21" s="36" t="s">
        <v>90</v>
      </c>
      <c r="AC21" s="36" t="s">
        <v>327</v>
      </c>
      <c r="AD21" s="36" t="s">
        <v>91</v>
      </c>
      <c r="AE21" s="36" t="s">
        <v>505</v>
      </c>
      <c r="AF21" s="36" t="s">
        <v>75</v>
      </c>
      <c r="AG21" s="36" t="s">
        <v>75</v>
      </c>
      <c r="AH21" s="36" t="s">
        <v>75</v>
      </c>
      <c r="AI21" s="36" t="s">
        <v>506</v>
      </c>
      <c r="AJ21" s="36" t="s">
        <v>75</v>
      </c>
      <c r="AK21" s="36" t="s">
        <v>94</v>
      </c>
      <c r="AL21" s="35" t="s">
        <v>90</v>
      </c>
      <c r="AM21" s="36" t="s">
        <v>95</v>
      </c>
      <c r="AN21" s="36" t="s">
        <v>507</v>
      </c>
      <c r="AO21" s="36" t="s">
        <v>75</v>
      </c>
      <c r="AP21" s="36" t="s">
        <v>75</v>
      </c>
      <c r="AQ21" s="36" t="s">
        <v>75</v>
      </c>
      <c r="AR21" s="36" t="s">
        <v>75</v>
      </c>
      <c r="AS21" s="36" t="s">
        <v>75</v>
      </c>
      <c r="AT21" s="36" t="s">
        <v>75</v>
      </c>
      <c r="AU21" s="36" t="s">
        <v>75</v>
      </c>
      <c r="AV21" s="36" t="s">
        <v>508</v>
      </c>
      <c r="AW21" s="36" t="s">
        <v>75</v>
      </c>
      <c r="AX21" s="36" t="s">
        <v>75</v>
      </c>
      <c r="AY21" s="36" t="s">
        <v>509</v>
      </c>
      <c r="AZ21" s="36" t="s">
        <v>510</v>
      </c>
      <c r="BA21" s="36" t="s">
        <v>511</v>
      </c>
      <c r="BB21" s="36" t="s">
        <v>101</v>
      </c>
      <c r="BC21" s="36" t="s">
        <v>163</v>
      </c>
      <c r="BD21" s="36" t="s">
        <v>103</v>
      </c>
      <c r="BE21" s="36" t="s">
        <v>75</v>
      </c>
      <c r="BF21" s="36" t="s">
        <v>133</v>
      </c>
      <c r="BG21" s="36" t="s">
        <v>512</v>
      </c>
      <c r="BH21" s="36" t="s">
        <v>75</v>
      </c>
      <c r="BI21" s="36" t="s">
        <v>104</v>
      </c>
      <c r="BJ21" s="36" t="s">
        <v>513</v>
      </c>
      <c r="BK21" s="36" t="s">
        <v>106</v>
      </c>
      <c r="BL21" s="36" t="s">
        <v>107</v>
      </c>
      <c r="BM21" s="36" t="s">
        <v>75</v>
      </c>
      <c r="BN21" s="36" t="s">
        <v>75</v>
      </c>
      <c r="BO21" s="36" t="s">
        <v>75</v>
      </c>
      <c r="BP21" s="36" t="s">
        <v>75</v>
      </c>
      <c r="BQ21" s="35" t="s">
        <v>514</v>
      </c>
      <c r="BR21" s="36" t="s">
        <v>360</v>
      </c>
      <c r="BS21" s="38" t="s">
        <v>361</v>
      </c>
    </row>
    <row r="22" spans="1:71">
      <c r="A22" s="35" t="s">
        <v>515</v>
      </c>
      <c r="B22" s="36" t="s">
        <v>72</v>
      </c>
      <c r="C22" s="36" t="s">
        <v>73</v>
      </c>
      <c r="D22" s="36" t="s">
        <v>74</v>
      </c>
      <c r="E22" s="36" t="s">
        <v>75</v>
      </c>
      <c r="F22" s="36" t="s">
        <v>516</v>
      </c>
      <c r="G22" s="36" t="s">
        <v>517</v>
      </c>
      <c r="H22" s="36" t="s">
        <v>518</v>
      </c>
      <c r="I22" s="36" t="s">
        <v>437</v>
      </c>
      <c r="J22" s="36" t="s">
        <v>519</v>
      </c>
      <c r="K22" s="36" t="s">
        <v>520</v>
      </c>
      <c r="L22" s="36" t="s">
        <v>521</v>
      </c>
      <c r="M22" s="36" t="s">
        <v>522</v>
      </c>
      <c r="N22" s="36" t="s">
        <v>523</v>
      </c>
      <c r="O22" s="35" t="s">
        <v>524</v>
      </c>
      <c r="P22" s="36" t="s">
        <v>151</v>
      </c>
      <c r="Q22" s="36" t="s">
        <v>152</v>
      </c>
      <c r="R22" s="36" t="s">
        <v>525</v>
      </c>
      <c r="S22" s="36" t="s">
        <v>526</v>
      </c>
      <c r="T22" s="35" t="s">
        <v>88</v>
      </c>
      <c r="U22" s="36" t="s">
        <v>75</v>
      </c>
      <c r="V22" s="36" t="s">
        <v>75</v>
      </c>
      <c r="W22" s="36" t="s">
        <v>373</v>
      </c>
      <c r="X22" s="37" t="s">
        <v>373</v>
      </c>
      <c r="Y22" s="35" t="s">
        <v>90</v>
      </c>
      <c r="Z22" s="36" t="s">
        <v>90</v>
      </c>
      <c r="AA22" s="36" t="s">
        <v>75</v>
      </c>
      <c r="AB22" s="36" t="s">
        <v>90</v>
      </c>
      <c r="AC22" s="36" t="s">
        <v>373</v>
      </c>
      <c r="AD22" s="36" t="s">
        <v>91</v>
      </c>
      <c r="AE22" s="36" t="s">
        <v>527</v>
      </c>
      <c r="AF22" s="36" t="s">
        <v>75</v>
      </c>
      <c r="AG22" s="36" t="s">
        <v>75</v>
      </c>
      <c r="AH22" s="36" t="s">
        <v>75</v>
      </c>
      <c r="AI22" s="36" t="s">
        <v>528</v>
      </c>
      <c r="AJ22" s="36" t="s">
        <v>75</v>
      </c>
      <c r="AK22" s="36" t="s">
        <v>94</v>
      </c>
      <c r="AL22" s="35" t="s">
        <v>90</v>
      </c>
      <c r="AM22" s="36" t="s">
        <v>95</v>
      </c>
      <c r="AN22" s="36" t="s">
        <v>529</v>
      </c>
      <c r="AO22" s="36" t="s">
        <v>75</v>
      </c>
      <c r="AP22" s="36" t="s">
        <v>75</v>
      </c>
      <c r="AQ22" s="36" t="s">
        <v>75</v>
      </c>
      <c r="AR22" s="36" t="s">
        <v>75</v>
      </c>
      <c r="AS22" s="36" t="s">
        <v>75</v>
      </c>
      <c r="AT22" s="36" t="s">
        <v>75</v>
      </c>
      <c r="AU22" s="36" t="s">
        <v>75</v>
      </c>
      <c r="AV22" s="36" t="s">
        <v>530</v>
      </c>
      <c r="AW22" s="36" t="s">
        <v>75</v>
      </c>
      <c r="AX22" s="36" t="s">
        <v>75</v>
      </c>
      <c r="AY22" s="36" t="s">
        <v>531</v>
      </c>
      <c r="AZ22" s="36" t="s">
        <v>532</v>
      </c>
      <c r="BA22" s="36" t="s">
        <v>533</v>
      </c>
      <c r="BB22" s="36" t="s">
        <v>101</v>
      </c>
      <c r="BC22" s="36" t="s">
        <v>163</v>
      </c>
      <c r="BD22" s="36" t="s">
        <v>103</v>
      </c>
      <c r="BE22" s="36" t="s">
        <v>75</v>
      </c>
      <c r="BF22" s="36" t="s">
        <v>75</v>
      </c>
      <c r="BG22" s="36" t="s">
        <v>75</v>
      </c>
      <c r="BH22" s="36" t="s">
        <v>75</v>
      </c>
      <c r="BI22" s="36" t="s">
        <v>104</v>
      </c>
      <c r="BJ22" s="36" t="s">
        <v>534</v>
      </c>
      <c r="BK22" s="36" t="s">
        <v>106</v>
      </c>
      <c r="BL22" s="36" t="s">
        <v>107</v>
      </c>
      <c r="BM22" s="36" t="s">
        <v>75</v>
      </c>
      <c r="BN22" s="36" t="s">
        <v>75</v>
      </c>
      <c r="BO22" s="36" t="s">
        <v>75</v>
      </c>
      <c r="BP22" s="36" t="s">
        <v>75</v>
      </c>
      <c r="BQ22" s="35" t="s">
        <v>535</v>
      </c>
      <c r="BR22" s="36" t="s">
        <v>384</v>
      </c>
      <c r="BS22" s="38" t="s">
        <v>385</v>
      </c>
    </row>
    <row r="23" spans="1:71">
      <c r="A23" s="35" t="s">
        <v>536</v>
      </c>
      <c r="B23" s="36" t="s">
        <v>72</v>
      </c>
      <c r="C23" s="36" t="s">
        <v>73</v>
      </c>
      <c r="D23" s="36" t="s">
        <v>74</v>
      </c>
      <c r="E23" s="36" t="s">
        <v>75</v>
      </c>
      <c r="F23" s="36" t="s">
        <v>537</v>
      </c>
      <c r="G23" s="36" t="s">
        <v>538</v>
      </c>
      <c r="H23" s="36" t="s">
        <v>539</v>
      </c>
      <c r="I23" s="36" t="s">
        <v>413</v>
      </c>
      <c r="J23" s="36" t="s">
        <v>540</v>
      </c>
      <c r="K23" s="36" t="s">
        <v>541</v>
      </c>
      <c r="L23" s="36" t="s">
        <v>542</v>
      </c>
      <c r="M23" s="36" t="s">
        <v>543</v>
      </c>
      <c r="N23" s="36" t="s">
        <v>543</v>
      </c>
      <c r="O23" s="35" t="s">
        <v>544</v>
      </c>
      <c r="P23" s="36" t="s">
        <v>151</v>
      </c>
      <c r="Q23" s="36" t="s">
        <v>152</v>
      </c>
      <c r="R23" s="36" t="s">
        <v>545</v>
      </c>
      <c r="S23" s="36" t="s">
        <v>546</v>
      </c>
      <c r="T23" s="35" t="s">
        <v>88</v>
      </c>
      <c r="U23" s="36" t="s">
        <v>75</v>
      </c>
      <c r="V23" s="36" t="s">
        <v>75</v>
      </c>
      <c r="W23" s="36" t="s">
        <v>327</v>
      </c>
      <c r="X23" s="37" t="s">
        <v>327</v>
      </c>
      <c r="Y23" s="35" t="s">
        <v>90</v>
      </c>
      <c r="Z23" s="36" t="s">
        <v>90</v>
      </c>
      <c r="AA23" s="36" t="s">
        <v>75</v>
      </c>
      <c r="AB23" s="36" t="s">
        <v>90</v>
      </c>
      <c r="AC23" s="36" t="s">
        <v>327</v>
      </c>
      <c r="AD23" s="36" t="s">
        <v>91</v>
      </c>
      <c r="AE23" s="36" t="s">
        <v>547</v>
      </c>
      <c r="AF23" s="36" t="s">
        <v>75</v>
      </c>
      <c r="AG23" s="36" t="s">
        <v>75</v>
      </c>
      <c r="AH23" s="36" t="s">
        <v>75</v>
      </c>
      <c r="AI23" s="36" t="s">
        <v>548</v>
      </c>
      <c r="AJ23" s="36" t="s">
        <v>75</v>
      </c>
      <c r="AK23" s="36" t="s">
        <v>94</v>
      </c>
      <c r="AL23" s="35" t="s">
        <v>90</v>
      </c>
      <c r="AM23" s="36" t="s">
        <v>95</v>
      </c>
      <c r="AN23" s="36" t="s">
        <v>549</v>
      </c>
      <c r="AO23" s="36" t="s">
        <v>75</v>
      </c>
      <c r="AP23" s="36" t="s">
        <v>75</v>
      </c>
      <c r="AQ23" s="36" t="s">
        <v>75</v>
      </c>
      <c r="AR23" s="36" t="s">
        <v>75</v>
      </c>
      <c r="AS23" s="36" t="s">
        <v>75</v>
      </c>
      <c r="AT23" s="36" t="s">
        <v>75</v>
      </c>
      <c r="AU23" s="36" t="s">
        <v>75</v>
      </c>
      <c r="AV23" s="36" t="s">
        <v>550</v>
      </c>
      <c r="AW23" s="36" t="s">
        <v>75</v>
      </c>
      <c r="AX23" s="36" t="s">
        <v>75</v>
      </c>
      <c r="AY23" s="36" t="s">
        <v>551</v>
      </c>
      <c r="AZ23" s="36" t="s">
        <v>552</v>
      </c>
      <c r="BA23" s="36" t="s">
        <v>553</v>
      </c>
      <c r="BB23" s="36" t="s">
        <v>101</v>
      </c>
      <c r="BC23" s="36" t="s">
        <v>102</v>
      </c>
      <c r="BD23" s="36" t="s">
        <v>103</v>
      </c>
      <c r="BE23" s="36" t="s">
        <v>75</v>
      </c>
      <c r="BF23" s="36" t="s">
        <v>75</v>
      </c>
      <c r="BG23" s="36" t="s">
        <v>75</v>
      </c>
      <c r="BH23" s="36" t="s">
        <v>75</v>
      </c>
      <c r="BI23" s="36" t="s">
        <v>104</v>
      </c>
      <c r="BJ23" s="36" t="s">
        <v>554</v>
      </c>
      <c r="BK23" s="36" t="s">
        <v>106</v>
      </c>
      <c r="BL23" s="36" t="s">
        <v>107</v>
      </c>
      <c r="BM23" s="36" t="s">
        <v>75</v>
      </c>
      <c r="BN23" s="36" t="s">
        <v>75</v>
      </c>
      <c r="BO23" s="36" t="s">
        <v>75</v>
      </c>
      <c r="BP23" s="36" t="s">
        <v>75</v>
      </c>
      <c r="BQ23" s="35" t="s">
        <v>555</v>
      </c>
      <c r="BR23" s="36" t="s">
        <v>556</v>
      </c>
      <c r="BS23" s="38" t="s">
        <v>557</v>
      </c>
    </row>
    <row r="24" spans="1:71">
      <c r="A24" s="35" t="s">
        <v>558</v>
      </c>
      <c r="B24" s="36" t="s">
        <v>72</v>
      </c>
      <c r="C24" s="36" t="s">
        <v>73</v>
      </c>
      <c r="D24" s="36" t="s">
        <v>74</v>
      </c>
      <c r="E24" s="36" t="s">
        <v>75</v>
      </c>
      <c r="F24" s="36" t="s">
        <v>559</v>
      </c>
      <c r="G24" s="36" t="s">
        <v>560</v>
      </c>
      <c r="H24" s="36" t="s">
        <v>561</v>
      </c>
      <c r="I24" s="36" t="s">
        <v>562</v>
      </c>
      <c r="J24" s="36" t="s">
        <v>563</v>
      </c>
      <c r="K24" s="36" t="s">
        <v>564</v>
      </c>
      <c r="L24" s="36" t="s">
        <v>565</v>
      </c>
      <c r="M24" s="36" t="s">
        <v>543</v>
      </c>
      <c r="N24" s="36" t="s">
        <v>543</v>
      </c>
      <c r="O24" s="35" t="s">
        <v>544</v>
      </c>
      <c r="P24" s="36" t="s">
        <v>151</v>
      </c>
      <c r="Q24" s="36" t="s">
        <v>152</v>
      </c>
      <c r="R24" s="36" t="s">
        <v>545</v>
      </c>
      <c r="S24" s="36" t="s">
        <v>546</v>
      </c>
      <c r="T24" s="35" t="s">
        <v>88</v>
      </c>
      <c r="U24" s="36" t="s">
        <v>75</v>
      </c>
      <c r="V24" s="36" t="s">
        <v>75</v>
      </c>
      <c r="W24" s="36" t="s">
        <v>327</v>
      </c>
      <c r="X24" s="37" t="s">
        <v>240</v>
      </c>
      <c r="Y24" s="35" t="s">
        <v>90</v>
      </c>
      <c r="Z24" s="36" t="s">
        <v>90</v>
      </c>
      <c r="AA24" s="36" t="s">
        <v>75</v>
      </c>
      <c r="AB24" s="36" t="s">
        <v>90</v>
      </c>
      <c r="AC24" s="36" t="s">
        <v>240</v>
      </c>
      <c r="AD24" s="36" t="s">
        <v>215</v>
      </c>
      <c r="AE24" s="36" t="s">
        <v>566</v>
      </c>
      <c r="AF24" s="36" t="s">
        <v>75</v>
      </c>
      <c r="AG24" s="36" t="s">
        <v>75</v>
      </c>
      <c r="AH24" s="36" t="s">
        <v>75</v>
      </c>
      <c r="AI24" s="36" t="s">
        <v>567</v>
      </c>
      <c r="AJ24" s="36" t="s">
        <v>75</v>
      </c>
      <c r="AK24" s="36" t="s">
        <v>94</v>
      </c>
      <c r="AL24" s="35" t="s">
        <v>568</v>
      </c>
      <c r="AM24" s="36" t="s">
        <v>95</v>
      </c>
      <c r="AN24" s="36" t="s">
        <v>569</v>
      </c>
      <c r="AO24" s="36" t="s">
        <v>75</v>
      </c>
      <c r="AP24" s="36" t="s">
        <v>75</v>
      </c>
      <c r="AQ24" s="36" t="s">
        <v>75</v>
      </c>
      <c r="AR24" s="36" t="s">
        <v>75</v>
      </c>
      <c r="AS24" s="36" t="s">
        <v>75</v>
      </c>
      <c r="AT24" s="36" t="s">
        <v>75</v>
      </c>
      <c r="AU24" s="36" t="s">
        <v>75</v>
      </c>
      <c r="AV24" s="36" t="s">
        <v>570</v>
      </c>
      <c r="AW24" s="36" t="s">
        <v>75</v>
      </c>
      <c r="AX24" s="36" t="s">
        <v>75</v>
      </c>
      <c r="AY24" s="36" t="s">
        <v>571</v>
      </c>
      <c r="AZ24" s="36" t="s">
        <v>552</v>
      </c>
      <c r="BA24" s="36" t="s">
        <v>572</v>
      </c>
      <c r="BB24" s="36" t="s">
        <v>101</v>
      </c>
      <c r="BC24" s="36" t="s">
        <v>102</v>
      </c>
      <c r="BD24" s="36" t="s">
        <v>103</v>
      </c>
      <c r="BE24" s="36" t="s">
        <v>75</v>
      </c>
      <c r="BF24" s="36" t="s">
        <v>75</v>
      </c>
      <c r="BG24" s="36" t="s">
        <v>75</v>
      </c>
      <c r="BH24" s="36" t="s">
        <v>75</v>
      </c>
      <c r="BI24" s="36" t="s">
        <v>104</v>
      </c>
      <c r="BJ24" s="36" t="s">
        <v>573</v>
      </c>
      <c r="BK24" s="36" t="s">
        <v>106</v>
      </c>
      <c r="BL24" s="36" t="s">
        <v>107</v>
      </c>
      <c r="BM24" s="36" t="s">
        <v>75</v>
      </c>
      <c r="BN24" s="36" t="s">
        <v>75</v>
      </c>
      <c r="BO24" s="36" t="s">
        <v>75</v>
      </c>
      <c r="BP24" s="36" t="s">
        <v>75</v>
      </c>
      <c r="BQ24" s="35" t="s">
        <v>555</v>
      </c>
      <c r="BR24" s="36" t="s">
        <v>556</v>
      </c>
      <c r="BS24" s="38" t="s">
        <v>557</v>
      </c>
    </row>
    <row r="25" spans="1:71">
      <c r="A25" s="35" t="s">
        <v>574</v>
      </c>
      <c r="B25" s="36" t="s">
        <v>72</v>
      </c>
      <c r="C25" s="36" t="s">
        <v>73</v>
      </c>
      <c r="D25" s="36" t="s">
        <v>74</v>
      </c>
      <c r="E25" s="36" t="s">
        <v>75</v>
      </c>
      <c r="F25" s="36" t="s">
        <v>575</v>
      </c>
      <c r="G25" s="36" t="s">
        <v>576</v>
      </c>
      <c r="H25" s="36" t="s">
        <v>577</v>
      </c>
      <c r="I25" s="36" t="s">
        <v>117</v>
      </c>
      <c r="J25" s="36" t="s">
        <v>578</v>
      </c>
      <c r="K25" s="36" t="s">
        <v>579</v>
      </c>
      <c r="L25" s="36" t="s">
        <v>580</v>
      </c>
      <c r="M25" s="36" t="s">
        <v>581</v>
      </c>
      <c r="N25" s="36" t="s">
        <v>582</v>
      </c>
      <c r="O25" s="35" t="s">
        <v>583</v>
      </c>
      <c r="P25" s="36" t="s">
        <v>151</v>
      </c>
      <c r="Q25" s="36" t="s">
        <v>152</v>
      </c>
      <c r="R25" s="36" t="s">
        <v>584</v>
      </c>
      <c r="S25" s="36" t="s">
        <v>351</v>
      </c>
      <c r="T25" s="35" t="s">
        <v>88</v>
      </c>
      <c r="U25" s="36" t="s">
        <v>75</v>
      </c>
      <c r="V25" s="36" t="s">
        <v>75</v>
      </c>
      <c r="W25" s="36" t="s">
        <v>585</v>
      </c>
      <c r="X25" s="37" t="s">
        <v>585</v>
      </c>
      <c r="Y25" s="35" t="s">
        <v>90</v>
      </c>
      <c r="Z25" s="36" t="s">
        <v>90</v>
      </c>
      <c r="AA25" s="36" t="s">
        <v>75</v>
      </c>
      <c r="AB25" s="36" t="s">
        <v>90</v>
      </c>
      <c r="AC25" s="36" t="s">
        <v>585</v>
      </c>
      <c r="AD25" s="36" t="s">
        <v>215</v>
      </c>
      <c r="AE25" s="36" t="s">
        <v>586</v>
      </c>
      <c r="AF25" s="36" t="s">
        <v>75</v>
      </c>
      <c r="AG25" s="36" t="s">
        <v>75</v>
      </c>
      <c r="AH25" s="36" t="s">
        <v>75</v>
      </c>
      <c r="AI25" s="36" t="s">
        <v>587</v>
      </c>
      <c r="AJ25" s="36" t="s">
        <v>75</v>
      </c>
      <c r="AK25" s="36" t="s">
        <v>94</v>
      </c>
      <c r="AL25" s="35" t="s">
        <v>90</v>
      </c>
      <c r="AM25" s="36" t="s">
        <v>95</v>
      </c>
      <c r="AN25" s="36" t="s">
        <v>588</v>
      </c>
      <c r="AO25" s="36" t="s">
        <v>75</v>
      </c>
      <c r="AP25" s="36" t="s">
        <v>75</v>
      </c>
      <c r="AQ25" s="36" t="s">
        <v>75</v>
      </c>
      <c r="AR25" s="36" t="s">
        <v>75</v>
      </c>
      <c r="AS25" s="36" t="s">
        <v>75</v>
      </c>
      <c r="AT25" s="36" t="s">
        <v>75</v>
      </c>
      <c r="AU25" s="36" t="s">
        <v>75</v>
      </c>
      <c r="AV25" s="36" t="s">
        <v>589</v>
      </c>
      <c r="AW25" s="36" t="s">
        <v>75</v>
      </c>
      <c r="AX25" s="36" t="s">
        <v>75</v>
      </c>
      <c r="AY25" s="36" t="s">
        <v>590</v>
      </c>
      <c r="AZ25" s="36" t="s">
        <v>591</v>
      </c>
      <c r="BA25" s="36" t="s">
        <v>592</v>
      </c>
      <c r="BB25" s="36" t="s">
        <v>101</v>
      </c>
      <c r="BC25" s="36" t="s">
        <v>163</v>
      </c>
      <c r="BD25" s="36" t="s">
        <v>103</v>
      </c>
      <c r="BE25" s="36" t="s">
        <v>75</v>
      </c>
      <c r="BF25" s="36" t="s">
        <v>75</v>
      </c>
      <c r="BG25" s="36" t="s">
        <v>75</v>
      </c>
      <c r="BH25" s="36" t="s">
        <v>75</v>
      </c>
      <c r="BI25" s="36" t="s">
        <v>104</v>
      </c>
      <c r="BJ25" s="36" t="s">
        <v>593</v>
      </c>
      <c r="BK25" s="36" t="s">
        <v>106</v>
      </c>
      <c r="BL25" s="36" t="s">
        <v>107</v>
      </c>
      <c r="BM25" s="36" t="s">
        <v>75</v>
      </c>
      <c r="BN25" s="36" t="s">
        <v>75</v>
      </c>
      <c r="BO25" s="36" t="s">
        <v>75</v>
      </c>
      <c r="BP25" s="36" t="s">
        <v>75</v>
      </c>
      <c r="BQ25" s="35" t="s">
        <v>594</v>
      </c>
      <c r="BR25" s="36" t="s">
        <v>595</v>
      </c>
      <c r="BS25" s="38" t="s">
        <v>596</v>
      </c>
    </row>
    <row r="26" spans="1:71">
      <c r="A26" s="35" t="s">
        <v>597</v>
      </c>
      <c r="B26" s="36" t="s">
        <v>72</v>
      </c>
      <c r="C26" s="36" t="s">
        <v>73</v>
      </c>
      <c r="D26" s="36" t="s">
        <v>74</v>
      </c>
      <c r="E26" s="36" t="s">
        <v>75</v>
      </c>
      <c r="F26" s="36" t="s">
        <v>598</v>
      </c>
      <c r="G26" s="36" t="s">
        <v>599</v>
      </c>
      <c r="H26" s="36" t="s">
        <v>600</v>
      </c>
      <c r="I26" s="36" t="s">
        <v>117</v>
      </c>
      <c r="J26" s="36" t="s">
        <v>601</v>
      </c>
      <c r="K26" s="36" t="s">
        <v>602</v>
      </c>
      <c r="L26" s="36" t="s">
        <v>603</v>
      </c>
      <c r="M26" s="36" t="s">
        <v>604</v>
      </c>
      <c r="N26" s="36" t="s">
        <v>605</v>
      </c>
      <c r="O26" s="35" t="s">
        <v>606</v>
      </c>
      <c r="P26" s="36" t="s">
        <v>151</v>
      </c>
      <c r="Q26" s="36" t="s">
        <v>152</v>
      </c>
      <c r="R26" s="36" t="s">
        <v>607</v>
      </c>
      <c r="S26" s="36" t="s">
        <v>608</v>
      </c>
      <c r="T26" s="35" t="s">
        <v>88</v>
      </c>
      <c r="U26" s="36" t="s">
        <v>75</v>
      </c>
      <c r="V26" s="36" t="s">
        <v>75</v>
      </c>
      <c r="W26" s="36" t="s">
        <v>585</v>
      </c>
      <c r="X26" s="37" t="s">
        <v>585</v>
      </c>
      <c r="Y26" s="35" t="s">
        <v>90</v>
      </c>
      <c r="Z26" s="36" t="s">
        <v>90</v>
      </c>
      <c r="AA26" s="36" t="s">
        <v>75</v>
      </c>
      <c r="AB26" s="36" t="s">
        <v>90</v>
      </c>
      <c r="AC26" s="36" t="s">
        <v>585</v>
      </c>
      <c r="AD26" s="36" t="s">
        <v>215</v>
      </c>
      <c r="AE26" s="36" t="s">
        <v>609</v>
      </c>
      <c r="AF26" s="36" t="s">
        <v>75</v>
      </c>
      <c r="AG26" s="36" t="s">
        <v>75</v>
      </c>
      <c r="AH26" s="36" t="s">
        <v>75</v>
      </c>
      <c r="AI26" s="36" t="s">
        <v>610</v>
      </c>
      <c r="AJ26" s="36" t="s">
        <v>75</v>
      </c>
      <c r="AK26" s="36" t="s">
        <v>94</v>
      </c>
      <c r="AL26" s="35" t="s">
        <v>90</v>
      </c>
      <c r="AM26" s="36" t="s">
        <v>95</v>
      </c>
      <c r="AN26" s="36" t="s">
        <v>611</v>
      </c>
      <c r="AO26" s="36" t="s">
        <v>75</v>
      </c>
      <c r="AP26" s="36" t="s">
        <v>75</v>
      </c>
      <c r="AQ26" s="36" t="s">
        <v>75</v>
      </c>
      <c r="AR26" s="36" t="s">
        <v>75</v>
      </c>
      <c r="AS26" s="36" t="s">
        <v>75</v>
      </c>
      <c r="AT26" s="36" t="s">
        <v>75</v>
      </c>
      <c r="AU26" s="36" t="s">
        <v>75</v>
      </c>
      <c r="AV26" s="36" t="s">
        <v>612</v>
      </c>
      <c r="AW26" s="36" t="s">
        <v>75</v>
      </c>
      <c r="AX26" s="36" t="s">
        <v>75</v>
      </c>
      <c r="AY26" s="36" t="s">
        <v>613</v>
      </c>
      <c r="AZ26" s="36" t="s">
        <v>614</v>
      </c>
      <c r="BA26" s="36" t="s">
        <v>615</v>
      </c>
      <c r="BB26" s="36" t="s">
        <v>101</v>
      </c>
      <c r="BC26" s="36" t="s">
        <v>163</v>
      </c>
      <c r="BD26" s="36" t="s">
        <v>103</v>
      </c>
      <c r="BE26" s="36" t="s">
        <v>75</v>
      </c>
      <c r="BF26" s="36" t="s">
        <v>75</v>
      </c>
      <c r="BG26" s="36" t="s">
        <v>75</v>
      </c>
      <c r="BH26" s="36" t="s">
        <v>75</v>
      </c>
      <c r="BI26" s="36" t="s">
        <v>104</v>
      </c>
      <c r="BJ26" s="36" t="s">
        <v>616</v>
      </c>
      <c r="BK26" s="36" t="s">
        <v>106</v>
      </c>
      <c r="BL26" s="36" t="s">
        <v>107</v>
      </c>
      <c r="BM26" s="36" t="s">
        <v>75</v>
      </c>
      <c r="BN26" s="36" t="s">
        <v>75</v>
      </c>
      <c r="BO26" s="36" t="s">
        <v>75</v>
      </c>
      <c r="BP26" s="36" t="s">
        <v>75</v>
      </c>
      <c r="BQ26" s="35" t="s">
        <v>617</v>
      </c>
      <c r="BR26" s="36" t="s">
        <v>618</v>
      </c>
      <c r="BS26" s="38" t="s">
        <v>619</v>
      </c>
    </row>
    <row r="27" spans="1:71">
      <c r="A27" s="35" t="s">
        <v>620</v>
      </c>
      <c r="B27" s="36" t="s">
        <v>72</v>
      </c>
      <c r="C27" s="36" t="s">
        <v>73</v>
      </c>
      <c r="D27" s="36" t="s">
        <v>74</v>
      </c>
      <c r="E27" s="36" t="s">
        <v>75</v>
      </c>
      <c r="F27" s="36" t="s">
        <v>621</v>
      </c>
      <c r="G27" s="36" t="s">
        <v>622</v>
      </c>
      <c r="H27" s="36" t="s">
        <v>623</v>
      </c>
      <c r="I27" s="36" t="s">
        <v>343</v>
      </c>
      <c r="J27" s="36" t="s">
        <v>624</v>
      </c>
      <c r="K27" s="36" t="s">
        <v>625</v>
      </c>
      <c r="L27" s="36" t="s">
        <v>626</v>
      </c>
      <c r="M27" s="36" t="s">
        <v>627</v>
      </c>
      <c r="N27" s="36" t="s">
        <v>628</v>
      </c>
      <c r="O27" s="35" t="s">
        <v>629</v>
      </c>
      <c r="P27" s="36" t="s">
        <v>151</v>
      </c>
      <c r="Q27" s="36" t="s">
        <v>152</v>
      </c>
      <c r="R27" s="36" t="s">
        <v>630</v>
      </c>
      <c r="S27" s="36" t="s">
        <v>631</v>
      </c>
      <c r="T27" s="35" t="s">
        <v>88</v>
      </c>
      <c r="U27" s="36" t="s">
        <v>75</v>
      </c>
      <c r="V27" s="36" t="s">
        <v>75</v>
      </c>
      <c r="W27" s="36" t="s">
        <v>585</v>
      </c>
      <c r="X27" s="37" t="s">
        <v>585</v>
      </c>
      <c r="Y27" s="35" t="s">
        <v>90</v>
      </c>
      <c r="Z27" s="36" t="s">
        <v>90</v>
      </c>
      <c r="AA27" s="36" t="s">
        <v>75</v>
      </c>
      <c r="AB27" s="36" t="s">
        <v>90</v>
      </c>
      <c r="AC27" s="36" t="s">
        <v>585</v>
      </c>
      <c r="AD27" s="36" t="s">
        <v>215</v>
      </c>
      <c r="AE27" s="36" t="s">
        <v>632</v>
      </c>
      <c r="AF27" s="36" t="s">
        <v>75</v>
      </c>
      <c r="AG27" s="36" t="s">
        <v>75</v>
      </c>
      <c r="AH27" s="36" t="s">
        <v>75</v>
      </c>
      <c r="AI27" s="36" t="s">
        <v>633</v>
      </c>
      <c r="AJ27" s="36" t="s">
        <v>75</v>
      </c>
      <c r="AK27" s="36" t="s">
        <v>94</v>
      </c>
      <c r="AL27" s="35" t="s">
        <v>90</v>
      </c>
      <c r="AM27" s="36" t="s">
        <v>95</v>
      </c>
      <c r="AN27" s="36" t="s">
        <v>634</v>
      </c>
      <c r="AO27" s="36" t="s">
        <v>75</v>
      </c>
      <c r="AP27" s="36" t="s">
        <v>75</v>
      </c>
      <c r="AQ27" s="36" t="s">
        <v>75</v>
      </c>
      <c r="AR27" s="36" t="s">
        <v>75</v>
      </c>
      <c r="AS27" s="36" t="s">
        <v>75</v>
      </c>
      <c r="AT27" s="36" t="s">
        <v>75</v>
      </c>
      <c r="AU27" s="36" t="s">
        <v>75</v>
      </c>
      <c r="AV27" s="36" t="s">
        <v>612</v>
      </c>
      <c r="AW27" s="36" t="s">
        <v>75</v>
      </c>
      <c r="AX27" s="36" t="s">
        <v>75</v>
      </c>
      <c r="AY27" s="36" t="s">
        <v>635</v>
      </c>
      <c r="AZ27" s="36" t="s">
        <v>636</v>
      </c>
      <c r="BA27" s="36" t="s">
        <v>637</v>
      </c>
      <c r="BB27" s="36" t="s">
        <v>101</v>
      </c>
      <c r="BC27" s="36" t="s">
        <v>163</v>
      </c>
      <c r="BD27" s="36" t="s">
        <v>103</v>
      </c>
      <c r="BE27" s="36" t="s">
        <v>75</v>
      </c>
      <c r="BF27" s="36" t="s">
        <v>75</v>
      </c>
      <c r="BG27" s="36" t="s">
        <v>75</v>
      </c>
      <c r="BH27" s="36" t="s">
        <v>75</v>
      </c>
      <c r="BI27" s="36" t="s">
        <v>104</v>
      </c>
      <c r="BJ27" s="36" t="s">
        <v>638</v>
      </c>
      <c r="BK27" s="36" t="s">
        <v>106</v>
      </c>
      <c r="BL27" s="36" t="s">
        <v>107</v>
      </c>
      <c r="BM27" s="36" t="s">
        <v>75</v>
      </c>
      <c r="BN27" s="36" t="s">
        <v>75</v>
      </c>
      <c r="BO27" s="36" t="s">
        <v>75</v>
      </c>
      <c r="BP27" s="36" t="s">
        <v>75</v>
      </c>
      <c r="BQ27" s="35" t="s">
        <v>639</v>
      </c>
      <c r="BR27" s="36" t="s">
        <v>618</v>
      </c>
      <c r="BS27" s="38" t="s">
        <v>619</v>
      </c>
    </row>
    <row r="28" spans="1:71">
      <c r="A28" s="35" t="s">
        <v>640</v>
      </c>
      <c r="B28" s="36" t="s">
        <v>72</v>
      </c>
      <c r="C28" s="36" t="s">
        <v>73</v>
      </c>
      <c r="D28" s="36" t="s">
        <v>74</v>
      </c>
      <c r="E28" s="36" t="s">
        <v>75</v>
      </c>
      <c r="F28" s="36" t="s">
        <v>641</v>
      </c>
      <c r="G28" s="36" t="s">
        <v>642</v>
      </c>
      <c r="H28" s="36" t="s">
        <v>643</v>
      </c>
      <c r="I28" s="36" t="s">
        <v>79</v>
      </c>
      <c r="J28" s="36" t="s">
        <v>80</v>
      </c>
      <c r="K28" s="36" t="s">
        <v>644</v>
      </c>
      <c r="L28" s="36" t="s">
        <v>645</v>
      </c>
      <c r="M28" s="36" t="s">
        <v>604</v>
      </c>
      <c r="N28" s="36" t="s">
        <v>605</v>
      </c>
      <c r="O28" s="35" t="s">
        <v>606</v>
      </c>
      <c r="P28" s="36" t="s">
        <v>151</v>
      </c>
      <c r="Q28" s="36" t="s">
        <v>152</v>
      </c>
      <c r="R28" s="36" t="s">
        <v>607</v>
      </c>
      <c r="S28" s="36" t="s">
        <v>608</v>
      </c>
      <c r="T28" s="35" t="s">
        <v>88</v>
      </c>
      <c r="U28" s="36" t="s">
        <v>75</v>
      </c>
      <c r="V28" s="36" t="s">
        <v>75</v>
      </c>
      <c r="W28" s="36" t="s">
        <v>585</v>
      </c>
      <c r="X28" s="37" t="s">
        <v>585</v>
      </c>
      <c r="Y28" s="35" t="s">
        <v>90</v>
      </c>
      <c r="Z28" s="36" t="s">
        <v>90</v>
      </c>
      <c r="AA28" s="36" t="s">
        <v>75</v>
      </c>
      <c r="AB28" s="36" t="s">
        <v>90</v>
      </c>
      <c r="AC28" s="36" t="s">
        <v>585</v>
      </c>
      <c r="AD28" s="36" t="s">
        <v>91</v>
      </c>
      <c r="AE28" s="36" t="s">
        <v>646</v>
      </c>
      <c r="AF28" s="36" t="s">
        <v>75</v>
      </c>
      <c r="AG28" s="36" t="s">
        <v>75</v>
      </c>
      <c r="AH28" s="36" t="s">
        <v>75</v>
      </c>
      <c r="AI28" s="36" t="s">
        <v>633</v>
      </c>
      <c r="AJ28" s="36" t="s">
        <v>75</v>
      </c>
      <c r="AK28" s="36" t="s">
        <v>94</v>
      </c>
      <c r="AL28" s="35" t="s">
        <v>90</v>
      </c>
      <c r="AM28" s="36" t="s">
        <v>95</v>
      </c>
      <c r="AN28" s="36" t="s">
        <v>647</v>
      </c>
      <c r="AO28" s="36" t="s">
        <v>75</v>
      </c>
      <c r="AP28" s="36" t="s">
        <v>75</v>
      </c>
      <c r="AQ28" s="36" t="s">
        <v>75</v>
      </c>
      <c r="AR28" s="36" t="s">
        <v>75</v>
      </c>
      <c r="AS28" s="36" t="s">
        <v>75</v>
      </c>
      <c r="AT28" s="36" t="s">
        <v>75</v>
      </c>
      <c r="AU28" s="36" t="s">
        <v>75</v>
      </c>
      <c r="AV28" s="36" t="s">
        <v>648</v>
      </c>
      <c r="AW28" s="36" t="s">
        <v>75</v>
      </c>
      <c r="AX28" s="36" t="s">
        <v>75</v>
      </c>
      <c r="AY28" s="36" t="s">
        <v>635</v>
      </c>
      <c r="AZ28" s="36" t="s">
        <v>614</v>
      </c>
      <c r="BA28" s="36" t="s">
        <v>615</v>
      </c>
      <c r="BB28" s="36" t="s">
        <v>101</v>
      </c>
      <c r="BC28" s="36" t="s">
        <v>163</v>
      </c>
      <c r="BD28" s="36" t="s">
        <v>103</v>
      </c>
      <c r="BE28" s="36" t="s">
        <v>75</v>
      </c>
      <c r="BF28" s="36" t="s">
        <v>75</v>
      </c>
      <c r="BG28" s="36" t="s">
        <v>75</v>
      </c>
      <c r="BH28" s="36" t="s">
        <v>75</v>
      </c>
      <c r="BI28" s="36" t="s">
        <v>104</v>
      </c>
      <c r="BJ28" s="36" t="s">
        <v>649</v>
      </c>
      <c r="BK28" s="36" t="s">
        <v>106</v>
      </c>
      <c r="BL28" s="36" t="s">
        <v>107</v>
      </c>
      <c r="BM28" s="36" t="s">
        <v>75</v>
      </c>
      <c r="BN28" s="36" t="s">
        <v>75</v>
      </c>
      <c r="BO28" s="36" t="s">
        <v>75</v>
      </c>
      <c r="BP28" s="36" t="s">
        <v>75</v>
      </c>
      <c r="BQ28" s="35" t="s">
        <v>617</v>
      </c>
      <c r="BR28" s="36" t="s">
        <v>618</v>
      </c>
      <c r="BS28" s="38" t="s">
        <v>619</v>
      </c>
    </row>
    <row r="29" spans="1:71">
      <c r="A29" s="35" t="s">
        <v>650</v>
      </c>
      <c r="B29" s="36" t="s">
        <v>72</v>
      </c>
      <c r="C29" s="36" t="s">
        <v>73</v>
      </c>
      <c r="D29" s="36" t="s">
        <v>74</v>
      </c>
      <c r="E29" s="36" t="s">
        <v>75</v>
      </c>
      <c r="F29" s="36" t="s">
        <v>651</v>
      </c>
      <c r="G29" s="36" t="s">
        <v>652</v>
      </c>
      <c r="H29" s="36" t="s">
        <v>653</v>
      </c>
      <c r="I29" s="36" t="s">
        <v>79</v>
      </c>
      <c r="J29" s="36" t="s">
        <v>80</v>
      </c>
      <c r="K29" s="36" t="s">
        <v>654</v>
      </c>
      <c r="L29" s="36" t="s">
        <v>655</v>
      </c>
      <c r="M29" s="36" t="s">
        <v>656</v>
      </c>
      <c r="N29" s="36" t="s">
        <v>657</v>
      </c>
      <c r="O29" s="35" t="s">
        <v>658</v>
      </c>
      <c r="P29" s="36" t="s">
        <v>151</v>
      </c>
      <c r="Q29" s="36" t="s">
        <v>152</v>
      </c>
      <c r="R29" s="36" t="s">
        <v>659</v>
      </c>
      <c r="S29" s="36" t="s">
        <v>660</v>
      </c>
      <c r="T29" s="35" t="s">
        <v>88</v>
      </c>
      <c r="U29" s="36" t="s">
        <v>75</v>
      </c>
      <c r="V29" s="36" t="s">
        <v>75</v>
      </c>
      <c r="W29" s="36" t="s">
        <v>585</v>
      </c>
      <c r="X29" s="37" t="s">
        <v>585</v>
      </c>
      <c r="Y29" s="35" t="s">
        <v>90</v>
      </c>
      <c r="Z29" s="36" t="s">
        <v>90</v>
      </c>
      <c r="AA29" s="36" t="s">
        <v>75</v>
      </c>
      <c r="AB29" s="36" t="s">
        <v>90</v>
      </c>
      <c r="AC29" s="36" t="s">
        <v>585</v>
      </c>
      <c r="AD29" s="36" t="s">
        <v>215</v>
      </c>
      <c r="AE29" s="36" t="s">
        <v>661</v>
      </c>
      <c r="AF29" s="36" t="s">
        <v>75</v>
      </c>
      <c r="AG29" s="36" t="s">
        <v>75</v>
      </c>
      <c r="AH29" s="36" t="s">
        <v>75</v>
      </c>
      <c r="AI29" s="36" t="s">
        <v>662</v>
      </c>
      <c r="AJ29" s="36" t="s">
        <v>75</v>
      </c>
      <c r="AK29" s="36" t="s">
        <v>94</v>
      </c>
      <c r="AL29" s="35" t="s">
        <v>90</v>
      </c>
      <c r="AM29" s="36" t="s">
        <v>95</v>
      </c>
      <c r="AN29" s="36" t="s">
        <v>663</v>
      </c>
      <c r="AO29" s="36" t="s">
        <v>75</v>
      </c>
      <c r="AP29" s="36" t="s">
        <v>75</v>
      </c>
      <c r="AQ29" s="36" t="s">
        <v>75</v>
      </c>
      <c r="AR29" s="36" t="s">
        <v>75</v>
      </c>
      <c r="AS29" s="36" t="s">
        <v>75</v>
      </c>
      <c r="AT29" s="36" t="s">
        <v>75</v>
      </c>
      <c r="AU29" s="36" t="s">
        <v>75</v>
      </c>
      <c r="AV29" s="36" t="s">
        <v>664</v>
      </c>
      <c r="AW29" s="36" t="s">
        <v>75</v>
      </c>
      <c r="AX29" s="36" t="s">
        <v>75</v>
      </c>
      <c r="AY29" s="36" t="s">
        <v>665</v>
      </c>
      <c r="AZ29" s="36" t="s">
        <v>666</v>
      </c>
      <c r="BA29" s="36" t="s">
        <v>667</v>
      </c>
      <c r="BB29" s="36" t="s">
        <v>101</v>
      </c>
      <c r="BC29" s="36" t="s">
        <v>163</v>
      </c>
      <c r="BD29" s="36" t="s">
        <v>103</v>
      </c>
      <c r="BE29" s="36" t="s">
        <v>75</v>
      </c>
      <c r="BF29" s="36" t="s">
        <v>75</v>
      </c>
      <c r="BG29" s="36" t="s">
        <v>75</v>
      </c>
      <c r="BH29" s="36" t="s">
        <v>75</v>
      </c>
      <c r="BI29" s="36" t="s">
        <v>104</v>
      </c>
      <c r="BJ29" s="36" t="s">
        <v>668</v>
      </c>
      <c r="BK29" s="36" t="s">
        <v>106</v>
      </c>
      <c r="BL29" s="36" t="s">
        <v>107</v>
      </c>
      <c r="BM29" s="36" t="s">
        <v>75</v>
      </c>
      <c r="BN29" s="36" t="s">
        <v>75</v>
      </c>
      <c r="BO29" s="36" t="s">
        <v>75</v>
      </c>
      <c r="BP29" s="36" t="s">
        <v>75</v>
      </c>
      <c r="BQ29" s="35" t="s">
        <v>669</v>
      </c>
      <c r="BR29" s="36" t="s">
        <v>618</v>
      </c>
      <c r="BS29" s="38" t="s">
        <v>619</v>
      </c>
    </row>
    <row r="30" spans="1:71">
      <c r="A30" s="35" t="s">
        <v>670</v>
      </c>
      <c r="B30" s="36" t="s">
        <v>72</v>
      </c>
      <c r="C30" s="36" t="s">
        <v>73</v>
      </c>
      <c r="D30" s="36" t="s">
        <v>74</v>
      </c>
      <c r="E30" s="36" t="s">
        <v>75</v>
      </c>
      <c r="F30" s="36" t="s">
        <v>671</v>
      </c>
      <c r="G30" s="36" t="s">
        <v>672</v>
      </c>
      <c r="H30" s="36" t="s">
        <v>673</v>
      </c>
      <c r="I30" s="36" t="s">
        <v>413</v>
      </c>
      <c r="J30" s="36" t="s">
        <v>674</v>
      </c>
      <c r="K30" s="36" t="s">
        <v>675</v>
      </c>
      <c r="L30" s="36" t="s">
        <v>676</v>
      </c>
      <c r="M30" s="36" t="s">
        <v>677</v>
      </c>
      <c r="N30" s="36" t="s">
        <v>678</v>
      </c>
      <c r="O30" s="35" t="s">
        <v>679</v>
      </c>
      <c r="P30" s="36" t="s">
        <v>151</v>
      </c>
      <c r="Q30" s="36" t="s">
        <v>152</v>
      </c>
      <c r="R30" s="36" t="s">
        <v>680</v>
      </c>
      <c r="S30" s="36" t="s">
        <v>681</v>
      </c>
      <c r="T30" s="35" t="s">
        <v>88</v>
      </c>
      <c r="U30" s="36" t="s">
        <v>75</v>
      </c>
      <c r="V30" s="36" t="s">
        <v>75</v>
      </c>
      <c r="W30" s="36" t="s">
        <v>585</v>
      </c>
      <c r="X30" s="37" t="s">
        <v>585</v>
      </c>
      <c r="Y30" s="35" t="s">
        <v>90</v>
      </c>
      <c r="Z30" s="36" t="s">
        <v>90</v>
      </c>
      <c r="AA30" s="36" t="s">
        <v>75</v>
      </c>
      <c r="AB30" s="36" t="s">
        <v>90</v>
      </c>
      <c r="AC30" s="36" t="s">
        <v>585</v>
      </c>
      <c r="AD30" s="36" t="s">
        <v>215</v>
      </c>
      <c r="AE30" s="36" t="s">
        <v>682</v>
      </c>
      <c r="AF30" s="36" t="s">
        <v>75</v>
      </c>
      <c r="AG30" s="36" t="s">
        <v>75</v>
      </c>
      <c r="AH30" s="36" t="s">
        <v>75</v>
      </c>
      <c r="AI30" s="36" t="s">
        <v>648</v>
      </c>
      <c r="AJ30" s="36" t="s">
        <v>75</v>
      </c>
      <c r="AK30" s="36" t="s">
        <v>94</v>
      </c>
      <c r="AL30" s="35" t="s">
        <v>90</v>
      </c>
      <c r="AM30" s="36" t="s">
        <v>95</v>
      </c>
      <c r="AN30" s="36" t="s">
        <v>683</v>
      </c>
      <c r="AO30" s="36" t="s">
        <v>75</v>
      </c>
      <c r="AP30" s="36" t="s">
        <v>75</v>
      </c>
      <c r="AQ30" s="36" t="s">
        <v>75</v>
      </c>
      <c r="AR30" s="36" t="s">
        <v>75</v>
      </c>
      <c r="AS30" s="36" t="s">
        <v>75</v>
      </c>
      <c r="AT30" s="36" t="s">
        <v>75</v>
      </c>
      <c r="AU30" s="36" t="s">
        <v>75</v>
      </c>
      <c r="AV30" s="36" t="s">
        <v>684</v>
      </c>
      <c r="AW30" s="36" t="s">
        <v>75</v>
      </c>
      <c r="AX30" s="36" t="s">
        <v>75</v>
      </c>
      <c r="AY30" s="36" t="s">
        <v>685</v>
      </c>
      <c r="AZ30" s="36" t="s">
        <v>686</v>
      </c>
      <c r="BA30" s="36" t="s">
        <v>687</v>
      </c>
      <c r="BB30" s="36" t="s">
        <v>101</v>
      </c>
      <c r="BC30" s="36" t="s">
        <v>163</v>
      </c>
      <c r="BD30" s="36" t="s">
        <v>103</v>
      </c>
      <c r="BE30" s="36" t="s">
        <v>75</v>
      </c>
      <c r="BF30" s="36" t="s">
        <v>75</v>
      </c>
      <c r="BG30" s="36" t="s">
        <v>75</v>
      </c>
      <c r="BH30" s="36" t="s">
        <v>75</v>
      </c>
      <c r="BI30" s="36" t="s">
        <v>104</v>
      </c>
      <c r="BJ30" s="36" t="s">
        <v>688</v>
      </c>
      <c r="BK30" s="36" t="s">
        <v>106</v>
      </c>
      <c r="BL30" s="36" t="s">
        <v>107</v>
      </c>
      <c r="BM30" s="36" t="s">
        <v>75</v>
      </c>
      <c r="BN30" s="36" t="s">
        <v>75</v>
      </c>
      <c r="BO30" s="36" t="s">
        <v>75</v>
      </c>
      <c r="BP30" s="36" t="s">
        <v>75</v>
      </c>
      <c r="BQ30" s="35" t="s">
        <v>689</v>
      </c>
      <c r="BR30" s="36" t="s">
        <v>618</v>
      </c>
      <c r="BS30" s="38" t="s">
        <v>619</v>
      </c>
    </row>
    <row r="31" spans="1:71">
      <c r="A31" s="35" t="s">
        <v>690</v>
      </c>
      <c r="B31" s="36" t="s">
        <v>72</v>
      </c>
      <c r="C31" s="36" t="s">
        <v>73</v>
      </c>
      <c r="D31" s="36" t="s">
        <v>74</v>
      </c>
      <c r="E31" s="36" t="s">
        <v>75</v>
      </c>
      <c r="F31" s="36" t="s">
        <v>434</v>
      </c>
      <c r="G31" s="36" t="s">
        <v>691</v>
      </c>
      <c r="H31" s="36" t="s">
        <v>692</v>
      </c>
      <c r="I31" s="36" t="s">
        <v>496</v>
      </c>
      <c r="J31" s="36" t="s">
        <v>693</v>
      </c>
      <c r="K31" s="36" t="s">
        <v>694</v>
      </c>
      <c r="L31" s="36" t="s">
        <v>695</v>
      </c>
      <c r="M31" s="36" t="s">
        <v>677</v>
      </c>
      <c r="N31" s="36" t="s">
        <v>678</v>
      </c>
      <c r="O31" s="35" t="s">
        <v>679</v>
      </c>
      <c r="P31" s="36" t="s">
        <v>151</v>
      </c>
      <c r="Q31" s="36" t="s">
        <v>152</v>
      </c>
      <c r="R31" s="36" t="s">
        <v>680</v>
      </c>
      <c r="S31" s="36" t="s">
        <v>681</v>
      </c>
      <c r="T31" s="35" t="s">
        <v>88</v>
      </c>
      <c r="U31" s="36" t="s">
        <v>75</v>
      </c>
      <c r="V31" s="36" t="s">
        <v>75</v>
      </c>
      <c r="W31" s="36" t="s">
        <v>585</v>
      </c>
      <c r="X31" s="37" t="s">
        <v>585</v>
      </c>
      <c r="Y31" s="35" t="s">
        <v>90</v>
      </c>
      <c r="Z31" s="36" t="s">
        <v>90</v>
      </c>
      <c r="AA31" s="36" t="s">
        <v>75</v>
      </c>
      <c r="AB31" s="36" t="s">
        <v>90</v>
      </c>
      <c r="AC31" s="36" t="s">
        <v>585</v>
      </c>
      <c r="AD31" s="36" t="s">
        <v>91</v>
      </c>
      <c r="AE31" s="36" t="s">
        <v>696</v>
      </c>
      <c r="AF31" s="36" t="s">
        <v>75</v>
      </c>
      <c r="AG31" s="36" t="s">
        <v>75</v>
      </c>
      <c r="AH31" s="36" t="s">
        <v>75</v>
      </c>
      <c r="AI31" s="36" t="s">
        <v>697</v>
      </c>
      <c r="AJ31" s="36" t="s">
        <v>75</v>
      </c>
      <c r="AK31" s="36" t="s">
        <v>94</v>
      </c>
      <c r="AL31" s="35" t="s">
        <v>90</v>
      </c>
      <c r="AM31" s="36" t="s">
        <v>95</v>
      </c>
      <c r="AN31" s="36" t="s">
        <v>698</v>
      </c>
      <c r="AO31" s="36" t="s">
        <v>75</v>
      </c>
      <c r="AP31" s="36" t="s">
        <v>75</v>
      </c>
      <c r="AQ31" s="36" t="s">
        <v>75</v>
      </c>
      <c r="AR31" s="36" t="s">
        <v>75</v>
      </c>
      <c r="AS31" s="36" t="s">
        <v>75</v>
      </c>
      <c r="AT31" s="36" t="s">
        <v>75</v>
      </c>
      <c r="AU31" s="36" t="s">
        <v>75</v>
      </c>
      <c r="AV31" s="36" t="s">
        <v>699</v>
      </c>
      <c r="AW31" s="36" t="s">
        <v>75</v>
      </c>
      <c r="AX31" s="36" t="s">
        <v>75</v>
      </c>
      <c r="AY31" s="36" t="s">
        <v>700</v>
      </c>
      <c r="AZ31" s="36" t="s">
        <v>686</v>
      </c>
      <c r="BA31" s="36" t="s">
        <v>687</v>
      </c>
      <c r="BB31" s="36" t="s">
        <v>101</v>
      </c>
      <c r="BC31" s="36" t="s">
        <v>163</v>
      </c>
      <c r="BD31" s="36" t="s">
        <v>103</v>
      </c>
      <c r="BE31" s="36" t="s">
        <v>75</v>
      </c>
      <c r="BF31" s="36" t="s">
        <v>75</v>
      </c>
      <c r="BG31" s="36" t="s">
        <v>75</v>
      </c>
      <c r="BH31" s="36" t="s">
        <v>75</v>
      </c>
      <c r="BI31" s="36" t="s">
        <v>104</v>
      </c>
      <c r="BJ31" s="36" t="s">
        <v>701</v>
      </c>
      <c r="BK31" s="36" t="s">
        <v>106</v>
      </c>
      <c r="BL31" s="36" t="s">
        <v>107</v>
      </c>
      <c r="BM31" s="36" t="s">
        <v>75</v>
      </c>
      <c r="BN31" s="36" t="s">
        <v>75</v>
      </c>
      <c r="BO31" s="36" t="s">
        <v>75</v>
      </c>
      <c r="BP31" s="36" t="s">
        <v>75</v>
      </c>
      <c r="BQ31" s="35" t="s">
        <v>689</v>
      </c>
      <c r="BR31" s="36" t="s">
        <v>618</v>
      </c>
      <c r="BS31" s="38" t="s">
        <v>619</v>
      </c>
    </row>
    <row r="32" spans="1:71">
      <c r="A32" s="35" t="s">
        <v>702</v>
      </c>
      <c r="B32" s="36" t="s">
        <v>72</v>
      </c>
      <c r="C32" s="36" t="s">
        <v>73</v>
      </c>
      <c r="D32" s="36" t="s">
        <v>74</v>
      </c>
      <c r="E32" s="36" t="s">
        <v>75</v>
      </c>
      <c r="F32" s="36" t="s">
        <v>703</v>
      </c>
      <c r="G32" s="36" t="s">
        <v>704</v>
      </c>
      <c r="H32" s="36" t="s">
        <v>577</v>
      </c>
      <c r="I32" s="36" t="s">
        <v>117</v>
      </c>
      <c r="J32" s="36" t="s">
        <v>578</v>
      </c>
      <c r="K32" s="36" t="s">
        <v>579</v>
      </c>
      <c r="L32" s="36" t="s">
        <v>705</v>
      </c>
      <c r="M32" s="36" t="s">
        <v>677</v>
      </c>
      <c r="N32" s="36" t="s">
        <v>678</v>
      </c>
      <c r="O32" s="35" t="s">
        <v>679</v>
      </c>
      <c r="P32" s="36" t="s">
        <v>151</v>
      </c>
      <c r="Q32" s="36" t="s">
        <v>152</v>
      </c>
      <c r="R32" s="36" t="s">
        <v>680</v>
      </c>
      <c r="S32" s="36" t="s">
        <v>681</v>
      </c>
      <c r="T32" s="35" t="s">
        <v>88</v>
      </c>
      <c r="U32" s="36" t="s">
        <v>75</v>
      </c>
      <c r="V32" s="36" t="s">
        <v>75</v>
      </c>
      <c r="W32" s="36" t="s">
        <v>585</v>
      </c>
      <c r="X32" s="37" t="s">
        <v>585</v>
      </c>
      <c r="Y32" s="35" t="s">
        <v>90</v>
      </c>
      <c r="Z32" s="36" t="s">
        <v>90</v>
      </c>
      <c r="AA32" s="36" t="s">
        <v>75</v>
      </c>
      <c r="AB32" s="36" t="s">
        <v>90</v>
      </c>
      <c r="AC32" s="36" t="s">
        <v>585</v>
      </c>
      <c r="AD32" s="36" t="s">
        <v>352</v>
      </c>
      <c r="AE32" s="36" t="s">
        <v>75</v>
      </c>
      <c r="AF32" s="36" t="s">
        <v>75</v>
      </c>
      <c r="AG32" s="36" t="s">
        <v>75</v>
      </c>
      <c r="AH32" s="36" t="s">
        <v>75</v>
      </c>
      <c r="AI32" s="36" t="s">
        <v>610</v>
      </c>
      <c r="AJ32" s="36" t="s">
        <v>75</v>
      </c>
      <c r="AK32" s="36" t="s">
        <v>94</v>
      </c>
      <c r="AL32" s="35" t="s">
        <v>90</v>
      </c>
      <c r="AM32" s="36" t="s">
        <v>95</v>
      </c>
      <c r="AN32" s="36" t="s">
        <v>706</v>
      </c>
      <c r="AO32" s="36" t="s">
        <v>75</v>
      </c>
      <c r="AP32" s="36" t="s">
        <v>75</v>
      </c>
      <c r="AQ32" s="36" t="s">
        <v>75</v>
      </c>
      <c r="AR32" s="36" t="s">
        <v>75</v>
      </c>
      <c r="AS32" s="36" t="s">
        <v>75</v>
      </c>
      <c r="AT32" s="36" t="s">
        <v>75</v>
      </c>
      <c r="AU32" s="36" t="s">
        <v>75</v>
      </c>
      <c r="AV32" s="36" t="s">
        <v>662</v>
      </c>
      <c r="AW32" s="36" t="s">
        <v>75</v>
      </c>
      <c r="AX32" s="36" t="s">
        <v>75</v>
      </c>
      <c r="AY32" s="36" t="s">
        <v>613</v>
      </c>
      <c r="AZ32" s="36" t="s">
        <v>686</v>
      </c>
      <c r="BA32" s="36" t="s">
        <v>687</v>
      </c>
      <c r="BB32" s="36" t="s">
        <v>101</v>
      </c>
      <c r="BC32" s="36" t="s">
        <v>163</v>
      </c>
      <c r="BD32" s="36" t="s">
        <v>103</v>
      </c>
      <c r="BE32" s="36" t="s">
        <v>75</v>
      </c>
      <c r="BF32" s="36" t="s">
        <v>75</v>
      </c>
      <c r="BG32" s="36" t="s">
        <v>75</v>
      </c>
      <c r="BH32" s="36" t="s">
        <v>75</v>
      </c>
      <c r="BI32" s="36" t="s">
        <v>104</v>
      </c>
      <c r="BJ32" s="36" t="s">
        <v>707</v>
      </c>
      <c r="BK32" s="36" t="s">
        <v>106</v>
      </c>
      <c r="BL32" s="36" t="s">
        <v>107</v>
      </c>
      <c r="BM32" s="36" t="s">
        <v>75</v>
      </c>
      <c r="BN32" s="36" t="s">
        <v>75</v>
      </c>
      <c r="BO32" s="36" t="s">
        <v>75</v>
      </c>
      <c r="BP32" s="36" t="s">
        <v>75</v>
      </c>
      <c r="BQ32" s="35" t="s">
        <v>689</v>
      </c>
      <c r="BR32" s="36" t="s">
        <v>618</v>
      </c>
      <c r="BS32" s="38" t="s">
        <v>619</v>
      </c>
    </row>
    <row r="33" spans="1:71">
      <c r="A33" s="35" t="s">
        <v>708</v>
      </c>
      <c r="B33" s="36" t="s">
        <v>72</v>
      </c>
      <c r="C33" s="36" t="s">
        <v>73</v>
      </c>
      <c r="D33" s="36" t="s">
        <v>74</v>
      </c>
      <c r="E33" s="36" t="s">
        <v>75</v>
      </c>
      <c r="F33" s="36" t="s">
        <v>598</v>
      </c>
      <c r="G33" s="36" t="s">
        <v>599</v>
      </c>
      <c r="H33" s="36" t="s">
        <v>600</v>
      </c>
      <c r="I33" s="36" t="s">
        <v>117</v>
      </c>
      <c r="J33" s="36" t="s">
        <v>601</v>
      </c>
      <c r="K33" s="36" t="s">
        <v>602</v>
      </c>
      <c r="L33" s="36" t="s">
        <v>603</v>
      </c>
      <c r="M33" s="36" t="s">
        <v>709</v>
      </c>
      <c r="N33" s="36" t="s">
        <v>710</v>
      </c>
      <c r="O33" s="35" t="s">
        <v>711</v>
      </c>
      <c r="P33" s="36" t="s">
        <v>151</v>
      </c>
      <c r="Q33" s="36" t="s">
        <v>152</v>
      </c>
      <c r="R33" s="36" t="s">
        <v>712</v>
      </c>
      <c r="S33" s="36" t="s">
        <v>713</v>
      </c>
      <c r="T33" s="35" t="s">
        <v>88</v>
      </c>
      <c r="U33" s="36" t="s">
        <v>75</v>
      </c>
      <c r="V33" s="36" t="s">
        <v>75</v>
      </c>
      <c r="W33" s="36" t="s">
        <v>585</v>
      </c>
      <c r="X33" s="37" t="s">
        <v>585</v>
      </c>
      <c r="Y33" s="35" t="s">
        <v>90</v>
      </c>
      <c r="Z33" s="36" t="s">
        <v>90</v>
      </c>
      <c r="AA33" s="36" t="s">
        <v>75</v>
      </c>
      <c r="AB33" s="36" t="s">
        <v>90</v>
      </c>
      <c r="AC33" s="36" t="s">
        <v>585</v>
      </c>
      <c r="AD33" s="36" t="s">
        <v>215</v>
      </c>
      <c r="AE33" s="36" t="s">
        <v>714</v>
      </c>
      <c r="AF33" s="36" t="s">
        <v>75</v>
      </c>
      <c r="AG33" s="36" t="s">
        <v>75</v>
      </c>
      <c r="AH33" s="36" t="s">
        <v>75</v>
      </c>
      <c r="AI33" s="36" t="s">
        <v>715</v>
      </c>
      <c r="AJ33" s="36" t="s">
        <v>75</v>
      </c>
      <c r="AK33" s="36" t="s">
        <v>94</v>
      </c>
      <c r="AL33" s="35" t="s">
        <v>90</v>
      </c>
      <c r="AM33" s="36" t="s">
        <v>95</v>
      </c>
      <c r="AN33" s="36" t="s">
        <v>716</v>
      </c>
      <c r="AO33" s="36" t="s">
        <v>75</v>
      </c>
      <c r="AP33" s="36" t="s">
        <v>75</v>
      </c>
      <c r="AQ33" s="36" t="s">
        <v>75</v>
      </c>
      <c r="AR33" s="36" t="s">
        <v>75</v>
      </c>
      <c r="AS33" s="36" t="s">
        <v>75</v>
      </c>
      <c r="AT33" s="36" t="s">
        <v>75</v>
      </c>
      <c r="AU33" s="36" t="s">
        <v>75</v>
      </c>
      <c r="AV33" s="36" t="s">
        <v>717</v>
      </c>
      <c r="AW33" s="36" t="s">
        <v>75</v>
      </c>
      <c r="AX33" s="36" t="s">
        <v>75</v>
      </c>
      <c r="AY33" s="36" t="s">
        <v>718</v>
      </c>
      <c r="AZ33" s="36" t="s">
        <v>719</v>
      </c>
      <c r="BA33" s="36" t="s">
        <v>720</v>
      </c>
      <c r="BB33" s="36" t="s">
        <v>101</v>
      </c>
      <c r="BC33" s="36" t="s">
        <v>163</v>
      </c>
      <c r="BD33" s="36" t="s">
        <v>103</v>
      </c>
      <c r="BE33" s="36" t="s">
        <v>75</v>
      </c>
      <c r="BF33" s="36" t="s">
        <v>75</v>
      </c>
      <c r="BG33" s="36" t="s">
        <v>75</v>
      </c>
      <c r="BH33" s="36" t="s">
        <v>75</v>
      </c>
      <c r="BI33" s="36" t="s">
        <v>104</v>
      </c>
      <c r="BJ33" s="36" t="s">
        <v>616</v>
      </c>
      <c r="BK33" s="36" t="s">
        <v>106</v>
      </c>
      <c r="BL33" s="36" t="s">
        <v>107</v>
      </c>
      <c r="BM33" s="36" t="s">
        <v>75</v>
      </c>
      <c r="BN33" s="36" t="s">
        <v>75</v>
      </c>
      <c r="BO33" s="36" t="s">
        <v>75</v>
      </c>
      <c r="BP33" s="36" t="s">
        <v>75</v>
      </c>
      <c r="BQ33" s="35" t="s">
        <v>721</v>
      </c>
      <c r="BR33" s="36" t="s">
        <v>618</v>
      </c>
      <c r="BS33" s="38" t="s">
        <v>619</v>
      </c>
    </row>
    <row r="34" spans="1:71">
      <c r="A34" s="35" t="s">
        <v>722</v>
      </c>
      <c r="B34" s="36" t="s">
        <v>112</v>
      </c>
      <c r="C34" s="36" t="s">
        <v>113</v>
      </c>
      <c r="D34" s="36" t="s">
        <v>74</v>
      </c>
      <c r="E34" s="36" t="s">
        <v>75</v>
      </c>
      <c r="F34" s="36" t="s">
        <v>317</v>
      </c>
      <c r="G34" s="36" t="s">
        <v>318</v>
      </c>
      <c r="H34" s="36" t="s">
        <v>319</v>
      </c>
      <c r="I34" s="36" t="s">
        <v>205</v>
      </c>
      <c r="J34" s="36" t="s">
        <v>206</v>
      </c>
      <c r="K34" s="36" t="s">
        <v>320</v>
      </c>
      <c r="L34" s="36" t="s">
        <v>321</v>
      </c>
      <c r="M34" s="36" t="s">
        <v>368</v>
      </c>
      <c r="N34" s="36" t="s">
        <v>369</v>
      </c>
      <c r="O34" s="35" t="s">
        <v>370</v>
      </c>
      <c r="P34" s="36" t="s">
        <v>151</v>
      </c>
      <c r="Q34" s="36" t="s">
        <v>152</v>
      </c>
      <c r="R34" s="36" t="s">
        <v>371</v>
      </c>
      <c r="S34" s="36" t="s">
        <v>372</v>
      </c>
      <c r="T34" s="35" t="s">
        <v>88</v>
      </c>
      <c r="U34" s="36" t="s">
        <v>75</v>
      </c>
      <c r="V34" s="36" t="s">
        <v>75</v>
      </c>
      <c r="W34" s="36" t="s">
        <v>373</v>
      </c>
      <c r="X34" s="37" t="s">
        <v>373</v>
      </c>
      <c r="Y34" s="35" t="s">
        <v>90</v>
      </c>
      <c r="Z34" s="36" t="s">
        <v>90</v>
      </c>
      <c r="AA34" s="36" t="s">
        <v>75</v>
      </c>
      <c r="AB34" s="36" t="s">
        <v>90</v>
      </c>
      <c r="AC34" s="36" t="s">
        <v>373</v>
      </c>
      <c r="AD34" s="36" t="s">
        <v>215</v>
      </c>
      <c r="AE34" s="36" t="s">
        <v>723</v>
      </c>
      <c r="AF34" s="36" t="s">
        <v>75</v>
      </c>
      <c r="AG34" s="36" t="s">
        <v>75</v>
      </c>
      <c r="AH34" s="36" t="s">
        <v>75</v>
      </c>
      <c r="AI34" s="36" t="s">
        <v>724</v>
      </c>
      <c r="AJ34" s="36" t="s">
        <v>75</v>
      </c>
      <c r="AK34" s="36" t="s">
        <v>94</v>
      </c>
      <c r="AL34" s="35" t="s">
        <v>90</v>
      </c>
      <c r="AM34" s="36" t="s">
        <v>95</v>
      </c>
      <c r="AN34" s="36" t="s">
        <v>725</v>
      </c>
      <c r="AO34" s="36" t="s">
        <v>75</v>
      </c>
      <c r="AP34" s="36" t="s">
        <v>75</v>
      </c>
      <c r="AQ34" s="36" t="s">
        <v>75</v>
      </c>
      <c r="AR34" s="36" t="s">
        <v>75</v>
      </c>
      <c r="AS34" s="36" t="s">
        <v>75</v>
      </c>
      <c r="AT34" s="36" t="s">
        <v>75</v>
      </c>
      <c r="AU34" s="36" t="s">
        <v>75</v>
      </c>
      <c r="AV34" s="36" t="s">
        <v>726</v>
      </c>
      <c r="AW34" s="36" t="s">
        <v>75</v>
      </c>
      <c r="AX34" s="36" t="s">
        <v>75</v>
      </c>
      <c r="AY34" s="36" t="s">
        <v>727</v>
      </c>
      <c r="AZ34" s="36" t="s">
        <v>728</v>
      </c>
      <c r="BA34" s="36" t="s">
        <v>729</v>
      </c>
      <c r="BB34" s="36" t="s">
        <v>101</v>
      </c>
      <c r="BC34" s="36" t="s">
        <v>163</v>
      </c>
      <c r="BD34" s="36" t="s">
        <v>103</v>
      </c>
      <c r="BE34" s="36" t="s">
        <v>75</v>
      </c>
      <c r="BF34" s="36" t="s">
        <v>133</v>
      </c>
      <c r="BG34" s="36" t="s">
        <v>730</v>
      </c>
      <c r="BH34" s="36" t="s">
        <v>75</v>
      </c>
      <c r="BI34" s="36" t="s">
        <v>104</v>
      </c>
      <c r="BJ34" s="36" t="s">
        <v>335</v>
      </c>
      <c r="BK34" s="36" t="s">
        <v>106</v>
      </c>
      <c r="BL34" s="36" t="s">
        <v>107</v>
      </c>
      <c r="BM34" s="36" t="s">
        <v>75</v>
      </c>
      <c r="BN34" s="36" t="s">
        <v>75</v>
      </c>
      <c r="BO34" s="36" t="s">
        <v>75</v>
      </c>
      <c r="BP34" s="36" t="s">
        <v>75</v>
      </c>
      <c r="BQ34" s="35" t="s">
        <v>383</v>
      </c>
      <c r="BR34" s="36" t="s">
        <v>384</v>
      </c>
      <c r="BS34" s="38" t="s">
        <v>385</v>
      </c>
    </row>
    <row r="35" spans="1:71">
      <c r="A35" s="35" t="s">
        <v>731</v>
      </c>
      <c r="B35" s="36" t="s">
        <v>112</v>
      </c>
      <c r="C35" s="36" t="s">
        <v>113</v>
      </c>
      <c r="D35" s="36" t="s">
        <v>74</v>
      </c>
      <c r="E35" s="36" t="s">
        <v>75</v>
      </c>
      <c r="F35" s="36" t="s">
        <v>732</v>
      </c>
      <c r="G35" s="36" t="s">
        <v>733</v>
      </c>
      <c r="H35" s="36" t="s">
        <v>734</v>
      </c>
      <c r="I35" s="36" t="s">
        <v>735</v>
      </c>
      <c r="J35" s="36" t="s">
        <v>736</v>
      </c>
      <c r="K35" s="36" t="s">
        <v>737</v>
      </c>
      <c r="L35" s="36" t="s">
        <v>738</v>
      </c>
      <c r="M35" s="36" t="s">
        <v>522</v>
      </c>
      <c r="N35" s="36" t="s">
        <v>523</v>
      </c>
      <c r="O35" s="35" t="s">
        <v>524</v>
      </c>
      <c r="P35" s="36" t="s">
        <v>151</v>
      </c>
      <c r="Q35" s="36" t="s">
        <v>152</v>
      </c>
      <c r="R35" s="36" t="s">
        <v>525</v>
      </c>
      <c r="S35" s="36" t="s">
        <v>526</v>
      </c>
      <c r="T35" s="35" t="s">
        <v>88</v>
      </c>
      <c r="U35" s="36" t="s">
        <v>75</v>
      </c>
      <c r="V35" s="36" t="s">
        <v>75</v>
      </c>
      <c r="W35" s="36" t="s">
        <v>373</v>
      </c>
      <c r="X35" s="37" t="s">
        <v>373</v>
      </c>
      <c r="Y35" s="35" t="s">
        <v>90</v>
      </c>
      <c r="Z35" s="36" t="s">
        <v>90</v>
      </c>
      <c r="AA35" s="36" t="s">
        <v>75</v>
      </c>
      <c r="AB35" s="36" t="s">
        <v>90</v>
      </c>
      <c r="AC35" s="36" t="s">
        <v>373</v>
      </c>
      <c r="AD35" s="36" t="s">
        <v>91</v>
      </c>
      <c r="AE35" s="36" t="s">
        <v>739</v>
      </c>
      <c r="AF35" s="36" t="s">
        <v>75</v>
      </c>
      <c r="AG35" s="36" t="s">
        <v>75</v>
      </c>
      <c r="AH35" s="36" t="s">
        <v>75</v>
      </c>
      <c r="AI35" s="36" t="s">
        <v>740</v>
      </c>
      <c r="AJ35" s="36" t="s">
        <v>75</v>
      </c>
      <c r="AK35" s="36" t="s">
        <v>94</v>
      </c>
      <c r="AL35" s="35" t="s">
        <v>90</v>
      </c>
      <c r="AM35" s="36" t="s">
        <v>95</v>
      </c>
      <c r="AN35" s="36" t="s">
        <v>741</v>
      </c>
      <c r="AO35" s="36" t="s">
        <v>75</v>
      </c>
      <c r="AP35" s="36" t="s">
        <v>75</v>
      </c>
      <c r="AQ35" s="36" t="s">
        <v>75</v>
      </c>
      <c r="AR35" s="36" t="s">
        <v>75</v>
      </c>
      <c r="AS35" s="36" t="s">
        <v>75</v>
      </c>
      <c r="AT35" s="36" t="s">
        <v>75</v>
      </c>
      <c r="AU35" s="36" t="s">
        <v>75</v>
      </c>
      <c r="AV35" s="36" t="s">
        <v>742</v>
      </c>
      <c r="AW35" s="36" t="s">
        <v>75</v>
      </c>
      <c r="AX35" s="36" t="s">
        <v>75</v>
      </c>
      <c r="AY35" s="36" t="s">
        <v>743</v>
      </c>
      <c r="AZ35" s="36" t="s">
        <v>744</v>
      </c>
      <c r="BA35" s="36" t="s">
        <v>745</v>
      </c>
      <c r="BB35" s="36" t="s">
        <v>101</v>
      </c>
      <c r="BC35" s="36" t="s">
        <v>163</v>
      </c>
      <c r="BD35" s="36" t="s">
        <v>103</v>
      </c>
      <c r="BE35" s="36" t="s">
        <v>75</v>
      </c>
      <c r="BF35" s="36" t="s">
        <v>133</v>
      </c>
      <c r="BG35" s="36" t="s">
        <v>746</v>
      </c>
      <c r="BH35" s="36" t="s">
        <v>75</v>
      </c>
      <c r="BI35" s="36" t="s">
        <v>104</v>
      </c>
      <c r="BJ35" s="36" t="s">
        <v>747</v>
      </c>
      <c r="BK35" s="36" t="s">
        <v>106</v>
      </c>
      <c r="BL35" s="36" t="s">
        <v>107</v>
      </c>
      <c r="BM35" s="36" t="s">
        <v>75</v>
      </c>
      <c r="BN35" s="36" t="s">
        <v>75</v>
      </c>
      <c r="BO35" s="36" t="s">
        <v>75</v>
      </c>
      <c r="BP35" s="36" t="s">
        <v>75</v>
      </c>
      <c r="BQ35" s="35" t="s">
        <v>535</v>
      </c>
      <c r="BR35" s="36" t="s">
        <v>384</v>
      </c>
      <c r="BS35" s="38" t="s">
        <v>385</v>
      </c>
    </row>
    <row r="36" spans="1:71">
      <c r="A36" s="35" t="s">
        <v>731</v>
      </c>
      <c r="B36" s="36" t="s">
        <v>112</v>
      </c>
      <c r="C36" s="36" t="s">
        <v>113</v>
      </c>
      <c r="D36" s="36" t="s">
        <v>74</v>
      </c>
      <c r="E36" s="36" t="s">
        <v>75</v>
      </c>
      <c r="F36" s="36" t="s">
        <v>732</v>
      </c>
      <c r="G36" s="36" t="s">
        <v>733</v>
      </c>
      <c r="H36" s="36" t="s">
        <v>734</v>
      </c>
      <c r="I36" s="36" t="s">
        <v>735</v>
      </c>
      <c r="J36" s="36" t="s">
        <v>736</v>
      </c>
      <c r="K36" s="36" t="s">
        <v>737</v>
      </c>
      <c r="L36" s="36" t="s">
        <v>738</v>
      </c>
      <c r="M36" s="36" t="s">
        <v>368</v>
      </c>
      <c r="N36" s="36" t="s">
        <v>369</v>
      </c>
      <c r="O36" s="35" t="s">
        <v>370</v>
      </c>
      <c r="P36" s="36" t="s">
        <v>151</v>
      </c>
      <c r="Q36" s="36" t="s">
        <v>152</v>
      </c>
      <c r="R36" s="36" t="s">
        <v>371</v>
      </c>
      <c r="S36" s="36" t="s">
        <v>372</v>
      </c>
      <c r="T36" s="35" t="s">
        <v>88</v>
      </c>
      <c r="U36" s="36" t="s">
        <v>75</v>
      </c>
      <c r="V36" s="36" t="s">
        <v>75</v>
      </c>
      <c r="W36" s="36" t="s">
        <v>373</v>
      </c>
      <c r="X36" s="37" t="s">
        <v>373</v>
      </c>
      <c r="Y36" s="35" t="s">
        <v>90</v>
      </c>
      <c r="Z36" s="36" t="s">
        <v>90</v>
      </c>
      <c r="AA36" s="36" t="s">
        <v>75</v>
      </c>
      <c r="AB36" s="36" t="s">
        <v>90</v>
      </c>
      <c r="AC36" s="36" t="s">
        <v>373</v>
      </c>
      <c r="AD36" s="36" t="s">
        <v>91</v>
      </c>
      <c r="AE36" s="36" t="s">
        <v>739</v>
      </c>
      <c r="AF36" s="36" t="s">
        <v>75</v>
      </c>
      <c r="AG36" s="36" t="s">
        <v>75</v>
      </c>
      <c r="AH36" s="36" t="s">
        <v>75</v>
      </c>
      <c r="AI36" s="36" t="s">
        <v>740</v>
      </c>
      <c r="AJ36" s="36" t="s">
        <v>75</v>
      </c>
      <c r="AK36" s="36" t="s">
        <v>94</v>
      </c>
      <c r="AL36" s="35" t="s">
        <v>90</v>
      </c>
      <c r="AM36" s="36" t="s">
        <v>95</v>
      </c>
      <c r="AN36" s="36" t="s">
        <v>748</v>
      </c>
      <c r="AO36" s="36" t="s">
        <v>75</v>
      </c>
      <c r="AP36" s="36" t="s">
        <v>75</v>
      </c>
      <c r="AQ36" s="36" t="s">
        <v>75</v>
      </c>
      <c r="AR36" s="36" t="s">
        <v>75</v>
      </c>
      <c r="AS36" s="36" t="s">
        <v>75</v>
      </c>
      <c r="AT36" s="36" t="s">
        <v>75</v>
      </c>
      <c r="AU36" s="36" t="s">
        <v>75</v>
      </c>
      <c r="AV36" s="36" t="s">
        <v>742</v>
      </c>
      <c r="AW36" s="36" t="s">
        <v>75</v>
      </c>
      <c r="AX36" s="36" t="s">
        <v>75</v>
      </c>
      <c r="AY36" s="36" t="s">
        <v>743</v>
      </c>
      <c r="AZ36" s="36" t="s">
        <v>749</v>
      </c>
      <c r="BA36" s="36" t="s">
        <v>75</v>
      </c>
      <c r="BB36" s="36" t="s">
        <v>101</v>
      </c>
      <c r="BC36" s="36" t="s">
        <v>75</v>
      </c>
      <c r="BD36" s="36" t="s">
        <v>103</v>
      </c>
      <c r="BE36" s="36" t="s">
        <v>75</v>
      </c>
      <c r="BF36" s="36" t="s">
        <v>133</v>
      </c>
      <c r="BG36" s="36" t="s">
        <v>746</v>
      </c>
      <c r="BH36" s="36" t="s">
        <v>75</v>
      </c>
      <c r="BI36" s="36" t="s">
        <v>104</v>
      </c>
      <c r="BJ36" s="36" t="s">
        <v>747</v>
      </c>
      <c r="BK36" s="36" t="s">
        <v>106</v>
      </c>
      <c r="BL36" s="36" t="s">
        <v>107</v>
      </c>
      <c r="BM36" s="36" t="s">
        <v>75</v>
      </c>
      <c r="BN36" s="36" t="s">
        <v>75</v>
      </c>
      <c r="BO36" s="36" t="s">
        <v>75</v>
      </c>
      <c r="BP36" s="36" t="s">
        <v>75</v>
      </c>
      <c r="BQ36" s="35" t="s">
        <v>383</v>
      </c>
      <c r="BR36" s="36" t="s">
        <v>384</v>
      </c>
      <c r="BS36" s="38" t="s">
        <v>385</v>
      </c>
    </row>
    <row r="37" spans="1:71">
      <c r="A37" s="35" t="s">
        <v>750</v>
      </c>
      <c r="B37" s="36" t="s">
        <v>72</v>
      </c>
      <c r="C37" s="36" t="s">
        <v>113</v>
      </c>
      <c r="D37" s="36" t="s">
        <v>74</v>
      </c>
      <c r="E37" s="36" t="s">
        <v>75</v>
      </c>
      <c r="F37" s="36" t="s">
        <v>751</v>
      </c>
      <c r="G37" s="36" t="s">
        <v>752</v>
      </c>
      <c r="H37" s="36" t="s">
        <v>753</v>
      </c>
      <c r="I37" s="36" t="s">
        <v>343</v>
      </c>
      <c r="J37" s="36" t="s">
        <v>344</v>
      </c>
      <c r="K37" s="36" t="s">
        <v>754</v>
      </c>
      <c r="L37" s="36" t="s">
        <v>755</v>
      </c>
      <c r="M37" s="36" t="s">
        <v>522</v>
      </c>
      <c r="N37" s="36" t="s">
        <v>523</v>
      </c>
      <c r="O37" s="35" t="s">
        <v>524</v>
      </c>
      <c r="P37" s="36" t="s">
        <v>151</v>
      </c>
      <c r="Q37" s="36" t="s">
        <v>152</v>
      </c>
      <c r="R37" s="36" t="s">
        <v>525</v>
      </c>
      <c r="S37" s="36" t="s">
        <v>526</v>
      </c>
      <c r="T37" s="35" t="s">
        <v>88</v>
      </c>
      <c r="U37" s="36" t="s">
        <v>75</v>
      </c>
      <c r="V37" s="36" t="s">
        <v>75</v>
      </c>
      <c r="W37" s="36" t="s">
        <v>373</v>
      </c>
      <c r="X37" s="37" t="s">
        <v>373</v>
      </c>
      <c r="Y37" s="35" t="s">
        <v>90</v>
      </c>
      <c r="Z37" s="36" t="s">
        <v>90</v>
      </c>
      <c r="AA37" s="36" t="s">
        <v>75</v>
      </c>
      <c r="AB37" s="36" t="s">
        <v>90</v>
      </c>
      <c r="AC37" s="36" t="s">
        <v>373</v>
      </c>
      <c r="AD37" s="36" t="s">
        <v>215</v>
      </c>
      <c r="AE37" s="36" t="s">
        <v>756</v>
      </c>
      <c r="AF37" s="36" t="s">
        <v>75</v>
      </c>
      <c r="AG37" s="36" t="s">
        <v>75</v>
      </c>
      <c r="AH37" s="36" t="s">
        <v>75</v>
      </c>
      <c r="AI37" s="36" t="s">
        <v>757</v>
      </c>
      <c r="AJ37" s="36" t="s">
        <v>75</v>
      </c>
      <c r="AK37" s="36" t="s">
        <v>94</v>
      </c>
      <c r="AL37" s="35" t="s">
        <v>90</v>
      </c>
      <c r="AM37" s="36" t="s">
        <v>95</v>
      </c>
      <c r="AN37" s="36" t="s">
        <v>758</v>
      </c>
      <c r="AO37" s="36" t="s">
        <v>75</v>
      </c>
      <c r="AP37" s="36" t="s">
        <v>75</v>
      </c>
      <c r="AQ37" s="36" t="s">
        <v>75</v>
      </c>
      <c r="AR37" s="36" t="s">
        <v>75</v>
      </c>
      <c r="AS37" s="36" t="s">
        <v>75</v>
      </c>
      <c r="AT37" s="36" t="s">
        <v>75</v>
      </c>
      <c r="AU37" s="36" t="s">
        <v>75</v>
      </c>
      <c r="AV37" s="36" t="s">
        <v>759</v>
      </c>
      <c r="AW37" s="36" t="s">
        <v>75</v>
      </c>
      <c r="AX37" s="36" t="s">
        <v>75</v>
      </c>
      <c r="AY37" s="36" t="s">
        <v>760</v>
      </c>
      <c r="AZ37" s="36" t="s">
        <v>744</v>
      </c>
      <c r="BA37" s="36" t="s">
        <v>745</v>
      </c>
      <c r="BB37" s="36" t="s">
        <v>101</v>
      </c>
      <c r="BC37" s="36" t="s">
        <v>163</v>
      </c>
      <c r="BD37" s="36" t="s">
        <v>103</v>
      </c>
      <c r="BE37" s="36" t="s">
        <v>75</v>
      </c>
      <c r="BF37" s="36" t="s">
        <v>133</v>
      </c>
      <c r="BG37" s="36" t="s">
        <v>761</v>
      </c>
      <c r="BH37" s="36" t="s">
        <v>75</v>
      </c>
      <c r="BI37" s="36" t="s">
        <v>104</v>
      </c>
      <c r="BJ37" s="36" t="s">
        <v>762</v>
      </c>
      <c r="BK37" s="36" t="s">
        <v>106</v>
      </c>
      <c r="BL37" s="36" t="s">
        <v>107</v>
      </c>
      <c r="BM37" s="36" t="s">
        <v>75</v>
      </c>
      <c r="BN37" s="36" t="s">
        <v>75</v>
      </c>
      <c r="BO37" s="36" t="s">
        <v>75</v>
      </c>
      <c r="BP37" s="36" t="s">
        <v>75</v>
      </c>
      <c r="BQ37" s="35" t="s">
        <v>535</v>
      </c>
      <c r="BR37" s="36" t="s">
        <v>384</v>
      </c>
      <c r="BS37" s="38" t="s">
        <v>385</v>
      </c>
    </row>
    <row r="38" spans="1:71">
      <c r="A38" s="35" t="s">
        <v>763</v>
      </c>
      <c r="B38" s="36" t="s">
        <v>112</v>
      </c>
      <c r="C38" s="36" t="s">
        <v>113</v>
      </c>
      <c r="D38" s="36" t="s">
        <v>74</v>
      </c>
      <c r="E38" s="36" t="s">
        <v>75</v>
      </c>
      <c r="F38" s="36" t="s">
        <v>764</v>
      </c>
      <c r="G38" s="36" t="s">
        <v>765</v>
      </c>
      <c r="H38" s="36" t="s">
        <v>495</v>
      </c>
      <c r="I38" s="36" t="s">
        <v>496</v>
      </c>
      <c r="J38" s="36" t="s">
        <v>497</v>
      </c>
      <c r="K38" s="36" t="s">
        <v>498</v>
      </c>
      <c r="L38" s="36" t="s">
        <v>499</v>
      </c>
      <c r="M38" s="36" t="s">
        <v>441</v>
      </c>
      <c r="N38" s="36" t="s">
        <v>442</v>
      </c>
      <c r="O38" s="35" t="s">
        <v>443</v>
      </c>
      <c r="P38" s="36" t="s">
        <v>151</v>
      </c>
      <c r="Q38" s="36" t="s">
        <v>152</v>
      </c>
      <c r="R38" s="36" t="s">
        <v>444</v>
      </c>
      <c r="S38" s="36" t="s">
        <v>351</v>
      </c>
      <c r="T38" s="35" t="s">
        <v>88</v>
      </c>
      <c r="U38" s="36" t="s">
        <v>75</v>
      </c>
      <c r="V38" s="36" t="s">
        <v>75</v>
      </c>
      <c r="W38" s="36" t="s">
        <v>445</v>
      </c>
      <c r="X38" s="37" t="s">
        <v>445</v>
      </c>
      <c r="Y38" s="35" t="s">
        <v>90</v>
      </c>
      <c r="Z38" s="36" t="s">
        <v>90</v>
      </c>
      <c r="AA38" s="36" t="s">
        <v>75</v>
      </c>
      <c r="AB38" s="36" t="s">
        <v>90</v>
      </c>
      <c r="AC38" s="36" t="s">
        <v>445</v>
      </c>
      <c r="AD38" s="36" t="s">
        <v>91</v>
      </c>
      <c r="AE38" s="36" t="s">
        <v>766</v>
      </c>
      <c r="AF38" s="36" t="s">
        <v>75</v>
      </c>
      <c r="AG38" s="36" t="s">
        <v>75</v>
      </c>
      <c r="AH38" s="36" t="s">
        <v>75</v>
      </c>
      <c r="AI38" s="36" t="s">
        <v>767</v>
      </c>
      <c r="AJ38" s="36" t="s">
        <v>75</v>
      </c>
      <c r="AK38" s="36" t="s">
        <v>94</v>
      </c>
      <c r="AL38" s="35" t="s">
        <v>90</v>
      </c>
      <c r="AM38" s="36" t="s">
        <v>95</v>
      </c>
      <c r="AN38" s="36" t="s">
        <v>768</v>
      </c>
      <c r="AO38" s="36" t="s">
        <v>75</v>
      </c>
      <c r="AP38" s="36" t="s">
        <v>75</v>
      </c>
      <c r="AQ38" s="36" t="s">
        <v>75</v>
      </c>
      <c r="AR38" s="36" t="s">
        <v>75</v>
      </c>
      <c r="AS38" s="36" t="s">
        <v>75</v>
      </c>
      <c r="AT38" s="36" t="s">
        <v>75</v>
      </c>
      <c r="AU38" s="36" t="s">
        <v>75</v>
      </c>
      <c r="AV38" s="36" t="s">
        <v>769</v>
      </c>
      <c r="AW38" s="36" t="s">
        <v>75</v>
      </c>
      <c r="AX38" s="36" t="s">
        <v>75</v>
      </c>
      <c r="AY38" s="36" t="s">
        <v>770</v>
      </c>
      <c r="AZ38" s="36" t="s">
        <v>771</v>
      </c>
      <c r="BA38" s="36" t="s">
        <v>772</v>
      </c>
      <c r="BB38" s="36" t="s">
        <v>101</v>
      </c>
      <c r="BC38" s="36" t="s">
        <v>163</v>
      </c>
      <c r="BD38" s="36" t="s">
        <v>103</v>
      </c>
      <c r="BE38" s="36" t="s">
        <v>75</v>
      </c>
      <c r="BF38" s="36" t="s">
        <v>133</v>
      </c>
      <c r="BG38" s="36" t="s">
        <v>773</v>
      </c>
      <c r="BH38" s="36" t="s">
        <v>75</v>
      </c>
      <c r="BI38" s="36" t="s">
        <v>104</v>
      </c>
      <c r="BJ38" s="36" t="s">
        <v>774</v>
      </c>
      <c r="BK38" s="36" t="s">
        <v>106</v>
      </c>
      <c r="BL38" s="36" t="s">
        <v>107</v>
      </c>
      <c r="BM38" s="36" t="s">
        <v>75</v>
      </c>
      <c r="BN38" s="36" t="s">
        <v>75</v>
      </c>
      <c r="BO38" s="36" t="s">
        <v>75</v>
      </c>
      <c r="BP38" s="36" t="s">
        <v>75</v>
      </c>
      <c r="BQ38" s="35" t="s">
        <v>454</v>
      </c>
      <c r="BR38" s="36" t="s">
        <v>455</v>
      </c>
      <c r="BS38" s="38" t="s">
        <v>456</v>
      </c>
    </row>
    <row r="39" spans="1:71">
      <c r="A39" s="35" t="s">
        <v>775</v>
      </c>
      <c r="B39" s="36" t="s">
        <v>112</v>
      </c>
      <c r="C39" s="36" t="s">
        <v>113</v>
      </c>
      <c r="D39" s="36" t="s">
        <v>74</v>
      </c>
      <c r="E39" s="36" t="s">
        <v>75</v>
      </c>
      <c r="F39" s="36" t="s">
        <v>317</v>
      </c>
      <c r="G39" s="36" t="s">
        <v>318</v>
      </c>
      <c r="H39" s="36" t="s">
        <v>319</v>
      </c>
      <c r="I39" s="36" t="s">
        <v>205</v>
      </c>
      <c r="J39" s="36" t="s">
        <v>206</v>
      </c>
      <c r="K39" s="36" t="s">
        <v>320</v>
      </c>
      <c r="L39" s="36" t="s">
        <v>321</v>
      </c>
      <c r="M39" s="36" t="s">
        <v>776</v>
      </c>
      <c r="N39" s="36" t="s">
        <v>777</v>
      </c>
      <c r="O39" s="35" t="s">
        <v>778</v>
      </c>
      <c r="P39" s="36" t="s">
        <v>151</v>
      </c>
      <c r="Q39" s="36" t="s">
        <v>152</v>
      </c>
      <c r="R39" s="36" t="s">
        <v>779</v>
      </c>
      <c r="S39" s="36" t="s">
        <v>187</v>
      </c>
      <c r="T39" s="35" t="s">
        <v>88</v>
      </c>
      <c r="U39" s="36" t="s">
        <v>75</v>
      </c>
      <c r="V39" s="36" t="s">
        <v>75</v>
      </c>
      <c r="W39" s="36" t="s">
        <v>373</v>
      </c>
      <c r="X39" s="37" t="s">
        <v>373</v>
      </c>
      <c r="Y39" s="35" t="s">
        <v>90</v>
      </c>
      <c r="Z39" s="36" t="s">
        <v>90</v>
      </c>
      <c r="AA39" s="36" t="s">
        <v>75</v>
      </c>
      <c r="AB39" s="36" t="s">
        <v>90</v>
      </c>
      <c r="AC39" s="36" t="s">
        <v>373</v>
      </c>
      <c r="AD39" s="36" t="s">
        <v>215</v>
      </c>
      <c r="AE39" s="36" t="s">
        <v>780</v>
      </c>
      <c r="AF39" s="36" t="s">
        <v>75</v>
      </c>
      <c r="AG39" s="36" t="s">
        <v>75</v>
      </c>
      <c r="AH39" s="36" t="s">
        <v>75</v>
      </c>
      <c r="AI39" s="36" t="s">
        <v>781</v>
      </c>
      <c r="AJ39" s="36" t="s">
        <v>75</v>
      </c>
      <c r="AK39" s="36" t="s">
        <v>94</v>
      </c>
      <c r="AL39" s="35" t="s">
        <v>90</v>
      </c>
      <c r="AM39" s="36" t="s">
        <v>95</v>
      </c>
      <c r="AN39" s="36" t="s">
        <v>782</v>
      </c>
      <c r="AO39" s="36" t="s">
        <v>75</v>
      </c>
      <c r="AP39" s="36" t="s">
        <v>75</v>
      </c>
      <c r="AQ39" s="36" t="s">
        <v>75</v>
      </c>
      <c r="AR39" s="36" t="s">
        <v>75</v>
      </c>
      <c r="AS39" s="36" t="s">
        <v>75</v>
      </c>
      <c r="AT39" s="36" t="s">
        <v>75</v>
      </c>
      <c r="AU39" s="36" t="s">
        <v>75</v>
      </c>
      <c r="AV39" s="36" t="s">
        <v>783</v>
      </c>
      <c r="AW39" s="36" t="s">
        <v>75</v>
      </c>
      <c r="AX39" s="36" t="s">
        <v>75</v>
      </c>
      <c r="AY39" s="36" t="s">
        <v>784</v>
      </c>
      <c r="AZ39" s="36" t="s">
        <v>785</v>
      </c>
      <c r="BA39" s="36" t="s">
        <v>75</v>
      </c>
      <c r="BB39" s="36" t="s">
        <v>101</v>
      </c>
      <c r="BC39" s="36" t="s">
        <v>75</v>
      </c>
      <c r="BD39" s="36" t="s">
        <v>103</v>
      </c>
      <c r="BE39" s="36" t="s">
        <v>75</v>
      </c>
      <c r="BF39" s="36" t="s">
        <v>133</v>
      </c>
      <c r="BG39" s="36" t="s">
        <v>786</v>
      </c>
      <c r="BH39" s="36" t="s">
        <v>75</v>
      </c>
      <c r="BI39" s="36" t="s">
        <v>104</v>
      </c>
      <c r="BJ39" s="36" t="s">
        <v>335</v>
      </c>
      <c r="BK39" s="36" t="s">
        <v>106</v>
      </c>
      <c r="BL39" s="36" t="s">
        <v>107</v>
      </c>
      <c r="BM39" s="36" t="s">
        <v>75</v>
      </c>
      <c r="BN39" s="36" t="s">
        <v>75</v>
      </c>
      <c r="BO39" s="36" t="s">
        <v>75</v>
      </c>
      <c r="BP39" s="36" t="s">
        <v>75</v>
      </c>
      <c r="BQ39" s="35" t="s">
        <v>787</v>
      </c>
      <c r="BR39" s="36" t="s">
        <v>788</v>
      </c>
      <c r="BS39" s="38" t="s">
        <v>789</v>
      </c>
    </row>
    <row r="40" spans="1:71">
      <c r="A40" s="35" t="s">
        <v>790</v>
      </c>
      <c r="B40" s="36" t="s">
        <v>72</v>
      </c>
      <c r="C40" s="36" t="s">
        <v>73</v>
      </c>
      <c r="D40" s="36" t="s">
        <v>74</v>
      </c>
      <c r="E40" s="36" t="s">
        <v>75</v>
      </c>
      <c r="F40" s="36" t="s">
        <v>791</v>
      </c>
      <c r="G40" s="36" t="s">
        <v>792</v>
      </c>
      <c r="H40" s="36" t="s">
        <v>793</v>
      </c>
      <c r="I40" s="36" t="s">
        <v>794</v>
      </c>
      <c r="J40" s="36" t="s">
        <v>795</v>
      </c>
      <c r="K40" s="36" t="s">
        <v>796</v>
      </c>
      <c r="L40" s="36" t="s">
        <v>797</v>
      </c>
      <c r="M40" s="36" t="s">
        <v>798</v>
      </c>
      <c r="N40" s="36" t="s">
        <v>799</v>
      </c>
      <c r="O40" s="35" t="s">
        <v>800</v>
      </c>
      <c r="P40" s="36" t="s">
        <v>151</v>
      </c>
      <c r="Q40" s="36" t="s">
        <v>152</v>
      </c>
      <c r="R40" s="36" t="s">
        <v>801</v>
      </c>
      <c r="S40" s="36" t="s">
        <v>291</v>
      </c>
      <c r="T40" s="35" t="s">
        <v>88</v>
      </c>
      <c r="U40" s="36" t="s">
        <v>75</v>
      </c>
      <c r="V40" s="36" t="s">
        <v>75</v>
      </c>
      <c r="W40" s="36" t="s">
        <v>373</v>
      </c>
      <c r="X40" s="37" t="s">
        <v>373</v>
      </c>
      <c r="Y40" s="35" t="s">
        <v>90</v>
      </c>
      <c r="Z40" s="36" t="s">
        <v>90</v>
      </c>
      <c r="AA40" s="36" t="s">
        <v>75</v>
      </c>
      <c r="AB40" s="36" t="s">
        <v>90</v>
      </c>
      <c r="AC40" s="36" t="s">
        <v>373</v>
      </c>
      <c r="AD40" s="36" t="s">
        <v>91</v>
      </c>
      <c r="AE40" s="36" t="s">
        <v>802</v>
      </c>
      <c r="AF40" s="36" t="s">
        <v>75</v>
      </c>
      <c r="AG40" s="36" t="s">
        <v>75</v>
      </c>
      <c r="AH40" s="36" t="s">
        <v>75</v>
      </c>
      <c r="AI40" s="36" t="s">
        <v>803</v>
      </c>
      <c r="AJ40" s="36" t="s">
        <v>75</v>
      </c>
      <c r="AK40" s="36" t="s">
        <v>94</v>
      </c>
      <c r="AL40" s="35" t="s">
        <v>90</v>
      </c>
      <c r="AM40" s="36" t="s">
        <v>95</v>
      </c>
      <c r="AN40" s="36" t="s">
        <v>804</v>
      </c>
      <c r="AO40" s="36" t="s">
        <v>75</v>
      </c>
      <c r="AP40" s="36" t="s">
        <v>75</v>
      </c>
      <c r="AQ40" s="36" t="s">
        <v>75</v>
      </c>
      <c r="AR40" s="36" t="s">
        <v>75</v>
      </c>
      <c r="AS40" s="36" t="s">
        <v>75</v>
      </c>
      <c r="AT40" s="36" t="s">
        <v>75</v>
      </c>
      <c r="AU40" s="36" t="s">
        <v>75</v>
      </c>
      <c r="AV40" s="36" t="s">
        <v>805</v>
      </c>
      <c r="AW40" s="36" t="s">
        <v>75</v>
      </c>
      <c r="AX40" s="36" t="s">
        <v>75</v>
      </c>
      <c r="AY40" s="36" t="s">
        <v>806</v>
      </c>
      <c r="AZ40" s="36" t="s">
        <v>807</v>
      </c>
      <c r="BA40" s="36" t="s">
        <v>808</v>
      </c>
      <c r="BB40" s="36" t="s">
        <v>101</v>
      </c>
      <c r="BC40" s="36" t="s">
        <v>102</v>
      </c>
      <c r="BD40" s="36" t="s">
        <v>103</v>
      </c>
      <c r="BE40" s="36" t="s">
        <v>75</v>
      </c>
      <c r="BF40" s="36" t="s">
        <v>75</v>
      </c>
      <c r="BG40" s="36" t="s">
        <v>75</v>
      </c>
      <c r="BH40" s="36" t="s">
        <v>75</v>
      </c>
      <c r="BI40" s="36" t="s">
        <v>104</v>
      </c>
      <c r="BJ40" s="36" t="s">
        <v>809</v>
      </c>
      <c r="BK40" s="36" t="s">
        <v>106</v>
      </c>
      <c r="BL40" s="36" t="s">
        <v>107</v>
      </c>
      <c r="BM40" s="36" t="s">
        <v>75</v>
      </c>
      <c r="BN40" s="36" t="s">
        <v>75</v>
      </c>
      <c r="BO40" s="36" t="s">
        <v>75</v>
      </c>
      <c r="BP40" s="36" t="s">
        <v>75</v>
      </c>
      <c r="BQ40" s="35" t="s">
        <v>810</v>
      </c>
      <c r="BR40" s="36" t="s">
        <v>788</v>
      </c>
      <c r="BS40" s="38" t="s">
        <v>789</v>
      </c>
    </row>
    <row r="41" spans="1:71">
      <c r="A41" s="35" t="s">
        <v>811</v>
      </c>
      <c r="B41" s="36" t="s">
        <v>112</v>
      </c>
      <c r="C41" s="36" t="s">
        <v>113</v>
      </c>
      <c r="D41" s="36" t="s">
        <v>74</v>
      </c>
      <c r="E41" s="36" t="s">
        <v>75</v>
      </c>
      <c r="F41" s="36" t="s">
        <v>263</v>
      </c>
      <c r="G41" s="36" t="s">
        <v>264</v>
      </c>
      <c r="H41" s="36" t="s">
        <v>265</v>
      </c>
      <c r="I41" s="36" t="s">
        <v>266</v>
      </c>
      <c r="J41" s="36" t="s">
        <v>267</v>
      </c>
      <c r="K41" s="36" t="s">
        <v>268</v>
      </c>
      <c r="L41" s="36" t="s">
        <v>269</v>
      </c>
      <c r="M41" s="36" t="s">
        <v>347</v>
      </c>
      <c r="N41" s="36" t="s">
        <v>348</v>
      </c>
      <c r="O41" s="35" t="s">
        <v>349</v>
      </c>
      <c r="P41" s="36" t="s">
        <v>151</v>
      </c>
      <c r="Q41" s="36" t="s">
        <v>152</v>
      </c>
      <c r="R41" s="36" t="s">
        <v>350</v>
      </c>
      <c r="S41" s="36" t="s">
        <v>351</v>
      </c>
      <c r="T41" s="35" t="s">
        <v>88</v>
      </c>
      <c r="U41" s="36" t="s">
        <v>75</v>
      </c>
      <c r="V41" s="36" t="s">
        <v>75</v>
      </c>
      <c r="W41" s="36" t="s">
        <v>327</v>
      </c>
      <c r="X41" s="37" t="s">
        <v>327</v>
      </c>
      <c r="Y41" s="35" t="s">
        <v>90</v>
      </c>
      <c r="Z41" s="36" t="s">
        <v>90</v>
      </c>
      <c r="AA41" s="36" t="s">
        <v>75</v>
      </c>
      <c r="AB41" s="36" t="s">
        <v>90</v>
      </c>
      <c r="AC41" s="36" t="s">
        <v>327</v>
      </c>
      <c r="AD41" s="36" t="s">
        <v>215</v>
      </c>
      <c r="AE41" s="36" t="s">
        <v>812</v>
      </c>
      <c r="AF41" s="36" t="s">
        <v>75</v>
      </c>
      <c r="AG41" s="36" t="s">
        <v>75</v>
      </c>
      <c r="AH41" s="36" t="s">
        <v>75</v>
      </c>
      <c r="AI41" s="36" t="s">
        <v>813</v>
      </c>
      <c r="AJ41" s="36" t="s">
        <v>75</v>
      </c>
      <c r="AK41" s="36" t="s">
        <v>94</v>
      </c>
      <c r="AL41" s="35" t="s">
        <v>90</v>
      </c>
      <c r="AM41" s="36" t="s">
        <v>95</v>
      </c>
      <c r="AN41" s="36" t="s">
        <v>814</v>
      </c>
      <c r="AO41" s="36" t="s">
        <v>75</v>
      </c>
      <c r="AP41" s="36" t="s">
        <v>75</v>
      </c>
      <c r="AQ41" s="36" t="s">
        <v>75</v>
      </c>
      <c r="AR41" s="36" t="s">
        <v>75</v>
      </c>
      <c r="AS41" s="36" t="s">
        <v>75</v>
      </c>
      <c r="AT41" s="36" t="s">
        <v>75</v>
      </c>
      <c r="AU41" s="36" t="s">
        <v>75</v>
      </c>
      <c r="AV41" s="36" t="s">
        <v>815</v>
      </c>
      <c r="AW41" s="36" t="s">
        <v>75</v>
      </c>
      <c r="AX41" s="36" t="s">
        <v>75</v>
      </c>
      <c r="AY41" s="36" t="s">
        <v>816</v>
      </c>
      <c r="AZ41" s="36" t="s">
        <v>817</v>
      </c>
      <c r="BA41" s="36" t="s">
        <v>818</v>
      </c>
      <c r="BB41" s="36" t="s">
        <v>101</v>
      </c>
      <c r="BC41" s="36" t="s">
        <v>163</v>
      </c>
      <c r="BD41" s="36" t="s">
        <v>103</v>
      </c>
      <c r="BE41" s="36" t="s">
        <v>75</v>
      </c>
      <c r="BF41" s="36" t="s">
        <v>133</v>
      </c>
      <c r="BG41" s="36" t="s">
        <v>819</v>
      </c>
      <c r="BH41" s="36" t="s">
        <v>75</v>
      </c>
      <c r="BI41" s="36" t="s">
        <v>104</v>
      </c>
      <c r="BJ41" s="36" t="s">
        <v>278</v>
      </c>
      <c r="BK41" s="36" t="s">
        <v>106</v>
      </c>
      <c r="BL41" s="36" t="s">
        <v>107</v>
      </c>
      <c r="BM41" s="36" t="s">
        <v>75</v>
      </c>
      <c r="BN41" s="36" t="s">
        <v>75</v>
      </c>
      <c r="BO41" s="36" t="s">
        <v>75</v>
      </c>
      <c r="BP41" s="36" t="s">
        <v>75</v>
      </c>
      <c r="BQ41" s="35" t="s">
        <v>359</v>
      </c>
      <c r="BR41" s="36" t="s">
        <v>360</v>
      </c>
      <c r="BS41" s="38" t="s">
        <v>361</v>
      </c>
    </row>
    <row r="42" spans="1:71">
      <c r="A42" s="35" t="s">
        <v>820</v>
      </c>
      <c r="B42" s="36" t="s">
        <v>112</v>
      </c>
      <c r="C42" s="36" t="s">
        <v>113</v>
      </c>
      <c r="D42" s="36" t="s">
        <v>74</v>
      </c>
      <c r="E42" s="36" t="s">
        <v>75</v>
      </c>
      <c r="F42" s="36" t="s">
        <v>317</v>
      </c>
      <c r="G42" s="36" t="s">
        <v>318</v>
      </c>
      <c r="H42" s="36" t="s">
        <v>319</v>
      </c>
      <c r="I42" s="36" t="s">
        <v>205</v>
      </c>
      <c r="J42" s="36" t="s">
        <v>206</v>
      </c>
      <c r="K42" s="36" t="s">
        <v>320</v>
      </c>
      <c r="L42" s="36" t="s">
        <v>321</v>
      </c>
      <c r="M42" s="36" t="s">
        <v>821</v>
      </c>
      <c r="N42" s="36" t="s">
        <v>822</v>
      </c>
      <c r="O42" s="35" t="s">
        <v>823</v>
      </c>
      <c r="P42" s="36" t="s">
        <v>151</v>
      </c>
      <c r="Q42" s="36" t="s">
        <v>152</v>
      </c>
      <c r="R42" s="36" t="s">
        <v>824</v>
      </c>
      <c r="S42" s="36" t="s">
        <v>825</v>
      </c>
      <c r="T42" s="35" t="s">
        <v>88</v>
      </c>
      <c r="U42" s="36" t="s">
        <v>75</v>
      </c>
      <c r="V42" s="36" t="s">
        <v>75</v>
      </c>
      <c r="W42" s="36" t="s">
        <v>445</v>
      </c>
      <c r="X42" s="37" t="s">
        <v>445</v>
      </c>
      <c r="Y42" s="35" t="s">
        <v>90</v>
      </c>
      <c r="Z42" s="36" t="s">
        <v>90</v>
      </c>
      <c r="AA42" s="36" t="s">
        <v>75</v>
      </c>
      <c r="AB42" s="36" t="s">
        <v>90</v>
      </c>
      <c r="AC42" s="36" t="s">
        <v>445</v>
      </c>
      <c r="AD42" s="36" t="s">
        <v>215</v>
      </c>
      <c r="AE42" s="36" t="s">
        <v>826</v>
      </c>
      <c r="AF42" s="36" t="s">
        <v>75</v>
      </c>
      <c r="AG42" s="36" t="s">
        <v>75</v>
      </c>
      <c r="AH42" s="36" t="s">
        <v>75</v>
      </c>
      <c r="AI42" s="36" t="s">
        <v>827</v>
      </c>
      <c r="AJ42" s="36" t="s">
        <v>75</v>
      </c>
      <c r="AK42" s="36" t="s">
        <v>94</v>
      </c>
      <c r="AL42" s="35" t="s">
        <v>90</v>
      </c>
      <c r="AM42" s="36" t="s">
        <v>95</v>
      </c>
      <c r="AN42" s="36" t="s">
        <v>828</v>
      </c>
      <c r="AO42" s="36" t="s">
        <v>75</v>
      </c>
      <c r="AP42" s="36" t="s">
        <v>75</v>
      </c>
      <c r="AQ42" s="36" t="s">
        <v>75</v>
      </c>
      <c r="AR42" s="36" t="s">
        <v>75</v>
      </c>
      <c r="AS42" s="36" t="s">
        <v>75</v>
      </c>
      <c r="AT42" s="36" t="s">
        <v>75</v>
      </c>
      <c r="AU42" s="36" t="s">
        <v>75</v>
      </c>
      <c r="AV42" s="36" t="s">
        <v>829</v>
      </c>
      <c r="AW42" s="36" t="s">
        <v>75</v>
      </c>
      <c r="AX42" s="36" t="s">
        <v>75</v>
      </c>
      <c r="AY42" s="36" t="s">
        <v>830</v>
      </c>
      <c r="AZ42" s="36" t="s">
        <v>831</v>
      </c>
      <c r="BA42" s="36" t="s">
        <v>75</v>
      </c>
      <c r="BB42" s="36" t="s">
        <v>101</v>
      </c>
      <c r="BC42" s="36" t="s">
        <v>75</v>
      </c>
      <c r="BD42" s="36" t="s">
        <v>103</v>
      </c>
      <c r="BE42" s="36" t="s">
        <v>75</v>
      </c>
      <c r="BF42" s="36" t="s">
        <v>133</v>
      </c>
      <c r="BG42" s="36" t="s">
        <v>832</v>
      </c>
      <c r="BH42" s="36" t="s">
        <v>75</v>
      </c>
      <c r="BI42" s="36" t="s">
        <v>104</v>
      </c>
      <c r="BJ42" s="36" t="s">
        <v>335</v>
      </c>
      <c r="BK42" s="36" t="s">
        <v>106</v>
      </c>
      <c r="BL42" s="36" t="s">
        <v>107</v>
      </c>
      <c r="BM42" s="36" t="s">
        <v>75</v>
      </c>
      <c r="BN42" s="36" t="s">
        <v>75</v>
      </c>
      <c r="BO42" s="36" t="s">
        <v>75</v>
      </c>
      <c r="BP42" s="36" t="s">
        <v>75</v>
      </c>
      <c r="BQ42" s="35" t="s">
        <v>833</v>
      </c>
      <c r="BR42" s="36" t="s">
        <v>455</v>
      </c>
      <c r="BS42" s="38" t="s">
        <v>456</v>
      </c>
    </row>
    <row r="43" spans="1:71">
      <c r="A43" s="35" t="s">
        <v>834</v>
      </c>
      <c r="B43" s="36" t="s">
        <v>72</v>
      </c>
      <c r="C43" s="36" t="s">
        <v>73</v>
      </c>
      <c r="D43" s="36" t="s">
        <v>74</v>
      </c>
      <c r="E43" s="36" t="s">
        <v>75</v>
      </c>
      <c r="F43" s="36" t="s">
        <v>479</v>
      </c>
      <c r="G43" s="36" t="s">
        <v>835</v>
      </c>
      <c r="H43" s="36" t="s">
        <v>653</v>
      </c>
      <c r="I43" s="36" t="s">
        <v>79</v>
      </c>
      <c r="J43" s="36" t="s">
        <v>80</v>
      </c>
      <c r="K43" s="36" t="s">
        <v>654</v>
      </c>
      <c r="L43" s="36" t="s">
        <v>836</v>
      </c>
      <c r="M43" s="36" t="s">
        <v>837</v>
      </c>
      <c r="N43" s="36" t="s">
        <v>838</v>
      </c>
      <c r="O43" s="35" t="s">
        <v>839</v>
      </c>
      <c r="P43" s="36" t="s">
        <v>151</v>
      </c>
      <c r="Q43" s="36" t="s">
        <v>152</v>
      </c>
      <c r="R43" s="36" t="s">
        <v>840</v>
      </c>
      <c r="S43" s="36" t="s">
        <v>841</v>
      </c>
      <c r="T43" s="35" t="s">
        <v>88</v>
      </c>
      <c r="U43" s="36" t="s">
        <v>75</v>
      </c>
      <c r="V43" s="36" t="s">
        <v>75</v>
      </c>
      <c r="W43" s="36" t="s">
        <v>842</v>
      </c>
      <c r="X43" s="37" t="s">
        <v>842</v>
      </c>
      <c r="Y43" s="35" t="s">
        <v>90</v>
      </c>
      <c r="Z43" s="36" t="s">
        <v>90</v>
      </c>
      <c r="AA43" s="36" t="s">
        <v>75</v>
      </c>
      <c r="AB43" s="36" t="s">
        <v>90</v>
      </c>
      <c r="AC43" s="36" t="s">
        <v>842</v>
      </c>
      <c r="AD43" s="36" t="s">
        <v>91</v>
      </c>
      <c r="AE43" s="36" t="s">
        <v>843</v>
      </c>
      <c r="AF43" s="36" t="s">
        <v>75</v>
      </c>
      <c r="AG43" s="36" t="s">
        <v>75</v>
      </c>
      <c r="AH43" s="36" t="s">
        <v>75</v>
      </c>
      <c r="AI43" s="36" t="s">
        <v>844</v>
      </c>
      <c r="AJ43" s="36" t="s">
        <v>75</v>
      </c>
      <c r="AK43" s="36" t="s">
        <v>94</v>
      </c>
      <c r="AL43" s="35" t="s">
        <v>90</v>
      </c>
      <c r="AM43" s="36" t="s">
        <v>95</v>
      </c>
      <c r="AN43" s="36" t="s">
        <v>845</v>
      </c>
      <c r="AO43" s="36" t="s">
        <v>75</v>
      </c>
      <c r="AP43" s="36" t="s">
        <v>75</v>
      </c>
      <c r="AQ43" s="36" t="s">
        <v>75</v>
      </c>
      <c r="AR43" s="36" t="s">
        <v>75</v>
      </c>
      <c r="AS43" s="36" t="s">
        <v>75</v>
      </c>
      <c r="AT43" s="36" t="s">
        <v>75</v>
      </c>
      <c r="AU43" s="36" t="s">
        <v>75</v>
      </c>
      <c r="AV43" s="36" t="s">
        <v>846</v>
      </c>
      <c r="AW43" s="36" t="s">
        <v>75</v>
      </c>
      <c r="AX43" s="36" t="s">
        <v>75</v>
      </c>
      <c r="AY43" s="36" t="s">
        <v>847</v>
      </c>
      <c r="AZ43" s="36" t="s">
        <v>848</v>
      </c>
      <c r="BA43" s="36" t="s">
        <v>849</v>
      </c>
      <c r="BB43" s="36" t="s">
        <v>101</v>
      </c>
      <c r="BC43" s="36" t="s">
        <v>102</v>
      </c>
      <c r="BD43" s="36" t="s">
        <v>103</v>
      </c>
      <c r="BE43" s="36" t="s">
        <v>75</v>
      </c>
      <c r="BF43" s="36" t="s">
        <v>75</v>
      </c>
      <c r="BG43" s="36" t="s">
        <v>75</v>
      </c>
      <c r="BH43" s="36" t="s">
        <v>75</v>
      </c>
      <c r="BI43" s="36" t="s">
        <v>104</v>
      </c>
      <c r="BJ43" s="36" t="s">
        <v>850</v>
      </c>
      <c r="BK43" s="36" t="s">
        <v>106</v>
      </c>
      <c r="BL43" s="36" t="s">
        <v>107</v>
      </c>
      <c r="BM43" s="36" t="s">
        <v>75</v>
      </c>
      <c r="BN43" s="36" t="s">
        <v>75</v>
      </c>
      <c r="BO43" s="36" t="s">
        <v>75</v>
      </c>
      <c r="BP43" s="36" t="s">
        <v>75</v>
      </c>
      <c r="BQ43" s="35" t="s">
        <v>851</v>
      </c>
      <c r="BR43" s="36" t="s">
        <v>852</v>
      </c>
      <c r="BS43" s="38" t="s">
        <v>853</v>
      </c>
    </row>
    <row r="44" spans="1:71">
      <c r="A44" s="35" t="s">
        <v>854</v>
      </c>
      <c r="B44" s="36" t="s">
        <v>112</v>
      </c>
      <c r="C44" s="36" t="s">
        <v>113</v>
      </c>
      <c r="D44" s="36" t="s">
        <v>74</v>
      </c>
      <c r="E44" s="36" t="s">
        <v>75</v>
      </c>
      <c r="F44" s="36" t="s">
        <v>855</v>
      </c>
      <c r="G44" s="36" t="s">
        <v>856</v>
      </c>
      <c r="H44" s="36" t="s">
        <v>857</v>
      </c>
      <c r="I44" s="36" t="s">
        <v>858</v>
      </c>
      <c r="J44" s="36" t="s">
        <v>859</v>
      </c>
      <c r="K44" s="36" t="s">
        <v>860</v>
      </c>
      <c r="L44" s="36" t="s">
        <v>861</v>
      </c>
      <c r="M44" s="36" t="s">
        <v>862</v>
      </c>
      <c r="N44" s="36" t="s">
        <v>863</v>
      </c>
      <c r="O44" s="35" t="s">
        <v>864</v>
      </c>
      <c r="P44" s="36" t="s">
        <v>151</v>
      </c>
      <c r="Q44" s="36" t="s">
        <v>152</v>
      </c>
      <c r="R44" s="36" t="s">
        <v>865</v>
      </c>
      <c r="S44" s="36" t="s">
        <v>291</v>
      </c>
      <c r="T44" s="35" t="s">
        <v>88</v>
      </c>
      <c r="U44" s="36" t="s">
        <v>75</v>
      </c>
      <c r="V44" s="36" t="s">
        <v>75</v>
      </c>
      <c r="W44" s="36" t="s">
        <v>126</v>
      </c>
      <c r="X44" s="37" t="s">
        <v>126</v>
      </c>
      <c r="Y44" s="35" t="s">
        <v>90</v>
      </c>
      <c r="Z44" s="36" t="s">
        <v>90</v>
      </c>
      <c r="AA44" s="36" t="s">
        <v>75</v>
      </c>
      <c r="AB44" s="36" t="s">
        <v>90</v>
      </c>
      <c r="AC44" s="36" t="s">
        <v>126</v>
      </c>
      <c r="AD44" s="36" t="s">
        <v>215</v>
      </c>
      <c r="AE44" s="36" t="s">
        <v>866</v>
      </c>
      <c r="AF44" s="36" t="s">
        <v>75</v>
      </c>
      <c r="AG44" s="36" t="s">
        <v>75</v>
      </c>
      <c r="AH44" s="36" t="s">
        <v>75</v>
      </c>
      <c r="AI44" s="36" t="s">
        <v>867</v>
      </c>
      <c r="AJ44" s="36" t="s">
        <v>75</v>
      </c>
      <c r="AK44" s="36" t="s">
        <v>94</v>
      </c>
      <c r="AL44" s="35" t="s">
        <v>90</v>
      </c>
      <c r="AM44" s="36" t="s">
        <v>95</v>
      </c>
      <c r="AN44" s="36" t="s">
        <v>868</v>
      </c>
      <c r="AO44" s="36" t="s">
        <v>75</v>
      </c>
      <c r="AP44" s="36" t="s">
        <v>75</v>
      </c>
      <c r="AQ44" s="36" t="s">
        <v>75</v>
      </c>
      <c r="AR44" s="36" t="s">
        <v>75</v>
      </c>
      <c r="AS44" s="36" t="s">
        <v>75</v>
      </c>
      <c r="AT44" s="36" t="s">
        <v>75</v>
      </c>
      <c r="AU44" s="36" t="s">
        <v>75</v>
      </c>
      <c r="AV44" s="36" t="s">
        <v>869</v>
      </c>
      <c r="AW44" s="36" t="s">
        <v>75</v>
      </c>
      <c r="AX44" s="36" t="s">
        <v>75</v>
      </c>
      <c r="AY44" s="36" t="s">
        <v>870</v>
      </c>
      <c r="AZ44" s="36" t="s">
        <v>871</v>
      </c>
      <c r="BA44" s="36" t="s">
        <v>872</v>
      </c>
      <c r="BB44" s="36" t="s">
        <v>101</v>
      </c>
      <c r="BC44" s="36" t="s">
        <v>163</v>
      </c>
      <c r="BD44" s="36" t="s">
        <v>103</v>
      </c>
      <c r="BE44" s="36" t="s">
        <v>75</v>
      </c>
      <c r="BF44" s="36" t="s">
        <v>133</v>
      </c>
      <c r="BG44" s="36" t="s">
        <v>873</v>
      </c>
      <c r="BH44" s="36" t="s">
        <v>75</v>
      </c>
      <c r="BI44" s="36" t="s">
        <v>104</v>
      </c>
      <c r="BJ44" s="36" t="s">
        <v>874</v>
      </c>
      <c r="BK44" s="36" t="s">
        <v>106</v>
      </c>
      <c r="BL44" s="36" t="s">
        <v>107</v>
      </c>
      <c r="BM44" s="36" t="s">
        <v>75</v>
      </c>
      <c r="BN44" s="36" t="s">
        <v>75</v>
      </c>
      <c r="BO44" s="36" t="s">
        <v>75</v>
      </c>
      <c r="BP44" s="36" t="s">
        <v>75</v>
      </c>
      <c r="BQ44" s="35" t="s">
        <v>875</v>
      </c>
      <c r="BR44" s="36" t="s">
        <v>876</v>
      </c>
      <c r="BS44" s="38" t="s">
        <v>877</v>
      </c>
    </row>
    <row r="45" spans="1:71">
      <c r="A45" s="35" t="s">
        <v>878</v>
      </c>
      <c r="B45" s="36" t="s">
        <v>72</v>
      </c>
      <c r="C45" s="36" t="s">
        <v>73</v>
      </c>
      <c r="D45" s="36" t="s">
        <v>74</v>
      </c>
      <c r="E45" s="36" t="s">
        <v>75</v>
      </c>
      <c r="F45" s="36" t="s">
        <v>178</v>
      </c>
      <c r="G45" s="36" t="s">
        <v>879</v>
      </c>
      <c r="H45" s="36" t="s">
        <v>880</v>
      </c>
      <c r="I45" s="36" t="s">
        <v>79</v>
      </c>
      <c r="J45" s="36" t="s">
        <v>80</v>
      </c>
      <c r="K45" s="36" t="s">
        <v>881</v>
      </c>
      <c r="L45" s="36" t="s">
        <v>882</v>
      </c>
      <c r="M45" s="36" t="s">
        <v>883</v>
      </c>
      <c r="N45" s="36" t="s">
        <v>883</v>
      </c>
      <c r="O45" s="35" t="s">
        <v>884</v>
      </c>
      <c r="P45" s="36" t="s">
        <v>151</v>
      </c>
      <c r="Q45" s="36" t="s">
        <v>152</v>
      </c>
      <c r="R45" s="36" t="s">
        <v>885</v>
      </c>
      <c r="S45" s="36" t="s">
        <v>886</v>
      </c>
      <c r="T45" s="35" t="s">
        <v>88</v>
      </c>
      <c r="U45" s="36" t="s">
        <v>75</v>
      </c>
      <c r="V45" s="36" t="s">
        <v>75</v>
      </c>
      <c r="W45" s="36" t="s">
        <v>373</v>
      </c>
      <c r="X45" s="37" t="s">
        <v>373</v>
      </c>
      <c r="Y45" s="35" t="s">
        <v>90</v>
      </c>
      <c r="Z45" s="36" t="s">
        <v>90</v>
      </c>
      <c r="AA45" s="36" t="s">
        <v>75</v>
      </c>
      <c r="AB45" s="36" t="s">
        <v>90</v>
      </c>
      <c r="AC45" s="36" t="s">
        <v>373</v>
      </c>
      <c r="AD45" s="36" t="s">
        <v>215</v>
      </c>
      <c r="AE45" s="36" t="s">
        <v>887</v>
      </c>
      <c r="AF45" s="36" t="s">
        <v>75</v>
      </c>
      <c r="AG45" s="36" t="s">
        <v>75</v>
      </c>
      <c r="AH45" s="36" t="s">
        <v>75</v>
      </c>
      <c r="AI45" s="36" t="s">
        <v>888</v>
      </c>
      <c r="AJ45" s="36" t="s">
        <v>75</v>
      </c>
      <c r="AK45" s="36" t="s">
        <v>94</v>
      </c>
      <c r="AL45" s="35" t="s">
        <v>90</v>
      </c>
      <c r="AM45" s="36" t="s">
        <v>95</v>
      </c>
      <c r="AN45" s="36" t="s">
        <v>889</v>
      </c>
      <c r="AO45" s="36" t="s">
        <v>75</v>
      </c>
      <c r="AP45" s="36" t="s">
        <v>75</v>
      </c>
      <c r="AQ45" s="36" t="s">
        <v>75</v>
      </c>
      <c r="AR45" s="36" t="s">
        <v>75</v>
      </c>
      <c r="AS45" s="36" t="s">
        <v>75</v>
      </c>
      <c r="AT45" s="36" t="s">
        <v>75</v>
      </c>
      <c r="AU45" s="36" t="s">
        <v>75</v>
      </c>
      <c r="AV45" s="36" t="s">
        <v>890</v>
      </c>
      <c r="AW45" s="36" t="s">
        <v>75</v>
      </c>
      <c r="AX45" s="36" t="s">
        <v>75</v>
      </c>
      <c r="AY45" s="36" t="s">
        <v>891</v>
      </c>
      <c r="AZ45" s="36" t="s">
        <v>892</v>
      </c>
      <c r="BA45" s="36" t="s">
        <v>893</v>
      </c>
      <c r="BB45" s="36" t="s">
        <v>101</v>
      </c>
      <c r="BC45" s="36" t="s">
        <v>102</v>
      </c>
      <c r="BD45" s="36" t="s">
        <v>103</v>
      </c>
      <c r="BE45" s="36" t="s">
        <v>75</v>
      </c>
      <c r="BF45" s="36" t="s">
        <v>75</v>
      </c>
      <c r="BG45" s="36" t="s">
        <v>75</v>
      </c>
      <c r="BH45" s="36" t="s">
        <v>75</v>
      </c>
      <c r="BI45" s="36" t="s">
        <v>104</v>
      </c>
      <c r="BJ45" s="36" t="s">
        <v>894</v>
      </c>
      <c r="BK45" s="36" t="s">
        <v>106</v>
      </c>
      <c r="BL45" s="36" t="s">
        <v>107</v>
      </c>
      <c r="BM45" s="36" t="s">
        <v>75</v>
      </c>
      <c r="BN45" s="36" t="s">
        <v>75</v>
      </c>
      <c r="BO45" s="36" t="s">
        <v>75</v>
      </c>
      <c r="BP45" s="36" t="s">
        <v>75</v>
      </c>
      <c r="BQ45" s="35" t="s">
        <v>895</v>
      </c>
      <c r="BR45" s="36" t="s">
        <v>788</v>
      </c>
      <c r="BS45" s="38" t="s">
        <v>789</v>
      </c>
    </row>
    <row r="46" spans="1:71">
      <c r="A46" s="35" t="s">
        <v>896</v>
      </c>
      <c r="B46" s="36" t="s">
        <v>112</v>
      </c>
      <c r="C46" s="36" t="s">
        <v>113</v>
      </c>
      <c r="D46" s="36" t="s">
        <v>74</v>
      </c>
      <c r="E46" s="36" t="s">
        <v>75</v>
      </c>
      <c r="F46" s="36" t="s">
        <v>897</v>
      </c>
      <c r="G46" s="36" t="s">
        <v>898</v>
      </c>
      <c r="H46" s="36" t="s">
        <v>899</v>
      </c>
      <c r="I46" s="36" t="s">
        <v>900</v>
      </c>
      <c r="J46" s="36" t="s">
        <v>901</v>
      </c>
      <c r="K46" s="36" t="s">
        <v>902</v>
      </c>
      <c r="L46" s="36" t="s">
        <v>903</v>
      </c>
      <c r="M46" s="36" t="s">
        <v>798</v>
      </c>
      <c r="N46" s="36" t="s">
        <v>799</v>
      </c>
      <c r="O46" s="35" t="s">
        <v>800</v>
      </c>
      <c r="P46" s="36" t="s">
        <v>151</v>
      </c>
      <c r="Q46" s="36" t="s">
        <v>152</v>
      </c>
      <c r="R46" s="36" t="s">
        <v>801</v>
      </c>
      <c r="S46" s="36" t="s">
        <v>291</v>
      </c>
      <c r="T46" s="35" t="s">
        <v>88</v>
      </c>
      <c r="U46" s="36" t="s">
        <v>75</v>
      </c>
      <c r="V46" s="36" t="s">
        <v>75</v>
      </c>
      <c r="W46" s="36" t="s">
        <v>373</v>
      </c>
      <c r="X46" s="37" t="s">
        <v>373</v>
      </c>
      <c r="Y46" s="35" t="s">
        <v>90</v>
      </c>
      <c r="Z46" s="36" t="s">
        <v>90</v>
      </c>
      <c r="AA46" s="36" t="s">
        <v>75</v>
      </c>
      <c r="AB46" s="36" t="s">
        <v>90</v>
      </c>
      <c r="AC46" s="36" t="s">
        <v>373</v>
      </c>
      <c r="AD46" s="36" t="s">
        <v>91</v>
      </c>
      <c r="AE46" s="36" t="s">
        <v>904</v>
      </c>
      <c r="AF46" s="36" t="s">
        <v>75</v>
      </c>
      <c r="AG46" s="36" t="s">
        <v>75</v>
      </c>
      <c r="AH46" s="36" t="s">
        <v>75</v>
      </c>
      <c r="AI46" s="36" t="s">
        <v>905</v>
      </c>
      <c r="AJ46" s="36" t="s">
        <v>75</v>
      </c>
      <c r="AK46" s="36" t="s">
        <v>94</v>
      </c>
      <c r="AL46" s="35" t="s">
        <v>90</v>
      </c>
      <c r="AM46" s="36" t="s">
        <v>95</v>
      </c>
      <c r="AN46" s="36" t="s">
        <v>906</v>
      </c>
      <c r="AO46" s="36" t="s">
        <v>75</v>
      </c>
      <c r="AP46" s="36" t="s">
        <v>75</v>
      </c>
      <c r="AQ46" s="36" t="s">
        <v>75</v>
      </c>
      <c r="AR46" s="36" t="s">
        <v>75</v>
      </c>
      <c r="AS46" s="36" t="s">
        <v>75</v>
      </c>
      <c r="AT46" s="36" t="s">
        <v>75</v>
      </c>
      <c r="AU46" s="36" t="s">
        <v>75</v>
      </c>
      <c r="AV46" s="36" t="s">
        <v>888</v>
      </c>
      <c r="AW46" s="36" t="s">
        <v>75</v>
      </c>
      <c r="AX46" s="36" t="s">
        <v>75</v>
      </c>
      <c r="AY46" s="36" t="s">
        <v>907</v>
      </c>
      <c r="AZ46" s="36" t="s">
        <v>908</v>
      </c>
      <c r="BA46" s="36" t="s">
        <v>75</v>
      </c>
      <c r="BB46" s="36" t="s">
        <v>101</v>
      </c>
      <c r="BC46" s="36" t="s">
        <v>75</v>
      </c>
      <c r="BD46" s="36" t="s">
        <v>103</v>
      </c>
      <c r="BE46" s="36" t="s">
        <v>75</v>
      </c>
      <c r="BF46" s="36" t="s">
        <v>133</v>
      </c>
      <c r="BG46" s="36" t="s">
        <v>909</v>
      </c>
      <c r="BH46" s="36" t="s">
        <v>75</v>
      </c>
      <c r="BI46" s="36" t="s">
        <v>104</v>
      </c>
      <c r="BJ46" s="36" t="s">
        <v>910</v>
      </c>
      <c r="BK46" s="36" t="s">
        <v>106</v>
      </c>
      <c r="BL46" s="36" t="s">
        <v>107</v>
      </c>
      <c r="BM46" s="36" t="s">
        <v>75</v>
      </c>
      <c r="BN46" s="36" t="s">
        <v>75</v>
      </c>
      <c r="BO46" s="36" t="s">
        <v>75</v>
      </c>
      <c r="BP46" s="36" t="s">
        <v>75</v>
      </c>
      <c r="BQ46" s="35" t="s">
        <v>810</v>
      </c>
      <c r="BR46" s="36" t="s">
        <v>788</v>
      </c>
      <c r="BS46" s="38" t="s">
        <v>789</v>
      </c>
    </row>
    <row r="47" spans="1:71">
      <c r="A47" s="35" t="s">
        <v>911</v>
      </c>
      <c r="B47" s="36" t="s">
        <v>72</v>
      </c>
      <c r="C47" s="36" t="s">
        <v>73</v>
      </c>
      <c r="D47" s="36" t="s">
        <v>74</v>
      </c>
      <c r="E47" s="36" t="s">
        <v>75</v>
      </c>
      <c r="F47" s="36" t="s">
        <v>912</v>
      </c>
      <c r="G47" s="36" t="s">
        <v>913</v>
      </c>
      <c r="H47" s="36" t="s">
        <v>914</v>
      </c>
      <c r="I47" s="36" t="s">
        <v>117</v>
      </c>
      <c r="J47" s="36" t="s">
        <v>915</v>
      </c>
      <c r="K47" s="36" t="s">
        <v>916</v>
      </c>
      <c r="L47" s="36" t="s">
        <v>917</v>
      </c>
      <c r="M47" s="36" t="s">
        <v>918</v>
      </c>
      <c r="N47" s="36" t="s">
        <v>919</v>
      </c>
      <c r="O47" s="35" t="s">
        <v>920</v>
      </c>
      <c r="P47" s="36" t="s">
        <v>151</v>
      </c>
      <c r="Q47" s="36" t="s">
        <v>152</v>
      </c>
      <c r="R47" s="36" t="s">
        <v>921</v>
      </c>
      <c r="S47" s="36" t="s">
        <v>504</v>
      </c>
      <c r="T47" s="35" t="s">
        <v>88</v>
      </c>
      <c r="U47" s="36" t="s">
        <v>75</v>
      </c>
      <c r="V47" s="36" t="s">
        <v>75</v>
      </c>
      <c r="W47" s="36" t="s">
        <v>445</v>
      </c>
      <c r="X47" s="37" t="s">
        <v>445</v>
      </c>
      <c r="Y47" s="35" t="s">
        <v>90</v>
      </c>
      <c r="Z47" s="36" t="s">
        <v>90</v>
      </c>
      <c r="AA47" s="36" t="s">
        <v>75</v>
      </c>
      <c r="AB47" s="36" t="s">
        <v>90</v>
      </c>
      <c r="AC47" s="36" t="s">
        <v>445</v>
      </c>
      <c r="AD47" s="36" t="s">
        <v>215</v>
      </c>
      <c r="AE47" s="36" t="s">
        <v>922</v>
      </c>
      <c r="AF47" s="36" t="s">
        <v>75</v>
      </c>
      <c r="AG47" s="36" t="s">
        <v>75</v>
      </c>
      <c r="AH47" s="36" t="s">
        <v>75</v>
      </c>
      <c r="AI47" s="36" t="s">
        <v>923</v>
      </c>
      <c r="AJ47" s="36" t="s">
        <v>75</v>
      </c>
      <c r="AK47" s="36" t="s">
        <v>94</v>
      </c>
      <c r="AL47" s="35" t="s">
        <v>90</v>
      </c>
      <c r="AM47" s="36" t="s">
        <v>95</v>
      </c>
      <c r="AN47" s="36" t="s">
        <v>924</v>
      </c>
      <c r="AO47" s="36" t="s">
        <v>75</v>
      </c>
      <c r="AP47" s="36" t="s">
        <v>75</v>
      </c>
      <c r="AQ47" s="36" t="s">
        <v>75</v>
      </c>
      <c r="AR47" s="36" t="s">
        <v>75</v>
      </c>
      <c r="AS47" s="36" t="s">
        <v>75</v>
      </c>
      <c r="AT47" s="36" t="s">
        <v>75</v>
      </c>
      <c r="AU47" s="36" t="s">
        <v>75</v>
      </c>
      <c r="AV47" s="36" t="s">
        <v>925</v>
      </c>
      <c r="AW47" s="36" t="s">
        <v>75</v>
      </c>
      <c r="AX47" s="36" t="s">
        <v>75</v>
      </c>
      <c r="AY47" s="36" t="s">
        <v>926</v>
      </c>
      <c r="AZ47" s="36" t="s">
        <v>927</v>
      </c>
      <c r="BA47" s="36" t="s">
        <v>928</v>
      </c>
      <c r="BB47" s="36" t="s">
        <v>101</v>
      </c>
      <c r="BC47" s="36" t="s">
        <v>163</v>
      </c>
      <c r="BD47" s="36" t="s">
        <v>103</v>
      </c>
      <c r="BE47" s="36" t="s">
        <v>75</v>
      </c>
      <c r="BF47" s="36" t="s">
        <v>75</v>
      </c>
      <c r="BG47" s="36" t="s">
        <v>75</v>
      </c>
      <c r="BH47" s="36" t="s">
        <v>75</v>
      </c>
      <c r="BI47" s="36" t="s">
        <v>104</v>
      </c>
      <c r="BJ47" s="36" t="s">
        <v>929</v>
      </c>
      <c r="BK47" s="36" t="s">
        <v>106</v>
      </c>
      <c r="BL47" s="36" t="s">
        <v>107</v>
      </c>
      <c r="BM47" s="36" t="s">
        <v>75</v>
      </c>
      <c r="BN47" s="36" t="s">
        <v>75</v>
      </c>
      <c r="BO47" s="36" t="s">
        <v>75</v>
      </c>
      <c r="BP47" s="36" t="s">
        <v>75</v>
      </c>
      <c r="BQ47" s="35" t="s">
        <v>930</v>
      </c>
      <c r="BR47" s="36" t="s">
        <v>455</v>
      </c>
      <c r="BS47" s="38" t="s">
        <v>456</v>
      </c>
    </row>
    <row r="48" spans="1:71">
      <c r="A48" s="35" t="s">
        <v>931</v>
      </c>
      <c r="B48" s="36" t="s">
        <v>112</v>
      </c>
      <c r="C48" s="36" t="s">
        <v>113</v>
      </c>
      <c r="D48" s="36" t="s">
        <v>74</v>
      </c>
      <c r="E48" s="36" t="s">
        <v>75</v>
      </c>
      <c r="F48" s="36" t="s">
        <v>855</v>
      </c>
      <c r="G48" s="36" t="s">
        <v>932</v>
      </c>
      <c r="H48" s="36" t="s">
        <v>933</v>
      </c>
      <c r="I48" s="36" t="s">
        <v>117</v>
      </c>
      <c r="J48" s="36" t="s">
        <v>578</v>
      </c>
      <c r="K48" s="36" t="s">
        <v>934</v>
      </c>
      <c r="L48" s="36" t="s">
        <v>935</v>
      </c>
      <c r="M48" s="36" t="s">
        <v>936</v>
      </c>
      <c r="N48" s="36" t="s">
        <v>937</v>
      </c>
      <c r="O48" s="35" t="s">
        <v>938</v>
      </c>
      <c r="P48" s="36" t="s">
        <v>151</v>
      </c>
      <c r="Q48" s="36" t="s">
        <v>152</v>
      </c>
      <c r="R48" s="36" t="s">
        <v>939</v>
      </c>
      <c r="S48" s="36" t="s">
        <v>940</v>
      </c>
      <c r="T48" s="35" t="s">
        <v>88</v>
      </c>
      <c r="U48" s="36" t="s">
        <v>75</v>
      </c>
      <c r="V48" s="36" t="s">
        <v>75</v>
      </c>
      <c r="W48" s="36" t="s">
        <v>445</v>
      </c>
      <c r="X48" s="37" t="s">
        <v>445</v>
      </c>
      <c r="Y48" s="35" t="s">
        <v>90</v>
      </c>
      <c r="Z48" s="36" t="s">
        <v>90</v>
      </c>
      <c r="AA48" s="36" t="s">
        <v>75</v>
      </c>
      <c r="AB48" s="36" t="s">
        <v>90</v>
      </c>
      <c r="AC48" s="36" t="s">
        <v>445</v>
      </c>
      <c r="AD48" s="36" t="s">
        <v>215</v>
      </c>
      <c r="AE48" s="36" t="s">
        <v>941</v>
      </c>
      <c r="AF48" s="36" t="s">
        <v>75</v>
      </c>
      <c r="AG48" s="36" t="s">
        <v>75</v>
      </c>
      <c r="AH48" s="36" t="s">
        <v>75</v>
      </c>
      <c r="AI48" s="36" t="s">
        <v>942</v>
      </c>
      <c r="AJ48" s="36" t="s">
        <v>75</v>
      </c>
      <c r="AK48" s="36" t="s">
        <v>94</v>
      </c>
      <c r="AL48" s="35" t="s">
        <v>90</v>
      </c>
      <c r="AM48" s="36" t="s">
        <v>95</v>
      </c>
      <c r="AN48" s="36" t="s">
        <v>943</v>
      </c>
      <c r="AO48" s="36" t="s">
        <v>75</v>
      </c>
      <c r="AP48" s="36" t="s">
        <v>75</v>
      </c>
      <c r="AQ48" s="36" t="s">
        <v>75</v>
      </c>
      <c r="AR48" s="36" t="s">
        <v>75</v>
      </c>
      <c r="AS48" s="36" t="s">
        <v>75</v>
      </c>
      <c r="AT48" s="36" t="s">
        <v>75</v>
      </c>
      <c r="AU48" s="36" t="s">
        <v>75</v>
      </c>
      <c r="AV48" s="36" t="s">
        <v>944</v>
      </c>
      <c r="AW48" s="36" t="s">
        <v>75</v>
      </c>
      <c r="AX48" s="36" t="s">
        <v>75</v>
      </c>
      <c r="AY48" s="36" t="s">
        <v>945</v>
      </c>
      <c r="AZ48" s="36" t="s">
        <v>946</v>
      </c>
      <c r="BA48" s="36" t="s">
        <v>75</v>
      </c>
      <c r="BB48" s="36" t="s">
        <v>101</v>
      </c>
      <c r="BC48" s="36" t="s">
        <v>75</v>
      </c>
      <c r="BD48" s="36" t="s">
        <v>103</v>
      </c>
      <c r="BE48" s="36" t="s">
        <v>75</v>
      </c>
      <c r="BF48" s="36" t="s">
        <v>133</v>
      </c>
      <c r="BG48" s="36" t="s">
        <v>947</v>
      </c>
      <c r="BH48" s="36" t="s">
        <v>75</v>
      </c>
      <c r="BI48" s="36" t="s">
        <v>104</v>
      </c>
      <c r="BJ48" s="36" t="s">
        <v>948</v>
      </c>
      <c r="BK48" s="36" t="s">
        <v>106</v>
      </c>
      <c r="BL48" s="36" t="s">
        <v>107</v>
      </c>
      <c r="BM48" s="36" t="s">
        <v>75</v>
      </c>
      <c r="BN48" s="36" t="s">
        <v>75</v>
      </c>
      <c r="BO48" s="36" t="s">
        <v>75</v>
      </c>
      <c r="BP48" s="36" t="s">
        <v>75</v>
      </c>
      <c r="BQ48" s="35" t="s">
        <v>949</v>
      </c>
      <c r="BR48" s="36" t="s">
        <v>455</v>
      </c>
      <c r="BS48" s="38" t="s">
        <v>456</v>
      </c>
    </row>
    <row r="49" spans="1:71">
      <c r="A49" s="35" t="s">
        <v>950</v>
      </c>
      <c r="B49" s="36" t="s">
        <v>112</v>
      </c>
      <c r="C49" s="36" t="s">
        <v>113</v>
      </c>
      <c r="D49" s="36" t="s">
        <v>74</v>
      </c>
      <c r="E49" s="36" t="s">
        <v>75</v>
      </c>
      <c r="F49" s="36" t="s">
        <v>951</v>
      </c>
      <c r="G49" s="36" t="s">
        <v>952</v>
      </c>
      <c r="H49" s="36" t="s">
        <v>953</v>
      </c>
      <c r="I49" s="36" t="s">
        <v>461</v>
      </c>
      <c r="J49" s="36" t="s">
        <v>462</v>
      </c>
      <c r="K49" s="36" t="s">
        <v>954</v>
      </c>
      <c r="L49" s="36" t="s">
        <v>955</v>
      </c>
      <c r="M49" s="36" t="s">
        <v>936</v>
      </c>
      <c r="N49" s="36" t="s">
        <v>937</v>
      </c>
      <c r="O49" s="35" t="s">
        <v>938</v>
      </c>
      <c r="P49" s="36" t="s">
        <v>151</v>
      </c>
      <c r="Q49" s="36" t="s">
        <v>152</v>
      </c>
      <c r="R49" s="36" t="s">
        <v>939</v>
      </c>
      <c r="S49" s="36" t="s">
        <v>940</v>
      </c>
      <c r="T49" s="35" t="s">
        <v>88</v>
      </c>
      <c r="U49" s="36" t="s">
        <v>75</v>
      </c>
      <c r="V49" s="36" t="s">
        <v>75</v>
      </c>
      <c r="W49" s="36" t="s">
        <v>445</v>
      </c>
      <c r="X49" s="37" t="s">
        <v>445</v>
      </c>
      <c r="Y49" s="35" t="s">
        <v>90</v>
      </c>
      <c r="Z49" s="36" t="s">
        <v>90</v>
      </c>
      <c r="AA49" s="36" t="s">
        <v>75</v>
      </c>
      <c r="AB49" s="36" t="s">
        <v>90</v>
      </c>
      <c r="AC49" s="36" t="s">
        <v>445</v>
      </c>
      <c r="AD49" s="36" t="s">
        <v>215</v>
      </c>
      <c r="AE49" s="36" t="s">
        <v>956</v>
      </c>
      <c r="AF49" s="36" t="s">
        <v>75</v>
      </c>
      <c r="AG49" s="36" t="s">
        <v>75</v>
      </c>
      <c r="AH49" s="36" t="s">
        <v>75</v>
      </c>
      <c r="AI49" s="36" t="s">
        <v>957</v>
      </c>
      <c r="AJ49" s="36" t="s">
        <v>75</v>
      </c>
      <c r="AK49" s="36" t="s">
        <v>94</v>
      </c>
      <c r="AL49" s="35" t="s">
        <v>90</v>
      </c>
      <c r="AM49" s="36" t="s">
        <v>95</v>
      </c>
      <c r="AN49" s="36" t="s">
        <v>958</v>
      </c>
      <c r="AO49" s="36" t="s">
        <v>75</v>
      </c>
      <c r="AP49" s="36" t="s">
        <v>75</v>
      </c>
      <c r="AQ49" s="36" t="s">
        <v>75</v>
      </c>
      <c r="AR49" s="36" t="s">
        <v>75</v>
      </c>
      <c r="AS49" s="36" t="s">
        <v>75</v>
      </c>
      <c r="AT49" s="36" t="s">
        <v>75</v>
      </c>
      <c r="AU49" s="36" t="s">
        <v>75</v>
      </c>
      <c r="AV49" s="36" t="s">
        <v>959</v>
      </c>
      <c r="AW49" s="36" t="s">
        <v>75</v>
      </c>
      <c r="AX49" s="36" t="s">
        <v>75</v>
      </c>
      <c r="AY49" s="36" t="s">
        <v>960</v>
      </c>
      <c r="AZ49" s="36" t="s">
        <v>961</v>
      </c>
      <c r="BA49" s="36" t="s">
        <v>75</v>
      </c>
      <c r="BB49" s="36" t="s">
        <v>101</v>
      </c>
      <c r="BC49" s="36" t="s">
        <v>75</v>
      </c>
      <c r="BD49" s="36" t="s">
        <v>103</v>
      </c>
      <c r="BE49" s="36" t="s">
        <v>75</v>
      </c>
      <c r="BF49" s="36" t="s">
        <v>133</v>
      </c>
      <c r="BG49" s="36" t="s">
        <v>962</v>
      </c>
      <c r="BH49" s="36" t="s">
        <v>75</v>
      </c>
      <c r="BI49" s="36" t="s">
        <v>104</v>
      </c>
      <c r="BJ49" s="36" t="s">
        <v>963</v>
      </c>
      <c r="BK49" s="36" t="s">
        <v>106</v>
      </c>
      <c r="BL49" s="36" t="s">
        <v>107</v>
      </c>
      <c r="BM49" s="36" t="s">
        <v>75</v>
      </c>
      <c r="BN49" s="36" t="s">
        <v>75</v>
      </c>
      <c r="BO49" s="36" t="s">
        <v>75</v>
      </c>
      <c r="BP49" s="36" t="s">
        <v>75</v>
      </c>
      <c r="BQ49" s="35" t="s">
        <v>949</v>
      </c>
      <c r="BR49" s="36" t="s">
        <v>455</v>
      </c>
      <c r="BS49" s="38" t="s">
        <v>456</v>
      </c>
    </row>
    <row r="50" spans="1:71">
      <c r="A50" s="35" t="s">
        <v>964</v>
      </c>
      <c r="B50" s="36" t="s">
        <v>72</v>
      </c>
      <c r="C50" s="36" t="s">
        <v>73</v>
      </c>
      <c r="D50" s="36" t="s">
        <v>74</v>
      </c>
      <c r="E50" s="36" t="s">
        <v>75</v>
      </c>
      <c r="F50" s="36" t="s">
        <v>965</v>
      </c>
      <c r="G50" s="36" t="s">
        <v>966</v>
      </c>
      <c r="H50" s="36" t="s">
        <v>967</v>
      </c>
      <c r="I50" s="36" t="s">
        <v>232</v>
      </c>
      <c r="J50" s="36" t="s">
        <v>233</v>
      </c>
      <c r="K50" s="36" t="s">
        <v>968</v>
      </c>
      <c r="L50" s="36" t="s">
        <v>969</v>
      </c>
      <c r="M50" s="36" t="s">
        <v>441</v>
      </c>
      <c r="N50" s="36" t="s">
        <v>442</v>
      </c>
      <c r="O50" s="35" t="s">
        <v>443</v>
      </c>
      <c r="P50" s="36" t="s">
        <v>151</v>
      </c>
      <c r="Q50" s="36" t="s">
        <v>152</v>
      </c>
      <c r="R50" s="36" t="s">
        <v>444</v>
      </c>
      <c r="S50" s="36" t="s">
        <v>351</v>
      </c>
      <c r="T50" s="35" t="s">
        <v>88</v>
      </c>
      <c r="U50" s="36" t="s">
        <v>75</v>
      </c>
      <c r="V50" s="36" t="s">
        <v>75</v>
      </c>
      <c r="W50" s="36" t="s">
        <v>445</v>
      </c>
      <c r="X50" s="37" t="s">
        <v>445</v>
      </c>
      <c r="Y50" s="35" t="s">
        <v>90</v>
      </c>
      <c r="Z50" s="36" t="s">
        <v>90</v>
      </c>
      <c r="AA50" s="36" t="s">
        <v>75</v>
      </c>
      <c r="AB50" s="36" t="s">
        <v>90</v>
      </c>
      <c r="AC50" s="36" t="s">
        <v>445</v>
      </c>
      <c r="AD50" s="36" t="s">
        <v>215</v>
      </c>
      <c r="AE50" s="36" t="s">
        <v>970</v>
      </c>
      <c r="AF50" s="36" t="s">
        <v>75</v>
      </c>
      <c r="AG50" s="36" t="s">
        <v>75</v>
      </c>
      <c r="AH50" s="36" t="s">
        <v>75</v>
      </c>
      <c r="AI50" s="36" t="s">
        <v>971</v>
      </c>
      <c r="AJ50" s="36" t="s">
        <v>75</v>
      </c>
      <c r="AK50" s="36" t="s">
        <v>94</v>
      </c>
      <c r="AL50" s="35" t="s">
        <v>90</v>
      </c>
      <c r="AM50" s="36" t="s">
        <v>95</v>
      </c>
      <c r="AN50" s="36" t="s">
        <v>972</v>
      </c>
      <c r="AO50" s="36" t="s">
        <v>75</v>
      </c>
      <c r="AP50" s="36" t="s">
        <v>75</v>
      </c>
      <c r="AQ50" s="36" t="s">
        <v>75</v>
      </c>
      <c r="AR50" s="36" t="s">
        <v>75</v>
      </c>
      <c r="AS50" s="36" t="s">
        <v>75</v>
      </c>
      <c r="AT50" s="36" t="s">
        <v>75</v>
      </c>
      <c r="AU50" s="36" t="s">
        <v>75</v>
      </c>
      <c r="AV50" s="36" t="s">
        <v>973</v>
      </c>
      <c r="AW50" s="36" t="s">
        <v>75</v>
      </c>
      <c r="AX50" s="36" t="s">
        <v>75</v>
      </c>
      <c r="AY50" s="36" t="s">
        <v>974</v>
      </c>
      <c r="AZ50" s="36" t="s">
        <v>771</v>
      </c>
      <c r="BA50" s="36" t="s">
        <v>772</v>
      </c>
      <c r="BB50" s="36" t="s">
        <v>101</v>
      </c>
      <c r="BC50" s="36" t="s">
        <v>163</v>
      </c>
      <c r="BD50" s="36" t="s">
        <v>103</v>
      </c>
      <c r="BE50" s="36" t="s">
        <v>75</v>
      </c>
      <c r="BF50" s="36" t="s">
        <v>75</v>
      </c>
      <c r="BG50" s="36" t="s">
        <v>75</v>
      </c>
      <c r="BH50" s="36" t="s">
        <v>75</v>
      </c>
      <c r="BI50" s="36" t="s">
        <v>104</v>
      </c>
      <c r="BJ50" s="36" t="s">
        <v>975</v>
      </c>
      <c r="BK50" s="36" t="s">
        <v>106</v>
      </c>
      <c r="BL50" s="36" t="s">
        <v>107</v>
      </c>
      <c r="BM50" s="36" t="s">
        <v>75</v>
      </c>
      <c r="BN50" s="36" t="s">
        <v>75</v>
      </c>
      <c r="BO50" s="36" t="s">
        <v>75</v>
      </c>
      <c r="BP50" s="36" t="s">
        <v>75</v>
      </c>
      <c r="BQ50" s="35" t="s">
        <v>454</v>
      </c>
      <c r="BR50" s="36" t="s">
        <v>455</v>
      </c>
      <c r="BS50" s="38" t="s">
        <v>456</v>
      </c>
    </row>
    <row r="51" spans="1:71">
      <c r="A51" s="35" t="s">
        <v>976</v>
      </c>
      <c r="B51" s="36" t="s">
        <v>72</v>
      </c>
      <c r="C51" s="36" t="s">
        <v>113</v>
      </c>
      <c r="D51" s="36" t="s">
        <v>74</v>
      </c>
      <c r="E51" s="36" t="s">
        <v>75</v>
      </c>
      <c r="F51" s="36" t="s">
        <v>263</v>
      </c>
      <c r="G51" s="36" t="s">
        <v>977</v>
      </c>
      <c r="H51" s="36" t="s">
        <v>978</v>
      </c>
      <c r="I51" s="36" t="s">
        <v>858</v>
      </c>
      <c r="J51" s="36" t="s">
        <v>859</v>
      </c>
      <c r="K51" s="36" t="s">
        <v>979</v>
      </c>
      <c r="L51" s="36" t="s">
        <v>980</v>
      </c>
      <c r="M51" s="36" t="s">
        <v>981</v>
      </c>
      <c r="N51" s="36" t="s">
        <v>982</v>
      </c>
      <c r="O51" s="35" t="s">
        <v>983</v>
      </c>
      <c r="P51" s="36" t="s">
        <v>151</v>
      </c>
      <c r="Q51" s="36" t="s">
        <v>152</v>
      </c>
      <c r="R51" s="36" t="s">
        <v>984</v>
      </c>
      <c r="S51" s="36" t="s">
        <v>187</v>
      </c>
      <c r="T51" s="35" t="s">
        <v>88</v>
      </c>
      <c r="U51" s="36" t="s">
        <v>75</v>
      </c>
      <c r="V51" s="36" t="s">
        <v>75</v>
      </c>
      <c r="W51" s="36" t="s">
        <v>842</v>
      </c>
      <c r="X51" s="37" t="s">
        <v>842</v>
      </c>
      <c r="Y51" s="35" t="s">
        <v>90</v>
      </c>
      <c r="Z51" s="36" t="s">
        <v>90</v>
      </c>
      <c r="AA51" s="36" t="s">
        <v>75</v>
      </c>
      <c r="AB51" s="36" t="s">
        <v>90</v>
      </c>
      <c r="AC51" s="36" t="s">
        <v>842</v>
      </c>
      <c r="AD51" s="36" t="s">
        <v>215</v>
      </c>
      <c r="AE51" s="36" t="s">
        <v>985</v>
      </c>
      <c r="AF51" s="36" t="s">
        <v>75</v>
      </c>
      <c r="AG51" s="36" t="s">
        <v>75</v>
      </c>
      <c r="AH51" s="36" t="s">
        <v>75</v>
      </c>
      <c r="AI51" s="36" t="s">
        <v>986</v>
      </c>
      <c r="AJ51" s="36" t="s">
        <v>75</v>
      </c>
      <c r="AK51" s="36" t="s">
        <v>94</v>
      </c>
      <c r="AL51" s="35" t="s">
        <v>90</v>
      </c>
      <c r="AM51" s="36" t="s">
        <v>95</v>
      </c>
      <c r="AN51" s="36" t="s">
        <v>987</v>
      </c>
      <c r="AO51" s="36" t="s">
        <v>75</v>
      </c>
      <c r="AP51" s="36" t="s">
        <v>75</v>
      </c>
      <c r="AQ51" s="36" t="s">
        <v>75</v>
      </c>
      <c r="AR51" s="36" t="s">
        <v>75</v>
      </c>
      <c r="AS51" s="36" t="s">
        <v>75</v>
      </c>
      <c r="AT51" s="36" t="s">
        <v>75</v>
      </c>
      <c r="AU51" s="36" t="s">
        <v>75</v>
      </c>
      <c r="AV51" s="36" t="s">
        <v>988</v>
      </c>
      <c r="AW51" s="36" t="s">
        <v>75</v>
      </c>
      <c r="AX51" s="36" t="s">
        <v>75</v>
      </c>
      <c r="AY51" s="36" t="s">
        <v>989</v>
      </c>
      <c r="AZ51" s="36" t="s">
        <v>990</v>
      </c>
      <c r="BA51" s="36" t="s">
        <v>991</v>
      </c>
      <c r="BB51" s="36" t="s">
        <v>101</v>
      </c>
      <c r="BC51" s="36" t="s">
        <v>102</v>
      </c>
      <c r="BD51" s="36" t="s">
        <v>103</v>
      </c>
      <c r="BE51" s="36" t="s">
        <v>75</v>
      </c>
      <c r="BF51" s="36" t="s">
        <v>133</v>
      </c>
      <c r="BG51" s="36" t="s">
        <v>992</v>
      </c>
      <c r="BH51" s="36" t="s">
        <v>75</v>
      </c>
      <c r="BI51" s="36" t="s">
        <v>104</v>
      </c>
      <c r="BJ51" s="36" t="s">
        <v>993</v>
      </c>
      <c r="BK51" s="36" t="s">
        <v>106</v>
      </c>
      <c r="BL51" s="36" t="s">
        <v>107</v>
      </c>
      <c r="BM51" s="36" t="s">
        <v>75</v>
      </c>
      <c r="BN51" s="36" t="s">
        <v>75</v>
      </c>
      <c r="BO51" s="36" t="s">
        <v>75</v>
      </c>
      <c r="BP51" s="36" t="s">
        <v>75</v>
      </c>
      <c r="BQ51" s="35" t="s">
        <v>994</v>
      </c>
      <c r="BR51" s="36" t="s">
        <v>852</v>
      </c>
      <c r="BS51" s="38" t="s">
        <v>853</v>
      </c>
    </row>
    <row r="52" spans="1:71">
      <c r="A52" s="35" t="s">
        <v>995</v>
      </c>
      <c r="B52" s="36" t="s">
        <v>72</v>
      </c>
      <c r="C52" s="36" t="s">
        <v>73</v>
      </c>
      <c r="D52" s="36" t="s">
        <v>74</v>
      </c>
      <c r="E52" s="36" t="s">
        <v>996</v>
      </c>
      <c r="F52" s="36" t="s">
        <v>965</v>
      </c>
      <c r="G52" s="36" t="s">
        <v>997</v>
      </c>
      <c r="H52" s="36" t="s">
        <v>998</v>
      </c>
      <c r="I52" s="36" t="s">
        <v>283</v>
      </c>
      <c r="J52" s="36" t="s">
        <v>284</v>
      </c>
      <c r="K52" s="36" t="s">
        <v>999</v>
      </c>
      <c r="L52" s="36" t="s">
        <v>1000</v>
      </c>
      <c r="M52" s="36" t="s">
        <v>837</v>
      </c>
      <c r="N52" s="36" t="s">
        <v>838</v>
      </c>
      <c r="O52" s="35" t="s">
        <v>839</v>
      </c>
      <c r="P52" s="36" t="s">
        <v>151</v>
      </c>
      <c r="Q52" s="36" t="s">
        <v>152</v>
      </c>
      <c r="R52" s="36" t="s">
        <v>840</v>
      </c>
      <c r="S52" s="36" t="s">
        <v>841</v>
      </c>
      <c r="T52" s="35" t="s">
        <v>88</v>
      </c>
      <c r="U52" s="36" t="s">
        <v>75</v>
      </c>
      <c r="V52" s="36" t="s">
        <v>75</v>
      </c>
      <c r="W52" s="36" t="s">
        <v>842</v>
      </c>
      <c r="X52" s="37" t="s">
        <v>842</v>
      </c>
      <c r="Y52" s="35" t="s">
        <v>90</v>
      </c>
      <c r="Z52" s="36" t="s">
        <v>90</v>
      </c>
      <c r="AA52" s="36" t="s">
        <v>75</v>
      </c>
      <c r="AB52" s="36" t="s">
        <v>90</v>
      </c>
      <c r="AC52" s="36" t="s">
        <v>842</v>
      </c>
      <c r="AD52" s="36" t="s">
        <v>91</v>
      </c>
      <c r="AE52" s="36" t="s">
        <v>1001</v>
      </c>
      <c r="AF52" s="36" t="s">
        <v>75</v>
      </c>
      <c r="AG52" s="36" t="s">
        <v>75</v>
      </c>
      <c r="AH52" s="36" t="s">
        <v>75</v>
      </c>
      <c r="AI52" s="36" t="s">
        <v>1002</v>
      </c>
      <c r="AJ52" s="36" t="s">
        <v>75</v>
      </c>
      <c r="AK52" s="36" t="s">
        <v>94</v>
      </c>
      <c r="AL52" s="35" t="s">
        <v>90</v>
      </c>
      <c r="AM52" s="36" t="s">
        <v>95</v>
      </c>
      <c r="AN52" s="36" t="s">
        <v>1003</v>
      </c>
      <c r="AO52" s="36" t="s">
        <v>75</v>
      </c>
      <c r="AP52" s="36" t="s">
        <v>75</v>
      </c>
      <c r="AQ52" s="36" t="s">
        <v>75</v>
      </c>
      <c r="AR52" s="36" t="s">
        <v>75</v>
      </c>
      <c r="AS52" s="36" t="s">
        <v>75</v>
      </c>
      <c r="AT52" s="36" t="s">
        <v>75</v>
      </c>
      <c r="AU52" s="36" t="s">
        <v>75</v>
      </c>
      <c r="AV52" s="36" t="s">
        <v>1004</v>
      </c>
      <c r="AW52" s="36" t="s">
        <v>75</v>
      </c>
      <c r="AX52" s="36" t="s">
        <v>75</v>
      </c>
      <c r="AY52" s="36" t="s">
        <v>1005</v>
      </c>
      <c r="AZ52" s="36" t="s">
        <v>1006</v>
      </c>
      <c r="BA52" s="36" t="s">
        <v>1007</v>
      </c>
      <c r="BB52" s="36" t="s">
        <v>101</v>
      </c>
      <c r="BC52" s="36" t="s">
        <v>102</v>
      </c>
      <c r="BD52" s="36" t="s">
        <v>103</v>
      </c>
      <c r="BE52" s="36" t="s">
        <v>75</v>
      </c>
      <c r="BF52" s="36" t="s">
        <v>75</v>
      </c>
      <c r="BG52" s="36" t="s">
        <v>75</v>
      </c>
      <c r="BH52" s="36" t="s">
        <v>75</v>
      </c>
      <c r="BI52" s="36" t="s">
        <v>104</v>
      </c>
      <c r="BJ52" s="36" t="s">
        <v>1008</v>
      </c>
      <c r="BK52" s="36" t="s">
        <v>106</v>
      </c>
      <c r="BL52" s="36" t="s">
        <v>107</v>
      </c>
      <c r="BM52" s="36" t="s">
        <v>75</v>
      </c>
      <c r="BN52" s="36" t="s">
        <v>75</v>
      </c>
      <c r="BO52" s="36" t="s">
        <v>75</v>
      </c>
      <c r="BP52" s="36" t="s">
        <v>75</v>
      </c>
      <c r="BQ52" s="35" t="s">
        <v>851</v>
      </c>
      <c r="BR52" s="36" t="s">
        <v>852</v>
      </c>
      <c r="BS52" s="38" t="s">
        <v>853</v>
      </c>
    </row>
    <row r="53" spans="1:71">
      <c r="A53" s="35" t="s">
        <v>1009</v>
      </c>
      <c r="B53" s="36" t="s">
        <v>72</v>
      </c>
      <c r="C53" s="36" t="s">
        <v>113</v>
      </c>
      <c r="D53" s="36" t="s">
        <v>74</v>
      </c>
      <c r="E53" s="36" t="s">
        <v>75</v>
      </c>
      <c r="F53" s="36" t="s">
        <v>263</v>
      </c>
      <c r="G53" s="36" t="s">
        <v>977</v>
      </c>
      <c r="H53" s="36" t="s">
        <v>978</v>
      </c>
      <c r="I53" s="36" t="s">
        <v>858</v>
      </c>
      <c r="J53" s="36" t="s">
        <v>859</v>
      </c>
      <c r="K53" s="36" t="s">
        <v>979</v>
      </c>
      <c r="L53" s="36" t="s">
        <v>980</v>
      </c>
      <c r="M53" s="36" t="s">
        <v>837</v>
      </c>
      <c r="N53" s="36" t="s">
        <v>838</v>
      </c>
      <c r="O53" s="35" t="s">
        <v>839</v>
      </c>
      <c r="P53" s="36" t="s">
        <v>151</v>
      </c>
      <c r="Q53" s="36" t="s">
        <v>152</v>
      </c>
      <c r="R53" s="36" t="s">
        <v>840</v>
      </c>
      <c r="S53" s="36" t="s">
        <v>841</v>
      </c>
      <c r="T53" s="35" t="s">
        <v>88</v>
      </c>
      <c r="U53" s="36" t="s">
        <v>75</v>
      </c>
      <c r="V53" s="36" t="s">
        <v>75</v>
      </c>
      <c r="W53" s="36" t="s">
        <v>842</v>
      </c>
      <c r="X53" s="37" t="s">
        <v>842</v>
      </c>
      <c r="Y53" s="35" t="s">
        <v>90</v>
      </c>
      <c r="Z53" s="36" t="s">
        <v>90</v>
      </c>
      <c r="AA53" s="36" t="s">
        <v>75</v>
      </c>
      <c r="AB53" s="36" t="s">
        <v>90</v>
      </c>
      <c r="AC53" s="36" t="s">
        <v>842</v>
      </c>
      <c r="AD53" s="36" t="s">
        <v>215</v>
      </c>
      <c r="AE53" s="36" t="s">
        <v>1010</v>
      </c>
      <c r="AF53" s="36" t="s">
        <v>75</v>
      </c>
      <c r="AG53" s="36" t="s">
        <v>75</v>
      </c>
      <c r="AH53" s="36" t="s">
        <v>75</v>
      </c>
      <c r="AI53" s="36" t="s">
        <v>1011</v>
      </c>
      <c r="AJ53" s="36" t="s">
        <v>75</v>
      </c>
      <c r="AK53" s="36" t="s">
        <v>94</v>
      </c>
      <c r="AL53" s="35" t="s">
        <v>90</v>
      </c>
      <c r="AM53" s="36" t="s">
        <v>95</v>
      </c>
      <c r="AN53" s="36" t="s">
        <v>1012</v>
      </c>
      <c r="AO53" s="36" t="s">
        <v>75</v>
      </c>
      <c r="AP53" s="36" t="s">
        <v>75</v>
      </c>
      <c r="AQ53" s="36" t="s">
        <v>75</v>
      </c>
      <c r="AR53" s="36" t="s">
        <v>75</v>
      </c>
      <c r="AS53" s="36" t="s">
        <v>75</v>
      </c>
      <c r="AT53" s="36" t="s">
        <v>75</v>
      </c>
      <c r="AU53" s="36" t="s">
        <v>75</v>
      </c>
      <c r="AV53" s="36" t="s">
        <v>1013</v>
      </c>
      <c r="AW53" s="36" t="s">
        <v>75</v>
      </c>
      <c r="AX53" s="36" t="s">
        <v>75</v>
      </c>
      <c r="AY53" s="36" t="s">
        <v>1014</v>
      </c>
      <c r="AZ53" s="36" t="s">
        <v>1006</v>
      </c>
      <c r="BA53" s="36" t="s">
        <v>1015</v>
      </c>
      <c r="BB53" s="36" t="s">
        <v>101</v>
      </c>
      <c r="BC53" s="36" t="s">
        <v>102</v>
      </c>
      <c r="BD53" s="36" t="s">
        <v>103</v>
      </c>
      <c r="BE53" s="36" t="s">
        <v>75</v>
      </c>
      <c r="BF53" s="36" t="s">
        <v>133</v>
      </c>
      <c r="BG53" s="36" t="s">
        <v>1016</v>
      </c>
      <c r="BH53" s="36" t="s">
        <v>75</v>
      </c>
      <c r="BI53" s="36" t="s">
        <v>104</v>
      </c>
      <c r="BJ53" s="36" t="s">
        <v>993</v>
      </c>
      <c r="BK53" s="36" t="s">
        <v>106</v>
      </c>
      <c r="BL53" s="36" t="s">
        <v>107</v>
      </c>
      <c r="BM53" s="36" t="s">
        <v>75</v>
      </c>
      <c r="BN53" s="36" t="s">
        <v>75</v>
      </c>
      <c r="BO53" s="36" t="s">
        <v>75</v>
      </c>
      <c r="BP53" s="36" t="s">
        <v>75</v>
      </c>
      <c r="BQ53" s="35" t="s">
        <v>851</v>
      </c>
      <c r="BR53" s="36" t="s">
        <v>852</v>
      </c>
      <c r="BS53" s="38" t="s">
        <v>853</v>
      </c>
    </row>
    <row r="54" spans="1:71">
      <c r="A54" s="35" t="s">
        <v>1017</v>
      </c>
      <c r="B54" s="36" t="s">
        <v>72</v>
      </c>
      <c r="C54" s="36" t="s">
        <v>73</v>
      </c>
      <c r="D54" s="36" t="s">
        <v>74</v>
      </c>
      <c r="E54" s="36" t="s">
        <v>75</v>
      </c>
      <c r="F54" s="36" t="s">
        <v>1018</v>
      </c>
      <c r="G54" s="36" t="s">
        <v>1019</v>
      </c>
      <c r="H54" s="36" t="s">
        <v>1020</v>
      </c>
      <c r="I54" s="36" t="s">
        <v>858</v>
      </c>
      <c r="J54" s="36" t="s">
        <v>859</v>
      </c>
      <c r="K54" s="36" t="s">
        <v>1021</v>
      </c>
      <c r="L54" s="36" t="s">
        <v>1022</v>
      </c>
      <c r="M54" s="36" t="s">
        <v>981</v>
      </c>
      <c r="N54" s="36" t="s">
        <v>982</v>
      </c>
      <c r="O54" s="35" t="s">
        <v>983</v>
      </c>
      <c r="P54" s="36" t="s">
        <v>151</v>
      </c>
      <c r="Q54" s="36" t="s">
        <v>152</v>
      </c>
      <c r="R54" s="36" t="s">
        <v>984</v>
      </c>
      <c r="S54" s="36" t="s">
        <v>187</v>
      </c>
      <c r="T54" s="35" t="s">
        <v>88</v>
      </c>
      <c r="U54" s="36" t="s">
        <v>75</v>
      </c>
      <c r="V54" s="36" t="s">
        <v>75</v>
      </c>
      <c r="W54" s="36" t="s">
        <v>842</v>
      </c>
      <c r="X54" s="37" t="s">
        <v>842</v>
      </c>
      <c r="Y54" s="35" t="s">
        <v>90</v>
      </c>
      <c r="Z54" s="36" t="s">
        <v>90</v>
      </c>
      <c r="AA54" s="36" t="s">
        <v>75</v>
      </c>
      <c r="AB54" s="36" t="s">
        <v>90</v>
      </c>
      <c r="AC54" s="36" t="s">
        <v>842</v>
      </c>
      <c r="AD54" s="36" t="s">
        <v>215</v>
      </c>
      <c r="AE54" s="36" t="s">
        <v>1023</v>
      </c>
      <c r="AF54" s="36" t="s">
        <v>75</v>
      </c>
      <c r="AG54" s="36" t="s">
        <v>75</v>
      </c>
      <c r="AH54" s="36" t="s">
        <v>75</v>
      </c>
      <c r="AI54" s="36" t="s">
        <v>1024</v>
      </c>
      <c r="AJ54" s="36" t="s">
        <v>75</v>
      </c>
      <c r="AK54" s="36" t="s">
        <v>94</v>
      </c>
      <c r="AL54" s="35" t="s">
        <v>90</v>
      </c>
      <c r="AM54" s="36" t="s">
        <v>95</v>
      </c>
      <c r="AN54" s="36" t="s">
        <v>1025</v>
      </c>
      <c r="AO54" s="36" t="s">
        <v>75</v>
      </c>
      <c r="AP54" s="36" t="s">
        <v>75</v>
      </c>
      <c r="AQ54" s="36" t="s">
        <v>75</v>
      </c>
      <c r="AR54" s="36" t="s">
        <v>75</v>
      </c>
      <c r="AS54" s="36" t="s">
        <v>75</v>
      </c>
      <c r="AT54" s="36" t="s">
        <v>75</v>
      </c>
      <c r="AU54" s="36" t="s">
        <v>75</v>
      </c>
      <c r="AV54" s="36" t="s">
        <v>1026</v>
      </c>
      <c r="AW54" s="36" t="s">
        <v>75</v>
      </c>
      <c r="AX54" s="36" t="s">
        <v>75</v>
      </c>
      <c r="AY54" s="36" t="s">
        <v>1027</v>
      </c>
      <c r="AZ54" s="36" t="s">
        <v>1028</v>
      </c>
      <c r="BA54" s="36" t="s">
        <v>1029</v>
      </c>
      <c r="BB54" s="36" t="s">
        <v>101</v>
      </c>
      <c r="BC54" s="36" t="s">
        <v>102</v>
      </c>
      <c r="BD54" s="36" t="s">
        <v>103</v>
      </c>
      <c r="BE54" s="36" t="s">
        <v>75</v>
      </c>
      <c r="BF54" s="36" t="s">
        <v>75</v>
      </c>
      <c r="BG54" s="36" t="s">
        <v>75</v>
      </c>
      <c r="BH54" s="36" t="s">
        <v>75</v>
      </c>
      <c r="BI54" s="36" t="s">
        <v>104</v>
      </c>
      <c r="BJ54" s="36" t="s">
        <v>1030</v>
      </c>
      <c r="BK54" s="36" t="s">
        <v>106</v>
      </c>
      <c r="BL54" s="36" t="s">
        <v>107</v>
      </c>
      <c r="BM54" s="36" t="s">
        <v>75</v>
      </c>
      <c r="BN54" s="36" t="s">
        <v>75</v>
      </c>
      <c r="BO54" s="36" t="s">
        <v>75</v>
      </c>
      <c r="BP54" s="36" t="s">
        <v>75</v>
      </c>
      <c r="BQ54" s="35" t="s">
        <v>994</v>
      </c>
      <c r="BR54" s="36" t="s">
        <v>852</v>
      </c>
      <c r="BS54" s="38" t="s">
        <v>853</v>
      </c>
    </row>
    <row r="55" spans="1:71">
      <c r="A55" s="35" t="s">
        <v>1031</v>
      </c>
      <c r="B55" s="36" t="s">
        <v>72</v>
      </c>
      <c r="C55" s="36" t="s">
        <v>113</v>
      </c>
      <c r="D55" s="36" t="s">
        <v>74</v>
      </c>
      <c r="E55" s="36" t="s">
        <v>75</v>
      </c>
      <c r="F55" s="36" t="s">
        <v>1032</v>
      </c>
      <c r="G55" s="36" t="s">
        <v>1033</v>
      </c>
      <c r="H55" s="36" t="s">
        <v>880</v>
      </c>
      <c r="I55" s="36" t="s">
        <v>79</v>
      </c>
      <c r="J55" s="36" t="s">
        <v>80</v>
      </c>
      <c r="K55" s="36" t="s">
        <v>881</v>
      </c>
      <c r="L55" s="36" t="s">
        <v>1034</v>
      </c>
      <c r="M55" s="36" t="s">
        <v>1035</v>
      </c>
      <c r="N55" s="36" t="s">
        <v>1036</v>
      </c>
      <c r="O55" s="35" t="s">
        <v>1037</v>
      </c>
      <c r="P55" s="36" t="s">
        <v>151</v>
      </c>
      <c r="Q55" s="36" t="s">
        <v>152</v>
      </c>
      <c r="R55" s="36" t="s">
        <v>1038</v>
      </c>
      <c r="S55" s="36" t="s">
        <v>291</v>
      </c>
      <c r="T55" s="35" t="s">
        <v>88</v>
      </c>
      <c r="U55" s="36" t="s">
        <v>75</v>
      </c>
      <c r="V55" s="36" t="s">
        <v>75</v>
      </c>
      <c r="W55" s="36" t="s">
        <v>842</v>
      </c>
      <c r="X55" s="37" t="s">
        <v>842</v>
      </c>
      <c r="Y55" s="35" t="s">
        <v>90</v>
      </c>
      <c r="Z55" s="36" t="s">
        <v>90</v>
      </c>
      <c r="AA55" s="36" t="s">
        <v>75</v>
      </c>
      <c r="AB55" s="36" t="s">
        <v>90</v>
      </c>
      <c r="AC55" s="36" t="s">
        <v>842</v>
      </c>
      <c r="AD55" s="36" t="s">
        <v>215</v>
      </c>
      <c r="AE55" s="36" t="s">
        <v>1039</v>
      </c>
      <c r="AF55" s="36" t="s">
        <v>75</v>
      </c>
      <c r="AG55" s="36" t="s">
        <v>75</v>
      </c>
      <c r="AH55" s="36" t="s">
        <v>75</v>
      </c>
      <c r="AI55" s="36" t="s">
        <v>1040</v>
      </c>
      <c r="AJ55" s="36" t="s">
        <v>75</v>
      </c>
      <c r="AK55" s="36" t="s">
        <v>94</v>
      </c>
      <c r="AL55" s="35" t="s">
        <v>90</v>
      </c>
      <c r="AM55" s="36" t="s">
        <v>95</v>
      </c>
      <c r="AN55" s="36" t="s">
        <v>1041</v>
      </c>
      <c r="AO55" s="36" t="s">
        <v>75</v>
      </c>
      <c r="AP55" s="36" t="s">
        <v>75</v>
      </c>
      <c r="AQ55" s="36" t="s">
        <v>75</v>
      </c>
      <c r="AR55" s="36" t="s">
        <v>75</v>
      </c>
      <c r="AS55" s="36" t="s">
        <v>75</v>
      </c>
      <c r="AT55" s="36" t="s">
        <v>75</v>
      </c>
      <c r="AU55" s="36" t="s">
        <v>75</v>
      </c>
      <c r="AV55" s="36" t="s">
        <v>1042</v>
      </c>
      <c r="AW55" s="36" t="s">
        <v>75</v>
      </c>
      <c r="AX55" s="36" t="s">
        <v>75</v>
      </c>
      <c r="AY55" s="36" t="s">
        <v>1043</v>
      </c>
      <c r="AZ55" s="36" t="s">
        <v>1044</v>
      </c>
      <c r="BA55" s="36" t="s">
        <v>1045</v>
      </c>
      <c r="BB55" s="36" t="s">
        <v>101</v>
      </c>
      <c r="BC55" s="36" t="s">
        <v>102</v>
      </c>
      <c r="BD55" s="36" t="s">
        <v>103</v>
      </c>
      <c r="BE55" s="36" t="s">
        <v>75</v>
      </c>
      <c r="BF55" s="36" t="s">
        <v>133</v>
      </c>
      <c r="BG55" s="36" t="s">
        <v>1046</v>
      </c>
      <c r="BH55" s="36" t="s">
        <v>75</v>
      </c>
      <c r="BI55" s="36" t="s">
        <v>104</v>
      </c>
      <c r="BJ55" s="36" t="s">
        <v>1047</v>
      </c>
      <c r="BK55" s="36" t="s">
        <v>106</v>
      </c>
      <c r="BL55" s="36" t="s">
        <v>107</v>
      </c>
      <c r="BM55" s="36" t="s">
        <v>75</v>
      </c>
      <c r="BN55" s="36" t="s">
        <v>75</v>
      </c>
      <c r="BO55" s="36" t="s">
        <v>75</v>
      </c>
      <c r="BP55" s="36" t="s">
        <v>75</v>
      </c>
      <c r="BQ55" s="35" t="s">
        <v>1048</v>
      </c>
      <c r="BR55" s="36" t="s">
        <v>852</v>
      </c>
      <c r="BS55" s="38" t="s">
        <v>853</v>
      </c>
    </row>
    <row r="56" spans="1:71">
      <c r="A56" s="35" t="s">
        <v>1049</v>
      </c>
      <c r="B56" s="36" t="s">
        <v>72</v>
      </c>
      <c r="C56" s="36" t="s">
        <v>113</v>
      </c>
      <c r="D56" s="36" t="s">
        <v>74</v>
      </c>
      <c r="E56" s="36" t="s">
        <v>75</v>
      </c>
      <c r="F56" s="36" t="s">
        <v>1050</v>
      </c>
      <c r="G56" s="36" t="s">
        <v>1051</v>
      </c>
      <c r="H56" s="36" t="s">
        <v>1052</v>
      </c>
      <c r="I56" s="36" t="s">
        <v>735</v>
      </c>
      <c r="J56" s="36" t="s">
        <v>1053</v>
      </c>
      <c r="K56" s="36" t="s">
        <v>1054</v>
      </c>
      <c r="L56" s="36" t="s">
        <v>1055</v>
      </c>
      <c r="M56" s="36" t="s">
        <v>837</v>
      </c>
      <c r="N56" s="36" t="s">
        <v>838</v>
      </c>
      <c r="O56" s="35" t="s">
        <v>839</v>
      </c>
      <c r="P56" s="36" t="s">
        <v>151</v>
      </c>
      <c r="Q56" s="36" t="s">
        <v>152</v>
      </c>
      <c r="R56" s="36" t="s">
        <v>840</v>
      </c>
      <c r="S56" s="36" t="s">
        <v>841</v>
      </c>
      <c r="T56" s="35" t="s">
        <v>88</v>
      </c>
      <c r="U56" s="36" t="s">
        <v>75</v>
      </c>
      <c r="V56" s="36" t="s">
        <v>75</v>
      </c>
      <c r="W56" s="36" t="s">
        <v>842</v>
      </c>
      <c r="X56" s="37" t="s">
        <v>842</v>
      </c>
      <c r="Y56" s="35" t="s">
        <v>90</v>
      </c>
      <c r="Z56" s="36" t="s">
        <v>90</v>
      </c>
      <c r="AA56" s="36" t="s">
        <v>75</v>
      </c>
      <c r="AB56" s="36" t="s">
        <v>90</v>
      </c>
      <c r="AC56" s="36" t="s">
        <v>842</v>
      </c>
      <c r="AD56" s="36" t="s">
        <v>91</v>
      </c>
      <c r="AE56" s="36" t="s">
        <v>1056</v>
      </c>
      <c r="AF56" s="36" t="s">
        <v>75</v>
      </c>
      <c r="AG56" s="36" t="s">
        <v>75</v>
      </c>
      <c r="AH56" s="36" t="s">
        <v>75</v>
      </c>
      <c r="AI56" s="36" t="s">
        <v>1057</v>
      </c>
      <c r="AJ56" s="36" t="s">
        <v>75</v>
      </c>
      <c r="AK56" s="36" t="s">
        <v>94</v>
      </c>
      <c r="AL56" s="35" t="s">
        <v>90</v>
      </c>
      <c r="AM56" s="36" t="s">
        <v>95</v>
      </c>
      <c r="AN56" s="36" t="s">
        <v>1058</v>
      </c>
      <c r="AO56" s="36" t="s">
        <v>75</v>
      </c>
      <c r="AP56" s="36" t="s">
        <v>75</v>
      </c>
      <c r="AQ56" s="36" t="s">
        <v>75</v>
      </c>
      <c r="AR56" s="36" t="s">
        <v>75</v>
      </c>
      <c r="AS56" s="36" t="s">
        <v>75</v>
      </c>
      <c r="AT56" s="36" t="s">
        <v>75</v>
      </c>
      <c r="AU56" s="36" t="s">
        <v>75</v>
      </c>
      <c r="AV56" s="36" t="s">
        <v>1059</v>
      </c>
      <c r="AW56" s="36" t="s">
        <v>75</v>
      </c>
      <c r="AX56" s="36" t="s">
        <v>75</v>
      </c>
      <c r="AY56" s="36" t="s">
        <v>1060</v>
      </c>
      <c r="AZ56" s="36" t="s">
        <v>1061</v>
      </c>
      <c r="BA56" s="36" t="s">
        <v>1062</v>
      </c>
      <c r="BB56" s="36" t="s">
        <v>101</v>
      </c>
      <c r="BC56" s="36" t="s">
        <v>102</v>
      </c>
      <c r="BD56" s="36" t="s">
        <v>103</v>
      </c>
      <c r="BE56" s="36" t="s">
        <v>75</v>
      </c>
      <c r="BF56" s="36" t="s">
        <v>133</v>
      </c>
      <c r="BG56" s="36" t="s">
        <v>1063</v>
      </c>
      <c r="BH56" s="36" t="s">
        <v>75</v>
      </c>
      <c r="BI56" s="36" t="s">
        <v>104</v>
      </c>
      <c r="BJ56" s="36" t="s">
        <v>1064</v>
      </c>
      <c r="BK56" s="36" t="s">
        <v>106</v>
      </c>
      <c r="BL56" s="36" t="s">
        <v>107</v>
      </c>
      <c r="BM56" s="36" t="s">
        <v>75</v>
      </c>
      <c r="BN56" s="36" t="s">
        <v>75</v>
      </c>
      <c r="BO56" s="36" t="s">
        <v>75</v>
      </c>
      <c r="BP56" s="36" t="s">
        <v>75</v>
      </c>
      <c r="BQ56" s="35" t="s">
        <v>851</v>
      </c>
      <c r="BR56" s="36" t="s">
        <v>852</v>
      </c>
      <c r="BS56" s="38" t="s">
        <v>853</v>
      </c>
    </row>
    <row r="57" spans="1:71">
      <c r="A57" s="35" t="s">
        <v>1065</v>
      </c>
      <c r="B57" s="36" t="s">
        <v>72</v>
      </c>
      <c r="C57" s="36" t="s">
        <v>73</v>
      </c>
      <c r="D57" s="36" t="s">
        <v>74</v>
      </c>
      <c r="E57" s="36" t="s">
        <v>75</v>
      </c>
      <c r="F57" s="36" t="s">
        <v>1066</v>
      </c>
      <c r="G57" s="36" t="s">
        <v>1067</v>
      </c>
      <c r="H57" s="36" t="s">
        <v>1068</v>
      </c>
      <c r="I57" s="36" t="s">
        <v>232</v>
      </c>
      <c r="J57" s="36" t="s">
        <v>1069</v>
      </c>
      <c r="K57" s="36" t="s">
        <v>1070</v>
      </c>
      <c r="L57" s="36" t="s">
        <v>1071</v>
      </c>
      <c r="M57" s="36" t="s">
        <v>1072</v>
      </c>
      <c r="N57" s="36" t="s">
        <v>1073</v>
      </c>
      <c r="O57" s="35" t="s">
        <v>1074</v>
      </c>
      <c r="P57" s="36" t="s">
        <v>151</v>
      </c>
      <c r="Q57" s="36" t="s">
        <v>152</v>
      </c>
      <c r="R57" s="36" t="s">
        <v>1075</v>
      </c>
      <c r="S57" s="36" t="s">
        <v>1076</v>
      </c>
      <c r="T57" s="35" t="s">
        <v>88</v>
      </c>
      <c r="U57" s="36" t="s">
        <v>75</v>
      </c>
      <c r="V57" s="36" t="s">
        <v>75</v>
      </c>
      <c r="W57" s="36" t="s">
        <v>842</v>
      </c>
      <c r="X57" s="37" t="s">
        <v>842</v>
      </c>
      <c r="Y57" s="35" t="s">
        <v>90</v>
      </c>
      <c r="Z57" s="36" t="s">
        <v>90</v>
      </c>
      <c r="AA57" s="36" t="s">
        <v>75</v>
      </c>
      <c r="AB57" s="36" t="s">
        <v>90</v>
      </c>
      <c r="AC57" s="36" t="s">
        <v>842</v>
      </c>
      <c r="AD57" s="36" t="s">
        <v>352</v>
      </c>
      <c r="AE57" s="36" t="s">
        <v>75</v>
      </c>
      <c r="AF57" s="36" t="s">
        <v>75</v>
      </c>
      <c r="AG57" s="36" t="s">
        <v>75</v>
      </c>
      <c r="AH57" s="36" t="s">
        <v>75</v>
      </c>
      <c r="AI57" s="36" t="s">
        <v>1059</v>
      </c>
      <c r="AJ57" s="36" t="s">
        <v>75</v>
      </c>
      <c r="AK57" s="36" t="s">
        <v>94</v>
      </c>
      <c r="AL57" s="35" t="s">
        <v>90</v>
      </c>
      <c r="AM57" s="36" t="s">
        <v>95</v>
      </c>
      <c r="AN57" s="36" t="s">
        <v>1077</v>
      </c>
      <c r="AO57" s="36" t="s">
        <v>75</v>
      </c>
      <c r="AP57" s="36" t="s">
        <v>75</v>
      </c>
      <c r="AQ57" s="36" t="s">
        <v>75</v>
      </c>
      <c r="AR57" s="36" t="s">
        <v>75</v>
      </c>
      <c r="AS57" s="36" t="s">
        <v>75</v>
      </c>
      <c r="AT57" s="36" t="s">
        <v>75</v>
      </c>
      <c r="AU57" s="36" t="s">
        <v>75</v>
      </c>
      <c r="AV57" s="36" t="s">
        <v>1042</v>
      </c>
      <c r="AW57" s="36" t="s">
        <v>75</v>
      </c>
      <c r="AX57" s="36" t="s">
        <v>75</v>
      </c>
      <c r="AY57" s="36" t="s">
        <v>1078</v>
      </c>
      <c r="AZ57" s="36" t="s">
        <v>1079</v>
      </c>
      <c r="BA57" s="36" t="s">
        <v>1080</v>
      </c>
      <c r="BB57" s="36" t="s">
        <v>101</v>
      </c>
      <c r="BC57" s="36" t="s">
        <v>102</v>
      </c>
      <c r="BD57" s="36" t="s">
        <v>103</v>
      </c>
      <c r="BE57" s="36" t="s">
        <v>75</v>
      </c>
      <c r="BF57" s="36" t="s">
        <v>75</v>
      </c>
      <c r="BG57" s="36" t="s">
        <v>75</v>
      </c>
      <c r="BH57" s="36" t="s">
        <v>75</v>
      </c>
      <c r="BI57" s="36" t="s">
        <v>104</v>
      </c>
      <c r="BJ57" s="36" t="s">
        <v>1081</v>
      </c>
      <c r="BK57" s="36" t="s">
        <v>106</v>
      </c>
      <c r="BL57" s="36" t="s">
        <v>107</v>
      </c>
      <c r="BM57" s="36" t="s">
        <v>75</v>
      </c>
      <c r="BN57" s="36" t="s">
        <v>75</v>
      </c>
      <c r="BO57" s="36" t="s">
        <v>75</v>
      </c>
      <c r="BP57" s="36" t="s">
        <v>75</v>
      </c>
      <c r="BQ57" s="35" t="s">
        <v>1082</v>
      </c>
      <c r="BR57" s="36" t="s">
        <v>852</v>
      </c>
      <c r="BS57" s="38" t="s">
        <v>853</v>
      </c>
    </row>
    <row r="58" spans="1:71">
      <c r="A58" s="35" t="s">
        <v>1083</v>
      </c>
      <c r="B58" s="36" t="s">
        <v>112</v>
      </c>
      <c r="C58" s="36" t="s">
        <v>113</v>
      </c>
      <c r="D58" s="36" t="s">
        <v>74</v>
      </c>
      <c r="E58" s="36" t="s">
        <v>75</v>
      </c>
      <c r="F58" s="36" t="s">
        <v>855</v>
      </c>
      <c r="G58" s="36" t="s">
        <v>1084</v>
      </c>
      <c r="H58" s="36" t="s">
        <v>1085</v>
      </c>
      <c r="I58" s="36" t="s">
        <v>79</v>
      </c>
      <c r="J58" s="36" t="s">
        <v>80</v>
      </c>
      <c r="K58" s="36" t="s">
        <v>1086</v>
      </c>
      <c r="L58" s="36" t="s">
        <v>1087</v>
      </c>
      <c r="M58" s="36" t="s">
        <v>837</v>
      </c>
      <c r="N58" s="36" t="s">
        <v>838</v>
      </c>
      <c r="O58" s="35" t="s">
        <v>839</v>
      </c>
      <c r="P58" s="36" t="s">
        <v>151</v>
      </c>
      <c r="Q58" s="36" t="s">
        <v>152</v>
      </c>
      <c r="R58" s="36" t="s">
        <v>840</v>
      </c>
      <c r="S58" s="36" t="s">
        <v>841</v>
      </c>
      <c r="T58" s="35" t="s">
        <v>88</v>
      </c>
      <c r="U58" s="36" t="s">
        <v>75</v>
      </c>
      <c r="V58" s="36" t="s">
        <v>75</v>
      </c>
      <c r="W58" s="36" t="s">
        <v>842</v>
      </c>
      <c r="X58" s="37" t="s">
        <v>842</v>
      </c>
      <c r="Y58" s="35" t="s">
        <v>90</v>
      </c>
      <c r="Z58" s="36" t="s">
        <v>90</v>
      </c>
      <c r="AA58" s="36" t="s">
        <v>75</v>
      </c>
      <c r="AB58" s="36" t="s">
        <v>90</v>
      </c>
      <c r="AC58" s="36" t="s">
        <v>842</v>
      </c>
      <c r="AD58" s="36" t="s">
        <v>91</v>
      </c>
      <c r="AE58" s="36" t="s">
        <v>1088</v>
      </c>
      <c r="AF58" s="36" t="s">
        <v>75</v>
      </c>
      <c r="AG58" s="36" t="s">
        <v>75</v>
      </c>
      <c r="AH58" s="36" t="s">
        <v>75</v>
      </c>
      <c r="AI58" s="36" t="s">
        <v>1089</v>
      </c>
      <c r="AJ58" s="36" t="s">
        <v>75</v>
      </c>
      <c r="AK58" s="36" t="s">
        <v>94</v>
      </c>
      <c r="AL58" s="35" t="s">
        <v>90</v>
      </c>
      <c r="AM58" s="36" t="s">
        <v>95</v>
      </c>
      <c r="AN58" s="36" t="s">
        <v>1090</v>
      </c>
      <c r="AO58" s="36" t="s">
        <v>75</v>
      </c>
      <c r="AP58" s="36" t="s">
        <v>75</v>
      </c>
      <c r="AQ58" s="36" t="s">
        <v>75</v>
      </c>
      <c r="AR58" s="36" t="s">
        <v>75</v>
      </c>
      <c r="AS58" s="36" t="s">
        <v>75</v>
      </c>
      <c r="AT58" s="36" t="s">
        <v>75</v>
      </c>
      <c r="AU58" s="36" t="s">
        <v>75</v>
      </c>
      <c r="AV58" s="36" t="s">
        <v>1091</v>
      </c>
      <c r="AW58" s="36" t="s">
        <v>75</v>
      </c>
      <c r="AX58" s="36" t="s">
        <v>75</v>
      </c>
      <c r="AY58" s="36" t="s">
        <v>1092</v>
      </c>
      <c r="AZ58" s="36" t="s">
        <v>1093</v>
      </c>
      <c r="BA58" s="36" t="s">
        <v>75</v>
      </c>
      <c r="BB58" s="36" t="s">
        <v>101</v>
      </c>
      <c r="BC58" s="36" t="s">
        <v>75</v>
      </c>
      <c r="BD58" s="36" t="s">
        <v>103</v>
      </c>
      <c r="BE58" s="36" t="s">
        <v>75</v>
      </c>
      <c r="BF58" s="36" t="s">
        <v>133</v>
      </c>
      <c r="BG58" s="36" t="s">
        <v>1094</v>
      </c>
      <c r="BH58" s="36" t="s">
        <v>75</v>
      </c>
      <c r="BI58" s="36" t="s">
        <v>104</v>
      </c>
      <c r="BJ58" s="36" t="s">
        <v>1095</v>
      </c>
      <c r="BK58" s="36" t="s">
        <v>106</v>
      </c>
      <c r="BL58" s="36" t="s">
        <v>107</v>
      </c>
      <c r="BM58" s="36" t="s">
        <v>75</v>
      </c>
      <c r="BN58" s="36" t="s">
        <v>75</v>
      </c>
      <c r="BO58" s="36" t="s">
        <v>75</v>
      </c>
      <c r="BP58" s="36" t="s">
        <v>75</v>
      </c>
      <c r="BQ58" s="35" t="s">
        <v>851</v>
      </c>
      <c r="BR58" s="36" t="s">
        <v>852</v>
      </c>
      <c r="BS58" s="38" t="s">
        <v>853</v>
      </c>
    </row>
    <row r="59" spans="1:71">
      <c r="A59" s="35" t="s">
        <v>1096</v>
      </c>
      <c r="B59" s="36" t="s">
        <v>112</v>
      </c>
      <c r="C59" s="36" t="s">
        <v>113</v>
      </c>
      <c r="D59" s="36" t="s">
        <v>74</v>
      </c>
      <c r="E59" s="36" t="s">
        <v>140</v>
      </c>
      <c r="F59" s="36" t="s">
        <v>1097</v>
      </c>
      <c r="G59" s="36" t="s">
        <v>1098</v>
      </c>
      <c r="H59" s="36" t="s">
        <v>1099</v>
      </c>
      <c r="I59" s="36" t="s">
        <v>1100</v>
      </c>
      <c r="J59" s="36" t="s">
        <v>1101</v>
      </c>
      <c r="K59" s="36" t="s">
        <v>1102</v>
      </c>
      <c r="L59" s="36" t="s">
        <v>1103</v>
      </c>
      <c r="M59" s="36" t="s">
        <v>1104</v>
      </c>
      <c r="N59" s="36" t="s">
        <v>1105</v>
      </c>
      <c r="O59" s="35" t="s">
        <v>1106</v>
      </c>
      <c r="P59" s="36" t="s">
        <v>151</v>
      </c>
      <c r="Q59" s="36" t="s">
        <v>152</v>
      </c>
      <c r="R59" s="36" t="s">
        <v>1107</v>
      </c>
      <c r="S59" s="36" t="s">
        <v>351</v>
      </c>
      <c r="T59" s="35" t="s">
        <v>88</v>
      </c>
      <c r="U59" s="36" t="s">
        <v>75</v>
      </c>
      <c r="V59" s="36" t="s">
        <v>75</v>
      </c>
      <c r="W59" s="36" t="s">
        <v>842</v>
      </c>
      <c r="X59" s="37" t="s">
        <v>842</v>
      </c>
      <c r="Y59" s="35" t="s">
        <v>90</v>
      </c>
      <c r="Z59" s="36" t="s">
        <v>90</v>
      </c>
      <c r="AA59" s="36" t="s">
        <v>75</v>
      </c>
      <c r="AB59" s="36" t="s">
        <v>90</v>
      </c>
      <c r="AC59" s="36" t="s">
        <v>842</v>
      </c>
      <c r="AD59" s="36" t="s">
        <v>91</v>
      </c>
      <c r="AE59" s="36" t="s">
        <v>1108</v>
      </c>
      <c r="AF59" s="36" t="s">
        <v>75</v>
      </c>
      <c r="AG59" s="36" t="s">
        <v>75</v>
      </c>
      <c r="AH59" s="36" t="s">
        <v>75</v>
      </c>
      <c r="AI59" s="36" t="s">
        <v>1109</v>
      </c>
      <c r="AJ59" s="36" t="s">
        <v>75</v>
      </c>
      <c r="AK59" s="36" t="s">
        <v>94</v>
      </c>
      <c r="AL59" s="35" t="s">
        <v>90</v>
      </c>
      <c r="AM59" s="36" t="s">
        <v>95</v>
      </c>
      <c r="AN59" s="36" t="s">
        <v>1110</v>
      </c>
      <c r="AO59" s="36" t="s">
        <v>75</v>
      </c>
      <c r="AP59" s="36" t="s">
        <v>75</v>
      </c>
      <c r="AQ59" s="36" t="s">
        <v>75</v>
      </c>
      <c r="AR59" s="36" t="s">
        <v>75</v>
      </c>
      <c r="AS59" s="36" t="s">
        <v>75</v>
      </c>
      <c r="AT59" s="36" t="s">
        <v>75</v>
      </c>
      <c r="AU59" s="36" t="s">
        <v>75</v>
      </c>
      <c r="AV59" s="36" t="s">
        <v>1091</v>
      </c>
      <c r="AW59" s="36" t="s">
        <v>75</v>
      </c>
      <c r="AX59" s="36" t="s">
        <v>75</v>
      </c>
      <c r="AY59" s="36" t="s">
        <v>1111</v>
      </c>
      <c r="AZ59" s="36" t="s">
        <v>1112</v>
      </c>
      <c r="BA59" s="36" t="s">
        <v>75</v>
      </c>
      <c r="BB59" s="36" t="s">
        <v>101</v>
      </c>
      <c r="BC59" s="36" t="s">
        <v>75</v>
      </c>
      <c r="BD59" s="36" t="s">
        <v>103</v>
      </c>
      <c r="BE59" s="36" t="s">
        <v>75</v>
      </c>
      <c r="BF59" s="36" t="s">
        <v>133</v>
      </c>
      <c r="BG59" s="36" t="s">
        <v>1113</v>
      </c>
      <c r="BH59" s="36" t="s">
        <v>75</v>
      </c>
      <c r="BI59" s="36" t="s">
        <v>104</v>
      </c>
      <c r="BJ59" s="36" t="s">
        <v>1114</v>
      </c>
      <c r="BK59" s="36" t="s">
        <v>106</v>
      </c>
      <c r="BL59" s="36" t="s">
        <v>107</v>
      </c>
      <c r="BM59" s="36" t="s">
        <v>75</v>
      </c>
      <c r="BN59" s="36" t="s">
        <v>75</v>
      </c>
      <c r="BO59" s="36" t="s">
        <v>75</v>
      </c>
      <c r="BP59" s="36" t="s">
        <v>75</v>
      </c>
      <c r="BQ59" s="35" t="s">
        <v>1115</v>
      </c>
      <c r="BR59" s="36" t="s">
        <v>852</v>
      </c>
      <c r="BS59" s="38" t="s">
        <v>853</v>
      </c>
    </row>
    <row r="60" spans="1:71">
      <c r="A60" s="35" t="s">
        <v>1116</v>
      </c>
      <c r="B60" s="36" t="s">
        <v>72</v>
      </c>
      <c r="C60" s="36" t="s">
        <v>73</v>
      </c>
      <c r="D60" s="36" t="s">
        <v>74</v>
      </c>
      <c r="E60" s="36" t="s">
        <v>75</v>
      </c>
      <c r="F60" s="36" t="s">
        <v>1117</v>
      </c>
      <c r="G60" s="36" t="s">
        <v>1118</v>
      </c>
      <c r="H60" s="36" t="s">
        <v>1119</v>
      </c>
      <c r="I60" s="36" t="s">
        <v>1120</v>
      </c>
      <c r="J60" s="36" t="s">
        <v>1121</v>
      </c>
      <c r="K60" s="36" t="s">
        <v>1122</v>
      </c>
      <c r="L60" s="36" t="s">
        <v>1123</v>
      </c>
      <c r="M60" s="36" t="s">
        <v>1104</v>
      </c>
      <c r="N60" s="36" t="s">
        <v>1105</v>
      </c>
      <c r="O60" s="35" t="s">
        <v>1106</v>
      </c>
      <c r="P60" s="36" t="s">
        <v>151</v>
      </c>
      <c r="Q60" s="36" t="s">
        <v>152</v>
      </c>
      <c r="R60" s="36" t="s">
        <v>1107</v>
      </c>
      <c r="S60" s="36" t="s">
        <v>351</v>
      </c>
      <c r="T60" s="35" t="s">
        <v>88</v>
      </c>
      <c r="U60" s="36" t="s">
        <v>75</v>
      </c>
      <c r="V60" s="36" t="s">
        <v>75</v>
      </c>
      <c r="W60" s="36" t="s">
        <v>842</v>
      </c>
      <c r="X60" s="37" t="s">
        <v>842</v>
      </c>
      <c r="Y60" s="35" t="s">
        <v>90</v>
      </c>
      <c r="Z60" s="36" t="s">
        <v>90</v>
      </c>
      <c r="AA60" s="36" t="s">
        <v>75</v>
      </c>
      <c r="AB60" s="36" t="s">
        <v>90</v>
      </c>
      <c r="AC60" s="36" t="s">
        <v>842</v>
      </c>
      <c r="AD60" s="36" t="s">
        <v>91</v>
      </c>
      <c r="AE60" s="36" t="s">
        <v>1124</v>
      </c>
      <c r="AF60" s="36" t="s">
        <v>75</v>
      </c>
      <c r="AG60" s="36" t="s">
        <v>75</v>
      </c>
      <c r="AH60" s="36" t="s">
        <v>75</v>
      </c>
      <c r="AI60" s="36" t="s">
        <v>1125</v>
      </c>
      <c r="AJ60" s="36" t="s">
        <v>75</v>
      </c>
      <c r="AK60" s="36" t="s">
        <v>94</v>
      </c>
      <c r="AL60" s="35" t="s">
        <v>90</v>
      </c>
      <c r="AM60" s="36" t="s">
        <v>95</v>
      </c>
      <c r="AN60" s="36" t="s">
        <v>1126</v>
      </c>
      <c r="AO60" s="36" t="s">
        <v>75</v>
      </c>
      <c r="AP60" s="36" t="s">
        <v>75</v>
      </c>
      <c r="AQ60" s="36" t="s">
        <v>75</v>
      </c>
      <c r="AR60" s="36" t="s">
        <v>75</v>
      </c>
      <c r="AS60" s="36" t="s">
        <v>75</v>
      </c>
      <c r="AT60" s="36" t="s">
        <v>75</v>
      </c>
      <c r="AU60" s="36" t="s">
        <v>75</v>
      </c>
      <c r="AV60" s="36" t="s">
        <v>1127</v>
      </c>
      <c r="AW60" s="36" t="s">
        <v>75</v>
      </c>
      <c r="AX60" s="36" t="s">
        <v>75</v>
      </c>
      <c r="AY60" s="36" t="s">
        <v>1128</v>
      </c>
      <c r="AZ60" s="36" t="s">
        <v>1112</v>
      </c>
      <c r="BA60" s="36" t="s">
        <v>1129</v>
      </c>
      <c r="BB60" s="36" t="s">
        <v>101</v>
      </c>
      <c r="BC60" s="36" t="s">
        <v>102</v>
      </c>
      <c r="BD60" s="36" t="s">
        <v>103</v>
      </c>
      <c r="BE60" s="36" t="s">
        <v>75</v>
      </c>
      <c r="BF60" s="36" t="s">
        <v>75</v>
      </c>
      <c r="BG60" s="36" t="s">
        <v>75</v>
      </c>
      <c r="BH60" s="36" t="s">
        <v>75</v>
      </c>
      <c r="BI60" s="36" t="s">
        <v>104</v>
      </c>
      <c r="BJ60" s="36" t="s">
        <v>1130</v>
      </c>
      <c r="BK60" s="36" t="s">
        <v>106</v>
      </c>
      <c r="BL60" s="36" t="s">
        <v>107</v>
      </c>
      <c r="BM60" s="36" t="s">
        <v>75</v>
      </c>
      <c r="BN60" s="36" t="s">
        <v>75</v>
      </c>
      <c r="BO60" s="36" t="s">
        <v>75</v>
      </c>
      <c r="BP60" s="36" t="s">
        <v>75</v>
      </c>
      <c r="BQ60" s="35" t="s">
        <v>1115</v>
      </c>
      <c r="BR60" s="36" t="s">
        <v>852</v>
      </c>
      <c r="BS60" s="38" t="s">
        <v>853</v>
      </c>
    </row>
    <row r="61" spans="1:71">
      <c r="A61" s="35" t="s">
        <v>1131</v>
      </c>
      <c r="B61" s="36" t="s">
        <v>72</v>
      </c>
      <c r="C61" s="36" t="s">
        <v>73</v>
      </c>
      <c r="D61" s="36" t="s">
        <v>74</v>
      </c>
      <c r="E61" s="36" t="s">
        <v>75</v>
      </c>
      <c r="F61" s="36" t="s">
        <v>1132</v>
      </c>
      <c r="G61" s="36" t="s">
        <v>1133</v>
      </c>
      <c r="H61" s="36" t="s">
        <v>1134</v>
      </c>
      <c r="I61" s="36" t="s">
        <v>117</v>
      </c>
      <c r="J61" s="36" t="s">
        <v>1135</v>
      </c>
      <c r="K61" s="36" t="s">
        <v>1136</v>
      </c>
      <c r="L61" s="36" t="s">
        <v>1137</v>
      </c>
      <c r="M61" s="36" t="s">
        <v>837</v>
      </c>
      <c r="N61" s="36" t="s">
        <v>838</v>
      </c>
      <c r="O61" s="35" t="s">
        <v>839</v>
      </c>
      <c r="P61" s="36" t="s">
        <v>151</v>
      </c>
      <c r="Q61" s="36" t="s">
        <v>152</v>
      </c>
      <c r="R61" s="36" t="s">
        <v>840</v>
      </c>
      <c r="S61" s="36" t="s">
        <v>841</v>
      </c>
      <c r="T61" s="35" t="s">
        <v>88</v>
      </c>
      <c r="U61" s="36" t="s">
        <v>75</v>
      </c>
      <c r="V61" s="36" t="s">
        <v>75</v>
      </c>
      <c r="W61" s="36" t="s">
        <v>842</v>
      </c>
      <c r="X61" s="37" t="s">
        <v>842</v>
      </c>
      <c r="Y61" s="35" t="s">
        <v>90</v>
      </c>
      <c r="Z61" s="36" t="s">
        <v>90</v>
      </c>
      <c r="AA61" s="36" t="s">
        <v>75</v>
      </c>
      <c r="AB61" s="36" t="s">
        <v>90</v>
      </c>
      <c r="AC61" s="36" t="s">
        <v>842</v>
      </c>
      <c r="AD61" s="36" t="s">
        <v>215</v>
      </c>
      <c r="AE61" s="36" t="s">
        <v>1138</v>
      </c>
      <c r="AF61" s="36" t="s">
        <v>75</v>
      </c>
      <c r="AG61" s="36" t="s">
        <v>75</v>
      </c>
      <c r="AH61" s="36" t="s">
        <v>75</v>
      </c>
      <c r="AI61" s="36" t="s">
        <v>1139</v>
      </c>
      <c r="AJ61" s="36" t="s">
        <v>75</v>
      </c>
      <c r="AK61" s="36" t="s">
        <v>94</v>
      </c>
      <c r="AL61" s="35" t="s">
        <v>90</v>
      </c>
      <c r="AM61" s="36" t="s">
        <v>95</v>
      </c>
      <c r="AN61" s="36" t="s">
        <v>1140</v>
      </c>
      <c r="AO61" s="36" t="s">
        <v>75</v>
      </c>
      <c r="AP61" s="36" t="s">
        <v>75</v>
      </c>
      <c r="AQ61" s="36" t="s">
        <v>75</v>
      </c>
      <c r="AR61" s="36" t="s">
        <v>75</v>
      </c>
      <c r="AS61" s="36" t="s">
        <v>75</v>
      </c>
      <c r="AT61" s="36" t="s">
        <v>75</v>
      </c>
      <c r="AU61" s="36" t="s">
        <v>75</v>
      </c>
      <c r="AV61" s="36" t="s">
        <v>1141</v>
      </c>
      <c r="AW61" s="36" t="s">
        <v>75</v>
      </c>
      <c r="AX61" s="36" t="s">
        <v>75</v>
      </c>
      <c r="AY61" s="36" t="s">
        <v>1142</v>
      </c>
      <c r="AZ61" s="36" t="s">
        <v>1093</v>
      </c>
      <c r="BA61" s="36" t="s">
        <v>1143</v>
      </c>
      <c r="BB61" s="36" t="s">
        <v>101</v>
      </c>
      <c r="BC61" s="36" t="s">
        <v>102</v>
      </c>
      <c r="BD61" s="36" t="s">
        <v>103</v>
      </c>
      <c r="BE61" s="36" t="s">
        <v>75</v>
      </c>
      <c r="BF61" s="36" t="s">
        <v>75</v>
      </c>
      <c r="BG61" s="36" t="s">
        <v>75</v>
      </c>
      <c r="BH61" s="36" t="s">
        <v>75</v>
      </c>
      <c r="BI61" s="36" t="s">
        <v>104</v>
      </c>
      <c r="BJ61" s="36" t="s">
        <v>1144</v>
      </c>
      <c r="BK61" s="36" t="s">
        <v>106</v>
      </c>
      <c r="BL61" s="36" t="s">
        <v>107</v>
      </c>
      <c r="BM61" s="36" t="s">
        <v>75</v>
      </c>
      <c r="BN61" s="36" t="s">
        <v>75</v>
      </c>
      <c r="BO61" s="36" t="s">
        <v>75</v>
      </c>
      <c r="BP61" s="36" t="s">
        <v>75</v>
      </c>
      <c r="BQ61" s="35" t="s">
        <v>851</v>
      </c>
      <c r="BR61" s="36" t="s">
        <v>852</v>
      </c>
      <c r="BS61" s="38" t="s">
        <v>853</v>
      </c>
    </row>
    <row r="62" spans="1:71">
      <c r="A62" s="35" t="s">
        <v>1145</v>
      </c>
      <c r="B62" s="36" t="s">
        <v>72</v>
      </c>
      <c r="C62" s="36" t="s">
        <v>73</v>
      </c>
      <c r="D62" s="36" t="s">
        <v>74</v>
      </c>
      <c r="E62" s="36" t="s">
        <v>75</v>
      </c>
      <c r="F62" s="36" t="s">
        <v>340</v>
      </c>
      <c r="G62" s="36" t="s">
        <v>1146</v>
      </c>
      <c r="H62" s="36" t="s">
        <v>978</v>
      </c>
      <c r="I62" s="36" t="s">
        <v>858</v>
      </c>
      <c r="J62" s="36" t="s">
        <v>859</v>
      </c>
      <c r="K62" s="36" t="s">
        <v>979</v>
      </c>
      <c r="L62" s="36" t="s">
        <v>1147</v>
      </c>
      <c r="M62" s="36" t="s">
        <v>1148</v>
      </c>
      <c r="N62" s="36" t="s">
        <v>1149</v>
      </c>
      <c r="O62" s="35" t="s">
        <v>1150</v>
      </c>
      <c r="P62" s="36" t="s">
        <v>151</v>
      </c>
      <c r="Q62" s="36" t="s">
        <v>152</v>
      </c>
      <c r="R62" s="36" t="s">
        <v>1151</v>
      </c>
      <c r="S62" s="36" t="s">
        <v>257</v>
      </c>
      <c r="T62" s="35" t="s">
        <v>88</v>
      </c>
      <c r="U62" s="36" t="s">
        <v>75</v>
      </c>
      <c r="V62" s="36" t="s">
        <v>75</v>
      </c>
      <c r="W62" s="36" t="s">
        <v>373</v>
      </c>
      <c r="X62" s="37" t="s">
        <v>373</v>
      </c>
      <c r="Y62" s="35" t="s">
        <v>90</v>
      </c>
      <c r="Z62" s="36" t="s">
        <v>90</v>
      </c>
      <c r="AA62" s="36" t="s">
        <v>75</v>
      </c>
      <c r="AB62" s="36" t="s">
        <v>90</v>
      </c>
      <c r="AC62" s="36" t="s">
        <v>373</v>
      </c>
      <c r="AD62" s="36" t="s">
        <v>91</v>
      </c>
      <c r="AE62" s="36" t="s">
        <v>1152</v>
      </c>
      <c r="AF62" s="36" t="s">
        <v>75</v>
      </c>
      <c r="AG62" s="36" t="s">
        <v>75</v>
      </c>
      <c r="AH62" s="36" t="s">
        <v>75</v>
      </c>
      <c r="AI62" s="36" t="s">
        <v>1153</v>
      </c>
      <c r="AJ62" s="36" t="s">
        <v>75</v>
      </c>
      <c r="AK62" s="36" t="s">
        <v>94</v>
      </c>
      <c r="AL62" s="35" t="s">
        <v>90</v>
      </c>
      <c r="AM62" s="36" t="s">
        <v>95</v>
      </c>
      <c r="AN62" s="36" t="s">
        <v>1154</v>
      </c>
      <c r="AO62" s="36" t="s">
        <v>75</v>
      </c>
      <c r="AP62" s="36" t="s">
        <v>75</v>
      </c>
      <c r="AQ62" s="36" t="s">
        <v>75</v>
      </c>
      <c r="AR62" s="36" t="s">
        <v>75</v>
      </c>
      <c r="AS62" s="36" t="s">
        <v>75</v>
      </c>
      <c r="AT62" s="36" t="s">
        <v>75</v>
      </c>
      <c r="AU62" s="36" t="s">
        <v>75</v>
      </c>
      <c r="AV62" s="36" t="s">
        <v>1155</v>
      </c>
      <c r="AW62" s="36" t="s">
        <v>75</v>
      </c>
      <c r="AX62" s="36" t="s">
        <v>75</v>
      </c>
      <c r="AY62" s="36" t="s">
        <v>1156</v>
      </c>
      <c r="AZ62" s="36" t="s">
        <v>1157</v>
      </c>
      <c r="BA62" s="36" t="s">
        <v>1158</v>
      </c>
      <c r="BB62" s="36" t="s">
        <v>101</v>
      </c>
      <c r="BC62" s="36" t="s">
        <v>102</v>
      </c>
      <c r="BD62" s="36" t="s">
        <v>103</v>
      </c>
      <c r="BE62" s="36" t="s">
        <v>75</v>
      </c>
      <c r="BF62" s="36" t="s">
        <v>75</v>
      </c>
      <c r="BG62" s="36" t="s">
        <v>75</v>
      </c>
      <c r="BH62" s="36" t="s">
        <v>75</v>
      </c>
      <c r="BI62" s="36" t="s">
        <v>104</v>
      </c>
      <c r="BJ62" s="36" t="s">
        <v>1159</v>
      </c>
      <c r="BK62" s="36" t="s">
        <v>106</v>
      </c>
      <c r="BL62" s="36" t="s">
        <v>107</v>
      </c>
      <c r="BM62" s="36" t="s">
        <v>75</v>
      </c>
      <c r="BN62" s="36" t="s">
        <v>75</v>
      </c>
      <c r="BO62" s="36" t="s">
        <v>75</v>
      </c>
      <c r="BP62" s="36" t="s">
        <v>75</v>
      </c>
      <c r="BQ62" s="35" t="s">
        <v>1160</v>
      </c>
      <c r="BR62" s="36" t="s">
        <v>788</v>
      </c>
      <c r="BS62" s="38" t="s">
        <v>789</v>
      </c>
    </row>
    <row r="63" spans="1:71">
      <c r="A63" s="35" t="s">
        <v>1161</v>
      </c>
      <c r="B63" s="36" t="s">
        <v>112</v>
      </c>
      <c r="C63" s="36" t="s">
        <v>113</v>
      </c>
      <c r="D63" s="36" t="s">
        <v>74</v>
      </c>
      <c r="E63" s="36" t="s">
        <v>75</v>
      </c>
      <c r="F63" s="36" t="s">
        <v>1162</v>
      </c>
      <c r="G63" s="36" t="s">
        <v>1163</v>
      </c>
      <c r="H63" s="36" t="s">
        <v>1164</v>
      </c>
      <c r="I63" s="36" t="s">
        <v>437</v>
      </c>
      <c r="J63" s="36" t="s">
        <v>1165</v>
      </c>
      <c r="K63" s="36" t="s">
        <v>1166</v>
      </c>
      <c r="L63" s="36" t="s">
        <v>1167</v>
      </c>
      <c r="M63" s="36" t="s">
        <v>1148</v>
      </c>
      <c r="N63" s="36" t="s">
        <v>1149</v>
      </c>
      <c r="O63" s="35" t="s">
        <v>1150</v>
      </c>
      <c r="P63" s="36" t="s">
        <v>151</v>
      </c>
      <c r="Q63" s="36" t="s">
        <v>152</v>
      </c>
      <c r="R63" s="36" t="s">
        <v>1151</v>
      </c>
      <c r="S63" s="36" t="s">
        <v>257</v>
      </c>
      <c r="T63" s="35" t="s">
        <v>88</v>
      </c>
      <c r="U63" s="36" t="s">
        <v>75</v>
      </c>
      <c r="V63" s="36" t="s">
        <v>75</v>
      </c>
      <c r="W63" s="36" t="s">
        <v>373</v>
      </c>
      <c r="X63" s="37" t="s">
        <v>373</v>
      </c>
      <c r="Y63" s="35" t="s">
        <v>90</v>
      </c>
      <c r="Z63" s="36" t="s">
        <v>90</v>
      </c>
      <c r="AA63" s="36" t="s">
        <v>75</v>
      </c>
      <c r="AB63" s="36" t="s">
        <v>90</v>
      </c>
      <c r="AC63" s="36" t="s">
        <v>373</v>
      </c>
      <c r="AD63" s="36" t="s">
        <v>91</v>
      </c>
      <c r="AE63" s="36" t="s">
        <v>1168</v>
      </c>
      <c r="AF63" s="36" t="s">
        <v>75</v>
      </c>
      <c r="AG63" s="36" t="s">
        <v>75</v>
      </c>
      <c r="AH63" s="36" t="s">
        <v>75</v>
      </c>
      <c r="AI63" s="36" t="s">
        <v>1169</v>
      </c>
      <c r="AJ63" s="36" t="s">
        <v>75</v>
      </c>
      <c r="AK63" s="36" t="s">
        <v>94</v>
      </c>
      <c r="AL63" s="35" t="s">
        <v>90</v>
      </c>
      <c r="AM63" s="36" t="s">
        <v>95</v>
      </c>
      <c r="AN63" s="36" t="s">
        <v>1170</v>
      </c>
      <c r="AO63" s="36" t="s">
        <v>75</v>
      </c>
      <c r="AP63" s="36" t="s">
        <v>75</v>
      </c>
      <c r="AQ63" s="36" t="s">
        <v>75</v>
      </c>
      <c r="AR63" s="36" t="s">
        <v>75</v>
      </c>
      <c r="AS63" s="36" t="s">
        <v>75</v>
      </c>
      <c r="AT63" s="36" t="s">
        <v>75</v>
      </c>
      <c r="AU63" s="36" t="s">
        <v>75</v>
      </c>
      <c r="AV63" s="36" t="s">
        <v>1171</v>
      </c>
      <c r="AW63" s="36" t="s">
        <v>75</v>
      </c>
      <c r="AX63" s="36" t="s">
        <v>75</v>
      </c>
      <c r="AY63" s="36" t="s">
        <v>1172</v>
      </c>
      <c r="AZ63" s="36" t="s">
        <v>1157</v>
      </c>
      <c r="BA63" s="36" t="s">
        <v>75</v>
      </c>
      <c r="BB63" s="36" t="s">
        <v>101</v>
      </c>
      <c r="BC63" s="36" t="s">
        <v>75</v>
      </c>
      <c r="BD63" s="36" t="s">
        <v>103</v>
      </c>
      <c r="BE63" s="36" t="s">
        <v>75</v>
      </c>
      <c r="BF63" s="36" t="s">
        <v>133</v>
      </c>
      <c r="BG63" s="36" t="s">
        <v>1173</v>
      </c>
      <c r="BH63" s="36" t="s">
        <v>75</v>
      </c>
      <c r="BI63" s="36" t="s">
        <v>104</v>
      </c>
      <c r="BJ63" s="36" t="s">
        <v>1174</v>
      </c>
      <c r="BK63" s="36" t="s">
        <v>106</v>
      </c>
      <c r="BL63" s="36" t="s">
        <v>107</v>
      </c>
      <c r="BM63" s="36" t="s">
        <v>75</v>
      </c>
      <c r="BN63" s="36" t="s">
        <v>75</v>
      </c>
      <c r="BO63" s="36" t="s">
        <v>75</v>
      </c>
      <c r="BP63" s="36" t="s">
        <v>75</v>
      </c>
      <c r="BQ63" s="35" t="s">
        <v>1160</v>
      </c>
      <c r="BR63" s="36" t="s">
        <v>788</v>
      </c>
      <c r="BS63" s="38" t="s">
        <v>789</v>
      </c>
    </row>
    <row r="64" spans="1:71">
      <c r="A64" s="35" t="s">
        <v>1175</v>
      </c>
      <c r="B64" s="36" t="s">
        <v>72</v>
      </c>
      <c r="C64" s="36" t="s">
        <v>73</v>
      </c>
      <c r="D64" s="36" t="s">
        <v>74</v>
      </c>
      <c r="E64" s="36" t="s">
        <v>75</v>
      </c>
      <c r="F64" s="36" t="s">
        <v>1176</v>
      </c>
      <c r="G64" s="36" t="s">
        <v>1177</v>
      </c>
      <c r="H64" s="36" t="s">
        <v>1178</v>
      </c>
      <c r="I64" s="36" t="s">
        <v>117</v>
      </c>
      <c r="J64" s="36" t="s">
        <v>1179</v>
      </c>
      <c r="K64" s="36" t="s">
        <v>1180</v>
      </c>
      <c r="L64" s="36" t="s">
        <v>1181</v>
      </c>
      <c r="M64" s="36" t="s">
        <v>441</v>
      </c>
      <c r="N64" s="36" t="s">
        <v>442</v>
      </c>
      <c r="O64" s="35" t="s">
        <v>443</v>
      </c>
      <c r="P64" s="36" t="s">
        <v>151</v>
      </c>
      <c r="Q64" s="36" t="s">
        <v>152</v>
      </c>
      <c r="R64" s="36" t="s">
        <v>444</v>
      </c>
      <c r="S64" s="36" t="s">
        <v>351</v>
      </c>
      <c r="T64" s="35" t="s">
        <v>88</v>
      </c>
      <c r="U64" s="36" t="s">
        <v>75</v>
      </c>
      <c r="V64" s="36" t="s">
        <v>75</v>
      </c>
      <c r="W64" s="36" t="s">
        <v>445</v>
      </c>
      <c r="X64" s="37" t="s">
        <v>445</v>
      </c>
      <c r="Y64" s="35" t="s">
        <v>90</v>
      </c>
      <c r="Z64" s="36" t="s">
        <v>90</v>
      </c>
      <c r="AA64" s="36" t="s">
        <v>75</v>
      </c>
      <c r="AB64" s="36" t="s">
        <v>90</v>
      </c>
      <c r="AC64" s="36" t="s">
        <v>445</v>
      </c>
      <c r="AD64" s="36" t="s">
        <v>215</v>
      </c>
      <c r="AE64" s="36" t="s">
        <v>1182</v>
      </c>
      <c r="AF64" s="36" t="s">
        <v>75</v>
      </c>
      <c r="AG64" s="36" t="s">
        <v>75</v>
      </c>
      <c r="AH64" s="36" t="s">
        <v>75</v>
      </c>
      <c r="AI64" s="36" t="s">
        <v>1183</v>
      </c>
      <c r="AJ64" s="36" t="s">
        <v>75</v>
      </c>
      <c r="AK64" s="36" t="s">
        <v>94</v>
      </c>
      <c r="AL64" s="35" t="s">
        <v>90</v>
      </c>
      <c r="AM64" s="36" t="s">
        <v>95</v>
      </c>
      <c r="AN64" s="36" t="s">
        <v>1184</v>
      </c>
      <c r="AO64" s="36" t="s">
        <v>75</v>
      </c>
      <c r="AP64" s="36" t="s">
        <v>75</v>
      </c>
      <c r="AQ64" s="36" t="s">
        <v>75</v>
      </c>
      <c r="AR64" s="36" t="s">
        <v>75</v>
      </c>
      <c r="AS64" s="36" t="s">
        <v>75</v>
      </c>
      <c r="AT64" s="36" t="s">
        <v>75</v>
      </c>
      <c r="AU64" s="36" t="s">
        <v>75</v>
      </c>
      <c r="AV64" s="36" t="s">
        <v>1185</v>
      </c>
      <c r="AW64" s="36" t="s">
        <v>75</v>
      </c>
      <c r="AX64" s="36" t="s">
        <v>75</v>
      </c>
      <c r="AY64" s="36" t="s">
        <v>1186</v>
      </c>
      <c r="AZ64" s="36" t="s">
        <v>771</v>
      </c>
      <c r="BA64" s="36" t="s">
        <v>772</v>
      </c>
      <c r="BB64" s="36" t="s">
        <v>101</v>
      </c>
      <c r="BC64" s="36" t="s">
        <v>163</v>
      </c>
      <c r="BD64" s="36" t="s">
        <v>103</v>
      </c>
      <c r="BE64" s="36" t="s">
        <v>75</v>
      </c>
      <c r="BF64" s="36" t="s">
        <v>75</v>
      </c>
      <c r="BG64" s="36" t="s">
        <v>75</v>
      </c>
      <c r="BH64" s="36" t="s">
        <v>75</v>
      </c>
      <c r="BI64" s="36" t="s">
        <v>104</v>
      </c>
      <c r="BJ64" s="36" t="s">
        <v>1187</v>
      </c>
      <c r="BK64" s="36" t="s">
        <v>106</v>
      </c>
      <c r="BL64" s="36" t="s">
        <v>107</v>
      </c>
      <c r="BM64" s="36" t="s">
        <v>75</v>
      </c>
      <c r="BN64" s="36" t="s">
        <v>75</v>
      </c>
      <c r="BO64" s="36" t="s">
        <v>75</v>
      </c>
      <c r="BP64" s="36" t="s">
        <v>75</v>
      </c>
      <c r="BQ64" s="35" t="s">
        <v>454</v>
      </c>
      <c r="BR64" s="36" t="s">
        <v>455</v>
      </c>
      <c r="BS64" s="38" t="s">
        <v>456</v>
      </c>
    </row>
    <row r="65" spans="1:71">
      <c r="A65" s="35" t="s">
        <v>1188</v>
      </c>
      <c r="B65" s="36" t="s">
        <v>72</v>
      </c>
      <c r="C65" s="36" t="s">
        <v>73</v>
      </c>
      <c r="D65" s="36" t="s">
        <v>74</v>
      </c>
      <c r="E65" s="36" t="s">
        <v>75</v>
      </c>
      <c r="F65" s="36" t="s">
        <v>951</v>
      </c>
      <c r="G65" s="36" t="s">
        <v>1189</v>
      </c>
      <c r="H65" s="36" t="s">
        <v>78</v>
      </c>
      <c r="I65" s="36" t="s">
        <v>79</v>
      </c>
      <c r="J65" s="36" t="s">
        <v>80</v>
      </c>
      <c r="K65" s="36" t="s">
        <v>81</v>
      </c>
      <c r="L65" s="36" t="s">
        <v>1190</v>
      </c>
      <c r="M65" s="36" t="s">
        <v>798</v>
      </c>
      <c r="N65" s="36" t="s">
        <v>799</v>
      </c>
      <c r="O65" s="35" t="s">
        <v>800</v>
      </c>
      <c r="P65" s="36" t="s">
        <v>151</v>
      </c>
      <c r="Q65" s="36" t="s">
        <v>152</v>
      </c>
      <c r="R65" s="36" t="s">
        <v>801</v>
      </c>
      <c r="S65" s="36" t="s">
        <v>291</v>
      </c>
      <c r="T65" s="35" t="s">
        <v>88</v>
      </c>
      <c r="U65" s="36" t="s">
        <v>75</v>
      </c>
      <c r="V65" s="36" t="s">
        <v>75</v>
      </c>
      <c r="W65" s="36" t="s">
        <v>373</v>
      </c>
      <c r="X65" s="37" t="s">
        <v>373</v>
      </c>
      <c r="Y65" s="35" t="s">
        <v>90</v>
      </c>
      <c r="Z65" s="36" t="s">
        <v>90</v>
      </c>
      <c r="AA65" s="36" t="s">
        <v>75</v>
      </c>
      <c r="AB65" s="36" t="s">
        <v>90</v>
      </c>
      <c r="AC65" s="36" t="s">
        <v>373</v>
      </c>
      <c r="AD65" s="36" t="s">
        <v>91</v>
      </c>
      <c r="AE65" s="36" t="s">
        <v>1191</v>
      </c>
      <c r="AF65" s="36" t="s">
        <v>75</v>
      </c>
      <c r="AG65" s="36" t="s">
        <v>75</v>
      </c>
      <c r="AH65" s="36" t="s">
        <v>75</v>
      </c>
      <c r="AI65" s="36" t="s">
        <v>1192</v>
      </c>
      <c r="AJ65" s="36" t="s">
        <v>75</v>
      </c>
      <c r="AK65" s="36" t="s">
        <v>94</v>
      </c>
      <c r="AL65" s="35" t="s">
        <v>90</v>
      </c>
      <c r="AM65" s="36" t="s">
        <v>95</v>
      </c>
      <c r="AN65" s="36" t="s">
        <v>1193</v>
      </c>
      <c r="AO65" s="36" t="s">
        <v>75</v>
      </c>
      <c r="AP65" s="36" t="s">
        <v>75</v>
      </c>
      <c r="AQ65" s="36" t="s">
        <v>75</v>
      </c>
      <c r="AR65" s="36" t="s">
        <v>75</v>
      </c>
      <c r="AS65" s="36" t="s">
        <v>75</v>
      </c>
      <c r="AT65" s="36" t="s">
        <v>75</v>
      </c>
      <c r="AU65" s="36" t="s">
        <v>75</v>
      </c>
      <c r="AV65" s="36" t="s">
        <v>1194</v>
      </c>
      <c r="AW65" s="36" t="s">
        <v>75</v>
      </c>
      <c r="AX65" s="36" t="s">
        <v>75</v>
      </c>
      <c r="AY65" s="36" t="s">
        <v>1195</v>
      </c>
      <c r="AZ65" s="36" t="s">
        <v>908</v>
      </c>
      <c r="BA65" s="36" t="s">
        <v>1196</v>
      </c>
      <c r="BB65" s="36" t="s">
        <v>101</v>
      </c>
      <c r="BC65" s="36" t="s">
        <v>102</v>
      </c>
      <c r="BD65" s="36" t="s">
        <v>103</v>
      </c>
      <c r="BE65" s="36" t="s">
        <v>75</v>
      </c>
      <c r="BF65" s="36" t="s">
        <v>1197</v>
      </c>
      <c r="BG65" s="36" t="s">
        <v>1198</v>
      </c>
      <c r="BH65" s="36" t="s">
        <v>75</v>
      </c>
      <c r="BI65" s="36" t="s">
        <v>104</v>
      </c>
      <c r="BJ65" s="36" t="s">
        <v>1199</v>
      </c>
      <c r="BK65" s="36" t="s">
        <v>106</v>
      </c>
      <c r="BL65" s="36" t="s">
        <v>107</v>
      </c>
      <c r="BM65" s="36" t="s">
        <v>75</v>
      </c>
      <c r="BN65" s="36" t="s">
        <v>75</v>
      </c>
      <c r="BO65" s="36" t="s">
        <v>75</v>
      </c>
      <c r="BP65" s="36" t="s">
        <v>75</v>
      </c>
      <c r="BQ65" s="35" t="s">
        <v>810</v>
      </c>
      <c r="BR65" s="36" t="s">
        <v>788</v>
      </c>
      <c r="BS65" s="38" t="s">
        <v>789</v>
      </c>
    </row>
    <row r="66" spans="1:71">
      <c r="A66" s="35" t="s">
        <v>1200</v>
      </c>
      <c r="B66" s="36" t="s">
        <v>112</v>
      </c>
      <c r="C66" s="36" t="s">
        <v>113</v>
      </c>
      <c r="D66" s="36" t="s">
        <v>74</v>
      </c>
      <c r="E66" s="36" t="s">
        <v>75</v>
      </c>
      <c r="F66" s="36" t="s">
        <v>1201</v>
      </c>
      <c r="G66" s="36" t="s">
        <v>1202</v>
      </c>
      <c r="H66" s="36" t="s">
        <v>1203</v>
      </c>
      <c r="I66" s="36" t="s">
        <v>144</v>
      </c>
      <c r="J66" s="36" t="s">
        <v>1204</v>
      </c>
      <c r="K66" s="36" t="s">
        <v>1205</v>
      </c>
      <c r="L66" s="36" t="s">
        <v>1206</v>
      </c>
      <c r="M66" s="36" t="s">
        <v>936</v>
      </c>
      <c r="N66" s="36" t="s">
        <v>937</v>
      </c>
      <c r="O66" s="35" t="s">
        <v>938</v>
      </c>
      <c r="P66" s="36" t="s">
        <v>151</v>
      </c>
      <c r="Q66" s="36" t="s">
        <v>152</v>
      </c>
      <c r="R66" s="36" t="s">
        <v>939</v>
      </c>
      <c r="S66" s="36" t="s">
        <v>940</v>
      </c>
      <c r="T66" s="35" t="s">
        <v>88</v>
      </c>
      <c r="U66" s="36" t="s">
        <v>75</v>
      </c>
      <c r="V66" s="36" t="s">
        <v>75</v>
      </c>
      <c r="W66" s="36" t="s">
        <v>445</v>
      </c>
      <c r="X66" s="37" t="s">
        <v>445</v>
      </c>
      <c r="Y66" s="35" t="s">
        <v>90</v>
      </c>
      <c r="Z66" s="36" t="s">
        <v>90</v>
      </c>
      <c r="AA66" s="36" t="s">
        <v>75</v>
      </c>
      <c r="AB66" s="36" t="s">
        <v>90</v>
      </c>
      <c r="AC66" s="36" t="s">
        <v>445</v>
      </c>
      <c r="AD66" s="36" t="s">
        <v>215</v>
      </c>
      <c r="AE66" s="36" t="s">
        <v>1207</v>
      </c>
      <c r="AF66" s="36" t="s">
        <v>75</v>
      </c>
      <c r="AG66" s="36" t="s">
        <v>75</v>
      </c>
      <c r="AH66" s="36" t="s">
        <v>75</v>
      </c>
      <c r="AI66" s="36" t="s">
        <v>1208</v>
      </c>
      <c r="AJ66" s="36" t="s">
        <v>75</v>
      </c>
      <c r="AK66" s="36" t="s">
        <v>94</v>
      </c>
      <c r="AL66" s="35" t="s">
        <v>90</v>
      </c>
      <c r="AM66" s="36" t="s">
        <v>95</v>
      </c>
      <c r="AN66" s="36" t="s">
        <v>1209</v>
      </c>
      <c r="AO66" s="36" t="s">
        <v>75</v>
      </c>
      <c r="AP66" s="36" t="s">
        <v>75</v>
      </c>
      <c r="AQ66" s="36" t="s">
        <v>75</v>
      </c>
      <c r="AR66" s="36" t="s">
        <v>75</v>
      </c>
      <c r="AS66" s="36" t="s">
        <v>75</v>
      </c>
      <c r="AT66" s="36" t="s">
        <v>75</v>
      </c>
      <c r="AU66" s="36" t="s">
        <v>75</v>
      </c>
      <c r="AV66" s="36" t="s">
        <v>1210</v>
      </c>
      <c r="AW66" s="36" t="s">
        <v>75</v>
      </c>
      <c r="AX66" s="36" t="s">
        <v>75</v>
      </c>
      <c r="AY66" s="36" t="s">
        <v>1211</v>
      </c>
      <c r="AZ66" s="36" t="s">
        <v>333</v>
      </c>
      <c r="BA66" s="36" t="s">
        <v>75</v>
      </c>
      <c r="BB66" s="36" t="s">
        <v>101</v>
      </c>
      <c r="BC66" s="36" t="s">
        <v>75</v>
      </c>
      <c r="BD66" s="36" t="s">
        <v>103</v>
      </c>
      <c r="BE66" s="36" t="s">
        <v>75</v>
      </c>
      <c r="BF66" s="36" t="s">
        <v>133</v>
      </c>
      <c r="BG66" s="36" t="s">
        <v>1212</v>
      </c>
      <c r="BH66" s="36" t="s">
        <v>75</v>
      </c>
      <c r="BI66" s="36" t="s">
        <v>104</v>
      </c>
      <c r="BJ66" s="36" t="s">
        <v>1213</v>
      </c>
      <c r="BK66" s="36" t="s">
        <v>106</v>
      </c>
      <c r="BL66" s="36" t="s">
        <v>107</v>
      </c>
      <c r="BM66" s="36" t="s">
        <v>75</v>
      </c>
      <c r="BN66" s="36" t="s">
        <v>75</v>
      </c>
      <c r="BO66" s="36" t="s">
        <v>75</v>
      </c>
      <c r="BP66" s="36" t="s">
        <v>75</v>
      </c>
      <c r="BQ66" s="35" t="s">
        <v>949</v>
      </c>
      <c r="BR66" s="36" t="s">
        <v>455</v>
      </c>
      <c r="BS66" s="38" t="s">
        <v>456</v>
      </c>
    </row>
    <row r="67" spans="1:71">
      <c r="A67" s="35" t="s">
        <v>1214</v>
      </c>
      <c r="B67" s="36" t="s">
        <v>72</v>
      </c>
      <c r="C67" s="36" t="s">
        <v>73</v>
      </c>
      <c r="D67" s="36" t="s">
        <v>74</v>
      </c>
      <c r="E67" s="36" t="s">
        <v>75</v>
      </c>
      <c r="F67" s="36" t="s">
        <v>1215</v>
      </c>
      <c r="G67" s="36" t="s">
        <v>1216</v>
      </c>
      <c r="H67" s="36" t="s">
        <v>1217</v>
      </c>
      <c r="I67" s="36" t="s">
        <v>1218</v>
      </c>
      <c r="J67" s="36" t="s">
        <v>1219</v>
      </c>
      <c r="K67" s="36" t="s">
        <v>1220</v>
      </c>
      <c r="L67" s="36" t="s">
        <v>1221</v>
      </c>
      <c r="M67" s="36" t="s">
        <v>798</v>
      </c>
      <c r="N67" s="36" t="s">
        <v>799</v>
      </c>
      <c r="O67" s="35" t="s">
        <v>800</v>
      </c>
      <c r="P67" s="36" t="s">
        <v>151</v>
      </c>
      <c r="Q67" s="36" t="s">
        <v>152</v>
      </c>
      <c r="R67" s="36" t="s">
        <v>801</v>
      </c>
      <c r="S67" s="36" t="s">
        <v>291</v>
      </c>
      <c r="T67" s="35" t="s">
        <v>88</v>
      </c>
      <c r="U67" s="36" t="s">
        <v>75</v>
      </c>
      <c r="V67" s="36" t="s">
        <v>75</v>
      </c>
      <c r="W67" s="36" t="s">
        <v>373</v>
      </c>
      <c r="X67" s="37" t="s">
        <v>373</v>
      </c>
      <c r="Y67" s="35" t="s">
        <v>90</v>
      </c>
      <c r="Z67" s="36" t="s">
        <v>90</v>
      </c>
      <c r="AA67" s="36" t="s">
        <v>75</v>
      </c>
      <c r="AB67" s="36" t="s">
        <v>90</v>
      </c>
      <c r="AC67" s="36" t="s">
        <v>373</v>
      </c>
      <c r="AD67" s="36" t="s">
        <v>91</v>
      </c>
      <c r="AE67" s="36" t="s">
        <v>1222</v>
      </c>
      <c r="AF67" s="36" t="s">
        <v>75</v>
      </c>
      <c r="AG67" s="36" t="s">
        <v>75</v>
      </c>
      <c r="AH67" s="36" t="s">
        <v>75</v>
      </c>
      <c r="AI67" s="36" t="s">
        <v>1169</v>
      </c>
      <c r="AJ67" s="36" t="s">
        <v>75</v>
      </c>
      <c r="AK67" s="36" t="s">
        <v>94</v>
      </c>
      <c r="AL67" s="35" t="s">
        <v>90</v>
      </c>
      <c r="AM67" s="36" t="s">
        <v>95</v>
      </c>
      <c r="AN67" s="36" t="s">
        <v>1223</v>
      </c>
      <c r="AO67" s="36" t="s">
        <v>75</v>
      </c>
      <c r="AP67" s="36" t="s">
        <v>75</v>
      </c>
      <c r="AQ67" s="36" t="s">
        <v>75</v>
      </c>
      <c r="AR67" s="36" t="s">
        <v>75</v>
      </c>
      <c r="AS67" s="36" t="s">
        <v>75</v>
      </c>
      <c r="AT67" s="36" t="s">
        <v>75</v>
      </c>
      <c r="AU67" s="36" t="s">
        <v>75</v>
      </c>
      <c r="AV67" s="36" t="s">
        <v>1224</v>
      </c>
      <c r="AW67" s="36" t="s">
        <v>75</v>
      </c>
      <c r="AX67" s="36" t="s">
        <v>75</v>
      </c>
      <c r="AY67" s="36" t="s">
        <v>1172</v>
      </c>
      <c r="AZ67" s="36" t="s">
        <v>908</v>
      </c>
      <c r="BA67" s="36" t="s">
        <v>1225</v>
      </c>
      <c r="BB67" s="36" t="s">
        <v>101</v>
      </c>
      <c r="BC67" s="36" t="s">
        <v>102</v>
      </c>
      <c r="BD67" s="36" t="s">
        <v>1226</v>
      </c>
      <c r="BE67" s="36" t="s">
        <v>75</v>
      </c>
      <c r="BF67" s="36" t="s">
        <v>1197</v>
      </c>
      <c r="BG67" s="36" t="s">
        <v>1227</v>
      </c>
      <c r="BH67" s="36" t="s">
        <v>75</v>
      </c>
      <c r="BI67" s="36" t="s">
        <v>104</v>
      </c>
      <c r="BJ67" s="36" t="s">
        <v>1228</v>
      </c>
      <c r="BK67" s="36" t="s">
        <v>106</v>
      </c>
      <c r="BL67" s="36" t="s">
        <v>107</v>
      </c>
      <c r="BM67" s="36" t="s">
        <v>75</v>
      </c>
      <c r="BN67" s="36" t="s">
        <v>75</v>
      </c>
      <c r="BO67" s="36" t="s">
        <v>75</v>
      </c>
      <c r="BP67" s="36" t="s">
        <v>75</v>
      </c>
      <c r="BQ67" s="35" t="s">
        <v>810</v>
      </c>
      <c r="BR67" s="36" t="s">
        <v>788</v>
      </c>
      <c r="BS67" s="38" t="s">
        <v>789</v>
      </c>
    </row>
    <row r="68" spans="1:71">
      <c r="A68" s="35" t="s">
        <v>1229</v>
      </c>
      <c r="B68" s="36" t="s">
        <v>72</v>
      </c>
      <c r="C68" s="36" t="s">
        <v>73</v>
      </c>
      <c r="D68" s="36" t="s">
        <v>74</v>
      </c>
      <c r="E68" s="36" t="s">
        <v>75</v>
      </c>
      <c r="F68" s="36" t="s">
        <v>178</v>
      </c>
      <c r="G68" s="36" t="s">
        <v>879</v>
      </c>
      <c r="H68" s="36" t="s">
        <v>880</v>
      </c>
      <c r="I68" s="36" t="s">
        <v>79</v>
      </c>
      <c r="J68" s="36" t="s">
        <v>80</v>
      </c>
      <c r="K68" s="36" t="s">
        <v>881</v>
      </c>
      <c r="L68" s="36" t="s">
        <v>882</v>
      </c>
      <c r="M68" s="36" t="s">
        <v>776</v>
      </c>
      <c r="N68" s="36" t="s">
        <v>777</v>
      </c>
      <c r="O68" s="35" t="s">
        <v>778</v>
      </c>
      <c r="P68" s="36" t="s">
        <v>151</v>
      </c>
      <c r="Q68" s="36" t="s">
        <v>152</v>
      </c>
      <c r="R68" s="36" t="s">
        <v>779</v>
      </c>
      <c r="S68" s="36" t="s">
        <v>187</v>
      </c>
      <c r="T68" s="35" t="s">
        <v>88</v>
      </c>
      <c r="U68" s="36" t="s">
        <v>75</v>
      </c>
      <c r="V68" s="36" t="s">
        <v>75</v>
      </c>
      <c r="W68" s="36" t="s">
        <v>373</v>
      </c>
      <c r="X68" s="37" t="s">
        <v>373</v>
      </c>
      <c r="Y68" s="35" t="s">
        <v>90</v>
      </c>
      <c r="Z68" s="36" t="s">
        <v>90</v>
      </c>
      <c r="AA68" s="36" t="s">
        <v>75</v>
      </c>
      <c r="AB68" s="36" t="s">
        <v>90</v>
      </c>
      <c r="AC68" s="36" t="s">
        <v>373</v>
      </c>
      <c r="AD68" s="36" t="s">
        <v>215</v>
      </c>
      <c r="AE68" s="36" t="s">
        <v>1230</v>
      </c>
      <c r="AF68" s="36" t="s">
        <v>75</v>
      </c>
      <c r="AG68" s="36" t="s">
        <v>75</v>
      </c>
      <c r="AH68" s="36" t="s">
        <v>75</v>
      </c>
      <c r="AI68" s="36" t="s">
        <v>1231</v>
      </c>
      <c r="AJ68" s="36" t="s">
        <v>75</v>
      </c>
      <c r="AK68" s="36" t="s">
        <v>94</v>
      </c>
      <c r="AL68" s="35" t="s">
        <v>90</v>
      </c>
      <c r="AM68" s="36" t="s">
        <v>95</v>
      </c>
      <c r="AN68" s="36" t="s">
        <v>1232</v>
      </c>
      <c r="AO68" s="36" t="s">
        <v>75</v>
      </c>
      <c r="AP68" s="36" t="s">
        <v>75</v>
      </c>
      <c r="AQ68" s="36" t="s">
        <v>75</v>
      </c>
      <c r="AR68" s="36" t="s">
        <v>75</v>
      </c>
      <c r="AS68" s="36" t="s">
        <v>75</v>
      </c>
      <c r="AT68" s="36" t="s">
        <v>75</v>
      </c>
      <c r="AU68" s="36" t="s">
        <v>75</v>
      </c>
      <c r="AV68" s="36" t="s">
        <v>1233</v>
      </c>
      <c r="AW68" s="36" t="s">
        <v>75</v>
      </c>
      <c r="AX68" s="36" t="s">
        <v>75</v>
      </c>
      <c r="AY68" s="36" t="s">
        <v>1234</v>
      </c>
      <c r="AZ68" s="36" t="s">
        <v>785</v>
      </c>
      <c r="BA68" s="36" t="s">
        <v>1235</v>
      </c>
      <c r="BB68" s="36" t="s">
        <v>101</v>
      </c>
      <c r="BC68" s="36" t="s">
        <v>102</v>
      </c>
      <c r="BD68" s="36" t="s">
        <v>103</v>
      </c>
      <c r="BE68" s="36" t="s">
        <v>75</v>
      </c>
      <c r="BF68" s="36" t="s">
        <v>75</v>
      </c>
      <c r="BG68" s="36" t="s">
        <v>75</v>
      </c>
      <c r="BH68" s="36" t="s">
        <v>75</v>
      </c>
      <c r="BI68" s="36" t="s">
        <v>104</v>
      </c>
      <c r="BJ68" s="36" t="s">
        <v>894</v>
      </c>
      <c r="BK68" s="36" t="s">
        <v>106</v>
      </c>
      <c r="BL68" s="36" t="s">
        <v>107</v>
      </c>
      <c r="BM68" s="36" t="s">
        <v>75</v>
      </c>
      <c r="BN68" s="36" t="s">
        <v>75</v>
      </c>
      <c r="BO68" s="36" t="s">
        <v>75</v>
      </c>
      <c r="BP68" s="36" t="s">
        <v>75</v>
      </c>
      <c r="BQ68" s="35" t="s">
        <v>787</v>
      </c>
      <c r="BR68" s="36" t="s">
        <v>788</v>
      </c>
      <c r="BS68" s="38" t="s">
        <v>789</v>
      </c>
    </row>
    <row r="69" spans="1:71">
      <c r="A69" s="35" t="s">
        <v>1236</v>
      </c>
      <c r="B69" s="36" t="s">
        <v>112</v>
      </c>
      <c r="C69" s="36" t="s">
        <v>113</v>
      </c>
      <c r="D69" s="36" t="s">
        <v>74</v>
      </c>
      <c r="E69" s="36" t="s">
        <v>75</v>
      </c>
      <c r="F69" s="36" t="s">
        <v>1162</v>
      </c>
      <c r="G69" s="36" t="s">
        <v>1163</v>
      </c>
      <c r="H69" s="36" t="s">
        <v>1164</v>
      </c>
      <c r="I69" s="36" t="s">
        <v>437</v>
      </c>
      <c r="J69" s="36" t="s">
        <v>1165</v>
      </c>
      <c r="K69" s="36" t="s">
        <v>1166</v>
      </c>
      <c r="L69" s="36" t="s">
        <v>1167</v>
      </c>
      <c r="M69" s="36" t="s">
        <v>936</v>
      </c>
      <c r="N69" s="36" t="s">
        <v>937</v>
      </c>
      <c r="O69" s="35" t="s">
        <v>938</v>
      </c>
      <c r="P69" s="36" t="s">
        <v>151</v>
      </c>
      <c r="Q69" s="36" t="s">
        <v>152</v>
      </c>
      <c r="R69" s="36" t="s">
        <v>939</v>
      </c>
      <c r="S69" s="36" t="s">
        <v>940</v>
      </c>
      <c r="T69" s="35" t="s">
        <v>88</v>
      </c>
      <c r="U69" s="36" t="s">
        <v>75</v>
      </c>
      <c r="V69" s="36" t="s">
        <v>75</v>
      </c>
      <c r="W69" s="36" t="s">
        <v>445</v>
      </c>
      <c r="X69" s="37" t="s">
        <v>445</v>
      </c>
      <c r="Y69" s="35" t="s">
        <v>90</v>
      </c>
      <c r="Z69" s="36" t="s">
        <v>90</v>
      </c>
      <c r="AA69" s="36" t="s">
        <v>75</v>
      </c>
      <c r="AB69" s="36" t="s">
        <v>90</v>
      </c>
      <c r="AC69" s="36" t="s">
        <v>445</v>
      </c>
      <c r="AD69" s="36" t="s">
        <v>91</v>
      </c>
      <c r="AE69" s="36" t="s">
        <v>1237</v>
      </c>
      <c r="AF69" s="36" t="s">
        <v>75</v>
      </c>
      <c r="AG69" s="36" t="s">
        <v>75</v>
      </c>
      <c r="AH69" s="36" t="s">
        <v>75</v>
      </c>
      <c r="AI69" s="36" t="s">
        <v>1238</v>
      </c>
      <c r="AJ69" s="36" t="s">
        <v>75</v>
      </c>
      <c r="AK69" s="36" t="s">
        <v>94</v>
      </c>
      <c r="AL69" s="35" t="s">
        <v>90</v>
      </c>
      <c r="AM69" s="36" t="s">
        <v>95</v>
      </c>
      <c r="AN69" s="36" t="s">
        <v>1239</v>
      </c>
      <c r="AO69" s="36" t="s">
        <v>75</v>
      </c>
      <c r="AP69" s="36" t="s">
        <v>75</v>
      </c>
      <c r="AQ69" s="36" t="s">
        <v>75</v>
      </c>
      <c r="AR69" s="36" t="s">
        <v>75</v>
      </c>
      <c r="AS69" s="36" t="s">
        <v>75</v>
      </c>
      <c r="AT69" s="36" t="s">
        <v>75</v>
      </c>
      <c r="AU69" s="36" t="s">
        <v>75</v>
      </c>
      <c r="AV69" s="36" t="s">
        <v>1240</v>
      </c>
      <c r="AW69" s="36" t="s">
        <v>75</v>
      </c>
      <c r="AX69" s="36" t="s">
        <v>75</v>
      </c>
      <c r="AY69" s="36" t="s">
        <v>1241</v>
      </c>
      <c r="AZ69" s="36" t="s">
        <v>1242</v>
      </c>
      <c r="BA69" s="36" t="s">
        <v>75</v>
      </c>
      <c r="BB69" s="36" t="s">
        <v>101</v>
      </c>
      <c r="BC69" s="36" t="s">
        <v>75</v>
      </c>
      <c r="BD69" s="36" t="s">
        <v>103</v>
      </c>
      <c r="BE69" s="36" t="s">
        <v>75</v>
      </c>
      <c r="BF69" s="36" t="s">
        <v>133</v>
      </c>
      <c r="BG69" s="36" t="s">
        <v>1243</v>
      </c>
      <c r="BH69" s="36" t="s">
        <v>75</v>
      </c>
      <c r="BI69" s="36" t="s">
        <v>104</v>
      </c>
      <c r="BJ69" s="36" t="s">
        <v>1174</v>
      </c>
      <c r="BK69" s="36" t="s">
        <v>106</v>
      </c>
      <c r="BL69" s="36" t="s">
        <v>107</v>
      </c>
      <c r="BM69" s="36" t="s">
        <v>75</v>
      </c>
      <c r="BN69" s="36" t="s">
        <v>75</v>
      </c>
      <c r="BO69" s="36" t="s">
        <v>75</v>
      </c>
      <c r="BP69" s="36" t="s">
        <v>75</v>
      </c>
      <c r="BQ69" s="35" t="s">
        <v>949</v>
      </c>
      <c r="BR69" s="36" t="s">
        <v>455</v>
      </c>
      <c r="BS69" s="38" t="s">
        <v>456</v>
      </c>
    </row>
    <row r="70" spans="1:71">
      <c r="A70" s="35" t="s">
        <v>1244</v>
      </c>
      <c r="B70" s="36" t="s">
        <v>72</v>
      </c>
      <c r="C70" s="36" t="s">
        <v>73</v>
      </c>
      <c r="D70" s="36" t="s">
        <v>74</v>
      </c>
      <c r="E70" s="36" t="s">
        <v>75</v>
      </c>
      <c r="F70" s="36" t="s">
        <v>340</v>
      </c>
      <c r="G70" s="36" t="s">
        <v>1146</v>
      </c>
      <c r="H70" s="36" t="s">
        <v>978</v>
      </c>
      <c r="I70" s="36" t="s">
        <v>858</v>
      </c>
      <c r="J70" s="36" t="s">
        <v>859</v>
      </c>
      <c r="K70" s="36" t="s">
        <v>979</v>
      </c>
      <c r="L70" s="36" t="s">
        <v>1147</v>
      </c>
      <c r="M70" s="36" t="s">
        <v>936</v>
      </c>
      <c r="N70" s="36" t="s">
        <v>937</v>
      </c>
      <c r="O70" s="35" t="s">
        <v>938</v>
      </c>
      <c r="P70" s="36" t="s">
        <v>151</v>
      </c>
      <c r="Q70" s="36" t="s">
        <v>152</v>
      </c>
      <c r="R70" s="36" t="s">
        <v>939</v>
      </c>
      <c r="S70" s="36" t="s">
        <v>940</v>
      </c>
      <c r="T70" s="35" t="s">
        <v>88</v>
      </c>
      <c r="U70" s="36" t="s">
        <v>75</v>
      </c>
      <c r="V70" s="36" t="s">
        <v>75</v>
      </c>
      <c r="W70" s="36" t="s">
        <v>445</v>
      </c>
      <c r="X70" s="37" t="s">
        <v>445</v>
      </c>
      <c r="Y70" s="35" t="s">
        <v>90</v>
      </c>
      <c r="Z70" s="36" t="s">
        <v>90</v>
      </c>
      <c r="AA70" s="36" t="s">
        <v>75</v>
      </c>
      <c r="AB70" s="36" t="s">
        <v>90</v>
      </c>
      <c r="AC70" s="36" t="s">
        <v>445</v>
      </c>
      <c r="AD70" s="36" t="s">
        <v>91</v>
      </c>
      <c r="AE70" s="36" t="s">
        <v>1245</v>
      </c>
      <c r="AF70" s="36" t="s">
        <v>75</v>
      </c>
      <c r="AG70" s="36" t="s">
        <v>75</v>
      </c>
      <c r="AH70" s="36" t="s">
        <v>75</v>
      </c>
      <c r="AI70" s="36" t="s">
        <v>1246</v>
      </c>
      <c r="AJ70" s="36" t="s">
        <v>75</v>
      </c>
      <c r="AK70" s="36" t="s">
        <v>94</v>
      </c>
      <c r="AL70" s="35" t="s">
        <v>90</v>
      </c>
      <c r="AM70" s="36" t="s">
        <v>95</v>
      </c>
      <c r="AN70" s="36" t="s">
        <v>1247</v>
      </c>
      <c r="AO70" s="36" t="s">
        <v>75</v>
      </c>
      <c r="AP70" s="36" t="s">
        <v>75</v>
      </c>
      <c r="AQ70" s="36" t="s">
        <v>75</v>
      </c>
      <c r="AR70" s="36" t="s">
        <v>75</v>
      </c>
      <c r="AS70" s="36" t="s">
        <v>75</v>
      </c>
      <c r="AT70" s="36" t="s">
        <v>75</v>
      </c>
      <c r="AU70" s="36" t="s">
        <v>75</v>
      </c>
      <c r="AV70" s="36" t="s">
        <v>1248</v>
      </c>
      <c r="AW70" s="36" t="s">
        <v>75</v>
      </c>
      <c r="AX70" s="36" t="s">
        <v>75</v>
      </c>
      <c r="AY70" s="36" t="s">
        <v>1249</v>
      </c>
      <c r="AZ70" s="36" t="s">
        <v>1242</v>
      </c>
      <c r="BA70" s="36" t="s">
        <v>1250</v>
      </c>
      <c r="BB70" s="36" t="s">
        <v>101</v>
      </c>
      <c r="BC70" s="36" t="s">
        <v>102</v>
      </c>
      <c r="BD70" s="36" t="s">
        <v>103</v>
      </c>
      <c r="BE70" s="36" t="s">
        <v>75</v>
      </c>
      <c r="BF70" s="36" t="s">
        <v>75</v>
      </c>
      <c r="BG70" s="36" t="s">
        <v>75</v>
      </c>
      <c r="BH70" s="36" t="s">
        <v>75</v>
      </c>
      <c r="BI70" s="36" t="s">
        <v>104</v>
      </c>
      <c r="BJ70" s="36" t="s">
        <v>1159</v>
      </c>
      <c r="BK70" s="36" t="s">
        <v>106</v>
      </c>
      <c r="BL70" s="36" t="s">
        <v>107</v>
      </c>
      <c r="BM70" s="36" t="s">
        <v>75</v>
      </c>
      <c r="BN70" s="36" t="s">
        <v>75</v>
      </c>
      <c r="BO70" s="36" t="s">
        <v>75</v>
      </c>
      <c r="BP70" s="36" t="s">
        <v>75</v>
      </c>
      <c r="BQ70" s="35" t="s">
        <v>949</v>
      </c>
      <c r="BR70" s="36" t="s">
        <v>455</v>
      </c>
      <c r="BS70" s="38" t="s">
        <v>456</v>
      </c>
    </row>
    <row r="71" spans="1:71">
      <c r="A71" s="35" t="s">
        <v>1251</v>
      </c>
      <c r="B71" s="36" t="s">
        <v>72</v>
      </c>
      <c r="C71" s="36" t="s">
        <v>113</v>
      </c>
      <c r="D71" s="36" t="s">
        <v>74</v>
      </c>
      <c r="E71" s="36" t="s">
        <v>75</v>
      </c>
      <c r="F71" s="36" t="s">
        <v>229</v>
      </c>
      <c r="G71" s="36" t="s">
        <v>1252</v>
      </c>
      <c r="H71" s="36" t="s">
        <v>1253</v>
      </c>
      <c r="I71" s="36" t="s">
        <v>562</v>
      </c>
      <c r="J71" s="36" t="s">
        <v>563</v>
      </c>
      <c r="K71" s="36" t="s">
        <v>1254</v>
      </c>
      <c r="L71" s="36" t="s">
        <v>1255</v>
      </c>
      <c r="M71" s="36" t="s">
        <v>821</v>
      </c>
      <c r="N71" s="36" t="s">
        <v>822</v>
      </c>
      <c r="O71" s="35" t="s">
        <v>823</v>
      </c>
      <c r="P71" s="36" t="s">
        <v>151</v>
      </c>
      <c r="Q71" s="36" t="s">
        <v>152</v>
      </c>
      <c r="R71" s="36" t="s">
        <v>824</v>
      </c>
      <c r="S71" s="36" t="s">
        <v>825</v>
      </c>
      <c r="T71" s="35" t="s">
        <v>88</v>
      </c>
      <c r="U71" s="36" t="s">
        <v>75</v>
      </c>
      <c r="V71" s="36" t="s">
        <v>75</v>
      </c>
      <c r="W71" s="36" t="s">
        <v>445</v>
      </c>
      <c r="X71" s="37" t="s">
        <v>421</v>
      </c>
      <c r="Y71" s="35" t="s">
        <v>90</v>
      </c>
      <c r="Z71" s="36" t="s">
        <v>90</v>
      </c>
      <c r="AA71" s="36" t="s">
        <v>75</v>
      </c>
      <c r="AB71" s="36" t="s">
        <v>90</v>
      </c>
      <c r="AC71" s="36" t="s">
        <v>421</v>
      </c>
      <c r="AD71" s="36" t="s">
        <v>91</v>
      </c>
      <c r="AE71" s="36" t="s">
        <v>1256</v>
      </c>
      <c r="AF71" s="36" t="s">
        <v>75</v>
      </c>
      <c r="AG71" s="36" t="s">
        <v>75</v>
      </c>
      <c r="AH71" s="36" t="s">
        <v>75</v>
      </c>
      <c r="AI71" s="36" t="s">
        <v>1257</v>
      </c>
      <c r="AJ71" s="36" t="s">
        <v>75</v>
      </c>
      <c r="AK71" s="36" t="s">
        <v>94</v>
      </c>
      <c r="AL71" s="35" t="s">
        <v>568</v>
      </c>
      <c r="AM71" s="36" t="s">
        <v>95</v>
      </c>
      <c r="AN71" s="36" t="s">
        <v>1258</v>
      </c>
      <c r="AO71" s="36" t="s">
        <v>75</v>
      </c>
      <c r="AP71" s="36" t="s">
        <v>75</v>
      </c>
      <c r="AQ71" s="36" t="s">
        <v>75</v>
      </c>
      <c r="AR71" s="36" t="s">
        <v>75</v>
      </c>
      <c r="AS71" s="36" t="s">
        <v>75</v>
      </c>
      <c r="AT71" s="36" t="s">
        <v>75</v>
      </c>
      <c r="AU71" s="36" t="s">
        <v>75</v>
      </c>
      <c r="AV71" s="36" t="s">
        <v>1259</v>
      </c>
      <c r="AW71" s="36" t="s">
        <v>75</v>
      </c>
      <c r="AX71" s="36" t="s">
        <v>75</v>
      </c>
      <c r="AY71" s="36" t="s">
        <v>1260</v>
      </c>
      <c r="AZ71" s="36" t="s">
        <v>1261</v>
      </c>
      <c r="BA71" s="36" t="s">
        <v>1262</v>
      </c>
      <c r="BB71" s="36" t="s">
        <v>101</v>
      </c>
      <c r="BC71" s="36" t="s">
        <v>102</v>
      </c>
      <c r="BD71" s="36" t="s">
        <v>103</v>
      </c>
      <c r="BE71" s="36" t="s">
        <v>75</v>
      </c>
      <c r="BF71" s="36" t="s">
        <v>133</v>
      </c>
      <c r="BG71" s="36" t="s">
        <v>1263</v>
      </c>
      <c r="BH71" s="36" t="s">
        <v>75</v>
      </c>
      <c r="BI71" s="36" t="s">
        <v>104</v>
      </c>
      <c r="BJ71" s="36" t="s">
        <v>1264</v>
      </c>
      <c r="BK71" s="36" t="s">
        <v>106</v>
      </c>
      <c r="BL71" s="36" t="s">
        <v>107</v>
      </c>
      <c r="BM71" s="36" t="s">
        <v>75</v>
      </c>
      <c r="BN71" s="36" t="s">
        <v>75</v>
      </c>
      <c r="BO71" s="36" t="s">
        <v>75</v>
      </c>
      <c r="BP71" s="36" t="s">
        <v>75</v>
      </c>
      <c r="BQ71" s="35" t="s">
        <v>833</v>
      </c>
      <c r="BR71" s="36" t="s">
        <v>455</v>
      </c>
      <c r="BS71" s="38" t="s">
        <v>456</v>
      </c>
    </row>
    <row r="72" spans="1:71">
      <c r="A72" s="35" t="s">
        <v>1265</v>
      </c>
      <c r="B72" s="36" t="s">
        <v>72</v>
      </c>
      <c r="C72" s="36" t="s">
        <v>73</v>
      </c>
      <c r="D72" s="36" t="s">
        <v>74</v>
      </c>
      <c r="E72" s="36" t="s">
        <v>75</v>
      </c>
      <c r="F72" s="36" t="s">
        <v>1266</v>
      </c>
      <c r="G72" s="36" t="s">
        <v>1267</v>
      </c>
      <c r="H72" s="36" t="s">
        <v>1268</v>
      </c>
      <c r="I72" s="36" t="s">
        <v>1120</v>
      </c>
      <c r="J72" s="36" t="s">
        <v>1121</v>
      </c>
      <c r="K72" s="36" t="s">
        <v>1269</v>
      </c>
      <c r="L72" s="36" t="s">
        <v>1270</v>
      </c>
      <c r="M72" s="36" t="s">
        <v>821</v>
      </c>
      <c r="N72" s="36" t="s">
        <v>822</v>
      </c>
      <c r="O72" s="35" t="s">
        <v>823</v>
      </c>
      <c r="P72" s="36" t="s">
        <v>151</v>
      </c>
      <c r="Q72" s="36" t="s">
        <v>152</v>
      </c>
      <c r="R72" s="36" t="s">
        <v>824</v>
      </c>
      <c r="S72" s="36" t="s">
        <v>825</v>
      </c>
      <c r="T72" s="35" t="s">
        <v>88</v>
      </c>
      <c r="U72" s="36" t="s">
        <v>75</v>
      </c>
      <c r="V72" s="36" t="s">
        <v>75</v>
      </c>
      <c r="W72" s="36" t="s">
        <v>445</v>
      </c>
      <c r="X72" s="37" t="s">
        <v>445</v>
      </c>
      <c r="Y72" s="35" t="s">
        <v>90</v>
      </c>
      <c r="Z72" s="36" t="s">
        <v>90</v>
      </c>
      <c r="AA72" s="36" t="s">
        <v>75</v>
      </c>
      <c r="AB72" s="36" t="s">
        <v>90</v>
      </c>
      <c r="AC72" s="36" t="s">
        <v>445</v>
      </c>
      <c r="AD72" s="36" t="s">
        <v>215</v>
      </c>
      <c r="AE72" s="36" t="s">
        <v>1271</v>
      </c>
      <c r="AF72" s="36" t="s">
        <v>75</v>
      </c>
      <c r="AG72" s="36" t="s">
        <v>75</v>
      </c>
      <c r="AH72" s="36" t="s">
        <v>75</v>
      </c>
      <c r="AI72" s="36" t="s">
        <v>1272</v>
      </c>
      <c r="AJ72" s="36" t="s">
        <v>75</v>
      </c>
      <c r="AK72" s="36" t="s">
        <v>94</v>
      </c>
      <c r="AL72" s="35" t="s">
        <v>90</v>
      </c>
      <c r="AM72" s="36" t="s">
        <v>95</v>
      </c>
      <c r="AN72" s="36" t="s">
        <v>1273</v>
      </c>
      <c r="AO72" s="36" t="s">
        <v>75</v>
      </c>
      <c r="AP72" s="36" t="s">
        <v>75</v>
      </c>
      <c r="AQ72" s="36" t="s">
        <v>75</v>
      </c>
      <c r="AR72" s="36" t="s">
        <v>75</v>
      </c>
      <c r="AS72" s="36" t="s">
        <v>75</v>
      </c>
      <c r="AT72" s="36" t="s">
        <v>75</v>
      </c>
      <c r="AU72" s="36" t="s">
        <v>75</v>
      </c>
      <c r="AV72" s="36" t="s">
        <v>1274</v>
      </c>
      <c r="AW72" s="36" t="s">
        <v>75</v>
      </c>
      <c r="AX72" s="36" t="s">
        <v>75</v>
      </c>
      <c r="AY72" s="36" t="s">
        <v>1275</v>
      </c>
      <c r="AZ72" s="36" t="s">
        <v>1276</v>
      </c>
      <c r="BA72" s="36" t="s">
        <v>1277</v>
      </c>
      <c r="BB72" s="36" t="s">
        <v>101</v>
      </c>
      <c r="BC72" s="36" t="s">
        <v>163</v>
      </c>
      <c r="BD72" s="36" t="s">
        <v>103</v>
      </c>
      <c r="BE72" s="36" t="s">
        <v>75</v>
      </c>
      <c r="BF72" s="36" t="s">
        <v>75</v>
      </c>
      <c r="BG72" s="36" t="s">
        <v>75</v>
      </c>
      <c r="BH72" s="36" t="s">
        <v>75</v>
      </c>
      <c r="BI72" s="36" t="s">
        <v>104</v>
      </c>
      <c r="BJ72" s="36" t="s">
        <v>1278</v>
      </c>
      <c r="BK72" s="36" t="s">
        <v>106</v>
      </c>
      <c r="BL72" s="36" t="s">
        <v>107</v>
      </c>
      <c r="BM72" s="36" t="s">
        <v>75</v>
      </c>
      <c r="BN72" s="36" t="s">
        <v>75</v>
      </c>
      <c r="BO72" s="36" t="s">
        <v>75</v>
      </c>
      <c r="BP72" s="36" t="s">
        <v>75</v>
      </c>
      <c r="BQ72" s="35" t="s">
        <v>833</v>
      </c>
      <c r="BR72" s="36" t="s">
        <v>455</v>
      </c>
      <c r="BS72" s="38" t="s">
        <v>456</v>
      </c>
    </row>
    <row r="73" spans="1:71">
      <c r="A73" s="35" t="s">
        <v>1279</v>
      </c>
      <c r="B73" s="36" t="s">
        <v>72</v>
      </c>
      <c r="C73" s="36" t="s">
        <v>73</v>
      </c>
      <c r="D73" s="36" t="s">
        <v>74</v>
      </c>
      <c r="E73" s="36" t="s">
        <v>75</v>
      </c>
      <c r="F73" s="36" t="s">
        <v>1280</v>
      </c>
      <c r="G73" s="36" t="s">
        <v>1281</v>
      </c>
      <c r="H73" s="36" t="s">
        <v>1282</v>
      </c>
      <c r="I73" s="36" t="s">
        <v>413</v>
      </c>
      <c r="J73" s="36" t="s">
        <v>1283</v>
      </c>
      <c r="K73" s="36" t="s">
        <v>1284</v>
      </c>
      <c r="L73" s="36" t="s">
        <v>1285</v>
      </c>
      <c r="M73" s="36" t="s">
        <v>936</v>
      </c>
      <c r="N73" s="36" t="s">
        <v>937</v>
      </c>
      <c r="O73" s="35" t="s">
        <v>938</v>
      </c>
      <c r="P73" s="36" t="s">
        <v>151</v>
      </c>
      <c r="Q73" s="36" t="s">
        <v>152</v>
      </c>
      <c r="R73" s="36" t="s">
        <v>939</v>
      </c>
      <c r="S73" s="36" t="s">
        <v>940</v>
      </c>
      <c r="T73" s="35" t="s">
        <v>88</v>
      </c>
      <c r="U73" s="36" t="s">
        <v>75</v>
      </c>
      <c r="V73" s="36" t="s">
        <v>75</v>
      </c>
      <c r="W73" s="36" t="s">
        <v>445</v>
      </c>
      <c r="X73" s="37" t="s">
        <v>445</v>
      </c>
      <c r="Y73" s="35" t="s">
        <v>90</v>
      </c>
      <c r="Z73" s="36" t="s">
        <v>90</v>
      </c>
      <c r="AA73" s="36" t="s">
        <v>75</v>
      </c>
      <c r="AB73" s="36" t="s">
        <v>90</v>
      </c>
      <c r="AC73" s="36" t="s">
        <v>445</v>
      </c>
      <c r="AD73" s="36" t="s">
        <v>91</v>
      </c>
      <c r="AE73" s="36" t="s">
        <v>1286</v>
      </c>
      <c r="AF73" s="36" t="s">
        <v>75</v>
      </c>
      <c r="AG73" s="36" t="s">
        <v>75</v>
      </c>
      <c r="AH73" s="36" t="s">
        <v>75</v>
      </c>
      <c r="AI73" s="36" t="s">
        <v>1287</v>
      </c>
      <c r="AJ73" s="36" t="s">
        <v>75</v>
      </c>
      <c r="AK73" s="36" t="s">
        <v>94</v>
      </c>
      <c r="AL73" s="35" t="s">
        <v>90</v>
      </c>
      <c r="AM73" s="36" t="s">
        <v>95</v>
      </c>
      <c r="AN73" s="36" t="s">
        <v>1288</v>
      </c>
      <c r="AO73" s="36" t="s">
        <v>75</v>
      </c>
      <c r="AP73" s="36" t="s">
        <v>75</v>
      </c>
      <c r="AQ73" s="36" t="s">
        <v>75</v>
      </c>
      <c r="AR73" s="36" t="s">
        <v>75</v>
      </c>
      <c r="AS73" s="36" t="s">
        <v>75</v>
      </c>
      <c r="AT73" s="36" t="s">
        <v>75</v>
      </c>
      <c r="AU73" s="36" t="s">
        <v>75</v>
      </c>
      <c r="AV73" s="36" t="s">
        <v>1289</v>
      </c>
      <c r="AW73" s="36" t="s">
        <v>75</v>
      </c>
      <c r="AX73" s="36" t="s">
        <v>75</v>
      </c>
      <c r="AY73" s="36" t="s">
        <v>1290</v>
      </c>
      <c r="AZ73" s="36" t="s">
        <v>1291</v>
      </c>
      <c r="BA73" s="36" t="s">
        <v>1292</v>
      </c>
      <c r="BB73" s="36" t="s">
        <v>101</v>
      </c>
      <c r="BC73" s="36" t="s">
        <v>163</v>
      </c>
      <c r="BD73" s="36" t="s">
        <v>103</v>
      </c>
      <c r="BE73" s="36" t="s">
        <v>75</v>
      </c>
      <c r="BF73" s="36" t="s">
        <v>75</v>
      </c>
      <c r="BG73" s="36" t="s">
        <v>75</v>
      </c>
      <c r="BH73" s="36" t="s">
        <v>75</v>
      </c>
      <c r="BI73" s="36" t="s">
        <v>104</v>
      </c>
      <c r="BJ73" s="36" t="s">
        <v>1293</v>
      </c>
      <c r="BK73" s="36" t="s">
        <v>106</v>
      </c>
      <c r="BL73" s="36" t="s">
        <v>107</v>
      </c>
      <c r="BM73" s="36" t="s">
        <v>75</v>
      </c>
      <c r="BN73" s="36" t="s">
        <v>75</v>
      </c>
      <c r="BO73" s="36" t="s">
        <v>75</v>
      </c>
      <c r="BP73" s="36" t="s">
        <v>75</v>
      </c>
      <c r="BQ73" s="35" t="s">
        <v>949</v>
      </c>
      <c r="BR73" s="36" t="s">
        <v>455</v>
      </c>
      <c r="BS73" s="38" t="s">
        <v>456</v>
      </c>
    </row>
    <row r="74" spans="1:71">
      <c r="A74" s="35" t="s">
        <v>1294</v>
      </c>
      <c r="B74" s="36" t="s">
        <v>72</v>
      </c>
      <c r="C74" s="36" t="s">
        <v>73</v>
      </c>
      <c r="D74" s="36" t="s">
        <v>74</v>
      </c>
      <c r="E74" s="36" t="s">
        <v>75</v>
      </c>
      <c r="F74" s="36" t="s">
        <v>202</v>
      </c>
      <c r="G74" s="36" t="s">
        <v>1295</v>
      </c>
      <c r="H74" s="36" t="s">
        <v>880</v>
      </c>
      <c r="I74" s="36" t="s">
        <v>79</v>
      </c>
      <c r="J74" s="36" t="s">
        <v>80</v>
      </c>
      <c r="K74" s="36" t="s">
        <v>881</v>
      </c>
      <c r="L74" s="36" t="s">
        <v>882</v>
      </c>
      <c r="M74" s="36" t="s">
        <v>821</v>
      </c>
      <c r="N74" s="36" t="s">
        <v>822</v>
      </c>
      <c r="O74" s="35" t="s">
        <v>823</v>
      </c>
      <c r="P74" s="36" t="s">
        <v>151</v>
      </c>
      <c r="Q74" s="36" t="s">
        <v>152</v>
      </c>
      <c r="R74" s="36" t="s">
        <v>824</v>
      </c>
      <c r="S74" s="36" t="s">
        <v>825</v>
      </c>
      <c r="T74" s="35" t="s">
        <v>88</v>
      </c>
      <c r="U74" s="36" t="s">
        <v>75</v>
      </c>
      <c r="V74" s="36" t="s">
        <v>75</v>
      </c>
      <c r="W74" s="36" t="s">
        <v>445</v>
      </c>
      <c r="X74" s="37" t="s">
        <v>445</v>
      </c>
      <c r="Y74" s="35" t="s">
        <v>90</v>
      </c>
      <c r="Z74" s="36" t="s">
        <v>90</v>
      </c>
      <c r="AA74" s="36" t="s">
        <v>75</v>
      </c>
      <c r="AB74" s="36" t="s">
        <v>90</v>
      </c>
      <c r="AC74" s="36" t="s">
        <v>445</v>
      </c>
      <c r="AD74" s="36" t="s">
        <v>91</v>
      </c>
      <c r="AE74" s="36" t="s">
        <v>1296</v>
      </c>
      <c r="AF74" s="36" t="s">
        <v>75</v>
      </c>
      <c r="AG74" s="36" t="s">
        <v>75</v>
      </c>
      <c r="AH74" s="36" t="s">
        <v>75</v>
      </c>
      <c r="AI74" s="36" t="s">
        <v>1297</v>
      </c>
      <c r="AJ74" s="36" t="s">
        <v>75</v>
      </c>
      <c r="AK74" s="36" t="s">
        <v>94</v>
      </c>
      <c r="AL74" s="35" t="s">
        <v>90</v>
      </c>
      <c r="AM74" s="36" t="s">
        <v>95</v>
      </c>
      <c r="AN74" s="36" t="s">
        <v>1298</v>
      </c>
      <c r="AO74" s="36" t="s">
        <v>75</v>
      </c>
      <c r="AP74" s="36" t="s">
        <v>75</v>
      </c>
      <c r="AQ74" s="36" t="s">
        <v>75</v>
      </c>
      <c r="AR74" s="36" t="s">
        <v>75</v>
      </c>
      <c r="AS74" s="36" t="s">
        <v>75</v>
      </c>
      <c r="AT74" s="36" t="s">
        <v>75</v>
      </c>
      <c r="AU74" s="36" t="s">
        <v>75</v>
      </c>
      <c r="AV74" s="36" t="s">
        <v>1299</v>
      </c>
      <c r="AW74" s="36" t="s">
        <v>75</v>
      </c>
      <c r="AX74" s="36" t="s">
        <v>75</v>
      </c>
      <c r="AY74" s="36" t="s">
        <v>1300</v>
      </c>
      <c r="AZ74" s="36" t="s">
        <v>1276</v>
      </c>
      <c r="BA74" s="36" t="s">
        <v>1277</v>
      </c>
      <c r="BB74" s="36" t="s">
        <v>101</v>
      </c>
      <c r="BC74" s="36" t="s">
        <v>163</v>
      </c>
      <c r="BD74" s="36" t="s">
        <v>103</v>
      </c>
      <c r="BE74" s="36" t="s">
        <v>75</v>
      </c>
      <c r="BF74" s="36" t="s">
        <v>75</v>
      </c>
      <c r="BG74" s="36" t="s">
        <v>75</v>
      </c>
      <c r="BH74" s="36" t="s">
        <v>75</v>
      </c>
      <c r="BI74" s="36" t="s">
        <v>104</v>
      </c>
      <c r="BJ74" s="36" t="s">
        <v>1301</v>
      </c>
      <c r="BK74" s="36" t="s">
        <v>106</v>
      </c>
      <c r="BL74" s="36" t="s">
        <v>107</v>
      </c>
      <c r="BM74" s="36" t="s">
        <v>75</v>
      </c>
      <c r="BN74" s="36" t="s">
        <v>75</v>
      </c>
      <c r="BO74" s="36" t="s">
        <v>75</v>
      </c>
      <c r="BP74" s="36" t="s">
        <v>75</v>
      </c>
      <c r="BQ74" s="35" t="s">
        <v>833</v>
      </c>
      <c r="BR74" s="36" t="s">
        <v>455</v>
      </c>
      <c r="BS74" s="38" t="s">
        <v>456</v>
      </c>
    </row>
    <row r="75" spans="1:71">
      <c r="A75" s="35" t="s">
        <v>1302</v>
      </c>
      <c r="B75" s="36" t="s">
        <v>112</v>
      </c>
      <c r="C75" s="36" t="s">
        <v>113</v>
      </c>
      <c r="D75" s="36" t="s">
        <v>74</v>
      </c>
      <c r="E75" s="36" t="s">
        <v>75</v>
      </c>
      <c r="F75" s="36" t="s">
        <v>1303</v>
      </c>
      <c r="G75" s="36" t="s">
        <v>1304</v>
      </c>
      <c r="H75" s="36" t="s">
        <v>1305</v>
      </c>
      <c r="I75" s="36" t="s">
        <v>390</v>
      </c>
      <c r="J75" s="36" t="s">
        <v>1306</v>
      </c>
      <c r="K75" s="36" t="s">
        <v>1307</v>
      </c>
      <c r="L75" s="36" t="s">
        <v>1308</v>
      </c>
      <c r="M75" s="36" t="s">
        <v>821</v>
      </c>
      <c r="N75" s="36" t="s">
        <v>822</v>
      </c>
      <c r="O75" s="35" t="s">
        <v>823</v>
      </c>
      <c r="P75" s="36" t="s">
        <v>151</v>
      </c>
      <c r="Q75" s="36" t="s">
        <v>152</v>
      </c>
      <c r="R75" s="36" t="s">
        <v>824</v>
      </c>
      <c r="S75" s="36" t="s">
        <v>825</v>
      </c>
      <c r="T75" s="35" t="s">
        <v>88</v>
      </c>
      <c r="U75" s="36" t="s">
        <v>75</v>
      </c>
      <c r="V75" s="36" t="s">
        <v>75</v>
      </c>
      <c r="W75" s="36" t="s">
        <v>445</v>
      </c>
      <c r="X75" s="37" t="s">
        <v>445</v>
      </c>
      <c r="Y75" s="35" t="s">
        <v>90</v>
      </c>
      <c r="Z75" s="36" t="s">
        <v>90</v>
      </c>
      <c r="AA75" s="36" t="s">
        <v>75</v>
      </c>
      <c r="AB75" s="36" t="s">
        <v>90</v>
      </c>
      <c r="AC75" s="36" t="s">
        <v>445</v>
      </c>
      <c r="AD75" s="36" t="s">
        <v>215</v>
      </c>
      <c r="AE75" s="36" t="s">
        <v>1309</v>
      </c>
      <c r="AF75" s="36" t="s">
        <v>75</v>
      </c>
      <c r="AG75" s="36" t="s">
        <v>75</v>
      </c>
      <c r="AH75" s="36" t="s">
        <v>75</v>
      </c>
      <c r="AI75" s="36" t="s">
        <v>1310</v>
      </c>
      <c r="AJ75" s="36" t="s">
        <v>75</v>
      </c>
      <c r="AK75" s="36" t="s">
        <v>94</v>
      </c>
      <c r="AL75" s="35" t="s">
        <v>90</v>
      </c>
      <c r="AM75" s="36" t="s">
        <v>95</v>
      </c>
      <c r="AN75" s="36" t="s">
        <v>1311</v>
      </c>
      <c r="AO75" s="36" t="s">
        <v>75</v>
      </c>
      <c r="AP75" s="36" t="s">
        <v>75</v>
      </c>
      <c r="AQ75" s="36" t="s">
        <v>75</v>
      </c>
      <c r="AR75" s="36" t="s">
        <v>75</v>
      </c>
      <c r="AS75" s="36" t="s">
        <v>75</v>
      </c>
      <c r="AT75" s="36" t="s">
        <v>75</v>
      </c>
      <c r="AU75" s="36" t="s">
        <v>75</v>
      </c>
      <c r="AV75" s="36" t="s">
        <v>1299</v>
      </c>
      <c r="AW75" s="36" t="s">
        <v>75</v>
      </c>
      <c r="AX75" s="36" t="s">
        <v>75</v>
      </c>
      <c r="AY75" s="36" t="s">
        <v>1312</v>
      </c>
      <c r="AZ75" s="36" t="s">
        <v>1242</v>
      </c>
      <c r="BA75" s="36" t="s">
        <v>75</v>
      </c>
      <c r="BB75" s="36" t="s">
        <v>101</v>
      </c>
      <c r="BC75" s="36" t="s">
        <v>75</v>
      </c>
      <c r="BD75" s="36" t="s">
        <v>103</v>
      </c>
      <c r="BE75" s="36" t="s">
        <v>75</v>
      </c>
      <c r="BF75" s="36" t="s">
        <v>133</v>
      </c>
      <c r="BG75" s="36" t="s">
        <v>1313</v>
      </c>
      <c r="BH75" s="36" t="s">
        <v>75</v>
      </c>
      <c r="BI75" s="36" t="s">
        <v>104</v>
      </c>
      <c r="BJ75" s="36" t="s">
        <v>1314</v>
      </c>
      <c r="BK75" s="36" t="s">
        <v>106</v>
      </c>
      <c r="BL75" s="36" t="s">
        <v>107</v>
      </c>
      <c r="BM75" s="36" t="s">
        <v>75</v>
      </c>
      <c r="BN75" s="36" t="s">
        <v>75</v>
      </c>
      <c r="BO75" s="36" t="s">
        <v>75</v>
      </c>
      <c r="BP75" s="36" t="s">
        <v>75</v>
      </c>
      <c r="BQ75" s="35" t="s">
        <v>833</v>
      </c>
      <c r="BR75" s="36" t="s">
        <v>455</v>
      </c>
      <c r="BS75" s="38" t="s">
        <v>456</v>
      </c>
    </row>
    <row r="76" spans="1:71">
      <c r="A76" s="35" t="s">
        <v>1315</v>
      </c>
      <c r="B76" s="36" t="s">
        <v>72</v>
      </c>
      <c r="C76" s="36" t="s">
        <v>113</v>
      </c>
      <c r="D76" s="36" t="s">
        <v>74</v>
      </c>
      <c r="E76" s="36" t="s">
        <v>75</v>
      </c>
      <c r="F76" s="36" t="s">
        <v>178</v>
      </c>
      <c r="G76" s="36" t="s">
        <v>1316</v>
      </c>
      <c r="H76" s="36" t="s">
        <v>1317</v>
      </c>
      <c r="I76" s="36" t="s">
        <v>79</v>
      </c>
      <c r="J76" s="36" t="s">
        <v>80</v>
      </c>
      <c r="K76" s="36" t="s">
        <v>1318</v>
      </c>
      <c r="L76" s="36" t="s">
        <v>1319</v>
      </c>
      <c r="M76" s="36" t="s">
        <v>918</v>
      </c>
      <c r="N76" s="36" t="s">
        <v>919</v>
      </c>
      <c r="O76" s="35" t="s">
        <v>920</v>
      </c>
      <c r="P76" s="36" t="s">
        <v>151</v>
      </c>
      <c r="Q76" s="36" t="s">
        <v>152</v>
      </c>
      <c r="R76" s="36" t="s">
        <v>921</v>
      </c>
      <c r="S76" s="36" t="s">
        <v>504</v>
      </c>
      <c r="T76" s="35" t="s">
        <v>88</v>
      </c>
      <c r="U76" s="36" t="s">
        <v>75</v>
      </c>
      <c r="V76" s="36" t="s">
        <v>75</v>
      </c>
      <c r="W76" s="36" t="s">
        <v>445</v>
      </c>
      <c r="X76" s="37" t="s">
        <v>445</v>
      </c>
      <c r="Y76" s="35" t="s">
        <v>90</v>
      </c>
      <c r="Z76" s="36" t="s">
        <v>90</v>
      </c>
      <c r="AA76" s="36" t="s">
        <v>75</v>
      </c>
      <c r="AB76" s="36" t="s">
        <v>90</v>
      </c>
      <c r="AC76" s="36" t="s">
        <v>445</v>
      </c>
      <c r="AD76" s="36" t="s">
        <v>91</v>
      </c>
      <c r="AE76" s="36" t="s">
        <v>1320</v>
      </c>
      <c r="AF76" s="36" t="s">
        <v>75</v>
      </c>
      <c r="AG76" s="36" t="s">
        <v>75</v>
      </c>
      <c r="AH76" s="36" t="s">
        <v>75</v>
      </c>
      <c r="AI76" s="36" t="s">
        <v>1321</v>
      </c>
      <c r="AJ76" s="36" t="s">
        <v>75</v>
      </c>
      <c r="AK76" s="36" t="s">
        <v>94</v>
      </c>
      <c r="AL76" s="35" t="s">
        <v>90</v>
      </c>
      <c r="AM76" s="36" t="s">
        <v>95</v>
      </c>
      <c r="AN76" s="36" t="s">
        <v>1322</v>
      </c>
      <c r="AO76" s="36" t="s">
        <v>75</v>
      </c>
      <c r="AP76" s="36" t="s">
        <v>75</v>
      </c>
      <c r="AQ76" s="36" t="s">
        <v>75</v>
      </c>
      <c r="AR76" s="36" t="s">
        <v>75</v>
      </c>
      <c r="AS76" s="36" t="s">
        <v>75</v>
      </c>
      <c r="AT76" s="36" t="s">
        <v>75</v>
      </c>
      <c r="AU76" s="36" t="s">
        <v>75</v>
      </c>
      <c r="AV76" s="36" t="s">
        <v>1323</v>
      </c>
      <c r="AW76" s="36" t="s">
        <v>75</v>
      </c>
      <c r="AX76" s="36" t="s">
        <v>75</v>
      </c>
      <c r="AY76" s="36" t="s">
        <v>1324</v>
      </c>
      <c r="AZ76" s="36" t="s">
        <v>927</v>
      </c>
      <c r="BA76" s="36" t="s">
        <v>928</v>
      </c>
      <c r="BB76" s="36" t="s">
        <v>101</v>
      </c>
      <c r="BC76" s="36" t="s">
        <v>163</v>
      </c>
      <c r="BD76" s="36" t="s">
        <v>103</v>
      </c>
      <c r="BE76" s="36" t="s">
        <v>75</v>
      </c>
      <c r="BF76" s="36" t="s">
        <v>133</v>
      </c>
      <c r="BG76" s="36" t="s">
        <v>1325</v>
      </c>
      <c r="BH76" s="36" t="s">
        <v>75</v>
      </c>
      <c r="BI76" s="36" t="s">
        <v>104</v>
      </c>
      <c r="BJ76" s="36" t="s">
        <v>1326</v>
      </c>
      <c r="BK76" s="36" t="s">
        <v>106</v>
      </c>
      <c r="BL76" s="36" t="s">
        <v>107</v>
      </c>
      <c r="BM76" s="36" t="s">
        <v>75</v>
      </c>
      <c r="BN76" s="36" t="s">
        <v>75</v>
      </c>
      <c r="BO76" s="36" t="s">
        <v>75</v>
      </c>
      <c r="BP76" s="36" t="s">
        <v>75</v>
      </c>
      <c r="BQ76" s="35" t="s">
        <v>930</v>
      </c>
      <c r="BR76" s="36" t="s">
        <v>455</v>
      </c>
      <c r="BS76" s="38" t="s">
        <v>456</v>
      </c>
    </row>
    <row r="77" spans="1:71">
      <c r="A77" s="35" t="s">
        <v>1327</v>
      </c>
      <c r="B77" s="36" t="s">
        <v>72</v>
      </c>
      <c r="C77" s="36" t="s">
        <v>73</v>
      </c>
      <c r="D77" s="36" t="s">
        <v>74</v>
      </c>
      <c r="E77" s="36" t="s">
        <v>75</v>
      </c>
      <c r="F77" s="36" t="s">
        <v>1328</v>
      </c>
      <c r="G77" s="36" t="s">
        <v>1329</v>
      </c>
      <c r="H77" s="36" t="s">
        <v>1330</v>
      </c>
      <c r="I77" s="36" t="s">
        <v>117</v>
      </c>
      <c r="J77" s="36" t="s">
        <v>1331</v>
      </c>
      <c r="K77" s="36" t="s">
        <v>1332</v>
      </c>
      <c r="L77" s="36" t="s">
        <v>1333</v>
      </c>
      <c r="M77" s="36" t="s">
        <v>821</v>
      </c>
      <c r="N77" s="36" t="s">
        <v>822</v>
      </c>
      <c r="O77" s="35" t="s">
        <v>823</v>
      </c>
      <c r="P77" s="36" t="s">
        <v>151</v>
      </c>
      <c r="Q77" s="36" t="s">
        <v>152</v>
      </c>
      <c r="R77" s="36" t="s">
        <v>824</v>
      </c>
      <c r="S77" s="36" t="s">
        <v>825</v>
      </c>
      <c r="T77" s="35" t="s">
        <v>88</v>
      </c>
      <c r="U77" s="36" t="s">
        <v>75</v>
      </c>
      <c r="V77" s="36" t="s">
        <v>75</v>
      </c>
      <c r="W77" s="36" t="s">
        <v>445</v>
      </c>
      <c r="X77" s="37" t="s">
        <v>445</v>
      </c>
      <c r="Y77" s="35" t="s">
        <v>90</v>
      </c>
      <c r="Z77" s="36" t="s">
        <v>90</v>
      </c>
      <c r="AA77" s="36" t="s">
        <v>75</v>
      </c>
      <c r="AB77" s="36" t="s">
        <v>90</v>
      </c>
      <c r="AC77" s="36" t="s">
        <v>445</v>
      </c>
      <c r="AD77" s="36" t="s">
        <v>91</v>
      </c>
      <c r="AE77" s="36" t="s">
        <v>1334</v>
      </c>
      <c r="AF77" s="36" t="s">
        <v>75</v>
      </c>
      <c r="AG77" s="36" t="s">
        <v>75</v>
      </c>
      <c r="AH77" s="36" t="s">
        <v>75</v>
      </c>
      <c r="AI77" s="36" t="s">
        <v>1297</v>
      </c>
      <c r="AJ77" s="36" t="s">
        <v>75</v>
      </c>
      <c r="AK77" s="36" t="s">
        <v>94</v>
      </c>
      <c r="AL77" s="35" t="s">
        <v>90</v>
      </c>
      <c r="AM77" s="36" t="s">
        <v>95</v>
      </c>
      <c r="AN77" s="36" t="s">
        <v>1335</v>
      </c>
      <c r="AO77" s="36" t="s">
        <v>75</v>
      </c>
      <c r="AP77" s="36" t="s">
        <v>75</v>
      </c>
      <c r="AQ77" s="36" t="s">
        <v>75</v>
      </c>
      <c r="AR77" s="36" t="s">
        <v>75</v>
      </c>
      <c r="AS77" s="36" t="s">
        <v>75</v>
      </c>
      <c r="AT77" s="36" t="s">
        <v>75</v>
      </c>
      <c r="AU77" s="36" t="s">
        <v>75</v>
      </c>
      <c r="AV77" s="36" t="s">
        <v>1299</v>
      </c>
      <c r="AW77" s="36" t="s">
        <v>75</v>
      </c>
      <c r="AX77" s="36" t="s">
        <v>75</v>
      </c>
      <c r="AY77" s="36" t="s">
        <v>1300</v>
      </c>
      <c r="AZ77" s="36" t="s">
        <v>1276</v>
      </c>
      <c r="BA77" s="36" t="s">
        <v>1277</v>
      </c>
      <c r="BB77" s="36" t="s">
        <v>101</v>
      </c>
      <c r="BC77" s="36" t="s">
        <v>163</v>
      </c>
      <c r="BD77" s="36" t="s">
        <v>103</v>
      </c>
      <c r="BE77" s="36" t="s">
        <v>75</v>
      </c>
      <c r="BF77" s="36" t="s">
        <v>75</v>
      </c>
      <c r="BG77" s="36" t="s">
        <v>75</v>
      </c>
      <c r="BH77" s="36" t="s">
        <v>75</v>
      </c>
      <c r="BI77" s="36" t="s">
        <v>104</v>
      </c>
      <c r="BJ77" s="36" t="s">
        <v>1336</v>
      </c>
      <c r="BK77" s="36" t="s">
        <v>106</v>
      </c>
      <c r="BL77" s="36" t="s">
        <v>107</v>
      </c>
      <c r="BM77" s="36" t="s">
        <v>75</v>
      </c>
      <c r="BN77" s="36" t="s">
        <v>75</v>
      </c>
      <c r="BO77" s="36" t="s">
        <v>75</v>
      </c>
      <c r="BP77" s="36" t="s">
        <v>75</v>
      </c>
      <c r="BQ77" s="35" t="s">
        <v>833</v>
      </c>
      <c r="BR77" s="36" t="s">
        <v>455</v>
      </c>
      <c r="BS77" s="38" t="s">
        <v>456</v>
      </c>
    </row>
    <row r="78" spans="1:71">
      <c r="A78" s="35" t="s">
        <v>1337</v>
      </c>
      <c r="B78" s="36" t="s">
        <v>112</v>
      </c>
      <c r="C78" s="36" t="s">
        <v>113</v>
      </c>
      <c r="D78" s="36" t="s">
        <v>74</v>
      </c>
      <c r="E78" s="36" t="s">
        <v>75</v>
      </c>
      <c r="F78" s="36" t="s">
        <v>855</v>
      </c>
      <c r="G78" s="36" t="s">
        <v>1338</v>
      </c>
      <c r="H78" s="36" t="s">
        <v>1339</v>
      </c>
      <c r="I78" s="36" t="s">
        <v>413</v>
      </c>
      <c r="J78" s="36" t="s">
        <v>1340</v>
      </c>
      <c r="K78" s="36" t="s">
        <v>1341</v>
      </c>
      <c r="L78" s="36" t="s">
        <v>1342</v>
      </c>
      <c r="M78" s="36" t="s">
        <v>821</v>
      </c>
      <c r="N78" s="36" t="s">
        <v>822</v>
      </c>
      <c r="O78" s="35" t="s">
        <v>823</v>
      </c>
      <c r="P78" s="36" t="s">
        <v>151</v>
      </c>
      <c r="Q78" s="36" t="s">
        <v>152</v>
      </c>
      <c r="R78" s="36" t="s">
        <v>824</v>
      </c>
      <c r="S78" s="36" t="s">
        <v>825</v>
      </c>
      <c r="T78" s="35" t="s">
        <v>88</v>
      </c>
      <c r="U78" s="36" t="s">
        <v>75</v>
      </c>
      <c r="V78" s="36" t="s">
        <v>75</v>
      </c>
      <c r="W78" s="36" t="s">
        <v>445</v>
      </c>
      <c r="X78" s="37" t="s">
        <v>445</v>
      </c>
      <c r="Y78" s="35" t="s">
        <v>90</v>
      </c>
      <c r="Z78" s="36" t="s">
        <v>90</v>
      </c>
      <c r="AA78" s="36" t="s">
        <v>75</v>
      </c>
      <c r="AB78" s="36" t="s">
        <v>90</v>
      </c>
      <c r="AC78" s="36" t="s">
        <v>445</v>
      </c>
      <c r="AD78" s="36" t="s">
        <v>215</v>
      </c>
      <c r="AE78" s="36" t="s">
        <v>1343</v>
      </c>
      <c r="AF78" s="36" t="s">
        <v>75</v>
      </c>
      <c r="AG78" s="36" t="s">
        <v>75</v>
      </c>
      <c r="AH78" s="36" t="s">
        <v>75</v>
      </c>
      <c r="AI78" s="36" t="s">
        <v>1297</v>
      </c>
      <c r="AJ78" s="36" t="s">
        <v>75</v>
      </c>
      <c r="AK78" s="36" t="s">
        <v>94</v>
      </c>
      <c r="AL78" s="35" t="s">
        <v>90</v>
      </c>
      <c r="AM78" s="36" t="s">
        <v>95</v>
      </c>
      <c r="AN78" s="36" t="s">
        <v>1344</v>
      </c>
      <c r="AO78" s="36" t="s">
        <v>75</v>
      </c>
      <c r="AP78" s="36" t="s">
        <v>75</v>
      </c>
      <c r="AQ78" s="36" t="s">
        <v>75</v>
      </c>
      <c r="AR78" s="36" t="s">
        <v>75</v>
      </c>
      <c r="AS78" s="36" t="s">
        <v>75</v>
      </c>
      <c r="AT78" s="36" t="s">
        <v>75</v>
      </c>
      <c r="AU78" s="36" t="s">
        <v>75</v>
      </c>
      <c r="AV78" s="36" t="s">
        <v>1289</v>
      </c>
      <c r="AW78" s="36" t="s">
        <v>75</v>
      </c>
      <c r="AX78" s="36" t="s">
        <v>75</v>
      </c>
      <c r="AY78" s="36" t="s">
        <v>1300</v>
      </c>
      <c r="AZ78" s="36" t="s">
        <v>1276</v>
      </c>
      <c r="BA78" s="36" t="s">
        <v>1277</v>
      </c>
      <c r="BB78" s="36" t="s">
        <v>101</v>
      </c>
      <c r="BC78" s="36" t="s">
        <v>163</v>
      </c>
      <c r="BD78" s="36" t="s">
        <v>103</v>
      </c>
      <c r="BE78" s="36" t="s">
        <v>75</v>
      </c>
      <c r="BF78" s="36" t="s">
        <v>133</v>
      </c>
      <c r="BG78" s="36" t="s">
        <v>1345</v>
      </c>
      <c r="BH78" s="36" t="s">
        <v>75</v>
      </c>
      <c r="BI78" s="36" t="s">
        <v>104</v>
      </c>
      <c r="BJ78" s="36" t="s">
        <v>1346</v>
      </c>
      <c r="BK78" s="36" t="s">
        <v>106</v>
      </c>
      <c r="BL78" s="36" t="s">
        <v>107</v>
      </c>
      <c r="BM78" s="36" t="s">
        <v>75</v>
      </c>
      <c r="BN78" s="36" t="s">
        <v>75</v>
      </c>
      <c r="BO78" s="36" t="s">
        <v>75</v>
      </c>
      <c r="BP78" s="36" t="s">
        <v>75</v>
      </c>
      <c r="BQ78" s="35" t="s">
        <v>833</v>
      </c>
      <c r="BR78" s="36" t="s">
        <v>455</v>
      </c>
      <c r="BS78" s="38" t="s">
        <v>456</v>
      </c>
    </row>
    <row r="79" spans="1:71">
      <c r="A79" s="35" t="s">
        <v>1347</v>
      </c>
      <c r="B79" s="36" t="s">
        <v>72</v>
      </c>
      <c r="C79" s="36" t="s">
        <v>73</v>
      </c>
      <c r="D79" s="36" t="s">
        <v>74</v>
      </c>
      <c r="E79" s="36" t="s">
        <v>75</v>
      </c>
      <c r="F79" s="36" t="s">
        <v>1348</v>
      </c>
      <c r="G79" s="36" t="s">
        <v>1349</v>
      </c>
      <c r="H79" s="36" t="s">
        <v>1350</v>
      </c>
      <c r="I79" s="36" t="s">
        <v>437</v>
      </c>
      <c r="J79" s="36" t="s">
        <v>1351</v>
      </c>
      <c r="K79" s="36" t="s">
        <v>1352</v>
      </c>
      <c r="L79" s="36" t="s">
        <v>1353</v>
      </c>
      <c r="M79" s="36" t="s">
        <v>821</v>
      </c>
      <c r="N79" s="36" t="s">
        <v>822</v>
      </c>
      <c r="O79" s="35" t="s">
        <v>823</v>
      </c>
      <c r="P79" s="36" t="s">
        <v>151</v>
      </c>
      <c r="Q79" s="36" t="s">
        <v>152</v>
      </c>
      <c r="R79" s="36" t="s">
        <v>824</v>
      </c>
      <c r="S79" s="36" t="s">
        <v>825</v>
      </c>
      <c r="T79" s="35" t="s">
        <v>88</v>
      </c>
      <c r="U79" s="36" t="s">
        <v>75</v>
      </c>
      <c r="V79" s="36" t="s">
        <v>75</v>
      </c>
      <c r="W79" s="36" t="s">
        <v>445</v>
      </c>
      <c r="X79" s="37" t="s">
        <v>445</v>
      </c>
      <c r="Y79" s="35" t="s">
        <v>90</v>
      </c>
      <c r="Z79" s="36" t="s">
        <v>90</v>
      </c>
      <c r="AA79" s="36" t="s">
        <v>75</v>
      </c>
      <c r="AB79" s="36" t="s">
        <v>90</v>
      </c>
      <c r="AC79" s="36" t="s">
        <v>445</v>
      </c>
      <c r="AD79" s="36" t="s">
        <v>215</v>
      </c>
      <c r="AE79" s="36" t="s">
        <v>1354</v>
      </c>
      <c r="AF79" s="36" t="s">
        <v>75</v>
      </c>
      <c r="AG79" s="36" t="s">
        <v>75</v>
      </c>
      <c r="AH79" s="36" t="s">
        <v>75</v>
      </c>
      <c r="AI79" s="36" t="s">
        <v>1355</v>
      </c>
      <c r="AJ79" s="36" t="s">
        <v>75</v>
      </c>
      <c r="AK79" s="36" t="s">
        <v>94</v>
      </c>
      <c r="AL79" s="35" t="s">
        <v>90</v>
      </c>
      <c r="AM79" s="36" t="s">
        <v>95</v>
      </c>
      <c r="AN79" s="36" t="s">
        <v>1356</v>
      </c>
      <c r="AO79" s="36" t="s">
        <v>75</v>
      </c>
      <c r="AP79" s="36" t="s">
        <v>75</v>
      </c>
      <c r="AQ79" s="36" t="s">
        <v>75</v>
      </c>
      <c r="AR79" s="36" t="s">
        <v>75</v>
      </c>
      <c r="AS79" s="36" t="s">
        <v>75</v>
      </c>
      <c r="AT79" s="36" t="s">
        <v>75</v>
      </c>
      <c r="AU79" s="36" t="s">
        <v>75</v>
      </c>
      <c r="AV79" s="36" t="s">
        <v>1357</v>
      </c>
      <c r="AW79" s="36" t="s">
        <v>75</v>
      </c>
      <c r="AX79" s="36" t="s">
        <v>75</v>
      </c>
      <c r="AY79" s="36" t="s">
        <v>1358</v>
      </c>
      <c r="AZ79" s="36" t="s">
        <v>1276</v>
      </c>
      <c r="BA79" s="36" t="s">
        <v>1277</v>
      </c>
      <c r="BB79" s="36" t="s">
        <v>101</v>
      </c>
      <c r="BC79" s="36" t="s">
        <v>163</v>
      </c>
      <c r="BD79" s="36" t="s">
        <v>103</v>
      </c>
      <c r="BE79" s="36" t="s">
        <v>75</v>
      </c>
      <c r="BF79" s="36" t="s">
        <v>75</v>
      </c>
      <c r="BG79" s="36" t="s">
        <v>75</v>
      </c>
      <c r="BH79" s="36" t="s">
        <v>75</v>
      </c>
      <c r="BI79" s="36" t="s">
        <v>104</v>
      </c>
      <c r="BJ79" s="36" t="s">
        <v>1359</v>
      </c>
      <c r="BK79" s="36" t="s">
        <v>106</v>
      </c>
      <c r="BL79" s="36" t="s">
        <v>107</v>
      </c>
      <c r="BM79" s="36" t="s">
        <v>75</v>
      </c>
      <c r="BN79" s="36" t="s">
        <v>75</v>
      </c>
      <c r="BO79" s="36" t="s">
        <v>75</v>
      </c>
      <c r="BP79" s="36" t="s">
        <v>75</v>
      </c>
      <c r="BQ79" s="35" t="s">
        <v>833</v>
      </c>
      <c r="BR79" s="36" t="s">
        <v>455</v>
      </c>
      <c r="BS79" s="38" t="s">
        <v>456</v>
      </c>
    </row>
    <row r="80" spans="1:71">
      <c r="A80" s="35" t="s">
        <v>1360</v>
      </c>
      <c r="B80" s="36" t="s">
        <v>72</v>
      </c>
      <c r="C80" s="36" t="s">
        <v>73</v>
      </c>
      <c r="D80" s="36" t="s">
        <v>74</v>
      </c>
      <c r="E80" s="36" t="s">
        <v>75</v>
      </c>
      <c r="F80" s="36" t="s">
        <v>178</v>
      </c>
      <c r="G80" s="36" t="s">
        <v>1361</v>
      </c>
      <c r="H80" s="36" t="s">
        <v>1134</v>
      </c>
      <c r="I80" s="36" t="s">
        <v>117</v>
      </c>
      <c r="J80" s="36" t="s">
        <v>1135</v>
      </c>
      <c r="K80" s="36" t="s">
        <v>1136</v>
      </c>
      <c r="L80" s="36" t="s">
        <v>1362</v>
      </c>
      <c r="M80" s="36" t="s">
        <v>936</v>
      </c>
      <c r="N80" s="36" t="s">
        <v>937</v>
      </c>
      <c r="O80" s="35" t="s">
        <v>938</v>
      </c>
      <c r="P80" s="36" t="s">
        <v>151</v>
      </c>
      <c r="Q80" s="36" t="s">
        <v>152</v>
      </c>
      <c r="R80" s="36" t="s">
        <v>939</v>
      </c>
      <c r="S80" s="36" t="s">
        <v>940</v>
      </c>
      <c r="T80" s="35" t="s">
        <v>88</v>
      </c>
      <c r="U80" s="36" t="s">
        <v>75</v>
      </c>
      <c r="V80" s="36" t="s">
        <v>75</v>
      </c>
      <c r="W80" s="36" t="s">
        <v>445</v>
      </c>
      <c r="X80" s="37" t="s">
        <v>445</v>
      </c>
      <c r="Y80" s="35" t="s">
        <v>90</v>
      </c>
      <c r="Z80" s="36" t="s">
        <v>90</v>
      </c>
      <c r="AA80" s="36" t="s">
        <v>75</v>
      </c>
      <c r="AB80" s="36" t="s">
        <v>90</v>
      </c>
      <c r="AC80" s="36" t="s">
        <v>445</v>
      </c>
      <c r="AD80" s="36" t="s">
        <v>215</v>
      </c>
      <c r="AE80" s="36" t="s">
        <v>1363</v>
      </c>
      <c r="AF80" s="36" t="s">
        <v>75</v>
      </c>
      <c r="AG80" s="36" t="s">
        <v>75</v>
      </c>
      <c r="AH80" s="36" t="s">
        <v>75</v>
      </c>
      <c r="AI80" s="36" t="s">
        <v>1364</v>
      </c>
      <c r="AJ80" s="36" t="s">
        <v>75</v>
      </c>
      <c r="AK80" s="36" t="s">
        <v>94</v>
      </c>
      <c r="AL80" s="35" t="s">
        <v>90</v>
      </c>
      <c r="AM80" s="36" t="s">
        <v>95</v>
      </c>
      <c r="AN80" s="36" t="s">
        <v>1365</v>
      </c>
      <c r="AO80" s="36" t="s">
        <v>75</v>
      </c>
      <c r="AP80" s="36" t="s">
        <v>75</v>
      </c>
      <c r="AQ80" s="36" t="s">
        <v>75</v>
      </c>
      <c r="AR80" s="36" t="s">
        <v>75</v>
      </c>
      <c r="AS80" s="36" t="s">
        <v>75</v>
      </c>
      <c r="AT80" s="36" t="s">
        <v>75</v>
      </c>
      <c r="AU80" s="36" t="s">
        <v>75</v>
      </c>
      <c r="AV80" s="36" t="s">
        <v>1289</v>
      </c>
      <c r="AW80" s="36" t="s">
        <v>75</v>
      </c>
      <c r="AX80" s="36" t="s">
        <v>75</v>
      </c>
      <c r="AY80" s="36" t="s">
        <v>1366</v>
      </c>
      <c r="AZ80" s="36" t="s">
        <v>1291</v>
      </c>
      <c r="BA80" s="36" t="s">
        <v>1292</v>
      </c>
      <c r="BB80" s="36" t="s">
        <v>101</v>
      </c>
      <c r="BC80" s="36" t="s">
        <v>163</v>
      </c>
      <c r="BD80" s="36" t="s">
        <v>103</v>
      </c>
      <c r="BE80" s="36" t="s">
        <v>75</v>
      </c>
      <c r="BF80" s="36" t="s">
        <v>75</v>
      </c>
      <c r="BG80" s="36" t="s">
        <v>75</v>
      </c>
      <c r="BH80" s="36" t="s">
        <v>75</v>
      </c>
      <c r="BI80" s="36" t="s">
        <v>104</v>
      </c>
      <c r="BJ80" s="36" t="s">
        <v>1367</v>
      </c>
      <c r="BK80" s="36" t="s">
        <v>106</v>
      </c>
      <c r="BL80" s="36" t="s">
        <v>107</v>
      </c>
      <c r="BM80" s="36" t="s">
        <v>75</v>
      </c>
      <c r="BN80" s="36" t="s">
        <v>75</v>
      </c>
      <c r="BO80" s="36" t="s">
        <v>75</v>
      </c>
      <c r="BP80" s="36" t="s">
        <v>75</v>
      </c>
      <c r="BQ80" s="35" t="s">
        <v>949</v>
      </c>
      <c r="BR80" s="36" t="s">
        <v>455</v>
      </c>
      <c r="BS80" s="38" t="s">
        <v>456</v>
      </c>
    </row>
    <row r="81" spans="1:71">
      <c r="A81" s="35" t="s">
        <v>1368</v>
      </c>
      <c r="B81" s="36" t="s">
        <v>72</v>
      </c>
      <c r="C81" s="36" t="s">
        <v>73</v>
      </c>
      <c r="D81" s="36" t="s">
        <v>74</v>
      </c>
      <c r="E81" s="36" t="s">
        <v>75</v>
      </c>
      <c r="F81" s="36" t="s">
        <v>1369</v>
      </c>
      <c r="G81" s="36" t="s">
        <v>1370</v>
      </c>
      <c r="H81" s="36" t="s">
        <v>1371</v>
      </c>
      <c r="I81" s="36" t="s">
        <v>735</v>
      </c>
      <c r="J81" s="36" t="s">
        <v>1053</v>
      </c>
      <c r="K81" s="36" t="s">
        <v>1372</v>
      </c>
      <c r="L81" s="36" t="s">
        <v>1373</v>
      </c>
      <c r="M81" s="36" t="s">
        <v>821</v>
      </c>
      <c r="N81" s="36" t="s">
        <v>822</v>
      </c>
      <c r="O81" s="35" t="s">
        <v>823</v>
      </c>
      <c r="P81" s="36" t="s">
        <v>151</v>
      </c>
      <c r="Q81" s="36" t="s">
        <v>152</v>
      </c>
      <c r="R81" s="36" t="s">
        <v>824</v>
      </c>
      <c r="S81" s="36" t="s">
        <v>825</v>
      </c>
      <c r="T81" s="35" t="s">
        <v>88</v>
      </c>
      <c r="U81" s="36" t="s">
        <v>75</v>
      </c>
      <c r="V81" s="36" t="s">
        <v>75</v>
      </c>
      <c r="W81" s="36" t="s">
        <v>445</v>
      </c>
      <c r="X81" s="37" t="s">
        <v>445</v>
      </c>
      <c r="Y81" s="35" t="s">
        <v>90</v>
      </c>
      <c r="Z81" s="36" t="s">
        <v>90</v>
      </c>
      <c r="AA81" s="36" t="s">
        <v>75</v>
      </c>
      <c r="AB81" s="36" t="s">
        <v>90</v>
      </c>
      <c r="AC81" s="36" t="s">
        <v>445</v>
      </c>
      <c r="AD81" s="36" t="s">
        <v>215</v>
      </c>
      <c r="AE81" s="36" t="s">
        <v>1374</v>
      </c>
      <c r="AF81" s="36" t="s">
        <v>75</v>
      </c>
      <c r="AG81" s="36" t="s">
        <v>75</v>
      </c>
      <c r="AH81" s="36" t="s">
        <v>75</v>
      </c>
      <c r="AI81" s="36" t="s">
        <v>1248</v>
      </c>
      <c r="AJ81" s="36" t="s">
        <v>75</v>
      </c>
      <c r="AK81" s="36" t="s">
        <v>94</v>
      </c>
      <c r="AL81" s="35" t="s">
        <v>90</v>
      </c>
      <c r="AM81" s="36" t="s">
        <v>95</v>
      </c>
      <c r="AN81" s="36" t="s">
        <v>1375</v>
      </c>
      <c r="AO81" s="36" t="s">
        <v>75</v>
      </c>
      <c r="AP81" s="36" t="s">
        <v>75</v>
      </c>
      <c r="AQ81" s="36" t="s">
        <v>75</v>
      </c>
      <c r="AR81" s="36" t="s">
        <v>75</v>
      </c>
      <c r="AS81" s="36" t="s">
        <v>75</v>
      </c>
      <c r="AT81" s="36" t="s">
        <v>75</v>
      </c>
      <c r="AU81" s="36" t="s">
        <v>75</v>
      </c>
      <c r="AV81" s="36" t="s">
        <v>1299</v>
      </c>
      <c r="AW81" s="36" t="s">
        <v>75</v>
      </c>
      <c r="AX81" s="36" t="s">
        <v>75</v>
      </c>
      <c r="AY81" s="36" t="s">
        <v>1376</v>
      </c>
      <c r="AZ81" s="36" t="s">
        <v>1276</v>
      </c>
      <c r="BA81" s="36" t="s">
        <v>1277</v>
      </c>
      <c r="BB81" s="36" t="s">
        <v>101</v>
      </c>
      <c r="BC81" s="36" t="s">
        <v>163</v>
      </c>
      <c r="BD81" s="36" t="s">
        <v>103</v>
      </c>
      <c r="BE81" s="36" t="s">
        <v>75</v>
      </c>
      <c r="BF81" s="36" t="s">
        <v>75</v>
      </c>
      <c r="BG81" s="36" t="s">
        <v>75</v>
      </c>
      <c r="BH81" s="36" t="s">
        <v>75</v>
      </c>
      <c r="BI81" s="36" t="s">
        <v>104</v>
      </c>
      <c r="BJ81" s="36" t="s">
        <v>1377</v>
      </c>
      <c r="BK81" s="36" t="s">
        <v>106</v>
      </c>
      <c r="BL81" s="36" t="s">
        <v>107</v>
      </c>
      <c r="BM81" s="36" t="s">
        <v>75</v>
      </c>
      <c r="BN81" s="36" t="s">
        <v>75</v>
      </c>
      <c r="BO81" s="36" t="s">
        <v>75</v>
      </c>
      <c r="BP81" s="36" t="s">
        <v>75</v>
      </c>
      <c r="BQ81" s="35" t="s">
        <v>833</v>
      </c>
      <c r="BR81" s="36" t="s">
        <v>455</v>
      </c>
      <c r="BS81" s="38" t="s">
        <v>456</v>
      </c>
    </row>
    <row r="82" spans="1:71">
      <c r="A82" s="35" t="s">
        <v>1378</v>
      </c>
      <c r="B82" s="36" t="s">
        <v>72</v>
      </c>
      <c r="C82" s="36" t="s">
        <v>73</v>
      </c>
      <c r="D82" s="36" t="s">
        <v>74</v>
      </c>
      <c r="E82" s="36" t="s">
        <v>75</v>
      </c>
      <c r="F82" s="36" t="s">
        <v>1379</v>
      </c>
      <c r="G82" s="36" t="s">
        <v>1380</v>
      </c>
      <c r="H82" s="36" t="s">
        <v>78</v>
      </c>
      <c r="I82" s="36" t="s">
        <v>79</v>
      </c>
      <c r="J82" s="36" t="s">
        <v>80</v>
      </c>
      <c r="K82" s="36" t="s">
        <v>81</v>
      </c>
      <c r="L82" s="36" t="s">
        <v>1381</v>
      </c>
      <c r="M82" s="36" t="s">
        <v>821</v>
      </c>
      <c r="N82" s="36" t="s">
        <v>822</v>
      </c>
      <c r="O82" s="35" t="s">
        <v>823</v>
      </c>
      <c r="P82" s="36" t="s">
        <v>151</v>
      </c>
      <c r="Q82" s="36" t="s">
        <v>152</v>
      </c>
      <c r="R82" s="36" t="s">
        <v>824</v>
      </c>
      <c r="S82" s="36" t="s">
        <v>825</v>
      </c>
      <c r="T82" s="35" t="s">
        <v>88</v>
      </c>
      <c r="U82" s="36" t="s">
        <v>75</v>
      </c>
      <c r="V82" s="36" t="s">
        <v>75</v>
      </c>
      <c r="W82" s="36" t="s">
        <v>445</v>
      </c>
      <c r="X82" s="37" t="s">
        <v>445</v>
      </c>
      <c r="Y82" s="35" t="s">
        <v>90</v>
      </c>
      <c r="Z82" s="36" t="s">
        <v>90</v>
      </c>
      <c r="AA82" s="36" t="s">
        <v>75</v>
      </c>
      <c r="AB82" s="36" t="s">
        <v>90</v>
      </c>
      <c r="AC82" s="36" t="s">
        <v>445</v>
      </c>
      <c r="AD82" s="36" t="s">
        <v>91</v>
      </c>
      <c r="AE82" s="36" t="s">
        <v>1382</v>
      </c>
      <c r="AF82" s="36" t="s">
        <v>75</v>
      </c>
      <c r="AG82" s="36" t="s">
        <v>75</v>
      </c>
      <c r="AH82" s="36" t="s">
        <v>75</v>
      </c>
      <c r="AI82" s="36" t="s">
        <v>1355</v>
      </c>
      <c r="AJ82" s="36" t="s">
        <v>75</v>
      </c>
      <c r="AK82" s="36" t="s">
        <v>94</v>
      </c>
      <c r="AL82" s="35" t="s">
        <v>90</v>
      </c>
      <c r="AM82" s="36" t="s">
        <v>95</v>
      </c>
      <c r="AN82" s="36" t="s">
        <v>1383</v>
      </c>
      <c r="AO82" s="36" t="s">
        <v>75</v>
      </c>
      <c r="AP82" s="36" t="s">
        <v>75</v>
      </c>
      <c r="AQ82" s="36" t="s">
        <v>75</v>
      </c>
      <c r="AR82" s="36" t="s">
        <v>75</v>
      </c>
      <c r="AS82" s="36" t="s">
        <v>75</v>
      </c>
      <c r="AT82" s="36" t="s">
        <v>75</v>
      </c>
      <c r="AU82" s="36" t="s">
        <v>75</v>
      </c>
      <c r="AV82" s="36" t="s">
        <v>1357</v>
      </c>
      <c r="AW82" s="36" t="s">
        <v>75</v>
      </c>
      <c r="AX82" s="36" t="s">
        <v>75</v>
      </c>
      <c r="AY82" s="36" t="s">
        <v>1358</v>
      </c>
      <c r="AZ82" s="36" t="s">
        <v>1276</v>
      </c>
      <c r="BA82" s="36" t="s">
        <v>1277</v>
      </c>
      <c r="BB82" s="36" t="s">
        <v>101</v>
      </c>
      <c r="BC82" s="36" t="s">
        <v>163</v>
      </c>
      <c r="BD82" s="36" t="s">
        <v>103</v>
      </c>
      <c r="BE82" s="36" t="s">
        <v>75</v>
      </c>
      <c r="BF82" s="36" t="s">
        <v>75</v>
      </c>
      <c r="BG82" s="36" t="s">
        <v>75</v>
      </c>
      <c r="BH82" s="36" t="s">
        <v>75</v>
      </c>
      <c r="BI82" s="36" t="s">
        <v>104</v>
      </c>
      <c r="BJ82" s="36" t="s">
        <v>1384</v>
      </c>
      <c r="BK82" s="36" t="s">
        <v>106</v>
      </c>
      <c r="BL82" s="36" t="s">
        <v>107</v>
      </c>
      <c r="BM82" s="36" t="s">
        <v>75</v>
      </c>
      <c r="BN82" s="36" t="s">
        <v>75</v>
      </c>
      <c r="BO82" s="36" t="s">
        <v>75</v>
      </c>
      <c r="BP82" s="36" t="s">
        <v>75</v>
      </c>
      <c r="BQ82" s="35" t="s">
        <v>833</v>
      </c>
      <c r="BR82" s="36" t="s">
        <v>455</v>
      </c>
      <c r="BS82" s="38" t="s">
        <v>456</v>
      </c>
    </row>
    <row r="83" spans="1:71">
      <c r="A83" s="35" t="s">
        <v>1385</v>
      </c>
      <c r="B83" s="36" t="s">
        <v>72</v>
      </c>
      <c r="C83" s="36" t="s">
        <v>73</v>
      </c>
      <c r="D83" s="36" t="s">
        <v>74</v>
      </c>
      <c r="E83" s="36" t="s">
        <v>75</v>
      </c>
      <c r="F83" s="36" t="s">
        <v>1386</v>
      </c>
      <c r="G83" s="36" t="s">
        <v>1387</v>
      </c>
      <c r="H83" s="36" t="s">
        <v>1388</v>
      </c>
      <c r="I83" s="36" t="s">
        <v>144</v>
      </c>
      <c r="J83" s="36" t="s">
        <v>145</v>
      </c>
      <c r="K83" s="36" t="s">
        <v>1389</v>
      </c>
      <c r="L83" s="36" t="s">
        <v>1390</v>
      </c>
      <c r="M83" s="36" t="s">
        <v>821</v>
      </c>
      <c r="N83" s="36" t="s">
        <v>822</v>
      </c>
      <c r="O83" s="35" t="s">
        <v>823</v>
      </c>
      <c r="P83" s="36" t="s">
        <v>151</v>
      </c>
      <c r="Q83" s="36" t="s">
        <v>152</v>
      </c>
      <c r="R83" s="36" t="s">
        <v>824</v>
      </c>
      <c r="S83" s="36" t="s">
        <v>825</v>
      </c>
      <c r="T83" s="35" t="s">
        <v>88</v>
      </c>
      <c r="U83" s="36" t="s">
        <v>75</v>
      </c>
      <c r="V83" s="36" t="s">
        <v>75</v>
      </c>
      <c r="W83" s="36" t="s">
        <v>445</v>
      </c>
      <c r="X83" s="37" t="s">
        <v>445</v>
      </c>
      <c r="Y83" s="35" t="s">
        <v>90</v>
      </c>
      <c r="Z83" s="36" t="s">
        <v>90</v>
      </c>
      <c r="AA83" s="36" t="s">
        <v>75</v>
      </c>
      <c r="AB83" s="36" t="s">
        <v>90</v>
      </c>
      <c r="AC83" s="36" t="s">
        <v>445</v>
      </c>
      <c r="AD83" s="36" t="s">
        <v>215</v>
      </c>
      <c r="AE83" s="36" t="s">
        <v>1391</v>
      </c>
      <c r="AF83" s="36" t="s">
        <v>75</v>
      </c>
      <c r="AG83" s="36" t="s">
        <v>75</v>
      </c>
      <c r="AH83" s="36" t="s">
        <v>75</v>
      </c>
      <c r="AI83" s="36" t="s">
        <v>1272</v>
      </c>
      <c r="AJ83" s="36" t="s">
        <v>75</v>
      </c>
      <c r="AK83" s="36" t="s">
        <v>94</v>
      </c>
      <c r="AL83" s="35" t="s">
        <v>90</v>
      </c>
      <c r="AM83" s="36" t="s">
        <v>95</v>
      </c>
      <c r="AN83" s="36" t="s">
        <v>1392</v>
      </c>
      <c r="AO83" s="36" t="s">
        <v>75</v>
      </c>
      <c r="AP83" s="36" t="s">
        <v>75</v>
      </c>
      <c r="AQ83" s="36" t="s">
        <v>75</v>
      </c>
      <c r="AR83" s="36" t="s">
        <v>75</v>
      </c>
      <c r="AS83" s="36" t="s">
        <v>75</v>
      </c>
      <c r="AT83" s="36" t="s">
        <v>75</v>
      </c>
      <c r="AU83" s="36" t="s">
        <v>75</v>
      </c>
      <c r="AV83" s="36" t="s">
        <v>1357</v>
      </c>
      <c r="AW83" s="36" t="s">
        <v>75</v>
      </c>
      <c r="AX83" s="36" t="s">
        <v>75</v>
      </c>
      <c r="AY83" s="36" t="s">
        <v>1275</v>
      </c>
      <c r="AZ83" s="36" t="s">
        <v>1276</v>
      </c>
      <c r="BA83" s="36" t="s">
        <v>1277</v>
      </c>
      <c r="BB83" s="36" t="s">
        <v>101</v>
      </c>
      <c r="BC83" s="36" t="s">
        <v>163</v>
      </c>
      <c r="BD83" s="36" t="s">
        <v>103</v>
      </c>
      <c r="BE83" s="36" t="s">
        <v>75</v>
      </c>
      <c r="BF83" s="36" t="s">
        <v>75</v>
      </c>
      <c r="BG83" s="36" t="s">
        <v>75</v>
      </c>
      <c r="BH83" s="36" t="s">
        <v>75</v>
      </c>
      <c r="BI83" s="36" t="s">
        <v>104</v>
      </c>
      <c r="BJ83" s="36" t="s">
        <v>1393</v>
      </c>
      <c r="BK83" s="36" t="s">
        <v>106</v>
      </c>
      <c r="BL83" s="36" t="s">
        <v>107</v>
      </c>
      <c r="BM83" s="36" t="s">
        <v>75</v>
      </c>
      <c r="BN83" s="36" t="s">
        <v>75</v>
      </c>
      <c r="BO83" s="36" t="s">
        <v>75</v>
      </c>
      <c r="BP83" s="36" t="s">
        <v>75</v>
      </c>
      <c r="BQ83" s="35" t="s">
        <v>833</v>
      </c>
      <c r="BR83" s="36" t="s">
        <v>455</v>
      </c>
      <c r="BS83" s="38" t="s">
        <v>456</v>
      </c>
    </row>
    <row r="84" spans="1:71">
      <c r="A84" s="35" t="s">
        <v>1394</v>
      </c>
      <c r="B84" s="36" t="s">
        <v>112</v>
      </c>
      <c r="C84" s="36" t="s">
        <v>113</v>
      </c>
      <c r="D84" s="36" t="s">
        <v>74</v>
      </c>
      <c r="E84" s="36" t="s">
        <v>75</v>
      </c>
      <c r="F84" s="36" t="s">
        <v>1395</v>
      </c>
      <c r="G84" s="36" t="s">
        <v>1396</v>
      </c>
      <c r="H84" s="36" t="s">
        <v>1397</v>
      </c>
      <c r="I84" s="36" t="s">
        <v>266</v>
      </c>
      <c r="J84" s="36" t="s">
        <v>267</v>
      </c>
      <c r="K84" s="36" t="s">
        <v>1398</v>
      </c>
      <c r="L84" s="36" t="s">
        <v>1399</v>
      </c>
      <c r="M84" s="36" t="s">
        <v>821</v>
      </c>
      <c r="N84" s="36" t="s">
        <v>822</v>
      </c>
      <c r="O84" s="35" t="s">
        <v>823</v>
      </c>
      <c r="P84" s="36" t="s">
        <v>151</v>
      </c>
      <c r="Q84" s="36" t="s">
        <v>152</v>
      </c>
      <c r="R84" s="36" t="s">
        <v>824</v>
      </c>
      <c r="S84" s="36" t="s">
        <v>825</v>
      </c>
      <c r="T84" s="35" t="s">
        <v>88</v>
      </c>
      <c r="U84" s="36" t="s">
        <v>75</v>
      </c>
      <c r="V84" s="36" t="s">
        <v>75</v>
      </c>
      <c r="W84" s="36" t="s">
        <v>445</v>
      </c>
      <c r="X84" s="37" t="s">
        <v>445</v>
      </c>
      <c r="Y84" s="35" t="s">
        <v>90</v>
      </c>
      <c r="Z84" s="36" t="s">
        <v>90</v>
      </c>
      <c r="AA84" s="36" t="s">
        <v>75</v>
      </c>
      <c r="AB84" s="36" t="s">
        <v>90</v>
      </c>
      <c r="AC84" s="36" t="s">
        <v>445</v>
      </c>
      <c r="AD84" s="36" t="s">
        <v>215</v>
      </c>
      <c r="AE84" s="36" t="s">
        <v>1400</v>
      </c>
      <c r="AF84" s="36" t="s">
        <v>75</v>
      </c>
      <c r="AG84" s="36" t="s">
        <v>75</v>
      </c>
      <c r="AH84" s="36" t="s">
        <v>75</v>
      </c>
      <c r="AI84" s="36" t="s">
        <v>1355</v>
      </c>
      <c r="AJ84" s="36" t="s">
        <v>75</v>
      </c>
      <c r="AK84" s="36" t="s">
        <v>94</v>
      </c>
      <c r="AL84" s="35" t="s">
        <v>90</v>
      </c>
      <c r="AM84" s="36" t="s">
        <v>95</v>
      </c>
      <c r="AN84" s="36" t="s">
        <v>1401</v>
      </c>
      <c r="AO84" s="36" t="s">
        <v>75</v>
      </c>
      <c r="AP84" s="36" t="s">
        <v>75</v>
      </c>
      <c r="AQ84" s="36" t="s">
        <v>75</v>
      </c>
      <c r="AR84" s="36" t="s">
        <v>75</v>
      </c>
      <c r="AS84" s="36" t="s">
        <v>75</v>
      </c>
      <c r="AT84" s="36" t="s">
        <v>75</v>
      </c>
      <c r="AU84" s="36" t="s">
        <v>75</v>
      </c>
      <c r="AV84" s="36" t="s">
        <v>1289</v>
      </c>
      <c r="AW84" s="36" t="s">
        <v>75</v>
      </c>
      <c r="AX84" s="36" t="s">
        <v>75</v>
      </c>
      <c r="AY84" s="36" t="s">
        <v>1358</v>
      </c>
      <c r="AZ84" s="36" t="s">
        <v>1276</v>
      </c>
      <c r="BA84" s="36" t="s">
        <v>1277</v>
      </c>
      <c r="BB84" s="36" t="s">
        <v>101</v>
      </c>
      <c r="BC84" s="36" t="s">
        <v>163</v>
      </c>
      <c r="BD84" s="36" t="s">
        <v>103</v>
      </c>
      <c r="BE84" s="36" t="s">
        <v>75</v>
      </c>
      <c r="BF84" s="36" t="s">
        <v>133</v>
      </c>
      <c r="BG84" s="36" t="s">
        <v>1402</v>
      </c>
      <c r="BH84" s="36" t="s">
        <v>75</v>
      </c>
      <c r="BI84" s="36" t="s">
        <v>104</v>
      </c>
      <c r="BJ84" s="36" t="s">
        <v>1403</v>
      </c>
      <c r="BK84" s="36" t="s">
        <v>106</v>
      </c>
      <c r="BL84" s="36" t="s">
        <v>107</v>
      </c>
      <c r="BM84" s="36" t="s">
        <v>75</v>
      </c>
      <c r="BN84" s="36" t="s">
        <v>75</v>
      </c>
      <c r="BO84" s="36" t="s">
        <v>75</v>
      </c>
      <c r="BP84" s="36" t="s">
        <v>75</v>
      </c>
      <c r="BQ84" s="35" t="s">
        <v>833</v>
      </c>
      <c r="BR84" s="36" t="s">
        <v>455</v>
      </c>
      <c r="BS84" s="38" t="s">
        <v>456</v>
      </c>
    </row>
    <row r="85" spans="1:71">
      <c r="A85" s="35" t="s">
        <v>1404</v>
      </c>
      <c r="B85" s="36" t="s">
        <v>72</v>
      </c>
      <c r="C85" s="36" t="s">
        <v>73</v>
      </c>
      <c r="D85" s="36" t="s">
        <v>74</v>
      </c>
      <c r="E85" s="36" t="s">
        <v>75</v>
      </c>
      <c r="F85" s="36" t="s">
        <v>1405</v>
      </c>
      <c r="G85" s="36" t="s">
        <v>1406</v>
      </c>
      <c r="H85" s="36" t="s">
        <v>1407</v>
      </c>
      <c r="I85" s="36" t="s">
        <v>437</v>
      </c>
      <c r="J85" s="36" t="s">
        <v>1165</v>
      </c>
      <c r="K85" s="36" t="s">
        <v>1408</v>
      </c>
      <c r="L85" s="36" t="s">
        <v>1409</v>
      </c>
      <c r="M85" s="36" t="s">
        <v>936</v>
      </c>
      <c r="N85" s="36" t="s">
        <v>937</v>
      </c>
      <c r="O85" s="35" t="s">
        <v>938</v>
      </c>
      <c r="P85" s="36" t="s">
        <v>151</v>
      </c>
      <c r="Q85" s="36" t="s">
        <v>152</v>
      </c>
      <c r="R85" s="36" t="s">
        <v>939</v>
      </c>
      <c r="S85" s="36" t="s">
        <v>940</v>
      </c>
      <c r="T85" s="35" t="s">
        <v>88</v>
      </c>
      <c r="U85" s="36" t="s">
        <v>75</v>
      </c>
      <c r="V85" s="36" t="s">
        <v>75</v>
      </c>
      <c r="W85" s="36" t="s">
        <v>445</v>
      </c>
      <c r="X85" s="37" t="s">
        <v>445</v>
      </c>
      <c r="Y85" s="35" t="s">
        <v>90</v>
      </c>
      <c r="Z85" s="36" t="s">
        <v>90</v>
      </c>
      <c r="AA85" s="36" t="s">
        <v>75</v>
      </c>
      <c r="AB85" s="36" t="s">
        <v>90</v>
      </c>
      <c r="AC85" s="36" t="s">
        <v>445</v>
      </c>
      <c r="AD85" s="36" t="s">
        <v>215</v>
      </c>
      <c r="AE85" s="36" t="s">
        <v>1410</v>
      </c>
      <c r="AF85" s="36" t="s">
        <v>75</v>
      </c>
      <c r="AG85" s="36" t="s">
        <v>75</v>
      </c>
      <c r="AH85" s="36" t="s">
        <v>75</v>
      </c>
      <c r="AI85" s="36" t="s">
        <v>1355</v>
      </c>
      <c r="AJ85" s="36" t="s">
        <v>75</v>
      </c>
      <c r="AK85" s="36" t="s">
        <v>94</v>
      </c>
      <c r="AL85" s="35" t="s">
        <v>90</v>
      </c>
      <c r="AM85" s="36" t="s">
        <v>95</v>
      </c>
      <c r="AN85" s="36" t="s">
        <v>1411</v>
      </c>
      <c r="AO85" s="36" t="s">
        <v>75</v>
      </c>
      <c r="AP85" s="36" t="s">
        <v>75</v>
      </c>
      <c r="AQ85" s="36" t="s">
        <v>75</v>
      </c>
      <c r="AR85" s="36" t="s">
        <v>75</v>
      </c>
      <c r="AS85" s="36" t="s">
        <v>75</v>
      </c>
      <c r="AT85" s="36" t="s">
        <v>75</v>
      </c>
      <c r="AU85" s="36" t="s">
        <v>75</v>
      </c>
      <c r="AV85" s="36" t="s">
        <v>1412</v>
      </c>
      <c r="AW85" s="36" t="s">
        <v>75</v>
      </c>
      <c r="AX85" s="36" t="s">
        <v>75</v>
      </c>
      <c r="AY85" s="36" t="s">
        <v>1358</v>
      </c>
      <c r="AZ85" s="36" t="s">
        <v>1291</v>
      </c>
      <c r="BA85" s="36" t="s">
        <v>1292</v>
      </c>
      <c r="BB85" s="36" t="s">
        <v>101</v>
      </c>
      <c r="BC85" s="36" t="s">
        <v>163</v>
      </c>
      <c r="BD85" s="36" t="s">
        <v>103</v>
      </c>
      <c r="BE85" s="36" t="s">
        <v>75</v>
      </c>
      <c r="BF85" s="36" t="s">
        <v>75</v>
      </c>
      <c r="BG85" s="36" t="s">
        <v>75</v>
      </c>
      <c r="BH85" s="36" t="s">
        <v>75</v>
      </c>
      <c r="BI85" s="36" t="s">
        <v>104</v>
      </c>
      <c r="BJ85" s="36" t="s">
        <v>1413</v>
      </c>
      <c r="BK85" s="36" t="s">
        <v>106</v>
      </c>
      <c r="BL85" s="36" t="s">
        <v>107</v>
      </c>
      <c r="BM85" s="36" t="s">
        <v>75</v>
      </c>
      <c r="BN85" s="36" t="s">
        <v>75</v>
      </c>
      <c r="BO85" s="36" t="s">
        <v>75</v>
      </c>
      <c r="BP85" s="36" t="s">
        <v>75</v>
      </c>
      <c r="BQ85" s="35" t="s">
        <v>949</v>
      </c>
      <c r="BR85" s="36" t="s">
        <v>455</v>
      </c>
      <c r="BS85" s="38" t="s">
        <v>456</v>
      </c>
    </row>
    <row r="86" spans="1:71">
      <c r="A86" s="35" t="s">
        <v>1414</v>
      </c>
      <c r="B86" s="36" t="s">
        <v>112</v>
      </c>
      <c r="C86" s="36" t="s">
        <v>113</v>
      </c>
      <c r="D86" s="36" t="s">
        <v>74</v>
      </c>
      <c r="E86" s="36" t="s">
        <v>75</v>
      </c>
      <c r="F86" s="36" t="s">
        <v>855</v>
      </c>
      <c r="G86" s="36" t="s">
        <v>1415</v>
      </c>
      <c r="H86" s="36" t="s">
        <v>1416</v>
      </c>
      <c r="I86" s="36" t="s">
        <v>1417</v>
      </c>
      <c r="J86" s="36" t="s">
        <v>1418</v>
      </c>
      <c r="K86" s="36" t="s">
        <v>1419</v>
      </c>
      <c r="L86" s="36" t="s">
        <v>1420</v>
      </c>
      <c r="M86" s="36" t="s">
        <v>417</v>
      </c>
      <c r="N86" s="36" t="s">
        <v>418</v>
      </c>
      <c r="O86" s="35" t="s">
        <v>419</v>
      </c>
      <c r="P86" s="36" t="s">
        <v>75</v>
      </c>
      <c r="Q86" s="36" t="s">
        <v>75</v>
      </c>
      <c r="R86" s="36" t="s">
        <v>420</v>
      </c>
      <c r="S86" s="36" t="s">
        <v>257</v>
      </c>
      <c r="T86" s="35" t="s">
        <v>88</v>
      </c>
      <c r="U86" s="36" t="s">
        <v>75</v>
      </c>
      <c r="V86" s="36" t="s">
        <v>75</v>
      </c>
      <c r="W86" s="36" t="s">
        <v>421</v>
      </c>
      <c r="X86" s="37" t="s">
        <v>421</v>
      </c>
      <c r="Y86" s="35" t="s">
        <v>90</v>
      </c>
      <c r="Z86" s="36" t="s">
        <v>90</v>
      </c>
      <c r="AA86" s="36" t="s">
        <v>75</v>
      </c>
      <c r="AB86" s="36" t="s">
        <v>90</v>
      </c>
      <c r="AC86" s="36" t="s">
        <v>421</v>
      </c>
      <c r="AD86" s="36" t="s">
        <v>215</v>
      </c>
      <c r="AE86" s="36" t="s">
        <v>1421</v>
      </c>
      <c r="AF86" s="36" t="s">
        <v>75</v>
      </c>
      <c r="AG86" s="36" t="s">
        <v>75</v>
      </c>
      <c r="AH86" s="36" t="s">
        <v>75</v>
      </c>
      <c r="AI86" s="36" t="s">
        <v>1422</v>
      </c>
      <c r="AJ86" s="36" t="s">
        <v>75</v>
      </c>
      <c r="AK86" s="36" t="s">
        <v>94</v>
      </c>
      <c r="AL86" s="35" t="s">
        <v>90</v>
      </c>
      <c r="AM86" s="36" t="s">
        <v>95</v>
      </c>
      <c r="AN86" s="36" t="s">
        <v>1423</v>
      </c>
      <c r="AO86" s="36" t="s">
        <v>75</v>
      </c>
      <c r="AP86" s="36" t="s">
        <v>75</v>
      </c>
      <c r="AQ86" s="36" t="s">
        <v>75</v>
      </c>
      <c r="AR86" s="36" t="s">
        <v>75</v>
      </c>
      <c r="AS86" s="36" t="s">
        <v>75</v>
      </c>
      <c r="AT86" s="36" t="s">
        <v>75</v>
      </c>
      <c r="AU86" s="36" t="s">
        <v>75</v>
      </c>
      <c r="AV86" s="36" t="s">
        <v>1424</v>
      </c>
      <c r="AW86" s="36" t="s">
        <v>75</v>
      </c>
      <c r="AX86" s="36" t="s">
        <v>75</v>
      </c>
      <c r="AY86" s="36" t="s">
        <v>1425</v>
      </c>
      <c r="AZ86" s="36" t="s">
        <v>1426</v>
      </c>
      <c r="BA86" s="36" t="s">
        <v>75</v>
      </c>
      <c r="BB86" s="36" t="s">
        <v>101</v>
      </c>
      <c r="BC86" s="36" t="s">
        <v>75</v>
      </c>
      <c r="BD86" s="36" t="s">
        <v>103</v>
      </c>
      <c r="BE86" s="36" t="s">
        <v>75</v>
      </c>
      <c r="BF86" s="36" t="s">
        <v>133</v>
      </c>
      <c r="BG86" s="36" t="s">
        <v>1427</v>
      </c>
      <c r="BH86" s="36" t="s">
        <v>75</v>
      </c>
      <c r="BI86" s="36" t="s">
        <v>104</v>
      </c>
      <c r="BJ86" s="36" t="s">
        <v>1428</v>
      </c>
      <c r="BK86" s="36" t="s">
        <v>106</v>
      </c>
      <c r="BL86" s="36" t="s">
        <v>107</v>
      </c>
      <c r="BM86" s="36" t="s">
        <v>75</v>
      </c>
      <c r="BN86" s="36" t="s">
        <v>75</v>
      </c>
      <c r="BO86" s="36" t="s">
        <v>75</v>
      </c>
      <c r="BP86" s="36" t="s">
        <v>75</v>
      </c>
      <c r="BQ86" s="35" t="s">
        <v>430</v>
      </c>
      <c r="BR86" s="36" t="s">
        <v>431</v>
      </c>
      <c r="BS86" s="38" t="s">
        <v>432</v>
      </c>
    </row>
    <row r="87" spans="1:71">
      <c r="A87" s="35" t="s">
        <v>1414</v>
      </c>
      <c r="B87" s="36" t="s">
        <v>112</v>
      </c>
      <c r="C87" s="36" t="s">
        <v>113</v>
      </c>
      <c r="D87" s="36" t="s">
        <v>74</v>
      </c>
      <c r="E87" s="36" t="s">
        <v>75</v>
      </c>
      <c r="F87" s="36" t="s">
        <v>855</v>
      </c>
      <c r="G87" s="36" t="s">
        <v>1415</v>
      </c>
      <c r="H87" s="36" t="s">
        <v>1416</v>
      </c>
      <c r="I87" s="36" t="s">
        <v>1417</v>
      </c>
      <c r="J87" s="36" t="s">
        <v>1418</v>
      </c>
      <c r="K87" s="36" t="s">
        <v>1419</v>
      </c>
      <c r="L87" s="36" t="s">
        <v>1420</v>
      </c>
      <c r="M87" s="36" t="s">
        <v>1429</v>
      </c>
      <c r="N87" s="36" t="s">
        <v>1430</v>
      </c>
      <c r="O87" s="35" t="s">
        <v>1431</v>
      </c>
      <c r="P87" s="36" t="s">
        <v>151</v>
      </c>
      <c r="Q87" s="36" t="s">
        <v>152</v>
      </c>
      <c r="R87" s="36" t="s">
        <v>1432</v>
      </c>
      <c r="S87" s="36" t="s">
        <v>257</v>
      </c>
      <c r="T87" s="35" t="s">
        <v>88</v>
      </c>
      <c r="U87" s="36" t="s">
        <v>75</v>
      </c>
      <c r="V87" s="36" t="s">
        <v>75</v>
      </c>
      <c r="W87" s="36" t="s">
        <v>373</v>
      </c>
      <c r="X87" s="37" t="s">
        <v>373</v>
      </c>
      <c r="Y87" s="35" t="s">
        <v>90</v>
      </c>
      <c r="Z87" s="36" t="s">
        <v>90</v>
      </c>
      <c r="AA87" s="36" t="s">
        <v>75</v>
      </c>
      <c r="AB87" s="36" t="s">
        <v>90</v>
      </c>
      <c r="AC87" s="36" t="s">
        <v>373</v>
      </c>
      <c r="AD87" s="36" t="s">
        <v>215</v>
      </c>
      <c r="AE87" s="36" t="s">
        <v>1421</v>
      </c>
      <c r="AF87" s="36" t="s">
        <v>75</v>
      </c>
      <c r="AG87" s="36" t="s">
        <v>75</v>
      </c>
      <c r="AH87" s="36" t="s">
        <v>75</v>
      </c>
      <c r="AI87" s="36" t="s">
        <v>1422</v>
      </c>
      <c r="AJ87" s="36" t="s">
        <v>75</v>
      </c>
      <c r="AK87" s="36" t="s">
        <v>94</v>
      </c>
      <c r="AL87" s="35" t="s">
        <v>90</v>
      </c>
      <c r="AM87" s="36" t="s">
        <v>95</v>
      </c>
      <c r="AN87" s="36" t="s">
        <v>1433</v>
      </c>
      <c r="AO87" s="36" t="s">
        <v>75</v>
      </c>
      <c r="AP87" s="36" t="s">
        <v>75</v>
      </c>
      <c r="AQ87" s="36" t="s">
        <v>75</v>
      </c>
      <c r="AR87" s="36" t="s">
        <v>75</v>
      </c>
      <c r="AS87" s="36" t="s">
        <v>75</v>
      </c>
      <c r="AT87" s="36" t="s">
        <v>75</v>
      </c>
      <c r="AU87" s="36" t="s">
        <v>75</v>
      </c>
      <c r="AV87" s="36" t="s">
        <v>1424</v>
      </c>
      <c r="AW87" s="36" t="s">
        <v>75</v>
      </c>
      <c r="AX87" s="36" t="s">
        <v>75</v>
      </c>
      <c r="AY87" s="36" t="s">
        <v>1425</v>
      </c>
      <c r="AZ87" s="36" t="s">
        <v>1434</v>
      </c>
      <c r="BA87" s="36" t="s">
        <v>75</v>
      </c>
      <c r="BB87" s="36" t="s">
        <v>101</v>
      </c>
      <c r="BC87" s="36" t="s">
        <v>75</v>
      </c>
      <c r="BD87" s="36" t="s">
        <v>103</v>
      </c>
      <c r="BE87" s="36" t="s">
        <v>75</v>
      </c>
      <c r="BF87" s="36" t="s">
        <v>133</v>
      </c>
      <c r="BG87" s="36" t="s">
        <v>1427</v>
      </c>
      <c r="BH87" s="36" t="s">
        <v>75</v>
      </c>
      <c r="BI87" s="36" t="s">
        <v>104</v>
      </c>
      <c r="BJ87" s="36" t="s">
        <v>1428</v>
      </c>
      <c r="BK87" s="36" t="s">
        <v>106</v>
      </c>
      <c r="BL87" s="36" t="s">
        <v>107</v>
      </c>
      <c r="BM87" s="36" t="s">
        <v>75</v>
      </c>
      <c r="BN87" s="36" t="s">
        <v>75</v>
      </c>
      <c r="BO87" s="36" t="s">
        <v>75</v>
      </c>
      <c r="BP87" s="36" t="s">
        <v>75</v>
      </c>
      <c r="BQ87" s="35" t="s">
        <v>1435</v>
      </c>
      <c r="BR87" s="36" t="s">
        <v>407</v>
      </c>
      <c r="BS87" s="38" t="s">
        <v>408</v>
      </c>
    </row>
    <row r="88" spans="1:71">
      <c r="A88" s="35" t="s">
        <v>1414</v>
      </c>
      <c r="B88" s="36" t="s">
        <v>112</v>
      </c>
      <c r="C88" s="36" t="s">
        <v>113</v>
      </c>
      <c r="D88" s="36" t="s">
        <v>74</v>
      </c>
      <c r="E88" s="36" t="s">
        <v>75</v>
      </c>
      <c r="F88" s="36" t="s">
        <v>855</v>
      </c>
      <c r="G88" s="36" t="s">
        <v>1415</v>
      </c>
      <c r="H88" s="36" t="s">
        <v>1416</v>
      </c>
      <c r="I88" s="36" t="s">
        <v>1417</v>
      </c>
      <c r="J88" s="36" t="s">
        <v>1418</v>
      </c>
      <c r="K88" s="36" t="s">
        <v>1419</v>
      </c>
      <c r="L88" s="36" t="s">
        <v>1420</v>
      </c>
      <c r="M88" s="36" t="s">
        <v>1436</v>
      </c>
      <c r="N88" s="36" t="s">
        <v>1437</v>
      </c>
      <c r="O88" s="35" t="s">
        <v>1438</v>
      </c>
      <c r="P88" s="36" t="s">
        <v>151</v>
      </c>
      <c r="Q88" s="36" t="s">
        <v>152</v>
      </c>
      <c r="R88" s="36" t="s">
        <v>1439</v>
      </c>
      <c r="S88" s="36" t="s">
        <v>257</v>
      </c>
      <c r="T88" s="35" t="s">
        <v>88</v>
      </c>
      <c r="U88" s="36" t="s">
        <v>75</v>
      </c>
      <c r="V88" s="36" t="s">
        <v>75</v>
      </c>
      <c r="W88" s="36" t="s">
        <v>126</v>
      </c>
      <c r="X88" s="37" t="s">
        <v>126</v>
      </c>
      <c r="Y88" s="35" t="s">
        <v>90</v>
      </c>
      <c r="Z88" s="36" t="s">
        <v>90</v>
      </c>
      <c r="AA88" s="36" t="s">
        <v>75</v>
      </c>
      <c r="AB88" s="36" t="s">
        <v>90</v>
      </c>
      <c r="AC88" s="36" t="s">
        <v>126</v>
      </c>
      <c r="AD88" s="36" t="s">
        <v>215</v>
      </c>
      <c r="AE88" s="36" t="s">
        <v>1421</v>
      </c>
      <c r="AF88" s="36" t="s">
        <v>75</v>
      </c>
      <c r="AG88" s="36" t="s">
        <v>75</v>
      </c>
      <c r="AH88" s="36" t="s">
        <v>75</v>
      </c>
      <c r="AI88" s="36" t="s">
        <v>1422</v>
      </c>
      <c r="AJ88" s="36" t="s">
        <v>75</v>
      </c>
      <c r="AK88" s="36" t="s">
        <v>94</v>
      </c>
      <c r="AL88" s="35" t="s">
        <v>90</v>
      </c>
      <c r="AM88" s="36" t="s">
        <v>75</v>
      </c>
      <c r="AN88" s="36" t="s">
        <v>75</v>
      </c>
      <c r="AO88" s="36" t="s">
        <v>75</v>
      </c>
      <c r="AP88" s="36" t="s">
        <v>75</v>
      </c>
      <c r="AQ88" s="36" t="s">
        <v>75</v>
      </c>
      <c r="AR88" s="36" t="s">
        <v>75</v>
      </c>
      <c r="AS88" s="36" t="s">
        <v>75</v>
      </c>
      <c r="AT88" s="36" t="s">
        <v>75</v>
      </c>
      <c r="AU88" s="36" t="s">
        <v>75</v>
      </c>
      <c r="AV88" s="36" t="s">
        <v>1424</v>
      </c>
      <c r="AW88" s="36" t="s">
        <v>75</v>
      </c>
      <c r="AX88" s="36" t="s">
        <v>75</v>
      </c>
      <c r="AY88" s="36" t="s">
        <v>1425</v>
      </c>
      <c r="AZ88" s="36" t="s">
        <v>75</v>
      </c>
      <c r="BA88" s="36" t="s">
        <v>75</v>
      </c>
      <c r="BB88" s="36" t="s">
        <v>101</v>
      </c>
      <c r="BC88" s="36" t="s">
        <v>75</v>
      </c>
      <c r="BD88" s="36" t="s">
        <v>103</v>
      </c>
      <c r="BE88" s="36" t="s">
        <v>75</v>
      </c>
      <c r="BF88" s="36" t="s">
        <v>133</v>
      </c>
      <c r="BG88" s="36" t="s">
        <v>1427</v>
      </c>
      <c r="BH88" s="36" t="s">
        <v>75</v>
      </c>
      <c r="BI88" s="36" t="s">
        <v>104</v>
      </c>
      <c r="BJ88" s="36" t="s">
        <v>1428</v>
      </c>
      <c r="BK88" s="36" t="s">
        <v>106</v>
      </c>
      <c r="BL88" s="36" t="s">
        <v>107</v>
      </c>
      <c r="BM88" s="36" t="s">
        <v>75</v>
      </c>
      <c r="BN88" s="36" t="s">
        <v>75</v>
      </c>
      <c r="BO88" s="36" t="s">
        <v>75</v>
      </c>
      <c r="BP88" s="36" t="s">
        <v>75</v>
      </c>
      <c r="BQ88" s="35" t="s">
        <v>1440</v>
      </c>
      <c r="BR88" s="36" t="s">
        <v>1441</v>
      </c>
      <c r="BS88" s="38" t="s">
        <v>1442</v>
      </c>
    </row>
    <row r="89" spans="1:71">
      <c r="A89" s="35" t="s">
        <v>1443</v>
      </c>
      <c r="B89" s="36" t="s">
        <v>72</v>
      </c>
      <c r="C89" s="36" t="s">
        <v>73</v>
      </c>
      <c r="D89" s="36" t="s">
        <v>74</v>
      </c>
      <c r="E89" s="36" t="s">
        <v>75</v>
      </c>
      <c r="F89" s="36" t="s">
        <v>1444</v>
      </c>
      <c r="G89" s="36" t="s">
        <v>1445</v>
      </c>
      <c r="H89" s="36" t="s">
        <v>643</v>
      </c>
      <c r="I89" s="36" t="s">
        <v>79</v>
      </c>
      <c r="J89" s="36" t="s">
        <v>80</v>
      </c>
      <c r="K89" s="36" t="s">
        <v>644</v>
      </c>
      <c r="L89" s="36" t="s">
        <v>1446</v>
      </c>
      <c r="M89" s="36" t="s">
        <v>394</v>
      </c>
      <c r="N89" s="36" t="s">
        <v>395</v>
      </c>
      <c r="O89" s="35" t="s">
        <v>396</v>
      </c>
      <c r="P89" s="36" t="s">
        <v>151</v>
      </c>
      <c r="Q89" s="36" t="s">
        <v>152</v>
      </c>
      <c r="R89" s="36" t="s">
        <v>397</v>
      </c>
      <c r="S89" s="36" t="s">
        <v>187</v>
      </c>
      <c r="T89" s="35" t="s">
        <v>88</v>
      </c>
      <c r="U89" s="36" t="s">
        <v>75</v>
      </c>
      <c r="V89" s="36" t="s">
        <v>75</v>
      </c>
      <c r="W89" s="36" t="s">
        <v>373</v>
      </c>
      <c r="X89" s="37" t="s">
        <v>373</v>
      </c>
      <c r="Y89" s="35" t="s">
        <v>90</v>
      </c>
      <c r="Z89" s="36" t="s">
        <v>90</v>
      </c>
      <c r="AA89" s="36" t="s">
        <v>75</v>
      </c>
      <c r="AB89" s="36" t="s">
        <v>90</v>
      </c>
      <c r="AC89" s="36" t="s">
        <v>373</v>
      </c>
      <c r="AD89" s="36" t="s">
        <v>91</v>
      </c>
      <c r="AE89" s="36" t="s">
        <v>1447</v>
      </c>
      <c r="AF89" s="36" t="s">
        <v>75</v>
      </c>
      <c r="AG89" s="36" t="s">
        <v>75</v>
      </c>
      <c r="AH89" s="36" t="s">
        <v>75</v>
      </c>
      <c r="AI89" s="36" t="s">
        <v>1448</v>
      </c>
      <c r="AJ89" s="36" t="s">
        <v>75</v>
      </c>
      <c r="AK89" s="36" t="s">
        <v>94</v>
      </c>
      <c r="AL89" s="35" t="s">
        <v>90</v>
      </c>
      <c r="AM89" s="36" t="s">
        <v>95</v>
      </c>
      <c r="AN89" s="36" t="s">
        <v>1449</v>
      </c>
      <c r="AO89" s="36" t="s">
        <v>75</v>
      </c>
      <c r="AP89" s="36" t="s">
        <v>75</v>
      </c>
      <c r="AQ89" s="36" t="s">
        <v>75</v>
      </c>
      <c r="AR89" s="36" t="s">
        <v>75</v>
      </c>
      <c r="AS89" s="36" t="s">
        <v>75</v>
      </c>
      <c r="AT89" s="36" t="s">
        <v>75</v>
      </c>
      <c r="AU89" s="36" t="s">
        <v>75</v>
      </c>
      <c r="AV89" s="36" t="s">
        <v>1450</v>
      </c>
      <c r="AW89" s="36" t="s">
        <v>75</v>
      </c>
      <c r="AX89" s="36" t="s">
        <v>75</v>
      </c>
      <c r="AY89" s="36" t="s">
        <v>1451</v>
      </c>
      <c r="AZ89" s="36" t="s">
        <v>1434</v>
      </c>
      <c r="BA89" s="36" t="s">
        <v>1452</v>
      </c>
      <c r="BB89" s="36" t="s">
        <v>101</v>
      </c>
      <c r="BC89" s="36" t="s">
        <v>102</v>
      </c>
      <c r="BD89" s="36" t="s">
        <v>103</v>
      </c>
      <c r="BE89" s="36" t="s">
        <v>75</v>
      </c>
      <c r="BF89" s="36" t="s">
        <v>75</v>
      </c>
      <c r="BG89" s="36" t="s">
        <v>75</v>
      </c>
      <c r="BH89" s="36" t="s">
        <v>75</v>
      </c>
      <c r="BI89" s="36" t="s">
        <v>104</v>
      </c>
      <c r="BJ89" s="36" t="s">
        <v>1453</v>
      </c>
      <c r="BK89" s="36" t="s">
        <v>106</v>
      </c>
      <c r="BL89" s="36" t="s">
        <v>107</v>
      </c>
      <c r="BM89" s="36" t="s">
        <v>75</v>
      </c>
      <c r="BN89" s="36" t="s">
        <v>75</v>
      </c>
      <c r="BO89" s="36" t="s">
        <v>75</v>
      </c>
      <c r="BP89" s="36" t="s">
        <v>75</v>
      </c>
      <c r="BQ89" s="35" t="s">
        <v>406</v>
      </c>
      <c r="BR89" s="36" t="s">
        <v>407</v>
      </c>
      <c r="BS89" s="38" t="s">
        <v>408</v>
      </c>
    </row>
    <row r="90" spans="1:71">
      <c r="A90" s="35" t="s">
        <v>1454</v>
      </c>
      <c r="B90" s="36" t="s">
        <v>112</v>
      </c>
      <c r="C90" s="36" t="s">
        <v>113</v>
      </c>
      <c r="D90" s="36" t="s">
        <v>74</v>
      </c>
      <c r="E90" s="36" t="s">
        <v>75</v>
      </c>
      <c r="F90" s="36" t="s">
        <v>1455</v>
      </c>
      <c r="G90" s="36" t="s">
        <v>1456</v>
      </c>
      <c r="H90" s="36" t="s">
        <v>1457</v>
      </c>
      <c r="I90" s="36" t="s">
        <v>1120</v>
      </c>
      <c r="J90" s="36" t="s">
        <v>1121</v>
      </c>
      <c r="K90" s="36" t="s">
        <v>1458</v>
      </c>
      <c r="L90" s="36" t="s">
        <v>1459</v>
      </c>
      <c r="M90" s="36" t="s">
        <v>394</v>
      </c>
      <c r="N90" s="36" t="s">
        <v>395</v>
      </c>
      <c r="O90" s="35" t="s">
        <v>396</v>
      </c>
      <c r="P90" s="36" t="s">
        <v>151</v>
      </c>
      <c r="Q90" s="36" t="s">
        <v>152</v>
      </c>
      <c r="R90" s="36" t="s">
        <v>397</v>
      </c>
      <c r="S90" s="36" t="s">
        <v>187</v>
      </c>
      <c r="T90" s="35" t="s">
        <v>88</v>
      </c>
      <c r="U90" s="36" t="s">
        <v>75</v>
      </c>
      <c r="V90" s="36" t="s">
        <v>75</v>
      </c>
      <c r="W90" s="36" t="s">
        <v>373</v>
      </c>
      <c r="X90" s="37" t="s">
        <v>373</v>
      </c>
      <c r="Y90" s="35" t="s">
        <v>90</v>
      </c>
      <c r="Z90" s="36" t="s">
        <v>90</v>
      </c>
      <c r="AA90" s="36" t="s">
        <v>75</v>
      </c>
      <c r="AB90" s="36" t="s">
        <v>90</v>
      </c>
      <c r="AC90" s="36" t="s">
        <v>373</v>
      </c>
      <c r="AD90" s="36" t="s">
        <v>91</v>
      </c>
      <c r="AE90" s="36" t="s">
        <v>1460</v>
      </c>
      <c r="AF90" s="36" t="s">
        <v>75</v>
      </c>
      <c r="AG90" s="36" t="s">
        <v>75</v>
      </c>
      <c r="AH90" s="36" t="s">
        <v>75</v>
      </c>
      <c r="AI90" s="36" t="s">
        <v>1461</v>
      </c>
      <c r="AJ90" s="36" t="s">
        <v>75</v>
      </c>
      <c r="AK90" s="36" t="s">
        <v>94</v>
      </c>
      <c r="AL90" s="35" t="s">
        <v>90</v>
      </c>
      <c r="AM90" s="36" t="s">
        <v>95</v>
      </c>
      <c r="AN90" s="36" t="s">
        <v>1462</v>
      </c>
      <c r="AO90" s="36" t="s">
        <v>75</v>
      </c>
      <c r="AP90" s="36" t="s">
        <v>75</v>
      </c>
      <c r="AQ90" s="36" t="s">
        <v>75</v>
      </c>
      <c r="AR90" s="36" t="s">
        <v>75</v>
      </c>
      <c r="AS90" s="36" t="s">
        <v>75</v>
      </c>
      <c r="AT90" s="36" t="s">
        <v>75</v>
      </c>
      <c r="AU90" s="36" t="s">
        <v>75</v>
      </c>
      <c r="AV90" s="36" t="s">
        <v>1463</v>
      </c>
      <c r="AW90" s="36" t="s">
        <v>75</v>
      </c>
      <c r="AX90" s="36" t="s">
        <v>75</v>
      </c>
      <c r="AY90" s="36" t="s">
        <v>1464</v>
      </c>
      <c r="AZ90" s="36" t="s">
        <v>1465</v>
      </c>
      <c r="BA90" s="36" t="s">
        <v>75</v>
      </c>
      <c r="BB90" s="36" t="s">
        <v>101</v>
      </c>
      <c r="BC90" s="36" t="s">
        <v>75</v>
      </c>
      <c r="BD90" s="36" t="s">
        <v>103</v>
      </c>
      <c r="BE90" s="36" t="s">
        <v>75</v>
      </c>
      <c r="BF90" s="36" t="s">
        <v>133</v>
      </c>
      <c r="BG90" s="36" t="s">
        <v>1466</v>
      </c>
      <c r="BH90" s="36" t="s">
        <v>75</v>
      </c>
      <c r="BI90" s="36" t="s">
        <v>104</v>
      </c>
      <c r="BJ90" s="36" t="s">
        <v>1467</v>
      </c>
      <c r="BK90" s="36" t="s">
        <v>106</v>
      </c>
      <c r="BL90" s="36" t="s">
        <v>107</v>
      </c>
      <c r="BM90" s="36" t="s">
        <v>75</v>
      </c>
      <c r="BN90" s="36" t="s">
        <v>75</v>
      </c>
      <c r="BO90" s="36" t="s">
        <v>75</v>
      </c>
      <c r="BP90" s="36" t="s">
        <v>75</v>
      </c>
      <c r="BQ90" s="35" t="s">
        <v>406</v>
      </c>
      <c r="BR90" s="36" t="s">
        <v>407</v>
      </c>
      <c r="BS90" s="38" t="s">
        <v>408</v>
      </c>
    </row>
    <row r="91" spans="1:71">
      <c r="A91" s="35" t="s">
        <v>1468</v>
      </c>
      <c r="B91" s="36" t="s">
        <v>72</v>
      </c>
      <c r="C91" s="36" t="s">
        <v>73</v>
      </c>
      <c r="D91" s="36" t="s">
        <v>74</v>
      </c>
      <c r="E91" s="36" t="s">
        <v>75</v>
      </c>
      <c r="F91" s="36" t="s">
        <v>1032</v>
      </c>
      <c r="G91" s="36" t="s">
        <v>1469</v>
      </c>
      <c r="H91" s="36" t="s">
        <v>577</v>
      </c>
      <c r="I91" s="36" t="s">
        <v>117</v>
      </c>
      <c r="J91" s="36" t="s">
        <v>578</v>
      </c>
      <c r="K91" s="36" t="s">
        <v>579</v>
      </c>
      <c r="L91" s="36" t="s">
        <v>1470</v>
      </c>
      <c r="M91" s="36" t="s">
        <v>1471</v>
      </c>
      <c r="N91" s="36" t="s">
        <v>1472</v>
      </c>
      <c r="O91" s="35" t="s">
        <v>1473</v>
      </c>
      <c r="P91" s="36" t="s">
        <v>151</v>
      </c>
      <c r="Q91" s="36" t="s">
        <v>152</v>
      </c>
      <c r="R91" s="36" t="s">
        <v>1474</v>
      </c>
      <c r="S91" s="36" t="s">
        <v>187</v>
      </c>
      <c r="T91" s="35" t="s">
        <v>88</v>
      </c>
      <c r="U91" s="36" t="s">
        <v>75</v>
      </c>
      <c r="V91" s="36" t="s">
        <v>75</v>
      </c>
      <c r="W91" s="36" t="s">
        <v>126</v>
      </c>
      <c r="X91" s="37" t="s">
        <v>126</v>
      </c>
      <c r="Y91" s="35" t="s">
        <v>90</v>
      </c>
      <c r="Z91" s="36" t="s">
        <v>90</v>
      </c>
      <c r="AA91" s="36" t="s">
        <v>75</v>
      </c>
      <c r="AB91" s="36" t="s">
        <v>90</v>
      </c>
      <c r="AC91" s="36" t="s">
        <v>126</v>
      </c>
      <c r="AD91" s="36" t="s">
        <v>215</v>
      </c>
      <c r="AE91" s="36" t="s">
        <v>75</v>
      </c>
      <c r="AF91" s="36" t="s">
        <v>75</v>
      </c>
      <c r="AG91" s="36" t="s">
        <v>75</v>
      </c>
      <c r="AH91" s="36" t="s">
        <v>75</v>
      </c>
      <c r="AI91" s="36" t="s">
        <v>1475</v>
      </c>
      <c r="AJ91" s="36" t="s">
        <v>75</v>
      </c>
      <c r="AK91" s="36" t="s">
        <v>94</v>
      </c>
      <c r="AL91" s="35" t="s">
        <v>90</v>
      </c>
      <c r="AM91" s="36" t="s">
        <v>95</v>
      </c>
      <c r="AN91" s="36" t="s">
        <v>1476</v>
      </c>
      <c r="AO91" s="36" t="s">
        <v>75</v>
      </c>
      <c r="AP91" s="36" t="s">
        <v>75</v>
      </c>
      <c r="AQ91" s="36" t="s">
        <v>75</v>
      </c>
      <c r="AR91" s="36" t="s">
        <v>75</v>
      </c>
      <c r="AS91" s="36" t="s">
        <v>75</v>
      </c>
      <c r="AT91" s="36" t="s">
        <v>75</v>
      </c>
      <c r="AU91" s="36" t="s">
        <v>75</v>
      </c>
      <c r="AV91" s="36" t="s">
        <v>1477</v>
      </c>
      <c r="AW91" s="36" t="s">
        <v>75</v>
      </c>
      <c r="AX91" s="36" t="s">
        <v>75</v>
      </c>
      <c r="AY91" s="36" t="s">
        <v>1478</v>
      </c>
      <c r="AZ91" s="36" t="s">
        <v>1479</v>
      </c>
      <c r="BA91" s="36" t="s">
        <v>1480</v>
      </c>
      <c r="BB91" s="36" t="s">
        <v>101</v>
      </c>
      <c r="BC91" s="36" t="s">
        <v>163</v>
      </c>
      <c r="BD91" s="36" t="s">
        <v>103</v>
      </c>
      <c r="BE91" s="36" t="s">
        <v>75</v>
      </c>
      <c r="BF91" s="36" t="s">
        <v>75</v>
      </c>
      <c r="BG91" s="36" t="s">
        <v>75</v>
      </c>
      <c r="BH91" s="36" t="s">
        <v>75</v>
      </c>
      <c r="BI91" s="36" t="s">
        <v>104</v>
      </c>
      <c r="BJ91" s="36" t="s">
        <v>1481</v>
      </c>
      <c r="BK91" s="36" t="s">
        <v>106</v>
      </c>
      <c r="BL91" s="36" t="s">
        <v>107</v>
      </c>
      <c r="BM91" s="36" t="s">
        <v>75</v>
      </c>
      <c r="BN91" s="36" t="s">
        <v>75</v>
      </c>
      <c r="BO91" s="36" t="s">
        <v>75</v>
      </c>
      <c r="BP91" s="36" t="s">
        <v>75</v>
      </c>
      <c r="BQ91" s="35" t="s">
        <v>1482</v>
      </c>
      <c r="BR91" s="36" t="s">
        <v>1483</v>
      </c>
      <c r="BS91" s="38" t="s">
        <v>1484</v>
      </c>
    </row>
    <row r="92" spans="1:71">
      <c r="A92" s="35" t="s">
        <v>1485</v>
      </c>
      <c r="B92" s="36" t="s">
        <v>72</v>
      </c>
      <c r="C92" s="36" t="s">
        <v>73</v>
      </c>
      <c r="D92" s="36" t="s">
        <v>74</v>
      </c>
      <c r="E92" s="36" t="s">
        <v>75</v>
      </c>
      <c r="F92" s="36" t="s">
        <v>1486</v>
      </c>
      <c r="G92" s="36" t="s">
        <v>1487</v>
      </c>
      <c r="H92" s="36" t="s">
        <v>1488</v>
      </c>
      <c r="I92" s="36" t="s">
        <v>1218</v>
      </c>
      <c r="J92" s="36" t="s">
        <v>1489</v>
      </c>
      <c r="K92" s="36" t="s">
        <v>1490</v>
      </c>
      <c r="L92" s="36" t="s">
        <v>1491</v>
      </c>
      <c r="M92" s="36" t="s">
        <v>1492</v>
      </c>
      <c r="N92" s="36" t="s">
        <v>1493</v>
      </c>
      <c r="O92" s="35" t="s">
        <v>1494</v>
      </c>
      <c r="P92" s="36" t="s">
        <v>151</v>
      </c>
      <c r="Q92" s="36" t="s">
        <v>152</v>
      </c>
      <c r="R92" s="36" t="s">
        <v>1495</v>
      </c>
      <c r="S92" s="36" t="s">
        <v>1496</v>
      </c>
      <c r="T92" s="35" t="s">
        <v>88</v>
      </c>
      <c r="U92" s="36" t="s">
        <v>75</v>
      </c>
      <c r="V92" s="36" t="s">
        <v>75</v>
      </c>
      <c r="W92" s="36" t="s">
        <v>126</v>
      </c>
      <c r="X92" s="37" t="s">
        <v>126</v>
      </c>
      <c r="Y92" s="35" t="s">
        <v>90</v>
      </c>
      <c r="Z92" s="36" t="s">
        <v>90</v>
      </c>
      <c r="AA92" s="36" t="s">
        <v>75</v>
      </c>
      <c r="AB92" s="36" t="s">
        <v>90</v>
      </c>
      <c r="AC92" s="36" t="s">
        <v>126</v>
      </c>
      <c r="AD92" s="36" t="s">
        <v>91</v>
      </c>
      <c r="AE92" s="36" t="s">
        <v>1497</v>
      </c>
      <c r="AF92" s="36" t="s">
        <v>75</v>
      </c>
      <c r="AG92" s="36" t="s">
        <v>75</v>
      </c>
      <c r="AH92" s="36" t="s">
        <v>75</v>
      </c>
      <c r="AI92" s="36" t="s">
        <v>1498</v>
      </c>
      <c r="AJ92" s="36" t="s">
        <v>75</v>
      </c>
      <c r="AK92" s="36" t="s">
        <v>94</v>
      </c>
      <c r="AL92" s="35" t="s">
        <v>90</v>
      </c>
      <c r="AM92" s="36" t="s">
        <v>95</v>
      </c>
      <c r="AN92" s="36" t="s">
        <v>1499</v>
      </c>
      <c r="AO92" s="36" t="s">
        <v>75</v>
      </c>
      <c r="AP92" s="36" t="s">
        <v>75</v>
      </c>
      <c r="AQ92" s="36" t="s">
        <v>75</v>
      </c>
      <c r="AR92" s="36" t="s">
        <v>75</v>
      </c>
      <c r="AS92" s="36" t="s">
        <v>75</v>
      </c>
      <c r="AT92" s="36" t="s">
        <v>75</v>
      </c>
      <c r="AU92" s="36" t="s">
        <v>75</v>
      </c>
      <c r="AV92" s="36" t="s">
        <v>1500</v>
      </c>
      <c r="AW92" s="36" t="s">
        <v>75</v>
      </c>
      <c r="AX92" s="36" t="s">
        <v>75</v>
      </c>
      <c r="AY92" s="36" t="s">
        <v>1501</v>
      </c>
      <c r="AZ92" s="36" t="s">
        <v>1502</v>
      </c>
      <c r="BA92" s="36" t="s">
        <v>1503</v>
      </c>
      <c r="BB92" s="36" t="s">
        <v>101</v>
      </c>
      <c r="BC92" s="36" t="s">
        <v>163</v>
      </c>
      <c r="BD92" s="36" t="s">
        <v>103</v>
      </c>
      <c r="BE92" s="36" t="s">
        <v>75</v>
      </c>
      <c r="BF92" s="36" t="s">
        <v>75</v>
      </c>
      <c r="BG92" s="36" t="s">
        <v>75</v>
      </c>
      <c r="BH92" s="36" t="s">
        <v>75</v>
      </c>
      <c r="BI92" s="36" t="s">
        <v>104</v>
      </c>
      <c r="BJ92" s="36" t="s">
        <v>1504</v>
      </c>
      <c r="BK92" s="36" t="s">
        <v>106</v>
      </c>
      <c r="BL92" s="36" t="s">
        <v>107</v>
      </c>
      <c r="BM92" s="36" t="s">
        <v>75</v>
      </c>
      <c r="BN92" s="36" t="s">
        <v>75</v>
      </c>
      <c r="BO92" s="36" t="s">
        <v>75</v>
      </c>
      <c r="BP92" s="36" t="s">
        <v>75</v>
      </c>
      <c r="BQ92" s="35" t="s">
        <v>1505</v>
      </c>
      <c r="BR92" s="36" t="s">
        <v>1483</v>
      </c>
      <c r="BS92" s="38" t="s">
        <v>1484</v>
      </c>
    </row>
    <row r="93" spans="1:71">
      <c r="A93" s="35" t="s">
        <v>1506</v>
      </c>
      <c r="B93" s="36" t="s">
        <v>72</v>
      </c>
      <c r="C93" s="36" t="s">
        <v>73</v>
      </c>
      <c r="D93" s="36" t="s">
        <v>74</v>
      </c>
      <c r="E93" s="36" t="s">
        <v>75</v>
      </c>
      <c r="F93" s="36" t="s">
        <v>1507</v>
      </c>
      <c r="G93" s="36" t="s">
        <v>1508</v>
      </c>
      <c r="H93" s="36" t="s">
        <v>1509</v>
      </c>
      <c r="I93" s="36" t="s">
        <v>858</v>
      </c>
      <c r="J93" s="36" t="s">
        <v>859</v>
      </c>
      <c r="K93" s="36" t="s">
        <v>1510</v>
      </c>
      <c r="L93" s="36" t="s">
        <v>1511</v>
      </c>
      <c r="M93" s="36" t="s">
        <v>1512</v>
      </c>
      <c r="N93" s="36" t="s">
        <v>1513</v>
      </c>
      <c r="O93" s="35" t="s">
        <v>1514</v>
      </c>
      <c r="P93" s="36" t="s">
        <v>151</v>
      </c>
      <c r="Q93" s="36" t="s">
        <v>152</v>
      </c>
      <c r="R93" s="36" t="s">
        <v>1515</v>
      </c>
      <c r="S93" s="36" t="s">
        <v>1516</v>
      </c>
      <c r="T93" s="35" t="s">
        <v>88</v>
      </c>
      <c r="U93" s="36" t="s">
        <v>75</v>
      </c>
      <c r="V93" s="36" t="s">
        <v>75</v>
      </c>
      <c r="W93" s="36" t="s">
        <v>1517</v>
      </c>
      <c r="X93" s="37" t="s">
        <v>1517</v>
      </c>
      <c r="Y93" s="35" t="s">
        <v>90</v>
      </c>
      <c r="Z93" s="36" t="s">
        <v>90</v>
      </c>
      <c r="AA93" s="36" t="s">
        <v>75</v>
      </c>
      <c r="AB93" s="36" t="s">
        <v>90</v>
      </c>
      <c r="AC93" s="36" t="s">
        <v>1517</v>
      </c>
      <c r="AD93" s="36" t="s">
        <v>352</v>
      </c>
      <c r="AE93" s="36" t="s">
        <v>75</v>
      </c>
      <c r="AF93" s="36" t="s">
        <v>75</v>
      </c>
      <c r="AG93" s="36" t="s">
        <v>75</v>
      </c>
      <c r="AH93" s="36" t="s">
        <v>75</v>
      </c>
      <c r="AI93" s="36" t="s">
        <v>1518</v>
      </c>
      <c r="AJ93" s="36" t="s">
        <v>75</v>
      </c>
      <c r="AK93" s="36" t="s">
        <v>94</v>
      </c>
      <c r="AL93" s="35" t="s">
        <v>90</v>
      </c>
      <c r="AM93" s="36" t="s">
        <v>95</v>
      </c>
      <c r="AN93" s="36" t="s">
        <v>1519</v>
      </c>
      <c r="AO93" s="36" t="s">
        <v>75</v>
      </c>
      <c r="AP93" s="36" t="s">
        <v>75</v>
      </c>
      <c r="AQ93" s="36" t="s">
        <v>75</v>
      </c>
      <c r="AR93" s="36" t="s">
        <v>75</v>
      </c>
      <c r="AS93" s="36" t="s">
        <v>75</v>
      </c>
      <c r="AT93" s="36" t="s">
        <v>75</v>
      </c>
      <c r="AU93" s="36" t="s">
        <v>75</v>
      </c>
      <c r="AV93" s="36" t="s">
        <v>1520</v>
      </c>
      <c r="AW93" s="36" t="s">
        <v>75</v>
      </c>
      <c r="AX93" s="36" t="s">
        <v>75</v>
      </c>
      <c r="AY93" s="36" t="s">
        <v>1521</v>
      </c>
      <c r="AZ93" s="36" t="s">
        <v>1522</v>
      </c>
      <c r="BA93" s="36" t="s">
        <v>1523</v>
      </c>
      <c r="BB93" s="36" t="s">
        <v>101</v>
      </c>
      <c r="BC93" s="36" t="s">
        <v>102</v>
      </c>
      <c r="BD93" s="36" t="s">
        <v>103</v>
      </c>
      <c r="BE93" s="36" t="s">
        <v>75</v>
      </c>
      <c r="BF93" s="36" t="s">
        <v>75</v>
      </c>
      <c r="BG93" s="36" t="s">
        <v>75</v>
      </c>
      <c r="BH93" s="36" t="s">
        <v>75</v>
      </c>
      <c r="BI93" s="36" t="s">
        <v>104</v>
      </c>
      <c r="BJ93" s="36" t="s">
        <v>1524</v>
      </c>
      <c r="BK93" s="36" t="s">
        <v>106</v>
      </c>
      <c r="BL93" s="36" t="s">
        <v>107</v>
      </c>
      <c r="BM93" s="36" t="s">
        <v>75</v>
      </c>
      <c r="BN93" s="36" t="s">
        <v>75</v>
      </c>
      <c r="BO93" s="36" t="s">
        <v>75</v>
      </c>
      <c r="BP93" s="36" t="s">
        <v>75</v>
      </c>
      <c r="BQ93" s="35" t="s">
        <v>1525</v>
      </c>
      <c r="BR93" s="36" t="s">
        <v>1526</v>
      </c>
      <c r="BS93" s="38" t="s">
        <v>1527</v>
      </c>
    </row>
    <row r="94" spans="1:71">
      <c r="A94" s="35" t="s">
        <v>1528</v>
      </c>
      <c r="B94" s="36" t="s">
        <v>112</v>
      </c>
      <c r="C94" s="36" t="s">
        <v>113</v>
      </c>
      <c r="D94" s="36" t="s">
        <v>74</v>
      </c>
      <c r="E94" s="36" t="s">
        <v>75</v>
      </c>
      <c r="F94" s="36" t="s">
        <v>1529</v>
      </c>
      <c r="G94" s="36" t="s">
        <v>1530</v>
      </c>
      <c r="H94" s="36" t="s">
        <v>1531</v>
      </c>
      <c r="I94" s="36" t="s">
        <v>283</v>
      </c>
      <c r="J94" s="36" t="s">
        <v>284</v>
      </c>
      <c r="K94" s="36" t="s">
        <v>1532</v>
      </c>
      <c r="L94" s="36" t="s">
        <v>1533</v>
      </c>
      <c r="M94" s="36" t="s">
        <v>1534</v>
      </c>
      <c r="N94" s="36" t="s">
        <v>1535</v>
      </c>
      <c r="O94" s="35" t="s">
        <v>1536</v>
      </c>
      <c r="P94" s="36" t="s">
        <v>151</v>
      </c>
      <c r="Q94" s="36" t="s">
        <v>152</v>
      </c>
      <c r="R94" s="36" t="s">
        <v>1537</v>
      </c>
      <c r="S94" s="36" t="s">
        <v>291</v>
      </c>
      <c r="T94" s="35" t="s">
        <v>88</v>
      </c>
      <c r="U94" s="36" t="s">
        <v>75</v>
      </c>
      <c r="V94" s="36" t="s">
        <v>75</v>
      </c>
      <c r="W94" s="36" t="s">
        <v>126</v>
      </c>
      <c r="X94" s="37" t="s">
        <v>126</v>
      </c>
      <c r="Y94" s="35" t="s">
        <v>90</v>
      </c>
      <c r="Z94" s="36" t="s">
        <v>90</v>
      </c>
      <c r="AA94" s="36" t="s">
        <v>75</v>
      </c>
      <c r="AB94" s="36" t="s">
        <v>90</v>
      </c>
      <c r="AC94" s="36" t="s">
        <v>126</v>
      </c>
      <c r="AD94" s="36" t="s">
        <v>215</v>
      </c>
      <c r="AE94" s="36" t="s">
        <v>1538</v>
      </c>
      <c r="AF94" s="36" t="s">
        <v>75</v>
      </c>
      <c r="AG94" s="36" t="s">
        <v>75</v>
      </c>
      <c r="AH94" s="36" t="s">
        <v>75</v>
      </c>
      <c r="AI94" s="36" t="s">
        <v>1539</v>
      </c>
      <c r="AJ94" s="36" t="s">
        <v>75</v>
      </c>
      <c r="AK94" s="36" t="s">
        <v>94</v>
      </c>
      <c r="AL94" s="35" t="s">
        <v>90</v>
      </c>
      <c r="AM94" s="36" t="s">
        <v>95</v>
      </c>
      <c r="AN94" s="36" t="s">
        <v>1540</v>
      </c>
      <c r="AO94" s="36" t="s">
        <v>75</v>
      </c>
      <c r="AP94" s="36" t="s">
        <v>75</v>
      </c>
      <c r="AQ94" s="36" t="s">
        <v>75</v>
      </c>
      <c r="AR94" s="36" t="s">
        <v>75</v>
      </c>
      <c r="AS94" s="36" t="s">
        <v>75</v>
      </c>
      <c r="AT94" s="36" t="s">
        <v>75</v>
      </c>
      <c r="AU94" s="36" t="s">
        <v>75</v>
      </c>
      <c r="AV94" s="36" t="s">
        <v>1541</v>
      </c>
      <c r="AW94" s="36" t="s">
        <v>75</v>
      </c>
      <c r="AX94" s="36" t="s">
        <v>75</v>
      </c>
      <c r="AY94" s="36" t="s">
        <v>1542</v>
      </c>
      <c r="AZ94" s="36" t="s">
        <v>1543</v>
      </c>
      <c r="BA94" s="36" t="s">
        <v>1544</v>
      </c>
      <c r="BB94" s="36" t="s">
        <v>101</v>
      </c>
      <c r="BC94" s="36" t="s">
        <v>163</v>
      </c>
      <c r="BD94" s="36" t="s">
        <v>103</v>
      </c>
      <c r="BE94" s="36" t="s">
        <v>75</v>
      </c>
      <c r="BF94" s="36" t="s">
        <v>133</v>
      </c>
      <c r="BG94" s="36" t="s">
        <v>1545</v>
      </c>
      <c r="BH94" s="36" t="s">
        <v>75</v>
      </c>
      <c r="BI94" s="36" t="s">
        <v>104</v>
      </c>
      <c r="BJ94" s="36" t="s">
        <v>1546</v>
      </c>
      <c r="BK94" s="36" t="s">
        <v>106</v>
      </c>
      <c r="BL94" s="36" t="s">
        <v>107</v>
      </c>
      <c r="BM94" s="36" t="s">
        <v>75</v>
      </c>
      <c r="BN94" s="36" t="s">
        <v>75</v>
      </c>
      <c r="BO94" s="36" t="s">
        <v>75</v>
      </c>
      <c r="BP94" s="36" t="s">
        <v>75</v>
      </c>
      <c r="BQ94" s="35" t="s">
        <v>1547</v>
      </c>
      <c r="BR94" s="36" t="s">
        <v>1483</v>
      </c>
      <c r="BS94" s="38" t="s">
        <v>1484</v>
      </c>
    </row>
    <row r="95" spans="1:71">
      <c r="A95" s="35" t="s">
        <v>1548</v>
      </c>
      <c r="B95" s="36" t="s">
        <v>112</v>
      </c>
      <c r="C95" s="36" t="s">
        <v>113</v>
      </c>
      <c r="D95" s="36" t="s">
        <v>74</v>
      </c>
      <c r="E95" s="36" t="s">
        <v>75</v>
      </c>
      <c r="F95" s="36" t="s">
        <v>1549</v>
      </c>
      <c r="G95" s="36" t="s">
        <v>1550</v>
      </c>
      <c r="H95" s="36" t="s">
        <v>1551</v>
      </c>
      <c r="I95" s="36" t="s">
        <v>1417</v>
      </c>
      <c r="J95" s="36" t="s">
        <v>1552</v>
      </c>
      <c r="K95" s="36" t="s">
        <v>1553</v>
      </c>
      <c r="L95" s="36" t="s">
        <v>1554</v>
      </c>
      <c r="M95" s="36" t="s">
        <v>1555</v>
      </c>
      <c r="N95" s="36" t="s">
        <v>1556</v>
      </c>
      <c r="O95" s="35" t="s">
        <v>1557</v>
      </c>
      <c r="P95" s="36" t="s">
        <v>151</v>
      </c>
      <c r="Q95" s="36" t="s">
        <v>152</v>
      </c>
      <c r="R95" s="36" t="s">
        <v>1558</v>
      </c>
      <c r="S95" s="36" t="s">
        <v>1559</v>
      </c>
      <c r="T95" s="35" t="s">
        <v>88</v>
      </c>
      <c r="U95" s="36" t="s">
        <v>75</v>
      </c>
      <c r="V95" s="36" t="s">
        <v>75</v>
      </c>
      <c r="W95" s="36" t="s">
        <v>1517</v>
      </c>
      <c r="X95" s="37" t="s">
        <v>1517</v>
      </c>
      <c r="Y95" s="35" t="s">
        <v>90</v>
      </c>
      <c r="Z95" s="36" t="s">
        <v>90</v>
      </c>
      <c r="AA95" s="36" t="s">
        <v>75</v>
      </c>
      <c r="AB95" s="36" t="s">
        <v>90</v>
      </c>
      <c r="AC95" s="36" t="s">
        <v>1517</v>
      </c>
      <c r="AD95" s="36" t="s">
        <v>215</v>
      </c>
      <c r="AE95" s="36" t="s">
        <v>1560</v>
      </c>
      <c r="AF95" s="36" t="s">
        <v>75</v>
      </c>
      <c r="AG95" s="36" t="s">
        <v>75</v>
      </c>
      <c r="AH95" s="36" t="s">
        <v>75</v>
      </c>
      <c r="AI95" s="36" t="s">
        <v>1561</v>
      </c>
      <c r="AJ95" s="36" t="s">
        <v>75</v>
      </c>
      <c r="AK95" s="36" t="s">
        <v>94</v>
      </c>
      <c r="AL95" s="35" t="s">
        <v>90</v>
      </c>
      <c r="AM95" s="36" t="s">
        <v>95</v>
      </c>
      <c r="AN95" s="36" t="s">
        <v>1562</v>
      </c>
      <c r="AO95" s="36" t="s">
        <v>75</v>
      </c>
      <c r="AP95" s="36" t="s">
        <v>75</v>
      </c>
      <c r="AQ95" s="36" t="s">
        <v>75</v>
      </c>
      <c r="AR95" s="36" t="s">
        <v>75</v>
      </c>
      <c r="AS95" s="36" t="s">
        <v>75</v>
      </c>
      <c r="AT95" s="36" t="s">
        <v>75</v>
      </c>
      <c r="AU95" s="36" t="s">
        <v>75</v>
      </c>
      <c r="AV95" s="36" t="s">
        <v>1563</v>
      </c>
      <c r="AW95" s="36" t="s">
        <v>75</v>
      </c>
      <c r="AX95" s="36" t="s">
        <v>75</v>
      </c>
      <c r="AY95" s="36" t="s">
        <v>1564</v>
      </c>
      <c r="AZ95" s="36" t="s">
        <v>1565</v>
      </c>
      <c r="BA95" s="36" t="s">
        <v>75</v>
      </c>
      <c r="BB95" s="36" t="s">
        <v>101</v>
      </c>
      <c r="BC95" s="36" t="s">
        <v>75</v>
      </c>
      <c r="BD95" s="36" t="s">
        <v>103</v>
      </c>
      <c r="BE95" s="36" t="s">
        <v>75</v>
      </c>
      <c r="BF95" s="36" t="s">
        <v>133</v>
      </c>
      <c r="BG95" s="36" t="s">
        <v>1566</v>
      </c>
      <c r="BH95" s="36" t="s">
        <v>75</v>
      </c>
      <c r="BI95" s="36" t="s">
        <v>104</v>
      </c>
      <c r="BJ95" s="36" t="s">
        <v>1567</v>
      </c>
      <c r="BK95" s="36" t="s">
        <v>106</v>
      </c>
      <c r="BL95" s="36" t="s">
        <v>107</v>
      </c>
      <c r="BM95" s="36" t="s">
        <v>75</v>
      </c>
      <c r="BN95" s="36" t="s">
        <v>75</v>
      </c>
      <c r="BO95" s="36" t="s">
        <v>75</v>
      </c>
      <c r="BP95" s="36" t="s">
        <v>75</v>
      </c>
      <c r="BQ95" s="35" t="s">
        <v>1568</v>
      </c>
      <c r="BR95" s="36" t="s">
        <v>1526</v>
      </c>
      <c r="BS95" s="38" t="s">
        <v>1527</v>
      </c>
    </row>
    <row r="96" spans="1:71">
      <c r="A96" s="35" t="s">
        <v>1569</v>
      </c>
      <c r="B96" s="36" t="s">
        <v>72</v>
      </c>
      <c r="C96" s="36" t="s">
        <v>113</v>
      </c>
      <c r="D96" s="36" t="s">
        <v>74</v>
      </c>
      <c r="E96" s="36" t="s">
        <v>75</v>
      </c>
      <c r="F96" s="36" t="s">
        <v>855</v>
      </c>
      <c r="G96" s="36" t="s">
        <v>1570</v>
      </c>
      <c r="H96" s="36" t="s">
        <v>1571</v>
      </c>
      <c r="I96" s="36" t="s">
        <v>461</v>
      </c>
      <c r="J96" s="36" t="s">
        <v>462</v>
      </c>
      <c r="K96" s="36" t="s">
        <v>1572</v>
      </c>
      <c r="L96" s="36" t="s">
        <v>1573</v>
      </c>
      <c r="M96" s="36" t="s">
        <v>1574</v>
      </c>
      <c r="N96" s="36" t="s">
        <v>1575</v>
      </c>
      <c r="O96" s="35" t="s">
        <v>1576</v>
      </c>
      <c r="P96" s="36" t="s">
        <v>151</v>
      </c>
      <c r="Q96" s="36" t="s">
        <v>152</v>
      </c>
      <c r="R96" s="36" t="s">
        <v>1577</v>
      </c>
      <c r="S96" s="36" t="s">
        <v>1578</v>
      </c>
      <c r="T96" s="35" t="s">
        <v>88</v>
      </c>
      <c r="U96" s="36" t="s">
        <v>75</v>
      </c>
      <c r="V96" s="36" t="s">
        <v>75</v>
      </c>
      <c r="W96" s="36" t="s">
        <v>1579</v>
      </c>
      <c r="X96" s="37" t="s">
        <v>1579</v>
      </c>
      <c r="Y96" s="35" t="s">
        <v>90</v>
      </c>
      <c r="Z96" s="36" t="s">
        <v>90</v>
      </c>
      <c r="AA96" s="36" t="s">
        <v>75</v>
      </c>
      <c r="AB96" s="36" t="s">
        <v>90</v>
      </c>
      <c r="AC96" s="36" t="s">
        <v>1579</v>
      </c>
      <c r="AD96" s="36" t="s">
        <v>215</v>
      </c>
      <c r="AE96" s="36" t="s">
        <v>1580</v>
      </c>
      <c r="AF96" s="36" t="s">
        <v>75</v>
      </c>
      <c r="AG96" s="36" t="s">
        <v>75</v>
      </c>
      <c r="AH96" s="36" t="s">
        <v>75</v>
      </c>
      <c r="AI96" s="36" t="s">
        <v>1581</v>
      </c>
      <c r="AJ96" s="36" t="s">
        <v>75</v>
      </c>
      <c r="AK96" s="36" t="s">
        <v>94</v>
      </c>
      <c r="AL96" s="35" t="s">
        <v>90</v>
      </c>
      <c r="AM96" s="36" t="s">
        <v>95</v>
      </c>
      <c r="AN96" s="36" t="s">
        <v>1582</v>
      </c>
      <c r="AO96" s="36" t="s">
        <v>75</v>
      </c>
      <c r="AP96" s="36" t="s">
        <v>75</v>
      </c>
      <c r="AQ96" s="36" t="s">
        <v>75</v>
      </c>
      <c r="AR96" s="36" t="s">
        <v>75</v>
      </c>
      <c r="AS96" s="36" t="s">
        <v>75</v>
      </c>
      <c r="AT96" s="36" t="s">
        <v>75</v>
      </c>
      <c r="AU96" s="36" t="s">
        <v>75</v>
      </c>
      <c r="AV96" s="36" t="s">
        <v>1583</v>
      </c>
      <c r="AW96" s="36" t="s">
        <v>75</v>
      </c>
      <c r="AX96" s="36" t="s">
        <v>75</v>
      </c>
      <c r="AY96" s="36" t="s">
        <v>1584</v>
      </c>
      <c r="AZ96" s="36" t="s">
        <v>1585</v>
      </c>
      <c r="BA96" s="36" t="s">
        <v>1586</v>
      </c>
      <c r="BB96" s="36" t="s">
        <v>101</v>
      </c>
      <c r="BC96" s="36" t="s">
        <v>163</v>
      </c>
      <c r="BD96" s="36" t="s">
        <v>103</v>
      </c>
      <c r="BE96" s="36" t="s">
        <v>75</v>
      </c>
      <c r="BF96" s="36" t="s">
        <v>133</v>
      </c>
      <c r="BG96" s="36" t="s">
        <v>1587</v>
      </c>
      <c r="BH96" s="36" t="s">
        <v>75</v>
      </c>
      <c r="BI96" s="36" t="s">
        <v>104</v>
      </c>
      <c r="BJ96" s="36" t="s">
        <v>1588</v>
      </c>
      <c r="BK96" s="36" t="s">
        <v>106</v>
      </c>
      <c r="BL96" s="36" t="s">
        <v>107</v>
      </c>
      <c r="BM96" s="36" t="s">
        <v>75</v>
      </c>
      <c r="BN96" s="36" t="s">
        <v>75</v>
      </c>
      <c r="BO96" s="36" t="s">
        <v>75</v>
      </c>
      <c r="BP96" s="36" t="s">
        <v>75</v>
      </c>
      <c r="BQ96" s="35" t="s">
        <v>1589</v>
      </c>
      <c r="BR96" s="36" t="s">
        <v>1590</v>
      </c>
      <c r="BS96" s="38" t="s">
        <v>1591</v>
      </c>
    </row>
    <row r="97" spans="1:71">
      <c r="A97" s="35" t="s">
        <v>1592</v>
      </c>
      <c r="B97" s="36" t="s">
        <v>72</v>
      </c>
      <c r="C97" s="36" t="s">
        <v>73</v>
      </c>
      <c r="D97" s="36" t="s">
        <v>74</v>
      </c>
      <c r="E97" s="36" t="s">
        <v>75</v>
      </c>
      <c r="F97" s="36" t="s">
        <v>1593</v>
      </c>
      <c r="G97" s="36" t="s">
        <v>1594</v>
      </c>
      <c r="H97" s="36" t="s">
        <v>1595</v>
      </c>
      <c r="I97" s="36" t="s">
        <v>413</v>
      </c>
      <c r="J97" s="36" t="s">
        <v>414</v>
      </c>
      <c r="K97" s="36" t="s">
        <v>1596</v>
      </c>
      <c r="L97" s="36" t="s">
        <v>1597</v>
      </c>
      <c r="M97" s="36" t="s">
        <v>1598</v>
      </c>
      <c r="N97" s="36" t="s">
        <v>1599</v>
      </c>
      <c r="O97" s="35" t="s">
        <v>1600</v>
      </c>
      <c r="P97" s="36" t="s">
        <v>151</v>
      </c>
      <c r="Q97" s="36" t="s">
        <v>152</v>
      </c>
      <c r="R97" s="36" t="s">
        <v>1601</v>
      </c>
      <c r="S97" s="36" t="s">
        <v>1602</v>
      </c>
      <c r="T97" s="35" t="s">
        <v>88</v>
      </c>
      <c r="U97" s="36" t="s">
        <v>75</v>
      </c>
      <c r="V97" s="36" t="s">
        <v>75</v>
      </c>
      <c r="W97" s="36" t="s">
        <v>1517</v>
      </c>
      <c r="X97" s="37" t="s">
        <v>1517</v>
      </c>
      <c r="Y97" s="35" t="s">
        <v>90</v>
      </c>
      <c r="Z97" s="36" t="s">
        <v>90</v>
      </c>
      <c r="AA97" s="36" t="s">
        <v>75</v>
      </c>
      <c r="AB97" s="36" t="s">
        <v>90</v>
      </c>
      <c r="AC97" s="36" t="s">
        <v>1517</v>
      </c>
      <c r="AD97" s="36" t="s">
        <v>91</v>
      </c>
      <c r="AE97" s="36" t="s">
        <v>1603</v>
      </c>
      <c r="AF97" s="36" t="s">
        <v>75</v>
      </c>
      <c r="AG97" s="36" t="s">
        <v>75</v>
      </c>
      <c r="AH97" s="36" t="s">
        <v>75</v>
      </c>
      <c r="AI97" s="36" t="s">
        <v>1604</v>
      </c>
      <c r="AJ97" s="36" t="s">
        <v>75</v>
      </c>
      <c r="AK97" s="36" t="s">
        <v>94</v>
      </c>
      <c r="AL97" s="35" t="s">
        <v>90</v>
      </c>
      <c r="AM97" s="36" t="s">
        <v>95</v>
      </c>
      <c r="AN97" s="36" t="s">
        <v>1605</v>
      </c>
      <c r="AO97" s="36" t="s">
        <v>75</v>
      </c>
      <c r="AP97" s="36" t="s">
        <v>75</v>
      </c>
      <c r="AQ97" s="36" t="s">
        <v>75</v>
      </c>
      <c r="AR97" s="36" t="s">
        <v>75</v>
      </c>
      <c r="AS97" s="36" t="s">
        <v>75</v>
      </c>
      <c r="AT97" s="36" t="s">
        <v>75</v>
      </c>
      <c r="AU97" s="36" t="s">
        <v>75</v>
      </c>
      <c r="AV97" s="36" t="s">
        <v>1606</v>
      </c>
      <c r="AW97" s="36" t="s">
        <v>75</v>
      </c>
      <c r="AX97" s="36" t="s">
        <v>75</v>
      </c>
      <c r="AY97" s="36" t="s">
        <v>1607</v>
      </c>
      <c r="AZ97" s="36" t="s">
        <v>1608</v>
      </c>
      <c r="BA97" s="36" t="s">
        <v>1609</v>
      </c>
      <c r="BB97" s="36" t="s">
        <v>101</v>
      </c>
      <c r="BC97" s="36" t="s">
        <v>163</v>
      </c>
      <c r="BD97" s="36" t="s">
        <v>103</v>
      </c>
      <c r="BE97" s="36" t="s">
        <v>75</v>
      </c>
      <c r="BF97" s="36" t="s">
        <v>75</v>
      </c>
      <c r="BG97" s="36" t="s">
        <v>75</v>
      </c>
      <c r="BH97" s="36" t="s">
        <v>75</v>
      </c>
      <c r="BI97" s="36" t="s">
        <v>104</v>
      </c>
      <c r="BJ97" s="36" t="s">
        <v>1610</v>
      </c>
      <c r="BK97" s="36" t="s">
        <v>106</v>
      </c>
      <c r="BL97" s="36" t="s">
        <v>107</v>
      </c>
      <c r="BM97" s="36" t="s">
        <v>75</v>
      </c>
      <c r="BN97" s="36" t="s">
        <v>75</v>
      </c>
      <c r="BO97" s="36" t="s">
        <v>75</v>
      </c>
      <c r="BP97" s="36" t="s">
        <v>75</v>
      </c>
      <c r="BQ97" s="35" t="s">
        <v>1611</v>
      </c>
      <c r="BR97" s="36" t="s">
        <v>1526</v>
      </c>
      <c r="BS97" s="38" t="s">
        <v>1527</v>
      </c>
    </row>
    <row r="98" spans="1:71">
      <c r="A98" s="35" t="s">
        <v>1612</v>
      </c>
      <c r="B98" s="36" t="s">
        <v>72</v>
      </c>
      <c r="C98" s="36" t="s">
        <v>73</v>
      </c>
      <c r="D98" s="36" t="s">
        <v>74</v>
      </c>
      <c r="E98" s="36" t="s">
        <v>75</v>
      </c>
      <c r="F98" s="36" t="s">
        <v>1613</v>
      </c>
      <c r="G98" s="36" t="s">
        <v>1614</v>
      </c>
      <c r="H98" s="36" t="s">
        <v>1615</v>
      </c>
      <c r="I98" s="36" t="s">
        <v>283</v>
      </c>
      <c r="J98" s="36" t="s">
        <v>284</v>
      </c>
      <c r="K98" s="36" t="s">
        <v>1616</v>
      </c>
      <c r="L98" s="36" t="s">
        <v>1617</v>
      </c>
      <c r="M98" s="36" t="s">
        <v>1598</v>
      </c>
      <c r="N98" s="36" t="s">
        <v>1599</v>
      </c>
      <c r="O98" s="35" t="s">
        <v>1600</v>
      </c>
      <c r="P98" s="36" t="s">
        <v>151</v>
      </c>
      <c r="Q98" s="36" t="s">
        <v>152</v>
      </c>
      <c r="R98" s="36" t="s">
        <v>1601</v>
      </c>
      <c r="S98" s="36" t="s">
        <v>1602</v>
      </c>
      <c r="T98" s="35" t="s">
        <v>88</v>
      </c>
      <c r="U98" s="36" t="s">
        <v>75</v>
      </c>
      <c r="V98" s="36" t="s">
        <v>75</v>
      </c>
      <c r="W98" s="36" t="s">
        <v>1517</v>
      </c>
      <c r="X98" s="37" t="s">
        <v>1517</v>
      </c>
      <c r="Y98" s="35" t="s">
        <v>90</v>
      </c>
      <c r="Z98" s="36" t="s">
        <v>90</v>
      </c>
      <c r="AA98" s="36" t="s">
        <v>75</v>
      </c>
      <c r="AB98" s="36" t="s">
        <v>90</v>
      </c>
      <c r="AC98" s="36" t="s">
        <v>1517</v>
      </c>
      <c r="AD98" s="36" t="s">
        <v>215</v>
      </c>
      <c r="AE98" s="36" t="s">
        <v>1618</v>
      </c>
      <c r="AF98" s="36" t="s">
        <v>75</v>
      </c>
      <c r="AG98" s="36" t="s">
        <v>75</v>
      </c>
      <c r="AH98" s="36" t="s">
        <v>75</v>
      </c>
      <c r="AI98" s="36" t="s">
        <v>1619</v>
      </c>
      <c r="AJ98" s="36" t="s">
        <v>75</v>
      </c>
      <c r="AK98" s="36" t="s">
        <v>94</v>
      </c>
      <c r="AL98" s="35" t="s">
        <v>90</v>
      </c>
      <c r="AM98" s="36" t="s">
        <v>95</v>
      </c>
      <c r="AN98" s="36" t="s">
        <v>1620</v>
      </c>
      <c r="AO98" s="36" t="s">
        <v>75</v>
      </c>
      <c r="AP98" s="36" t="s">
        <v>75</v>
      </c>
      <c r="AQ98" s="36" t="s">
        <v>75</v>
      </c>
      <c r="AR98" s="36" t="s">
        <v>75</v>
      </c>
      <c r="AS98" s="36" t="s">
        <v>75</v>
      </c>
      <c r="AT98" s="36" t="s">
        <v>75</v>
      </c>
      <c r="AU98" s="36" t="s">
        <v>75</v>
      </c>
      <c r="AV98" s="36" t="s">
        <v>1621</v>
      </c>
      <c r="AW98" s="36" t="s">
        <v>75</v>
      </c>
      <c r="AX98" s="36" t="s">
        <v>75</v>
      </c>
      <c r="AY98" s="36" t="s">
        <v>1622</v>
      </c>
      <c r="AZ98" s="36" t="s">
        <v>1623</v>
      </c>
      <c r="BA98" s="36" t="s">
        <v>1624</v>
      </c>
      <c r="BB98" s="36" t="s">
        <v>101</v>
      </c>
      <c r="BC98" s="36" t="s">
        <v>163</v>
      </c>
      <c r="BD98" s="36" t="s">
        <v>103</v>
      </c>
      <c r="BE98" s="36" t="s">
        <v>75</v>
      </c>
      <c r="BF98" s="36" t="s">
        <v>75</v>
      </c>
      <c r="BG98" s="36" t="s">
        <v>75</v>
      </c>
      <c r="BH98" s="36" t="s">
        <v>75</v>
      </c>
      <c r="BI98" s="36" t="s">
        <v>104</v>
      </c>
      <c r="BJ98" s="36" t="s">
        <v>1625</v>
      </c>
      <c r="BK98" s="36" t="s">
        <v>106</v>
      </c>
      <c r="BL98" s="36" t="s">
        <v>107</v>
      </c>
      <c r="BM98" s="36" t="s">
        <v>75</v>
      </c>
      <c r="BN98" s="36" t="s">
        <v>75</v>
      </c>
      <c r="BO98" s="36" t="s">
        <v>75</v>
      </c>
      <c r="BP98" s="36" t="s">
        <v>75</v>
      </c>
      <c r="BQ98" s="35" t="s">
        <v>1611</v>
      </c>
      <c r="BR98" s="36" t="s">
        <v>1526</v>
      </c>
      <c r="BS98" s="38" t="s">
        <v>1527</v>
      </c>
    </row>
    <row r="99" spans="1:71">
      <c r="A99" s="35" t="s">
        <v>1626</v>
      </c>
      <c r="B99" s="36" t="s">
        <v>112</v>
      </c>
      <c r="C99" s="36" t="s">
        <v>113</v>
      </c>
      <c r="D99" s="36" t="s">
        <v>74</v>
      </c>
      <c r="E99" s="36" t="s">
        <v>1627</v>
      </c>
      <c r="F99" s="36" t="s">
        <v>1628</v>
      </c>
      <c r="G99" s="36" t="s">
        <v>1629</v>
      </c>
      <c r="H99" s="36" t="s">
        <v>1630</v>
      </c>
      <c r="I99" s="36" t="s">
        <v>390</v>
      </c>
      <c r="J99" s="36" t="s">
        <v>1631</v>
      </c>
      <c r="K99" s="36" t="s">
        <v>1632</v>
      </c>
      <c r="L99" s="36" t="s">
        <v>1633</v>
      </c>
      <c r="M99" s="36" t="s">
        <v>1634</v>
      </c>
      <c r="N99" s="36" t="s">
        <v>1635</v>
      </c>
      <c r="O99" s="35" t="s">
        <v>1636</v>
      </c>
      <c r="P99" s="36" t="s">
        <v>151</v>
      </c>
      <c r="Q99" s="36" t="s">
        <v>152</v>
      </c>
      <c r="R99" s="36" t="s">
        <v>1637</v>
      </c>
      <c r="S99" s="36" t="s">
        <v>291</v>
      </c>
      <c r="T99" s="35" t="s">
        <v>88</v>
      </c>
      <c r="U99" s="36" t="s">
        <v>75</v>
      </c>
      <c r="V99" s="36" t="s">
        <v>75</v>
      </c>
      <c r="W99" s="36" t="s">
        <v>1638</v>
      </c>
      <c r="X99" s="37" t="s">
        <v>1638</v>
      </c>
      <c r="Y99" s="35" t="s">
        <v>90</v>
      </c>
      <c r="Z99" s="36" t="s">
        <v>90</v>
      </c>
      <c r="AA99" s="36" t="s">
        <v>75</v>
      </c>
      <c r="AB99" s="36" t="s">
        <v>90</v>
      </c>
      <c r="AC99" s="36" t="s">
        <v>1638</v>
      </c>
      <c r="AD99" s="36" t="s">
        <v>91</v>
      </c>
      <c r="AE99" s="36" t="s">
        <v>1639</v>
      </c>
      <c r="AF99" s="36" t="s">
        <v>75</v>
      </c>
      <c r="AG99" s="36" t="s">
        <v>75</v>
      </c>
      <c r="AH99" s="36" t="s">
        <v>75</v>
      </c>
      <c r="AI99" s="36" t="s">
        <v>1640</v>
      </c>
      <c r="AJ99" s="36" t="s">
        <v>75</v>
      </c>
      <c r="AK99" s="36" t="s">
        <v>94</v>
      </c>
      <c r="AL99" s="35" t="s">
        <v>90</v>
      </c>
      <c r="AM99" s="36" t="s">
        <v>95</v>
      </c>
      <c r="AN99" s="36" t="s">
        <v>1641</v>
      </c>
      <c r="AO99" s="36" t="s">
        <v>75</v>
      </c>
      <c r="AP99" s="36" t="s">
        <v>75</v>
      </c>
      <c r="AQ99" s="36" t="s">
        <v>75</v>
      </c>
      <c r="AR99" s="36" t="s">
        <v>75</v>
      </c>
      <c r="AS99" s="36" t="s">
        <v>75</v>
      </c>
      <c r="AT99" s="36" t="s">
        <v>75</v>
      </c>
      <c r="AU99" s="36" t="s">
        <v>75</v>
      </c>
      <c r="AV99" s="36" t="s">
        <v>1642</v>
      </c>
      <c r="AW99" s="36" t="s">
        <v>75</v>
      </c>
      <c r="AX99" s="36" t="s">
        <v>75</v>
      </c>
      <c r="AY99" s="36" t="s">
        <v>1643</v>
      </c>
      <c r="AZ99" s="36" t="s">
        <v>1644</v>
      </c>
      <c r="BA99" s="36" t="s">
        <v>1645</v>
      </c>
      <c r="BB99" s="36" t="s">
        <v>101</v>
      </c>
      <c r="BC99" s="36" t="s">
        <v>163</v>
      </c>
      <c r="BD99" s="36" t="s">
        <v>103</v>
      </c>
      <c r="BE99" s="36" t="s">
        <v>75</v>
      </c>
      <c r="BF99" s="36" t="s">
        <v>133</v>
      </c>
      <c r="BG99" s="36" t="s">
        <v>1646</v>
      </c>
      <c r="BH99" s="36" t="s">
        <v>75</v>
      </c>
      <c r="BI99" s="36" t="s">
        <v>104</v>
      </c>
      <c r="BJ99" s="36" t="s">
        <v>1647</v>
      </c>
      <c r="BK99" s="36" t="s">
        <v>106</v>
      </c>
      <c r="BL99" s="36" t="s">
        <v>107</v>
      </c>
      <c r="BM99" s="36" t="s">
        <v>75</v>
      </c>
      <c r="BN99" s="36" t="s">
        <v>75</v>
      </c>
      <c r="BO99" s="36" t="s">
        <v>75</v>
      </c>
      <c r="BP99" s="36" t="s">
        <v>75</v>
      </c>
      <c r="BQ99" s="35" t="s">
        <v>1648</v>
      </c>
      <c r="BR99" s="36" t="s">
        <v>1649</v>
      </c>
      <c r="BS99" s="38" t="s">
        <v>1650</v>
      </c>
    </row>
    <row r="100" spans="1:71">
      <c r="A100" s="35" t="s">
        <v>1651</v>
      </c>
      <c r="B100" s="36" t="s">
        <v>72</v>
      </c>
      <c r="C100" s="36" t="s">
        <v>113</v>
      </c>
      <c r="D100" s="36" t="s">
        <v>74</v>
      </c>
      <c r="E100" s="36" t="s">
        <v>75</v>
      </c>
      <c r="F100" s="36" t="s">
        <v>1652</v>
      </c>
      <c r="G100" s="36" t="s">
        <v>1653</v>
      </c>
      <c r="H100" s="36" t="s">
        <v>1654</v>
      </c>
      <c r="I100" s="36" t="s">
        <v>437</v>
      </c>
      <c r="J100" s="36" t="s">
        <v>519</v>
      </c>
      <c r="K100" s="36" t="s">
        <v>1655</v>
      </c>
      <c r="L100" s="36" t="s">
        <v>1656</v>
      </c>
      <c r="M100" s="36" t="s">
        <v>1657</v>
      </c>
      <c r="N100" s="36" t="s">
        <v>1658</v>
      </c>
      <c r="O100" s="35" t="s">
        <v>1659</v>
      </c>
      <c r="P100" s="36" t="s">
        <v>151</v>
      </c>
      <c r="Q100" s="36" t="s">
        <v>152</v>
      </c>
      <c r="R100" s="36" t="s">
        <v>1660</v>
      </c>
      <c r="S100" s="36" t="s">
        <v>1661</v>
      </c>
      <c r="T100" s="35" t="s">
        <v>88</v>
      </c>
      <c r="U100" s="36" t="s">
        <v>75</v>
      </c>
      <c r="V100" s="36" t="s">
        <v>75</v>
      </c>
      <c r="W100" s="36" t="s">
        <v>155</v>
      </c>
      <c r="X100" s="37" t="s">
        <v>155</v>
      </c>
      <c r="Y100" s="35" t="s">
        <v>90</v>
      </c>
      <c r="Z100" s="36" t="s">
        <v>90</v>
      </c>
      <c r="AA100" s="36" t="s">
        <v>75</v>
      </c>
      <c r="AB100" s="36" t="s">
        <v>90</v>
      </c>
      <c r="AC100" s="36" t="s">
        <v>155</v>
      </c>
      <c r="AD100" s="36" t="s">
        <v>91</v>
      </c>
      <c r="AE100" s="36" t="s">
        <v>1662</v>
      </c>
      <c r="AF100" s="36" t="s">
        <v>75</v>
      </c>
      <c r="AG100" s="36" t="s">
        <v>75</v>
      </c>
      <c r="AH100" s="36" t="s">
        <v>75</v>
      </c>
      <c r="AI100" s="36" t="s">
        <v>1663</v>
      </c>
      <c r="AJ100" s="36" t="s">
        <v>75</v>
      </c>
      <c r="AK100" s="36" t="s">
        <v>94</v>
      </c>
      <c r="AL100" s="35" t="s">
        <v>90</v>
      </c>
      <c r="AM100" s="36" t="s">
        <v>95</v>
      </c>
      <c r="AN100" s="36" t="s">
        <v>1664</v>
      </c>
      <c r="AO100" s="36" t="s">
        <v>75</v>
      </c>
      <c r="AP100" s="36" t="s">
        <v>75</v>
      </c>
      <c r="AQ100" s="36" t="s">
        <v>75</v>
      </c>
      <c r="AR100" s="36" t="s">
        <v>75</v>
      </c>
      <c r="AS100" s="36" t="s">
        <v>75</v>
      </c>
      <c r="AT100" s="36" t="s">
        <v>75</v>
      </c>
      <c r="AU100" s="36" t="s">
        <v>75</v>
      </c>
      <c r="AV100" s="36" t="s">
        <v>1665</v>
      </c>
      <c r="AW100" s="36" t="s">
        <v>75</v>
      </c>
      <c r="AX100" s="36" t="s">
        <v>75</v>
      </c>
      <c r="AY100" s="36" t="s">
        <v>1666</v>
      </c>
      <c r="AZ100" s="36" t="s">
        <v>1667</v>
      </c>
      <c r="BA100" s="36" t="s">
        <v>1668</v>
      </c>
      <c r="BB100" s="36" t="s">
        <v>101</v>
      </c>
      <c r="BC100" s="36" t="s">
        <v>163</v>
      </c>
      <c r="BD100" s="36" t="s">
        <v>103</v>
      </c>
      <c r="BE100" s="36" t="s">
        <v>75</v>
      </c>
      <c r="BF100" s="36" t="s">
        <v>133</v>
      </c>
      <c r="BG100" s="36" t="s">
        <v>1669</v>
      </c>
      <c r="BH100" s="36" t="s">
        <v>75</v>
      </c>
      <c r="BI100" s="36" t="s">
        <v>104</v>
      </c>
      <c r="BJ100" s="36" t="s">
        <v>1670</v>
      </c>
      <c r="BK100" s="36" t="s">
        <v>106</v>
      </c>
      <c r="BL100" s="36" t="s">
        <v>107</v>
      </c>
      <c r="BM100" s="36" t="s">
        <v>75</v>
      </c>
      <c r="BN100" s="36" t="s">
        <v>75</v>
      </c>
      <c r="BO100" s="36" t="s">
        <v>75</v>
      </c>
      <c r="BP100" s="36" t="s">
        <v>75</v>
      </c>
      <c r="BQ100" s="35" t="s">
        <v>1671</v>
      </c>
      <c r="BR100" s="36" t="s">
        <v>167</v>
      </c>
      <c r="BS100" s="38" t="s">
        <v>168</v>
      </c>
    </row>
    <row r="101" spans="1:71">
      <c r="A101" s="35" t="s">
        <v>1672</v>
      </c>
      <c r="B101" s="36" t="s">
        <v>72</v>
      </c>
      <c r="C101" s="36" t="s">
        <v>73</v>
      </c>
      <c r="D101" s="36" t="s">
        <v>74</v>
      </c>
      <c r="E101" s="36" t="s">
        <v>75</v>
      </c>
      <c r="F101" s="36" t="s">
        <v>1673</v>
      </c>
      <c r="G101" s="36" t="s">
        <v>1674</v>
      </c>
      <c r="H101" s="36" t="s">
        <v>1675</v>
      </c>
      <c r="I101" s="36" t="s">
        <v>1417</v>
      </c>
      <c r="J101" s="36" t="s">
        <v>1676</v>
      </c>
      <c r="K101" s="36" t="s">
        <v>1677</v>
      </c>
      <c r="L101" s="36" t="s">
        <v>1678</v>
      </c>
      <c r="M101" s="36" t="s">
        <v>1598</v>
      </c>
      <c r="N101" s="36" t="s">
        <v>1599</v>
      </c>
      <c r="O101" s="35" t="s">
        <v>1600</v>
      </c>
      <c r="P101" s="36" t="s">
        <v>151</v>
      </c>
      <c r="Q101" s="36" t="s">
        <v>152</v>
      </c>
      <c r="R101" s="36" t="s">
        <v>1601</v>
      </c>
      <c r="S101" s="36" t="s">
        <v>1602</v>
      </c>
      <c r="T101" s="35" t="s">
        <v>88</v>
      </c>
      <c r="U101" s="36" t="s">
        <v>75</v>
      </c>
      <c r="V101" s="36" t="s">
        <v>75</v>
      </c>
      <c r="W101" s="36" t="s">
        <v>1517</v>
      </c>
      <c r="X101" s="37" t="s">
        <v>1679</v>
      </c>
      <c r="Y101" s="35" t="s">
        <v>568</v>
      </c>
      <c r="Z101" s="36" t="s">
        <v>90</v>
      </c>
      <c r="AA101" s="36" t="s">
        <v>75</v>
      </c>
      <c r="AB101" s="36" t="s">
        <v>90</v>
      </c>
      <c r="AC101" s="36" t="s">
        <v>1517</v>
      </c>
      <c r="AD101" s="36" t="s">
        <v>91</v>
      </c>
      <c r="AE101" s="36" t="s">
        <v>1680</v>
      </c>
      <c r="AF101" s="36" t="s">
        <v>75</v>
      </c>
      <c r="AG101" s="36" t="s">
        <v>75</v>
      </c>
      <c r="AH101" s="36" t="s">
        <v>75</v>
      </c>
      <c r="AI101" s="36" t="s">
        <v>1681</v>
      </c>
      <c r="AJ101" s="36" t="s">
        <v>75</v>
      </c>
      <c r="AK101" s="36" t="s">
        <v>94</v>
      </c>
      <c r="AL101" s="35" t="s">
        <v>90</v>
      </c>
      <c r="AM101" s="36" t="s">
        <v>95</v>
      </c>
      <c r="AN101" s="36" t="s">
        <v>1682</v>
      </c>
      <c r="AO101" s="36" t="s">
        <v>75</v>
      </c>
      <c r="AP101" s="36" t="s">
        <v>75</v>
      </c>
      <c r="AQ101" s="36" t="s">
        <v>75</v>
      </c>
      <c r="AR101" s="36" t="s">
        <v>75</v>
      </c>
      <c r="AS101" s="36" t="s">
        <v>75</v>
      </c>
      <c r="AT101" s="36" t="s">
        <v>75</v>
      </c>
      <c r="AU101" s="36" t="s">
        <v>75</v>
      </c>
      <c r="AV101" s="36" t="s">
        <v>1683</v>
      </c>
      <c r="AW101" s="36" t="s">
        <v>75</v>
      </c>
      <c r="AX101" s="36" t="s">
        <v>75</v>
      </c>
      <c r="AY101" s="36" t="s">
        <v>1684</v>
      </c>
      <c r="AZ101" s="36" t="s">
        <v>1623</v>
      </c>
      <c r="BA101" s="36" t="s">
        <v>1624</v>
      </c>
      <c r="BB101" s="36" t="s">
        <v>101</v>
      </c>
      <c r="BC101" s="36" t="s">
        <v>163</v>
      </c>
      <c r="BD101" s="36" t="s">
        <v>103</v>
      </c>
      <c r="BE101" s="36" t="s">
        <v>75</v>
      </c>
      <c r="BF101" s="36" t="s">
        <v>75</v>
      </c>
      <c r="BG101" s="36" t="s">
        <v>75</v>
      </c>
      <c r="BH101" s="36" t="s">
        <v>75</v>
      </c>
      <c r="BI101" s="36" t="s">
        <v>104</v>
      </c>
      <c r="BJ101" s="36" t="s">
        <v>1685</v>
      </c>
      <c r="BK101" s="36" t="s">
        <v>106</v>
      </c>
      <c r="BL101" s="36" t="s">
        <v>107</v>
      </c>
      <c r="BM101" s="36" t="s">
        <v>75</v>
      </c>
      <c r="BN101" s="36" t="s">
        <v>75</v>
      </c>
      <c r="BO101" s="36" t="s">
        <v>75</v>
      </c>
      <c r="BP101" s="36" t="s">
        <v>75</v>
      </c>
      <c r="BQ101" s="35" t="s">
        <v>1611</v>
      </c>
      <c r="BR101" s="36" t="s">
        <v>1526</v>
      </c>
      <c r="BS101" s="38" t="s">
        <v>1527</v>
      </c>
    </row>
    <row r="102" spans="1:71">
      <c r="A102" s="35" t="s">
        <v>1686</v>
      </c>
      <c r="B102" s="36" t="s">
        <v>72</v>
      </c>
      <c r="C102" s="36" t="s">
        <v>73</v>
      </c>
      <c r="D102" s="36" t="s">
        <v>74</v>
      </c>
      <c r="E102" s="36" t="s">
        <v>75</v>
      </c>
      <c r="F102" s="36" t="s">
        <v>1687</v>
      </c>
      <c r="G102" s="36" t="s">
        <v>1688</v>
      </c>
      <c r="H102" s="36" t="s">
        <v>282</v>
      </c>
      <c r="I102" s="36" t="s">
        <v>283</v>
      </c>
      <c r="J102" s="36" t="s">
        <v>284</v>
      </c>
      <c r="K102" s="36" t="s">
        <v>285</v>
      </c>
      <c r="L102" s="36" t="s">
        <v>1689</v>
      </c>
      <c r="M102" s="36" t="s">
        <v>1690</v>
      </c>
      <c r="N102" s="36" t="s">
        <v>1691</v>
      </c>
      <c r="O102" s="35" t="s">
        <v>1692</v>
      </c>
      <c r="P102" s="36" t="s">
        <v>151</v>
      </c>
      <c r="Q102" s="36" t="s">
        <v>152</v>
      </c>
      <c r="R102" s="36" t="s">
        <v>1693</v>
      </c>
      <c r="S102" s="36" t="s">
        <v>1694</v>
      </c>
      <c r="T102" s="35" t="s">
        <v>88</v>
      </c>
      <c r="U102" s="36" t="s">
        <v>75</v>
      </c>
      <c r="V102" s="36" t="s">
        <v>75</v>
      </c>
      <c r="W102" s="36" t="s">
        <v>126</v>
      </c>
      <c r="X102" s="37" t="s">
        <v>126</v>
      </c>
      <c r="Y102" s="35" t="s">
        <v>90</v>
      </c>
      <c r="Z102" s="36" t="s">
        <v>90</v>
      </c>
      <c r="AA102" s="36" t="s">
        <v>75</v>
      </c>
      <c r="AB102" s="36" t="s">
        <v>90</v>
      </c>
      <c r="AC102" s="36" t="s">
        <v>126</v>
      </c>
      <c r="AD102" s="36" t="s">
        <v>215</v>
      </c>
      <c r="AE102" s="36" t="s">
        <v>1695</v>
      </c>
      <c r="AF102" s="36" t="s">
        <v>75</v>
      </c>
      <c r="AG102" s="36" t="s">
        <v>75</v>
      </c>
      <c r="AH102" s="36" t="s">
        <v>75</v>
      </c>
      <c r="AI102" s="36" t="s">
        <v>1696</v>
      </c>
      <c r="AJ102" s="36" t="s">
        <v>75</v>
      </c>
      <c r="AK102" s="36" t="s">
        <v>94</v>
      </c>
      <c r="AL102" s="35" t="s">
        <v>90</v>
      </c>
      <c r="AM102" s="36" t="s">
        <v>95</v>
      </c>
      <c r="AN102" s="36" t="s">
        <v>1697</v>
      </c>
      <c r="AO102" s="36" t="s">
        <v>75</v>
      </c>
      <c r="AP102" s="36" t="s">
        <v>75</v>
      </c>
      <c r="AQ102" s="36" t="s">
        <v>75</v>
      </c>
      <c r="AR102" s="36" t="s">
        <v>75</v>
      </c>
      <c r="AS102" s="36" t="s">
        <v>75</v>
      </c>
      <c r="AT102" s="36" t="s">
        <v>75</v>
      </c>
      <c r="AU102" s="36" t="s">
        <v>75</v>
      </c>
      <c r="AV102" s="36" t="s">
        <v>1698</v>
      </c>
      <c r="AW102" s="36" t="s">
        <v>75</v>
      </c>
      <c r="AX102" s="36" t="s">
        <v>75</v>
      </c>
      <c r="AY102" s="36" t="s">
        <v>1699</v>
      </c>
      <c r="AZ102" s="36" t="s">
        <v>1700</v>
      </c>
      <c r="BA102" s="36" t="s">
        <v>1701</v>
      </c>
      <c r="BB102" s="36" t="s">
        <v>101</v>
      </c>
      <c r="BC102" s="36" t="s">
        <v>163</v>
      </c>
      <c r="BD102" s="36" t="s">
        <v>103</v>
      </c>
      <c r="BE102" s="36" t="s">
        <v>75</v>
      </c>
      <c r="BF102" s="36" t="s">
        <v>75</v>
      </c>
      <c r="BG102" s="36" t="s">
        <v>75</v>
      </c>
      <c r="BH102" s="36" t="s">
        <v>75</v>
      </c>
      <c r="BI102" s="36" t="s">
        <v>104</v>
      </c>
      <c r="BJ102" s="36" t="s">
        <v>1702</v>
      </c>
      <c r="BK102" s="36" t="s">
        <v>106</v>
      </c>
      <c r="BL102" s="36" t="s">
        <v>107</v>
      </c>
      <c r="BM102" s="36" t="s">
        <v>75</v>
      </c>
      <c r="BN102" s="36" t="s">
        <v>75</v>
      </c>
      <c r="BO102" s="36" t="s">
        <v>75</v>
      </c>
      <c r="BP102" s="36" t="s">
        <v>75</v>
      </c>
      <c r="BQ102" s="35" t="s">
        <v>1703</v>
      </c>
      <c r="BR102" s="36" t="s">
        <v>1483</v>
      </c>
      <c r="BS102" s="38" t="s">
        <v>1484</v>
      </c>
    </row>
    <row r="103" spans="1:71">
      <c r="A103" s="35" t="s">
        <v>1704</v>
      </c>
      <c r="B103" s="36" t="s">
        <v>112</v>
      </c>
      <c r="C103" s="36" t="s">
        <v>113</v>
      </c>
      <c r="D103" s="36" t="s">
        <v>74</v>
      </c>
      <c r="E103" s="36" t="s">
        <v>75</v>
      </c>
      <c r="F103" s="36" t="s">
        <v>263</v>
      </c>
      <c r="G103" s="36" t="s">
        <v>1705</v>
      </c>
      <c r="H103" s="36" t="s">
        <v>880</v>
      </c>
      <c r="I103" s="36" t="s">
        <v>79</v>
      </c>
      <c r="J103" s="36" t="s">
        <v>80</v>
      </c>
      <c r="K103" s="36" t="s">
        <v>881</v>
      </c>
      <c r="L103" s="36" t="s">
        <v>882</v>
      </c>
      <c r="M103" s="36" t="s">
        <v>1706</v>
      </c>
      <c r="N103" s="36" t="s">
        <v>1707</v>
      </c>
      <c r="O103" s="35" t="s">
        <v>1708</v>
      </c>
      <c r="P103" s="36" t="s">
        <v>151</v>
      </c>
      <c r="Q103" s="36" t="s">
        <v>152</v>
      </c>
      <c r="R103" s="36" t="s">
        <v>1709</v>
      </c>
      <c r="S103" s="36" t="s">
        <v>291</v>
      </c>
      <c r="T103" s="35" t="s">
        <v>88</v>
      </c>
      <c r="U103" s="36" t="s">
        <v>75</v>
      </c>
      <c r="V103" s="36" t="s">
        <v>75</v>
      </c>
      <c r="W103" s="36" t="s">
        <v>126</v>
      </c>
      <c r="X103" s="37" t="s">
        <v>126</v>
      </c>
      <c r="Y103" s="35" t="s">
        <v>90</v>
      </c>
      <c r="Z103" s="36" t="s">
        <v>90</v>
      </c>
      <c r="AA103" s="36" t="s">
        <v>75</v>
      </c>
      <c r="AB103" s="36" t="s">
        <v>90</v>
      </c>
      <c r="AC103" s="36" t="s">
        <v>126</v>
      </c>
      <c r="AD103" s="36" t="s">
        <v>215</v>
      </c>
      <c r="AE103" s="36" t="s">
        <v>1710</v>
      </c>
      <c r="AF103" s="36" t="s">
        <v>75</v>
      </c>
      <c r="AG103" s="36" t="s">
        <v>75</v>
      </c>
      <c r="AH103" s="36" t="s">
        <v>75</v>
      </c>
      <c r="AI103" s="36" t="s">
        <v>1711</v>
      </c>
      <c r="AJ103" s="36" t="s">
        <v>75</v>
      </c>
      <c r="AK103" s="36" t="s">
        <v>94</v>
      </c>
      <c r="AL103" s="35" t="s">
        <v>90</v>
      </c>
      <c r="AM103" s="36" t="s">
        <v>95</v>
      </c>
      <c r="AN103" s="36" t="s">
        <v>1712</v>
      </c>
      <c r="AO103" s="36" t="s">
        <v>75</v>
      </c>
      <c r="AP103" s="36" t="s">
        <v>75</v>
      </c>
      <c r="AQ103" s="36" t="s">
        <v>75</v>
      </c>
      <c r="AR103" s="36" t="s">
        <v>75</v>
      </c>
      <c r="AS103" s="36" t="s">
        <v>75</v>
      </c>
      <c r="AT103" s="36" t="s">
        <v>75</v>
      </c>
      <c r="AU103" s="36" t="s">
        <v>75</v>
      </c>
      <c r="AV103" s="36" t="s">
        <v>1713</v>
      </c>
      <c r="AW103" s="36" t="s">
        <v>75</v>
      </c>
      <c r="AX103" s="36" t="s">
        <v>75</v>
      </c>
      <c r="AY103" s="36" t="s">
        <v>1714</v>
      </c>
      <c r="AZ103" s="36" t="s">
        <v>1715</v>
      </c>
      <c r="BA103" s="36" t="s">
        <v>75</v>
      </c>
      <c r="BB103" s="36" t="s">
        <v>101</v>
      </c>
      <c r="BC103" s="36" t="s">
        <v>75</v>
      </c>
      <c r="BD103" s="36" t="s">
        <v>103</v>
      </c>
      <c r="BE103" s="36" t="s">
        <v>75</v>
      </c>
      <c r="BF103" s="36" t="s">
        <v>133</v>
      </c>
      <c r="BG103" s="36" t="s">
        <v>1716</v>
      </c>
      <c r="BH103" s="36" t="s">
        <v>75</v>
      </c>
      <c r="BI103" s="36" t="s">
        <v>104</v>
      </c>
      <c r="BJ103" s="36" t="s">
        <v>1717</v>
      </c>
      <c r="BK103" s="36" t="s">
        <v>106</v>
      </c>
      <c r="BL103" s="36" t="s">
        <v>107</v>
      </c>
      <c r="BM103" s="36" t="s">
        <v>75</v>
      </c>
      <c r="BN103" s="36" t="s">
        <v>75</v>
      </c>
      <c r="BO103" s="36" t="s">
        <v>75</v>
      </c>
      <c r="BP103" s="36" t="s">
        <v>75</v>
      </c>
      <c r="BQ103" s="35" t="s">
        <v>1718</v>
      </c>
      <c r="BR103" s="36" t="s">
        <v>1441</v>
      </c>
      <c r="BS103" s="38" t="s">
        <v>1442</v>
      </c>
    </row>
  </sheetData>
  <autoFilter xmlns:etc="http://www.wps.cn/officeDocument/2017/etCustomData" ref="A1:BS10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52"/>
  <sheetViews>
    <sheetView tabSelected="1" workbookViewId="0">
      <pane xSplit="18" ySplit="1" topLeftCell="S2" activePane="bottomRight" state="frozen"/>
      <selection/>
      <selection pane="topRight"/>
      <selection pane="bottomLeft"/>
      <selection pane="bottomRight" activeCell="P17" sqref="P17"/>
    </sheetView>
  </sheetViews>
  <sheetFormatPr defaultColWidth="8.84615384615385" defaultRowHeight="13" customHeight="1"/>
  <cols>
    <col min="1" max="1" width="5.74038461538461" style="1" customWidth="1"/>
    <col min="2" max="2" width="5.78846153846154" style="1" customWidth="1"/>
    <col min="3" max="3" width="18.8461538461538" style="1" customWidth="1"/>
    <col min="4" max="5" width="8.84615384615385" style="1"/>
    <col min="6" max="7" width="14.5288461538462" style="1" customWidth="1"/>
    <col min="8" max="14" width="8.84615384615385" style="1"/>
    <col min="15" max="15" width="9.80769230769231" style="1" customWidth="1"/>
    <col min="16" max="17" width="8.96153846153846" style="1" customWidth="1"/>
    <col min="18" max="18" width="19.5769230769231" style="2" customWidth="1"/>
    <col min="19" max="19" width="17.5769230769231" style="1" customWidth="1"/>
    <col min="20" max="21" width="19.5769230769231" style="1" customWidth="1"/>
    <col min="22" max="22" width="19.5769230769231" style="2" customWidth="1"/>
    <col min="23" max="23" width="11.2307692307692" style="1" customWidth="1"/>
    <col min="24" max="24" width="8.47115384615385" style="2" customWidth="1"/>
    <col min="25" max="25" width="8.68269230769231" style="2" customWidth="1"/>
    <col min="26" max="26" width="103" style="1" customWidth="1"/>
    <col min="27" max="27" width="54.2115384615385" style="1" customWidth="1"/>
    <col min="28" max="28" width="16.5769230769231" style="1" customWidth="1"/>
    <col min="29" max="29" width="24.5769230769231" style="2" customWidth="1"/>
    <col min="30" max="30" width="7.74038461538461" style="1" customWidth="1"/>
    <col min="31" max="31" width="10.2596153846154" style="1" customWidth="1"/>
    <col min="32" max="32" width="11.3173076923077" style="3" customWidth="1"/>
    <col min="33" max="33" width="6.48076923076923" style="1" customWidth="1"/>
    <col min="34" max="34" width="7.74038461538461" style="1" customWidth="1"/>
    <col min="35" max="36" width="7.63461538461539" style="2" customWidth="1"/>
    <col min="37" max="37" width="6" style="1" customWidth="1"/>
    <col min="38" max="38" width="5.95192307692308" style="1" customWidth="1"/>
    <col min="39" max="39" width="7.78846153846154" style="2" customWidth="1"/>
    <col min="40" max="40" width="7.74038461538461" style="2" customWidth="1"/>
    <col min="41" max="41" width="7.74038461538461" style="1" customWidth="1"/>
    <col min="42" max="42" width="4.15384615384615" style="1" customWidth="1"/>
    <col min="43" max="44" width="7.74038461538461" style="1" customWidth="1"/>
    <col min="45" max="45" width="8.63461538461539" style="1" customWidth="1"/>
    <col min="46" max="46" width="7.74038461538461" style="2" customWidth="1"/>
    <col min="47" max="47" width="24.5769230769231" style="1" customWidth="1"/>
    <col min="48" max="48" width="14.4230769230769" style="1" customWidth="1"/>
    <col min="49" max="49" width="8.47115384615385" style="1" customWidth="1"/>
    <col min="50" max="51" width="7.74038461538461" style="1" customWidth="1"/>
    <col min="52" max="52" width="7.15384615384615" style="2" customWidth="1"/>
    <col min="53" max="55" width="7.74038461538461" style="1" customWidth="1"/>
    <col min="56" max="56" width="7.63461538461539" style="1" customWidth="1"/>
    <col min="57" max="57" width="4.15384615384615" style="1" customWidth="1"/>
    <col min="58" max="16384" width="8.84615384615385" style="1"/>
  </cols>
  <sheetData>
    <row r="1" ht="28" customHeight="1" spans="1:57">
      <c r="A1" s="4" t="s">
        <v>1719</v>
      </c>
      <c r="B1" s="5" t="s">
        <v>1720</v>
      </c>
      <c r="C1" s="5" t="s">
        <v>0</v>
      </c>
      <c r="D1" s="6" t="s">
        <v>1721</v>
      </c>
      <c r="E1" s="6" t="s">
        <v>1722</v>
      </c>
      <c r="F1" s="6" t="s">
        <v>68</v>
      </c>
      <c r="G1" s="6" t="s">
        <v>1723</v>
      </c>
      <c r="H1" s="5" t="s">
        <v>1724</v>
      </c>
      <c r="I1" s="5" t="s">
        <v>1725</v>
      </c>
      <c r="J1" s="5" t="s">
        <v>1726</v>
      </c>
      <c r="K1" s="5" t="s">
        <v>1727</v>
      </c>
      <c r="L1" s="5" t="s">
        <v>1728</v>
      </c>
      <c r="M1" s="5" t="s">
        <v>1729</v>
      </c>
      <c r="N1" s="5" t="s">
        <v>1730</v>
      </c>
      <c r="O1" s="7" t="s">
        <v>1731</v>
      </c>
      <c r="P1" s="8" t="s">
        <v>1732</v>
      </c>
      <c r="Q1" s="8" t="s">
        <v>1733</v>
      </c>
      <c r="R1" s="9" t="s">
        <v>0</v>
      </c>
      <c r="S1" s="10" t="s">
        <v>1734</v>
      </c>
      <c r="T1" s="11" t="s">
        <v>1735</v>
      </c>
      <c r="U1" s="11" t="s">
        <v>1736</v>
      </c>
      <c r="V1" s="9" t="s">
        <v>1737</v>
      </c>
      <c r="W1" s="10" t="s">
        <v>1738</v>
      </c>
      <c r="X1" s="9" t="s">
        <v>1739</v>
      </c>
      <c r="Y1" s="9" t="s">
        <v>1740</v>
      </c>
      <c r="Z1" s="10" t="s">
        <v>70</v>
      </c>
      <c r="AA1" s="12" t="s">
        <v>1741</v>
      </c>
      <c r="AB1" s="13" t="s">
        <v>1742</v>
      </c>
      <c r="AC1" s="9" t="s">
        <v>1743</v>
      </c>
      <c r="AD1" s="10" t="s">
        <v>1744</v>
      </c>
      <c r="AE1" s="14" t="s">
        <v>1745</v>
      </c>
      <c r="AF1" s="15" t="s">
        <v>1746</v>
      </c>
      <c r="AG1" s="10" t="s">
        <v>1747</v>
      </c>
      <c r="AH1" s="10" t="s">
        <v>1748</v>
      </c>
      <c r="AI1" s="16" t="s">
        <v>1749</v>
      </c>
      <c r="AJ1" s="16" t="s">
        <v>1750</v>
      </c>
      <c r="AK1" s="10" t="s">
        <v>1751</v>
      </c>
      <c r="AL1" s="10" t="s">
        <v>1752</v>
      </c>
      <c r="AM1" s="17" t="s">
        <v>1753</v>
      </c>
      <c r="AN1" s="17" t="s">
        <v>1754</v>
      </c>
      <c r="AO1" s="11" t="s">
        <v>1755</v>
      </c>
      <c r="AP1" s="11" t="s">
        <v>1756</v>
      </c>
      <c r="AQ1" s="10" t="s">
        <v>1757</v>
      </c>
      <c r="AR1" s="10" t="s">
        <v>1758</v>
      </c>
      <c r="AS1" s="10" t="s">
        <v>1759</v>
      </c>
      <c r="AT1" s="9" t="s">
        <v>1760</v>
      </c>
      <c r="AU1" s="18" t="s">
        <v>1761</v>
      </c>
      <c r="AV1" s="11" t="s">
        <v>1762</v>
      </c>
      <c r="AW1" s="11" t="s">
        <v>1763</v>
      </c>
      <c r="AX1" s="11" t="s">
        <v>1764</v>
      </c>
      <c r="AY1" s="11" t="s">
        <v>1765</v>
      </c>
      <c r="AZ1" s="9" t="s">
        <v>1766</v>
      </c>
      <c r="BA1" s="10" t="s">
        <v>1767</v>
      </c>
      <c r="BB1" s="10" t="s">
        <v>1768</v>
      </c>
      <c r="BC1" s="10" t="s">
        <v>1769</v>
      </c>
      <c r="BD1" s="14" t="s">
        <v>1770</v>
      </c>
      <c r="BE1" s="19" t="s">
        <v>1771</v>
      </c>
    </row>
    <row r="2" customHeight="1" spans="1:57">
      <c r="A2" s="20">
        <f>YEAR(V2)</f>
        <v>2025</v>
      </c>
      <c r="B2" s="21">
        <f>MONTH(V2)</f>
        <v>8</v>
      </c>
      <c r="C2" s="21" t="str">
        <f>R2</f>
        <v>P770450992956407491</v>
      </c>
      <c r="D2" s="21">
        <f>COUNTIF(R:R,R2)</f>
        <v>2</v>
      </c>
      <c r="E2" s="21">
        <f>COUNTIF($R$2:R2,R2)</f>
        <v>1</v>
      </c>
      <c r="F2" s="22" t="str" cm="1">
        <f t="array" ref="F2">INDEX(订单明细!BQ:BQ,MATCH(R2&amp;AC2,订单明细!A:A&amp;订单明细!O:O,0))</f>
        <v>Z2183-黑色-XL</v>
      </c>
      <c r="G2" s="22" t="str">
        <f>LEFT(F2,FIND("-",F2)-1)</f>
        <v>Z2183</v>
      </c>
      <c r="H2" s="21" cm="1">
        <f t="array" ref="H2">_xlfn.IFS(C2=0,"",I2&gt;0,AD2,AND(I2&lt;0,I2&gt;-30),0,I2&lt;=-30,-1)</f>
        <v>-1</v>
      </c>
      <c r="I2" s="21">
        <f>AF2</f>
        <v>-129</v>
      </c>
      <c r="J2" s="21">
        <f>AI2+AJ2</f>
        <v>0</v>
      </c>
      <c r="K2" s="21">
        <f>IF(AZ2&lt;=0,AZ2,AZ2/COUNTIFS(R:R,R2,AZ:AZ,"&gt;0"))</f>
        <v>0</v>
      </c>
      <c r="L2" s="21">
        <f>AM2</f>
        <v>6.45</v>
      </c>
      <c r="M2" s="21">
        <f>AT2</f>
        <v>0.77</v>
      </c>
      <c r="N2" s="21"/>
      <c r="O2" s="23">
        <f>SUM(I2:N2)</f>
        <v>-121.78</v>
      </c>
      <c r="R2" s="24" t="s">
        <v>1651</v>
      </c>
      <c r="S2" s="25" t="s">
        <v>1772</v>
      </c>
      <c r="T2" s="25" t="s">
        <v>1665</v>
      </c>
      <c r="U2" s="25" t="s">
        <v>1773</v>
      </c>
      <c r="V2" s="25" t="s">
        <v>1774</v>
      </c>
      <c r="W2" s="26" t="s">
        <v>1775</v>
      </c>
      <c r="X2" s="26" t="s">
        <v>1776</v>
      </c>
      <c r="Y2" s="25">
        <v>-121.78</v>
      </c>
      <c r="Z2" s="26" t="s">
        <v>1777</v>
      </c>
      <c r="AA2" s="26" t="s">
        <v>1778</v>
      </c>
      <c r="AB2" s="25" t="s">
        <v>1658</v>
      </c>
      <c r="AC2" s="24" t="s">
        <v>1659</v>
      </c>
      <c r="AD2" s="27">
        <v>0</v>
      </c>
      <c r="AE2" s="25">
        <v>-129</v>
      </c>
      <c r="AF2" s="24">
        <v>-129</v>
      </c>
      <c r="AG2" s="25">
        <v>0</v>
      </c>
      <c r="AH2" s="25">
        <v>0</v>
      </c>
      <c r="AI2" s="28">
        <v>0</v>
      </c>
      <c r="AJ2" s="28">
        <v>0</v>
      </c>
      <c r="AK2" s="27">
        <v>0</v>
      </c>
      <c r="AL2" s="27">
        <v>0</v>
      </c>
      <c r="AM2" s="28">
        <v>6.45</v>
      </c>
      <c r="AN2" s="28">
        <v>0</v>
      </c>
      <c r="AO2" s="27">
        <v>0</v>
      </c>
      <c r="AP2" s="27">
        <v>0</v>
      </c>
      <c r="AQ2" s="29" t="s">
        <v>103</v>
      </c>
      <c r="AR2" s="27">
        <v>0</v>
      </c>
      <c r="AS2" s="27">
        <v>0</v>
      </c>
      <c r="AT2" s="28">
        <v>0.77</v>
      </c>
      <c r="AU2" s="25" t="s">
        <v>151</v>
      </c>
      <c r="AV2" s="26" t="s">
        <v>1779</v>
      </c>
      <c r="AW2" s="26" t="s">
        <v>1780</v>
      </c>
      <c r="AX2" s="25"/>
      <c r="AY2" s="25"/>
      <c r="AZ2" s="28">
        <v>0</v>
      </c>
      <c r="BA2" s="27">
        <v>0</v>
      </c>
      <c r="BB2" s="27">
        <v>0</v>
      </c>
      <c r="BC2" s="27">
        <v>0</v>
      </c>
      <c r="BD2" s="27">
        <v>0</v>
      </c>
      <c r="BE2" s="30"/>
    </row>
    <row r="3" customHeight="1" spans="1:57">
      <c r="A3" s="20">
        <f>YEAR(V3)</f>
        <v>2025</v>
      </c>
      <c r="B3" s="21">
        <f>MONTH(V3)</f>
        <v>8</v>
      </c>
      <c r="C3" s="21" t="str">
        <f>R3</f>
        <v>P770450992956407491</v>
      </c>
      <c r="D3" s="21">
        <f>COUNTIF(R:R,R3)</f>
        <v>2</v>
      </c>
      <c r="E3" s="21">
        <f>COUNTIF($R$2:R3,R3)</f>
        <v>2</v>
      </c>
      <c r="F3" s="22" t="str" cm="1">
        <f t="array" ref="F3">INDEX(订单明细!BQ:BQ,MATCH(R3&amp;AC3,订单明细!A:A&amp;订单明细!O:O,0))</f>
        <v>Z2183-黑色-XL</v>
      </c>
      <c r="G3" s="22" t="str">
        <f>LEFT(F3,FIND("-",F3)-1)</f>
        <v>Z2183</v>
      </c>
      <c r="H3" s="21" cm="1">
        <f t="array" ref="H3">_xlfn.IFS(C3=0,"",I3&gt;0,AD3,AND(I3&lt;0,I3&gt;-30),0,I3&lt;=-30,-1)</f>
        <v>1</v>
      </c>
      <c r="I3" s="21">
        <f>AF3</f>
        <v>129</v>
      </c>
      <c r="J3" s="21">
        <f>AI3+AJ3</f>
        <v>0</v>
      </c>
      <c r="K3" s="21">
        <f>IF(AZ3&lt;=0,AZ3,AZ3/COUNTIFS(R:R,R3,AZ:AZ,"&gt;0"))</f>
        <v>0</v>
      </c>
      <c r="L3" s="21">
        <f>AM3</f>
        <v>-6.45</v>
      </c>
      <c r="M3" s="21">
        <f>AT3</f>
        <v>-0.77</v>
      </c>
      <c r="N3" s="21"/>
      <c r="O3" s="23">
        <f>SUM(I3:N3)</f>
        <v>121.78</v>
      </c>
      <c r="R3" s="24" t="s">
        <v>1651</v>
      </c>
      <c r="S3" s="25"/>
      <c r="T3" s="25" t="s">
        <v>1665</v>
      </c>
      <c r="U3" s="25" t="s">
        <v>1781</v>
      </c>
      <c r="V3" s="25" t="s">
        <v>1774</v>
      </c>
      <c r="W3" s="26" t="s">
        <v>1782</v>
      </c>
      <c r="X3" s="26" t="s">
        <v>1776</v>
      </c>
      <c r="Y3" s="25">
        <v>121.78</v>
      </c>
      <c r="Z3" s="26" t="s">
        <v>1777</v>
      </c>
      <c r="AA3" s="26" t="s">
        <v>1778</v>
      </c>
      <c r="AB3" s="25" t="s">
        <v>1658</v>
      </c>
      <c r="AC3" s="24" t="s">
        <v>1659</v>
      </c>
      <c r="AD3" s="27">
        <v>1</v>
      </c>
      <c r="AE3" s="25">
        <v>129</v>
      </c>
      <c r="AF3" s="31">
        <v>129</v>
      </c>
      <c r="AG3" s="25" t="s">
        <v>75</v>
      </c>
      <c r="AH3" s="25">
        <v>0</v>
      </c>
      <c r="AI3" s="28">
        <v>0</v>
      </c>
      <c r="AJ3" s="28">
        <v>0</v>
      </c>
      <c r="AK3" s="27">
        <v>0.05</v>
      </c>
      <c r="AL3" s="27">
        <v>0</v>
      </c>
      <c r="AM3" s="28">
        <v>-6.45</v>
      </c>
      <c r="AN3" s="28">
        <v>129</v>
      </c>
      <c r="AO3" s="27">
        <v>129</v>
      </c>
      <c r="AP3" s="27">
        <v>0</v>
      </c>
      <c r="AQ3" s="29" t="s">
        <v>103</v>
      </c>
      <c r="AR3" s="27">
        <v>0</v>
      </c>
      <c r="AS3" s="27">
        <v>0.006</v>
      </c>
      <c r="AT3" s="28">
        <v>-0.77</v>
      </c>
      <c r="AU3" s="25" t="s">
        <v>151</v>
      </c>
      <c r="AV3" s="26" t="s">
        <v>1779</v>
      </c>
      <c r="AW3" s="26" t="s">
        <v>1780</v>
      </c>
      <c r="AX3" s="25"/>
      <c r="AY3" s="25"/>
      <c r="AZ3" s="28">
        <v>0</v>
      </c>
      <c r="BA3" s="27">
        <v>0</v>
      </c>
      <c r="BB3" s="27">
        <v>0</v>
      </c>
      <c r="BC3" s="27">
        <v>0</v>
      </c>
      <c r="BD3" s="27">
        <v>0</v>
      </c>
      <c r="BE3" s="30"/>
    </row>
    <row r="4" customHeight="1" spans="1:57">
      <c r="A4" s="20">
        <f>YEAR(V4)</f>
        <v>2025</v>
      </c>
      <c r="B4" s="21">
        <f>MONTH(V4)</f>
        <v>8</v>
      </c>
      <c r="C4" s="21" t="str">
        <f>R4</f>
        <v>P770795407221086221</v>
      </c>
      <c r="D4" s="21">
        <f>COUNTIF(R:R,R4)</f>
        <v>1</v>
      </c>
      <c r="E4" s="21">
        <f>COUNTIF($R$2:R4,R4)</f>
        <v>1</v>
      </c>
      <c r="F4" s="22" t="str" cm="1">
        <f t="array" ref="F4">INDEX(订单明细!BQ:BQ,MATCH(R4&amp;AC4,订单明细!A:A&amp;订单明细!O:O,0))</f>
        <v>Z2363-灰色-M</v>
      </c>
      <c r="G4" s="22" t="str">
        <f>LEFT(F4,FIND("-",F4)-1)</f>
        <v>Z2363</v>
      </c>
      <c r="H4" s="21" cm="1">
        <f t="array" ref="H4">_xlfn.IFS(C4=0,"",I4&gt;0,AD4,AND(I4&lt;0,I4&gt;-30),0,I4&lt;=-30,-1)</f>
        <v>1</v>
      </c>
      <c r="I4" s="21">
        <f>AF4</f>
        <v>359</v>
      </c>
      <c r="J4" s="21">
        <f>AI4+AJ4</f>
        <v>0</v>
      </c>
      <c r="K4" s="21">
        <f>IF(AZ4&lt;=0,AZ4,AZ4/COUNTIFS(R:R,R4,AZ:AZ,"&gt;0"))</f>
        <v>0</v>
      </c>
      <c r="L4" s="21">
        <f>AM4</f>
        <v>-17.95</v>
      </c>
      <c r="M4" s="21">
        <f>AT4</f>
        <v>-2.15</v>
      </c>
      <c r="N4" s="21"/>
      <c r="O4" s="23">
        <f>SUM(I4:N4)</f>
        <v>338.9</v>
      </c>
      <c r="R4" s="24" t="s">
        <v>995</v>
      </c>
      <c r="S4" s="25"/>
      <c r="T4" s="25" t="s">
        <v>1004</v>
      </c>
      <c r="U4" s="25" t="s">
        <v>1007</v>
      </c>
      <c r="V4" s="25" t="s">
        <v>1783</v>
      </c>
      <c r="W4" s="26" t="s">
        <v>1782</v>
      </c>
      <c r="X4" s="26" t="s">
        <v>1776</v>
      </c>
      <c r="Y4" s="25">
        <v>338.9</v>
      </c>
      <c r="Z4" s="26" t="s">
        <v>1784</v>
      </c>
      <c r="AA4" s="26" t="s">
        <v>1785</v>
      </c>
      <c r="AB4" s="25" t="s">
        <v>838</v>
      </c>
      <c r="AC4" s="24" t="s">
        <v>839</v>
      </c>
      <c r="AD4" s="27">
        <v>1</v>
      </c>
      <c r="AE4" s="25">
        <v>359</v>
      </c>
      <c r="AF4" s="31">
        <v>359</v>
      </c>
      <c r="AG4" s="25" t="s">
        <v>75</v>
      </c>
      <c r="AH4" s="25">
        <v>0</v>
      </c>
      <c r="AI4" s="28">
        <v>0</v>
      </c>
      <c r="AJ4" s="28">
        <v>0</v>
      </c>
      <c r="AK4" s="27">
        <v>0.05</v>
      </c>
      <c r="AL4" s="27">
        <v>0</v>
      </c>
      <c r="AM4" s="28">
        <v>-17.95</v>
      </c>
      <c r="AN4" s="28">
        <v>359</v>
      </c>
      <c r="AO4" s="27">
        <v>359</v>
      </c>
      <c r="AP4" s="27">
        <v>0</v>
      </c>
      <c r="AQ4" s="29" t="s">
        <v>103</v>
      </c>
      <c r="AR4" s="27">
        <v>0</v>
      </c>
      <c r="AS4" s="27">
        <v>0.006</v>
      </c>
      <c r="AT4" s="28">
        <v>-2.15</v>
      </c>
      <c r="AU4" s="25" t="s">
        <v>151</v>
      </c>
      <c r="AV4" s="26" t="s">
        <v>1779</v>
      </c>
      <c r="AW4" s="26" t="s">
        <v>1780</v>
      </c>
      <c r="AX4" s="25"/>
      <c r="AY4" s="25"/>
      <c r="AZ4" s="28">
        <v>0</v>
      </c>
      <c r="BA4" s="27">
        <v>0</v>
      </c>
      <c r="BB4" s="27">
        <v>0</v>
      </c>
      <c r="BC4" s="27">
        <v>0</v>
      </c>
      <c r="BD4" s="27">
        <v>0</v>
      </c>
      <c r="BE4" s="30"/>
    </row>
    <row r="5" customHeight="1" spans="1:57">
      <c r="A5" s="20">
        <f>YEAR(V5)</f>
        <v>2025</v>
      </c>
      <c r="B5" s="21">
        <f>MONTH(V5)</f>
        <v>8</v>
      </c>
      <c r="C5" s="21" t="str">
        <f>R5</f>
        <v>P770821520016218311</v>
      </c>
      <c r="D5" s="21">
        <f>COUNTIF(R:R,R5)</f>
        <v>1</v>
      </c>
      <c r="E5" s="21">
        <f>COUNTIF($R$2:R5,R5)</f>
        <v>1</v>
      </c>
      <c r="F5" s="22" t="str" cm="1">
        <f t="array" ref="F5">INDEX(订单明细!BQ:BQ,MATCH(R5&amp;AC5,订单明细!A:A&amp;订单明细!O:O,0))</f>
        <v>Z2365-灰色-S</v>
      </c>
      <c r="G5" s="22" t="str">
        <f>LEFT(F5,FIND("-",F5)-1)</f>
        <v>Z2365</v>
      </c>
      <c r="H5" s="21" cm="1">
        <f t="array" ref="H5">_xlfn.IFS(C5=0,"",I5&gt;0,AD5,AND(I5&lt;0,I5&gt;-30),0,I5&lt;=-30,-1)</f>
        <v>1</v>
      </c>
      <c r="I5" s="21">
        <f>AF5</f>
        <v>219</v>
      </c>
      <c r="J5" s="21">
        <f>AI5+AJ5</f>
        <v>0</v>
      </c>
      <c r="K5" s="21">
        <f>IF(AZ5&lt;=0,AZ5,AZ5/COUNTIFS(R:R,R5,AZ:AZ,"&gt;0"))</f>
        <v>0</v>
      </c>
      <c r="L5" s="21">
        <f>AM5</f>
        <v>-10.95</v>
      </c>
      <c r="M5" s="21">
        <f>AT5</f>
        <v>-1.31</v>
      </c>
      <c r="N5" s="21"/>
      <c r="O5" s="23">
        <f>SUM(I5:N5)</f>
        <v>206.74</v>
      </c>
      <c r="R5" s="24" t="s">
        <v>339</v>
      </c>
      <c r="S5" s="25"/>
      <c r="T5" s="25" t="s">
        <v>353</v>
      </c>
      <c r="U5" s="25" t="s">
        <v>357</v>
      </c>
      <c r="V5" s="25" t="s">
        <v>1786</v>
      </c>
      <c r="W5" s="26" t="s">
        <v>1782</v>
      </c>
      <c r="X5" s="26" t="s">
        <v>1776</v>
      </c>
      <c r="Y5" s="25">
        <v>206.74</v>
      </c>
      <c r="Z5" s="26" t="s">
        <v>1787</v>
      </c>
      <c r="AA5" s="26" t="s">
        <v>1788</v>
      </c>
      <c r="AB5" s="25" t="s">
        <v>348</v>
      </c>
      <c r="AC5" s="24" t="s">
        <v>349</v>
      </c>
      <c r="AD5" s="27">
        <v>1</v>
      </c>
      <c r="AE5" s="25">
        <v>219</v>
      </c>
      <c r="AF5" s="31">
        <v>219</v>
      </c>
      <c r="AG5" s="25" t="s">
        <v>75</v>
      </c>
      <c r="AH5" s="25">
        <v>0</v>
      </c>
      <c r="AI5" s="28">
        <v>0</v>
      </c>
      <c r="AJ5" s="28">
        <v>0</v>
      </c>
      <c r="AK5" s="27">
        <v>0.05</v>
      </c>
      <c r="AL5" s="27">
        <v>0</v>
      </c>
      <c r="AM5" s="28">
        <v>-10.95</v>
      </c>
      <c r="AN5" s="28">
        <v>219</v>
      </c>
      <c r="AO5" s="27">
        <v>219</v>
      </c>
      <c r="AP5" s="27">
        <v>0</v>
      </c>
      <c r="AQ5" s="29" t="s">
        <v>103</v>
      </c>
      <c r="AR5" s="27">
        <v>0</v>
      </c>
      <c r="AS5" s="27">
        <v>0.006</v>
      </c>
      <c r="AT5" s="28">
        <v>-1.31</v>
      </c>
      <c r="AU5" s="25" t="s">
        <v>151</v>
      </c>
      <c r="AV5" s="26" t="s">
        <v>1779</v>
      </c>
      <c r="AW5" s="26" t="s">
        <v>1780</v>
      </c>
      <c r="AX5" s="25"/>
      <c r="AY5" s="25"/>
      <c r="AZ5" s="28">
        <v>0</v>
      </c>
      <c r="BA5" s="27">
        <v>0</v>
      </c>
      <c r="BB5" s="27">
        <v>0</v>
      </c>
      <c r="BC5" s="27">
        <v>0</v>
      </c>
      <c r="BD5" s="27">
        <v>0</v>
      </c>
      <c r="BE5" s="30"/>
    </row>
    <row r="6" customHeight="1" spans="1:57">
      <c r="A6" s="20">
        <f>YEAR(V6)</f>
        <v>2025</v>
      </c>
      <c r="B6" s="21">
        <f>MONTH(V6)</f>
        <v>8</v>
      </c>
      <c r="C6" s="21" t="str">
        <f>R6</f>
        <v>P771683143371443691</v>
      </c>
      <c r="D6" s="21">
        <f>COUNTIF(R:R,R6)</f>
        <v>1</v>
      </c>
      <c r="E6" s="21">
        <f>COUNTIF($R$2:R6,R6)</f>
        <v>1</v>
      </c>
      <c r="F6" s="22" t="str" cm="1">
        <f t="array" ref="F6">INDEX(订单明细!BQ:BQ,MATCH(R6&amp;AC6,订单明细!A:A&amp;订单明细!O:O,0))</f>
        <v>Z2338-花色-M</v>
      </c>
      <c r="G6" s="22" t="str">
        <f>LEFT(F6,FIND("-",F6)-1)</f>
        <v>Z2338</v>
      </c>
      <c r="H6" s="21" cm="1">
        <f t="array" ref="H6">_xlfn.IFS(C6=0,"",I6&gt;0,AD6,AND(I6&lt;0,I6&gt;-30),0,I6&lt;=-30,-1)</f>
        <v>1</v>
      </c>
      <c r="I6" s="21">
        <f>AF6</f>
        <v>249</v>
      </c>
      <c r="J6" s="21">
        <f>AI6+AJ6</f>
        <v>0</v>
      </c>
      <c r="K6" s="21">
        <f>IF(AZ6&lt;=0,AZ6,AZ6/COUNTIFS(R:R,R6,AZ:AZ,"&gt;0"))</f>
        <v>0</v>
      </c>
      <c r="L6" s="21">
        <f>AM6</f>
        <v>-12.45</v>
      </c>
      <c r="M6" s="21">
        <f>AT6</f>
        <v>0</v>
      </c>
      <c r="N6" s="21"/>
      <c r="O6" s="23">
        <f>SUM(I6:N6)</f>
        <v>236.55</v>
      </c>
      <c r="R6" s="24" t="s">
        <v>71</v>
      </c>
      <c r="S6" s="25"/>
      <c r="T6" s="25" t="s">
        <v>97</v>
      </c>
      <c r="U6" s="25" t="s">
        <v>100</v>
      </c>
      <c r="V6" s="25" t="s">
        <v>1789</v>
      </c>
      <c r="W6" s="26" t="s">
        <v>1782</v>
      </c>
      <c r="X6" s="26" t="s">
        <v>1776</v>
      </c>
      <c r="Y6" s="25">
        <v>236.55</v>
      </c>
      <c r="Z6" s="26" t="s">
        <v>1790</v>
      </c>
      <c r="AA6" s="26" t="s">
        <v>1791</v>
      </c>
      <c r="AB6" s="25" t="s">
        <v>84</v>
      </c>
      <c r="AC6" s="24" t="s">
        <v>85</v>
      </c>
      <c r="AD6" s="27">
        <v>1</v>
      </c>
      <c r="AE6" s="25">
        <v>249</v>
      </c>
      <c r="AF6" s="31">
        <v>249</v>
      </c>
      <c r="AG6" s="25" t="s">
        <v>75</v>
      </c>
      <c r="AH6" s="25">
        <v>0</v>
      </c>
      <c r="AI6" s="28">
        <v>0</v>
      </c>
      <c r="AJ6" s="28">
        <v>0</v>
      </c>
      <c r="AK6" s="27">
        <v>0.05</v>
      </c>
      <c r="AL6" s="27">
        <v>0</v>
      </c>
      <c r="AM6" s="28">
        <v>-12.45</v>
      </c>
      <c r="AN6" s="28">
        <v>249</v>
      </c>
      <c r="AO6" s="27">
        <v>249</v>
      </c>
      <c r="AP6" s="27">
        <v>0</v>
      </c>
      <c r="AQ6" s="29" t="s">
        <v>103</v>
      </c>
      <c r="AR6" s="27">
        <v>0</v>
      </c>
      <c r="AS6" s="27">
        <v>0</v>
      </c>
      <c r="AT6" s="28">
        <v>0</v>
      </c>
      <c r="AU6" s="25" t="s">
        <v>75</v>
      </c>
      <c r="AV6" s="25" t="s">
        <v>75</v>
      </c>
      <c r="AW6" s="25"/>
      <c r="AX6" s="25"/>
      <c r="AY6" s="25"/>
      <c r="AZ6" s="28">
        <v>0</v>
      </c>
      <c r="BA6" s="27">
        <v>0</v>
      </c>
      <c r="BB6" s="27">
        <v>0</v>
      </c>
      <c r="BC6" s="27">
        <v>0</v>
      </c>
      <c r="BD6" s="27">
        <v>0</v>
      </c>
      <c r="BE6" s="30"/>
    </row>
    <row r="7" customHeight="1" spans="1:57">
      <c r="A7" s="20">
        <f>YEAR(V7)</f>
        <v>2025</v>
      </c>
      <c r="B7" s="21">
        <f>MONTH(V7)</f>
        <v>8</v>
      </c>
      <c r="C7" s="21" t="str">
        <f>R7</f>
        <v>P770795098086034121</v>
      </c>
      <c r="D7" s="21">
        <f>COUNTIF(R:R,R7)</f>
        <v>2</v>
      </c>
      <c r="E7" s="21">
        <f>COUNTIF($R$2:R7,R7)</f>
        <v>1</v>
      </c>
      <c r="F7" s="22" t="str" cm="1">
        <f t="array" ref="F7">INDEX(订单明细!BQ:BQ,MATCH(R7&amp;AC7,订单明细!A:A&amp;订单明细!O:O,0))</f>
        <v>Z2363-黑色-L</v>
      </c>
      <c r="G7" s="22" t="str">
        <f>LEFT(F7,FIND("-",F7)-1)</f>
        <v>Z2363</v>
      </c>
      <c r="H7" s="21" cm="1">
        <f t="array" ref="H7">_xlfn.IFS(C7=0,"",I7&gt;0,AD7,AND(I7&lt;0,I7&gt;-30),0,I7&lt;=-30,-1)</f>
        <v>-1</v>
      </c>
      <c r="I7" s="21">
        <f>AF7</f>
        <v>-359</v>
      </c>
      <c r="J7" s="21">
        <f>AI7+AJ7</f>
        <v>0</v>
      </c>
      <c r="K7" s="21">
        <f>IF(AZ7&lt;=0,AZ7,AZ7/COUNTIFS(R:R,R7,AZ:AZ,"&gt;0"))</f>
        <v>0</v>
      </c>
      <c r="L7" s="21">
        <f>AM7</f>
        <v>17.95</v>
      </c>
      <c r="M7" s="21">
        <f>AT7</f>
        <v>2.15</v>
      </c>
      <c r="N7" s="21"/>
      <c r="O7" s="23">
        <f>SUM(I7:N7)</f>
        <v>-338.9</v>
      </c>
      <c r="R7" s="24" t="s">
        <v>1031</v>
      </c>
      <c r="S7" s="25" t="s">
        <v>1792</v>
      </c>
      <c r="T7" s="25" t="s">
        <v>1042</v>
      </c>
      <c r="U7" s="25" t="s">
        <v>1793</v>
      </c>
      <c r="V7" s="25" t="s">
        <v>1794</v>
      </c>
      <c r="W7" s="26" t="s">
        <v>1775</v>
      </c>
      <c r="X7" s="26" t="s">
        <v>1776</v>
      </c>
      <c r="Y7" s="25">
        <v>-338.9</v>
      </c>
      <c r="Z7" s="26" t="s">
        <v>1795</v>
      </c>
      <c r="AA7" s="26" t="s">
        <v>1785</v>
      </c>
      <c r="AB7" s="25" t="s">
        <v>1036</v>
      </c>
      <c r="AC7" s="24" t="s">
        <v>1037</v>
      </c>
      <c r="AD7" s="27">
        <v>0</v>
      </c>
      <c r="AE7" s="25">
        <v>-359</v>
      </c>
      <c r="AF7" s="24">
        <v>-359</v>
      </c>
      <c r="AG7" s="25">
        <v>0</v>
      </c>
      <c r="AH7" s="25">
        <v>0</v>
      </c>
      <c r="AI7" s="28">
        <v>0</v>
      </c>
      <c r="AJ7" s="28">
        <v>0</v>
      </c>
      <c r="AK7" s="27">
        <v>0</v>
      </c>
      <c r="AL7" s="27">
        <v>0</v>
      </c>
      <c r="AM7" s="28">
        <v>17.95</v>
      </c>
      <c r="AN7" s="28">
        <v>0</v>
      </c>
      <c r="AO7" s="27">
        <v>0</v>
      </c>
      <c r="AP7" s="27">
        <v>0</v>
      </c>
      <c r="AQ7" s="29" t="s">
        <v>103</v>
      </c>
      <c r="AR7" s="27">
        <v>0</v>
      </c>
      <c r="AS7" s="27">
        <v>0</v>
      </c>
      <c r="AT7" s="28">
        <v>2.15</v>
      </c>
      <c r="AU7" s="25" t="s">
        <v>151</v>
      </c>
      <c r="AV7" s="26" t="s">
        <v>1779</v>
      </c>
      <c r="AW7" s="26" t="s">
        <v>1780</v>
      </c>
      <c r="AX7" s="25"/>
      <c r="AY7" s="25"/>
      <c r="AZ7" s="28">
        <v>0</v>
      </c>
      <c r="BA7" s="27">
        <v>0</v>
      </c>
      <c r="BB7" s="27">
        <v>0</v>
      </c>
      <c r="BC7" s="27">
        <v>0</v>
      </c>
      <c r="BD7" s="27">
        <v>0</v>
      </c>
      <c r="BE7" s="30"/>
    </row>
    <row r="8" customHeight="1" spans="1:57">
      <c r="A8" s="20">
        <f>YEAR(V8)</f>
        <v>2025</v>
      </c>
      <c r="B8" s="21">
        <f>MONTH(V8)</f>
        <v>8</v>
      </c>
      <c r="C8" s="21" t="str">
        <f>R8</f>
        <v>P770984511919250241</v>
      </c>
      <c r="D8" s="21">
        <f>COUNTIF(R:R,R8)</f>
        <v>2</v>
      </c>
      <c r="E8" s="21">
        <f>COUNTIF($R$2:R8,R8)</f>
        <v>1</v>
      </c>
      <c r="F8" s="22" t="str" cm="1">
        <f t="array" ref="F8">INDEX(订单明细!BQ:BQ,MATCH(R8&amp;AC8,订单明细!A:A&amp;订单明细!O:O,0))</f>
        <v>Z2218-黑色-L</v>
      </c>
      <c r="G8" s="22" t="str">
        <f>LEFT(F8,FIND("-",F8)-1)</f>
        <v>Z2218</v>
      </c>
      <c r="H8" s="21" cm="1">
        <f t="array" ref="H8">_xlfn.IFS(C8=0,"",I8&gt;0,AD8,AND(I8&lt;0,I8&gt;-30),0,I8&lt;=-30,-1)</f>
        <v>-1</v>
      </c>
      <c r="I8" s="21">
        <f>AF8</f>
        <v>-229</v>
      </c>
      <c r="J8" s="21">
        <f>AI8+AJ8</f>
        <v>0</v>
      </c>
      <c r="K8" s="21">
        <f>IF(AZ8&lt;=0,AZ8,AZ8/COUNTIFS(R:R,R8,AZ:AZ,"&gt;0"))</f>
        <v>0</v>
      </c>
      <c r="L8" s="21">
        <f>AM8</f>
        <v>11.45</v>
      </c>
      <c r="M8" s="21">
        <f>AT8</f>
        <v>1.37</v>
      </c>
      <c r="N8" s="21"/>
      <c r="O8" s="23">
        <f>SUM(I8:N8)</f>
        <v>-216.18</v>
      </c>
      <c r="R8" s="24" t="s">
        <v>279</v>
      </c>
      <c r="S8" s="25" t="s">
        <v>1796</v>
      </c>
      <c r="T8" s="25" t="s">
        <v>1797</v>
      </c>
      <c r="U8" s="25" t="s">
        <v>1798</v>
      </c>
      <c r="V8" s="25" t="s">
        <v>1794</v>
      </c>
      <c r="W8" s="26" t="s">
        <v>1775</v>
      </c>
      <c r="X8" s="26" t="s">
        <v>1776</v>
      </c>
      <c r="Y8" s="25">
        <v>-216.18</v>
      </c>
      <c r="Z8" s="26" t="s">
        <v>1799</v>
      </c>
      <c r="AA8" s="26" t="s">
        <v>1800</v>
      </c>
      <c r="AB8" s="25" t="s">
        <v>288</v>
      </c>
      <c r="AC8" s="24" t="s">
        <v>289</v>
      </c>
      <c r="AD8" s="27">
        <v>0</v>
      </c>
      <c r="AE8" s="25">
        <v>-229</v>
      </c>
      <c r="AF8" s="24">
        <v>-229</v>
      </c>
      <c r="AG8" s="25">
        <v>0</v>
      </c>
      <c r="AH8" s="25">
        <v>0</v>
      </c>
      <c r="AI8" s="28">
        <v>0</v>
      </c>
      <c r="AJ8" s="28">
        <v>0</v>
      </c>
      <c r="AK8" s="27">
        <v>0</v>
      </c>
      <c r="AL8" s="27">
        <v>0</v>
      </c>
      <c r="AM8" s="28">
        <v>11.45</v>
      </c>
      <c r="AN8" s="28">
        <v>0</v>
      </c>
      <c r="AO8" s="27">
        <v>0</v>
      </c>
      <c r="AP8" s="27">
        <v>0</v>
      </c>
      <c r="AQ8" s="29" t="s">
        <v>103</v>
      </c>
      <c r="AR8" s="27">
        <v>0</v>
      </c>
      <c r="AS8" s="27">
        <v>0</v>
      </c>
      <c r="AT8" s="28">
        <v>1.37</v>
      </c>
      <c r="AU8" s="25" t="s">
        <v>151</v>
      </c>
      <c r="AV8" s="26" t="s">
        <v>1779</v>
      </c>
      <c r="AW8" s="26" t="s">
        <v>1780</v>
      </c>
      <c r="AX8" s="25"/>
      <c r="AY8" s="25"/>
      <c r="AZ8" s="28">
        <v>0</v>
      </c>
      <c r="BA8" s="27">
        <v>0</v>
      </c>
      <c r="BB8" s="27">
        <v>0</v>
      </c>
      <c r="BC8" s="27">
        <v>0</v>
      </c>
      <c r="BD8" s="27">
        <v>0</v>
      </c>
      <c r="BE8" s="30"/>
    </row>
    <row r="9" customHeight="1" spans="1:57">
      <c r="A9" s="20">
        <f>YEAR(V9)</f>
        <v>2025</v>
      </c>
      <c r="B9" s="21">
        <f>MONTH(V9)</f>
        <v>8</v>
      </c>
      <c r="C9" s="21" t="str">
        <f>R9</f>
        <v>P770984511919250241</v>
      </c>
      <c r="D9" s="21">
        <f>COUNTIF(R:R,R9)</f>
        <v>2</v>
      </c>
      <c r="E9" s="21">
        <f>COUNTIF($R$2:R9,R9)</f>
        <v>2</v>
      </c>
      <c r="F9" s="22" t="str" cm="1">
        <f t="array" ref="F9">INDEX(订单明细!BQ:BQ,MATCH(R9&amp;AC9,订单明细!A:A&amp;订单明细!O:O,0))</f>
        <v>Z2218-黑色-L</v>
      </c>
      <c r="G9" s="22" t="str">
        <f>LEFT(F9,FIND("-",F9)-1)</f>
        <v>Z2218</v>
      </c>
      <c r="H9" s="21" cm="1">
        <f t="array" ref="H9">_xlfn.IFS(C9=0,"",I9&gt;0,AD9,AND(I9&lt;0,I9&gt;-30),0,I9&lt;=-30,-1)</f>
        <v>1</v>
      </c>
      <c r="I9" s="21">
        <f>AF9</f>
        <v>229</v>
      </c>
      <c r="J9" s="21">
        <f>AI9+AJ9</f>
        <v>0</v>
      </c>
      <c r="K9" s="21">
        <f>IF(AZ9&lt;=0,AZ9,AZ9/COUNTIFS(R:R,R9,AZ:AZ,"&gt;0"))</f>
        <v>0</v>
      </c>
      <c r="L9" s="21">
        <f>AM9</f>
        <v>-11.45</v>
      </c>
      <c r="M9" s="21">
        <f>AT9</f>
        <v>-1.37</v>
      </c>
      <c r="N9" s="21"/>
      <c r="O9" s="23">
        <f>SUM(I9:N9)</f>
        <v>216.18</v>
      </c>
      <c r="R9" s="24" t="s">
        <v>279</v>
      </c>
      <c r="S9" s="25"/>
      <c r="T9" s="25" t="s">
        <v>1797</v>
      </c>
      <c r="U9" s="25" t="s">
        <v>1798</v>
      </c>
      <c r="V9" s="25" t="s">
        <v>1794</v>
      </c>
      <c r="W9" s="26" t="s">
        <v>1782</v>
      </c>
      <c r="X9" s="26" t="s">
        <v>1776</v>
      </c>
      <c r="Y9" s="25">
        <v>216.18</v>
      </c>
      <c r="Z9" s="26" t="s">
        <v>1799</v>
      </c>
      <c r="AA9" s="26" t="s">
        <v>1800</v>
      </c>
      <c r="AB9" s="25" t="s">
        <v>288</v>
      </c>
      <c r="AC9" s="24" t="s">
        <v>289</v>
      </c>
      <c r="AD9" s="27">
        <v>1</v>
      </c>
      <c r="AE9" s="25">
        <v>229</v>
      </c>
      <c r="AF9" s="31">
        <v>229</v>
      </c>
      <c r="AG9" s="25" t="s">
        <v>75</v>
      </c>
      <c r="AH9" s="25">
        <v>0</v>
      </c>
      <c r="AI9" s="28">
        <v>0</v>
      </c>
      <c r="AJ9" s="28">
        <v>0</v>
      </c>
      <c r="AK9" s="27">
        <v>0.05</v>
      </c>
      <c r="AL9" s="27">
        <v>0</v>
      </c>
      <c r="AM9" s="28">
        <v>-11.45</v>
      </c>
      <c r="AN9" s="28">
        <v>229</v>
      </c>
      <c r="AO9" s="27">
        <v>229</v>
      </c>
      <c r="AP9" s="27">
        <v>0</v>
      </c>
      <c r="AQ9" s="29" t="s">
        <v>103</v>
      </c>
      <c r="AR9" s="27">
        <v>0</v>
      </c>
      <c r="AS9" s="27">
        <v>0.006</v>
      </c>
      <c r="AT9" s="28">
        <v>-1.37</v>
      </c>
      <c r="AU9" s="25" t="s">
        <v>151</v>
      </c>
      <c r="AV9" s="26" t="s">
        <v>1779</v>
      </c>
      <c r="AW9" s="26" t="s">
        <v>1780</v>
      </c>
      <c r="AX9" s="25"/>
      <c r="AY9" s="25"/>
      <c r="AZ9" s="28">
        <v>0</v>
      </c>
      <c r="BA9" s="27">
        <v>0</v>
      </c>
      <c r="BB9" s="27">
        <v>0</v>
      </c>
      <c r="BC9" s="27">
        <v>0</v>
      </c>
      <c r="BD9" s="27">
        <v>0</v>
      </c>
      <c r="BE9" s="30"/>
    </row>
    <row r="10" customHeight="1" spans="1:57">
      <c r="A10" s="20">
        <f>YEAR(V10)</f>
        <v>2025</v>
      </c>
      <c r="B10" s="21">
        <f>MONTH(V10)</f>
        <v>8</v>
      </c>
      <c r="C10" s="21" t="str">
        <f>R10</f>
        <v>P770795098086034121</v>
      </c>
      <c r="D10" s="21">
        <f>COUNTIF(R:R,R10)</f>
        <v>2</v>
      </c>
      <c r="E10" s="21">
        <f>COUNTIF($R$2:R10,R10)</f>
        <v>2</v>
      </c>
      <c r="F10" s="22" t="str" cm="1">
        <f t="array" ref="F10">INDEX(订单明细!BQ:BQ,MATCH(R10&amp;AC10,订单明细!A:A&amp;订单明细!O:O,0))</f>
        <v>Z2363-黑色-L</v>
      </c>
      <c r="G10" s="22" t="str">
        <f>LEFT(F10,FIND("-",F10)-1)</f>
        <v>Z2363</v>
      </c>
      <c r="H10" s="21" cm="1">
        <f t="array" ref="H10">_xlfn.IFS(C10=0,"",I10&gt;0,AD10,AND(I10&lt;0,I10&gt;-30),0,I10&lt;=-30,-1)</f>
        <v>1</v>
      </c>
      <c r="I10" s="21">
        <f>AF10</f>
        <v>359</v>
      </c>
      <c r="J10" s="21">
        <f>AI10+AJ10</f>
        <v>0</v>
      </c>
      <c r="K10" s="21">
        <f>IF(AZ10&lt;=0,AZ10,AZ10/COUNTIFS(R:R,R10,AZ:AZ,"&gt;0"))</f>
        <v>0</v>
      </c>
      <c r="L10" s="21">
        <f>AM10</f>
        <v>-17.95</v>
      </c>
      <c r="M10" s="21">
        <f>AT10</f>
        <v>-2.15</v>
      </c>
      <c r="N10" s="21"/>
      <c r="O10" s="23">
        <f>SUM(I10:N10)</f>
        <v>338.9</v>
      </c>
      <c r="R10" s="24" t="s">
        <v>1031</v>
      </c>
      <c r="S10" s="25"/>
      <c r="T10" s="25" t="s">
        <v>1042</v>
      </c>
      <c r="U10" s="25" t="s">
        <v>1045</v>
      </c>
      <c r="V10" s="25" t="s">
        <v>1794</v>
      </c>
      <c r="W10" s="26" t="s">
        <v>1782</v>
      </c>
      <c r="X10" s="26" t="s">
        <v>1776</v>
      </c>
      <c r="Y10" s="25">
        <v>338.9</v>
      </c>
      <c r="Z10" s="26" t="s">
        <v>1795</v>
      </c>
      <c r="AA10" s="26" t="s">
        <v>1785</v>
      </c>
      <c r="AB10" s="25" t="s">
        <v>1036</v>
      </c>
      <c r="AC10" s="24" t="s">
        <v>1037</v>
      </c>
      <c r="AD10" s="27">
        <v>1</v>
      </c>
      <c r="AE10" s="25">
        <v>359</v>
      </c>
      <c r="AF10" s="31">
        <v>359</v>
      </c>
      <c r="AG10" s="25" t="s">
        <v>75</v>
      </c>
      <c r="AH10" s="25">
        <v>0</v>
      </c>
      <c r="AI10" s="28">
        <v>0</v>
      </c>
      <c r="AJ10" s="28">
        <v>0</v>
      </c>
      <c r="AK10" s="27">
        <v>0.05</v>
      </c>
      <c r="AL10" s="27">
        <v>0</v>
      </c>
      <c r="AM10" s="28">
        <v>-17.95</v>
      </c>
      <c r="AN10" s="28">
        <v>359</v>
      </c>
      <c r="AO10" s="27">
        <v>359</v>
      </c>
      <c r="AP10" s="27">
        <v>0</v>
      </c>
      <c r="AQ10" s="29" t="s">
        <v>103</v>
      </c>
      <c r="AR10" s="27">
        <v>0</v>
      </c>
      <c r="AS10" s="27">
        <v>0.006</v>
      </c>
      <c r="AT10" s="28">
        <v>-2.15</v>
      </c>
      <c r="AU10" s="25" t="s">
        <v>151</v>
      </c>
      <c r="AV10" s="26" t="s">
        <v>1779</v>
      </c>
      <c r="AW10" s="26" t="s">
        <v>1780</v>
      </c>
      <c r="AX10" s="25"/>
      <c r="AY10" s="25"/>
      <c r="AZ10" s="28">
        <v>0</v>
      </c>
      <c r="BA10" s="27">
        <v>0</v>
      </c>
      <c r="BB10" s="27">
        <v>0</v>
      </c>
      <c r="BC10" s="27">
        <v>0</v>
      </c>
      <c r="BD10" s="27">
        <v>0</v>
      </c>
      <c r="BE10" s="30"/>
    </row>
    <row r="11" customHeight="1" spans="1:57">
      <c r="A11" s="20">
        <f>YEAR(V11)</f>
        <v>2025</v>
      </c>
      <c r="B11" s="21">
        <f>MONTH(V11)</f>
        <v>8</v>
      </c>
      <c r="C11" s="21" t="str">
        <f>R11</f>
        <v>P770381824712038751</v>
      </c>
      <c r="D11" s="21">
        <f>COUNTIF(R:R,R11)</f>
        <v>2</v>
      </c>
      <c r="E11" s="21">
        <f>COUNTIF($R$2:R11,R11)</f>
        <v>1</v>
      </c>
      <c r="F11" s="22" t="str" cm="1">
        <f t="array" ref="F11">INDEX(订单明细!BQ:BQ,MATCH(R11&amp;AC11,订单明细!A:A&amp;订单明细!O:O,0))</f>
        <v>Z1688-黑色-L</v>
      </c>
      <c r="G11" s="22" t="str">
        <f>LEFT(F11,FIND("-",F11)-1)</f>
        <v>Z1688</v>
      </c>
      <c r="H11" s="21" cm="1">
        <f t="array" ref="H11">_xlfn.IFS(C11=0,"",I11&gt;0,AD11,AND(I11&lt;0,I11&gt;-30),0,I11&lt;=-30,-1)</f>
        <v>-1</v>
      </c>
      <c r="I11" s="21">
        <f>AF11</f>
        <v>-499</v>
      </c>
      <c r="J11" s="21">
        <f>AI11+AJ11</f>
        <v>0</v>
      </c>
      <c r="K11" s="21">
        <f>IF(AZ11&lt;=0,AZ11,AZ11/COUNTIFS(R:R,R11,AZ:AZ,"&gt;0"))</f>
        <v>0</v>
      </c>
      <c r="L11" s="21">
        <f>AM11</f>
        <v>24.95</v>
      </c>
      <c r="M11" s="21">
        <f>AT11</f>
        <v>2.99</v>
      </c>
      <c r="N11" s="21"/>
      <c r="O11" s="23">
        <f>SUM(I11:N11)</f>
        <v>-471.06</v>
      </c>
      <c r="R11" s="24" t="s">
        <v>1626</v>
      </c>
      <c r="S11" s="25" t="s">
        <v>1801</v>
      </c>
      <c r="T11" s="25" t="s">
        <v>1642</v>
      </c>
      <c r="U11" s="25" t="s">
        <v>1802</v>
      </c>
      <c r="V11" s="25" t="s">
        <v>1803</v>
      </c>
      <c r="W11" s="26" t="s">
        <v>1775</v>
      </c>
      <c r="X11" s="26" t="s">
        <v>1776</v>
      </c>
      <c r="Y11" s="25">
        <v>-471.06</v>
      </c>
      <c r="Z11" s="26" t="s">
        <v>1804</v>
      </c>
      <c r="AA11" s="26" t="s">
        <v>1805</v>
      </c>
      <c r="AB11" s="25" t="s">
        <v>1635</v>
      </c>
      <c r="AC11" s="24" t="s">
        <v>1636</v>
      </c>
      <c r="AD11" s="27">
        <v>0</v>
      </c>
      <c r="AE11" s="25">
        <v>-499</v>
      </c>
      <c r="AF11" s="24">
        <v>-499</v>
      </c>
      <c r="AG11" s="25">
        <v>0</v>
      </c>
      <c r="AH11" s="25">
        <v>0</v>
      </c>
      <c r="AI11" s="28">
        <v>0</v>
      </c>
      <c r="AJ11" s="28">
        <v>0</v>
      </c>
      <c r="AK11" s="27">
        <v>0</v>
      </c>
      <c r="AL11" s="27">
        <v>0</v>
      </c>
      <c r="AM11" s="28">
        <v>24.95</v>
      </c>
      <c r="AN11" s="28">
        <v>0</v>
      </c>
      <c r="AO11" s="27">
        <v>0</v>
      </c>
      <c r="AP11" s="27">
        <v>0</v>
      </c>
      <c r="AQ11" s="29" t="s">
        <v>103</v>
      </c>
      <c r="AR11" s="27">
        <v>0</v>
      </c>
      <c r="AS11" s="27">
        <v>0</v>
      </c>
      <c r="AT11" s="28">
        <v>2.99</v>
      </c>
      <c r="AU11" s="25" t="s">
        <v>151</v>
      </c>
      <c r="AV11" s="26" t="s">
        <v>1779</v>
      </c>
      <c r="AW11" s="26" t="s">
        <v>1780</v>
      </c>
      <c r="AX11" s="25"/>
      <c r="AY11" s="25"/>
      <c r="AZ11" s="28">
        <v>0</v>
      </c>
      <c r="BA11" s="27">
        <v>0</v>
      </c>
      <c r="BB11" s="27">
        <v>0</v>
      </c>
      <c r="BC11" s="27">
        <v>0</v>
      </c>
      <c r="BD11" s="27">
        <v>0</v>
      </c>
      <c r="BE11" s="30"/>
    </row>
    <row r="12" customHeight="1" spans="1:57">
      <c r="A12" s="20">
        <f>YEAR(V12)</f>
        <v>2025</v>
      </c>
      <c r="B12" s="21">
        <f>MONTH(V12)</f>
        <v>8</v>
      </c>
      <c r="C12" s="21" t="str">
        <f>R12</f>
        <v>P770381824712038751</v>
      </c>
      <c r="D12" s="21">
        <f>COUNTIF(R:R,R12)</f>
        <v>2</v>
      </c>
      <c r="E12" s="21">
        <f>COUNTIF($R$2:R12,R12)</f>
        <v>2</v>
      </c>
      <c r="F12" s="22" t="str" cm="1">
        <f t="array" ref="F12">INDEX(订单明细!BQ:BQ,MATCH(R12&amp;AC12,订单明细!A:A&amp;订单明细!O:O,0))</f>
        <v>Z1688-黑色-L</v>
      </c>
      <c r="G12" s="22" t="str">
        <f>LEFT(F12,FIND("-",F12)-1)</f>
        <v>Z1688</v>
      </c>
      <c r="H12" s="21" cm="1">
        <f t="array" ref="H12">_xlfn.IFS(C12=0,"",I12&gt;0,AD12,AND(I12&lt;0,I12&gt;-30),0,I12&lt;=-30,-1)</f>
        <v>1</v>
      </c>
      <c r="I12" s="21">
        <f>AF12</f>
        <v>499</v>
      </c>
      <c r="J12" s="21">
        <f>AI12+AJ12</f>
        <v>0</v>
      </c>
      <c r="K12" s="21">
        <f>IF(AZ12&lt;=0,AZ12,AZ12/COUNTIFS(R:R,R12,AZ:AZ,"&gt;0"))</f>
        <v>0</v>
      </c>
      <c r="L12" s="21">
        <f>AM12</f>
        <v>-24.95</v>
      </c>
      <c r="M12" s="21">
        <f>AT12</f>
        <v>-2.99</v>
      </c>
      <c r="N12" s="21"/>
      <c r="O12" s="23">
        <f>SUM(I12:N12)</f>
        <v>471.06</v>
      </c>
      <c r="R12" s="24" t="s">
        <v>1626</v>
      </c>
      <c r="S12" s="25"/>
      <c r="T12" s="25" t="s">
        <v>1642</v>
      </c>
      <c r="U12" s="25" t="s">
        <v>1806</v>
      </c>
      <c r="V12" s="25" t="s">
        <v>1803</v>
      </c>
      <c r="W12" s="26" t="s">
        <v>1782</v>
      </c>
      <c r="X12" s="26" t="s">
        <v>1776</v>
      </c>
      <c r="Y12" s="25">
        <v>471.06</v>
      </c>
      <c r="Z12" s="26" t="s">
        <v>1804</v>
      </c>
      <c r="AA12" s="26" t="s">
        <v>1805</v>
      </c>
      <c r="AB12" s="25" t="s">
        <v>1635</v>
      </c>
      <c r="AC12" s="24" t="s">
        <v>1636</v>
      </c>
      <c r="AD12" s="27">
        <v>1</v>
      </c>
      <c r="AE12" s="25">
        <v>499</v>
      </c>
      <c r="AF12" s="31">
        <v>499</v>
      </c>
      <c r="AG12" s="25" t="s">
        <v>75</v>
      </c>
      <c r="AH12" s="25">
        <v>0</v>
      </c>
      <c r="AI12" s="28">
        <v>0</v>
      </c>
      <c r="AJ12" s="28">
        <v>0</v>
      </c>
      <c r="AK12" s="27">
        <v>0.05</v>
      </c>
      <c r="AL12" s="27">
        <v>0</v>
      </c>
      <c r="AM12" s="28">
        <v>-24.95</v>
      </c>
      <c r="AN12" s="28">
        <v>499</v>
      </c>
      <c r="AO12" s="27">
        <v>499</v>
      </c>
      <c r="AP12" s="27">
        <v>0</v>
      </c>
      <c r="AQ12" s="29" t="s">
        <v>103</v>
      </c>
      <c r="AR12" s="27">
        <v>0</v>
      </c>
      <c r="AS12" s="27">
        <v>0.006</v>
      </c>
      <c r="AT12" s="28">
        <v>-2.99</v>
      </c>
      <c r="AU12" s="25" t="s">
        <v>151</v>
      </c>
      <c r="AV12" s="26" t="s">
        <v>1779</v>
      </c>
      <c r="AW12" s="26" t="s">
        <v>1780</v>
      </c>
      <c r="AX12" s="25"/>
      <c r="AY12" s="25"/>
      <c r="AZ12" s="28">
        <v>0</v>
      </c>
      <c r="BA12" s="27">
        <v>0</v>
      </c>
      <c r="BB12" s="27">
        <v>0</v>
      </c>
      <c r="BC12" s="27">
        <v>0</v>
      </c>
      <c r="BD12" s="27">
        <v>0</v>
      </c>
      <c r="BE12" s="30"/>
    </row>
    <row r="13" customHeight="1" spans="1:57">
      <c r="A13" s="20">
        <f>YEAR(V13)</f>
        <v>2025</v>
      </c>
      <c r="B13" s="21">
        <f>MONTH(V13)</f>
        <v>8</v>
      </c>
      <c r="C13" s="21" t="str">
        <f>R13</f>
        <v>P770818846205191671</v>
      </c>
      <c r="D13" s="21">
        <f>COUNTIF(R:R,R13)</f>
        <v>1</v>
      </c>
      <c r="E13" s="21">
        <f>COUNTIF($R$2:R13,R13)</f>
        <v>1</v>
      </c>
      <c r="F13" s="22" t="str" cm="1">
        <f t="array" ref="F13">INDEX(订单明细!BQ:BQ,MATCH(R13&amp;AC13,订单明细!A:A&amp;订单明细!O:O,0))</f>
        <v>Z1576-黑色-M</v>
      </c>
      <c r="G13" s="22" t="str">
        <f>LEFT(F13,FIND("-",F13)-1)</f>
        <v>Z1576</v>
      </c>
      <c r="H13" s="21" cm="1">
        <f t="array" ref="H13">_xlfn.IFS(C13=0,"",I13&gt;0,AD13,AND(I13&lt;0,I13&gt;-30),0,I13&lt;=-30,-1)</f>
        <v>1</v>
      </c>
      <c r="I13" s="21">
        <f>AF13</f>
        <v>199</v>
      </c>
      <c r="J13" s="21">
        <f>AI13+AJ13</f>
        <v>0</v>
      </c>
      <c r="K13" s="21">
        <f>IF(AZ13&lt;=0,AZ13,AZ13/COUNTIFS(R:R,R13,AZ:AZ,"&gt;0"))</f>
        <v>0</v>
      </c>
      <c r="L13" s="21">
        <f>AM13</f>
        <v>-9.95</v>
      </c>
      <c r="M13" s="21">
        <f>AT13</f>
        <v>-1.19</v>
      </c>
      <c r="N13" s="21"/>
      <c r="O13" s="23">
        <f>SUM(I13:N13)</f>
        <v>187.86</v>
      </c>
      <c r="R13" s="24" t="s">
        <v>386</v>
      </c>
      <c r="S13" s="25"/>
      <c r="T13" s="25" t="s">
        <v>401</v>
      </c>
      <c r="U13" s="25" t="s">
        <v>404</v>
      </c>
      <c r="V13" s="25" t="s">
        <v>1807</v>
      </c>
      <c r="W13" s="26" t="s">
        <v>1782</v>
      </c>
      <c r="X13" s="26" t="s">
        <v>1776</v>
      </c>
      <c r="Y13" s="25">
        <v>187.86</v>
      </c>
      <c r="Z13" s="26" t="s">
        <v>1808</v>
      </c>
      <c r="AA13" s="26" t="s">
        <v>1778</v>
      </c>
      <c r="AB13" s="25" t="s">
        <v>395</v>
      </c>
      <c r="AC13" s="24" t="s">
        <v>396</v>
      </c>
      <c r="AD13" s="27">
        <v>1</v>
      </c>
      <c r="AE13" s="25">
        <v>199</v>
      </c>
      <c r="AF13" s="31">
        <v>199</v>
      </c>
      <c r="AG13" s="25" t="s">
        <v>75</v>
      </c>
      <c r="AH13" s="25">
        <v>0</v>
      </c>
      <c r="AI13" s="28">
        <v>0</v>
      </c>
      <c r="AJ13" s="28">
        <v>0</v>
      </c>
      <c r="AK13" s="27">
        <v>0.05</v>
      </c>
      <c r="AL13" s="27">
        <v>0</v>
      </c>
      <c r="AM13" s="28">
        <v>-9.95</v>
      </c>
      <c r="AN13" s="28">
        <v>199</v>
      </c>
      <c r="AO13" s="27">
        <v>199</v>
      </c>
      <c r="AP13" s="27">
        <v>0</v>
      </c>
      <c r="AQ13" s="29" t="s">
        <v>103</v>
      </c>
      <c r="AR13" s="27">
        <v>0</v>
      </c>
      <c r="AS13" s="27">
        <v>0.006</v>
      </c>
      <c r="AT13" s="28">
        <v>-1.19</v>
      </c>
      <c r="AU13" s="25" t="s">
        <v>151</v>
      </c>
      <c r="AV13" s="26" t="s">
        <v>1779</v>
      </c>
      <c r="AW13" s="26" t="s">
        <v>1780</v>
      </c>
      <c r="AX13" s="25"/>
      <c r="AY13" s="25"/>
      <c r="AZ13" s="28">
        <v>0</v>
      </c>
      <c r="BA13" s="27">
        <v>0</v>
      </c>
      <c r="BB13" s="27">
        <v>0</v>
      </c>
      <c r="BC13" s="27">
        <v>0</v>
      </c>
      <c r="BD13" s="27">
        <v>0</v>
      </c>
      <c r="BE13" s="30"/>
    </row>
    <row r="14" customHeight="1" spans="1:57">
      <c r="A14" s="20">
        <f>YEAR(V14)</f>
        <v>2025</v>
      </c>
      <c r="B14" s="21">
        <f>MONTH(V14)</f>
        <v>8</v>
      </c>
      <c r="C14" s="21" t="str">
        <f>R14</f>
        <v>P770798117968454421</v>
      </c>
      <c r="D14" s="21">
        <f>COUNTIF(R:R,R14)</f>
        <v>2</v>
      </c>
      <c r="E14" s="21">
        <f>COUNTIF($R$2:R14,R14)</f>
        <v>1</v>
      </c>
      <c r="F14" s="22" t="str" cm="1">
        <f t="array" ref="F14">INDEX(订单明细!BQ:BQ,MATCH(R14&amp;AC14,订单明细!A:A&amp;订单明细!O:O,0))</f>
        <v>Z2365-灰色-S</v>
      </c>
      <c r="G14" s="22" t="str">
        <f>LEFT(F14,FIND("-",F14)-1)</f>
        <v>Z2365</v>
      </c>
      <c r="H14" s="21" cm="1">
        <f t="array" ref="H14">_xlfn.IFS(C14=0,"",I14&gt;0,AD14,AND(I14&lt;0,I14&gt;-30),0,I14&lt;=-30,-1)</f>
        <v>-1</v>
      </c>
      <c r="I14" s="21">
        <f>AF14</f>
        <v>-219</v>
      </c>
      <c r="J14" s="21">
        <f>AI14+AJ14</f>
        <v>0</v>
      </c>
      <c r="K14" s="21">
        <f>IF(AZ14&lt;=0,AZ14,AZ14/COUNTIFS(R:R,R14,AZ:AZ,"&gt;0"))</f>
        <v>0</v>
      </c>
      <c r="L14" s="21">
        <f>AM14</f>
        <v>10.95</v>
      </c>
      <c r="M14" s="21">
        <f>AT14</f>
        <v>1.31</v>
      </c>
      <c r="N14" s="21"/>
      <c r="O14" s="23">
        <f>SUM(I14:N14)</f>
        <v>-206.74</v>
      </c>
      <c r="R14" s="24" t="s">
        <v>811</v>
      </c>
      <c r="S14" s="25" t="s">
        <v>1809</v>
      </c>
      <c r="T14" s="25" t="s">
        <v>815</v>
      </c>
      <c r="U14" s="25" t="s">
        <v>1810</v>
      </c>
      <c r="V14" s="25" t="s">
        <v>1811</v>
      </c>
      <c r="W14" s="26" t="s">
        <v>1775</v>
      </c>
      <c r="X14" s="26" t="s">
        <v>1776</v>
      </c>
      <c r="Y14" s="25">
        <v>-206.74</v>
      </c>
      <c r="Z14" s="26" t="s">
        <v>1787</v>
      </c>
      <c r="AA14" s="26" t="s">
        <v>1788</v>
      </c>
      <c r="AB14" s="25" t="s">
        <v>348</v>
      </c>
      <c r="AC14" s="24" t="s">
        <v>349</v>
      </c>
      <c r="AD14" s="27">
        <v>0</v>
      </c>
      <c r="AE14" s="25">
        <v>-219</v>
      </c>
      <c r="AF14" s="24">
        <v>-219</v>
      </c>
      <c r="AG14" s="25">
        <v>0</v>
      </c>
      <c r="AH14" s="25">
        <v>0</v>
      </c>
      <c r="AI14" s="28">
        <v>0</v>
      </c>
      <c r="AJ14" s="28">
        <v>0</v>
      </c>
      <c r="AK14" s="27">
        <v>0</v>
      </c>
      <c r="AL14" s="27">
        <v>0</v>
      </c>
      <c r="AM14" s="28">
        <v>10.95</v>
      </c>
      <c r="AN14" s="28">
        <v>0</v>
      </c>
      <c r="AO14" s="27">
        <v>0</v>
      </c>
      <c r="AP14" s="27">
        <v>0</v>
      </c>
      <c r="AQ14" s="29" t="s">
        <v>103</v>
      </c>
      <c r="AR14" s="27">
        <v>0</v>
      </c>
      <c r="AS14" s="27">
        <v>0</v>
      </c>
      <c r="AT14" s="28">
        <v>1.31</v>
      </c>
      <c r="AU14" s="25" t="s">
        <v>151</v>
      </c>
      <c r="AV14" s="26" t="s">
        <v>1779</v>
      </c>
      <c r="AW14" s="26" t="s">
        <v>1780</v>
      </c>
      <c r="AX14" s="25"/>
      <c r="AY14" s="25"/>
      <c r="AZ14" s="28">
        <v>0</v>
      </c>
      <c r="BA14" s="27">
        <v>0</v>
      </c>
      <c r="BB14" s="27">
        <v>0</v>
      </c>
      <c r="BC14" s="27">
        <v>0</v>
      </c>
      <c r="BD14" s="27">
        <v>0</v>
      </c>
      <c r="BE14" s="30"/>
    </row>
    <row r="15" customHeight="1" spans="1:57">
      <c r="A15" s="20">
        <f>YEAR(V15)</f>
        <v>2025</v>
      </c>
      <c r="B15" s="21">
        <f>MONTH(V15)</f>
        <v>8</v>
      </c>
      <c r="C15" s="21" t="str">
        <f>R15</f>
        <v>P770986580251454261</v>
      </c>
      <c r="D15" s="21">
        <f>COUNTIF(R:R,R15)</f>
        <v>2</v>
      </c>
      <c r="E15" s="21">
        <f>COUNTIF($R$2:R15,R15)</f>
        <v>1</v>
      </c>
      <c r="F15" s="22" t="str" cm="1">
        <f t="array" ref="F15">INDEX(订单明细!BQ:BQ,MATCH(R15&amp;AC15,订单明细!A:A&amp;订单明细!O:O,0))</f>
        <v>Z2218-黑色-S</v>
      </c>
      <c r="G15" s="22" t="str">
        <f>LEFT(F15,FIND("-",F15)-1)</f>
        <v>Z2218</v>
      </c>
      <c r="H15" s="21" cm="1">
        <f t="array" ref="H15">_xlfn.IFS(C15=0,"",I15&gt;0,AD15,AND(I15&lt;0,I15&gt;-30),0,I15&lt;=-30,-1)</f>
        <v>-1</v>
      </c>
      <c r="I15" s="21">
        <f>AF15</f>
        <v>-229</v>
      </c>
      <c r="J15" s="21">
        <f>AI15+AJ15</f>
        <v>0</v>
      </c>
      <c r="K15" s="21">
        <f>IF(AZ15&lt;=0,AZ15,AZ15/COUNTIFS(R:R,R15,AZ:AZ,"&gt;0"))</f>
        <v>0</v>
      </c>
      <c r="L15" s="21">
        <f>AM15</f>
        <v>11.45</v>
      </c>
      <c r="M15" s="21">
        <f>AT15</f>
        <v>1.37</v>
      </c>
      <c r="N15" s="21"/>
      <c r="O15" s="23">
        <f>SUM(I15:N15)</f>
        <v>-216.18</v>
      </c>
      <c r="R15" s="24" t="s">
        <v>262</v>
      </c>
      <c r="S15" s="25" t="s">
        <v>1812</v>
      </c>
      <c r="T15" s="25" t="s">
        <v>273</v>
      </c>
      <c r="U15" s="25" t="s">
        <v>1813</v>
      </c>
      <c r="V15" s="25" t="s">
        <v>1811</v>
      </c>
      <c r="W15" s="26" t="s">
        <v>1775</v>
      </c>
      <c r="X15" s="26" t="s">
        <v>1776</v>
      </c>
      <c r="Y15" s="25">
        <v>-216.18</v>
      </c>
      <c r="Z15" s="26" t="s">
        <v>1814</v>
      </c>
      <c r="AA15" s="26" t="s">
        <v>1800</v>
      </c>
      <c r="AB15" s="25" t="s">
        <v>254</v>
      </c>
      <c r="AC15" s="24" t="s">
        <v>255</v>
      </c>
      <c r="AD15" s="27">
        <v>0</v>
      </c>
      <c r="AE15" s="25">
        <v>-229</v>
      </c>
      <c r="AF15" s="24">
        <v>-229</v>
      </c>
      <c r="AG15" s="25">
        <v>0</v>
      </c>
      <c r="AH15" s="25">
        <v>0</v>
      </c>
      <c r="AI15" s="28">
        <v>0</v>
      </c>
      <c r="AJ15" s="28">
        <v>0</v>
      </c>
      <c r="AK15" s="27">
        <v>0</v>
      </c>
      <c r="AL15" s="27">
        <v>0</v>
      </c>
      <c r="AM15" s="28">
        <v>11.45</v>
      </c>
      <c r="AN15" s="28">
        <v>0</v>
      </c>
      <c r="AO15" s="27">
        <v>0</v>
      </c>
      <c r="AP15" s="27">
        <v>0</v>
      </c>
      <c r="AQ15" s="29" t="s">
        <v>103</v>
      </c>
      <c r="AR15" s="27">
        <v>0</v>
      </c>
      <c r="AS15" s="27">
        <v>0</v>
      </c>
      <c r="AT15" s="28">
        <v>1.37</v>
      </c>
      <c r="AU15" s="25" t="s">
        <v>151</v>
      </c>
      <c r="AV15" s="26" t="s">
        <v>1779</v>
      </c>
      <c r="AW15" s="26" t="s">
        <v>1780</v>
      </c>
      <c r="AX15" s="25"/>
      <c r="AY15" s="25"/>
      <c r="AZ15" s="28">
        <v>0</v>
      </c>
      <c r="BA15" s="27">
        <v>0</v>
      </c>
      <c r="BB15" s="27">
        <v>0</v>
      </c>
      <c r="BC15" s="27">
        <v>0</v>
      </c>
      <c r="BD15" s="27">
        <v>0</v>
      </c>
      <c r="BE15" s="30"/>
    </row>
    <row r="16" customHeight="1" spans="1:57">
      <c r="A16" s="20">
        <f>YEAR(V16)</f>
        <v>2025</v>
      </c>
      <c r="B16" s="21">
        <f>MONTH(V16)</f>
        <v>8</v>
      </c>
      <c r="C16" s="21" t="str">
        <f>R16</f>
        <v>P770986580251454261</v>
      </c>
      <c r="D16" s="21">
        <f>COUNTIF(R:R,R16)</f>
        <v>2</v>
      </c>
      <c r="E16" s="21">
        <f>COUNTIF($R$2:R16,R16)</f>
        <v>2</v>
      </c>
      <c r="F16" s="22" t="str" cm="1">
        <f t="array" ref="F16">INDEX(订单明细!BQ:BQ,MATCH(R16&amp;AC16,订单明细!A:A&amp;订单明细!O:O,0))</f>
        <v>Z2218-黑色-S</v>
      </c>
      <c r="G16" s="22" t="str">
        <f>LEFT(F16,FIND("-",F16)-1)</f>
        <v>Z2218</v>
      </c>
      <c r="H16" s="21" cm="1">
        <f t="array" ref="H16">_xlfn.IFS(C16=0,"",I16&gt;0,AD16,AND(I16&lt;0,I16&gt;-30),0,I16&lt;=-30,-1)</f>
        <v>1</v>
      </c>
      <c r="I16" s="21">
        <f>AF16</f>
        <v>229</v>
      </c>
      <c r="J16" s="21">
        <f>AI16+AJ16</f>
        <v>0</v>
      </c>
      <c r="K16" s="21">
        <f>IF(AZ16&lt;=0,AZ16,AZ16/COUNTIFS(R:R,R16,AZ:AZ,"&gt;0"))</f>
        <v>0</v>
      </c>
      <c r="L16" s="21">
        <f>AM16</f>
        <v>-11.45</v>
      </c>
      <c r="M16" s="21">
        <f>AT16</f>
        <v>-1.37</v>
      </c>
      <c r="N16" s="21"/>
      <c r="O16" s="23">
        <f>SUM(I16:N16)</f>
        <v>216.18</v>
      </c>
      <c r="R16" s="24" t="s">
        <v>262</v>
      </c>
      <c r="S16" s="25"/>
      <c r="T16" s="25" t="s">
        <v>273</v>
      </c>
      <c r="U16" s="25" t="s">
        <v>1815</v>
      </c>
      <c r="V16" s="25" t="s">
        <v>1811</v>
      </c>
      <c r="W16" s="26" t="s">
        <v>1782</v>
      </c>
      <c r="X16" s="26" t="s">
        <v>1776</v>
      </c>
      <c r="Y16" s="25">
        <v>216.18</v>
      </c>
      <c r="Z16" s="26" t="s">
        <v>1814</v>
      </c>
      <c r="AA16" s="26" t="s">
        <v>1800</v>
      </c>
      <c r="AB16" s="25" t="s">
        <v>254</v>
      </c>
      <c r="AC16" s="24" t="s">
        <v>255</v>
      </c>
      <c r="AD16" s="27">
        <v>1</v>
      </c>
      <c r="AE16" s="25">
        <v>229</v>
      </c>
      <c r="AF16" s="31">
        <v>229</v>
      </c>
      <c r="AG16" s="25" t="s">
        <v>75</v>
      </c>
      <c r="AH16" s="25">
        <v>0</v>
      </c>
      <c r="AI16" s="28">
        <v>0</v>
      </c>
      <c r="AJ16" s="28">
        <v>0</v>
      </c>
      <c r="AK16" s="27">
        <v>0.05</v>
      </c>
      <c r="AL16" s="27">
        <v>0</v>
      </c>
      <c r="AM16" s="28">
        <v>-11.45</v>
      </c>
      <c r="AN16" s="28">
        <v>229</v>
      </c>
      <c r="AO16" s="27">
        <v>229</v>
      </c>
      <c r="AP16" s="27">
        <v>0</v>
      </c>
      <c r="AQ16" s="29" t="s">
        <v>103</v>
      </c>
      <c r="AR16" s="27">
        <v>0</v>
      </c>
      <c r="AS16" s="27">
        <v>0.006</v>
      </c>
      <c r="AT16" s="28">
        <v>-1.37</v>
      </c>
      <c r="AU16" s="25" t="s">
        <v>151</v>
      </c>
      <c r="AV16" s="26" t="s">
        <v>1779</v>
      </c>
      <c r="AW16" s="26" t="s">
        <v>1780</v>
      </c>
      <c r="AX16" s="25"/>
      <c r="AY16" s="25"/>
      <c r="AZ16" s="28">
        <v>0</v>
      </c>
      <c r="BA16" s="27">
        <v>0</v>
      </c>
      <c r="BB16" s="27">
        <v>0</v>
      </c>
      <c r="BC16" s="27">
        <v>0</v>
      </c>
      <c r="BD16" s="27">
        <v>0</v>
      </c>
      <c r="BE16" s="30"/>
    </row>
    <row r="17" customHeight="1" spans="1:57">
      <c r="A17" s="20">
        <f>YEAR(V17)</f>
        <v>2025</v>
      </c>
      <c r="B17" s="21">
        <f>MONTH(V17)</f>
        <v>8</v>
      </c>
      <c r="C17" s="21" t="str">
        <f>R17</f>
        <v>P770798117968454421</v>
      </c>
      <c r="D17" s="21">
        <f>COUNTIF(R:R,R17)</f>
        <v>2</v>
      </c>
      <c r="E17" s="21">
        <f>COUNTIF($R$2:R17,R17)</f>
        <v>2</v>
      </c>
      <c r="F17" s="22" t="str" cm="1">
        <f t="array" ref="F17">INDEX(订单明细!BQ:BQ,MATCH(R17&amp;AC17,订单明细!A:A&amp;订单明细!O:O,0))</f>
        <v>Z2365-灰色-S</v>
      </c>
      <c r="G17" s="22" t="str">
        <f>LEFT(F17,FIND("-",F17)-1)</f>
        <v>Z2365</v>
      </c>
      <c r="H17" s="21" cm="1">
        <f t="array" ref="H17">_xlfn.IFS(C17=0,"",I17&gt;0,AD17,AND(I17&lt;0,I17&gt;-30),0,I17&lt;=-30,-1)</f>
        <v>1</v>
      </c>
      <c r="I17" s="21">
        <f>AF17</f>
        <v>219</v>
      </c>
      <c r="J17" s="21">
        <f>AI17+AJ17</f>
        <v>0</v>
      </c>
      <c r="K17" s="21">
        <f>IF(AZ17&lt;=0,AZ17,AZ17/COUNTIFS(R:R,R17,AZ:AZ,"&gt;0"))</f>
        <v>0</v>
      </c>
      <c r="L17" s="21">
        <f>AM17</f>
        <v>-10.95</v>
      </c>
      <c r="M17" s="21">
        <f>AT17</f>
        <v>-1.31</v>
      </c>
      <c r="N17" s="21"/>
      <c r="O17" s="23">
        <f>SUM(I17:N17)</f>
        <v>206.74</v>
      </c>
      <c r="R17" s="24" t="s">
        <v>811</v>
      </c>
      <c r="S17" s="25"/>
      <c r="T17" s="25" t="s">
        <v>815</v>
      </c>
      <c r="U17" s="25" t="s">
        <v>1816</v>
      </c>
      <c r="V17" s="25" t="s">
        <v>1811</v>
      </c>
      <c r="W17" s="26" t="s">
        <v>1782</v>
      </c>
      <c r="X17" s="26" t="s">
        <v>1776</v>
      </c>
      <c r="Y17" s="25">
        <v>206.74</v>
      </c>
      <c r="Z17" s="26" t="s">
        <v>1787</v>
      </c>
      <c r="AA17" s="26" t="s">
        <v>1788</v>
      </c>
      <c r="AB17" s="25" t="s">
        <v>348</v>
      </c>
      <c r="AC17" s="24" t="s">
        <v>349</v>
      </c>
      <c r="AD17" s="27">
        <v>1</v>
      </c>
      <c r="AE17" s="25">
        <v>219</v>
      </c>
      <c r="AF17" s="31">
        <v>219</v>
      </c>
      <c r="AG17" s="25" t="s">
        <v>75</v>
      </c>
      <c r="AH17" s="25">
        <v>0</v>
      </c>
      <c r="AI17" s="28">
        <v>0</v>
      </c>
      <c r="AJ17" s="28">
        <v>0</v>
      </c>
      <c r="AK17" s="27">
        <v>0.05</v>
      </c>
      <c r="AL17" s="27">
        <v>0</v>
      </c>
      <c r="AM17" s="28">
        <v>-10.95</v>
      </c>
      <c r="AN17" s="28">
        <v>219</v>
      </c>
      <c r="AO17" s="27">
        <v>219</v>
      </c>
      <c r="AP17" s="27">
        <v>0</v>
      </c>
      <c r="AQ17" s="29" t="s">
        <v>103</v>
      </c>
      <c r="AR17" s="27">
        <v>0</v>
      </c>
      <c r="AS17" s="27">
        <v>0.006</v>
      </c>
      <c r="AT17" s="28">
        <v>-1.31</v>
      </c>
      <c r="AU17" s="25" t="s">
        <v>151</v>
      </c>
      <c r="AV17" s="26" t="s">
        <v>1779</v>
      </c>
      <c r="AW17" s="26" t="s">
        <v>1780</v>
      </c>
      <c r="AX17" s="25"/>
      <c r="AY17" s="25"/>
      <c r="AZ17" s="28">
        <v>0</v>
      </c>
      <c r="BA17" s="27">
        <v>0</v>
      </c>
      <c r="BB17" s="27">
        <v>0</v>
      </c>
      <c r="BC17" s="27">
        <v>0</v>
      </c>
      <c r="BD17" s="27">
        <v>0</v>
      </c>
      <c r="BE17" s="30"/>
    </row>
    <row r="18" customHeight="1" spans="1:57">
      <c r="A18" s="20">
        <f>YEAR(V18)</f>
        <v>2025</v>
      </c>
      <c r="B18" s="21">
        <f>MONTH(V18)</f>
        <v>8</v>
      </c>
      <c r="C18" s="21" t="str">
        <f>R18</f>
        <v>P770813889954234671</v>
      </c>
      <c r="D18" s="21">
        <f>COUNTIF(R:R,R18)</f>
        <v>2</v>
      </c>
      <c r="E18" s="21">
        <f>COUNTIF($R$2:R18,R18)</f>
        <v>1</v>
      </c>
      <c r="F18" s="22" t="str" cm="1">
        <f t="array" ref="F18">INDEX(订单明细!BQ:BQ,MATCH(R18&amp;AC18,订单明细!A:A&amp;订单明细!O:O,0))</f>
        <v>Z2365-黑色-S</v>
      </c>
      <c r="G18" s="22" t="str">
        <f>LEFT(F18,FIND("-",F18)-1)</f>
        <v>Z2365</v>
      </c>
      <c r="H18" s="21" cm="1">
        <f t="array" ref="H18">_xlfn.IFS(C18=0,"",I18&gt;0,AD18,AND(I18&lt;0,I18&gt;-30),0,I18&lt;=-30,-1)</f>
        <v>-1</v>
      </c>
      <c r="I18" s="21">
        <f>AF18</f>
        <v>-219</v>
      </c>
      <c r="J18" s="21">
        <f>AI18+AJ18</f>
        <v>0</v>
      </c>
      <c r="K18" s="21">
        <f>IF(AZ18&lt;=0,AZ18,AZ18/COUNTIFS(R:R,R18,AZ:AZ,"&gt;0"))</f>
        <v>0</v>
      </c>
      <c r="L18" s="21">
        <f>AM18</f>
        <v>10.95</v>
      </c>
      <c r="M18" s="21">
        <f>AT18</f>
        <v>1.31</v>
      </c>
      <c r="N18" s="21"/>
      <c r="O18" s="23">
        <f>SUM(I18:N18)</f>
        <v>-206.74</v>
      </c>
      <c r="R18" s="24" t="s">
        <v>457</v>
      </c>
      <c r="S18" s="25" t="s">
        <v>1817</v>
      </c>
      <c r="T18" s="25" t="s">
        <v>1818</v>
      </c>
      <c r="U18" s="25" t="s">
        <v>1819</v>
      </c>
      <c r="V18" s="25" t="s">
        <v>1820</v>
      </c>
      <c r="W18" s="26" t="s">
        <v>1775</v>
      </c>
      <c r="X18" s="26" t="s">
        <v>1776</v>
      </c>
      <c r="Y18" s="25">
        <v>-206.74</v>
      </c>
      <c r="Z18" s="26" t="s">
        <v>1821</v>
      </c>
      <c r="AA18" s="26" t="s">
        <v>1788</v>
      </c>
      <c r="AB18" s="25" t="s">
        <v>466</v>
      </c>
      <c r="AC18" s="24" t="s">
        <v>467</v>
      </c>
      <c r="AD18" s="27">
        <v>0</v>
      </c>
      <c r="AE18" s="25">
        <v>-219</v>
      </c>
      <c r="AF18" s="24">
        <v>-219</v>
      </c>
      <c r="AG18" s="25">
        <v>0</v>
      </c>
      <c r="AH18" s="25">
        <v>0</v>
      </c>
      <c r="AI18" s="28">
        <v>0</v>
      </c>
      <c r="AJ18" s="28">
        <v>0</v>
      </c>
      <c r="AK18" s="27">
        <v>0</v>
      </c>
      <c r="AL18" s="27">
        <v>0</v>
      </c>
      <c r="AM18" s="28">
        <v>10.95</v>
      </c>
      <c r="AN18" s="28">
        <v>0</v>
      </c>
      <c r="AO18" s="27">
        <v>0</v>
      </c>
      <c r="AP18" s="27">
        <v>0</v>
      </c>
      <c r="AQ18" s="29" t="s">
        <v>103</v>
      </c>
      <c r="AR18" s="27">
        <v>0</v>
      </c>
      <c r="AS18" s="27">
        <v>0</v>
      </c>
      <c r="AT18" s="28">
        <v>1.31</v>
      </c>
      <c r="AU18" s="25" t="s">
        <v>151</v>
      </c>
      <c r="AV18" s="26" t="s">
        <v>1779</v>
      </c>
      <c r="AW18" s="26" t="s">
        <v>1780</v>
      </c>
      <c r="AX18" s="25"/>
      <c r="AY18" s="25"/>
      <c r="AZ18" s="28">
        <v>0</v>
      </c>
      <c r="BA18" s="27">
        <v>0</v>
      </c>
      <c r="BB18" s="27">
        <v>0</v>
      </c>
      <c r="BC18" s="27">
        <v>0</v>
      </c>
      <c r="BD18" s="27">
        <v>0</v>
      </c>
      <c r="BE18" s="30"/>
    </row>
    <row r="19" customHeight="1" spans="1:57">
      <c r="A19" s="20">
        <f>YEAR(V19)</f>
        <v>2025</v>
      </c>
      <c r="B19" s="21">
        <f>MONTH(V19)</f>
        <v>8</v>
      </c>
      <c r="C19" s="21" t="str">
        <f>R19</f>
        <v>P770813889954234671</v>
      </c>
      <c r="D19" s="21">
        <f>COUNTIF(R:R,R19)</f>
        <v>2</v>
      </c>
      <c r="E19" s="21">
        <f>COUNTIF($R$2:R19,R19)</f>
        <v>2</v>
      </c>
      <c r="F19" s="22" t="str" cm="1">
        <f t="array" ref="F19">INDEX(订单明细!BQ:BQ,MATCH(R19&amp;AC19,订单明细!A:A&amp;订单明细!O:O,0))</f>
        <v>Z2365-黑色-S</v>
      </c>
      <c r="G19" s="22" t="str">
        <f>LEFT(F19,FIND("-",F19)-1)</f>
        <v>Z2365</v>
      </c>
      <c r="H19" s="21" cm="1">
        <f t="array" ref="H19">_xlfn.IFS(C19=0,"",I19&gt;0,AD19,AND(I19&lt;0,I19&gt;-30),0,I19&lt;=-30,-1)</f>
        <v>1</v>
      </c>
      <c r="I19" s="21">
        <f>AF19</f>
        <v>219</v>
      </c>
      <c r="J19" s="21">
        <f>AI19+AJ19</f>
        <v>0</v>
      </c>
      <c r="K19" s="21">
        <f>IF(AZ19&lt;=0,AZ19,AZ19/COUNTIFS(R:R,R19,AZ:AZ,"&gt;0"))</f>
        <v>0</v>
      </c>
      <c r="L19" s="21">
        <f>AM19</f>
        <v>-10.95</v>
      </c>
      <c r="M19" s="21">
        <f>AT19</f>
        <v>-1.31</v>
      </c>
      <c r="N19" s="21"/>
      <c r="O19" s="23">
        <f>SUM(I19:N19)</f>
        <v>206.74</v>
      </c>
      <c r="R19" s="24" t="s">
        <v>457</v>
      </c>
      <c r="S19" s="25"/>
      <c r="T19" s="25" t="s">
        <v>1818</v>
      </c>
      <c r="U19" s="25" t="s">
        <v>1822</v>
      </c>
      <c r="V19" s="25" t="s">
        <v>1820</v>
      </c>
      <c r="W19" s="26" t="s">
        <v>1782</v>
      </c>
      <c r="X19" s="26" t="s">
        <v>1776</v>
      </c>
      <c r="Y19" s="25">
        <v>206.74</v>
      </c>
      <c r="Z19" s="26" t="s">
        <v>1821</v>
      </c>
      <c r="AA19" s="26" t="s">
        <v>1788</v>
      </c>
      <c r="AB19" s="25" t="s">
        <v>466</v>
      </c>
      <c r="AC19" s="24" t="s">
        <v>467</v>
      </c>
      <c r="AD19" s="27">
        <v>1</v>
      </c>
      <c r="AE19" s="25">
        <v>219</v>
      </c>
      <c r="AF19" s="31">
        <v>219</v>
      </c>
      <c r="AG19" s="25" t="s">
        <v>75</v>
      </c>
      <c r="AH19" s="25">
        <v>0</v>
      </c>
      <c r="AI19" s="28">
        <v>0</v>
      </c>
      <c r="AJ19" s="28">
        <v>0</v>
      </c>
      <c r="AK19" s="27">
        <v>0.05</v>
      </c>
      <c r="AL19" s="27">
        <v>0</v>
      </c>
      <c r="AM19" s="28">
        <v>-10.95</v>
      </c>
      <c r="AN19" s="28">
        <v>219</v>
      </c>
      <c r="AO19" s="27">
        <v>219</v>
      </c>
      <c r="AP19" s="27">
        <v>0</v>
      </c>
      <c r="AQ19" s="29" t="s">
        <v>103</v>
      </c>
      <c r="AR19" s="27">
        <v>0</v>
      </c>
      <c r="AS19" s="27">
        <v>0.006</v>
      </c>
      <c r="AT19" s="28">
        <v>-1.31</v>
      </c>
      <c r="AU19" s="25" t="s">
        <v>151</v>
      </c>
      <c r="AV19" s="26" t="s">
        <v>1779</v>
      </c>
      <c r="AW19" s="26" t="s">
        <v>1780</v>
      </c>
      <c r="AX19" s="25"/>
      <c r="AY19" s="25"/>
      <c r="AZ19" s="28">
        <v>0</v>
      </c>
      <c r="BA19" s="27">
        <v>0</v>
      </c>
      <c r="BB19" s="27">
        <v>0</v>
      </c>
      <c r="BC19" s="27">
        <v>0</v>
      </c>
      <c r="BD19" s="27">
        <v>0</v>
      </c>
      <c r="BE19" s="30"/>
    </row>
    <row r="20" customHeight="1" spans="1:57">
      <c r="A20" s="20">
        <f>YEAR(V20)</f>
        <v>2025</v>
      </c>
      <c r="B20" s="21">
        <f>MONTH(V20)</f>
        <v>8</v>
      </c>
      <c r="C20" s="21" t="str">
        <f>R20</f>
        <v>P770794018206458841</v>
      </c>
      <c r="D20" s="21">
        <f>COUNTIF(R:R,R20)</f>
        <v>2</v>
      </c>
      <c r="E20" s="21">
        <f>COUNTIF($R$2:R20,R20)</f>
        <v>1</v>
      </c>
      <c r="F20" s="22" t="str" cm="1">
        <f t="array" ref="F20">INDEX(订单明细!BQ:BQ,MATCH(R20&amp;AC20,订单明细!A:A&amp;订单明细!O:O,0))</f>
        <v>Z2378-花纱色-M</v>
      </c>
      <c r="G20" s="22" t="str">
        <f>LEFT(F20,FIND("-",F20)-1)</f>
        <v>Z2378</v>
      </c>
      <c r="H20" s="21" cm="1">
        <f t="array" ref="H20">_xlfn.IFS(C20=0,"",I20&gt;0,AD20,AND(I20&lt;0,I20&gt;-30),0,I20&lt;=-30,-1)</f>
        <v>-1</v>
      </c>
      <c r="I20" s="21">
        <f>AF20</f>
        <v>-179</v>
      </c>
      <c r="J20" s="21">
        <f>AI20+AJ20</f>
        <v>0</v>
      </c>
      <c r="K20" s="21">
        <f>IF(AZ20&lt;=0,AZ20,AZ20/COUNTIFS(R:R,R20,AZ:AZ,"&gt;0"))</f>
        <v>0</v>
      </c>
      <c r="L20" s="21">
        <f>AM20</f>
        <v>8.95</v>
      </c>
      <c r="M20" s="21">
        <f>AT20</f>
        <v>1.07</v>
      </c>
      <c r="N20" s="21"/>
      <c r="O20" s="23">
        <f>SUM(I20:N20)</f>
        <v>-168.98</v>
      </c>
      <c r="R20" s="24" t="s">
        <v>1394</v>
      </c>
      <c r="S20" s="25" t="s">
        <v>1823</v>
      </c>
      <c r="T20" s="25" t="s">
        <v>1289</v>
      </c>
      <c r="U20" s="25" t="s">
        <v>1824</v>
      </c>
      <c r="V20" s="25" t="s">
        <v>1825</v>
      </c>
      <c r="W20" s="26" t="s">
        <v>1775</v>
      </c>
      <c r="X20" s="26" t="s">
        <v>1776</v>
      </c>
      <c r="Y20" s="25">
        <v>-168.98</v>
      </c>
      <c r="Z20" s="26" t="s">
        <v>1826</v>
      </c>
      <c r="AA20" s="26" t="s">
        <v>1800</v>
      </c>
      <c r="AB20" s="25" t="s">
        <v>822</v>
      </c>
      <c r="AC20" s="24" t="s">
        <v>823</v>
      </c>
      <c r="AD20" s="27">
        <v>0</v>
      </c>
      <c r="AE20" s="25">
        <v>-179</v>
      </c>
      <c r="AF20" s="24">
        <v>-179</v>
      </c>
      <c r="AG20" s="25">
        <v>0</v>
      </c>
      <c r="AH20" s="25">
        <v>0</v>
      </c>
      <c r="AI20" s="28">
        <v>0</v>
      </c>
      <c r="AJ20" s="28">
        <v>0</v>
      </c>
      <c r="AK20" s="27">
        <v>0</v>
      </c>
      <c r="AL20" s="27">
        <v>0</v>
      </c>
      <c r="AM20" s="28">
        <v>8.95</v>
      </c>
      <c r="AN20" s="28">
        <v>0</v>
      </c>
      <c r="AO20" s="27">
        <v>0</v>
      </c>
      <c r="AP20" s="27">
        <v>0</v>
      </c>
      <c r="AQ20" s="29" t="s">
        <v>103</v>
      </c>
      <c r="AR20" s="27">
        <v>0</v>
      </c>
      <c r="AS20" s="27">
        <v>0</v>
      </c>
      <c r="AT20" s="28">
        <v>1.07</v>
      </c>
      <c r="AU20" s="25" t="s">
        <v>151</v>
      </c>
      <c r="AV20" s="26" t="s">
        <v>1779</v>
      </c>
      <c r="AW20" s="26" t="s">
        <v>1780</v>
      </c>
      <c r="AX20" s="25"/>
      <c r="AY20" s="25"/>
      <c r="AZ20" s="28">
        <v>0</v>
      </c>
      <c r="BA20" s="27">
        <v>0</v>
      </c>
      <c r="BB20" s="27">
        <v>0</v>
      </c>
      <c r="BC20" s="27">
        <v>0</v>
      </c>
      <c r="BD20" s="27">
        <v>0</v>
      </c>
      <c r="BE20" s="30"/>
    </row>
    <row r="21" customHeight="1" spans="1:57">
      <c r="A21" s="20">
        <f>YEAR(V21)</f>
        <v>2025</v>
      </c>
      <c r="B21" s="21">
        <f>MONTH(V21)</f>
        <v>8</v>
      </c>
      <c r="C21" s="21" t="str">
        <f>R21</f>
        <v>P770794018206458841</v>
      </c>
      <c r="D21" s="21">
        <f>COUNTIF(R:R,R21)</f>
        <v>2</v>
      </c>
      <c r="E21" s="21">
        <f>COUNTIF($R$2:R21,R21)</f>
        <v>2</v>
      </c>
      <c r="F21" s="22" t="str" cm="1">
        <f t="array" ref="F21">INDEX(订单明细!BQ:BQ,MATCH(R21&amp;AC21,订单明细!A:A&amp;订单明细!O:O,0))</f>
        <v>Z2378-花纱色-M</v>
      </c>
      <c r="G21" s="22" t="str">
        <f>LEFT(F21,FIND("-",F21)-1)</f>
        <v>Z2378</v>
      </c>
      <c r="H21" s="21" cm="1">
        <f t="array" ref="H21">_xlfn.IFS(C21=0,"",I21&gt;0,AD21,AND(I21&lt;0,I21&gt;-30),0,I21&lt;=-30,-1)</f>
        <v>1</v>
      </c>
      <c r="I21" s="21">
        <f>AF21</f>
        <v>179</v>
      </c>
      <c r="J21" s="21">
        <f>AI21+AJ21</f>
        <v>0</v>
      </c>
      <c r="K21" s="21">
        <f>IF(AZ21&lt;=0,AZ21,AZ21/COUNTIFS(R:R,R21,AZ:AZ,"&gt;0"))</f>
        <v>0</v>
      </c>
      <c r="L21" s="21">
        <f>AM21</f>
        <v>-8.95</v>
      </c>
      <c r="M21" s="21">
        <f>AT21</f>
        <v>-1.07</v>
      </c>
      <c r="N21" s="21"/>
      <c r="O21" s="23">
        <f>SUM(I21:N21)</f>
        <v>168.98</v>
      </c>
      <c r="R21" s="24" t="s">
        <v>1394</v>
      </c>
      <c r="S21" s="25"/>
      <c r="T21" s="25" t="s">
        <v>1289</v>
      </c>
      <c r="U21" s="25" t="s">
        <v>1827</v>
      </c>
      <c r="V21" s="25" t="s">
        <v>1825</v>
      </c>
      <c r="W21" s="26" t="s">
        <v>1782</v>
      </c>
      <c r="X21" s="26" t="s">
        <v>1776</v>
      </c>
      <c r="Y21" s="25">
        <v>168.98</v>
      </c>
      <c r="Z21" s="26" t="s">
        <v>1826</v>
      </c>
      <c r="AA21" s="26" t="s">
        <v>1800</v>
      </c>
      <c r="AB21" s="25" t="s">
        <v>822</v>
      </c>
      <c r="AC21" s="24" t="s">
        <v>823</v>
      </c>
      <c r="AD21" s="27">
        <v>1</v>
      </c>
      <c r="AE21" s="25">
        <v>179</v>
      </c>
      <c r="AF21" s="31">
        <v>179</v>
      </c>
      <c r="AG21" s="25" t="s">
        <v>75</v>
      </c>
      <c r="AH21" s="25">
        <v>0</v>
      </c>
      <c r="AI21" s="28">
        <v>0</v>
      </c>
      <c r="AJ21" s="28">
        <v>0</v>
      </c>
      <c r="AK21" s="27">
        <v>0.05</v>
      </c>
      <c r="AL21" s="27">
        <v>0</v>
      </c>
      <c r="AM21" s="28">
        <v>-8.95</v>
      </c>
      <c r="AN21" s="28">
        <v>179</v>
      </c>
      <c r="AO21" s="27">
        <v>179</v>
      </c>
      <c r="AP21" s="27">
        <v>0</v>
      </c>
      <c r="AQ21" s="29" t="s">
        <v>103</v>
      </c>
      <c r="AR21" s="27">
        <v>0</v>
      </c>
      <c r="AS21" s="27">
        <v>0.006</v>
      </c>
      <c r="AT21" s="28">
        <v>-1.07</v>
      </c>
      <c r="AU21" s="25" t="s">
        <v>151</v>
      </c>
      <c r="AV21" s="26" t="s">
        <v>1779</v>
      </c>
      <c r="AW21" s="26" t="s">
        <v>1780</v>
      </c>
      <c r="AX21" s="25"/>
      <c r="AY21" s="25"/>
      <c r="AZ21" s="28">
        <v>0</v>
      </c>
      <c r="BA21" s="27">
        <v>0</v>
      </c>
      <c r="BB21" s="27">
        <v>0</v>
      </c>
      <c r="BC21" s="27">
        <v>0</v>
      </c>
      <c r="BD21" s="27">
        <v>0</v>
      </c>
      <c r="BE21" s="30"/>
    </row>
    <row r="22" customHeight="1" spans="1:57">
      <c r="A22" s="20">
        <f>YEAR(V22)</f>
        <v>2025</v>
      </c>
      <c r="B22" s="21">
        <f>MONTH(V22)</f>
        <v>8</v>
      </c>
      <c r="C22" s="21" t="str">
        <f>R22</f>
        <v>P770793869532382601</v>
      </c>
      <c r="D22" s="21">
        <f>COUNTIF(R:R,R22)</f>
        <v>2</v>
      </c>
      <c r="E22" s="21">
        <f>COUNTIF($R$2:R22,R22)</f>
        <v>1</v>
      </c>
      <c r="F22" s="22" t="str" cm="1">
        <f t="array" ref="F22">INDEX(订单明细!BQ:BQ,MATCH(R22&amp;AC22,订单明细!A:A&amp;订单明细!O:O,0))</f>
        <v>Z2378-灰色-M</v>
      </c>
      <c r="G22" s="22" t="str">
        <f>LEFT(F22,FIND("-",F22)-1)</f>
        <v>Z2378</v>
      </c>
      <c r="H22" s="21" cm="1">
        <f t="array" ref="H22">_xlfn.IFS(C22=0,"",I22&gt;0,AD22,AND(I22&lt;0,I22&gt;-30),0,I22&lt;=-30,-1)</f>
        <v>-1</v>
      </c>
      <c r="I22" s="21">
        <f>AF22</f>
        <v>-179</v>
      </c>
      <c r="J22" s="21">
        <f>AI22+AJ22</f>
        <v>0</v>
      </c>
      <c r="K22" s="21">
        <f>IF(AZ22&lt;=0,AZ22,AZ22/COUNTIFS(R:R,R22,AZ:AZ,"&gt;0"))</f>
        <v>0</v>
      </c>
      <c r="L22" s="21">
        <f>AM22</f>
        <v>8.95</v>
      </c>
      <c r="M22" s="21">
        <f>AT22</f>
        <v>1.07</v>
      </c>
      <c r="N22" s="21"/>
      <c r="O22" s="23">
        <f>SUM(I22:N22)</f>
        <v>-168.98</v>
      </c>
      <c r="R22" s="24" t="s">
        <v>1315</v>
      </c>
      <c r="S22" s="25" t="s">
        <v>1828</v>
      </c>
      <c r="T22" s="25" t="s">
        <v>1323</v>
      </c>
      <c r="U22" s="25" t="s">
        <v>1829</v>
      </c>
      <c r="V22" s="25" t="s">
        <v>1830</v>
      </c>
      <c r="W22" s="26" t="s">
        <v>1775</v>
      </c>
      <c r="X22" s="26" t="s">
        <v>1776</v>
      </c>
      <c r="Y22" s="25">
        <v>-168.98</v>
      </c>
      <c r="Z22" s="26" t="s">
        <v>1831</v>
      </c>
      <c r="AA22" s="26" t="s">
        <v>1800</v>
      </c>
      <c r="AB22" s="25" t="s">
        <v>919</v>
      </c>
      <c r="AC22" s="24" t="s">
        <v>920</v>
      </c>
      <c r="AD22" s="27">
        <v>0</v>
      </c>
      <c r="AE22" s="25">
        <v>-179</v>
      </c>
      <c r="AF22" s="24">
        <v>-179</v>
      </c>
      <c r="AG22" s="25">
        <v>0</v>
      </c>
      <c r="AH22" s="25">
        <v>0</v>
      </c>
      <c r="AI22" s="28">
        <v>0</v>
      </c>
      <c r="AJ22" s="28">
        <v>0</v>
      </c>
      <c r="AK22" s="27">
        <v>0</v>
      </c>
      <c r="AL22" s="27">
        <v>0</v>
      </c>
      <c r="AM22" s="28">
        <v>8.95</v>
      </c>
      <c r="AN22" s="28">
        <v>0</v>
      </c>
      <c r="AO22" s="27">
        <v>0</v>
      </c>
      <c r="AP22" s="27">
        <v>0</v>
      </c>
      <c r="AQ22" s="29" t="s">
        <v>103</v>
      </c>
      <c r="AR22" s="27">
        <v>0</v>
      </c>
      <c r="AS22" s="27">
        <v>0</v>
      </c>
      <c r="AT22" s="28">
        <v>1.07</v>
      </c>
      <c r="AU22" s="25" t="s">
        <v>151</v>
      </c>
      <c r="AV22" s="26" t="s">
        <v>1779</v>
      </c>
      <c r="AW22" s="26" t="s">
        <v>1780</v>
      </c>
      <c r="AX22" s="25"/>
      <c r="AY22" s="25"/>
      <c r="AZ22" s="28">
        <v>0</v>
      </c>
      <c r="BA22" s="27">
        <v>0</v>
      </c>
      <c r="BB22" s="27">
        <v>0</v>
      </c>
      <c r="BC22" s="27">
        <v>0</v>
      </c>
      <c r="BD22" s="27">
        <v>0</v>
      </c>
      <c r="BE22" s="30"/>
    </row>
    <row r="23" customHeight="1" spans="1:57">
      <c r="A23" s="20">
        <f>YEAR(V23)</f>
        <v>2025</v>
      </c>
      <c r="B23" s="21">
        <f>MONTH(V23)</f>
        <v>8</v>
      </c>
      <c r="C23" s="21" t="str">
        <f>R23</f>
        <v>P770796097446414361</v>
      </c>
      <c r="D23" s="21">
        <f>COUNTIF(R:R,R23)</f>
        <v>2</v>
      </c>
      <c r="E23" s="21">
        <f>COUNTIF($R$2:R23,R23)</f>
        <v>1</v>
      </c>
      <c r="F23" s="22" t="str" cm="1">
        <f t="array" ref="F23">INDEX(订单明细!BQ:BQ,MATCH(R23&amp;AC23,订单明细!A:A&amp;订单明细!O:O,0))</f>
        <v>Z2378-花纱色-S</v>
      </c>
      <c r="G23" s="22" t="str">
        <f>LEFT(F23,FIND("-",F23)-1)</f>
        <v>Z2378</v>
      </c>
      <c r="H23" s="21" cm="1">
        <f t="array" ref="H23">_xlfn.IFS(C23=0,"",I23&gt;0,AD23,AND(I23&lt;0,I23&gt;-30),0,I23&lt;=-30,-1)</f>
        <v>-1</v>
      </c>
      <c r="I23" s="21">
        <f>AF23</f>
        <v>-179</v>
      </c>
      <c r="J23" s="21">
        <f>AI23+AJ23</f>
        <v>0</v>
      </c>
      <c r="K23" s="21">
        <f>IF(AZ23&lt;=0,AZ23,AZ23/COUNTIFS(R:R,R23,AZ:AZ,"&gt;0"))</f>
        <v>0</v>
      </c>
      <c r="L23" s="21">
        <f>AM23</f>
        <v>8.95</v>
      </c>
      <c r="M23" s="21">
        <f>AT23</f>
        <v>1.07</v>
      </c>
      <c r="N23" s="21"/>
      <c r="O23" s="23">
        <f>SUM(I23:N23)</f>
        <v>-168.98</v>
      </c>
      <c r="R23" s="24" t="s">
        <v>950</v>
      </c>
      <c r="S23" s="25" t="s">
        <v>1832</v>
      </c>
      <c r="T23" s="25" t="s">
        <v>959</v>
      </c>
      <c r="U23" s="25" t="s">
        <v>1833</v>
      </c>
      <c r="V23" s="25" t="s">
        <v>1830</v>
      </c>
      <c r="W23" s="26" t="s">
        <v>1775</v>
      </c>
      <c r="X23" s="26" t="s">
        <v>1776</v>
      </c>
      <c r="Y23" s="25">
        <v>-168.98</v>
      </c>
      <c r="Z23" s="26" t="s">
        <v>1834</v>
      </c>
      <c r="AA23" s="26" t="s">
        <v>1800</v>
      </c>
      <c r="AB23" s="25" t="s">
        <v>937</v>
      </c>
      <c r="AC23" s="24" t="s">
        <v>938</v>
      </c>
      <c r="AD23" s="27">
        <v>0</v>
      </c>
      <c r="AE23" s="25">
        <v>-179</v>
      </c>
      <c r="AF23" s="24">
        <v>-179</v>
      </c>
      <c r="AG23" s="25">
        <v>0</v>
      </c>
      <c r="AH23" s="25">
        <v>0</v>
      </c>
      <c r="AI23" s="28">
        <v>0</v>
      </c>
      <c r="AJ23" s="28">
        <v>0</v>
      </c>
      <c r="AK23" s="27">
        <v>0</v>
      </c>
      <c r="AL23" s="27">
        <v>0</v>
      </c>
      <c r="AM23" s="28">
        <v>8.95</v>
      </c>
      <c r="AN23" s="28">
        <v>0</v>
      </c>
      <c r="AO23" s="27">
        <v>0</v>
      </c>
      <c r="AP23" s="27">
        <v>0</v>
      </c>
      <c r="AQ23" s="29" t="s">
        <v>103</v>
      </c>
      <c r="AR23" s="27">
        <v>0</v>
      </c>
      <c r="AS23" s="27">
        <v>0</v>
      </c>
      <c r="AT23" s="28">
        <v>1.07</v>
      </c>
      <c r="AU23" s="25" t="s">
        <v>151</v>
      </c>
      <c r="AV23" s="26" t="s">
        <v>1779</v>
      </c>
      <c r="AW23" s="26" t="s">
        <v>1780</v>
      </c>
      <c r="AX23" s="25"/>
      <c r="AY23" s="25"/>
      <c r="AZ23" s="28">
        <v>0</v>
      </c>
      <c r="BA23" s="27">
        <v>0</v>
      </c>
      <c r="BB23" s="27">
        <v>0</v>
      </c>
      <c r="BC23" s="27">
        <v>0</v>
      </c>
      <c r="BD23" s="27">
        <v>0</v>
      </c>
      <c r="BE23" s="30"/>
    </row>
    <row r="24" customHeight="1" spans="1:57">
      <c r="A24" s="20">
        <f>YEAR(V24)</f>
        <v>2025</v>
      </c>
      <c r="B24" s="21">
        <f>MONTH(V24)</f>
        <v>8</v>
      </c>
      <c r="C24" s="21" t="str">
        <f>R24</f>
        <v>P770794042509304891</v>
      </c>
      <c r="D24" s="21">
        <f>COUNTIF(R:R,R24)</f>
        <v>2</v>
      </c>
      <c r="E24" s="21">
        <f>COUNTIF($R$2:R24,R24)</f>
        <v>1</v>
      </c>
      <c r="F24" s="22" t="str" cm="1">
        <f t="array" ref="F24">INDEX(订单明细!BQ:BQ,MATCH(R24&amp;AC24,订单明细!A:A&amp;订单明细!O:O,0))</f>
        <v>Z2378-花纱色-M</v>
      </c>
      <c r="G24" s="22" t="str">
        <f>LEFT(F24,FIND("-",F24)-1)</f>
        <v>Z2378</v>
      </c>
      <c r="H24" s="21" cm="1">
        <f t="array" ref="H24">_xlfn.IFS(C24=0,"",I24&gt;0,AD24,AND(I24&lt;0,I24&gt;-30),0,I24&lt;=-30,-1)</f>
        <v>-1</v>
      </c>
      <c r="I24" s="21">
        <f>AF24</f>
        <v>-179</v>
      </c>
      <c r="J24" s="21">
        <f>AI24+AJ24</f>
        <v>0</v>
      </c>
      <c r="K24" s="21">
        <f>IF(AZ24&lt;=0,AZ24,AZ24/COUNTIFS(R:R,R24,AZ:AZ,"&gt;0"))</f>
        <v>-10</v>
      </c>
      <c r="L24" s="21">
        <f>AM24</f>
        <v>8.95</v>
      </c>
      <c r="M24" s="21">
        <f>AT24</f>
        <v>1.07</v>
      </c>
      <c r="N24" s="21"/>
      <c r="O24" s="23">
        <f>SUM(I24:N24)</f>
        <v>-178.98</v>
      </c>
      <c r="R24" s="24" t="s">
        <v>1251</v>
      </c>
      <c r="S24" s="25" t="s">
        <v>1835</v>
      </c>
      <c r="T24" s="25" t="s">
        <v>1259</v>
      </c>
      <c r="U24" s="25" t="s">
        <v>1836</v>
      </c>
      <c r="V24" s="25" t="s">
        <v>1830</v>
      </c>
      <c r="W24" s="26" t="s">
        <v>1775</v>
      </c>
      <c r="X24" s="26" t="s">
        <v>1776</v>
      </c>
      <c r="Y24" s="25">
        <v>-178.98</v>
      </c>
      <c r="Z24" s="26" t="s">
        <v>1826</v>
      </c>
      <c r="AA24" s="26" t="s">
        <v>1800</v>
      </c>
      <c r="AB24" s="25" t="s">
        <v>822</v>
      </c>
      <c r="AC24" s="24" t="s">
        <v>823</v>
      </c>
      <c r="AD24" s="27">
        <v>0</v>
      </c>
      <c r="AE24" s="25">
        <v>-179</v>
      </c>
      <c r="AF24" s="24">
        <v>-179</v>
      </c>
      <c r="AG24" s="25">
        <v>0</v>
      </c>
      <c r="AH24" s="25">
        <v>0</v>
      </c>
      <c r="AI24" s="28">
        <v>0</v>
      </c>
      <c r="AJ24" s="28">
        <v>0</v>
      </c>
      <c r="AK24" s="27">
        <v>0</v>
      </c>
      <c r="AL24" s="27">
        <v>0</v>
      </c>
      <c r="AM24" s="28">
        <v>8.95</v>
      </c>
      <c r="AN24" s="28">
        <v>0</v>
      </c>
      <c r="AO24" s="27">
        <v>0</v>
      </c>
      <c r="AP24" s="27">
        <v>0</v>
      </c>
      <c r="AQ24" s="29" t="s">
        <v>103</v>
      </c>
      <c r="AR24" s="27">
        <v>0</v>
      </c>
      <c r="AS24" s="27">
        <v>0</v>
      </c>
      <c r="AT24" s="28">
        <v>1.07</v>
      </c>
      <c r="AU24" s="25" t="s">
        <v>151</v>
      </c>
      <c r="AV24" s="26" t="s">
        <v>1779</v>
      </c>
      <c r="AW24" s="26" t="s">
        <v>1780</v>
      </c>
      <c r="AX24" s="25"/>
      <c r="AY24" s="25"/>
      <c r="AZ24" s="28">
        <v>-10</v>
      </c>
      <c r="BA24" s="27">
        <v>0</v>
      </c>
      <c r="BB24" s="27">
        <v>0</v>
      </c>
      <c r="BC24" s="27">
        <v>0</v>
      </c>
      <c r="BD24" s="27">
        <v>0</v>
      </c>
      <c r="BE24" s="30"/>
    </row>
    <row r="25" customHeight="1" spans="1:57">
      <c r="A25" s="20">
        <f>YEAR(V25)</f>
        <v>2025</v>
      </c>
      <c r="B25" s="21">
        <f>MONTH(V25)</f>
        <v>8</v>
      </c>
      <c r="C25" s="21" t="str">
        <f>R25</f>
        <v>P770796097446414361</v>
      </c>
      <c r="D25" s="21">
        <f>COUNTIF(R:R,R25)</f>
        <v>2</v>
      </c>
      <c r="E25" s="21">
        <f>COUNTIF($R$2:R25,R25)</f>
        <v>2</v>
      </c>
      <c r="F25" s="22" t="str" cm="1">
        <f t="array" ref="F25">INDEX(订单明细!BQ:BQ,MATCH(R25&amp;AC25,订单明细!A:A&amp;订单明细!O:O,0))</f>
        <v>Z2378-花纱色-S</v>
      </c>
      <c r="G25" s="22" t="str">
        <f>LEFT(F25,FIND("-",F25)-1)</f>
        <v>Z2378</v>
      </c>
      <c r="H25" s="21" cm="1">
        <f t="array" ref="H25">_xlfn.IFS(C25=0,"",I25&gt;0,AD25,AND(I25&lt;0,I25&gt;-30),0,I25&lt;=-30,-1)</f>
        <v>1</v>
      </c>
      <c r="I25" s="21">
        <f>AF25</f>
        <v>179</v>
      </c>
      <c r="J25" s="21">
        <f>AI25+AJ25</f>
        <v>0</v>
      </c>
      <c r="K25" s="21">
        <f>IF(AZ25&lt;=0,AZ25,AZ25/COUNTIFS(R:R,R25,AZ:AZ,"&gt;0"))</f>
        <v>0</v>
      </c>
      <c r="L25" s="21">
        <f>AM25</f>
        <v>-8.95</v>
      </c>
      <c r="M25" s="21">
        <f>AT25</f>
        <v>-1.07</v>
      </c>
      <c r="N25" s="21"/>
      <c r="O25" s="23">
        <f>SUM(I25:N25)</f>
        <v>168.98</v>
      </c>
      <c r="R25" s="24" t="s">
        <v>950</v>
      </c>
      <c r="S25" s="25"/>
      <c r="T25" s="25" t="s">
        <v>959</v>
      </c>
      <c r="U25" s="25" t="s">
        <v>1837</v>
      </c>
      <c r="V25" s="25" t="s">
        <v>1830</v>
      </c>
      <c r="W25" s="26" t="s">
        <v>1782</v>
      </c>
      <c r="X25" s="26" t="s">
        <v>1776</v>
      </c>
      <c r="Y25" s="25">
        <v>168.98</v>
      </c>
      <c r="Z25" s="26" t="s">
        <v>1834</v>
      </c>
      <c r="AA25" s="26" t="s">
        <v>1800</v>
      </c>
      <c r="AB25" s="25" t="s">
        <v>937</v>
      </c>
      <c r="AC25" s="24" t="s">
        <v>938</v>
      </c>
      <c r="AD25" s="27">
        <v>1</v>
      </c>
      <c r="AE25" s="25">
        <v>179</v>
      </c>
      <c r="AF25" s="31">
        <v>179</v>
      </c>
      <c r="AG25" s="25" t="s">
        <v>75</v>
      </c>
      <c r="AH25" s="25">
        <v>0</v>
      </c>
      <c r="AI25" s="28">
        <v>0</v>
      </c>
      <c r="AJ25" s="28">
        <v>0</v>
      </c>
      <c r="AK25" s="27">
        <v>0.05</v>
      </c>
      <c r="AL25" s="27">
        <v>0</v>
      </c>
      <c r="AM25" s="28">
        <v>-8.95</v>
      </c>
      <c r="AN25" s="28">
        <v>179</v>
      </c>
      <c r="AO25" s="27">
        <v>179</v>
      </c>
      <c r="AP25" s="27">
        <v>0</v>
      </c>
      <c r="AQ25" s="29" t="s">
        <v>103</v>
      </c>
      <c r="AR25" s="27">
        <v>0</v>
      </c>
      <c r="AS25" s="27">
        <v>0.006</v>
      </c>
      <c r="AT25" s="28">
        <v>-1.07</v>
      </c>
      <c r="AU25" s="25" t="s">
        <v>151</v>
      </c>
      <c r="AV25" s="26" t="s">
        <v>1779</v>
      </c>
      <c r="AW25" s="26" t="s">
        <v>1780</v>
      </c>
      <c r="AX25" s="25"/>
      <c r="AY25" s="25"/>
      <c r="AZ25" s="28">
        <v>0</v>
      </c>
      <c r="BA25" s="27">
        <v>0</v>
      </c>
      <c r="BB25" s="27">
        <v>0</v>
      </c>
      <c r="BC25" s="27">
        <v>0</v>
      </c>
      <c r="BD25" s="27">
        <v>0</v>
      </c>
      <c r="BE25" s="30"/>
    </row>
    <row r="26" customHeight="1" spans="1:57">
      <c r="A26" s="20">
        <f>YEAR(V26)</f>
        <v>2025</v>
      </c>
      <c r="B26" s="21">
        <f>MONTH(V26)</f>
        <v>8</v>
      </c>
      <c r="C26" s="21" t="str">
        <f>R26</f>
        <v>P770794042509304891</v>
      </c>
      <c r="D26" s="21">
        <f>COUNTIF(R:R,R26)</f>
        <v>2</v>
      </c>
      <c r="E26" s="21">
        <f>COUNTIF($R$2:R26,R26)</f>
        <v>2</v>
      </c>
      <c r="F26" s="22" t="str" cm="1">
        <f t="array" ref="F26">INDEX(订单明细!BQ:BQ,MATCH(R26&amp;AC26,订单明细!A:A&amp;订单明细!O:O,0))</f>
        <v>Z2378-花纱色-M</v>
      </c>
      <c r="G26" s="22" t="str">
        <f>LEFT(F26,FIND("-",F26)-1)</f>
        <v>Z2378</v>
      </c>
      <c r="H26" s="21" cm="1">
        <f t="array" ref="H26">_xlfn.IFS(C26=0,"",I26&gt;0,AD26,AND(I26&lt;0,I26&gt;-30),0,I26&lt;=-30,-1)</f>
        <v>1</v>
      </c>
      <c r="I26" s="21">
        <f>AF26</f>
        <v>179</v>
      </c>
      <c r="J26" s="21">
        <f>AI26+AJ26</f>
        <v>0</v>
      </c>
      <c r="K26" s="21">
        <f>IF(AZ26&lt;=0,AZ26,AZ26/COUNTIFS(R:R,R26,AZ:AZ,"&gt;0"))</f>
        <v>10</v>
      </c>
      <c r="L26" s="21">
        <f>AM26</f>
        <v>-8.95</v>
      </c>
      <c r="M26" s="21">
        <f>AT26</f>
        <v>-1.07</v>
      </c>
      <c r="N26" s="21"/>
      <c r="O26" s="23">
        <f>SUM(I26:N26)</f>
        <v>178.98</v>
      </c>
      <c r="R26" s="24" t="s">
        <v>1251</v>
      </c>
      <c r="S26" s="25"/>
      <c r="T26" s="25" t="s">
        <v>1259</v>
      </c>
      <c r="U26" s="25" t="s">
        <v>1262</v>
      </c>
      <c r="V26" s="25" t="s">
        <v>1830</v>
      </c>
      <c r="W26" s="26" t="s">
        <v>1782</v>
      </c>
      <c r="X26" s="26" t="s">
        <v>1776</v>
      </c>
      <c r="Y26" s="25">
        <v>178.98</v>
      </c>
      <c r="Z26" s="26" t="s">
        <v>1826</v>
      </c>
      <c r="AA26" s="26" t="s">
        <v>1800</v>
      </c>
      <c r="AB26" s="25" t="s">
        <v>822</v>
      </c>
      <c r="AC26" s="24" t="s">
        <v>823</v>
      </c>
      <c r="AD26" s="27">
        <v>1</v>
      </c>
      <c r="AE26" s="25">
        <v>179</v>
      </c>
      <c r="AF26" s="31">
        <v>179</v>
      </c>
      <c r="AG26" s="25" t="s">
        <v>75</v>
      </c>
      <c r="AH26" s="25">
        <v>0</v>
      </c>
      <c r="AI26" s="28">
        <v>0</v>
      </c>
      <c r="AJ26" s="28">
        <v>0</v>
      </c>
      <c r="AK26" s="27">
        <v>0.05</v>
      </c>
      <c r="AL26" s="27">
        <v>0</v>
      </c>
      <c r="AM26" s="28">
        <v>-8.95</v>
      </c>
      <c r="AN26" s="28">
        <v>179</v>
      </c>
      <c r="AO26" s="27">
        <v>179</v>
      </c>
      <c r="AP26" s="27">
        <v>0</v>
      </c>
      <c r="AQ26" s="29" t="s">
        <v>103</v>
      </c>
      <c r="AR26" s="27">
        <v>0</v>
      </c>
      <c r="AS26" s="27">
        <v>0.006</v>
      </c>
      <c r="AT26" s="28">
        <v>-1.07</v>
      </c>
      <c r="AU26" s="25" t="s">
        <v>151</v>
      </c>
      <c r="AV26" s="26" t="s">
        <v>1779</v>
      </c>
      <c r="AW26" s="26" t="s">
        <v>1780</v>
      </c>
      <c r="AX26" s="25"/>
      <c r="AY26" s="25"/>
      <c r="AZ26" s="28">
        <v>10</v>
      </c>
      <c r="BA26" s="27">
        <v>0</v>
      </c>
      <c r="BB26" s="27">
        <v>0</v>
      </c>
      <c r="BC26" s="27">
        <v>0</v>
      </c>
      <c r="BD26" s="27">
        <v>0</v>
      </c>
      <c r="BE26" s="30"/>
    </row>
    <row r="27" customHeight="1" spans="1:57">
      <c r="A27" s="20">
        <f>YEAR(V27)</f>
        <v>2025</v>
      </c>
      <c r="B27" s="21">
        <f>MONTH(V27)</f>
        <v>8</v>
      </c>
      <c r="C27" s="21" t="str">
        <f>R27</f>
        <v>P770793869532382601</v>
      </c>
      <c r="D27" s="21">
        <f>COUNTIF(R:R,R27)</f>
        <v>2</v>
      </c>
      <c r="E27" s="21">
        <f>COUNTIF($R$2:R27,R27)</f>
        <v>2</v>
      </c>
      <c r="F27" s="22" t="str" cm="1">
        <f t="array" ref="F27">INDEX(订单明细!BQ:BQ,MATCH(R27&amp;AC27,订单明细!A:A&amp;订单明细!O:O,0))</f>
        <v>Z2378-灰色-M</v>
      </c>
      <c r="G27" s="22" t="str">
        <f>LEFT(F27,FIND("-",F27)-1)</f>
        <v>Z2378</v>
      </c>
      <c r="H27" s="21" cm="1">
        <f t="array" ref="H27">_xlfn.IFS(C27=0,"",I27&gt;0,AD27,AND(I27&lt;0,I27&gt;-30),0,I27&lt;=-30,-1)</f>
        <v>1</v>
      </c>
      <c r="I27" s="21">
        <f>AF27</f>
        <v>179</v>
      </c>
      <c r="J27" s="21">
        <f>AI27+AJ27</f>
        <v>0</v>
      </c>
      <c r="K27" s="21">
        <f>IF(AZ27&lt;=0,AZ27,AZ27/COUNTIFS(R:R,R27,AZ:AZ,"&gt;0"))</f>
        <v>0</v>
      </c>
      <c r="L27" s="21">
        <f>AM27</f>
        <v>-8.95</v>
      </c>
      <c r="M27" s="21">
        <f>AT27</f>
        <v>-1.07</v>
      </c>
      <c r="N27" s="21"/>
      <c r="O27" s="23">
        <f>SUM(I27:N27)</f>
        <v>168.98</v>
      </c>
      <c r="R27" s="24" t="s">
        <v>1315</v>
      </c>
      <c r="S27" s="25"/>
      <c r="T27" s="25" t="s">
        <v>1323</v>
      </c>
      <c r="U27" s="25" t="s">
        <v>928</v>
      </c>
      <c r="V27" s="25" t="s">
        <v>1830</v>
      </c>
      <c r="W27" s="26" t="s">
        <v>1782</v>
      </c>
      <c r="X27" s="26" t="s">
        <v>1776</v>
      </c>
      <c r="Y27" s="25">
        <v>168.98</v>
      </c>
      <c r="Z27" s="26" t="s">
        <v>1831</v>
      </c>
      <c r="AA27" s="26" t="s">
        <v>1800</v>
      </c>
      <c r="AB27" s="25" t="s">
        <v>919</v>
      </c>
      <c r="AC27" s="24" t="s">
        <v>920</v>
      </c>
      <c r="AD27" s="27">
        <v>1</v>
      </c>
      <c r="AE27" s="25">
        <v>179</v>
      </c>
      <c r="AF27" s="31">
        <v>179</v>
      </c>
      <c r="AG27" s="25" t="s">
        <v>75</v>
      </c>
      <c r="AH27" s="25">
        <v>0</v>
      </c>
      <c r="AI27" s="28">
        <v>0</v>
      </c>
      <c r="AJ27" s="28">
        <v>0</v>
      </c>
      <c r="AK27" s="27">
        <v>0.05</v>
      </c>
      <c r="AL27" s="27">
        <v>0</v>
      </c>
      <c r="AM27" s="28">
        <v>-8.95</v>
      </c>
      <c r="AN27" s="28">
        <v>179</v>
      </c>
      <c r="AO27" s="27">
        <v>179</v>
      </c>
      <c r="AP27" s="27">
        <v>0</v>
      </c>
      <c r="AQ27" s="29" t="s">
        <v>103</v>
      </c>
      <c r="AR27" s="27">
        <v>0</v>
      </c>
      <c r="AS27" s="27">
        <v>0.006</v>
      </c>
      <c r="AT27" s="28">
        <v>-1.07</v>
      </c>
      <c r="AU27" s="25" t="s">
        <v>151</v>
      </c>
      <c r="AV27" s="26" t="s">
        <v>1779</v>
      </c>
      <c r="AW27" s="26" t="s">
        <v>1780</v>
      </c>
      <c r="AX27" s="25"/>
      <c r="AY27" s="25"/>
      <c r="AZ27" s="28">
        <v>0</v>
      </c>
      <c r="BA27" s="27">
        <v>0</v>
      </c>
      <c r="BB27" s="27">
        <v>0</v>
      </c>
      <c r="BC27" s="27">
        <v>0</v>
      </c>
      <c r="BD27" s="27">
        <v>0</v>
      </c>
      <c r="BE27" s="30"/>
    </row>
    <row r="28" customHeight="1" spans="1:57">
      <c r="A28" s="20">
        <f>YEAR(V28)</f>
        <v>2025</v>
      </c>
      <c r="B28" s="21">
        <f>MONTH(V28)</f>
        <v>8</v>
      </c>
      <c r="C28" s="21" t="str">
        <f>R28</f>
        <v>P770794020008329151</v>
      </c>
      <c r="D28" s="21">
        <f>COUNTIF(R:R,R28)</f>
        <v>2</v>
      </c>
      <c r="E28" s="21">
        <f>COUNTIF($R$2:R28,R28)</f>
        <v>1</v>
      </c>
      <c r="F28" s="22" t="str" cm="1">
        <f t="array" ref="F28">INDEX(订单明细!BQ:BQ,MATCH(R28&amp;AC28,订单明细!A:A&amp;订单明细!O:O,0))</f>
        <v>Z2378-花纱色-M</v>
      </c>
      <c r="G28" s="22" t="str">
        <f>LEFT(F28,FIND("-",F28)-1)</f>
        <v>Z2378</v>
      </c>
      <c r="H28" s="21" cm="1">
        <f t="array" ref="H28">_xlfn.IFS(C28=0,"",I28&gt;0,AD28,AND(I28&lt;0,I28&gt;-30),0,I28&lt;=-30,-1)</f>
        <v>-1</v>
      </c>
      <c r="I28" s="21">
        <f>AF28</f>
        <v>-179</v>
      </c>
      <c r="J28" s="21">
        <f>AI28+AJ28</f>
        <v>0</v>
      </c>
      <c r="K28" s="21">
        <f>IF(AZ28&lt;=0,AZ28,AZ28/COUNTIFS(R:R,R28,AZ:AZ,"&gt;0"))</f>
        <v>0</v>
      </c>
      <c r="L28" s="21">
        <f>AM28</f>
        <v>8.95</v>
      </c>
      <c r="M28" s="21">
        <f>AT28</f>
        <v>1.07</v>
      </c>
      <c r="N28" s="21"/>
      <c r="O28" s="23">
        <f>SUM(I28:N28)</f>
        <v>-168.98</v>
      </c>
      <c r="R28" s="32" t="s">
        <v>1302</v>
      </c>
      <c r="S28" s="30" t="s">
        <v>1838</v>
      </c>
      <c r="T28" s="30" t="s">
        <v>1299</v>
      </c>
      <c r="U28" s="30" t="s">
        <v>1839</v>
      </c>
      <c r="V28" s="30" t="s">
        <v>1840</v>
      </c>
      <c r="W28" s="33" t="s">
        <v>1775</v>
      </c>
      <c r="X28" s="33" t="s">
        <v>1776</v>
      </c>
      <c r="Y28" s="30">
        <v>-168.98</v>
      </c>
      <c r="Z28" s="26" t="s">
        <v>1826</v>
      </c>
      <c r="AA28" s="33" t="s">
        <v>1800</v>
      </c>
      <c r="AB28" s="30" t="s">
        <v>822</v>
      </c>
      <c r="AC28" s="32" t="s">
        <v>823</v>
      </c>
      <c r="AD28" s="27">
        <v>0</v>
      </c>
      <c r="AE28" s="30">
        <v>-179</v>
      </c>
      <c r="AF28" s="32">
        <v>-179</v>
      </c>
      <c r="AG28" s="30">
        <v>0</v>
      </c>
      <c r="AH28" s="30">
        <v>0</v>
      </c>
      <c r="AI28" s="28">
        <v>0</v>
      </c>
      <c r="AJ28" s="28">
        <v>0</v>
      </c>
      <c r="AK28" s="27">
        <v>0</v>
      </c>
      <c r="AL28" s="27">
        <v>0</v>
      </c>
      <c r="AM28" s="28">
        <v>8.95</v>
      </c>
      <c r="AN28" s="28">
        <v>0</v>
      </c>
      <c r="AO28" s="27">
        <v>0</v>
      </c>
      <c r="AP28" s="27">
        <v>0</v>
      </c>
      <c r="AQ28" s="29" t="s">
        <v>103</v>
      </c>
      <c r="AR28" s="27">
        <v>0</v>
      </c>
      <c r="AS28" s="27">
        <v>0</v>
      </c>
      <c r="AT28" s="28">
        <v>1.07</v>
      </c>
      <c r="AU28" s="30" t="s">
        <v>151</v>
      </c>
      <c r="AV28" s="33" t="s">
        <v>1779</v>
      </c>
      <c r="AW28" s="33" t="s">
        <v>1780</v>
      </c>
      <c r="AX28" s="30"/>
      <c r="AY28" s="30"/>
      <c r="AZ28" s="28">
        <v>0</v>
      </c>
      <c r="BA28" s="27">
        <v>0</v>
      </c>
      <c r="BB28" s="27">
        <v>0</v>
      </c>
      <c r="BC28" s="27">
        <v>0</v>
      </c>
      <c r="BD28" s="27">
        <v>0</v>
      </c>
      <c r="BE28" s="30"/>
    </row>
    <row r="29" customHeight="1" spans="1:57">
      <c r="A29" s="20">
        <f>YEAR(V29)</f>
        <v>2025</v>
      </c>
      <c r="B29" s="21">
        <f>MONTH(V29)</f>
        <v>8</v>
      </c>
      <c r="C29" s="21" t="str">
        <f>R29</f>
        <v>P770794020008329151</v>
      </c>
      <c r="D29" s="21">
        <f>COUNTIF(R:R,R29)</f>
        <v>2</v>
      </c>
      <c r="E29" s="21">
        <f>COUNTIF($R$2:R29,R29)</f>
        <v>2</v>
      </c>
      <c r="F29" s="22" t="str" cm="1">
        <f t="array" ref="F29">INDEX(订单明细!BQ:BQ,MATCH(R29&amp;AC29,订单明细!A:A&amp;订单明细!O:O,0))</f>
        <v>Z2378-花纱色-M</v>
      </c>
      <c r="G29" s="22" t="str">
        <f>LEFT(F29,FIND("-",F29)-1)</f>
        <v>Z2378</v>
      </c>
      <c r="H29" s="21" cm="1">
        <f t="array" ref="H29">_xlfn.IFS(C29=0,"",I29&gt;0,AD29,AND(I29&lt;0,I29&gt;-30),0,I29&lt;=-30,-1)</f>
        <v>1</v>
      </c>
      <c r="I29" s="21">
        <f>AF29</f>
        <v>179</v>
      </c>
      <c r="J29" s="21">
        <f>AI29+AJ29</f>
        <v>0</v>
      </c>
      <c r="K29" s="21">
        <f>IF(AZ29&lt;=0,AZ29,AZ29/COUNTIFS(R:R,R29,AZ:AZ,"&gt;0"))</f>
        <v>0</v>
      </c>
      <c r="L29" s="21">
        <f>AM29</f>
        <v>-8.95</v>
      </c>
      <c r="M29" s="21">
        <f>AT29</f>
        <v>-1.07</v>
      </c>
      <c r="N29" s="21"/>
      <c r="O29" s="23">
        <f>SUM(I29:N29)</f>
        <v>168.98</v>
      </c>
      <c r="R29" s="32" t="s">
        <v>1302</v>
      </c>
      <c r="S29" s="30"/>
      <c r="T29" s="30" t="s">
        <v>1299</v>
      </c>
      <c r="U29" s="30" t="s">
        <v>1841</v>
      </c>
      <c r="V29" s="30" t="s">
        <v>1840</v>
      </c>
      <c r="W29" s="33" t="s">
        <v>1782</v>
      </c>
      <c r="X29" s="33" t="s">
        <v>1776</v>
      </c>
      <c r="Y29" s="30">
        <v>168.98</v>
      </c>
      <c r="Z29" s="26" t="s">
        <v>1826</v>
      </c>
      <c r="AA29" s="33" t="s">
        <v>1800</v>
      </c>
      <c r="AB29" s="30" t="s">
        <v>822</v>
      </c>
      <c r="AC29" s="32" t="s">
        <v>823</v>
      </c>
      <c r="AD29" s="27">
        <v>1</v>
      </c>
      <c r="AE29" s="30">
        <v>179</v>
      </c>
      <c r="AF29" s="31">
        <v>179</v>
      </c>
      <c r="AG29" s="30" t="s">
        <v>75</v>
      </c>
      <c r="AH29" s="30">
        <v>0</v>
      </c>
      <c r="AI29" s="28">
        <v>0</v>
      </c>
      <c r="AJ29" s="28">
        <v>0</v>
      </c>
      <c r="AK29" s="27">
        <v>0.05</v>
      </c>
      <c r="AL29" s="27">
        <v>0</v>
      </c>
      <c r="AM29" s="28">
        <v>-8.95</v>
      </c>
      <c r="AN29" s="28">
        <v>179</v>
      </c>
      <c r="AO29" s="27">
        <v>179</v>
      </c>
      <c r="AP29" s="27">
        <v>0</v>
      </c>
      <c r="AQ29" s="29" t="s">
        <v>103</v>
      </c>
      <c r="AR29" s="27">
        <v>0</v>
      </c>
      <c r="AS29" s="27">
        <v>0.006</v>
      </c>
      <c r="AT29" s="28">
        <v>-1.07</v>
      </c>
      <c r="AU29" s="30" t="s">
        <v>151</v>
      </c>
      <c r="AV29" s="33" t="s">
        <v>1779</v>
      </c>
      <c r="AW29" s="33" t="s">
        <v>1780</v>
      </c>
      <c r="AX29" s="30"/>
      <c r="AY29" s="30"/>
      <c r="AZ29" s="28">
        <v>0</v>
      </c>
      <c r="BA29" s="27">
        <v>0</v>
      </c>
      <c r="BB29" s="27">
        <v>0</v>
      </c>
      <c r="BC29" s="27">
        <v>0</v>
      </c>
      <c r="BD29" s="27">
        <v>0</v>
      </c>
      <c r="BE29" s="30"/>
    </row>
    <row r="30" customHeight="1" spans="1:57">
      <c r="A30" s="20">
        <f>YEAR(V30)</f>
        <v>2025</v>
      </c>
      <c r="B30" s="21">
        <f>MONTH(V30)</f>
        <v>8</v>
      </c>
      <c r="C30" s="21" t="str">
        <f>R30</f>
        <v>P770376704723157681</v>
      </c>
      <c r="D30" s="21">
        <f>COUNTIF(R:R,R30)</f>
        <v>2</v>
      </c>
      <c r="E30" s="21">
        <f>COUNTIF($R$2:R30,R30)</f>
        <v>1</v>
      </c>
      <c r="F30" s="22" t="str" cm="1">
        <f t="array" ref="F30">INDEX(订单明细!BQ:BQ,MATCH(R30&amp;AC30,订单明细!A:A&amp;订单明细!O:O,0))</f>
        <v>Z1640-黑色-L</v>
      </c>
      <c r="G30" s="22" t="str">
        <f>LEFT(F30,FIND("-",F30)-1)</f>
        <v>Z1640</v>
      </c>
      <c r="H30" s="21" cm="1">
        <f t="array" ref="H30">_xlfn.IFS(C30=0,"",I30&gt;0,AD30,AND(I30&lt;0,I30&gt;-30),0,I30&lt;=-30,-1)</f>
        <v>-1</v>
      </c>
      <c r="I30" s="21">
        <f>AF30</f>
        <v>-289</v>
      </c>
      <c r="J30" s="21">
        <f>AI30+AJ30</f>
        <v>0</v>
      </c>
      <c r="K30" s="21">
        <f>IF(AZ30&lt;=0,AZ30,AZ30/COUNTIFS(R:R,R30,AZ:AZ,"&gt;0"))</f>
        <v>0</v>
      </c>
      <c r="L30" s="21">
        <f>AM30</f>
        <v>14.45</v>
      </c>
      <c r="M30" s="21">
        <f>AT30</f>
        <v>1.73</v>
      </c>
      <c r="N30" s="21"/>
      <c r="O30" s="23">
        <f>SUM(I30:N30)</f>
        <v>-272.82</v>
      </c>
      <c r="R30" s="32" t="s">
        <v>1704</v>
      </c>
      <c r="S30" s="30" t="s">
        <v>1842</v>
      </c>
      <c r="T30" s="30" t="s">
        <v>1713</v>
      </c>
      <c r="U30" s="30" t="s">
        <v>1843</v>
      </c>
      <c r="V30" s="30" t="s">
        <v>1844</v>
      </c>
      <c r="W30" s="33" t="s">
        <v>1775</v>
      </c>
      <c r="X30" s="33" t="s">
        <v>1776</v>
      </c>
      <c r="Y30" s="30">
        <v>-272.82</v>
      </c>
      <c r="Z30" s="26" t="s">
        <v>1845</v>
      </c>
      <c r="AA30" s="33" t="s">
        <v>1800</v>
      </c>
      <c r="AB30" s="30" t="s">
        <v>1707</v>
      </c>
      <c r="AC30" s="32" t="s">
        <v>1708</v>
      </c>
      <c r="AD30" s="27">
        <v>0</v>
      </c>
      <c r="AE30" s="30">
        <v>-289</v>
      </c>
      <c r="AF30" s="32">
        <v>-289</v>
      </c>
      <c r="AG30" s="30">
        <v>0</v>
      </c>
      <c r="AH30" s="30">
        <v>0</v>
      </c>
      <c r="AI30" s="28">
        <v>0</v>
      </c>
      <c r="AJ30" s="28">
        <v>0</v>
      </c>
      <c r="AK30" s="27">
        <v>0</v>
      </c>
      <c r="AL30" s="27">
        <v>0</v>
      </c>
      <c r="AM30" s="28">
        <v>14.45</v>
      </c>
      <c r="AN30" s="28">
        <v>0</v>
      </c>
      <c r="AO30" s="27">
        <v>0</v>
      </c>
      <c r="AP30" s="27">
        <v>0</v>
      </c>
      <c r="AQ30" s="29" t="s">
        <v>103</v>
      </c>
      <c r="AR30" s="27">
        <v>0</v>
      </c>
      <c r="AS30" s="27">
        <v>0</v>
      </c>
      <c r="AT30" s="28">
        <v>1.73</v>
      </c>
      <c r="AU30" s="30" t="s">
        <v>151</v>
      </c>
      <c r="AV30" s="33" t="s">
        <v>1779</v>
      </c>
      <c r="AW30" s="33" t="s">
        <v>1780</v>
      </c>
      <c r="AX30" s="30"/>
      <c r="AY30" s="30"/>
      <c r="AZ30" s="28">
        <v>0</v>
      </c>
      <c r="BA30" s="27">
        <v>0</v>
      </c>
      <c r="BB30" s="27">
        <v>0</v>
      </c>
      <c r="BC30" s="27">
        <v>0</v>
      </c>
      <c r="BD30" s="27">
        <v>0</v>
      </c>
      <c r="BE30" s="30"/>
    </row>
    <row r="31" customHeight="1" spans="1:57">
      <c r="A31" s="20">
        <f>YEAR(V31)</f>
        <v>2025</v>
      </c>
      <c r="B31" s="21">
        <f>MONTH(V31)</f>
        <v>8</v>
      </c>
      <c r="C31" s="21" t="str">
        <f>R31</f>
        <v>P770376704723157681</v>
      </c>
      <c r="D31" s="21">
        <f>COUNTIF(R:R,R31)</f>
        <v>2</v>
      </c>
      <c r="E31" s="21">
        <f>COUNTIF($R$2:R31,R31)</f>
        <v>2</v>
      </c>
      <c r="F31" s="22" t="str" cm="1">
        <f t="array" ref="F31">INDEX(订单明细!BQ:BQ,MATCH(R31&amp;AC31,订单明细!A:A&amp;订单明细!O:O,0))</f>
        <v>Z1640-黑色-L</v>
      </c>
      <c r="G31" s="22" t="str">
        <f>LEFT(F31,FIND("-",F31)-1)</f>
        <v>Z1640</v>
      </c>
      <c r="H31" s="21" cm="1">
        <f t="array" ref="H31">_xlfn.IFS(C31=0,"",I31&gt;0,AD31,AND(I31&lt;0,I31&gt;-30),0,I31&lt;=-30,-1)</f>
        <v>1</v>
      </c>
      <c r="I31" s="21">
        <f>AF31</f>
        <v>289</v>
      </c>
      <c r="J31" s="21">
        <f>AI31+AJ31</f>
        <v>0</v>
      </c>
      <c r="K31" s="21">
        <f>IF(AZ31&lt;=0,AZ31,AZ31/COUNTIFS(R:R,R31,AZ:AZ,"&gt;0"))</f>
        <v>0</v>
      </c>
      <c r="L31" s="21">
        <f>AM31</f>
        <v>-14.45</v>
      </c>
      <c r="M31" s="21">
        <f>AT31</f>
        <v>-1.73</v>
      </c>
      <c r="N31" s="21"/>
      <c r="O31" s="23">
        <f>SUM(I31:N31)</f>
        <v>272.82</v>
      </c>
      <c r="R31" s="32" t="s">
        <v>1704</v>
      </c>
      <c r="S31" s="30"/>
      <c r="T31" s="30" t="s">
        <v>1713</v>
      </c>
      <c r="U31" s="30" t="s">
        <v>1846</v>
      </c>
      <c r="V31" s="30" t="s">
        <v>1844</v>
      </c>
      <c r="W31" s="33" t="s">
        <v>1782</v>
      </c>
      <c r="X31" s="33" t="s">
        <v>1776</v>
      </c>
      <c r="Y31" s="30">
        <v>272.82</v>
      </c>
      <c r="Z31" s="26" t="s">
        <v>1845</v>
      </c>
      <c r="AA31" s="33" t="s">
        <v>1800</v>
      </c>
      <c r="AB31" s="30" t="s">
        <v>1707</v>
      </c>
      <c r="AC31" s="32" t="s">
        <v>1708</v>
      </c>
      <c r="AD31" s="27">
        <v>1</v>
      </c>
      <c r="AE31" s="30">
        <v>289</v>
      </c>
      <c r="AF31" s="31">
        <v>289</v>
      </c>
      <c r="AG31" s="30" t="s">
        <v>75</v>
      </c>
      <c r="AH31" s="30">
        <v>0</v>
      </c>
      <c r="AI31" s="28">
        <v>0</v>
      </c>
      <c r="AJ31" s="28">
        <v>0</v>
      </c>
      <c r="AK31" s="27">
        <v>0.05</v>
      </c>
      <c r="AL31" s="27">
        <v>0</v>
      </c>
      <c r="AM31" s="28">
        <v>-14.45</v>
      </c>
      <c r="AN31" s="28">
        <v>289</v>
      </c>
      <c r="AO31" s="27">
        <v>289</v>
      </c>
      <c r="AP31" s="27">
        <v>0</v>
      </c>
      <c r="AQ31" s="29" t="s">
        <v>103</v>
      </c>
      <c r="AR31" s="27">
        <v>0</v>
      </c>
      <c r="AS31" s="27">
        <v>0.006</v>
      </c>
      <c r="AT31" s="28">
        <v>-1.73</v>
      </c>
      <c r="AU31" s="30" t="s">
        <v>151</v>
      </c>
      <c r="AV31" s="33" t="s">
        <v>1779</v>
      </c>
      <c r="AW31" s="33" t="s">
        <v>1780</v>
      </c>
      <c r="AX31" s="30"/>
      <c r="AY31" s="30"/>
      <c r="AZ31" s="28">
        <v>0</v>
      </c>
      <c r="BA31" s="27">
        <v>0</v>
      </c>
      <c r="BB31" s="27">
        <v>0</v>
      </c>
      <c r="BC31" s="27">
        <v>0</v>
      </c>
      <c r="BD31" s="27">
        <v>0</v>
      </c>
      <c r="BE31" s="30"/>
    </row>
    <row r="32" customHeight="1" spans="1:57">
      <c r="A32" s="20">
        <f>YEAR(V32)</f>
        <v>2025</v>
      </c>
      <c r="B32" s="21">
        <f>MONTH(V32)</f>
        <v>8</v>
      </c>
      <c r="C32" s="21" t="str">
        <f>R32</f>
        <v>P771601056297099071</v>
      </c>
      <c r="D32" s="21">
        <f>COUNTIF(R:R,R32)</f>
        <v>2</v>
      </c>
      <c r="E32" s="21">
        <f>COUNTIF($R$2:R32,R32)</f>
        <v>1</v>
      </c>
      <c r="F32" s="22" t="str" cm="1">
        <f t="array" ref="F32">INDEX(订单明细!BQ:BQ,MATCH(R32&amp;AC32,订单明细!A:A&amp;订单明细!O:O,0))</f>
        <v>Z2271-条纹-S</v>
      </c>
      <c r="G32" s="22" t="str">
        <f>LEFT(F32,FIND("-",F32)-1)</f>
        <v>Z2271</v>
      </c>
      <c r="H32" s="21" cm="1">
        <f t="array" ref="H32">_xlfn.IFS(C32=0,"",I32&gt;0,AD32,AND(I32&lt;0,I32&gt;-30),0,I32&lt;=-30,-1)</f>
        <v>-1</v>
      </c>
      <c r="I32" s="21">
        <f>AF32</f>
        <v>-289</v>
      </c>
      <c r="J32" s="21">
        <f>AI32+AJ32</f>
        <v>0</v>
      </c>
      <c r="K32" s="21">
        <f>IF(AZ32&lt;=0,AZ32,AZ32/COUNTIFS(R:R,R32,AZ:AZ,"&gt;0"))</f>
        <v>0</v>
      </c>
      <c r="L32" s="21">
        <f>AM32</f>
        <v>14.45</v>
      </c>
      <c r="M32" s="21">
        <f>AT32</f>
        <v>0</v>
      </c>
      <c r="N32" s="21"/>
      <c r="O32" s="23">
        <f>SUM(I32:N32)</f>
        <v>-274.55</v>
      </c>
      <c r="R32" s="32" t="s">
        <v>111</v>
      </c>
      <c r="S32" s="30" t="s">
        <v>1847</v>
      </c>
      <c r="T32" s="30" t="s">
        <v>130</v>
      </c>
      <c r="U32" s="30" t="s">
        <v>1848</v>
      </c>
      <c r="V32" s="30" t="s">
        <v>1849</v>
      </c>
      <c r="W32" s="33" t="s">
        <v>1775</v>
      </c>
      <c r="X32" s="33" t="s">
        <v>1776</v>
      </c>
      <c r="Y32" s="30">
        <v>-274.55</v>
      </c>
      <c r="Z32" s="26" t="s">
        <v>1850</v>
      </c>
      <c r="AA32" s="33" t="s">
        <v>1851</v>
      </c>
      <c r="AB32" s="30" t="s">
        <v>122</v>
      </c>
      <c r="AC32" s="32" t="s">
        <v>123</v>
      </c>
      <c r="AD32" s="27">
        <v>0</v>
      </c>
      <c r="AE32" s="30">
        <v>-289</v>
      </c>
      <c r="AF32" s="32">
        <v>-289</v>
      </c>
      <c r="AG32" s="30">
        <v>0</v>
      </c>
      <c r="AH32" s="30">
        <v>0</v>
      </c>
      <c r="AI32" s="28">
        <v>0</v>
      </c>
      <c r="AJ32" s="28">
        <v>0</v>
      </c>
      <c r="AK32" s="27">
        <v>0</v>
      </c>
      <c r="AL32" s="27">
        <v>0</v>
      </c>
      <c r="AM32" s="28">
        <v>14.45</v>
      </c>
      <c r="AN32" s="28">
        <v>0</v>
      </c>
      <c r="AO32" s="27">
        <v>0</v>
      </c>
      <c r="AP32" s="27">
        <v>0</v>
      </c>
      <c r="AQ32" s="29" t="s">
        <v>103</v>
      </c>
      <c r="AR32" s="27">
        <v>0</v>
      </c>
      <c r="AS32" s="27">
        <v>0</v>
      </c>
      <c r="AT32" s="28">
        <v>0</v>
      </c>
      <c r="AU32" s="30" t="s">
        <v>75</v>
      </c>
      <c r="AV32" s="30" t="s">
        <v>75</v>
      </c>
      <c r="AW32" s="30"/>
      <c r="AX32" s="30"/>
      <c r="AY32" s="30"/>
      <c r="AZ32" s="28">
        <v>0</v>
      </c>
      <c r="BA32" s="27">
        <v>0</v>
      </c>
      <c r="BB32" s="27">
        <v>0</v>
      </c>
      <c r="BC32" s="27">
        <v>0</v>
      </c>
      <c r="BD32" s="27">
        <v>0</v>
      </c>
      <c r="BE32" s="30"/>
    </row>
    <row r="33" customHeight="1" spans="1:57">
      <c r="A33" s="20">
        <f>YEAR(V33)</f>
        <v>2025</v>
      </c>
      <c r="B33" s="21">
        <f>MONTH(V33)</f>
        <v>8</v>
      </c>
      <c r="C33" s="21" t="str">
        <f>R33</f>
        <v>P771601056297099071</v>
      </c>
      <c r="D33" s="21">
        <f>COUNTIF(R:R,R33)</f>
        <v>2</v>
      </c>
      <c r="E33" s="21">
        <f>COUNTIF($R$2:R33,R33)</f>
        <v>2</v>
      </c>
      <c r="F33" s="22" t="str" cm="1">
        <f t="array" ref="F33">INDEX(订单明细!BQ:BQ,MATCH(R33&amp;AC33,订单明细!A:A&amp;订单明细!O:O,0))</f>
        <v>Z2271-条纹-S</v>
      </c>
      <c r="G33" s="22" t="str">
        <f>LEFT(F33,FIND("-",F33)-1)</f>
        <v>Z2271</v>
      </c>
      <c r="H33" s="21" cm="1">
        <f t="array" ref="H33">_xlfn.IFS(C33=0,"",I33&gt;0,AD33,AND(I33&lt;0,I33&gt;-30),0,I33&lt;=-30,-1)</f>
        <v>1</v>
      </c>
      <c r="I33" s="21">
        <f>AF33</f>
        <v>289</v>
      </c>
      <c r="J33" s="21">
        <f>AI33+AJ33</f>
        <v>0</v>
      </c>
      <c r="K33" s="21">
        <f>IF(AZ33&lt;=0,AZ33,AZ33/COUNTIFS(R:R,R33,AZ:AZ,"&gt;0"))</f>
        <v>0</v>
      </c>
      <c r="L33" s="21">
        <f>AM33</f>
        <v>-14.45</v>
      </c>
      <c r="M33" s="21">
        <f>AT33</f>
        <v>0</v>
      </c>
      <c r="N33" s="21"/>
      <c r="O33" s="23">
        <f>SUM(I33:N33)</f>
        <v>274.55</v>
      </c>
      <c r="R33" s="32" t="s">
        <v>111</v>
      </c>
      <c r="S33" s="30"/>
      <c r="T33" s="30" t="s">
        <v>130</v>
      </c>
      <c r="U33" s="30" t="s">
        <v>1852</v>
      </c>
      <c r="V33" s="30" t="s">
        <v>1849</v>
      </c>
      <c r="W33" s="33" t="s">
        <v>1782</v>
      </c>
      <c r="X33" s="33" t="s">
        <v>1776</v>
      </c>
      <c r="Y33" s="30">
        <v>274.55</v>
      </c>
      <c r="Z33" s="26" t="s">
        <v>1850</v>
      </c>
      <c r="AA33" s="33" t="s">
        <v>1851</v>
      </c>
      <c r="AB33" s="30" t="s">
        <v>122</v>
      </c>
      <c r="AC33" s="32" t="s">
        <v>123</v>
      </c>
      <c r="AD33" s="27">
        <v>1</v>
      </c>
      <c r="AE33" s="30">
        <v>289</v>
      </c>
      <c r="AF33" s="31">
        <v>289</v>
      </c>
      <c r="AG33" s="30" t="s">
        <v>75</v>
      </c>
      <c r="AH33" s="30">
        <v>0</v>
      </c>
      <c r="AI33" s="28">
        <v>0</v>
      </c>
      <c r="AJ33" s="28">
        <v>0</v>
      </c>
      <c r="AK33" s="27">
        <v>0.05</v>
      </c>
      <c r="AL33" s="27">
        <v>0</v>
      </c>
      <c r="AM33" s="28">
        <v>-14.45</v>
      </c>
      <c r="AN33" s="28">
        <v>289</v>
      </c>
      <c r="AO33" s="27">
        <v>289</v>
      </c>
      <c r="AP33" s="27">
        <v>0</v>
      </c>
      <c r="AQ33" s="29" t="s">
        <v>103</v>
      </c>
      <c r="AR33" s="27">
        <v>0</v>
      </c>
      <c r="AS33" s="27">
        <v>0</v>
      </c>
      <c r="AT33" s="28">
        <v>0</v>
      </c>
      <c r="AU33" s="30" t="s">
        <v>75</v>
      </c>
      <c r="AV33" s="30" t="s">
        <v>75</v>
      </c>
      <c r="AW33" s="30"/>
      <c r="AX33" s="30"/>
      <c r="AY33" s="30"/>
      <c r="AZ33" s="28">
        <v>0</v>
      </c>
      <c r="BA33" s="27">
        <v>0</v>
      </c>
      <c r="BB33" s="27">
        <v>0</v>
      </c>
      <c r="BC33" s="27">
        <v>0</v>
      </c>
      <c r="BD33" s="27">
        <v>0</v>
      </c>
      <c r="BE33" s="30"/>
    </row>
    <row r="34" customHeight="1" spans="1:57">
      <c r="A34" s="20">
        <f>YEAR(V34)</f>
        <v>2025</v>
      </c>
      <c r="B34" s="21">
        <f>MONTH(V34)</f>
        <v>8</v>
      </c>
      <c r="C34" s="21" t="str">
        <f>R34</f>
        <v>P770794057829472761</v>
      </c>
      <c r="D34" s="21">
        <f>COUNTIF(R:R,R34)</f>
        <v>2</v>
      </c>
      <c r="E34" s="21">
        <f>COUNTIF($R$2:R34,R34)</f>
        <v>1</v>
      </c>
      <c r="F34" s="22" t="str" cm="1">
        <f t="array" ref="F34">INDEX(订单明细!BQ:BQ,MATCH(R34&amp;AC34,订单明细!A:A&amp;订单明细!O:O,0))</f>
        <v>Z2378-花纱色-S</v>
      </c>
      <c r="G34" s="22" t="str">
        <f>LEFT(F34,FIND("-",F34)-1)</f>
        <v>Z2378</v>
      </c>
      <c r="H34" s="21" cm="1">
        <f t="array" ref="H34">_xlfn.IFS(C34=0,"",I34&gt;0,AD34,AND(I34&lt;0,I34&gt;-30),0,I34&lt;=-30,-1)</f>
        <v>-1</v>
      </c>
      <c r="I34" s="21">
        <f>AF34</f>
        <v>-179</v>
      </c>
      <c r="J34" s="21">
        <f>AI34+AJ34</f>
        <v>0</v>
      </c>
      <c r="K34" s="21">
        <f>IF(AZ34&lt;=0,AZ34,AZ34/COUNTIFS(R:R,R34,AZ:AZ,"&gt;0"))</f>
        <v>0</v>
      </c>
      <c r="L34" s="21">
        <f>AM34</f>
        <v>8.95</v>
      </c>
      <c r="M34" s="21">
        <f>AT34</f>
        <v>1.07</v>
      </c>
      <c r="N34" s="21"/>
      <c r="O34" s="23">
        <f>SUM(I34:N34)</f>
        <v>-168.98</v>
      </c>
      <c r="R34" s="32" t="s">
        <v>1236</v>
      </c>
      <c r="S34" s="30" t="s">
        <v>1853</v>
      </c>
      <c r="T34" s="30" t="s">
        <v>1854</v>
      </c>
      <c r="U34" s="30" t="s">
        <v>1855</v>
      </c>
      <c r="V34" s="30" t="s">
        <v>1856</v>
      </c>
      <c r="W34" s="33" t="s">
        <v>1775</v>
      </c>
      <c r="X34" s="33" t="s">
        <v>1776</v>
      </c>
      <c r="Y34" s="30">
        <v>-168.98</v>
      </c>
      <c r="Z34" s="26" t="s">
        <v>1834</v>
      </c>
      <c r="AA34" s="33" t="s">
        <v>1800</v>
      </c>
      <c r="AB34" s="30" t="s">
        <v>937</v>
      </c>
      <c r="AC34" s="32" t="s">
        <v>938</v>
      </c>
      <c r="AD34" s="27">
        <v>0</v>
      </c>
      <c r="AE34" s="30">
        <v>-179</v>
      </c>
      <c r="AF34" s="32">
        <v>-179</v>
      </c>
      <c r="AG34" s="30">
        <v>0</v>
      </c>
      <c r="AH34" s="30">
        <v>0</v>
      </c>
      <c r="AI34" s="28">
        <v>0</v>
      </c>
      <c r="AJ34" s="28">
        <v>0</v>
      </c>
      <c r="AK34" s="27">
        <v>0</v>
      </c>
      <c r="AL34" s="27">
        <v>0</v>
      </c>
      <c r="AM34" s="28">
        <v>8.95</v>
      </c>
      <c r="AN34" s="28">
        <v>0</v>
      </c>
      <c r="AO34" s="27">
        <v>0</v>
      </c>
      <c r="AP34" s="27">
        <v>0</v>
      </c>
      <c r="AQ34" s="29" t="s">
        <v>103</v>
      </c>
      <c r="AR34" s="27">
        <v>0</v>
      </c>
      <c r="AS34" s="27">
        <v>0</v>
      </c>
      <c r="AT34" s="28">
        <v>1.07</v>
      </c>
      <c r="AU34" s="30" t="s">
        <v>151</v>
      </c>
      <c r="AV34" s="33" t="s">
        <v>1779</v>
      </c>
      <c r="AW34" s="33" t="s">
        <v>1780</v>
      </c>
      <c r="AX34" s="30"/>
      <c r="AY34" s="30"/>
      <c r="AZ34" s="28">
        <v>0</v>
      </c>
      <c r="BA34" s="27">
        <v>0</v>
      </c>
      <c r="BB34" s="27">
        <v>0</v>
      </c>
      <c r="BC34" s="27">
        <v>0</v>
      </c>
      <c r="BD34" s="27">
        <v>0</v>
      </c>
      <c r="BE34" s="30"/>
    </row>
    <row r="35" customHeight="1" spans="1:57">
      <c r="A35" s="20">
        <f>YEAR(V35)</f>
        <v>2025</v>
      </c>
      <c r="B35" s="21">
        <f>MONTH(V35)</f>
        <v>8</v>
      </c>
      <c r="C35" s="21" t="str">
        <f>R35</f>
        <v>P770794262760472121</v>
      </c>
      <c r="D35" s="21">
        <f>COUNTIF(R:R,R35)</f>
        <v>2</v>
      </c>
      <c r="E35" s="21">
        <f>COUNTIF($R$2:R35,R35)</f>
        <v>1</v>
      </c>
      <c r="F35" s="22" t="str" cm="1">
        <f t="array" ref="F35">INDEX(订单明细!BQ:BQ,MATCH(R35&amp;AC35,订单明细!A:A&amp;订单明细!O:O,0))</f>
        <v>Z1248-黑色-S</v>
      </c>
      <c r="G35" s="22" t="str">
        <f>LEFT(F35,FIND("-",F35)-1)</f>
        <v>Z1248</v>
      </c>
      <c r="H35" s="21" cm="1">
        <f t="array" ref="H35">_xlfn.IFS(C35=0,"",I35&gt;0,AD35,AND(I35&lt;0,I35&gt;-30),0,I35&lt;=-30,-1)</f>
        <v>-1</v>
      </c>
      <c r="I35" s="21">
        <f>AF35</f>
        <v>-199</v>
      </c>
      <c r="J35" s="21">
        <f>AI35+AJ35</f>
        <v>0</v>
      </c>
      <c r="K35" s="21">
        <f>IF(AZ35&lt;=0,AZ35,AZ35/COUNTIFS(R:R,R35,AZ:AZ,"&gt;0"))</f>
        <v>0</v>
      </c>
      <c r="L35" s="21">
        <f>AM35</f>
        <v>9.95</v>
      </c>
      <c r="M35" s="21">
        <f>AT35</f>
        <v>1.19</v>
      </c>
      <c r="N35" s="21"/>
      <c r="O35" s="23">
        <f>SUM(I35:N35)</f>
        <v>-187.86</v>
      </c>
      <c r="R35" s="32" t="s">
        <v>1161</v>
      </c>
      <c r="S35" s="30" t="s">
        <v>1857</v>
      </c>
      <c r="T35" s="30" t="s">
        <v>1858</v>
      </c>
      <c r="U35" s="30" t="s">
        <v>1855</v>
      </c>
      <c r="V35" s="30" t="s">
        <v>1856</v>
      </c>
      <c r="W35" s="33" t="s">
        <v>1775</v>
      </c>
      <c r="X35" s="33" t="s">
        <v>1776</v>
      </c>
      <c r="Y35" s="30">
        <v>-187.86</v>
      </c>
      <c r="Z35" s="26" t="s">
        <v>1859</v>
      </c>
      <c r="AA35" s="33" t="s">
        <v>1860</v>
      </c>
      <c r="AB35" s="30" t="s">
        <v>1149</v>
      </c>
      <c r="AC35" s="32" t="s">
        <v>1150</v>
      </c>
      <c r="AD35" s="27">
        <v>0</v>
      </c>
      <c r="AE35" s="30">
        <v>-199</v>
      </c>
      <c r="AF35" s="32">
        <v>-199</v>
      </c>
      <c r="AG35" s="30">
        <v>0</v>
      </c>
      <c r="AH35" s="30">
        <v>0</v>
      </c>
      <c r="AI35" s="28">
        <v>0</v>
      </c>
      <c r="AJ35" s="28">
        <v>0</v>
      </c>
      <c r="AK35" s="27">
        <v>0</v>
      </c>
      <c r="AL35" s="27">
        <v>0</v>
      </c>
      <c r="AM35" s="28">
        <v>9.95</v>
      </c>
      <c r="AN35" s="28">
        <v>0</v>
      </c>
      <c r="AO35" s="27">
        <v>0</v>
      </c>
      <c r="AP35" s="27">
        <v>0</v>
      </c>
      <c r="AQ35" s="29" t="s">
        <v>103</v>
      </c>
      <c r="AR35" s="27">
        <v>0</v>
      </c>
      <c r="AS35" s="27">
        <v>0</v>
      </c>
      <c r="AT35" s="28">
        <v>1.19</v>
      </c>
      <c r="AU35" s="30" t="s">
        <v>151</v>
      </c>
      <c r="AV35" s="33" t="s">
        <v>1779</v>
      </c>
      <c r="AW35" s="33" t="s">
        <v>1780</v>
      </c>
      <c r="AX35" s="30"/>
      <c r="AY35" s="30"/>
      <c r="AZ35" s="28">
        <v>0</v>
      </c>
      <c r="BA35" s="27">
        <v>0</v>
      </c>
      <c r="BB35" s="27">
        <v>0</v>
      </c>
      <c r="BC35" s="27">
        <v>0</v>
      </c>
      <c r="BD35" s="27">
        <v>0</v>
      </c>
      <c r="BE35" s="30"/>
    </row>
    <row r="36" customHeight="1" spans="1:57">
      <c r="A36" s="20">
        <f>YEAR(V36)</f>
        <v>2025</v>
      </c>
      <c r="B36" s="21">
        <f>MONTH(V36)</f>
        <v>8</v>
      </c>
      <c r="C36" s="21" t="str">
        <f>R36</f>
        <v>P770794262760472121</v>
      </c>
      <c r="D36" s="21">
        <f>COUNTIF(R:R,R36)</f>
        <v>2</v>
      </c>
      <c r="E36" s="21">
        <f>COUNTIF($R$2:R36,R36)</f>
        <v>2</v>
      </c>
      <c r="F36" s="22" t="str" cm="1">
        <f t="array" ref="F36">INDEX(订单明细!BQ:BQ,MATCH(R36&amp;AC36,订单明细!A:A&amp;订单明细!O:O,0))</f>
        <v>Z1248-黑色-S</v>
      </c>
      <c r="G36" s="22" t="str">
        <f>LEFT(F36,FIND("-",F36)-1)</f>
        <v>Z1248</v>
      </c>
      <c r="H36" s="21" cm="1">
        <f t="array" ref="H36">_xlfn.IFS(C36=0,"",I36&gt;0,AD36,AND(I36&lt;0,I36&gt;-30),0,I36&lt;=-30,-1)</f>
        <v>1</v>
      </c>
      <c r="I36" s="21">
        <f>AF36</f>
        <v>199</v>
      </c>
      <c r="J36" s="21">
        <f>AI36+AJ36</f>
        <v>0</v>
      </c>
      <c r="K36" s="21">
        <f>IF(AZ36&lt;=0,AZ36,AZ36/COUNTIFS(R:R,R36,AZ:AZ,"&gt;0"))</f>
        <v>0</v>
      </c>
      <c r="L36" s="21">
        <f>AM36</f>
        <v>-9.95</v>
      </c>
      <c r="M36" s="21">
        <f>AT36</f>
        <v>-1.19</v>
      </c>
      <c r="N36" s="21"/>
      <c r="O36" s="23">
        <f>SUM(I36:N36)</f>
        <v>187.86</v>
      </c>
      <c r="R36" s="32" t="s">
        <v>1161</v>
      </c>
      <c r="S36" s="30"/>
      <c r="T36" s="30" t="s">
        <v>1858</v>
      </c>
      <c r="U36" s="30" t="s">
        <v>1861</v>
      </c>
      <c r="V36" s="30" t="s">
        <v>1856</v>
      </c>
      <c r="W36" s="33" t="s">
        <v>1782</v>
      </c>
      <c r="X36" s="33" t="s">
        <v>1776</v>
      </c>
      <c r="Y36" s="30">
        <v>187.86</v>
      </c>
      <c r="Z36" s="26" t="s">
        <v>1859</v>
      </c>
      <c r="AA36" s="33" t="s">
        <v>1860</v>
      </c>
      <c r="AB36" s="30" t="s">
        <v>1149</v>
      </c>
      <c r="AC36" s="32" t="s">
        <v>1150</v>
      </c>
      <c r="AD36" s="27">
        <v>1</v>
      </c>
      <c r="AE36" s="30">
        <v>199</v>
      </c>
      <c r="AF36" s="31">
        <v>199</v>
      </c>
      <c r="AG36" s="30" t="s">
        <v>75</v>
      </c>
      <c r="AH36" s="30">
        <v>0</v>
      </c>
      <c r="AI36" s="28">
        <v>0</v>
      </c>
      <c r="AJ36" s="28">
        <v>0</v>
      </c>
      <c r="AK36" s="27">
        <v>0.05</v>
      </c>
      <c r="AL36" s="27">
        <v>0</v>
      </c>
      <c r="AM36" s="28">
        <v>-9.95</v>
      </c>
      <c r="AN36" s="28">
        <v>199</v>
      </c>
      <c r="AO36" s="27">
        <v>199</v>
      </c>
      <c r="AP36" s="27">
        <v>0</v>
      </c>
      <c r="AQ36" s="29" t="s">
        <v>103</v>
      </c>
      <c r="AR36" s="27">
        <v>0</v>
      </c>
      <c r="AS36" s="27">
        <v>0.006</v>
      </c>
      <c r="AT36" s="28">
        <v>-1.19</v>
      </c>
      <c r="AU36" s="30" t="s">
        <v>151</v>
      </c>
      <c r="AV36" s="33" t="s">
        <v>1779</v>
      </c>
      <c r="AW36" s="33" t="s">
        <v>1780</v>
      </c>
      <c r="AX36" s="30"/>
      <c r="AY36" s="30"/>
      <c r="AZ36" s="28">
        <v>0</v>
      </c>
      <c r="BA36" s="27">
        <v>0</v>
      </c>
      <c r="BB36" s="27">
        <v>0</v>
      </c>
      <c r="BC36" s="27">
        <v>0</v>
      </c>
      <c r="BD36" s="27">
        <v>0</v>
      </c>
      <c r="BE36" s="30"/>
    </row>
    <row r="37" customHeight="1" spans="1:57">
      <c r="A37" s="20">
        <f>YEAR(V37)</f>
        <v>2025</v>
      </c>
      <c r="B37" s="21">
        <f>MONTH(V37)</f>
        <v>8</v>
      </c>
      <c r="C37" s="21" t="str">
        <f>R37</f>
        <v>P770794057829472761</v>
      </c>
      <c r="D37" s="21">
        <f>COUNTIF(R:R,R37)</f>
        <v>2</v>
      </c>
      <c r="E37" s="21">
        <f>COUNTIF($R$2:R37,R37)</f>
        <v>2</v>
      </c>
      <c r="F37" s="22" t="str" cm="1">
        <f t="array" ref="F37">INDEX(订单明细!BQ:BQ,MATCH(R37&amp;AC37,订单明细!A:A&amp;订单明细!O:O,0))</f>
        <v>Z2378-花纱色-S</v>
      </c>
      <c r="G37" s="22" t="str">
        <f>LEFT(F37,FIND("-",F37)-1)</f>
        <v>Z2378</v>
      </c>
      <c r="H37" s="21" cm="1">
        <f t="array" ref="H37">_xlfn.IFS(C37=0,"",I37&gt;0,AD37,AND(I37&lt;0,I37&gt;-30),0,I37&lt;=-30,-1)</f>
        <v>1</v>
      </c>
      <c r="I37" s="21">
        <f>AF37</f>
        <v>179</v>
      </c>
      <c r="J37" s="21">
        <f>AI37+AJ37</f>
        <v>0</v>
      </c>
      <c r="K37" s="21">
        <f>IF(AZ37&lt;=0,AZ37,AZ37/COUNTIFS(R:R,R37,AZ:AZ,"&gt;0"))</f>
        <v>0</v>
      </c>
      <c r="L37" s="21">
        <f>AM37</f>
        <v>-8.95</v>
      </c>
      <c r="M37" s="21">
        <f>AT37</f>
        <v>-1.07</v>
      </c>
      <c r="N37" s="21"/>
      <c r="O37" s="23">
        <f>SUM(I37:N37)</f>
        <v>168.98</v>
      </c>
      <c r="R37" s="32" t="s">
        <v>1236</v>
      </c>
      <c r="S37" s="30"/>
      <c r="T37" s="30" t="s">
        <v>1854</v>
      </c>
      <c r="U37" s="30" t="s">
        <v>1861</v>
      </c>
      <c r="V37" s="30" t="s">
        <v>1856</v>
      </c>
      <c r="W37" s="33" t="s">
        <v>1782</v>
      </c>
      <c r="X37" s="33" t="s">
        <v>1776</v>
      </c>
      <c r="Y37" s="30">
        <v>168.98</v>
      </c>
      <c r="Z37" s="26" t="s">
        <v>1834</v>
      </c>
      <c r="AA37" s="33" t="s">
        <v>1800</v>
      </c>
      <c r="AB37" s="30" t="s">
        <v>937</v>
      </c>
      <c r="AC37" s="32" t="s">
        <v>938</v>
      </c>
      <c r="AD37" s="27">
        <v>1</v>
      </c>
      <c r="AE37" s="30">
        <v>179</v>
      </c>
      <c r="AF37" s="31">
        <v>179</v>
      </c>
      <c r="AG37" s="30" t="s">
        <v>75</v>
      </c>
      <c r="AH37" s="30">
        <v>0</v>
      </c>
      <c r="AI37" s="28">
        <v>0</v>
      </c>
      <c r="AJ37" s="28">
        <v>0</v>
      </c>
      <c r="AK37" s="27">
        <v>0.05</v>
      </c>
      <c r="AL37" s="27">
        <v>0</v>
      </c>
      <c r="AM37" s="28">
        <v>-8.95</v>
      </c>
      <c r="AN37" s="28">
        <v>179</v>
      </c>
      <c r="AO37" s="27">
        <v>179</v>
      </c>
      <c r="AP37" s="27">
        <v>0</v>
      </c>
      <c r="AQ37" s="29" t="s">
        <v>103</v>
      </c>
      <c r="AR37" s="27">
        <v>0</v>
      </c>
      <c r="AS37" s="27">
        <v>0.006</v>
      </c>
      <c r="AT37" s="28">
        <v>-1.07</v>
      </c>
      <c r="AU37" s="30" t="s">
        <v>151</v>
      </c>
      <c r="AV37" s="33" t="s">
        <v>1779</v>
      </c>
      <c r="AW37" s="33" t="s">
        <v>1780</v>
      </c>
      <c r="AX37" s="30"/>
      <c r="AY37" s="30"/>
      <c r="AZ37" s="28">
        <v>0</v>
      </c>
      <c r="BA37" s="27">
        <v>0</v>
      </c>
      <c r="BB37" s="27">
        <v>0</v>
      </c>
      <c r="BC37" s="27">
        <v>0</v>
      </c>
      <c r="BD37" s="27">
        <v>0</v>
      </c>
      <c r="BE37" s="30"/>
    </row>
    <row r="38" customHeight="1" spans="1:57">
      <c r="A38" s="20">
        <f>YEAR(V38)</f>
        <v>2025</v>
      </c>
      <c r="B38" s="21">
        <f>MONTH(V38)</f>
        <v>8</v>
      </c>
      <c r="C38" s="21" t="str">
        <f>R38</f>
        <v>P770795098672334381</v>
      </c>
      <c r="D38" s="21">
        <f>COUNTIF(R:R,R38)</f>
        <v>1</v>
      </c>
      <c r="E38" s="21">
        <f>COUNTIF($R$2:R38,R38)</f>
        <v>1</v>
      </c>
      <c r="F38" s="22" t="str" cm="1">
        <f t="array" ref="F38">INDEX(订单明细!BQ:BQ,MATCH(R38&amp;AC38,订单明细!A:A&amp;订单明细!O:O,0))</f>
        <v>Z2363-灰色-L</v>
      </c>
      <c r="G38" s="22" t="str">
        <f>LEFT(F38,FIND("-",F38)-1)</f>
        <v>Z2363</v>
      </c>
      <c r="H38" s="21" cm="1">
        <f t="array" ref="H38">_xlfn.IFS(C38=0,"",I38&gt;0,AD38,AND(I38&lt;0,I38&gt;-30),0,I38&lt;=-30,-1)</f>
        <v>1</v>
      </c>
      <c r="I38" s="21">
        <f>AF38</f>
        <v>359</v>
      </c>
      <c r="J38" s="21">
        <f>AI38+AJ38</f>
        <v>0</v>
      </c>
      <c r="K38" s="21">
        <f>IF(AZ38&lt;=0,AZ38,AZ38/COUNTIFS(R:R,R38,AZ:AZ,"&gt;0"))</f>
        <v>0</v>
      </c>
      <c r="L38" s="21">
        <f>AM38</f>
        <v>-17.95</v>
      </c>
      <c r="M38" s="21">
        <f>AT38</f>
        <v>-2.15</v>
      </c>
      <c r="N38" s="21"/>
      <c r="O38" s="23">
        <f>SUM(I38:N38)</f>
        <v>338.9</v>
      </c>
      <c r="R38" s="32" t="s">
        <v>1065</v>
      </c>
      <c r="S38" s="30"/>
      <c r="T38" s="30" t="s">
        <v>1042</v>
      </c>
      <c r="U38" s="30" t="s">
        <v>1080</v>
      </c>
      <c r="V38" s="30" t="s">
        <v>1862</v>
      </c>
      <c r="W38" s="33" t="s">
        <v>1782</v>
      </c>
      <c r="X38" s="33" t="s">
        <v>1776</v>
      </c>
      <c r="Y38" s="30">
        <v>338.9</v>
      </c>
      <c r="Z38" s="26" t="s">
        <v>1863</v>
      </c>
      <c r="AA38" s="33" t="s">
        <v>1785</v>
      </c>
      <c r="AB38" s="30" t="s">
        <v>1073</v>
      </c>
      <c r="AC38" s="32" t="s">
        <v>1074</v>
      </c>
      <c r="AD38" s="27">
        <v>1</v>
      </c>
      <c r="AE38" s="30">
        <v>359</v>
      </c>
      <c r="AF38" s="31">
        <v>359</v>
      </c>
      <c r="AG38" s="30" t="s">
        <v>75</v>
      </c>
      <c r="AH38" s="30">
        <v>0</v>
      </c>
      <c r="AI38" s="28">
        <v>0</v>
      </c>
      <c r="AJ38" s="28">
        <v>0</v>
      </c>
      <c r="AK38" s="27">
        <v>0.05</v>
      </c>
      <c r="AL38" s="27">
        <v>0</v>
      </c>
      <c r="AM38" s="28">
        <v>-17.95</v>
      </c>
      <c r="AN38" s="28">
        <v>359</v>
      </c>
      <c r="AO38" s="27">
        <v>359</v>
      </c>
      <c r="AP38" s="27">
        <v>0</v>
      </c>
      <c r="AQ38" s="29" t="s">
        <v>103</v>
      </c>
      <c r="AR38" s="27">
        <v>0</v>
      </c>
      <c r="AS38" s="27">
        <v>0.006</v>
      </c>
      <c r="AT38" s="28">
        <v>-2.15</v>
      </c>
      <c r="AU38" s="30" t="s">
        <v>151</v>
      </c>
      <c r="AV38" s="33" t="s">
        <v>1779</v>
      </c>
      <c r="AW38" s="33" t="s">
        <v>1780</v>
      </c>
      <c r="AX38" s="30"/>
      <c r="AY38" s="30"/>
      <c r="AZ38" s="28">
        <v>0</v>
      </c>
      <c r="BA38" s="27">
        <v>0</v>
      </c>
      <c r="BB38" s="27">
        <v>0</v>
      </c>
      <c r="BC38" s="27">
        <v>0</v>
      </c>
      <c r="BD38" s="27">
        <v>0</v>
      </c>
      <c r="BE38" s="30"/>
    </row>
    <row r="39" customHeight="1" spans="1:57">
      <c r="A39" s="20">
        <f>YEAR(V39)</f>
        <v>2025</v>
      </c>
      <c r="B39" s="21">
        <f>MONTH(V39)</f>
        <v>8</v>
      </c>
      <c r="C39" s="21" t="str">
        <f>R39</f>
        <v>P770795099673396171</v>
      </c>
      <c r="D39" s="21">
        <f>COUNTIF(R:R,R39)</f>
        <v>1</v>
      </c>
      <c r="E39" s="21">
        <f>COUNTIF($R$2:R39,R39)</f>
        <v>1</v>
      </c>
      <c r="F39" s="22" t="str" cm="1">
        <f t="array" ref="F39">INDEX(订单明细!BQ:BQ,MATCH(R39&amp;AC39,订单明细!A:A&amp;订单明细!O:O,0))</f>
        <v>Z2363-灰色-M</v>
      </c>
      <c r="G39" s="22" t="str">
        <f>LEFT(F39,FIND("-",F39)-1)</f>
        <v>Z2363</v>
      </c>
      <c r="H39" s="21" cm="1">
        <f t="array" ref="H39">_xlfn.IFS(C39=0,"",I39&gt;0,AD39,AND(I39&lt;0,I39&gt;-30),0,I39&lt;=-30,-1)</f>
        <v>1</v>
      </c>
      <c r="I39" s="21">
        <f>AF39</f>
        <v>359</v>
      </c>
      <c r="J39" s="21">
        <f>AI39+AJ39</f>
        <v>0</v>
      </c>
      <c r="K39" s="21">
        <f>IF(AZ39&lt;=0,AZ39,AZ39/COUNTIFS(R:R,R39,AZ:AZ,"&gt;0"))</f>
        <v>0</v>
      </c>
      <c r="L39" s="21">
        <f>AM39</f>
        <v>-17.95</v>
      </c>
      <c r="M39" s="21">
        <f>AT39</f>
        <v>-2.15</v>
      </c>
      <c r="N39" s="21"/>
      <c r="O39" s="23">
        <f>SUM(I39:N39)</f>
        <v>338.9</v>
      </c>
      <c r="R39" s="32" t="s">
        <v>1049</v>
      </c>
      <c r="S39" s="30"/>
      <c r="T39" s="30" t="s">
        <v>1059</v>
      </c>
      <c r="U39" s="30" t="s">
        <v>1062</v>
      </c>
      <c r="V39" s="30" t="s">
        <v>1864</v>
      </c>
      <c r="W39" s="33" t="s">
        <v>1782</v>
      </c>
      <c r="X39" s="33" t="s">
        <v>1776</v>
      </c>
      <c r="Y39" s="30">
        <v>338.9</v>
      </c>
      <c r="Z39" s="26" t="s">
        <v>1784</v>
      </c>
      <c r="AA39" s="33" t="s">
        <v>1785</v>
      </c>
      <c r="AB39" s="30" t="s">
        <v>838</v>
      </c>
      <c r="AC39" s="32" t="s">
        <v>839</v>
      </c>
      <c r="AD39" s="27">
        <v>1</v>
      </c>
      <c r="AE39" s="30">
        <v>359</v>
      </c>
      <c r="AF39" s="31">
        <v>359</v>
      </c>
      <c r="AG39" s="30" t="s">
        <v>75</v>
      </c>
      <c r="AH39" s="30">
        <v>0</v>
      </c>
      <c r="AI39" s="28">
        <v>0</v>
      </c>
      <c r="AJ39" s="28">
        <v>0</v>
      </c>
      <c r="AK39" s="27">
        <v>0.05</v>
      </c>
      <c r="AL39" s="27">
        <v>0</v>
      </c>
      <c r="AM39" s="28">
        <v>-17.95</v>
      </c>
      <c r="AN39" s="28">
        <v>359</v>
      </c>
      <c r="AO39" s="27">
        <v>359</v>
      </c>
      <c r="AP39" s="27">
        <v>0</v>
      </c>
      <c r="AQ39" s="29" t="s">
        <v>103</v>
      </c>
      <c r="AR39" s="27">
        <v>0</v>
      </c>
      <c r="AS39" s="27">
        <v>0.006</v>
      </c>
      <c r="AT39" s="28">
        <v>-2.15</v>
      </c>
      <c r="AU39" s="30" t="s">
        <v>151</v>
      </c>
      <c r="AV39" s="33" t="s">
        <v>1779</v>
      </c>
      <c r="AW39" s="33" t="s">
        <v>1780</v>
      </c>
      <c r="AX39" s="30"/>
      <c r="AY39" s="30"/>
      <c r="AZ39" s="28">
        <v>0</v>
      </c>
      <c r="BA39" s="27">
        <v>0</v>
      </c>
      <c r="BB39" s="27">
        <v>0</v>
      </c>
      <c r="BC39" s="27">
        <v>0</v>
      </c>
      <c r="BD39" s="27">
        <v>0</v>
      </c>
      <c r="BE39" s="30"/>
    </row>
    <row r="40" customHeight="1" spans="1:57">
      <c r="A40" s="20">
        <f>YEAR(V40)</f>
        <v>2025</v>
      </c>
      <c r="B40" s="21">
        <f>MONTH(V40)</f>
        <v>8</v>
      </c>
      <c r="C40" s="21" t="str">
        <f>R40</f>
        <v>P770800038248138451</v>
      </c>
      <c r="D40" s="21">
        <f>COUNTIF(R:R,R40)</f>
        <v>4</v>
      </c>
      <c r="E40" s="21">
        <f>COUNTIF($R$2:R40,R40)</f>
        <v>1</v>
      </c>
      <c r="F40" s="22" t="str" cm="1">
        <f t="array" ref="F40">INDEX(订单明细!BQ:BQ,MATCH(R40&amp;AC40,订单明细!A:A&amp;订单明细!O:O,0))</f>
        <v>Z2380-藏青色</v>
      </c>
      <c r="G40" s="22" t="str">
        <f>LEFT(F40,FIND("-",F40)-1)</f>
        <v>Z2380</v>
      </c>
      <c r="H40" s="21" cm="1">
        <f t="array" ref="H40">_xlfn.IFS(C40=0,"",I40&gt;0,AD40,AND(I40&lt;0,I40&gt;-30),0,I40&lt;=-30,-1)</f>
        <v>-1</v>
      </c>
      <c r="I40" s="21">
        <f>AF40</f>
        <v>-199</v>
      </c>
      <c r="J40" s="21">
        <f>AI40+AJ40</f>
        <v>0</v>
      </c>
      <c r="K40" s="21">
        <f>IF(AZ40&lt;=0,AZ40,AZ40/COUNTIFS(R:R,R40,AZ:AZ,"&gt;0"))</f>
        <v>0</v>
      </c>
      <c r="L40" s="21">
        <f>AM40</f>
        <v>9.95</v>
      </c>
      <c r="M40" s="21">
        <f>AT40</f>
        <v>1.19</v>
      </c>
      <c r="N40" s="21"/>
      <c r="O40" s="23">
        <f>SUM(I40:N40)</f>
        <v>-187.86</v>
      </c>
      <c r="R40" s="32" t="s">
        <v>731</v>
      </c>
      <c r="S40" s="30" t="s">
        <v>1865</v>
      </c>
      <c r="T40" s="30" t="s">
        <v>742</v>
      </c>
      <c r="U40" s="30" t="s">
        <v>1866</v>
      </c>
      <c r="V40" s="30" t="s">
        <v>1867</v>
      </c>
      <c r="W40" s="33" t="s">
        <v>1775</v>
      </c>
      <c r="X40" s="33" t="s">
        <v>1776</v>
      </c>
      <c r="Y40" s="30">
        <v>-187.86</v>
      </c>
      <c r="Z40" s="26" t="s">
        <v>1868</v>
      </c>
      <c r="AA40" s="33" t="s">
        <v>1869</v>
      </c>
      <c r="AB40" s="30" t="s">
        <v>369</v>
      </c>
      <c r="AC40" s="32" t="s">
        <v>370</v>
      </c>
      <c r="AD40" s="27">
        <v>0</v>
      </c>
      <c r="AE40" s="30">
        <v>-199</v>
      </c>
      <c r="AF40" s="32">
        <v>-199</v>
      </c>
      <c r="AG40" s="30">
        <v>0</v>
      </c>
      <c r="AH40" s="30">
        <v>0</v>
      </c>
      <c r="AI40" s="28">
        <v>0</v>
      </c>
      <c r="AJ40" s="28">
        <v>0</v>
      </c>
      <c r="AK40" s="27">
        <v>0</v>
      </c>
      <c r="AL40" s="27">
        <v>0</v>
      </c>
      <c r="AM40" s="28">
        <v>9.95</v>
      </c>
      <c r="AN40" s="28">
        <v>0</v>
      </c>
      <c r="AO40" s="27">
        <v>0</v>
      </c>
      <c r="AP40" s="27">
        <v>0</v>
      </c>
      <c r="AQ40" s="29" t="s">
        <v>103</v>
      </c>
      <c r="AR40" s="27">
        <v>0</v>
      </c>
      <c r="AS40" s="27">
        <v>0</v>
      </c>
      <c r="AT40" s="28">
        <v>1.19</v>
      </c>
      <c r="AU40" s="30" t="s">
        <v>151</v>
      </c>
      <c r="AV40" s="33" t="s">
        <v>1779</v>
      </c>
      <c r="AW40" s="33" t="s">
        <v>1780</v>
      </c>
      <c r="AX40" s="30"/>
      <c r="AY40" s="30"/>
      <c r="AZ40" s="28">
        <v>0</v>
      </c>
      <c r="BA40" s="27">
        <v>0</v>
      </c>
      <c r="BB40" s="27">
        <v>0</v>
      </c>
      <c r="BC40" s="27">
        <v>0</v>
      </c>
      <c r="BD40" s="27">
        <v>0</v>
      </c>
      <c r="BE40" s="30"/>
    </row>
    <row r="41" customHeight="1" spans="1:57">
      <c r="A41" s="20">
        <f>YEAR(V41)</f>
        <v>2025</v>
      </c>
      <c r="B41" s="21">
        <f>MONTH(V41)</f>
        <v>8</v>
      </c>
      <c r="C41" s="21" t="str">
        <f>R41</f>
        <v>P770800038248138451</v>
      </c>
      <c r="D41" s="21">
        <f>COUNTIF(R:R,R41)</f>
        <v>4</v>
      </c>
      <c r="E41" s="21">
        <f>COUNTIF($R$2:R41,R41)</f>
        <v>2</v>
      </c>
      <c r="F41" s="22" t="str" cm="1">
        <f t="array" ref="F41">INDEX(订单明细!BQ:BQ,MATCH(R41&amp;AC41,订单明细!A:A&amp;订单明细!O:O,0))</f>
        <v>Z2380-黑色</v>
      </c>
      <c r="G41" s="22" t="str">
        <f>LEFT(F41,FIND("-",F41)-1)</f>
        <v>Z2380</v>
      </c>
      <c r="H41" s="21" cm="1">
        <f t="array" ref="H41">_xlfn.IFS(C41=0,"",I41&gt;0,AD41,AND(I41&lt;0,I41&gt;-30),0,I41&lt;=-30,-1)</f>
        <v>-1</v>
      </c>
      <c r="I41" s="21">
        <f>AF41</f>
        <v>-199</v>
      </c>
      <c r="J41" s="21">
        <f>AI41+AJ41</f>
        <v>0</v>
      </c>
      <c r="K41" s="21">
        <f>IF(AZ41&lt;=0,AZ41,AZ41/COUNTIFS(R:R,R41,AZ:AZ,"&gt;0"))</f>
        <v>0</v>
      </c>
      <c r="L41" s="21">
        <f>AM41</f>
        <v>9.95</v>
      </c>
      <c r="M41" s="21">
        <f>AT41</f>
        <v>1.19</v>
      </c>
      <c r="N41" s="21"/>
      <c r="O41" s="23">
        <f>SUM(I41:N41)</f>
        <v>-187.86</v>
      </c>
      <c r="R41" s="32" t="s">
        <v>731</v>
      </c>
      <c r="S41" s="30" t="s">
        <v>1870</v>
      </c>
      <c r="T41" s="30" t="s">
        <v>742</v>
      </c>
      <c r="U41" s="30" t="s">
        <v>1871</v>
      </c>
      <c r="V41" s="30" t="s">
        <v>1867</v>
      </c>
      <c r="W41" s="33" t="s">
        <v>1775</v>
      </c>
      <c r="X41" s="33" t="s">
        <v>1776</v>
      </c>
      <c r="Y41" s="30">
        <v>-187.86</v>
      </c>
      <c r="Z41" s="26" t="s">
        <v>1872</v>
      </c>
      <c r="AA41" s="33" t="s">
        <v>1869</v>
      </c>
      <c r="AB41" s="30" t="s">
        <v>523</v>
      </c>
      <c r="AC41" s="32" t="s">
        <v>524</v>
      </c>
      <c r="AD41" s="27">
        <v>0</v>
      </c>
      <c r="AE41" s="30">
        <v>-199</v>
      </c>
      <c r="AF41" s="32">
        <v>-199</v>
      </c>
      <c r="AG41" s="30">
        <v>0</v>
      </c>
      <c r="AH41" s="30">
        <v>0</v>
      </c>
      <c r="AI41" s="28">
        <v>0</v>
      </c>
      <c r="AJ41" s="28">
        <v>0</v>
      </c>
      <c r="AK41" s="27">
        <v>0</v>
      </c>
      <c r="AL41" s="27">
        <v>0</v>
      </c>
      <c r="AM41" s="28">
        <v>9.95</v>
      </c>
      <c r="AN41" s="28">
        <v>0</v>
      </c>
      <c r="AO41" s="27">
        <v>0</v>
      </c>
      <c r="AP41" s="27">
        <v>0</v>
      </c>
      <c r="AQ41" s="29" t="s">
        <v>103</v>
      </c>
      <c r="AR41" s="27">
        <v>0</v>
      </c>
      <c r="AS41" s="27">
        <v>0</v>
      </c>
      <c r="AT41" s="28">
        <v>1.19</v>
      </c>
      <c r="AU41" s="30" t="s">
        <v>151</v>
      </c>
      <c r="AV41" s="33" t="s">
        <v>1779</v>
      </c>
      <c r="AW41" s="33" t="s">
        <v>1780</v>
      </c>
      <c r="AX41" s="30"/>
      <c r="AY41" s="30"/>
      <c r="AZ41" s="28">
        <v>0</v>
      </c>
      <c r="BA41" s="27">
        <v>0</v>
      </c>
      <c r="BB41" s="27">
        <v>0</v>
      </c>
      <c r="BC41" s="27">
        <v>0</v>
      </c>
      <c r="BD41" s="27">
        <v>0</v>
      </c>
      <c r="BE41" s="30"/>
    </row>
    <row r="42" customHeight="1" spans="1:57">
      <c r="A42" s="20">
        <f>YEAR(V42)</f>
        <v>2025</v>
      </c>
      <c r="B42" s="21">
        <f>MONTH(V42)</f>
        <v>8</v>
      </c>
      <c r="C42" s="21" t="str">
        <f>R42</f>
        <v>P770815073365177321</v>
      </c>
      <c r="D42" s="21">
        <f>COUNTIF(R:R,R42)</f>
        <v>2</v>
      </c>
      <c r="E42" s="21">
        <f>COUNTIF($R$2:R42,R42)</f>
        <v>1</v>
      </c>
      <c r="F42" s="22" t="str" cm="1">
        <f t="array" ref="F42">INDEX(订单明细!BQ:BQ,MATCH(R42&amp;AC42,订单明细!A:A&amp;订单明细!O:O,0))</f>
        <v>Z2378-灰色-S</v>
      </c>
      <c r="G42" s="22" t="str">
        <f>LEFT(F42,FIND("-",F42)-1)</f>
        <v>Z2378</v>
      </c>
      <c r="H42" s="21" cm="1">
        <f t="array" ref="H42">_xlfn.IFS(C42=0,"",I42&gt;0,AD42,AND(I42&lt;0,I42&gt;-30),0,I42&lt;=-30,-1)</f>
        <v>-1</v>
      </c>
      <c r="I42" s="21">
        <f>AF42</f>
        <v>-179</v>
      </c>
      <c r="J42" s="21">
        <f>AI42+AJ42</f>
        <v>0</v>
      </c>
      <c r="K42" s="21">
        <f>IF(AZ42&lt;=0,AZ42,AZ42/COUNTIFS(R:R,R42,AZ:AZ,"&gt;0"))</f>
        <v>0</v>
      </c>
      <c r="L42" s="21">
        <f>AM42</f>
        <v>8.95</v>
      </c>
      <c r="M42" s="21">
        <f>AT42</f>
        <v>1.07</v>
      </c>
      <c r="N42" s="21"/>
      <c r="O42" s="23">
        <f>SUM(I42:N42)</f>
        <v>-168.98</v>
      </c>
      <c r="R42" s="32" t="s">
        <v>433</v>
      </c>
      <c r="S42" s="30" t="s">
        <v>1873</v>
      </c>
      <c r="T42" s="30" t="s">
        <v>449</v>
      </c>
      <c r="U42" s="30" t="s">
        <v>1874</v>
      </c>
      <c r="V42" s="30" t="s">
        <v>1867</v>
      </c>
      <c r="W42" s="33" t="s">
        <v>1775</v>
      </c>
      <c r="X42" s="33" t="s">
        <v>1776</v>
      </c>
      <c r="Y42" s="30">
        <v>-168.98</v>
      </c>
      <c r="Z42" s="26" t="s">
        <v>1875</v>
      </c>
      <c r="AA42" s="33" t="s">
        <v>1800</v>
      </c>
      <c r="AB42" s="30" t="s">
        <v>442</v>
      </c>
      <c r="AC42" s="32" t="s">
        <v>443</v>
      </c>
      <c r="AD42" s="27">
        <v>0</v>
      </c>
      <c r="AE42" s="30">
        <v>-179</v>
      </c>
      <c r="AF42" s="32">
        <v>-179</v>
      </c>
      <c r="AG42" s="30">
        <v>0</v>
      </c>
      <c r="AH42" s="30">
        <v>0</v>
      </c>
      <c r="AI42" s="28">
        <v>0</v>
      </c>
      <c r="AJ42" s="28">
        <v>0</v>
      </c>
      <c r="AK42" s="27">
        <v>0</v>
      </c>
      <c r="AL42" s="27">
        <v>0</v>
      </c>
      <c r="AM42" s="28">
        <v>8.95</v>
      </c>
      <c r="AN42" s="28">
        <v>0</v>
      </c>
      <c r="AO42" s="27">
        <v>0</v>
      </c>
      <c r="AP42" s="27">
        <v>0</v>
      </c>
      <c r="AQ42" s="29" t="s">
        <v>103</v>
      </c>
      <c r="AR42" s="27">
        <v>0</v>
      </c>
      <c r="AS42" s="27">
        <v>0</v>
      </c>
      <c r="AT42" s="28">
        <v>1.07</v>
      </c>
      <c r="AU42" s="30" t="s">
        <v>151</v>
      </c>
      <c r="AV42" s="33" t="s">
        <v>1779</v>
      </c>
      <c r="AW42" s="33" t="s">
        <v>1780</v>
      </c>
      <c r="AX42" s="30"/>
      <c r="AY42" s="30"/>
      <c r="AZ42" s="28">
        <v>0</v>
      </c>
      <c r="BA42" s="27">
        <v>0</v>
      </c>
      <c r="BB42" s="27">
        <v>0</v>
      </c>
      <c r="BC42" s="27">
        <v>0</v>
      </c>
      <c r="BD42" s="27">
        <v>0</v>
      </c>
      <c r="BE42" s="30"/>
    </row>
    <row r="43" customHeight="1" spans="1:57">
      <c r="A43" s="20">
        <f>YEAR(V43)</f>
        <v>2025</v>
      </c>
      <c r="B43" s="21">
        <f>MONTH(V43)</f>
        <v>8</v>
      </c>
      <c r="C43" s="21" t="str">
        <f>R43</f>
        <v>P770815073365177321</v>
      </c>
      <c r="D43" s="21">
        <f>COUNTIF(R:R,R43)</f>
        <v>2</v>
      </c>
      <c r="E43" s="21">
        <f>COUNTIF($R$2:R43,R43)</f>
        <v>2</v>
      </c>
      <c r="F43" s="22" t="str" cm="1">
        <f t="array" ref="F43">INDEX(订单明细!BQ:BQ,MATCH(R43&amp;AC43,订单明细!A:A&amp;订单明细!O:O,0))</f>
        <v>Z2378-灰色-S</v>
      </c>
      <c r="G43" s="22" t="str">
        <f>LEFT(F43,FIND("-",F43)-1)</f>
        <v>Z2378</v>
      </c>
      <c r="H43" s="21" cm="1">
        <f t="array" ref="H43">_xlfn.IFS(C43=0,"",I43&gt;0,AD43,AND(I43&lt;0,I43&gt;-30),0,I43&lt;=-30,-1)</f>
        <v>1</v>
      </c>
      <c r="I43" s="21">
        <f>AF43</f>
        <v>179</v>
      </c>
      <c r="J43" s="21">
        <f>AI43+AJ43</f>
        <v>0</v>
      </c>
      <c r="K43" s="21">
        <f>IF(AZ43&lt;=0,AZ43,AZ43/COUNTIFS(R:R,R43,AZ:AZ,"&gt;0"))</f>
        <v>0</v>
      </c>
      <c r="L43" s="21">
        <f>AM43</f>
        <v>-8.95</v>
      </c>
      <c r="M43" s="21">
        <f>AT43</f>
        <v>-1.07</v>
      </c>
      <c r="N43" s="21"/>
      <c r="O43" s="23">
        <f>SUM(I43:N43)</f>
        <v>168.98</v>
      </c>
      <c r="R43" s="32" t="s">
        <v>433</v>
      </c>
      <c r="S43" s="30"/>
      <c r="T43" s="30" t="s">
        <v>449</v>
      </c>
      <c r="U43" s="30" t="s">
        <v>1876</v>
      </c>
      <c r="V43" s="30" t="s">
        <v>1867</v>
      </c>
      <c r="W43" s="33" t="s">
        <v>1782</v>
      </c>
      <c r="X43" s="33" t="s">
        <v>1776</v>
      </c>
      <c r="Y43" s="30">
        <v>168.98</v>
      </c>
      <c r="Z43" s="26" t="s">
        <v>1875</v>
      </c>
      <c r="AA43" s="33" t="s">
        <v>1800</v>
      </c>
      <c r="AB43" s="30" t="s">
        <v>442</v>
      </c>
      <c r="AC43" s="32" t="s">
        <v>443</v>
      </c>
      <c r="AD43" s="27">
        <v>1</v>
      </c>
      <c r="AE43" s="30">
        <v>179</v>
      </c>
      <c r="AF43" s="31">
        <v>179</v>
      </c>
      <c r="AG43" s="30" t="s">
        <v>75</v>
      </c>
      <c r="AH43" s="30">
        <v>0</v>
      </c>
      <c r="AI43" s="28">
        <v>0</v>
      </c>
      <c r="AJ43" s="28">
        <v>0</v>
      </c>
      <c r="AK43" s="27">
        <v>0.05</v>
      </c>
      <c r="AL43" s="27">
        <v>0</v>
      </c>
      <c r="AM43" s="28">
        <v>-8.95</v>
      </c>
      <c r="AN43" s="28">
        <v>179</v>
      </c>
      <c r="AO43" s="27">
        <v>179</v>
      </c>
      <c r="AP43" s="27">
        <v>0</v>
      </c>
      <c r="AQ43" s="29" t="s">
        <v>103</v>
      </c>
      <c r="AR43" s="27">
        <v>0</v>
      </c>
      <c r="AS43" s="27">
        <v>0.006</v>
      </c>
      <c r="AT43" s="28">
        <v>-1.07</v>
      </c>
      <c r="AU43" s="30" t="s">
        <v>151</v>
      </c>
      <c r="AV43" s="33" t="s">
        <v>1779</v>
      </c>
      <c r="AW43" s="33" t="s">
        <v>1780</v>
      </c>
      <c r="AX43" s="30"/>
      <c r="AY43" s="30"/>
      <c r="AZ43" s="28">
        <v>0</v>
      </c>
      <c r="BA43" s="27">
        <v>0</v>
      </c>
      <c r="BB43" s="27">
        <v>0</v>
      </c>
      <c r="BC43" s="27">
        <v>0</v>
      </c>
      <c r="BD43" s="27">
        <v>0</v>
      </c>
      <c r="BE43" s="30"/>
    </row>
    <row r="44" customHeight="1" spans="1:57">
      <c r="A44" s="20">
        <f>YEAR(V44)</f>
        <v>2025</v>
      </c>
      <c r="B44" s="21">
        <f>MONTH(V44)</f>
        <v>8</v>
      </c>
      <c r="C44" s="21" t="str">
        <f>R44</f>
        <v>P770800038248138451</v>
      </c>
      <c r="D44" s="21">
        <f>COUNTIF(R:R,R44)</f>
        <v>4</v>
      </c>
      <c r="E44" s="21">
        <f>COUNTIF($R$2:R44,R44)</f>
        <v>3</v>
      </c>
      <c r="F44" s="22" t="str" cm="1">
        <f t="array" ref="F44">INDEX(订单明细!BQ:BQ,MATCH(R44&amp;AC44,订单明细!A:A&amp;订单明细!O:O,0))</f>
        <v>Z2380-黑色</v>
      </c>
      <c r="G44" s="22" t="str">
        <f>LEFT(F44,FIND("-",F44)-1)</f>
        <v>Z2380</v>
      </c>
      <c r="H44" s="21" cm="1">
        <f t="array" ref="H44">_xlfn.IFS(C44=0,"",I44&gt;0,AD44,AND(I44&lt;0,I44&gt;-30),0,I44&lt;=-30,-1)</f>
        <v>1</v>
      </c>
      <c r="I44" s="21">
        <f>AF44</f>
        <v>199</v>
      </c>
      <c r="J44" s="21">
        <f>AI44+AJ44</f>
        <v>0</v>
      </c>
      <c r="K44" s="21">
        <f>IF(AZ44&lt;=0,AZ44,AZ44/COUNTIFS(R:R,R44,AZ:AZ,"&gt;0"))</f>
        <v>0</v>
      </c>
      <c r="L44" s="21">
        <f>AM44</f>
        <v>-9.95</v>
      </c>
      <c r="M44" s="21">
        <f>AT44</f>
        <v>-1.19</v>
      </c>
      <c r="N44" s="21"/>
      <c r="O44" s="23">
        <f>SUM(I44:N44)</f>
        <v>187.86</v>
      </c>
      <c r="R44" s="32" t="s">
        <v>731</v>
      </c>
      <c r="S44" s="30"/>
      <c r="T44" s="30" t="s">
        <v>742</v>
      </c>
      <c r="U44" s="30" t="s">
        <v>1877</v>
      </c>
      <c r="V44" s="30" t="s">
        <v>1867</v>
      </c>
      <c r="W44" s="33" t="s">
        <v>1782</v>
      </c>
      <c r="X44" s="33" t="s">
        <v>1776</v>
      </c>
      <c r="Y44" s="30">
        <v>375.72</v>
      </c>
      <c r="Z44" s="26" t="s">
        <v>1872</v>
      </c>
      <c r="AA44" s="33" t="s">
        <v>1869</v>
      </c>
      <c r="AB44" s="30" t="s">
        <v>523</v>
      </c>
      <c r="AC44" s="32" t="s">
        <v>524</v>
      </c>
      <c r="AD44" s="27">
        <v>1</v>
      </c>
      <c r="AE44" s="30">
        <v>199</v>
      </c>
      <c r="AF44" s="31">
        <v>199</v>
      </c>
      <c r="AG44" s="30" t="s">
        <v>75</v>
      </c>
      <c r="AH44" s="30">
        <v>0</v>
      </c>
      <c r="AI44" s="28">
        <v>0</v>
      </c>
      <c r="AJ44" s="28">
        <v>0</v>
      </c>
      <c r="AK44" s="27">
        <v>0.05</v>
      </c>
      <c r="AL44" s="27">
        <v>0</v>
      </c>
      <c r="AM44" s="28">
        <v>-9.95</v>
      </c>
      <c r="AN44" s="28">
        <v>199</v>
      </c>
      <c r="AO44" s="27">
        <v>199</v>
      </c>
      <c r="AP44" s="27">
        <v>0</v>
      </c>
      <c r="AQ44" s="29" t="s">
        <v>103</v>
      </c>
      <c r="AR44" s="27">
        <v>0</v>
      </c>
      <c r="AS44" s="27">
        <v>0.006</v>
      </c>
      <c r="AT44" s="28">
        <v>-1.19</v>
      </c>
      <c r="AU44" s="30" t="s">
        <v>151</v>
      </c>
      <c r="AV44" s="33" t="s">
        <v>1779</v>
      </c>
      <c r="AW44" s="33" t="s">
        <v>1780</v>
      </c>
      <c r="AX44" s="30"/>
      <c r="AY44" s="30"/>
      <c r="AZ44" s="28">
        <v>0</v>
      </c>
      <c r="BA44" s="27">
        <v>0</v>
      </c>
      <c r="BB44" s="27">
        <v>0</v>
      </c>
      <c r="BC44" s="27">
        <v>0</v>
      </c>
      <c r="BD44" s="27">
        <v>0</v>
      </c>
      <c r="BE44" s="30"/>
    </row>
    <row r="45" customHeight="1" spans="1:57">
      <c r="A45" s="20">
        <f>YEAR(V45)</f>
        <v>2025</v>
      </c>
      <c r="B45" s="21">
        <f>MONTH(V45)</f>
        <v>8</v>
      </c>
      <c r="C45" s="21" t="str">
        <f>R45</f>
        <v>P770800038248138451</v>
      </c>
      <c r="D45" s="21">
        <f>COUNTIF(R:R,R45)</f>
        <v>4</v>
      </c>
      <c r="E45" s="21">
        <f>COUNTIF($R$2:R45,R45)</f>
        <v>4</v>
      </c>
      <c r="F45" s="22" t="str" cm="1">
        <f t="array" ref="F45">INDEX(订单明细!BQ:BQ,MATCH(R45&amp;AC45,订单明细!A:A&amp;订单明细!O:O,0))</f>
        <v>Z2380-藏青色</v>
      </c>
      <c r="G45" s="22" t="str">
        <f>LEFT(F45,FIND("-",F45)-1)</f>
        <v>Z2380</v>
      </c>
      <c r="H45" s="21" cm="1">
        <f t="array" ref="H45">_xlfn.IFS(C45=0,"",I45&gt;0,AD45,AND(I45&lt;0,I45&gt;-30),0,I45&lt;=-30,-1)</f>
        <v>1</v>
      </c>
      <c r="I45" s="21">
        <f>AF45</f>
        <v>199</v>
      </c>
      <c r="J45" s="21">
        <f>AI45+AJ45</f>
        <v>0</v>
      </c>
      <c r="K45" s="21">
        <f>IF(AZ45&lt;=0,AZ45,AZ45/COUNTIFS(R:R,R45,AZ:AZ,"&gt;0"))</f>
        <v>0</v>
      </c>
      <c r="L45" s="21">
        <f>AM45</f>
        <v>-9.95</v>
      </c>
      <c r="M45" s="21">
        <f>AT45</f>
        <v>-1.19</v>
      </c>
      <c r="N45" s="21"/>
      <c r="O45" s="23">
        <f>SUM(I45:N45)</f>
        <v>187.86</v>
      </c>
      <c r="R45" s="32" t="s">
        <v>731</v>
      </c>
      <c r="S45" s="30"/>
      <c r="T45" s="30" t="s">
        <v>742</v>
      </c>
      <c r="U45" s="30" t="s">
        <v>1877</v>
      </c>
      <c r="V45" s="30" t="s">
        <v>1867</v>
      </c>
      <c r="W45" s="33" t="s">
        <v>1782</v>
      </c>
      <c r="X45" s="33" t="s">
        <v>1776</v>
      </c>
      <c r="Y45" s="30">
        <v>375.72</v>
      </c>
      <c r="Z45" s="26" t="s">
        <v>1868</v>
      </c>
      <c r="AA45" s="33" t="s">
        <v>1869</v>
      </c>
      <c r="AB45" s="30" t="s">
        <v>369</v>
      </c>
      <c r="AC45" s="32" t="s">
        <v>370</v>
      </c>
      <c r="AD45" s="27">
        <v>1</v>
      </c>
      <c r="AE45" s="30">
        <v>199</v>
      </c>
      <c r="AF45" s="31">
        <v>199</v>
      </c>
      <c r="AG45" s="30" t="s">
        <v>75</v>
      </c>
      <c r="AH45" s="30">
        <v>0</v>
      </c>
      <c r="AI45" s="28">
        <v>0</v>
      </c>
      <c r="AJ45" s="28">
        <v>0</v>
      </c>
      <c r="AK45" s="27">
        <v>0.05</v>
      </c>
      <c r="AL45" s="27">
        <v>0</v>
      </c>
      <c r="AM45" s="28">
        <v>-9.95</v>
      </c>
      <c r="AN45" s="28">
        <v>199</v>
      </c>
      <c r="AO45" s="27">
        <v>199</v>
      </c>
      <c r="AP45" s="27">
        <v>0</v>
      </c>
      <c r="AQ45" s="29" t="s">
        <v>103</v>
      </c>
      <c r="AR45" s="27">
        <v>0</v>
      </c>
      <c r="AS45" s="27">
        <v>0.006</v>
      </c>
      <c r="AT45" s="28">
        <v>-1.19</v>
      </c>
      <c r="AU45" s="30" t="s">
        <v>151</v>
      </c>
      <c r="AV45" s="33" t="s">
        <v>1779</v>
      </c>
      <c r="AW45" s="33" t="s">
        <v>1780</v>
      </c>
      <c r="AX45" s="30"/>
      <c r="AY45" s="30"/>
      <c r="AZ45" s="28">
        <v>0</v>
      </c>
      <c r="BA45" s="27">
        <v>0</v>
      </c>
      <c r="BB45" s="27">
        <v>0</v>
      </c>
      <c r="BC45" s="27">
        <v>0</v>
      </c>
      <c r="BD45" s="27">
        <v>0</v>
      </c>
      <c r="BE45" s="30"/>
    </row>
    <row r="46" customHeight="1" spans="1:57">
      <c r="A46" s="20">
        <f>YEAR(V46)</f>
        <v>2025</v>
      </c>
      <c r="B46" s="21">
        <f>MONTH(V46)</f>
        <v>8</v>
      </c>
      <c r="C46" s="21" t="str">
        <f>R46</f>
        <v>P770645880641023381</v>
      </c>
      <c r="D46" s="21">
        <f>COUNTIF(R:R,R46)</f>
        <v>2</v>
      </c>
      <c r="E46" s="21">
        <f>COUNTIF($R$2:R46,R46)</f>
        <v>1</v>
      </c>
      <c r="F46" s="22" t="str" cm="1">
        <f t="array" ref="F46">INDEX(订单明细!BQ:BQ,MATCH(R46&amp;AC46,订单明细!A:A&amp;订单明细!O:O,0))</f>
        <v>Z1576-黑色-M</v>
      </c>
      <c r="G46" s="22" t="str">
        <f>LEFT(F46,FIND("-",F46)-1)</f>
        <v>Z1576</v>
      </c>
      <c r="H46" s="21" cm="1">
        <f t="array" ref="H46">_xlfn.IFS(C46=0,"",I46&gt;0,AD46,AND(I46&lt;0,I46&gt;-30),0,I46&lt;=-30,-1)</f>
        <v>-1</v>
      </c>
      <c r="I46" s="21">
        <f>AF46</f>
        <v>-199</v>
      </c>
      <c r="J46" s="21">
        <f>AI46+AJ46</f>
        <v>0</v>
      </c>
      <c r="K46" s="21">
        <f>IF(AZ46&lt;=0,AZ46,AZ46/COUNTIFS(R:R,R46,AZ:AZ,"&gt;0"))</f>
        <v>0</v>
      </c>
      <c r="L46" s="21">
        <f>AM46</f>
        <v>9.95</v>
      </c>
      <c r="M46" s="21">
        <f>AT46</f>
        <v>1.19</v>
      </c>
      <c r="N46" s="21"/>
      <c r="O46" s="23">
        <f>SUM(I46:N46)</f>
        <v>-187.86</v>
      </c>
      <c r="R46" s="32" t="s">
        <v>1454</v>
      </c>
      <c r="S46" s="30" t="s">
        <v>1878</v>
      </c>
      <c r="T46" s="30" t="s">
        <v>1463</v>
      </c>
      <c r="U46" s="30" t="s">
        <v>1879</v>
      </c>
      <c r="V46" s="30" t="s">
        <v>1880</v>
      </c>
      <c r="W46" s="33" t="s">
        <v>1775</v>
      </c>
      <c r="X46" s="33" t="s">
        <v>1776</v>
      </c>
      <c r="Y46" s="30">
        <v>-187.86</v>
      </c>
      <c r="Z46" s="26" t="s">
        <v>1808</v>
      </c>
      <c r="AA46" s="33" t="s">
        <v>1778</v>
      </c>
      <c r="AB46" s="30" t="s">
        <v>395</v>
      </c>
      <c r="AC46" s="32" t="s">
        <v>396</v>
      </c>
      <c r="AD46" s="27">
        <v>0</v>
      </c>
      <c r="AE46" s="30">
        <v>-199</v>
      </c>
      <c r="AF46" s="32">
        <v>-199</v>
      </c>
      <c r="AG46" s="30">
        <v>0</v>
      </c>
      <c r="AH46" s="30">
        <v>0</v>
      </c>
      <c r="AI46" s="28">
        <v>0</v>
      </c>
      <c r="AJ46" s="28">
        <v>0</v>
      </c>
      <c r="AK46" s="27">
        <v>0</v>
      </c>
      <c r="AL46" s="27">
        <v>0</v>
      </c>
      <c r="AM46" s="28">
        <v>9.95</v>
      </c>
      <c r="AN46" s="28">
        <v>0</v>
      </c>
      <c r="AO46" s="27">
        <v>0</v>
      </c>
      <c r="AP46" s="27">
        <v>0</v>
      </c>
      <c r="AQ46" s="29" t="s">
        <v>103</v>
      </c>
      <c r="AR46" s="27">
        <v>0</v>
      </c>
      <c r="AS46" s="27">
        <v>0</v>
      </c>
      <c r="AT46" s="28">
        <v>1.19</v>
      </c>
      <c r="AU46" s="30" t="s">
        <v>151</v>
      </c>
      <c r="AV46" s="33" t="s">
        <v>1779</v>
      </c>
      <c r="AW46" s="33" t="s">
        <v>1780</v>
      </c>
      <c r="AX46" s="30"/>
      <c r="AY46" s="30"/>
      <c r="AZ46" s="28">
        <v>0</v>
      </c>
      <c r="BA46" s="27">
        <v>0</v>
      </c>
      <c r="BB46" s="27">
        <v>0</v>
      </c>
      <c r="BC46" s="27">
        <v>0</v>
      </c>
      <c r="BD46" s="27">
        <v>0</v>
      </c>
      <c r="BE46" s="30"/>
    </row>
    <row r="47" customHeight="1" spans="1:57">
      <c r="A47" s="20">
        <f>YEAR(V47)</f>
        <v>2025</v>
      </c>
      <c r="B47" s="21">
        <f>MONTH(V47)</f>
        <v>8</v>
      </c>
      <c r="C47" s="21" t="str">
        <f>R47</f>
        <v>P770645880641023381</v>
      </c>
      <c r="D47" s="21">
        <f>COUNTIF(R:R,R47)</f>
        <v>2</v>
      </c>
      <c r="E47" s="21">
        <f>COUNTIF($R$2:R47,R47)</f>
        <v>2</v>
      </c>
      <c r="F47" s="22" t="str" cm="1">
        <f t="array" ref="F47">INDEX(订单明细!BQ:BQ,MATCH(R47&amp;AC47,订单明细!A:A&amp;订单明细!O:O,0))</f>
        <v>Z1576-黑色-M</v>
      </c>
      <c r="G47" s="22" t="str">
        <f>LEFT(F47,FIND("-",F47)-1)</f>
        <v>Z1576</v>
      </c>
      <c r="H47" s="21" cm="1">
        <f t="array" ref="H47">_xlfn.IFS(C47=0,"",I47&gt;0,AD47,AND(I47&lt;0,I47&gt;-30),0,I47&lt;=-30,-1)</f>
        <v>1</v>
      </c>
      <c r="I47" s="21">
        <f>AF47</f>
        <v>199</v>
      </c>
      <c r="J47" s="21">
        <f>AI47+AJ47</f>
        <v>0</v>
      </c>
      <c r="K47" s="21">
        <f>IF(AZ47&lt;=0,AZ47,AZ47/COUNTIFS(R:R,R47,AZ:AZ,"&gt;0"))</f>
        <v>0</v>
      </c>
      <c r="L47" s="21">
        <f>AM47</f>
        <v>-9.95</v>
      </c>
      <c r="M47" s="21">
        <f>AT47</f>
        <v>-1.19</v>
      </c>
      <c r="N47" s="21"/>
      <c r="O47" s="23">
        <f>SUM(I47:N47)</f>
        <v>187.86</v>
      </c>
      <c r="R47" s="32" t="s">
        <v>1454</v>
      </c>
      <c r="S47" s="30"/>
      <c r="T47" s="30" t="s">
        <v>1463</v>
      </c>
      <c r="U47" s="30" t="s">
        <v>1881</v>
      </c>
      <c r="V47" s="30" t="s">
        <v>1880</v>
      </c>
      <c r="W47" s="33" t="s">
        <v>1782</v>
      </c>
      <c r="X47" s="33" t="s">
        <v>1776</v>
      </c>
      <c r="Y47" s="30">
        <v>187.86</v>
      </c>
      <c r="Z47" s="26" t="s">
        <v>1808</v>
      </c>
      <c r="AA47" s="33" t="s">
        <v>1778</v>
      </c>
      <c r="AB47" s="30" t="s">
        <v>395</v>
      </c>
      <c r="AC47" s="32" t="s">
        <v>396</v>
      </c>
      <c r="AD47" s="27">
        <v>1</v>
      </c>
      <c r="AE47" s="30">
        <v>199</v>
      </c>
      <c r="AF47" s="31">
        <v>199</v>
      </c>
      <c r="AG47" s="30" t="s">
        <v>75</v>
      </c>
      <c r="AH47" s="30">
        <v>0</v>
      </c>
      <c r="AI47" s="28">
        <v>0</v>
      </c>
      <c r="AJ47" s="28">
        <v>0</v>
      </c>
      <c r="AK47" s="27">
        <v>0.05</v>
      </c>
      <c r="AL47" s="27">
        <v>0</v>
      </c>
      <c r="AM47" s="28">
        <v>-9.95</v>
      </c>
      <c r="AN47" s="28">
        <v>199</v>
      </c>
      <c r="AO47" s="27">
        <v>199</v>
      </c>
      <c r="AP47" s="27">
        <v>0</v>
      </c>
      <c r="AQ47" s="29" t="s">
        <v>103</v>
      </c>
      <c r="AR47" s="27">
        <v>0</v>
      </c>
      <c r="AS47" s="27">
        <v>0.006</v>
      </c>
      <c r="AT47" s="28">
        <v>-1.19</v>
      </c>
      <c r="AU47" s="30" t="s">
        <v>151</v>
      </c>
      <c r="AV47" s="33" t="s">
        <v>1779</v>
      </c>
      <c r="AW47" s="33" t="s">
        <v>1780</v>
      </c>
      <c r="AX47" s="30"/>
      <c r="AY47" s="30"/>
      <c r="AZ47" s="28">
        <v>0</v>
      </c>
      <c r="BA47" s="27">
        <v>0</v>
      </c>
      <c r="BB47" s="27">
        <v>0</v>
      </c>
      <c r="BC47" s="27">
        <v>0</v>
      </c>
      <c r="BD47" s="27">
        <v>0</v>
      </c>
      <c r="BE47" s="30"/>
    </row>
    <row r="48" customHeight="1" spans="1:57">
      <c r="A48" s="20">
        <f>YEAR(V48)</f>
        <v>2025</v>
      </c>
      <c r="B48" s="21">
        <f>MONTH(V48)</f>
        <v>8</v>
      </c>
      <c r="C48" s="21" t="str">
        <f>R48</f>
        <v>P770799979667284611</v>
      </c>
      <c r="D48" s="21">
        <f>COUNTIF(R:R,R48)</f>
        <v>2</v>
      </c>
      <c r="E48" s="21">
        <f>COUNTIF($R$2:R48,R48)</f>
        <v>1</v>
      </c>
      <c r="F48" s="22" t="str" cm="1">
        <f t="array" ref="F48">INDEX(订单明细!BQ:BQ,MATCH(R48&amp;AC48,订单明细!A:A&amp;订单明细!O:O,0))</f>
        <v>Z2380-藏青色</v>
      </c>
      <c r="G48" s="22" t="str">
        <f>LEFT(F48,FIND("-",F48)-1)</f>
        <v>Z2380</v>
      </c>
      <c r="H48" s="21" cm="1">
        <f t="array" ref="H48">_xlfn.IFS(C48=0,"",I48&gt;0,AD48,AND(I48&lt;0,I48&gt;-30),0,I48&lt;=-30,-1)</f>
        <v>-1</v>
      </c>
      <c r="I48" s="21">
        <f>AF48</f>
        <v>-199</v>
      </c>
      <c r="J48" s="21">
        <f>AI48+AJ48</f>
        <v>0</v>
      </c>
      <c r="K48" s="21">
        <f>IF(AZ48&lt;=0,AZ48,AZ48/COUNTIFS(R:R,R48,AZ:AZ,"&gt;0"))</f>
        <v>0</v>
      </c>
      <c r="L48" s="21">
        <f>AM48</f>
        <v>9.95</v>
      </c>
      <c r="M48" s="21">
        <f>AT48</f>
        <v>1.19</v>
      </c>
      <c r="N48" s="21"/>
      <c r="O48" s="23">
        <f>SUM(I48:N48)</f>
        <v>-187.86</v>
      </c>
      <c r="R48" s="32" t="s">
        <v>722</v>
      </c>
      <c r="S48" s="30" t="s">
        <v>1882</v>
      </c>
      <c r="T48" s="30" t="s">
        <v>726</v>
      </c>
      <c r="U48" s="30" t="s">
        <v>1883</v>
      </c>
      <c r="V48" s="30" t="s">
        <v>1884</v>
      </c>
      <c r="W48" s="33" t="s">
        <v>1775</v>
      </c>
      <c r="X48" s="33" t="s">
        <v>1776</v>
      </c>
      <c r="Y48" s="30">
        <v>-187.86</v>
      </c>
      <c r="Z48" s="26" t="s">
        <v>1868</v>
      </c>
      <c r="AA48" s="33" t="s">
        <v>1869</v>
      </c>
      <c r="AB48" s="30" t="s">
        <v>369</v>
      </c>
      <c r="AC48" s="32" t="s">
        <v>370</v>
      </c>
      <c r="AD48" s="27">
        <v>0</v>
      </c>
      <c r="AE48" s="30">
        <v>-199</v>
      </c>
      <c r="AF48" s="32">
        <v>-199</v>
      </c>
      <c r="AG48" s="30">
        <v>0</v>
      </c>
      <c r="AH48" s="30">
        <v>0</v>
      </c>
      <c r="AI48" s="28">
        <v>0</v>
      </c>
      <c r="AJ48" s="28">
        <v>0</v>
      </c>
      <c r="AK48" s="27">
        <v>0</v>
      </c>
      <c r="AL48" s="27">
        <v>0</v>
      </c>
      <c r="AM48" s="28">
        <v>9.95</v>
      </c>
      <c r="AN48" s="28">
        <v>0</v>
      </c>
      <c r="AO48" s="27">
        <v>0</v>
      </c>
      <c r="AP48" s="27">
        <v>0</v>
      </c>
      <c r="AQ48" s="29" t="s">
        <v>103</v>
      </c>
      <c r="AR48" s="27">
        <v>0</v>
      </c>
      <c r="AS48" s="27">
        <v>0</v>
      </c>
      <c r="AT48" s="28">
        <v>1.19</v>
      </c>
      <c r="AU48" s="30" t="s">
        <v>151</v>
      </c>
      <c r="AV48" s="33" t="s">
        <v>1779</v>
      </c>
      <c r="AW48" s="33" t="s">
        <v>1780</v>
      </c>
      <c r="AX48" s="30"/>
      <c r="AY48" s="30"/>
      <c r="AZ48" s="28">
        <v>0</v>
      </c>
      <c r="BA48" s="27">
        <v>0</v>
      </c>
      <c r="BB48" s="27">
        <v>0</v>
      </c>
      <c r="BC48" s="27">
        <v>0</v>
      </c>
      <c r="BD48" s="27">
        <v>0</v>
      </c>
      <c r="BE48" s="30"/>
    </row>
    <row r="49" customHeight="1" spans="1:57">
      <c r="A49" s="20">
        <f>YEAR(V49)</f>
        <v>2025</v>
      </c>
      <c r="B49" s="21">
        <f>MONTH(V49)</f>
        <v>8</v>
      </c>
      <c r="C49" s="21" t="str">
        <f>R49</f>
        <v>P770798337207284891</v>
      </c>
      <c r="D49" s="21">
        <f>COUNTIF(R:R,R49)</f>
        <v>2</v>
      </c>
      <c r="E49" s="21">
        <f>COUNTIF($R$2:R49,R49)</f>
        <v>1</v>
      </c>
      <c r="F49" s="22" t="str" cm="1">
        <f t="array" ref="F49">INDEX(订单明细!BQ:BQ,MATCH(R49&amp;AC49,订单明细!A:A&amp;订单明细!O:O,0))</f>
        <v>Z2378-花纱色-M</v>
      </c>
      <c r="G49" s="22" t="str">
        <f>LEFT(F49,FIND("-",F49)-1)</f>
        <v>Z2378</v>
      </c>
      <c r="H49" s="21" cm="1">
        <f t="array" ref="H49">_xlfn.IFS(C49=0,"",I49&gt;0,AD49,AND(I49&lt;0,I49&gt;-30),0,I49&lt;=-30,-1)</f>
        <v>-1</v>
      </c>
      <c r="I49" s="21">
        <f>AF49</f>
        <v>-179</v>
      </c>
      <c r="J49" s="21">
        <f>AI49+AJ49</f>
        <v>0</v>
      </c>
      <c r="K49" s="21">
        <f>IF(AZ49&lt;=0,AZ49,AZ49/COUNTIFS(R:R,R49,AZ:AZ,"&gt;0"))</f>
        <v>0</v>
      </c>
      <c r="L49" s="21">
        <f>AM49</f>
        <v>8.95</v>
      </c>
      <c r="M49" s="21">
        <f>AT49</f>
        <v>1.07</v>
      </c>
      <c r="N49" s="21"/>
      <c r="O49" s="23">
        <f>SUM(I49:N49)</f>
        <v>-168.98</v>
      </c>
      <c r="R49" s="32" t="s">
        <v>820</v>
      </c>
      <c r="S49" s="30" t="s">
        <v>1885</v>
      </c>
      <c r="T49" s="30" t="s">
        <v>829</v>
      </c>
      <c r="U49" s="30" t="s">
        <v>1883</v>
      </c>
      <c r="V49" s="30" t="s">
        <v>1884</v>
      </c>
      <c r="W49" s="33" t="s">
        <v>1775</v>
      </c>
      <c r="X49" s="33" t="s">
        <v>1776</v>
      </c>
      <c r="Y49" s="30">
        <v>-168.98</v>
      </c>
      <c r="Z49" s="26" t="s">
        <v>1826</v>
      </c>
      <c r="AA49" s="33" t="s">
        <v>1800</v>
      </c>
      <c r="AB49" s="30" t="s">
        <v>822</v>
      </c>
      <c r="AC49" s="32" t="s">
        <v>823</v>
      </c>
      <c r="AD49" s="27">
        <v>0</v>
      </c>
      <c r="AE49" s="30">
        <v>-179</v>
      </c>
      <c r="AF49" s="32">
        <v>-179</v>
      </c>
      <c r="AG49" s="30">
        <v>0</v>
      </c>
      <c r="AH49" s="30">
        <v>0</v>
      </c>
      <c r="AI49" s="28">
        <v>0</v>
      </c>
      <c r="AJ49" s="28">
        <v>0</v>
      </c>
      <c r="AK49" s="27">
        <v>0</v>
      </c>
      <c r="AL49" s="27">
        <v>0</v>
      </c>
      <c r="AM49" s="28">
        <v>8.95</v>
      </c>
      <c r="AN49" s="28">
        <v>0</v>
      </c>
      <c r="AO49" s="27">
        <v>0</v>
      </c>
      <c r="AP49" s="27">
        <v>0</v>
      </c>
      <c r="AQ49" s="29" t="s">
        <v>103</v>
      </c>
      <c r="AR49" s="27">
        <v>0</v>
      </c>
      <c r="AS49" s="27">
        <v>0</v>
      </c>
      <c r="AT49" s="28">
        <v>1.07</v>
      </c>
      <c r="AU49" s="30" t="s">
        <v>151</v>
      </c>
      <c r="AV49" s="33" t="s">
        <v>1779</v>
      </c>
      <c r="AW49" s="33" t="s">
        <v>1780</v>
      </c>
      <c r="AX49" s="30"/>
      <c r="AY49" s="30"/>
      <c r="AZ49" s="28">
        <v>0</v>
      </c>
      <c r="BA49" s="27">
        <v>0</v>
      </c>
      <c r="BB49" s="27">
        <v>0</v>
      </c>
      <c r="BC49" s="27">
        <v>0</v>
      </c>
      <c r="BD49" s="27">
        <v>0</v>
      </c>
      <c r="BE49" s="30"/>
    </row>
    <row r="50" customHeight="1" spans="1:57">
      <c r="A50" s="20">
        <f>YEAR(V50)</f>
        <v>2025</v>
      </c>
      <c r="B50" s="21">
        <f>MONTH(V50)</f>
        <v>8</v>
      </c>
      <c r="C50" s="21" t="str">
        <f>R50</f>
        <v>P770798387983284011</v>
      </c>
      <c r="D50" s="21">
        <f>COUNTIF(R:R,R50)</f>
        <v>2</v>
      </c>
      <c r="E50" s="21">
        <f>COUNTIF($R$2:R50,R50)</f>
        <v>1</v>
      </c>
      <c r="F50" s="22" t="str" cm="1">
        <f t="array" ref="F50">INDEX(订单明细!BQ:BQ,MATCH(R50&amp;AC50,订单明细!A:A&amp;订单明细!O:O,0))</f>
        <v>Z1248-黑色-M</v>
      </c>
      <c r="G50" s="22" t="str">
        <f>LEFT(F50,FIND("-",F50)-1)</f>
        <v>Z1248</v>
      </c>
      <c r="H50" s="21" cm="1">
        <f t="array" ref="H50">_xlfn.IFS(C50=0,"",I50&gt;0,AD50,AND(I50&lt;0,I50&gt;-30),0,I50&lt;=-30,-1)</f>
        <v>-1</v>
      </c>
      <c r="I50" s="21">
        <f>AF50</f>
        <v>-199</v>
      </c>
      <c r="J50" s="21">
        <f>AI50+AJ50</f>
        <v>0</v>
      </c>
      <c r="K50" s="21">
        <f>IF(AZ50&lt;=0,AZ50,AZ50/COUNTIFS(R:R,R50,AZ:AZ,"&gt;0"))</f>
        <v>0</v>
      </c>
      <c r="L50" s="21">
        <f>AM50</f>
        <v>9.95</v>
      </c>
      <c r="M50" s="21">
        <f>AT50</f>
        <v>1.19</v>
      </c>
      <c r="N50" s="21"/>
      <c r="O50" s="23">
        <f>SUM(I50:N50)</f>
        <v>-187.86</v>
      </c>
      <c r="R50" s="32" t="s">
        <v>775</v>
      </c>
      <c r="S50" s="30" t="s">
        <v>1886</v>
      </c>
      <c r="T50" s="30" t="s">
        <v>783</v>
      </c>
      <c r="U50" s="30" t="s">
        <v>1883</v>
      </c>
      <c r="V50" s="30" t="s">
        <v>1884</v>
      </c>
      <c r="W50" s="33" t="s">
        <v>1775</v>
      </c>
      <c r="X50" s="33" t="s">
        <v>1776</v>
      </c>
      <c r="Y50" s="30">
        <v>-187.86</v>
      </c>
      <c r="Z50" s="26" t="s">
        <v>1887</v>
      </c>
      <c r="AA50" s="33" t="s">
        <v>1860</v>
      </c>
      <c r="AB50" s="30" t="s">
        <v>777</v>
      </c>
      <c r="AC50" s="32" t="s">
        <v>778</v>
      </c>
      <c r="AD50" s="27">
        <v>0</v>
      </c>
      <c r="AE50" s="30">
        <v>-199</v>
      </c>
      <c r="AF50" s="32">
        <v>-199</v>
      </c>
      <c r="AG50" s="30">
        <v>0</v>
      </c>
      <c r="AH50" s="30">
        <v>0</v>
      </c>
      <c r="AI50" s="28">
        <v>0</v>
      </c>
      <c r="AJ50" s="28">
        <v>0</v>
      </c>
      <c r="AK50" s="27">
        <v>0</v>
      </c>
      <c r="AL50" s="27">
        <v>0</v>
      </c>
      <c r="AM50" s="28">
        <v>9.95</v>
      </c>
      <c r="AN50" s="28">
        <v>0</v>
      </c>
      <c r="AO50" s="27">
        <v>0</v>
      </c>
      <c r="AP50" s="27">
        <v>0</v>
      </c>
      <c r="AQ50" s="29" t="s">
        <v>103</v>
      </c>
      <c r="AR50" s="27">
        <v>0</v>
      </c>
      <c r="AS50" s="27">
        <v>0</v>
      </c>
      <c r="AT50" s="28">
        <v>1.19</v>
      </c>
      <c r="AU50" s="30" t="s">
        <v>151</v>
      </c>
      <c r="AV50" s="33" t="s">
        <v>1779</v>
      </c>
      <c r="AW50" s="33" t="s">
        <v>1780</v>
      </c>
      <c r="AX50" s="30"/>
      <c r="AY50" s="30"/>
      <c r="AZ50" s="28">
        <v>0</v>
      </c>
      <c r="BA50" s="27">
        <v>0</v>
      </c>
      <c r="BB50" s="27">
        <v>0</v>
      </c>
      <c r="BC50" s="27">
        <v>0</v>
      </c>
      <c r="BD50" s="27">
        <v>0</v>
      </c>
      <c r="BE50" s="30"/>
    </row>
    <row r="51" customHeight="1" spans="1:57">
      <c r="A51" s="20">
        <f>YEAR(V51)</f>
        <v>2025</v>
      </c>
      <c r="B51" s="21">
        <f>MONTH(V51)</f>
        <v>8</v>
      </c>
      <c r="C51" s="21" t="str">
        <f>R51</f>
        <v>P770822898182284051</v>
      </c>
      <c r="D51" s="21">
        <f>COUNTIF(R:R,R51)</f>
        <v>2</v>
      </c>
      <c r="E51" s="21">
        <f>COUNTIF($R$2:R51,R51)</f>
        <v>1</v>
      </c>
      <c r="F51" s="22" t="str" cm="1">
        <f t="array" ref="F51">INDEX(订单明细!BQ:BQ,MATCH(R51&amp;AC51,订单明细!A:A&amp;订单明细!O:O,0))</f>
        <v>Z2376-黑白条纹-M</v>
      </c>
      <c r="G51" s="22" t="str">
        <f>LEFT(F51,FIND("-",F51)-1)</f>
        <v>Z2376</v>
      </c>
      <c r="H51" s="21" cm="1">
        <f t="array" ref="H51">_xlfn.IFS(C51=0,"",I51&gt;0,AD51,AND(I51&lt;0,I51&gt;-30),0,I51&lt;=-30,-1)</f>
        <v>-1</v>
      </c>
      <c r="I51" s="21">
        <f>AF51</f>
        <v>-219</v>
      </c>
      <c r="J51" s="21">
        <f>AI51+AJ51</f>
        <v>0</v>
      </c>
      <c r="K51" s="21">
        <f>IF(AZ51&lt;=0,AZ51,AZ51/COUNTIFS(R:R,R51,AZ:AZ,"&gt;0"))</f>
        <v>0</v>
      </c>
      <c r="L51" s="21">
        <f>AM51</f>
        <v>10.95</v>
      </c>
      <c r="M51" s="21">
        <f>AT51</f>
        <v>1.31</v>
      </c>
      <c r="N51" s="21"/>
      <c r="O51" s="23">
        <f>SUM(I51:N51)</f>
        <v>-206.74</v>
      </c>
      <c r="R51" s="32" t="s">
        <v>316</v>
      </c>
      <c r="S51" s="30" t="s">
        <v>1888</v>
      </c>
      <c r="T51" s="30" t="s">
        <v>331</v>
      </c>
      <c r="U51" s="30" t="s">
        <v>1883</v>
      </c>
      <c r="V51" s="30" t="s">
        <v>1884</v>
      </c>
      <c r="W51" s="33" t="s">
        <v>1775</v>
      </c>
      <c r="X51" s="33" t="s">
        <v>1776</v>
      </c>
      <c r="Y51" s="30">
        <v>-206.74</v>
      </c>
      <c r="Z51" s="26" t="s">
        <v>1889</v>
      </c>
      <c r="AA51" s="33" t="s">
        <v>1788</v>
      </c>
      <c r="AB51" s="30" t="s">
        <v>323</v>
      </c>
      <c r="AC51" s="32" t="s">
        <v>324</v>
      </c>
      <c r="AD51" s="27">
        <v>0</v>
      </c>
      <c r="AE51" s="30">
        <v>-219</v>
      </c>
      <c r="AF51" s="32">
        <v>-219</v>
      </c>
      <c r="AG51" s="30">
        <v>0</v>
      </c>
      <c r="AH51" s="30">
        <v>0</v>
      </c>
      <c r="AI51" s="28">
        <v>0</v>
      </c>
      <c r="AJ51" s="28">
        <v>0</v>
      </c>
      <c r="AK51" s="27">
        <v>0</v>
      </c>
      <c r="AL51" s="27">
        <v>0</v>
      </c>
      <c r="AM51" s="28">
        <v>10.95</v>
      </c>
      <c r="AN51" s="28">
        <v>0</v>
      </c>
      <c r="AO51" s="27">
        <v>0</v>
      </c>
      <c r="AP51" s="27">
        <v>0</v>
      </c>
      <c r="AQ51" s="29" t="s">
        <v>103</v>
      </c>
      <c r="AR51" s="27">
        <v>0</v>
      </c>
      <c r="AS51" s="27">
        <v>0</v>
      </c>
      <c r="AT51" s="28">
        <v>1.31</v>
      </c>
      <c r="AU51" s="30" t="s">
        <v>151</v>
      </c>
      <c r="AV51" s="33" t="s">
        <v>1779</v>
      </c>
      <c r="AW51" s="33" t="s">
        <v>1780</v>
      </c>
      <c r="AX51" s="30"/>
      <c r="AY51" s="30"/>
      <c r="AZ51" s="28">
        <v>0</v>
      </c>
      <c r="BA51" s="27">
        <v>0</v>
      </c>
      <c r="BB51" s="27">
        <v>0</v>
      </c>
      <c r="BC51" s="27">
        <v>0</v>
      </c>
      <c r="BD51" s="27">
        <v>0</v>
      </c>
      <c r="BE51" s="30"/>
    </row>
    <row r="52" customHeight="1" spans="1:57">
      <c r="A52" s="20">
        <f>YEAR(V52)</f>
        <v>2025</v>
      </c>
      <c r="B52" s="21">
        <f>MONTH(V52)</f>
        <v>8</v>
      </c>
      <c r="C52" s="21" t="str">
        <f>R52</f>
        <v>P770822898182284051</v>
      </c>
      <c r="D52" s="21">
        <f>COUNTIF(R:R,R52)</f>
        <v>2</v>
      </c>
      <c r="E52" s="21">
        <f>COUNTIF($R$2:R52,R52)</f>
        <v>2</v>
      </c>
      <c r="F52" s="22" t="str" cm="1">
        <f t="array" ref="F52">INDEX(订单明细!BQ:BQ,MATCH(R52&amp;AC52,订单明细!A:A&amp;订单明细!O:O,0))</f>
        <v>Z2376-黑白条纹-M</v>
      </c>
      <c r="G52" s="22" t="str">
        <f>LEFT(F52,FIND("-",F52)-1)</f>
        <v>Z2376</v>
      </c>
      <c r="H52" s="21" cm="1">
        <f t="array" ref="H52">_xlfn.IFS(C52=0,"",I52&gt;0,AD52,AND(I52&lt;0,I52&gt;-30),0,I52&lt;=-30,-1)</f>
        <v>1</v>
      </c>
      <c r="I52" s="21">
        <f>AF52</f>
        <v>219</v>
      </c>
      <c r="J52" s="21">
        <f>AI52+AJ52</f>
        <v>0</v>
      </c>
      <c r="K52" s="21">
        <f>IF(AZ52&lt;=0,AZ52,AZ52/COUNTIFS(R:R,R52,AZ:AZ,"&gt;0"))</f>
        <v>0</v>
      </c>
      <c r="L52" s="21">
        <f>AM52</f>
        <v>-10.95</v>
      </c>
      <c r="M52" s="21">
        <f>AT52</f>
        <v>-1.31</v>
      </c>
      <c r="N52" s="21"/>
      <c r="O52" s="23">
        <f>SUM(I52:N52)</f>
        <v>206.74</v>
      </c>
      <c r="R52" s="32" t="s">
        <v>316</v>
      </c>
      <c r="S52" s="30"/>
      <c r="T52" s="30" t="s">
        <v>331</v>
      </c>
      <c r="U52" s="30" t="s">
        <v>1883</v>
      </c>
      <c r="V52" s="30" t="s">
        <v>1884</v>
      </c>
      <c r="W52" s="33" t="s">
        <v>1782</v>
      </c>
      <c r="X52" s="33" t="s">
        <v>1776</v>
      </c>
      <c r="Y52" s="30">
        <v>206.74</v>
      </c>
      <c r="Z52" s="26" t="s">
        <v>1889</v>
      </c>
      <c r="AA52" s="33" t="s">
        <v>1788</v>
      </c>
      <c r="AB52" s="30" t="s">
        <v>323</v>
      </c>
      <c r="AC52" s="32" t="s">
        <v>324</v>
      </c>
      <c r="AD52" s="27">
        <v>1</v>
      </c>
      <c r="AE52" s="30">
        <v>219</v>
      </c>
      <c r="AF52" s="31">
        <v>219</v>
      </c>
      <c r="AG52" s="30" t="s">
        <v>75</v>
      </c>
      <c r="AH52" s="30">
        <v>0</v>
      </c>
      <c r="AI52" s="28">
        <v>0</v>
      </c>
      <c r="AJ52" s="28">
        <v>0</v>
      </c>
      <c r="AK52" s="27">
        <v>0.05</v>
      </c>
      <c r="AL52" s="27">
        <v>0</v>
      </c>
      <c r="AM52" s="28">
        <v>-10.95</v>
      </c>
      <c r="AN52" s="28">
        <v>219</v>
      </c>
      <c r="AO52" s="27">
        <v>219</v>
      </c>
      <c r="AP52" s="27">
        <v>0</v>
      </c>
      <c r="AQ52" s="29" t="s">
        <v>103</v>
      </c>
      <c r="AR52" s="27">
        <v>0</v>
      </c>
      <c r="AS52" s="27">
        <v>0.006</v>
      </c>
      <c r="AT52" s="28">
        <v>-1.31</v>
      </c>
      <c r="AU52" s="30" t="s">
        <v>151</v>
      </c>
      <c r="AV52" s="33" t="s">
        <v>1779</v>
      </c>
      <c r="AW52" s="33" t="s">
        <v>1780</v>
      </c>
      <c r="AX52" s="30"/>
      <c r="AY52" s="30"/>
      <c r="AZ52" s="28">
        <v>0</v>
      </c>
      <c r="BA52" s="27">
        <v>0</v>
      </c>
      <c r="BB52" s="27">
        <v>0</v>
      </c>
      <c r="BC52" s="27">
        <v>0</v>
      </c>
      <c r="BD52" s="27">
        <v>0</v>
      </c>
      <c r="BE52" s="30"/>
    </row>
    <row r="53" customHeight="1" spans="1:57">
      <c r="A53" s="20">
        <f>YEAR(V53)</f>
        <v>2025</v>
      </c>
      <c r="B53" s="21">
        <f>MONTH(V53)</f>
        <v>8</v>
      </c>
      <c r="C53" s="21" t="str">
        <f>R53</f>
        <v>P770799979667284611</v>
      </c>
      <c r="D53" s="21">
        <f>COUNTIF(R:R,R53)</f>
        <v>2</v>
      </c>
      <c r="E53" s="21">
        <f>COUNTIF($R$2:R53,R53)</f>
        <v>2</v>
      </c>
      <c r="F53" s="22" t="str" cm="1">
        <f t="array" ref="F53">INDEX(订单明细!BQ:BQ,MATCH(R53&amp;AC53,订单明细!A:A&amp;订单明细!O:O,0))</f>
        <v>Z2380-藏青色</v>
      </c>
      <c r="G53" s="22" t="str">
        <f>LEFT(F53,FIND("-",F53)-1)</f>
        <v>Z2380</v>
      </c>
      <c r="H53" s="21" cm="1">
        <f t="array" ref="H53">_xlfn.IFS(C53=0,"",I53&gt;0,AD53,AND(I53&lt;0,I53&gt;-30),0,I53&lt;=-30,-1)</f>
        <v>1</v>
      </c>
      <c r="I53" s="21">
        <f>AF53</f>
        <v>199</v>
      </c>
      <c r="J53" s="21">
        <f>AI53+AJ53</f>
        <v>0</v>
      </c>
      <c r="K53" s="21">
        <f>IF(AZ53&lt;=0,AZ53,AZ53/COUNTIFS(R:R,R53,AZ:AZ,"&gt;0"))</f>
        <v>0</v>
      </c>
      <c r="L53" s="21">
        <f>AM53</f>
        <v>-9.95</v>
      </c>
      <c r="M53" s="21">
        <f>AT53</f>
        <v>-1.19</v>
      </c>
      <c r="N53" s="21"/>
      <c r="O53" s="23">
        <f>SUM(I53:N53)</f>
        <v>187.86</v>
      </c>
      <c r="R53" s="32" t="s">
        <v>722</v>
      </c>
      <c r="S53" s="30"/>
      <c r="T53" s="30" t="s">
        <v>726</v>
      </c>
      <c r="U53" s="30" t="s">
        <v>1883</v>
      </c>
      <c r="V53" s="30" t="s">
        <v>1884</v>
      </c>
      <c r="W53" s="33" t="s">
        <v>1782</v>
      </c>
      <c r="X53" s="33" t="s">
        <v>1776</v>
      </c>
      <c r="Y53" s="30">
        <v>187.86</v>
      </c>
      <c r="Z53" s="26" t="s">
        <v>1868</v>
      </c>
      <c r="AA53" s="33" t="s">
        <v>1869</v>
      </c>
      <c r="AB53" s="30" t="s">
        <v>369</v>
      </c>
      <c r="AC53" s="32" t="s">
        <v>370</v>
      </c>
      <c r="AD53" s="27">
        <v>1</v>
      </c>
      <c r="AE53" s="30">
        <v>199</v>
      </c>
      <c r="AF53" s="31">
        <v>199</v>
      </c>
      <c r="AG53" s="30" t="s">
        <v>75</v>
      </c>
      <c r="AH53" s="30">
        <v>0</v>
      </c>
      <c r="AI53" s="28">
        <v>0</v>
      </c>
      <c r="AJ53" s="28">
        <v>0</v>
      </c>
      <c r="AK53" s="27">
        <v>0.05</v>
      </c>
      <c r="AL53" s="27">
        <v>0</v>
      </c>
      <c r="AM53" s="28">
        <v>-9.95</v>
      </c>
      <c r="AN53" s="28">
        <v>199</v>
      </c>
      <c r="AO53" s="27">
        <v>199</v>
      </c>
      <c r="AP53" s="27">
        <v>0</v>
      </c>
      <c r="AQ53" s="29" t="s">
        <v>103</v>
      </c>
      <c r="AR53" s="27">
        <v>0</v>
      </c>
      <c r="AS53" s="27">
        <v>0.006</v>
      </c>
      <c r="AT53" s="28">
        <v>-1.19</v>
      </c>
      <c r="AU53" s="30" t="s">
        <v>151</v>
      </c>
      <c r="AV53" s="33" t="s">
        <v>1779</v>
      </c>
      <c r="AW53" s="33" t="s">
        <v>1780</v>
      </c>
      <c r="AX53" s="30"/>
      <c r="AY53" s="30"/>
      <c r="AZ53" s="28">
        <v>0</v>
      </c>
      <c r="BA53" s="27">
        <v>0</v>
      </c>
      <c r="BB53" s="27">
        <v>0</v>
      </c>
      <c r="BC53" s="27">
        <v>0</v>
      </c>
      <c r="BD53" s="27">
        <v>0</v>
      </c>
      <c r="BE53" s="30"/>
    </row>
    <row r="54" customHeight="1" spans="1:57">
      <c r="A54" s="20">
        <f>YEAR(V54)</f>
        <v>2025</v>
      </c>
      <c r="B54" s="21">
        <f>MONTH(V54)</f>
        <v>8</v>
      </c>
      <c r="C54" s="21" t="str">
        <f>R54</f>
        <v>P770798387983284011</v>
      </c>
      <c r="D54" s="21">
        <f>COUNTIF(R:R,R54)</f>
        <v>2</v>
      </c>
      <c r="E54" s="21">
        <f>COUNTIF($R$2:R54,R54)</f>
        <v>2</v>
      </c>
      <c r="F54" s="22" t="str" cm="1">
        <f t="array" ref="F54">INDEX(订单明细!BQ:BQ,MATCH(R54&amp;AC54,订单明细!A:A&amp;订单明细!O:O,0))</f>
        <v>Z1248-黑色-M</v>
      </c>
      <c r="G54" s="22" t="str">
        <f>LEFT(F54,FIND("-",F54)-1)</f>
        <v>Z1248</v>
      </c>
      <c r="H54" s="21" cm="1">
        <f t="array" ref="H54">_xlfn.IFS(C54=0,"",I54&gt;0,AD54,AND(I54&lt;0,I54&gt;-30),0,I54&lt;=-30,-1)</f>
        <v>1</v>
      </c>
      <c r="I54" s="21">
        <f>AF54</f>
        <v>199</v>
      </c>
      <c r="J54" s="21">
        <f>AI54+AJ54</f>
        <v>0</v>
      </c>
      <c r="K54" s="21">
        <f>IF(AZ54&lt;=0,AZ54,AZ54/COUNTIFS(R:R,R54,AZ:AZ,"&gt;0"))</f>
        <v>0</v>
      </c>
      <c r="L54" s="21">
        <f>AM54</f>
        <v>-9.95</v>
      </c>
      <c r="M54" s="21">
        <f>AT54</f>
        <v>-1.19</v>
      </c>
      <c r="N54" s="21"/>
      <c r="O54" s="23">
        <f>SUM(I54:N54)</f>
        <v>187.86</v>
      </c>
      <c r="R54" s="32" t="s">
        <v>775</v>
      </c>
      <c r="S54" s="30"/>
      <c r="T54" s="30" t="s">
        <v>783</v>
      </c>
      <c r="U54" s="30" t="s">
        <v>1883</v>
      </c>
      <c r="V54" s="30" t="s">
        <v>1884</v>
      </c>
      <c r="W54" s="33" t="s">
        <v>1782</v>
      </c>
      <c r="X54" s="33" t="s">
        <v>1776</v>
      </c>
      <c r="Y54" s="30">
        <v>187.86</v>
      </c>
      <c r="Z54" s="26" t="s">
        <v>1887</v>
      </c>
      <c r="AA54" s="33" t="s">
        <v>1860</v>
      </c>
      <c r="AB54" s="30" t="s">
        <v>777</v>
      </c>
      <c r="AC54" s="32" t="s">
        <v>778</v>
      </c>
      <c r="AD54" s="27">
        <v>1</v>
      </c>
      <c r="AE54" s="30">
        <v>199</v>
      </c>
      <c r="AF54" s="31">
        <v>199</v>
      </c>
      <c r="AG54" s="30" t="s">
        <v>75</v>
      </c>
      <c r="AH54" s="30">
        <v>0</v>
      </c>
      <c r="AI54" s="28">
        <v>0</v>
      </c>
      <c r="AJ54" s="28">
        <v>0</v>
      </c>
      <c r="AK54" s="27">
        <v>0.05</v>
      </c>
      <c r="AL54" s="27">
        <v>0</v>
      </c>
      <c r="AM54" s="28">
        <v>-9.95</v>
      </c>
      <c r="AN54" s="28">
        <v>199</v>
      </c>
      <c r="AO54" s="27">
        <v>199</v>
      </c>
      <c r="AP54" s="27">
        <v>0</v>
      </c>
      <c r="AQ54" s="29" t="s">
        <v>103</v>
      </c>
      <c r="AR54" s="27">
        <v>0</v>
      </c>
      <c r="AS54" s="27">
        <v>0.006</v>
      </c>
      <c r="AT54" s="28">
        <v>-1.19</v>
      </c>
      <c r="AU54" s="30" t="s">
        <v>151</v>
      </c>
      <c r="AV54" s="33" t="s">
        <v>1779</v>
      </c>
      <c r="AW54" s="33" t="s">
        <v>1780</v>
      </c>
      <c r="AX54" s="30"/>
      <c r="AY54" s="30"/>
      <c r="AZ54" s="28">
        <v>0</v>
      </c>
      <c r="BA54" s="27">
        <v>0</v>
      </c>
      <c r="BB54" s="27">
        <v>0</v>
      </c>
      <c r="BC54" s="27">
        <v>0</v>
      </c>
      <c r="BD54" s="27">
        <v>0</v>
      </c>
      <c r="BE54" s="30"/>
    </row>
    <row r="55" customHeight="1" spans="1:57">
      <c r="A55" s="20">
        <f>YEAR(V55)</f>
        <v>2025</v>
      </c>
      <c r="B55" s="21">
        <f>MONTH(V55)</f>
        <v>8</v>
      </c>
      <c r="C55" s="21" t="str">
        <f>R55</f>
        <v>P770798337207284891</v>
      </c>
      <c r="D55" s="21">
        <f>COUNTIF(R:R,R55)</f>
        <v>2</v>
      </c>
      <c r="E55" s="21">
        <f>COUNTIF($R$2:R55,R55)</f>
        <v>2</v>
      </c>
      <c r="F55" s="22" t="str" cm="1">
        <f t="array" ref="F55">INDEX(订单明细!BQ:BQ,MATCH(R55&amp;AC55,订单明细!A:A&amp;订单明细!O:O,0))</f>
        <v>Z2378-花纱色-M</v>
      </c>
      <c r="G55" s="22" t="str">
        <f>LEFT(F55,FIND("-",F55)-1)</f>
        <v>Z2378</v>
      </c>
      <c r="H55" s="21" cm="1">
        <f t="array" ref="H55">_xlfn.IFS(C55=0,"",I55&gt;0,AD55,AND(I55&lt;0,I55&gt;-30),0,I55&lt;=-30,-1)</f>
        <v>1</v>
      </c>
      <c r="I55" s="21">
        <f>AF55</f>
        <v>179</v>
      </c>
      <c r="J55" s="21">
        <f>AI55+AJ55</f>
        <v>0</v>
      </c>
      <c r="K55" s="21">
        <f>IF(AZ55&lt;=0,AZ55,AZ55/COUNTIFS(R:R,R55,AZ:AZ,"&gt;0"))</f>
        <v>0</v>
      </c>
      <c r="L55" s="21">
        <f>AM55</f>
        <v>-8.95</v>
      </c>
      <c r="M55" s="21">
        <f>AT55</f>
        <v>-1.07</v>
      </c>
      <c r="N55" s="21"/>
      <c r="O55" s="23">
        <f>SUM(I55:N55)</f>
        <v>168.98</v>
      </c>
      <c r="R55" s="32" t="s">
        <v>820</v>
      </c>
      <c r="S55" s="30"/>
      <c r="T55" s="30" t="s">
        <v>829</v>
      </c>
      <c r="U55" s="30" t="s">
        <v>1883</v>
      </c>
      <c r="V55" s="30" t="s">
        <v>1884</v>
      </c>
      <c r="W55" s="33" t="s">
        <v>1782</v>
      </c>
      <c r="X55" s="33" t="s">
        <v>1776</v>
      </c>
      <c r="Y55" s="30">
        <v>168.98</v>
      </c>
      <c r="Z55" s="26" t="s">
        <v>1826</v>
      </c>
      <c r="AA55" s="33" t="s">
        <v>1800</v>
      </c>
      <c r="AB55" s="30" t="s">
        <v>822</v>
      </c>
      <c r="AC55" s="32" t="s">
        <v>823</v>
      </c>
      <c r="AD55" s="27">
        <v>1</v>
      </c>
      <c r="AE55" s="30">
        <v>179</v>
      </c>
      <c r="AF55" s="31">
        <v>179</v>
      </c>
      <c r="AG55" s="30" t="s">
        <v>75</v>
      </c>
      <c r="AH55" s="30">
        <v>0</v>
      </c>
      <c r="AI55" s="28">
        <v>0</v>
      </c>
      <c r="AJ55" s="28">
        <v>0</v>
      </c>
      <c r="AK55" s="27">
        <v>0.05</v>
      </c>
      <c r="AL55" s="27">
        <v>0</v>
      </c>
      <c r="AM55" s="28">
        <v>-8.95</v>
      </c>
      <c r="AN55" s="28">
        <v>179</v>
      </c>
      <c r="AO55" s="27">
        <v>179</v>
      </c>
      <c r="AP55" s="27">
        <v>0</v>
      </c>
      <c r="AQ55" s="29" t="s">
        <v>103</v>
      </c>
      <c r="AR55" s="27">
        <v>0</v>
      </c>
      <c r="AS55" s="27">
        <v>0.006</v>
      </c>
      <c r="AT55" s="28">
        <v>-1.07</v>
      </c>
      <c r="AU55" s="30" t="s">
        <v>151</v>
      </c>
      <c r="AV55" s="33" t="s">
        <v>1779</v>
      </c>
      <c r="AW55" s="33" t="s">
        <v>1780</v>
      </c>
      <c r="AX55" s="30"/>
      <c r="AY55" s="30"/>
      <c r="AZ55" s="28">
        <v>0</v>
      </c>
      <c r="BA55" s="27">
        <v>0</v>
      </c>
      <c r="BB55" s="27">
        <v>0</v>
      </c>
      <c r="BC55" s="27">
        <v>0</v>
      </c>
      <c r="BD55" s="27">
        <v>0</v>
      </c>
      <c r="BE55" s="30"/>
    </row>
    <row r="56" customHeight="1" spans="1:57">
      <c r="A56" s="20">
        <f>YEAR(V56)</f>
        <v>2025</v>
      </c>
      <c r="B56" s="21">
        <f>MONTH(V56)</f>
        <v>8</v>
      </c>
      <c r="C56" s="21" t="str">
        <f>R56</f>
        <v>P770795108315278051</v>
      </c>
      <c r="D56" s="21">
        <f>COUNTIF(R:R,R56)</f>
        <v>2</v>
      </c>
      <c r="E56" s="21">
        <f>COUNTIF($R$2:R56,R56)</f>
        <v>1</v>
      </c>
      <c r="F56" s="22" t="str" cm="1">
        <f t="array" ref="F56">INDEX(订单明细!BQ:BQ,MATCH(R56&amp;AC56,订单明细!A:A&amp;订单明细!O:O,0))</f>
        <v>Z2363-黑色-M</v>
      </c>
      <c r="G56" s="22" t="str">
        <f>LEFT(F56,FIND("-",F56)-1)</f>
        <v>Z2363</v>
      </c>
      <c r="H56" s="21" cm="1">
        <f t="array" ref="H56">_xlfn.IFS(C56=0,"",I56&gt;0,AD56,AND(I56&lt;0,I56&gt;-30),0,I56&lt;=-30,-1)</f>
        <v>-1</v>
      </c>
      <c r="I56" s="21">
        <f>AF56</f>
        <v>-359</v>
      </c>
      <c r="J56" s="21">
        <f>AI56+AJ56</f>
        <v>0</v>
      </c>
      <c r="K56" s="21">
        <f>IF(AZ56&lt;=0,AZ56,AZ56/COUNTIFS(R:R,R56,AZ:AZ,"&gt;0"))</f>
        <v>0</v>
      </c>
      <c r="L56" s="21">
        <f>AM56</f>
        <v>17.95</v>
      </c>
      <c r="M56" s="21">
        <f>AT56</f>
        <v>2.15</v>
      </c>
      <c r="N56" s="21"/>
      <c r="O56" s="23">
        <f>SUM(I56:N56)</f>
        <v>-338.9</v>
      </c>
      <c r="R56" s="32" t="s">
        <v>976</v>
      </c>
      <c r="S56" s="30" t="s">
        <v>1890</v>
      </c>
      <c r="T56" s="30" t="s">
        <v>988</v>
      </c>
      <c r="U56" s="30" t="s">
        <v>1891</v>
      </c>
      <c r="V56" s="30" t="s">
        <v>1892</v>
      </c>
      <c r="W56" s="33" t="s">
        <v>1775</v>
      </c>
      <c r="X56" s="33" t="s">
        <v>1776</v>
      </c>
      <c r="Y56" s="30">
        <v>-338.9</v>
      </c>
      <c r="Z56" s="26" t="s">
        <v>1893</v>
      </c>
      <c r="AA56" s="33" t="s">
        <v>1785</v>
      </c>
      <c r="AB56" s="30" t="s">
        <v>982</v>
      </c>
      <c r="AC56" s="32" t="s">
        <v>983</v>
      </c>
      <c r="AD56" s="27">
        <v>0</v>
      </c>
      <c r="AE56" s="30">
        <v>-359</v>
      </c>
      <c r="AF56" s="32">
        <v>-359</v>
      </c>
      <c r="AG56" s="30">
        <v>0</v>
      </c>
      <c r="AH56" s="30">
        <v>0</v>
      </c>
      <c r="AI56" s="28">
        <v>0</v>
      </c>
      <c r="AJ56" s="28">
        <v>0</v>
      </c>
      <c r="AK56" s="27">
        <v>0</v>
      </c>
      <c r="AL56" s="27">
        <v>0</v>
      </c>
      <c r="AM56" s="28">
        <v>17.95</v>
      </c>
      <c r="AN56" s="28">
        <v>0</v>
      </c>
      <c r="AO56" s="27">
        <v>0</v>
      </c>
      <c r="AP56" s="27">
        <v>0</v>
      </c>
      <c r="AQ56" s="29" t="s">
        <v>103</v>
      </c>
      <c r="AR56" s="27">
        <v>0</v>
      </c>
      <c r="AS56" s="27">
        <v>0</v>
      </c>
      <c r="AT56" s="28">
        <v>2.15</v>
      </c>
      <c r="AU56" s="30" t="s">
        <v>151</v>
      </c>
      <c r="AV56" s="33" t="s">
        <v>1779</v>
      </c>
      <c r="AW56" s="33" t="s">
        <v>1780</v>
      </c>
      <c r="AX56" s="30"/>
      <c r="AY56" s="30"/>
      <c r="AZ56" s="28">
        <v>0</v>
      </c>
      <c r="BA56" s="27">
        <v>0</v>
      </c>
      <c r="BB56" s="27">
        <v>0</v>
      </c>
      <c r="BC56" s="27">
        <v>0</v>
      </c>
      <c r="BD56" s="27">
        <v>0</v>
      </c>
      <c r="BE56" s="30"/>
    </row>
    <row r="57" customHeight="1" spans="1:57">
      <c r="A57" s="20">
        <f>YEAR(V57)</f>
        <v>2025</v>
      </c>
      <c r="B57" s="21">
        <f>MONTH(V57)</f>
        <v>8</v>
      </c>
      <c r="C57" s="21" t="str">
        <f>R57</f>
        <v>P770795400699278151</v>
      </c>
      <c r="D57" s="21">
        <f>COUNTIF(R:R,R57)</f>
        <v>2</v>
      </c>
      <c r="E57" s="21">
        <f>COUNTIF($R$2:R57,R57)</f>
        <v>1</v>
      </c>
      <c r="F57" s="22" t="str" cm="1">
        <f t="array" ref="F57">INDEX(订单明细!BQ:BQ,MATCH(R57&amp;AC57,订单明细!A:A&amp;订单明细!O:O,0))</f>
        <v>Z2363-灰色-M</v>
      </c>
      <c r="G57" s="22" t="str">
        <f>LEFT(F57,FIND("-",F57)-1)</f>
        <v>Z2363</v>
      </c>
      <c r="H57" s="21" cm="1">
        <f t="array" ref="H57">_xlfn.IFS(C57=0,"",I57&gt;0,AD57,AND(I57&lt;0,I57&gt;-30),0,I57&lt;=-30,-1)</f>
        <v>-1</v>
      </c>
      <c r="I57" s="21">
        <f>AF57</f>
        <v>-359</v>
      </c>
      <c r="J57" s="21">
        <f>AI57+AJ57</f>
        <v>0</v>
      </c>
      <c r="K57" s="21">
        <f>IF(AZ57&lt;=0,AZ57,AZ57/COUNTIFS(R:R,R57,AZ:AZ,"&gt;0"))</f>
        <v>0</v>
      </c>
      <c r="L57" s="21">
        <f>AM57</f>
        <v>17.95</v>
      </c>
      <c r="M57" s="21">
        <f>AT57</f>
        <v>2.15</v>
      </c>
      <c r="N57" s="21"/>
      <c r="O57" s="23">
        <f>SUM(I57:N57)</f>
        <v>-338.9</v>
      </c>
      <c r="R57" s="32" t="s">
        <v>1009</v>
      </c>
      <c r="S57" s="30" t="s">
        <v>1894</v>
      </c>
      <c r="T57" s="30" t="s">
        <v>1013</v>
      </c>
      <c r="U57" s="30" t="s">
        <v>1891</v>
      </c>
      <c r="V57" s="30" t="s">
        <v>1892</v>
      </c>
      <c r="W57" s="33" t="s">
        <v>1775</v>
      </c>
      <c r="X57" s="33" t="s">
        <v>1776</v>
      </c>
      <c r="Y57" s="30">
        <v>-338.9</v>
      </c>
      <c r="Z57" s="26" t="s">
        <v>1784</v>
      </c>
      <c r="AA57" s="33" t="s">
        <v>1785</v>
      </c>
      <c r="AB57" s="30" t="s">
        <v>838</v>
      </c>
      <c r="AC57" s="32" t="s">
        <v>839</v>
      </c>
      <c r="AD57" s="27">
        <v>0</v>
      </c>
      <c r="AE57" s="30">
        <v>-359</v>
      </c>
      <c r="AF57" s="32">
        <v>-359</v>
      </c>
      <c r="AG57" s="30">
        <v>0</v>
      </c>
      <c r="AH57" s="30">
        <v>0</v>
      </c>
      <c r="AI57" s="28">
        <v>0</v>
      </c>
      <c r="AJ57" s="28">
        <v>0</v>
      </c>
      <c r="AK57" s="27">
        <v>0</v>
      </c>
      <c r="AL57" s="27">
        <v>0</v>
      </c>
      <c r="AM57" s="28">
        <v>17.95</v>
      </c>
      <c r="AN57" s="28">
        <v>0</v>
      </c>
      <c r="AO57" s="27">
        <v>0</v>
      </c>
      <c r="AP57" s="27">
        <v>0</v>
      </c>
      <c r="AQ57" s="29" t="s">
        <v>103</v>
      </c>
      <c r="AR57" s="27">
        <v>0</v>
      </c>
      <c r="AS57" s="27">
        <v>0</v>
      </c>
      <c r="AT57" s="28">
        <v>2.15</v>
      </c>
      <c r="AU57" s="30" t="s">
        <v>151</v>
      </c>
      <c r="AV57" s="33" t="s">
        <v>1779</v>
      </c>
      <c r="AW57" s="33" t="s">
        <v>1780</v>
      </c>
      <c r="AX57" s="30"/>
      <c r="AY57" s="30"/>
      <c r="AZ57" s="28">
        <v>0</v>
      </c>
      <c r="BA57" s="27">
        <v>0</v>
      </c>
      <c r="BB57" s="27">
        <v>0</v>
      </c>
      <c r="BC57" s="27">
        <v>0</v>
      </c>
      <c r="BD57" s="27">
        <v>0</v>
      </c>
      <c r="BE57" s="30"/>
    </row>
    <row r="58" customHeight="1" spans="1:57">
      <c r="A58" s="20">
        <f>YEAR(V58)</f>
        <v>2025</v>
      </c>
      <c r="B58" s="21">
        <f>MONTH(V58)</f>
        <v>8</v>
      </c>
      <c r="C58" s="21" t="str">
        <f>R58</f>
        <v>P770983921263440451</v>
      </c>
      <c r="D58" s="21">
        <f>COUNTIF(R:R,R58)</f>
        <v>2</v>
      </c>
      <c r="E58" s="21">
        <f>COUNTIF($R$2:R58,R58)</f>
        <v>1</v>
      </c>
      <c r="F58" s="22" t="str" cm="1">
        <f t="array" ref="F58">INDEX(订单明细!BQ:BQ,MATCH(R58&amp;AC58,订单明细!A:A&amp;订单明细!O:O,0))</f>
        <v>Z2218-黑色-L</v>
      </c>
      <c r="G58" s="22" t="str">
        <f>LEFT(F58,FIND("-",F58)-1)</f>
        <v>Z2218</v>
      </c>
      <c r="H58" s="21" cm="1">
        <f t="array" ref="H58">_xlfn.IFS(C58=0,"",I58&gt;0,AD58,AND(I58&lt;0,I58&gt;-30),0,I58&lt;=-30,-1)</f>
        <v>-1</v>
      </c>
      <c r="I58" s="21">
        <f>AF58</f>
        <v>-229</v>
      </c>
      <c r="J58" s="21">
        <f>AI58+AJ58</f>
        <v>0</v>
      </c>
      <c r="K58" s="21">
        <f>IF(AZ58&lt;=0,AZ58,AZ58/COUNTIFS(R:R,R58,AZ:AZ,"&gt;0"))</f>
        <v>0</v>
      </c>
      <c r="L58" s="21">
        <f>AM58</f>
        <v>11.45</v>
      </c>
      <c r="M58" s="21">
        <f>AT58</f>
        <v>1.37</v>
      </c>
      <c r="N58" s="21"/>
      <c r="O58" s="23">
        <f>SUM(I58:N58)</f>
        <v>-216.18</v>
      </c>
      <c r="R58" s="32" t="s">
        <v>303</v>
      </c>
      <c r="S58" s="30" t="s">
        <v>1895</v>
      </c>
      <c r="T58" s="30" t="s">
        <v>312</v>
      </c>
      <c r="U58" s="30" t="s">
        <v>1896</v>
      </c>
      <c r="V58" s="30" t="s">
        <v>1892</v>
      </c>
      <c r="W58" s="33" t="s">
        <v>1775</v>
      </c>
      <c r="X58" s="33" t="s">
        <v>1776</v>
      </c>
      <c r="Y58" s="30">
        <v>-216.18</v>
      </c>
      <c r="Z58" s="26" t="s">
        <v>1799</v>
      </c>
      <c r="AA58" s="33" t="s">
        <v>1800</v>
      </c>
      <c r="AB58" s="30" t="s">
        <v>288</v>
      </c>
      <c r="AC58" s="32" t="s">
        <v>289</v>
      </c>
      <c r="AD58" s="27">
        <v>0</v>
      </c>
      <c r="AE58" s="30">
        <v>-229</v>
      </c>
      <c r="AF58" s="32">
        <v>-229</v>
      </c>
      <c r="AG58" s="30">
        <v>0</v>
      </c>
      <c r="AH58" s="30">
        <v>0</v>
      </c>
      <c r="AI58" s="28">
        <v>0</v>
      </c>
      <c r="AJ58" s="28">
        <v>0</v>
      </c>
      <c r="AK58" s="27">
        <v>0</v>
      </c>
      <c r="AL58" s="27">
        <v>0</v>
      </c>
      <c r="AM58" s="28">
        <v>11.45</v>
      </c>
      <c r="AN58" s="28">
        <v>0</v>
      </c>
      <c r="AO58" s="27">
        <v>0</v>
      </c>
      <c r="AP58" s="27">
        <v>0</v>
      </c>
      <c r="AQ58" s="29" t="s">
        <v>103</v>
      </c>
      <c r="AR58" s="27">
        <v>0</v>
      </c>
      <c r="AS58" s="27">
        <v>0</v>
      </c>
      <c r="AT58" s="28">
        <v>1.37</v>
      </c>
      <c r="AU58" s="30" t="s">
        <v>151</v>
      </c>
      <c r="AV58" s="33" t="s">
        <v>1779</v>
      </c>
      <c r="AW58" s="33" t="s">
        <v>1780</v>
      </c>
      <c r="AX58" s="30"/>
      <c r="AY58" s="30"/>
      <c r="AZ58" s="28">
        <v>0</v>
      </c>
      <c r="BA58" s="27">
        <v>0</v>
      </c>
      <c r="BB58" s="27">
        <v>0</v>
      </c>
      <c r="BC58" s="27">
        <v>0</v>
      </c>
      <c r="BD58" s="27">
        <v>0</v>
      </c>
      <c r="BE58" s="30"/>
    </row>
    <row r="59" customHeight="1" spans="1:57">
      <c r="A59" s="20">
        <f>YEAR(V59)</f>
        <v>2025</v>
      </c>
      <c r="B59" s="21">
        <f>MONTH(V59)</f>
        <v>8</v>
      </c>
      <c r="C59" s="21" t="str">
        <f>R59</f>
        <v>P770983921263440451</v>
      </c>
      <c r="D59" s="21">
        <f>COUNTIF(R:R,R59)</f>
        <v>2</v>
      </c>
      <c r="E59" s="21">
        <f>COUNTIF($R$2:R59,R59)</f>
        <v>2</v>
      </c>
      <c r="F59" s="22" t="str" cm="1">
        <f t="array" ref="F59">INDEX(订单明细!BQ:BQ,MATCH(R59&amp;AC59,订单明细!A:A&amp;订单明细!O:O,0))</f>
        <v>Z2218-黑色-L</v>
      </c>
      <c r="G59" s="22" t="str">
        <f>LEFT(F59,FIND("-",F59)-1)</f>
        <v>Z2218</v>
      </c>
      <c r="H59" s="21" cm="1">
        <f t="array" ref="H59">_xlfn.IFS(C59=0,"",I59&gt;0,AD59,AND(I59&lt;0,I59&gt;-30),0,I59&lt;=-30,-1)</f>
        <v>1</v>
      </c>
      <c r="I59" s="21">
        <f>AF59</f>
        <v>229</v>
      </c>
      <c r="J59" s="21">
        <f>AI59+AJ59</f>
        <v>0</v>
      </c>
      <c r="K59" s="21">
        <f>IF(AZ59&lt;=0,AZ59,AZ59/COUNTIFS(R:R,R59,AZ:AZ,"&gt;0"))</f>
        <v>0</v>
      </c>
      <c r="L59" s="21">
        <f>AM59</f>
        <v>-11.45</v>
      </c>
      <c r="M59" s="21">
        <f>AT59</f>
        <v>-1.37</v>
      </c>
      <c r="N59" s="21"/>
      <c r="O59" s="23">
        <f>SUM(I59:N59)</f>
        <v>216.18</v>
      </c>
      <c r="R59" s="32" t="s">
        <v>303</v>
      </c>
      <c r="S59" s="30"/>
      <c r="T59" s="30" t="s">
        <v>312</v>
      </c>
      <c r="U59" s="30" t="s">
        <v>299</v>
      </c>
      <c r="V59" s="30" t="s">
        <v>1892</v>
      </c>
      <c r="W59" s="33" t="s">
        <v>1782</v>
      </c>
      <c r="X59" s="33" t="s">
        <v>1776</v>
      </c>
      <c r="Y59" s="30">
        <v>216.18</v>
      </c>
      <c r="Z59" s="26" t="s">
        <v>1799</v>
      </c>
      <c r="AA59" s="33" t="s">
        <v>1800</v>
      </c>
      <c r="AB59" s="30" t="s">
        <v>288</v>
      </c>
      <c r="AC59" s="32" t="s">
        <v>289</v>
      </c>
      <c r="AD59" s="27">
        <v>1</v>
      </c>
      <c r="AE59" s="30">
        <v>229</v>
      </c>
      <c r="AF59" s="31">
        <v>229</v>
      </c>
      <c r="AG59" s="30" t="s">
        <v>75</v>
      </c>
      <c r="AH59" s="30">
        <v>0</v>
      </c>
      <c r="AI59" s="28">
        <v>0</v>
      </c>
      <c r="AJ59" s="28">
        <v>0</v>
      </c>
      <c r="AK59" s="27">
        <v>0.05</v>
      </c>
      <c r="AL59" s="27">
        <v>0</v>
      </c>
      <c r="AM59" s="28">
        <v>-11.45</v>
      </c>
      <c r="AN59" s="28">
        <v>229</v>
      </c>
      <c r="AO59" s="27">
        <v>229</v>
      </c>
      <c r="AP59" s="27">
        <v>0</v>
      </c>
      <c r="AQ59" s="29" t="s">
        <v>103</v>
      </c>
      <c r="AR59" s="27">
        <v>0</v>
      </c>
      <c r="AS59" s="27">
        <v>0.006</v>
      </c>
      <c r="AT59" s="28">
        <v>-1.37</v>
      </c>
      <c r="AU59" s="30" t="s">
        <v>151</v>
      </c>
      <c r="AV59" s="33" t="s">
        <v>1779</v>
      </c>
      <c r="AW59" s="33" t="s">
        <v>1780</v>
      </c>
      <c r="AX59" s="30"/>
      <c r="AY59" s="30"/>
      <c r="AZ59" s="28">
        <v>0</v>
      </c>
      <c r="BA59" s="27">
        <v>0</v>
      </c>
      <c r="BB59" s="27">
        <v>0</v>
      </c>
      <c r="BC59" s="27">
        <v>0</v>
      </c>
      <c r="BD59" s="27">
        <v>0</v>
      </c>
      <c r="BE59" s="30"/>
    </row>
    <row r="60" customHeight="1" spans="1:57">
      <c r="A60" s="20">
        <f>YEAR(V60)</f>
        <v>2025</v>
      </c>
      <c r="B60" s="21">
        <f>MONTH(V60)</f>
        <v>8</v>
      </c>
      <c r="C60" s="21" t="str">
        <f>R60</f>
        <v>P770795400699278151</v>
      </c>
      <c r="D60" s="21">
        <f>COUNTIF(R:R,R60)</f>
        <v>2</v>
      </c>
      <c r="E60" s="21">
        <f>COUNTIF($R$2:R60,R60)</f>
        <v>2</v>
      </c>
      <c r="F60" s="22" t="str" cm="1">
        <f t="array" ref="F60">INDEX(订单明细!BQ:BQ,MATCH(R60&amp;AC60,订单明细!A:A&amp;订单明细!O:O,0))</f>
        <v>Z2363-灰色-M</v>
      </c>
      <c r="G60" s="22" t="str">
        <f>LEFT(F60,FIND("-",F60)-1)</f>
        <v>Z2363</v>
      </c>
      <c r="H60" s="21" cm="1">
        <f t="array" ref="H60">_xlfn.IFS(C60=0,"",I60&gt;0,AD60,AND(I60&lt;0,I60&gt;-30),0,I60&lt;=-30,-1)</f>
        <v>1</v>
      </c>
      <c r="I60" s="21">
        <f>AF60</f>
        <v>359</v>
      </c>
      <c r="J60" s="21">
        <f>AI60+AJ60</f>
        <v>0</v>
      </c>
      <c r="K60" s="21">
        <f>IF(AZ60&lt;=0,AZ60,AZ60/COUNTIFS(R:R,R60,AZ:AZ,"&gt;0"))</f>
        <v>0</v>
      </c>
      <c r="L60" s="21">
        <f>AM60</f>
        <v>-17.95</v>
      </c>
      <c r="M60" s="21">
        <f>AT60</f>
        <v>-2.15</v>
      </c>
      <c r="N60" s="21"/>
      <c r="O60" s="23">
        <f>SUM(I60:N60)</f>
        <v>338.9</v>
      </c>
      <c r="R60" s="32" t="s">
        <v>1009</v>
      </c>
      <c r="S60" s="30"/>
      <c r="T60" s="30" t="s">
        <v>1013</v>
      </c>
      <c r="U60" s="30" t="s">
        <v>1015</v>
      </c>
      <c r="V60" s="30" t="s">
        <v>1892</v>
      </c>
      <c r="W60" s="33" t="s">
        <v>1782</v>
      </c>
      <c r="X60" s="33" t="s">
        <v>1776</v>
      </c>
      <c r="Y60" s="30">
        <v>338.9</v>
      </c>
      <c r="Z60" s="26" t="s">
        <v>1784</v>
      </c>
      <c r="AA60" s="33" t="s">
        <v>1785</v>
      </c>
      <c r="AB60" s="30" t="s">
        <v>838</v>
      </c>
      <c r="AC60" s="32" t="s">
        <v>839</v>
      </c>
      <c r="AD60" s="27">
        <v>1</v>
      </c>
      <c r="AE60" s="30">
        <v>359</v>
      </c>
      <c r="AF60" s="31">
        <v>359</v>
      </c>
      <c r="AG60" s="30" t="s">
        <v>75</v>
      </c>
      <c r="AH60" s="30">
        <v>0</v>
      </c>
      <c r="AI60" s="28">
        <v>0</v>
      </c>
      <c r="AJ60" s="28">
        <v>0</v>
      </c>
      <c r="AK60" s="27">
        <v>0.05</v>
      </c>
      <c r="AL60" s="27">
        <v>0</v>
      </c>
      <c r="AM60" s="28">
        <v>-17.95</v>
      </c>
      <c r="AN60" s="28">
        <v>359</v>
      </c>
      <c r="AO60" s="27">
        <v>359</v>
      </c>
      <c r="AP60" s="27">
        <v>0</v>
      </c>
      <c r="AQ60" s="29" t="s">
        <v>103</v>
      </c>
      <c r="AR60" s="27">
        <v>0</v>
      </c>
      <c r="AS60" s="27">
        <v>0.006</v>
      </c>
      <c r="AT60" s="28">
        <v>-2.15</v>
      </c>
      <c r="AU60" s="30" t="s">
        <v>151</v>
      </c>
      <c r="AV60" s="33" t="s">
        <v>1779</v>
      </c>
      <c r="AW60" s="33" t="s">
        <v>1780</v>
      </c>
      <c r="AX60" s="30"/>
      <c r="AY60" s="30"/>
      <c r="AZ60" s="28">
        <v>0</v>
      </c>
      <c r="BA60" s="27">
        <v>0</v>
      </c>
      <c r="BB60" s="27">
        <v>0</v>
      </c>
      <c r="BC60" s="27">
        <v>0</v>
      </c>
      <c r="BD60" s="27">
        <v>0</v>
      </c>
      <c r="BE60" s="30"/>
    </row>
    <row r="61" customHeight="1" spans="1:57">
      <c r="A61" s="20">
        <f>YEAR(V61)</f>
        <v>2025</v>
      </c>
      <c r="B61" s="21">
        <f>MONTH(V61)</f>
        <v>8</v>
      </c>
      <c r="C61" s="21" t="str">
        <f>R61</f>
        <v>P770795108315278051</v>
      </c>
      <c r="D61" s="21">
        <f>COUNTIF(R:R,R61)</f>
        <v>2</v>
      </c>
      <c r="E61" s="21">
        <f>COUNTIF($R$2:R61,R61)</f>
        <v>2</v>
      </c>
      <c r="F61" s="22" t="str" cm="1">
        <f t="array" ref="F61">INDEX(订单明细!BQ:BQ,MATCH(R61&amp;AC61,订单明细!A:A&amp;订单明细!O:O,0))</f>
        <v>Z2363-黑色-M</v>
      </c>
      <c r="G61" s="22" t="str">
        <f>LEFT(F61,FIND("-",F61)-1)</f>
        <v>Z2363</v>
      </c>
      <c r="H61" s="21" cm="1">
        <f t="array" ref="H61">_xlfn.IFS(C61=0,"",I61&gt;0,AD61,AND(I61&lt;0,I61&gt;-30),0,I61&lt;=-30,-1)</f>
        <v>1</v>
      </c>
      <c r="I61" s="21">
        <f>AF61</f>
        <v>359</v>
      </c>
      <c r="J61" s="21">
        <f>AI61+AJ61</f>
        <v>0</v>
      </c>
      <c r="K61" s="21">
        <f>IF(AZ61&lt;=0,AZ61,AZ61/COUNTIFS(R:R,R61,AZ:AZ,"&gt;0"))</f>
        <v>0</v>
      </c>
      <c r="L61" s="21">
        <f>AM61</f>
        <v>-17.95</v>
      </c>
      <c r="M61" s="21">
        <f>AT61</f>
        <v>-2.15</v>
      </c>
      <c r="N61" s="21"/>
      <c r="O61" s="23">
        <f>SUM(I61:N61)</f>
        <v>338.9</v>
      </c>
      <c r="R61" s="32" t="s">
        <v>976</v>
      </c>
      <c r="S61" s="30"/>
      <c r="T61" s="30" t="s">
        <v>988</v>
      </c>
      <c r="U61" s="30" t="s">
        <v>991</v>
      </c>
      <c r="V61" s="30" t="s">
        <v>1892</v>
      </c>
      <c r="W61" s="33" t="s">
        <v>1782</v>
      </c>
      <c r="X61" s="33" t="s">
        <v>1776</v>
      </c>
      <c r="Y61" s="30">
        <v>338.9</v>
      </c>
      <c r="Z61" s="26" t="s">
        <v>1893</v>
      </c>
      <c r="AA61" s="33" t="s">
        <v>1785</v>
      </c>
      <c r="AB61" s="30" t="s">
        <v>982</v>
      </c>
      <c r="AC61" s="32" t="s">
        <v>983</v>
      </c>
      <c r="AD61" s="27">
        <v>1</v>
      </c>
      <c r="AE61" s="30">
        <v>359</v>
      </c>
      <c r="AF61" s="31">
        <v>359</v>
      </c>
      <c r="AG61" s="30" t="s">
        <v>75</v>
      </c>
      <c r="AH61" s="30">
        <v>0</v>
      </c>
      <c r="AI61" s="28">
        <v>0</v>
      </c>
      <c r="AJ61" s="28">
        <v>0</v>
      </c>
      <c r="AK61" s="27">
        <v>0.05</v>
      </c>
      <c r="AL61" s="27">
        <v>0</v>
      </c>
      <c r="AM61" s="28">
        <v>-17.95</v>
      </c>
      <c r="AN61" s="28">
        <v>359</v>
      </c>
      <c r="AO61" s="27">
        <v>359</v>
      </c>
      <c r="AP61" s="27">
        <v>0</v>
      </c>
      <c r="AQ61" s="29" t="s">
        <v>103</v>
      </c>
      <c r="AR61" s="27">
        <v>0</v>
      </c>
      <c r="AS61" s="27">
        <v>0.006</v>
      </c>
      <c r="AT61" s="28">
        <v>-2.15</v>
      </c>
      <c r="AU61" s="30" t="s">
        <v>151</v>
      </c>
      <c r="AV61" s="33" t="s">
        <v>1779</v>
      </c>
      <c r="AW61" s="33" t="s">
        <v>1780</v>
      </c>
      <c r="AX61" s="30"/>
      <c r="AY61" s="30"/>
      <c r="AZ61" s="28">
        <v>0</v>
      </c>
      <c r="BA61" s="27">
        <v>0</v>
      </c>
      <c r="BB61" s="27">
        <v>0</v>
      </c>
      <c r="BC61" s="27">
        <v>0</v>
      </c>
      <c r="BD61" s="27">
        <v>0</v>
      </c>
      <c r="BE61" s="30"/>
    </row>
    <row r="62" customHeight="1" spans="1:57">
      <c r="A62" s="20">
        <f>YEAR(V62)</f>
        <v>2025</v>
      </c>
      <c r="B62" s="21">
        <f>MONTH(V62)</f>
        <v>8</v>
      </c>
      <c r="C62" s="21" t="str">
        <f>R62</f>
        <v>P770796470293501151</v>
      </c>
      <c r="D62" s="21">
        <f>COUNTIF(R:R,R62)</f>
        <v>2</v>
      </c>
      <c r="E62" s="21">
        <f>COUNTIF($R$2:R62,R62)</f>
        <v>1</v>
      </c>
      <c r="F62" s="22" t="str" cm="1">
        <f t="array" ref="F62">INDEX(订单明细!BQ:BQ,MATCH(R62&amp;AC62,订单明细!A:A&amp;订单明细!O:O,0))</f>
        <v>Z1248-黑色-L</v>
      </c>
      <c r="G62" s="22" t="str">
        <f>LEFT(F62,FIND("-",F62)-1)</f>
        <v>Z1248</v>
      </c>
      <c r="H62" s="21" cm="1">
        <f t="array" ref="H62">_xlfn.IFS(C62=0,"",I62&gt;0,AD62,AND(I62&lt;0,I62&gt;-30),0,I62&lt;=-30,-1)</f>
        <v>-1</v>
      </c>
      <c r="I62" s="21">
        <f>AF62</f>
        <v>-199</v>
      </c>
      <c r="J62" s="21">
        <f>AI62+AJ62</f>
        <v>0</v>
      </c>
      <c r="K62" s="21">
        <f>IF(AZ62&lt;=0,AZ62,AZ62/COUNTIFS(R:R,R62,AZ:AZ,"&gt;0"))</f>
        <v>0</v>
      </c>
      <c r="L62" s="21">
        <f>AM62</f>
        <v>9.95</v>
      </c>
      <c r="M62" s="21">
        <f>AT62</f>
        <v>1.19</v>
      </c>
      <c r="N62" s="21"/>
      <c r="O62" s="23">
        <f>SUM(I62:N62)</f>
        <v>-187.86</v>
      </c>
      <c r="R62" s="32" t="s">
        <v>896</v>
      </c>
      <c r="S62" s="30" t="s">
        <v>1897</v>
      </c>
      <c r="T62" s="30" t="s">
        <v>888</v>
      </c>
      <c r="U62" s="30" t="s">
        <v>1898</v>
      </c>
      <c r="V62" s="30" t="s">
        <v>1899</v>
      </c>
      <c r="W62" s="33" t="s">
        <v>1775</v>
      </c>
      <c r="X62" s="33" t="s">
        <v>1776</v>
      </c>
      <c r="Y62" s="30">
        <v>-187.86</v>
      </c>
      <c r="Z62" s="26" t="s">
        <v>1900</v>
      </c>
      <c r="AA62" s="33" t="s">
        <v>1860</v>
      </c>
      <c r="AB62" s="30" t="s">
        <v>799</v>
      </c>
      <c r="AC62" s="32" t="s">
        <v>800</v>
      </c>
      <c r="AD62" s="27">
        <v>0</v>
      </c>
      <c r="AE62" s="30">
        <v>-199</v>
      </c>
      <c r="AF62" s="32">
        <v>-199</v>
      </c>
      <c r="AG62" s="30">
        <v>0</v>
      </c>
      <c r="AH62" s="30">
        <v>0</v>
      </c>
      <c r="AI62" s="28">
        <v>0</v>
      </c>
      <c r="AJ62" s="28">
        <v>0</v>
      </c>
      <c r="AK62" s="27">
        <v>0</v>
      </c>
      <c r="AL62" s="27">
        <v>0</v>
      </c>
      <c r="AM62" s="28">
        <v>9.95</v>
      </c>
      <c r="AN62" s="28">
        <v>0</v>
      </c>
      <c r="AO62" s="27">
        <v>0</v>
      </c>
      <c r="AP62" s="27">
        <v>0</v>
      </c>
      <c r="AQ62" s="29" t="s">
        <v>103</v>
      </c>
      <c r="AR62" s="27">
        <v>0</v>
      </c>
      <c r="AS62" s="27">
        <v>0</v>
      </c>
      <c r="AT62" s="28">
        <v>1.19</v>
      </c>
      <c r="AU62" s="30" t="s">
        <v>151</v>
      </c>
      <c r="AV62" s="33" t="s">
        <v>1779</v>
      </c>
      <c r="AW62" s="33" t="s">
        <v>1780</v>
      </c>
      <c r="AX62" s="30"/>
      <c r="AY62" s="30"/>
      <c r="AZ62" s="28">
        <v>0</v>
      </c>
      <c r="BA62" s="27">
        <v>0</v>
      </c>
      <c r="BB62" s="27">
        <v>0</v>
      </c>
      <c r="BC62" s="27">
        <v>0</v>
      </c>
      <c r="BD62" s="27">
        <v>0</v>
      </c>
      <c r="BE62" s="30"/>
    </row>
    <row r="63" customHeight="1" spans="1:57">
      <c r="A63" s="20">
        <f>YEAR(V63)</f>
        <v>2025</v>
      </c>
      <c r="B63" s="21">
        <f>MONTH(V63)</f>
        <v>8</v>
      </c>
      <c r="C63" s="21" t="str">
        <f>R63</f>
        <v>P770796470293501151</v>
      </c>
      <c r="D63" s="21">
        <f>COUNTIF(R:R,R63)</f>
        <v>2</v>
      </c>
      <c r="E63" s="21">
        <f>COUNTIF($R$2:R63,R63)</f>
        <v>2</v>
      </c>
      <c r="F63" s="22" t="str" cm="1">
        <f t="array" ref="F63">INDEX(订单明细!BQ:BQ,MATCH(R63&amp;AC63,订单明细!A:A&amp;订单明细!O:O,0))</f>
        <v>Z1248-黑色-L</v>
      </c>
      <c r="G63" s="22" t="str">
        <f>LEFT(F63,FIND("-",F63)-1)</f>
        <v>Z1248</v>
      </c>
      <c r="H63" s="21" cm="1">
        <f t="array" ref="H63">_xlfn.IFS(C63=0,"",I63&gt;0,AD63,AND(I63&lt;0,I63&gt;-30),0,I63&lt;=-30,-1)</f>
        <v>1</v>
      </c>
      <c r="I63" s="21">
        <f>AF63</f>
        <v>199</v>
      </c>
      <c r="J63" s="21">
        <f>AI63+AJ63</f>
        <v>0</v>
      </c>
      <c r="K63" s="21">
        <f>IF(AZ63&lt;=0,AZ63,AZ63/COUNTIFS(R:R,R63,AZ:AZ,"&gt;0"))</f>
        <v>0</v>
      </c>
      <c r="L63" s="21">
        <f>AM63</f>
        <v>-9.95</v>
      </c>
      <c r="M63" s="21">
        <f>AT63</f>
        <v>-1.19</v>
      </c>
      <c r="N63" s="21"/>
      <c r="O63" s="23">
        <f>SUM(I63:N63)</f>
        <v>187.86</v>
      </c>
      <c r="R63" s="32" t="s">
        <v>896</v>
      </c>
      <c r="S63" s="30"/>
      <c r="T63" s="30" t="s">
        <v>888</v>
      </c>
      <c r="U63" s="30" t="s">
        <v>1901</v>
      </c>
      <c r="V63" s="30" t="s">
        <v>1899</v>
      </c>
      <c r="W63" s="33" t="s">
        <v>1782</v>
      </c>
      <c r="X63" s="33" t="s">
        <v>1776</v>
      </c>
      <c r="Y63" s="30">
        <v>187.86</v>
      </c>
      <c r="Z63" s="26" t="s">
        <v>1900</v>
      </c>
      <c r="AA63" s="33" t="s">
        <v>1860</v>
      </c>
      <c r="AB63" s="30" t="s">
        <v>799</v>
      </c>
      <c r="AC63" s="32" t="s">
        <v>800</v>
      </c>
      <c r="AD63" s="27">
        <v>1</v>
      </c>
      <c r="AE63" s="30">
        <v>199</v>
      </c>
      <c r="AF63" s="31">
        <v>199</v>
      </c>
      <c r="AG63" s="30" t="s">
        <v>75</v>
      </c>
      <c r="AH63" s="30">
        <v>0</v>
      </c>
      <c r="AI63" s="28">
        <v>0</v>
      </c>
      <c r="AJ63" s="28">
        <v>0</v>
      </c>
      <c r="AK63" s="27">
        <v>0.05</v>
      </c>
      <c r="AL63" s="27">
        <v>0</v>
      </c>
      <c r="AM63" s="28">
        <v>-9.95</v>
      </c>
      <c r="AN63" s="28">
        <v>199</v>
      </c>
      <c r="AO63" s="27">
        <v>199</v>
      </c>
      <c r="AP63" s="27">
        <v>0</v>
      </c>
      <c r="AQ63" s="29" t="s">
        <v>103</v>
      </c>
      <c r="AR63" s="27">
        <v>0</v>
      </c>
      <c r="AS63" s="27">
        <v>0.006</v>
      </c>
      <c r="AT63" s="28">
        <v>-1.19</v>
      </c>
      <c r="AU63" s="30" t="s">
        <v>151</v>
      </c>
      <c r="AV63" s="33" t="s">
        <v>1779</v>
      </c>
      <c r="AW63" s="33" t="s">
        <v>1780</v>
      </c>
      <c r="AX63" s="30"/>
      <c r="AY63" s="30"/>
      <c r="AZ63" s="28">
        <v>0</v>
      </c>
      <c r="BA63" s="27">
        <v>0</v>
      </c>
      <c r="BB63" s="27">
        <v>0</v>
      </c>
      <c r="BC63" s="27">
        <v>0</v>
      </c>
      <c r="BD63" s="27">
        <v>0</v>
      </c>
      <c r="BE63" s="30"/>
    </row>
    <row r="64" customHeight="1" spans="1:57">
      <c r="A64" s="20">
        <f>YEAR(V64)</f>
        <v>2025</v>
      </c>
      <c r="B64" s="21">
        <f>MONTH(V64)</f>
        <v>8</v>
      </c>
      <c r="C64" s="21" t="str">
        <f>R64</f>
        <v>P770797313602194761</v>
      </c>
      <c r="D64" s="21">
        <f>COUNTIF(R:R,R64)</f>
        <v>2</v>
      </c>
      <c r="E64" s="21">
        <f>COUNTIF($R$2:R64,R64)</f>
        <v>1</v>
      </c>
      <c r="F64" s="22" t="str" cm="1">
        <f t="array" ref="F64">INDEX(订单明细!BQ:BQ,MATCH(R64&amp;AC64,订单明细!A:A&amp;订单明细!O:O,0))</f>
        <v>Z1744-黑色-L</v>
      </c>
      <c r="G64" s="22" t="str">
        <f>LEFT(F64,FIND("-",F64)-1)</f>
        <v>Z1744</v>
      </c>
      <c r="H64" s="21" cm="1">
        <f t="array" ref="H64">_xlfn.IFS(C64=0,"",I64&gt;0,AD64,AND(I64&lt;0,I64&gt;-30),0,I64&lt;=-30,-1)</f>
        <v>-1</v>
      </c>
      <c r="I64" s="21">
        <f>AF64</f>
        <v>-289</v>
      </c>
      <c r="J64" s="21">
        <f>AI64+AJ64</f>
        <v>0</v>
      </c>
      <c r="K64" s="21">
        <f>IF(AZ64&lt;=0,AZ64,AZ64/COUNTIFS(R:R,R64,AZ:AZ,"&gt;0"))</f>
        <v>0</v>
      </c>
      <c r="L64" s="21">
        <f>AM64</f>
        <v>14.45</v>
      </c>
      <c r="M64" s="21">
        <f>AT64</f>
        <v>1.73</v>
      </c>
      <c r="N64" s="21"/>
      <c r="O64" s="23">
        <f>SUM(I64:N64)</f>
        <v>-272.82</v>
      </c>
      <c r="R64" s="32" t="s">
        <v>854</v>
      </c>
      <c r="S64" s="30" t="s">
        <v>1902</v>
      </c>
      <c r="T64" s="30" t="s">
        <v>869</v>
      </c>
      <c r="U64" s="30" t="s">
        <v>1903</v>
      </c>
      <c r="V64" s="30" t="s">
        <v>1904</v>
      </c>
      <c r="W64" s="33" t="s">
        <v>1775</v>
      </c>
      <c r="X64" s="33" t="s">
        <v>1776</v>
      </c>
      <c r="Y64" s="30">
        <v>-272.82</v>
      </c>
      <c r="Z64" s="26" t="s">
        <v>1905</v>
      </c>
      <c r="AA64" s="33" t="s">
        <v>1906</v>
      </c>
      <c r="AB64" s="30" t="s">
        <v>863</v>
      </c>
      <c r="AC64" s="32" t="s">
        <v>864</v>
      </c>
      <c r="AD64" s="27">
        <v>0</v>
      </c>
      <c r="AE64" s="30">
        <v>-289</v>
      </c>
      <c r="AF64" s="32">
        <v>-289</v>
      </c>
      <c r="AG64" s="30">
        <v>0</v>
      </c>
      <c r="AH64" s="30">
        <v>0</v>
      </c>
      <c r="AI64" s="28">
        <v>0</v>
      </c>
      <c r="AJ64" s="28">
        <v>0</v>
      </c>
      <c r="AK64" s="27">
        <v>0</v>
      </c>
      <c r="AL64" s="27">
        <v>0</v>
      </c>
      <c r="AM64" s="28">
        <v>14.45</v>
      </c>
      <c r="AN64" s="28">
        <v>0</v>
      </c>
      <c r="AO64" s="27">
        <v>0</v>
      </c>
      <c r="AP64" s="27">
        <v>0</v>
      </c>
      <c r="AQ64" s="29" t="s">
        <v>103</v>
      </c>
      <c r="AR64" s="27">
        <v>0</v>
      </c>
      <c r="AS64" s="27">
        <v>0</v>
      </c>
      <c r="AT64" s="28">
        <v>1.73</v>
      </c>
      <c r="AU64" s="30" t="s">
        <v>151</v>
      </c>
      <c r="AV64" s="33" t="s">
        <v>1779</v>
      </c>
      <c r="AW64" s="33" t="s">
        <v>1780</v>
      </c>
      <c r="AX64" s="30"/>
      <c r="AY64" s="30"/>
      <c r="AZ64" s="28">
        <v>0</v>
      </c>
      <c r="BA64" s="27">
        <v>0</v>
      </c>
      <c r="BB64" s="27">
        <v>0</v>
      </c>
      <c r="BC64" s="27">
        <v>0</v>
      </c>
      <c r="BD64" s="27">
        <v>0</v>
      </c>
      <c r="BE64" s="30"/>
    </row>
    <row r="65" customHeight="1" spans="1:57">
      <c r="A65" s="20">
        <f>YEAR(V65)</f>
        <v>2025</v>
      </c>
      <c r="B65" s="21">
        <f>MONTH(V65)</f>
        <v>8</v>
      </c>
      <c r="C65" s="21" t="str">
        <f>R65</f>
        <v>P770797313602194761</v>
      </c>
      <c r="D65" s="21">
        <f>COUNTIF(R:R,R65)</f>
        <v>2</v>
      </c>
      <c r="E65" s="21">
        <f>COUNTIF($R$2:R65,R65)</f>
        <v>2</v>
      </c>
      <c r="F65" s="22" t="str" cm="1">
        <f t="array" ref="F65">INDEX(订单明细!BQ:BQ,MATCH(R65&amp;AC65,订单明细!A:A&amp;订单明细!O:O,0))</f>
        <v>Z1744-黑色-L</v>
      </c>
      <c r="G65" s="22" t="str">
        <f>LEFT(F65,FIND("-",F65)-1)</f>
        <v>Z1744</v>
      </c>
      <c r="H65" s="21" cm="1">
        <f t="array" ref="H65">_xlfn.IFS(C65=0,"",I65&gt;0,AD65,AND(I65&lt;0,I65&gt;-30),0,I65&lt;=-30,-1)</f>
        <v>1</v>
      </c>
      <c r="I65" s="21">
        <f>AF65</f>
        <v>289</v>
      </c>
      <c r="J65" s="21">
        <f>AI65+AJ65</f>
        <v>0</v>
      </c>
      <c r="K65" s="21">
        <f>IF(AZ65&lt;=0,AZ65,AZ65/COUNTIFS(R:R,R65,AZ:AZ,"&gt;0"))</f>
        <v>0</v>
      </c>
      <c r="L65" s="21">
        <f>AM65</f>
        <v>-14.45</v>
      </c>
      <c r="M65" s="21">
        <f>AT65</f>
        <v>-1.73</v>
      </c>
      <c r="N65" s="21"/>
      <c r="O65" s="23">
        <f>SUM(I65:N65)</f>
        <v>272.82</v>
      </c>
      <c r="R65" s="32" t="s">
        <v>854</v>
      </c>
      <c r="S65" s="30"/>
      <c r="T65" s="30" t="s">
        <v>869</v>
      </c>
      <c r="U65" s="30" t="s">
        <v>1907</v>
      </c>
      <c r="V65" s="30" t="s">
        <v>1904</v>
      </c>
      <c r="W65" s="33" t="s">
        <v>1782</v>
      </c>
      <c r="X65" s="33" t="s">
        <v>1776</v>
      </c>
      <c r="Y65" s="30">
        <v>272.82</v>
      </c>
      <c r="Z65" s="26" t="s">
        <v>1905</v>
      </c>
      <c r="AA65" s="33" t="s">
        <v>1906</v>
      </c>
      <c r="AB65" s="30" t="s">
        <v>863</v>
      </c>
      <c r="AC65" s="32" t="s">
        <v>864</v>
      </c>
      <c r="AD65" s="27">
        <v>1</v>
      </c>
      <c r="AE65" s="30">
        <v>289</v>
      </c>
      <c r="AF65" s="31">
        <v>289</v>
      </c>
      <c r="AG65" s="30" t="s">
        <v>75</v>
      </c>
      <c r="AH65" s="30">
        <v>0</v>
      </c>
      <c r="AI65" s="28">
        <v>0</v>
      </c>
      <c r="AJ65" s="28">
        <v>0</v>
      </c>
      <c r="AK65" s="27">
        <v>0.05</v>
      </c>
      <c r="AL65" s="27">
        <v>0</v>
      </c>
      <c r="AM65" s="28">
        <v>-14.45</v>
      </c>
      <c r="AN65" s="28">
        <v>289</v>
      </c>
      <c r="AO65" s="27">
        <v>289</v>
      </c>
      <c r="AP65" s="27">
        <v>0</v>
      </c>
      <c r="AQ65" s="29" t="s">
        <v>103</v>
      </c>
      <c r="AR65" s="27">
        <v>0</v>
      </c>
      <c r="AS65" s="27">
        <v>0.006</v>
      </c>
      <c r="AT65" s="28">
        <v>-1.73</v>
      </c>
      <c r="AU65" s="30" t="s">
        <v>151</v>
      </c>
      <c r="AV65" s="33" t="s">
        <v>1779</v>
      </c>
      <c r="AW65" s="33" t="s">
        <v>1780</v>
      </c>
      <c r="AX65" s="30"/>
      <c r="AY65" s="30"/>
      <c r="AZ65" s="28">
        <v>0</v>
      </c>
      <c r="BA65" s="27">
        <v>0</v>
      </c>
      <c r="BB65" s="27">
        <v>0</v>
      </c>
      <c r="BC65" s="27">
        <v>0</v>
      </c>
      <c r="BD65" s="27">
        <v>0</v>
      </c>
      <c r="BE65" s="30"/>
    </row>
    <row r="66" customHeight="1" spans="1:57">
      <c r="A66" s="20">
        <f>YEAR(V66)</f>
        <v>2025</v>
      </c>
      <c r="B66" s="21">
        <f>MONTH(V66)</f>
        <v>8</v>
      </c>
      <c r="C66" s="21" t="str">
        <f>R66</f>
        <v>P770990197404134041</v>
      </c>
      <c r="D66" s="21">
        <f>COUNTIF(R:R,R66)</f>
        <v>2</v>
      </c>
      <c r="E66" s="21">
        <f>COUNTIF($R$2:R66,R66)</f>
        <v>1</v>
      </c>
      <c r="F66" s="22" t="str" cm="1">
        <f t="array" ref="F66">INDEX(订单明细!BQ:BQ,MATCH(R66&amp;AC66,订单明细!A:A&amp;订单明细!O:O,0))</f>
        <v>Z2308-黑色-M</v>
      </c>
      <c r="G66" s="22" t="str">
        <f>LEFT(F66,FIND("-",F66)-1)</f>
        <v>Z2308</v>
      </c>
      <c r="H66" s="21" cm="1">
        <f t="array" ref="H66">_xlfn.IFS(C66=0,"",I66&gt;0,AD66,AND(I66&lt;0,I66&gt;-30),0,I66&lt;=-30,-1)</f>
        <v>-1</v>
      </c>
      <c r="I66" s="21">
        <f>AF66</f>
        <v>-339</v>
      </c>
      <c r="J66" s="21">
        <f>AI66+AJ66</f>
        <v>0</v>
      </c>
      <c r="K66" s="21">
        <f>IF(AZ66&lt;=0,AZ66,AZ66/COUNTIFS(R:R,R66,AZ:AZ,"&gt;0"))</f>
        <v>0</v>
      </c>
      <c r="L66" s="21">
        <f>AM66</f>
        <v>16.95</v>
      </c>
      <c r="M66" s="21">
        <f>AT66</f>
        <v>2.03</v>
      </c>
      <c r="N66" s="21"/>
      <c r="O66" s="23">
        <f>SUM(I66:N66)</f>
        <v>-320.02</v>
      </c>
      <c r="R66" s="32" t="s">
        <v>177</v>
      </c>
      <c r="S66" s="30" t="s">
        <v>1908</v>
      </c>
      <c r="T66" s="30" t="s">
        <v>192</v>
      </c>
      <c r="U66" s="30" t="s">
        <v>1909</v>
      </c>
      <c r="V66" s="30" t="s">
        <v>1910</v>
      </c>
      <c r="W66" s="33" t="s">
        <v>1775</v>
      </c>
      <c r="X66" s="33" t="s">
        <v>1776</v>
      </c>
      <c r="Y66" s="30">
        <v>-320.02</v>
      </c>
      <c r="Z66" s="26" t="s">
        <v>1911</v>
      </c>
      <c r="AA66" s="33" t="s">
        <v>1778</v>
      </c>
      <c r="AB66" s="30" t="s">
        <v>184</v>
      </c>
      <c r="AC66" s="32" t="s">
        <v>185</v>
      </c>
      <c r="AD66" s="27">
        <v>0</v>
      </c>
      <c r="AE66" s="30">
        <v>-339</v>
      </c>
      <c r="AF66" s="32">
        <v>-339</v>
      </c>
      <c r="AG66" s="30">
        <v>0</v>
      </c>
      <c r="AH66" s="30">
        <v>0</v>
      </c>
      <c r="AI66" s="28">
        <v>0</v>
      </c>
      <c r="AJ66" s="28">
        <v>0</v>
      </c>
      <c r="AK66" s="27">
        <v>0</v>
      </c>
      <c r="AL66" s="27">
        <v>0</v>
      </c>
      <c r="AM66" s="28">
        <v>16.95</v>
      </c>
      <c r="AN66" s="28">
        <v>0</v>
      </c>
      <c r="AO66" s="27">
        <v>0</v>
      </c>
      <c r="AP66" s="27">
        <v>0</v>
      </c>
      <c r="AQ66" s="29" t="s">
        <v>103</v>
      </c>
      <c r="AR66" s="27">
        <v>0</v>
      </c>
      <c r="AS66" s="27">
        <v>0</v>
      </c>
      <c r="AT66" s="28">
        <v>2.03</v>
      </c>
      <c r="AU66" s="30" t="s">
        <v>151</v>
      </c>
      <c r="AV66" s="33" t="s">
        <v>1779</v>
      </c>
      <c r="AW66" s="33" t="s">
        <v>1780</v>
      </c>
      <c r="AX66" s="30"/>
      <c r="AY66" s="30"/>
      <c r="AZ66" s="28">
        <v>0</v>
      </c>
      <c r="BA66" s="27">
        <v>0</v>
      </c>
      <c r="BB66" s="27">
        <v>0</v>
      </c>
      <c r="BC66" s="27">
        <v>0</v>
      </c>
      <c r="BD66" s="27">
        <v>0</v>
      </c>
      <c r="BE66" s="30"/>
    </row>
    <row r="67" customHeight="1" spans="1:57">
      <c r="A67" s="20">
        <f>YEAR(V67)</f>
        <v>2025</v>
      </c>
      <c r="B67" s="21">
        <f>MONTH(V67)</f>
        <v>8</v>
      </c>
      <c r="C67" s="21" t="str">
        <f>R67</f>
        <v>P770798353781374661</v>
      </c>
      <c r="D67" s="21">
        <f>COUNTIF(R:R,R67)</f>
        <v>2</v>
      </c>
      <c r="E67" s="21">
        <f>COUNTIF($R$2:R67,R67)</f>
        <v>1</v>
      </c>
      <c r="F67" s="22" t="str" cm="1">
        <f t="array" ref="F67">INDEX(订单明细!BQ:BQ,MATCH(R67&amp;AC67,订单明细!A:A&amp;订单明细!O:O,0))</f>
        <v>Z2378-灰色-S</v>
      </c>
      <c r="G67" s="22" t="str">
        <f>LEFT(F67,FIND("-",F67)-1)</f>
        <v>Z2378</v>
      </c>
      <c r="H67" s="21" cm="1">
        <f t="array" ref="H67">_xlfn.IFS(C67=0,"",I67&gt;0,AD67,AND(I67&lt;0,I67&gt;-30),0,I67&lt;=-30,-1)</f>
        <v>-1</v>
      </c>
      <c r="I67" s="21">
        <f>AF67</f>
        <v>-179</v>
      </c>
      <c r="J67" s="21">
        <f>AI67+AJ67</f>
        <v>0</v>
      </c>
      <c r="K67" s="21">
        <f>IF(AZ67&lt;=0,AZ67,AZ67/COUNTIFS(R:R,R67,AZ:AZ,"&gt;0"))</f>
        <v>0</v>
      </c>
      <c r="L67" s="21">
        <f>AM67</f>
        <v>8.95</v>
      </c>
      <c r="M67" s="21">
        <f>AT67</f>
        <v>1.07</v>
      </c>
      <c r="N67" s="21"/>
      <c r="O67" s="23">
        <f>SUM(I67:N67)</f>
        <v>-168.98</v>
      </c>
      <c r="R67" s="32" t="s">
        <v>763</v>
      </c>
      <c r="S67" s="30" t="s">
        <v>1912</v>
      </c>
      <c r="T67" s="30" t="s">
        <v>1913</v>
      </c>
      <c r="U67" s="30" t="s">
        <v>1914</v>
      </c>
      <c r="V67" s="30" t="s">
        <v>1910</v>
      </c>
      <c r="W67" s="33" t="s">
        <v>1775</v>
      </c>
      <c r="X67" s="33" t="s">
        <v>1776</v>
      </c>
      <c r="Y67" s="30">
        <v>-168.98</v>
      </c>
      <c r="Z67" s="26" t="s">
        <v>1875</v>
      </c>
      <c r="AA67" s="33" t="s">
        <v>1800</v>
      </c>
      <c r="AB67" s="30" t="s">
        <v>442</v>
      </c>
      <c r="AC67" s="32" t="s">
        <v>443</v>
      </c>
      <c r="AD67" s="27">
        <v>0</v>
      </c>
      <c r="AE67" s="30">
        <v>-179</v>
      </c>
      <c r="AF67" s="32">
        <v>-179</v>
      </c>
      <c r="AG67" s="30">
        <v>0</v>
      </c>
      <c r="AH67" s="30">
        <v>0</v>
      </c>
      <c r="AI67" s="28">
        <v>0</v>
      </c>
      <c r="AJ67" s="28">
        <v>0</v>
      </c>
      <c r="AK67" s="27">
        <v>0</v>
      </c>
      <c r="AL67" s="27">
        <v>0</v>
      </c>
      <c r="AM67" s="28">
        <v>8.95</v>
      </c>
      <c r="AN67" s="28">
        <v>0</v>
      </c>
      <c r="AO67" s="27">
        <v>0</v>
      </c>
      <c r="AP67" s="27">
        <v>0</v>
      </c>
      <c r="AQ67" s="29" t="s">
        <v>103</v>
      </c>
      <c r="AR67" s="27">
        <v>0</v>
      </c>
      <c r="AS67" s="27">
        <v>0</v>
      </c>
      <c r="AT67" s="28">
        <v>1.07</v>
      </c>
      <c r="AU67" s="30" t="s">
        <v>151</v>
      </c>
      <c r="AV67" s="33" t="s">
        <v>1779</v>
      </c>
      <c r="AW67" s="33" t="s">
        <v>1780</v>
      </c>
      <c r="AX67" s="30"/>
      <c r="AY67" s="30"/>
      <c r="AZ67" s="28">
        <v>0</v>
      </c>
      <c r="BA67" s="27">
        <v>0</v>
      </c>
      <c r="BB67" s="27">
        <v>0</v>
      </c>
      <c r="BC67" s="27">
        <v>0</v>
      </c>
      <c r="BD67" s="27">
        <v>0</v>
      </c>
      <c r="BE67" s="30"/>
    </row>
    <row r="68" customHeight="1" spans="1:57">
      <c r="A68" s="20">
        <f>YEAR(V68)</f>
        <v>2025</v>
      </c>
      <c r="B68" s="21">
        <f>MONTH(V68)</f>
        <v>8</v>
      </c>
      <c r="C68" s="21" t="str">
        <f>R68</f>
        <v>P770990197404134041</v>
      </c>
      <c r="D68" s="21">
        <f>COUNTIF(R:R,R68)</f>
        <v>2</v>
      </c>
      <c r="E68" s="21">
        <f>COUNTIF($R$2:R68,R68)</f>
        <v>2</v>
      </c>
      <c r="F68" s="22" t="str" cm="1">
        <f t="array" ref="F68">INDEX(订单明细!BQ:BQ,MATCH(R68&amp;AC68,订单明细!A:A&amp;订单明细!O:O,0))</f>
        <v>Z2308-黑色-M</v>
      </c>
      <c r="G68" s="22" t="str">
        <f>LEFT(F68,FIND("-",F68)-1)</f>
        <v>Z2308</v>
      </c>
      <c r="H68" s="21" cm="1">
        <f t="array" ref="H68">_xlfn.IFS(C68=0,"",I68&gt;0,AD68,AND(I68&lt;0,I68&gt;-30),0,I68&lt;=-30,-1)</f>
        <v>1</v>
      </c>
      <c r="I68" s="21">
        <f>AF68</f>
        <v>339</v>
      </c>
      <c r="J68" s="21">
        <f>AI68+AJ68</f>
        <v>0</v>
      </c>
      <c r="K68" s="21">
        <f>IF(AZ68&lt;=0,AZ68,AZ68/COUNTIFS(R:R,R68,AZ:AZ,"&gt;0"))</f>
        <v>0</v>
      </c>
      <c r="L68" s="21">
        <f>AM68</f>
        <v>-16.95</v>
      </c>
      <c r="M68" s="21">
        <f>AT68</f>
        <v>-2.03</v>
      </c>
      <c r="N68" s="21"/>
      <c r="O68" s="23">
        <f>SUM(I68:N68)</f>
        <v>320.02</v>
      </c>
      <c r="R68" s="32" t="s">
        <v>177</v>
      </c>
      <c r="S68" s="30"/>
      <c r="T68" s="30" t="s">
        <v>192</v>
      </c>
      <c r="U68" s="30" t="s">
        <v>1915</v>
      </c>
      <c r="V68" s="30" t="s">
        <v>1910</v>
      </c>
      <c r="W68" s="33" t="s">
        <v>1782</v>
      </c>
      <c r="X68" s="33" t="s">
        <v>1776</v>
      </c>
      <c r="Y68" s="30">
        <v>320.02</v>
      </c>
      <c r="Z68" s="26" t="s">
        <v>1911</v>
      </c>
      <c r="AA68" s="33" t="s">
        <v>1778</v>
      </c>
      <c r="AB68" s="30" t="s">
        <v>184</v>
      </c>
      <c r="AC68" s="32" t="s">
        <v>185</v>
      </c>
      <c r="AD68" s="27">
        <v>1</v>
      </c>
      <c r="AE68" s="30">
        <v>339</v>
      </c>
      <c r="AF68" s="31">
        <v>339</v>
      </c>
      <c r="AG68" s="30" t="s">
        <v>75</v>
      </c>
      <c r="AH68" s="30">
        <v>0</v>
      </c>
      <c r="AI68" s="28">
        <v>0</v>
      </c>
      <c r="AJ68" s="28">
        <v>0</v>
      </c>
      <c r="AK68" s="27">
        <v>0.05</v>
      </c>
      <c r="AL68" s="27">
        <v>0</v>
      </c>
      <c r="AM68" s="28">
        <v>-16.95</v>
      </c>
      <c r="AN68" s="28">
        <v>339</v>
      </c>
      <c r="AO68" s="27">
        <v>339</v>
      </c>
      <c r="AP68" s="27">
        <v>0</v>
      </c>
      <c r="AQ68" s="29" t="s">
        <v>103</v>
      </c>
      <c r="AR68" s="27">
        <v>0</v>
      </c>
      <c r="AS68" s="27">
        <v>0.006</v>
      </c>
      <c r="AT68" s="28">
        <v>-2.03</v>
      </c>
      <c r="AU68" s="30" t="s">
        <v>151</v>
      </c>
      <c r="AV68" s="33" t="s">
        <v>1779</v>
      </c>
      <c r="AW68" s="33" t="s">
        <v>1780</v>
      </c>
      <c r="AX68" s="30"/>
      <c r="AY68" s="30"/>
      <c r="AZ68" s="28">
        <v>0</v>
      </c>
      <c r="BA68" s="27">
        <v>0</v>
      </c>
      <c r="BB68" s="27">
        <v>0</v>
      </c>
      <c r="BC68" s="27">
        <v>0</v>
      </c>
      <c r="BD68" s="27">
        <v>0</v>
      </c>
      <c r="BE68" s="30"/>
    </row>
    <row r="69" customHeight="1" spans="1:57">
      <c r="A69" s="20">
        <f>YEAR(V69)</f>
        <v>2025</v>
      </c>
      <c r="B69" s="21">
        <f>MONTH(V69)</f>
        <v>8</v>
      </c>
      <c r="C69" s="21" t="str">
        <f>R69</f>
        <v>P770798353781374661</v>
      </c>
      <c r="D69" s="21">
        <f>COUNTIF(R:R,R69)</f>
        <v>2</v>
      </c>
      <c r="E69" s="21">
        <f>COUNTIF($R$2:R69,R69)</f>
        <v>2</v>
      </c>
      <c r="F69" s="22" t="str" cm="1">
        <f t="array" ref="F69">INDEX(订单明细!BQ:BQ,MATCH(R69&amp;AC69,订单明细!A:A&amp;订单明细!O:O,0))</f>
        <v>Z2378-灰色-S</v>
      </c>
      <c r="G69" s="22" t="str">
        <f>LEFT(F69,FIND("-",F69)-1)</f>
        <v>Z2378</v>
      </c>
      <c r="H69" s="21" cm="1">
        <f t="array" ref="H69">_xlfn.IFS(C69=0,"",I69&gt;0,AD69,AND(I69&lt;0,I69&gt;-30),0,I69&lt;=-30,-1)</f>
        <v>1</v>
      </c>
      <c r="I69" s="21">
        <f>AF69</f>
        <v>179</v>
      </c>
      <c r="J69" s="21">
        <f>AI69+AJ69</f>
        <v>0</v>
      </c>
      <c r="K69" s="21">
        <f>IF(AZ69&lt;=0,AZ69,AZ69/COUNTIFS(R:R,R69,AZ:AZ,"&gt;0"))</f>
        <v>0</v>
      </c>
      <c r="L69" s="21">
        <f>AM69</f>
        <v>-8.95</v>
      </c>
      <c r="M69" s="21">
        <f>AT69</f>
        <v>-1.07</v>
      </c>
      <c r="N69" s="21"/>
      <c r="O69" s="23">
        <f>SUM(I69:N69)</f>
        <v>168.98</v>
      </c>
      <c r="R69" s="32" t="s">
        <v>763</v>
      </c>
      <c r="S69" s="30"/>
      <c r="T69" s="30" t="s">
        <v>1913</v>
      </c>
      <c r="U69" s="30" t="s">
        <v>1916</v>
      </c>
      <c r="V69" s="30" t="s">
        <v>1910</v>
      </c>
      <c r="W69" s="33" t="s">
        <v>1782</v>
      </c>
      <c r="X69" s="33" t="s">
        <v>1776</v>
      </c>
      <c r="Y69" s="30">
        <v>168.98</v>
      </c>
      <c r="Z69" s="26" t="s">
        <v>1875</v>
      </c>
      <c r="AA69" s="33" t="s">
        <v>1800</v>
      </c>
      <c r="AB69" s="30" t="s">
        <v>442</v>
      </c>
      <c r="AC69" s="32" t="s">
        <v>443</v>
      </c>
      <c r="AD69" s="27">
        <v>1</v>
      </c>
      <c r="AE69" s="30">
        <v>179</v>
      </c>
      <c r="AF69" s="31">
        <v>179</v>
      </c>
      <c r="AG69" s="30" t="s">
        <v>75</v>
      </c>
      <c r="AH69" s="30">
        <v>0</v>
      </c>
      <c r="AI69" s="28">
        <v>0</v>
      </c>
      <c r="AJ69" s="28">
        <v>0</v>
      </c>
      <c r="AK69" s="27">
        <v>0.05</v>
      </c>
      <c r="AL69" s="27">
        <v>0</v>
      </c>
      <c r="AM69" s="28">
        <v>-8.95</v>
      </c>
      <c r="AN69" s="28">
        <v>179</v>
      </c>
      <c r="AO69" s="27">
        <v>179</v>
      </c>
      <c r="AP69" s="27">
        <v>0</v>
      </c>
      <c r="AQ69" s="29" t="s">
        <v>103</v>
      </c>
      <c r="AR69" s="27">
        <v>0</v>
      </c>
      <c r="AS69" s="27">
        <v>0.006</v>
      </c>
      <c r="AT69" s="28">
        <v>-1.07</v>
      </c>
      <c r="AU69" s="30" t="s">
        <v>151</v>
      </c>
      <c r="AV69" s="33" t="s">
        <v>1779</v>
      </c>
      <c r="AW69" s="33" t="s">
        <v>1780</v>
      </c>
      <c r="AX69" s="30"/>
      <c r="AY69" s="30"/>
      <c r="AZ69" s="28">
        <v>0</v>
      </c>
      <c r="BA69" s="27">
        <v>0</v>
      </c>
      <c r="BB69" s="27">
        <v>0</v>
      </c>
      <c r="BC69" s="27">
        <v>0</v>
      </c>
      <c r="BD69" s="27">
        <v>0</v>
      </c>
      <c r="BE69" s="30"/>
    </row>
    <row r="70" customHeight="1" spans="1:57">
      <c r="A70" s="20">
        <f>YEAR(V70)</f>
        <v>2025</v>
      </c>
      <c r="B70" s="21">
        <f>MONTH(V70)</f>
        <v>8</v>
      </c>
      <c r="C70" s="21" t="str">
        <f>R70</f>
        <v>P770809432946213601</v>
      </c>
      <c r="D70" s="21">
        <f>COUNTIF(R:R,R70)</f>
        <v>2</v>
      </c>
      <c r="E70" s="21">
        <f>COUNTIF($R$2:R70,R70)</f>
        <v>1</v>
      </c>
      <c r="F70" s="22" t="str" cm="1">
        <f t="array" ref="F70">INDEX(订单明细!BQ:BQ,MATCH(R70&amp;AC70,订单明细!A:A&amp;订单明细!O:O,0))</f>
        <v>Z2365-灰色-M</v>
      </c>
      <c r="G70" s="22" t="str">
        <f>LEFT(F70,FIND("-",F70)-1)</f>
        <v>Z2365</v>
      </c>
      <c r="H70" s="21" cm="1">
        <f t="array" ref="H70">_xlfn.IFS(C70=0,"",I70&gt;0,AD70,AND(I70&lt;0,I70&gt;-30),0,I70&lt;=-30,-1)</f>
        <v>-1</v>
      </c>
      <c r="I70" s="21">
        <f>AF70</f>
        <v>-219</v>
      </c>
      <c r="J70" s="21">
        <f>AI70+AJ70</f>
        <v>0</v>
      </c>
      <c r="K70" s="21">
        <f>IF(AZ70&lt;=0,AZ70,AZ70/COUNTIFS(R:R,R70,AZ:AZ,"&gt;0"))</f>
        <v>0</v>
      </c>
      <c r="L70" s="21">
        <f>AM70</f>
        <v>10.95</v>
      </c>
      <c r="M70" s="21">
        <f>AT70</f>
        <v>1.31</v>
      </c>
      <c r="N70" s="21"/>
      <c r="O70" s="23">
        <f>SUM(I70:N70)</f>
        <v>-206.74</v>
      </c>
      <c r="R70" s="32" t="s">
        <v>493</v>
      </c>
      <c r="S70" s="30" t="s">
        <v>1917</v>
      </c>
      <c r="T70" s="30" t="s">
        <v>1918</v>
      </c>
      <c r="U70" s="30" t="s">
        <v>1919</v>
      </c>
      <c r="V70" s="30" t="s">
        <v>1920</v>
      </c>
      <c r="W70" s="33" t="s">
        <v>1775</v>
      </c>
      <c r="X70" s="33" t="s">
        <v>1776</v>
      </c>
      <c r="Y70" s="30">
        <v>-206.74</v>
      </c>
      <c r="Z70" s="26" t="s">
        <v>1921</v>
      </c>
      <c r="AA70" s="33" t="s">
        <v>1788</v>
      </c>
      <c r="AB70" s="30" t="s">
        <v>501</v>
      </c>
      <c r="AC70" s="32" t="s">
        <v>502</v>
      </c>
      <c r="AD70" s="27">
        <v>0</v>
      </c>
      <c r="AE70" s="30">
        <v>-219</v>
      </c>
      <c r="AF70" s="32">
        <v>-219</v>
      </c>
      <c r="AG70" s="30">
        <v>0</v>
      </c>
      <c r="AH70" s="30">
        <v>0</v>
      </c>
      <c r="AI70" s="28">
        <v>0</v>
      </c>
      <c r="AJ70" s="28">
        <v>0</v>
      </c>
      <c r="AK70" s="27">
        <v>0</v>
      </c>
      <c r="AL70" s="27">
        <v>0</v>
      </c>
      <c r="AM70" s="28">
        <v>10.95</v>
      </c>
      <c r="AN70" s="28">
        <v>0</v>
      </c>
      <c r="AO70" s="27">
        <v>0</v>
      </c>
      <c r="AP70" s="27">
        <v>0</v>
      </c>
      <c r="AQ70" s="29" t="s">
        <v>103</v>
      </c>
      <c r="AR70" s="27">
        <v>0</v>
      </c>
      <c r="AS70" s="27">
        <v>0</v>
      </c>
      <c r="AT70" s="28">
        <v>1.31</v>
      </c>
      <c r="AU70" s="30" t="s">
        <v>151</v>
      </c>
      <c r="AV70" s="33" t="s">
        <v>1779</v>
      </c>
      <c r="AW70" s="33" t="s">
        <v>1780</v>
      </c>
      <c r="AX70" s="30"/>
      <c r="AY70" s="30"/>
      <c r="AZ70" s="28">
        <v>0</v>
      </c>
      <c r="BA70" s="27">
        <v>0</v>
      </c>
      <c r="BB70" s="27">
        <v>0</v>
      </c>
      <c r="BC70" s="27">
        <v>0</v>
      </c>
      <c r="BD70" s="27">
        <v>0</v>
      </c>
      <c r="BE70" s="30"/>
    </row>
    <row r="71" customHeight="1" spans="1:57">
      <c r="A71" s="20">
        <f>YEAR(V71)</f>
        <v>2025</v>
      </c>
      <c r="B71" s="21">
        <f>MONTH(V71)</f>
        <v>8</v>
      </c>
      <c r="C71" s="21" t="str">
        <f>R71</f>
        <v>P770809432946213601</v>
      </c>
      <c r="D71" s="21">
        <f>COUNTIF(R:R,R71)</f>
        <v>2</v>
      </c>
      <c r="E71" s="21">
        <f>COUNTIF($R$2:R71,R71)</f>
        <v>2</v>
      </c>
      <c r="F71" s="22" t="str" cm="1">
        <f t="array" ref="F71">INDEX(订单明细!BQ:BQ,MATCH(R71&amp;AC71,订单明细!A:A&amp;订单明细!O:O,0))</f>
        <v>Z2365-灰色-M</v>
      </c>
      <c r="G71" s="22" t="str">
        <f>LEFT(F71,FIND("-",F71)-1)</f>
        <v>Z2365</v>
      </c>
      <c r="H71" s="21" cm="1">
        <f t="array" ref="H71">_xlfn.IFS(C71=0,"",I71&gt;0,AD71,AND(I71&lt;0,I71&gt;-30),0,I71&lt;=-30,-1)</f>
        <v>1</v>
      </c>
      <c r="I71" s="21">
        <f>AF71</f>
        <v>219</v>
      </c>
      <c r="J71" s="21">
        <f>AI71+AJ71</f>
        <v>0</v>
      </c>
      <c r="K71" s="21">
        <f>IF(AZ71&lt;=0,AZ71,AZ71/COUNTIFS(R:R,R71,AZ:AZ,"&gt;0"))</f>
        <v>0</v>
      </c>
      <c r="L71" s="21">
        <f>AM71</f>
        <v>-10.95</v>
      </c>
      <c r="M71" s="21">
        <f>AT71</f>
        <v>-1.31</v>
      </c>
      <c r="N71" s="21"/>
      <c r="O71" s="23">
        <f>SUM(I71:N71)</f>
        <v>206.74</v>
      </c>
      <c r="R71" s="32" t="s">
        <v>493</v>
      </c>
      <c r="S71" s="30"/>
      <c r="T71" s="30" t="s">
        <v>1918</v>
      </c>
      <c r="U71" s="30" t="s">
        <v>1922</v>
      </c>
      <c r="V71" s="30" t="s">
        <v>1920</v>
      </c>
      <c r="W71" s="33" t="s">
        <v>1782</v>
      </c>
      <c r="X71" s="33" t="s">
        <v>1776</v>
      </c>
      <c r="Y71" s="30">
        <v>206.74</v>
      </c>
      <c r="Z71" s="26" t="s">
        <v>1921</v>
      </c>
      <c r="AA71" s="33" t="s">
        <v>1788</v>
      </c>
      <c r="AB71" s="30" t="s">
        <v>501</v>
      </c>
      <c r="AC71" s="32" t="s">
        <v>502</v>
      </c>
      <c r="AD71" s="27">
        <v>1</v>
      </c>
      <c r="AE71" s="30">
        <v>219</v>
      </c>
      <c r="AF71" s="31">
        <v>219</v>
      </c>
      <c r="AG71" s="30" t="s">
        <v>75</v>
      </c>
      <c r="AH71" s="30">
        <v>0</v>
      </c>
      <c r="AI71" s="28">
        <v>0</v>
      </c>
      <c r="AJ71" s="28">
        <v>0</v>
      </c>
      <c r="AK71" s="27">
        <v>0.05</v>
      </c>
      <c r="AL71" s="27">
        <v>0</v>
      </c>
      <c r="AM71" s="28">
        <v>-10.95</v>
      </c>
      <c r="AN71" s="28">
        <v>219</v>
      </c>
      <c r="AO71" s="27">
        <v>219</v>
      </c>
      <c r="AP71" s="27">
        <v>0</v>
      </c>
      <c r="AQ71" s="29" t="s">
        <v>103</v>
      </c>
      <c r="AR71" s="27">
        <v>0</v>
      </c>
      <c r="AS71" s="27">
        <v>0.006</v>
      </c>
      <c r="AT71" s="28">
        <v>-1.31</v>
      </c>
      <c r="AU71" s="30" t="s">
        <v>151</v>
      </c>
      <c r="AV71" s="33" t="s">
        <v>1779</v>
      </c>
      <c r="AW71" s="33" t="s">
        <v>1780</v>
      </c>
      <c r="AX71" s="30"/>
      <c r="AY71" s="30"/>
      <c r="AZ71" s="28">
        <v>0</v>
      </c>
      <c r="BA71" s="27">
        <v>0</v>
      </c>
      <c r="BB71" s="27">
        <v>0</v>
      </c>
      <c r="BC71" s="27">
        <v>0</v>
      </c>
      <c r="BD71" s="27">
        <v>0</v>
      </c>
      <c r="BE71" s="30"/>
    </row>
    <row r="72" customHeight="1" spans="1:57">
      <c r="A72" s="20">
        <f>YEAR(V72)</f>
        <v>2025</v>
      </c>
      <c r="B72" s="21">
        <f>MONTH(V72)</f>
        <v>8</v>
      </c>
      <c r="C72" s="21" t="str">
        <f>R72</f>
        <v>P770794260083193631</v>
      </c>
      <c r="D72" s="21">
        <f>COUNTIF(R:R,R72)</f>
        <v>1</v>
      </c>
      <c r="E72" s="21">
        <f>COUNTIF($R$2:R72,R72)</f>
        <v>1</v>
      </c>
      <c r="F72" s="22" t="str" cm="1">
        <f t="array" ref="F72">INDEX(订单明细!BQ:BQ,MATCH(R72&amp;AC72,订单明细!A:A&amp;订单明细!O:O,0))</f>
        <v>Z1248-黑色-L</v>
      </c>
      <c r="G72" s="22" t="str">
        <f>LEFT(F72,FIND("-",F72)-1)</f>
        <v>Z1248</v>
      </c>
      <c r="H72" s="21" cm="1">
        <f t="array" ref="H72">_xlfn.IFS(C72=0,"",I72&gt;0,AD72,AND(I72&lt;0,I72&gt;-30),0,I72&lt;=-30,-1)</f>
        <v>1</v>
      </c>
      <c r="I72" s="21">
        <f>AF72</f>
        <v>199</v>
      </c>
      <c r="J72" s="21">
        <f>AI72+AJ72</f>
        <v>0</v>
      </c>
      <c r="K72" s="21">
        <f>IF(AZ72&lt;=0,AZ72,AZ72/COUNTIFS(R:R,R72,AZ:AZ,"&gt;0"))</f>
        <v>0</v>
      </c>
      <c r="L72" s="21">
        <f>AM72</f>
        <v>-9.95</v>
      </c>
      <c r="M72" s="21">
        <f>AT72</f>
        <v>-1.19</v>
      </c>
      <c r="N72" s="21"/>
      <c r="O72" s="23">
        <f>SUM(I72:N72)</f>
        <v>187.86</v>
      </c>
      <c r="R72" s="32" t="s">
        <v>1214</v>
      </c>
      <c r="S72" s="30"/>
      <c r="T72" s="30" t="s">
        <v>1224</v>
      </c>
      <c r="U72" s="30" t="s">
        <v>1225</v>
      </c>
      <c r="V72" s="30" t="s">
        <v>1923</v>
      </c>
      <c r="W72" s="33" t="s">
        <v>1782</v>
      </c>
      <c r="X72" s="33" t="s">
        <v>1776</v>
      </c>
      <c r="Y72" s="30">
        <v>187.86</v>
      </c>
      <c r="Z72" s="26" t="s">
        <v>1900</v>
      </c>
      <c r="AA72" s="33" t="s">
        <v>1860</v>
      </c>
      <c r="AB72" s="30" t="s">
        <v>799</v>
      </c>
      <c r="AC72" s="32" t="s">
        <v>800</v>
      </c>
      <c r="AD72" s="27">
        <v>1</v>
      </c>
      <c r="AE72" s="30">
        <v>199</v>
      </c>
      <c r="AF72" s="31">
        <v>199</v>
      </c>
      <c r="AG72" s="30" t="s">
        <v>75</v>
      </c>
      <c r="AH72" s="30">
        <v>0</v>
      </c>
      <c r="AI72" s="28">
        <v>0</v>
      </c>
      <c r="AJ72" s="28">
        <v>0</v>
      </c>
      <c r="AK72" s="27">
        <v>0.05</v>
      </c>
      <c r="AL72" s="27">
        <v>0</v>
      </c>
      <c r="AM72" s="28">
        <v>-9.95</v>
      </c>
      <c r="AN72" s="28">
        <v>199</v>
      </c>
      <c r="AO72" s="27">
        <v>199</v>
      </c>
      <c r="AP72" s="27">
        <v>0</v>
      </c>
      <c r="AQ72" s="29" t="s">
        <v>103</v>
      </c>
      <c r="AR72" s="27">
        <v>0</v>
      </c>
      <c r="AS72" s="27">
        <v>0.006</v>
      </c>
      <c r="AT72" s="28">
        <v>-1.19</v>
      </c>
      <c r="AU72" s="30" t="s">
        <v>151</v>
      </c>
      <c r="AV72" s="33" t="s">
        <v>1779</v>
      </c>
      <c r="AW72" s="33" t="s">
        <v>1780</v>
      </c>
      <c r="AX72" s="30"/>
      <c r="AY72" s="30"/>
      <c r="AZ72" s="28">
        <v>0</v>
      </c>
      <c r="BA72" s="27">
        <v>0</v>
      </c>
      <c r="BB72" s="27">
        <v>0</v>
      </c>
      <c r="BC72" s="27">
        <v>0</v>
      </c>
      <c r="BD72" s="27">
        <v>0</v>
      </c>
      <c r="BE72" s="30"/>
    </row>
    <row r="73" customHeight="1" spans="1:57">
      <c r="A73" s="20">
        <f>YEAR(V73)</f>
        <v>2025</v>
      </c>
      <c r="B73" s="21">
        <f>MONTH(V73)</f>
        <v>8</v>
      </c>
      <c r="C73" s="21" t="str">
        <f>R73</f>
        <v>P770625887719453891</v>
      </c>
      <c r="D73" s="21">
        <f>COUNTIF(R:R,R73)</f>
        <v>2</v>
      </c>
      <c r="E73" s="21">
        <f>COUNTIF($R$2:R73,R73)</f>
        <v>1</v>
      </c>
      <c r="F73" s="22" t="str" cm="1">
        <f t="array" ref="F73">INDEX(订单明细!BQ:BQ,MATCH(R73&amp;AC73,订单明细!A:A&amp;订单明细!O:O,0))</f>
        <v>Z2284-牛仔蓝色-L</v>
      </c>
      <c r="G73" s="22" t="str">
        <f>LEFT(F73,FIND("-",F73)-1)</f>
        <v>Z2284</v>
      </c>
      <c r="H73" s="21" cm="1">
        <f t="array" ref="H73">_xlfn.IFS(C73=0,"",I73&gt;0,AD73,AND(I73&lt;0,I73&gt;-30),0,I73&lt;=-30,-1)</f>
        <v>-1</v>
      </c>
      <c r="I73" s="21">
        <f>AF73</f>
        <v>-399</v>
      </c>
      <c r="J73" s="21">
        <f>AI73+AJ73</f>
        <v>0</v>
      </c>
      <c r="K73" s="21">
        <f>IF(AZ73&lt;=0,AZ73,AZ73/COUNTIFS(R:R,R73,AZ:AZ,"&gt;0"))</f>
        <v>0</v>
      </c>
      <c r="L73" s="21">
        <f>AM73</f>
        <v>19.95</v>
      </c>
      <c r="M73" s="21">
        <f>AT73</f>
        <v>2.39</v>
      </c>
      <c r="N73" s="21"/>
      <c r="O73" s="23">
        <f>SUM(I73:N73)</f>
        <v>-376.66</v>
      </c>
      <c r="R73" s="32" t="s">
        <v>1569</v>
      </c>
      <c r="S73" s="30" t="s">
        <v>1924</v>
      </c>
      <c r="T73" s="30" t="s">
        <v>1583</v>
      </c>
      <c r="U73" s="30" t="s">
        <v>1925</v>
      </c>
      <c r="V73" s="30" t="s">
        <v>1926</v>
      </c>
      <c r="W73" s="33" t="s">
        <v>1775</v>
      </c>
      <c r="X73" s="33" t="s">
        <v>1776</v>
      </c>
      <c r="Y73" s="30">
        <v>-376.66</v>
      </c>
      <c r="Z73" s="26" t="s">
        <v>1927</v>
      </c>
      <c r="AA73" s="33" t="s">
        <v>1928</v>
      </c>
      <c r="AB73" s="30" t="s">
        <v>1575</v>
      </c>
      <c r="AC73" s="32" t="s">
        <v>1576</v>
      </c>
      <c r="AD73" s="27">
        <v>0</v>
      </c>
      <c r="AE73" s="30">
        <v>-399</v>
      </c>
      <c r="AF73" s="32">
        <v>-399</v>
      </c>
      <c r="AG73" s="30">
        <v>0</v>
      </c>
      <c r="AH73" s="30">
        <v>0</v>
      </c>
      <c r="AI73" s="28">
        <v>0</v>
      </c>
      <c r="AJ73" s="28">
        <v>0</v>
      </c>
      <c r="AK73" s="27">
        <v>0</v>
      </c>
      <c r="AL73" s="27">
        <v>0</v>
      </c>
      <c r="AM73" s="28">
        <v>19.95</v>
      </c>
      <c r="AN73" s="28">
        <v>0</v>
      </c>
      <c r="AO73" s="27">
        <v>0</v>
      </c>
      <c r="AP73" s="27">
        <v>0</v>
      </c>
      <c r="AQ73" s="29" t="s">
        <v>103</v>
      </c>
      <c r="AR73" s="27">
        <v>0</v>
      </c>
      <c r="AS73" s="27">
        <v>0</v>
      </c>
      <c r="AT73" s="28">
        <v>2.39</v>
      </c>
      <c r="AU73" s="30" t="s">
        <v>151</v>
      </c>
      <c r="AV73" s="33" t="s">
        <v>1779</v>
      </c>
      <c r="AW73" s="33" t="s">
        <v>1780</v>
      </c>
      <c r="AX73" s="30"/>
      <c r="AY73" s="30"/>
      <c r="AZ73" s="28">
        <v>0</v>
      </c>
      <c r="BA73" s="27">
        <v>0</v>
      </c>
      <c r="BB73" s="27">
        <v>0</v>
      </c>
      <c r="BC73" s="27">
        <v>0</v>
      </c>
      <c r="BD73" s="27">
        <v>0</v>
      </c>
      <c r="BE73" s="30"/>
    </row>
    <row r="74" customHeight="1" spans="1:57">
      <c r="A74" s="20">
        <f>YEAR(V74)</f>
        <v>2025</v>
      </c>
      <c r="B74" s="21">
        <f>MONTH(V74)</f>
        <v>8</v>
      </c>
      <c r="C74" s="21" t="str">
        <f>R74</f>
        <v>P770643835711413521</v>
      </c>
      <c r="D74" s="21">
        <f>COUNTIF(R:R,R74)</f>
        <v>6</v>
      </c>
      <c r="E74" s="21">
        <f>COUNTIF($R$2:R74,R74)</f>
        <v>1</v>
      </c>
      <c r="F74" s="22" t="str" cm="1">
        <f t="array" ref="F74">INDEX(订单明细!BQ:BQ,MATCH(R74&amp;AC74,订单明细!A:A&amp;订单明细!O:O,0))</f>
        <v>Z1645-黑色-S</v>
      </c>
      <c r="G74" s="22" t="str">
        <f>LEFT(F74,FIND("-",F74)-1)</f>
        <v>Z1645</v>
      </c>
      <c r="H74" s="21" cm="1">
        <f t="array" ref="H74">_xlfn.IFS(C74=0,"",I74&gt;0,AD74,AND(I74&lt;0,I74&gt;-30),0,I74&lt;=-30,-1)</f>
        <v>-1</v>
      </c>
      <c r="I74" s="21">
        <f>AF74</f>
        <v>-189</v>
      </c>
      <c r="J74" s="21">
        <f>AI74+AJ74</f>
        <v>0</v>
      </c>
      <c r="K74" s="21">
        <f>IF(AZ74&lt;=0,AZ74,AZ74/COUNTIFS(R:R,R74,AZ:AZ,"&gt;0"))</f>
        <v>0</v>
      </c>
      <c r="L74" s="21">
        <f>AM74</f>
        <v>9.45</v>
      </c>
      <c r="M74" s="21">
        <f>AT74</f>
        <v>0</v>
      </c>
      <c r="N74" s="21"/>
      <c r="O74" s="23">
        <f>SUM(I74:N74)</f>
        <v>-179.55</v>
      </c>
      <c r="R74" s="32" t="s">
        <v>1414</v>
      </c>
      <c r="S74" s="30" t="s">
        <v>1929</v>
      </c>
      <c r="T74" s="30" t="s">
        <v>1930</v>
      </c>
      <c r="U74" s="30" t="s">
        <v>1931</v>
      </c>
      <c r="V74" s="30" t="s">
        <v>1926</v>
      </c>
      <c r="W74" s="33" t="s">
        <v>1775</v>
      </c>
      <c r="X74" s="33" t="s">
        <v>1776</v>
      </c>
      <c r="Y74" s="30">
        <v>-179.55</v>
      </c>
      <c r="Z74" s="26" t="s">
        <v>1932</v>
      </c>
      <c r="AA74" s="33" t="s">
        <v>1933</v>
      </c>
      <c r="AB74" s="30" t="s">
        <v>418</v>
      </c>
      <c r="AC74" s="32" t="s">
        <v>419</v>
      </c>
      <c r="AD74" s="27">
        <v>0</v>
      </c>
      <c r="AE74" s="30">
        <v>-189</v>
      </c>
      <c r="AF74" s="32">
        <v>-189</v>
      </c>
      <c r="AG74" s="30">
        <v>0</v>
      </c>
      <c r="AH74" s="30">
        <v>0</v>
      </c>
      <c r="AI74" s="28">
        <v>0</v>
      </c>
      <c r="AJ74" s="28">
        <v>0</v>
      </c>
      <c r="AK74" s="27">
        <v>0</v>
      </c>
      <c r="AL74" s="27">
        <v>0</v>
      </c>
      <c r="AM74" s="28">
        <v>9.45</v>
      </c>
      <c r="AN74" s="28">
        <v>0</v>
      </c>
      <c r="AO74" s="27">
        <v>0</v>
      </c>
      <c r="AP74" s="27">
        <v>0</v>
      </c>
      <c r="AQ74" s="29" t="s">
        <v>103</v>
      </c>
      <c r="AR74" s="27">
        <v>0</v>
      </c>
      <c r="AS74" s="27">
        <v>0</v>
      </c>
      <c r="AT74" s="28">
        <v>0</v>
      </c>
      <c r="AU74" s="30" t="s">
        <v>75</v>
      </c>
      <c r="AV74" s="30" t="s">
        <v>75</v>
      </c>
      <c r="AW74" s="30"/>
      <c r="AX74" s="30"/>
      <c r="AY74" s="30"/>
      <c r="AZ74" s="28">
        <v>0</v>
      </c>
      <c r="BA74" s="27">
        <v>0</v>
      </c>
      <c r="BB74" s="27">
        <v>0</v>
      </c>
      <c r="BC74" s="27">
        <v>0</v>
      </c>
      <c r="BD74" s="27">
        <v>0</v>
      </c>
      <c r="BE74" s="30"/>
    </row>
    <row r="75" customHeight="1" spans="1:57">
      <c r="A75" s="20">
        <f>YEAR(V75)</f>
        <v>2025</v>
      </c>
      <c r="B75" s="21">
        <f>MONTH(V75)</f>
        <v>8</v>
      </c>
      <c r="C75" s="21" t="str">
        <f>R75</f>
        <v>P770643835711413521</v>
      </c>
      <c r="D75" s="21">
        <f>COUNTIF(R:R,R75)</f>
        <v>6</v>
      </c>
      <c r="E75" s="21">
        <f>COUNTIF($R$2:R75,R75)</f>
        <v>2</v>
      </c>
      <c r="F75" s="22" t="str" cm="1">
        <f t="array" ref="F75">INDEX(订单明细!BQ:BQ,MATCH(R75&amp;AC75,订单明细!A:A&amp;订单明细!O:O,0))</f>
        <v>Z1576-黑色-S</v>
      </c>
      <c r="G75" s="22" t="str">
        <f>LEFT(F75,FIND("-",F75)-1)</f>
        <v>Z1576</v>
      </c>
      <c r="H75" s="21" cm="1">
        <f t="array" ref="H75">_xlfn.IFS(C75=0,"",I75&gt;0,AD75,AND(I75&lt;0,I75&gt;-30),0,I75&lt;=-30,-1)</f>
        <v>-1</v>
      </c>
      <c r="I75" s="21">
        <f>AF75</f>
        <v>-199</v>
      </c>
      <c r="J75" s="21">
        <f>AI75+AJ75</f>
        <v>0</v>
      </c>
      <c r="K75" s="21">
        <f>IF(AZ75&lt;=0,AZ75,AZ75/COUNTIFS(R:R,R75,AZ:AZ,"&gt;0"))</f>
        <v>0</v>
      </c>
      <c r="L75" s="21">
        <f>AM75</f>
        <v>9.95</v>
      </c>
      <c r="M75" s="21">
        <f>AT75</f>
        <v>1.19</v>
      </c>
      <c r="N75" s="21"/>
      <c r="O75" s="23">
        <f>SUM(I75:N75)</f>
        <v>-187.86</v>
      </c>
      <c r="R75" s="32" t="s">
        <v>1414</v>
      </c>
      <c r="S75" s="30" t="s">
        <v>1934</v>
      </c>
      <c r="T75" s="30" t="s">
        <v>1930</v>
      </c>
      <c r="U75" s="30" t="s">
        <v>1935</v>
      </c>
      <c r="V75" s="30" t="s">
        <v>1926</v>
      </c>
      <c r="W75" s="33" t="s">
        <v>1775</v>
      </c>
      <c r="X75" s="33" t="s">
        <v>1776</v>
      </c>
      <c r="Y75" s="30">
        <v>-187.86</v>
      </c>
      <c r="Z75" s="26" t="s">
        <v>1936</v>
      </c>
      <c r="AA75" s="33" t="s">
        <v>1778</v>
      </c>
      <c r="AB75" s="30" t="s">
        <v>1430</v>
      </c>
      <c r="AC75" s="32" t="s">
        <v>1431</v>
      </c>
      <c r="AD75" s="27">
        <v>0</v>
      </c>
      <c r="AE75" s="30">
        <v>-199</v>
      </c>
      <c r="AF75" s="32">
        <v>-199</v>
      </c>
      <c r="AG75" s="30">
        <v>0</v>
      </c>
      <c r="AH75" s="30">
        <v>0</v>
      </c>
      <c r="AI75" s="28">
        <v>0</v>
      </c>
      <c r="AJ75" s="28">
        <v>0</v>
      </c>
      <c r="AK75" s="27">
        <v>0</v>
      </c>
      <c r="AL75" s="27">
        <v>0</v>
      </c>
      <c r="AM75" s="28">
        <v>9.95</v>
      </c>
      <c r="AN75" s="28">
        <v>0</v>
      </c>
      <c r="AO75" s="27">
        <v>0</v>
      </c>
      <c r="AP75" s="27">
        <v>0</v>
      </c>
      <c r="AQ75" s="29" t="s">
        <v>103</v>
      </c>
      <c r="AR75" s="27">
        <v>0</v>
      </c>
      <c r="AS75" s="27">
        <v>0</v>
      </c>
      <c r="AT75" s="28">
        <v>1.19</v>
      </c>
      <c r="AU75" s="30" t="s">
        <v>151</v>
      </c>
      <c r="AV75" s="33" t="s">
        <v>1779</v>
      </c>
      <c r="AW75" s="33" t="s">
        <v>1780</v>
      </c>
      <c r="AX75" s="30"/>
      <c r="AY75" s="30"/>
      <c r="AZ75" s="28">
        <v>0</v>
      </c>
      <c r="BA75" s="27">
        <v>0</v>
      </c>
      <c r="BB75" s="27">
        <v>0</v>
      </c>
      <c r="BC75" s="27">
        <v>0</v>
      </c>
      <c r="BD75" s="27">
        <v>0</v>
      </c>
      <c r="BE75" s="30"/>
    </row>
    <row r="76" customHeight="1" spans="1:57">
      <c r="A76" s="20">
        <f>YEAR(V76)</f>
        <v>2025</v>
      </c>
      <c r="B76" s="21">
        <f>MONTH(V76)</f>
        <v>8</v>
      </c>
      <c r="C76" s="21" t="str">
        <f>R76</f>
        <v>P770643835711413521</v>
      </c>
      <c r="D76" s="21">
        <f>COUNTIF(R:R,R76)</f>
        <v>6</v>
      </c>
      <c r="E76" s="21">
        <f>COUNTIF($R$2:R76,R76)</f>
        <v>3</v>
      </c>
      <c r="F76" s="22" t="str" cm="1">
        <f t="array" ref="F76">INDEX(订单明细!BQ:BQ,MATCH(R76&amp;AC76,订单明细!A:A&amp;订单明细!O:O,0))</f>
        <v>Z1640-黑色-S</v>
      </c>
      <c r="G76" s="22" t="str">
        <f>LEFT(F76,FIND("-",F76)-1)</f>
        <v>Z1640</v>
      </c>
      <c r="H76" s="21" cm="1">
        <f t="array" ref="H76">_xlfn.IFS(C76=0,"",I76&gt;0,AD76,AND(I76&lt;0,I76&gt;-30),0,I76&lt;=-30,-1)</f>
        <v>-1</v>
      </c>
      <c r="I76" s="21">
        <f>AF76</f>
        <v>-289</v>
      </c>
      <c r="J76" s="21">
        <f>AI76+AJ76</f>
        <v>0</v>
      </c>
      <c r="K76" s="21">
        <f>IF(AZ76&lt;=0,AZ76,AZ76/COUNTIFS(R:R,R76,AZ:AZ,"&gt;0"))</f>
        <v>0</v>
      </c>
      <c r="L76" s="21">
        <f>AM76</f>
        <v>14.45</v>
      </c>
      <c r="M76" s="21">
        <f>AT76</f>
        <v>1.73</v>
      </c>
      <c r="N76" s="21"/>
      <c r="O76" s="23">
        <f>SUM(I76:N76)</f>
        <v>-272.82</v>
      </c>
      <c r="R76" s="32" t="s">
        <v>1414</v>
      </c>
      <c r="S76" s="30" t="s">
        <v>1937</v>
      </c>
      <c r="T76" s="30" t="s">
        <v>1930</v>
      </c>
      <c r="U76" s="30" t="s">
        <v>1938</v>
      </c>
      <c r="V76" s="30" t="s">
        <v>1926</v>
      </c>
      <c r="W76" s="33" t="s">
        <v>1775</v>
      </c>
      <c r="X76" s="33" t="s">
        <v>1776</v>
      </c>
      <c r="Y76" s="30">
        <v>-272.82</v>
      </c>
      <c r="Z76" s="26" t="s">
        <v>1939</v>
      </c>
      <c r="AA76" s="33" t="s">
        <v>1800</v>
      </c>
      <c r="AB76" s="30" t="s">
        <v>1437</v>
      </c>
      <c r="AC76" s="32" t="s">
        <v>1438</v>
      </c>
      <c r="AD76" s="27">
        <v>0</v>
      </c>
      <c r="AE76" s="30">
        <v>-289</v>
      </c>
      <c r="AF76" s="32">
        <v>-289</v>
      </c>
      <c r="AG76" s="30">
        <v>0</v>
      </c>
      <c r="AH76" s="30">
        <v>0</v>
      </c>
      <c r="AI76" s="28">
        <v>0</v>
      </c>
      <c r="AJ76" s="28">
        <v>0</v>
      </c>
      <c r="AK76" s="27">
        <v>0</v>
      </c>
      <c r="AL76" s="27">
        <v>0</v>
      </c>
      <c r="AM76" s="28">
        <v>14.45</v>
      </c>
      <c r="AN76" s="28">
        <v>0</v>
      </c>
      <c r="AO76" s="27">
        <v>0</v>
      </c>
      <c r="AP76" s="27">
        <v>0</v>
      </c>
      <c r="AQ76" s="29" t="s">
        <v>103</v>
      </c>
      <c r="AR76" s="27">
        <v>0</v>
      </c>
      <c r="AS76" s="27">
        <v>0</v>
      </c>
      <c r="AT76" s="28">
        <v>1.73</v>
      </c>
      <c r="AU76" s="30" t="s">
        <v>151</v>
      </c>
      <c r="AV76" s="33" t="s">
        <v>1779</v>
      </c>
      <c r="AW76" s="33" t="s">
        <v>1780</v>
      </c>
      <c r="AX76" s="30"/>
      <c r="AY76" s="30"/>
      <c r="AZ76" s="28">
        <v>0</v>
      </c>
      <c r="BA76" s="27">
        <v>0</v>
      </c>
      <c r="BB76" s="27">
        <v>0</v>
      </c>
      <c r="BC76" s="27">
        <v>0</v>
      </c>
      <c r="BD76" s="27">
        <v>0</v>
      </c>
      <c r="BE76" s="30"/>
    </row>
    <row r="77" customHeight="1" spans="1:57">
      <c r="A77" s="20">
        <f>YEAR(V77)</f>
        <v>2025</v>
      </c>
      <c r="B77" s="21">
        <f>MONTH(V77)</f>
        <v>8</v>
      </c>
      <c r="C77" s="21" t="str">
        <f>R77</f>
        <v>P770643835711413521</v>
      </c>
      <c r="D77" s="21">
        <f>COUNTIF(R:R,R77)</f>
        <v>6</v>
      </c>
      <c r="E77" s="21">
        <f>COUNTIF($R$2:R77,R77)</f>
        <v>4</v>
      </c>
      <c r="F77" s="22" t="str" cm="1">
        <f t="array" ref="F77">INDEX(订单明细!BQ:BQ,MATCH(R77&amp;AC77,订单明细!A:A&amp;订单明细!O:O,0))</f>
        <v>Z1576-黑色-S</v>
      </c>
      <c r="G77" s="22" t="str">
        <f>LEFT(F77,FIND("-",F77)-1)</f>
        <v>Z1576</v>
      </c>
      <c r="H77" s="21" cm="1">
        <f t="array" ref="H77">_xlfn.IFS(C77=0,"",I77&gt;0,AD77,AND(I77&lt;0,I77&gt;-30),0,I77&lt;=-30,-1)</f>
        <v>1</v>
      </c>
      <c r="I77" s="21">
        <f>AF77</f>
        <v>199</v>
      </c>
      <c r="J77" s="21">
        <f>AI77+AJ77</f>
        <v>0</v>
      </c>
      <c r="K77" s="21">
        <f>IF(AZ77&lt;=0,AZ77,AZ77/COUNTIFS(R:R,R77,AZ:AZ,"&gt;0"))</f>
        <v>0</v>
      </c>
      <c r="L77" s="21">
        <f>AM77</f>
        <v>-9.95</v>
      </c>
      <c r="M77" s="21">
        <f>AT77</f>
        <v>-1.19</v>
      </c>
      <c r="N77" s="21"/>
      <c r="O77" s="23">
        <f>SUM(I77:N77)</f>
        <v>187.86</v>
      </c>
      <c r="R77" s="32" t="s">
        <v>1414</v>
      </c>
      <c r="S77" s="30"/>
      <c r="T77" s="30" t="s">
        <v>1930</v>
      </c>
      <c r="U77" s="30" t="s">
        <v>1940</v>
      </c>
      <c r="V77" s="30" t="s">
        <v>1926</v>
      </c>
      <c r="W77" s="33" t="s">
        <v>1782</v>
      </c>
      <c r="X77" s="33" t="s">
        <v>1776</v>
      </c>
      <c r="Y77" s="30">
        <v>640.23</v>
      </c>
      <c r="Z77" s="26" t="s">
        <v>1936</v>
      </c>
      <c r="AA77" s="33" t="s">
        <v>1778</v>
      </c>
      <c r="AB77" s="30" t="s">
        <v>1430</v>
      </c>
      <c r="AC77" s="32" t="s">
        <v>1431</v>
      </c>
      <c r="AD77" s="27">
        <v>1</v>
      </c>
      <c r="AE77" s="30">
        <v>199</v>
      </c>
      <c r="AF77" s="31">
        <v>199</v>
      </c>
      <c r="AG77" s="30" t="s">
        <v>75</v>
      </c>
      <c r="AH77" s="30">
        <v>0</v>
      </c>
      <c r="AI77" s="28">
        <v>0</v>
      </c>
      <c r="AJ77" s="28">
        <v>0</v>
      </c>
      <c r="AK77" s="27">
        <v>0.05</v>
      </c>
      <c r="AL77" s="27">
        <v>0</v>
      </c>
      <c r="AM77" s="28">
        <v>-9.95</v>
      </c>
      <c r="AN77" s="28">
        <v>199</v>
      </c>
      <c r="AO77" s="27">
        <v>199</v>
      </c>
      <c r="AP77" s="27">
        <v>0</v>
      </c>
      <c r="AQ77" s="29" t="s">
        <v>103</v>
      </c>
      <c r="AR77" s="27">
        <v>0</v>
      </c>
      <c r="AS77" s="27">
        <v>0.006</v>
      </c>
      <c r="AT77" s="28">
        <v>-1.19</v>
      </c>
      <c r="AU77" s="30" t="s">
        <v>151</v>
      </c>
      <c r="AV77" s="33" t="s">
        <v>1779</v>
      </c>
      <c r="AW77" s="33" t="s">
        <v>1780</v>
      </c>
      <c r="AX77" s="30"/>
      <c r="AY77" s="30"/>
      <c r="AZ77" s="28">
        <v>0</v>
      </c>
      <c r="BA77" s="27">
        <v>0</v>
      </c>
      <c r="BB77" s="27">
        <v>0</v>
      </c>
      <c r="BC77" s="27">
        <v>0</v>
      </c>
      <c r="BD77" s="27">
        <v>0</v>
      </c>
      <c r="BE77" s="30"/>
    </row>
    <row r="78" customHeight="1" spans="1:57">
      <c r="A78" s="20">
        <f>YEAR(V78)</f>
        <v>2025</v>
      </c>
      <c r="B78" s="21">
        <f>MONTH(V78)</f>
        <v>8</v>
      </c>
      <c r="C78" s="21" t="str">
        <f>R78</f>
        <v>P770643835711413521</v>
      </c>
      <c r="D78" s="21">
        <f>COUNTIF(R:R,R78)</f>
        <v>6</v>
      </c>
      <c r="E78" s="21">
        <f>COUNTIF($R$2:R78,R78)</f>
        <v>5</v>
      </c>
      <c r="F78" s="22" t="str" cm="1">
        <f t="array" ref="F78">INDEX(订单明细!BQ:BQ,MATCH(R78&amp;AC78,订单明细!A:A&amp;订单明细!O:O,0))</f>
        <v>Z1640-黑色-S</v>
      </c>
      <c r="G78" s="22" t="str">
        <f>LEFT(F78,FIND("-",F78)-1)</f>
        <v>Z1640</v>
      </c>
      <c r="H78" s="21" cm="1">
        <f t="array" ref="H78">_xlfn.IFS(C78=0,"",I78&gt;0,AD78,AND(I78&lt;0,I78&gt;-30),0,I78&lt;=-30,-1)</f>
        <v>1</v>
      </c>
      <c r="I78" s="21">
        <f>AF78</f>
        <v>289</v>
      </c>
      <c r="J78" s="21">
        <f>AI78+AJ78</f>
        <v>0</v>
      </c>
      <c r="K78" s="21">
        <f>IF(AZ78&lt;=0,AZ78,AZ78/COUNTIFS(R:R,R78,AZ:AZ,"&gt;0"))</f>
        <v>0</v>
      </c>
      <c r="L78" s="21">
        <f>AM78</f>
        <v>-14.45</v>
      </c>
      <c r="M78" s="21">
        <f>AT78</f>
        <v>-1.73</v>
      </c>
      <c r="N78" s="21"/>
      <c r="O78" s="23">
        <f>SUM(I78:N78)</f>
        <v>272.82</v>
      </c>
      <c r="R78" s="32" t="s">
        <v>1414</v>
      </c>
      <c r="S78" s="30"/>
      <c r="T78" s="30" t="s">
        <v>1930</v>
      </c>
      <c r="U78" s="30" t="s">
        <v>1940</v>
      </c>
      <c r="V78" s="30" t="s">
        <v>1926</v>
      </c>
      <c r="W78" s="33" t="s">
        <v>1782</v>
      </c>
      <c r="X78" s="33" t="s">
        <v>1776</v>
      </c>
      <c r="Y78" s="30">
        <v>640.23</v>
      </c>
      <c r="Z78" s="26" t="s">
        <v>1939</v>
      </c>
      <c r="AA78" s="33" t="s">
        <v>1800</v>
      </c>
      <c r="AB78" s="30" t="s">
        <v>1437</v>
      </c>
      <c r="AC78" s="32" t="s">
        <v>1438</v>
      </c>
      <c r="AD78" s="27">
        <v>1</v>
      </c>
      <c r="AE78" s="30">
        <v>289</v>
      </c>
      <c r="AF78" s="31">
        <v>289</v>
      </c>
      <c r="AG78" s="30" t="s">
        <v>75</v>
      </c>
      <c r="AH78" s="30">
        <v>0</v>
      </c>
      <c r="AI78" s="28">
        <v>0</v>
      </c>
      <c r="AJ78" s="28">
        <v>0</v>
      </c>
      <c r="AK78" s="27">
        <v>0.05</v>
      </c>
      <c r="AL78" s="27">
        <v>0</v>
      </c>
      <c r="AM78" s="28">
        <v>-14.45</v>
      </c>
      <c r="AN78" s="28">
        <v>289</v>
      </c>
      <c r="AO78" s="27">
        <v>289</v>
      </c>
      <c r="AP78" s="27">
        <v>0</v>
      </c>
      <c r="AQ78" s="29" t="s">
        <v>103</v>
      </c>
      <c r="AR78" s="27">
        <v>0</v>
      </c>
      <c r="AS78" s="27">
        <v>0.006</v>
      </c>
      <c r="AT78" s="28">
        <v>-1.73</v>
      </c>
      <c r="AU78" s="30" t="s">
        <v>151</v>
      </c>
      <c r="AV78" s="33" t="s">
        <v>1779</v>
      </c>
      <c r="AW78" s="33" t="s">
        <v>1780</v>
      </c>
      <c r="AX78" s="30"/>
      <c r="AY78" s="30"/>
      <c r="AZ78" s="28">
        <v>0</v>
      </c>
      <c r="BA78" s="27">
        <v>0</v>
      </c>
      <c r="BB78" s="27">
        <v>0</v>
      </c>
      <c r="BC78" s="27">
        <v>0</v>
      </c>
      <c r="BD78" s="27">
        <v>0</v>
      </c>
      <c r="BE78" s="30"/>
    </row>
    <row r="79" customHeight="1" spans="1:57">
      <c r="A79" s="20">
        <f>YEAR(V79)</f>
        <v>2025</v>
      </c>
      <c r="B79" s="21">
        <f>MONTH(V79)</f>
        <v>8</v>
      </c>
      <c r="C79" s="21" t="str">
        <f>R79</f>
        <v>P770643835711413521</v>
      </c>
      <c r="D79" s="21">
        <f>COUNTIF(R:R,R79)</f>
        <v>6</v>
      </c>
      <c r="E79" s="21">
        <f>COUNTIF($R$2:R79,R79)</f>
        <v>6</v>
      </c>
      <c r="F79" s="22" t="str" cm="1">
        <f t="array" ref="F79">INDEX(订单明细!BQ:BQ,MATCH(R79&amp;AC79,订单明细!A:A&amp;订单明细!O:O,0))</f>
        <v>Z1645-黑色-S</v>
      </c>
      <c r="G79" s="22" t="str">
        <f>LEFT(F79,FIND("-",F79)-1)</f>
        <v>Z1645</v>
      </c>
      <c r="H79" s="21" cm="1">
        <f t="array" ref="H79">_xlfn.IFS(C79=0,"",I79&gt;0,AD79,AND(I79&lt;0,I79&gt;-30),0,I79&lt;=-30,-1)</f>
        <v>1</v>
      </c>
      <c r="I79" s="21">
        <f>AF79</f>
        <v>189</v>
      </c>
      <c r="J79" s="21">
        <f>AI79+AJ79</f>
        <v>0</v>
      </c>
      <c r="K79" s="21">
        <f>IF(AZ79&lt;=0,AZ79,AZ79/COUNTIFS(R:R,R79,AZ:AZ,"&gt;0"))</f>
        <v>0</v>
      </c>
      <c r="L79" s="21">
        <f>AM79</f>
        <v>-9.45</v>
      </c>
      <c r="M79" s="21">
        <f>AT79</f>
        <v>0</v>
      </c>
      <c r="N79" s="21"/>
      <c r="O79" s="23">
        <f>SUM(I79:N79)</f>
        <v>179.55</v>
      </c>
      <c r="R79" s="32" t="s">
        <v>1414</v>
      </c>
      <c r="S79" s="30"/>
      <c r="T79" s="30" t="s">
        <v>1930</v>
      </c>
      <c r="U79" s="30" t="s">
        <v>1940</v>
      </c>
      <c r="V79" s="30" t="s">
        <v>1926</v>
      </c>
      <c r="W79" s="33" t="s">
        <v>1782</v>
      </c>
      <c r="X79" s="33" t="s">
        <v>1776</v>
      </c>
      <c r="Y79" s="30">
        <v>640.23</v>
      </c>
      <c r="Z79" s="26" t="s">
        <v>1932</v>
      </c>
      <c r="AA79" s="33" t="s">
        <v>1933</v>
      </c>
      <c r="AB79" s="30" t="s">
        <v>418</v>
      </c>
      <c r="AC79" s="32" t="s">
        <v>419</v>
      </c>
      <c r="AD79" s="27">
        <v>1</v>
      </c>
      <c r="AE79" s="30">
        <v>189</v>
      </c>
      <c r="AF79" s="31">
        <v>189</v>
      </c>
      <c r="AG79" s="30" t="s">
        <v>75</v>
      </c>
      <c r="AH79" s="30">
        <v>0</v>
      </c>
      <c r="AI79" s="28">
        <v>0</v>
      </c>
      <c r="AJ79" s="28">
        <v>0</v>
      </c>
      <c r="AK79" s="27">
        <v>0.05</v>
      </c>
      <c r="AL79" s="27">
        <v>0</v>
      </c>
      <c r="AM79" s="28">
        <v>-9.45</v>
      </c>
      <c r="AN79" s="28">
        <v>189</v>
      </c>
      <c r="AO79" s="27">
        <v>189</v>
      </c>
      <c r="AP79" s="27">
        <v>0</v>
      </c>
      <c r="AQ79" s="29" t="s">
        <v>103</v>
      </c>
      <c r="AR79" s="27">
        <v>0</v>
      </c>
      <c r="AS79" s="27">
        <v>0</v>
      </c>
      <c r="AT79" s="28">
        <v>0</v>
      </c>
      <c r="AU79" s="30" t="s">
        <v>75</v>
      </c>
      <c r="AV79" s="30" t="s">
        <v>75</v>
      </c>
      <c r="AW79" s="30"/>
      <c r="AX79" s="30"/>
      <c r="AY79" s="30"/>
      <c r="AZ79" s="28">
        <v>0</v>
      </c>
      <c r="BA79" s="27">
        <v>0</v>
      </c>
      <c r="BB79" s="27">
        <v>0</v>
      </c>
      <c r="BC79" s="27">
        <v>0</v>
      </c>
      <c r="BD79" s="27">
        <v>0</v>
      </c>
      <c r="BE79" s="30"/>
    </row>
    <row r="80" customHeight="1" spans="1:57">
      <c r="A80" s="20">
        <f>YEAR(V80)</f>
        <v>2025</v>
      </c>
      <c r="B80" s="21">
        <f>MONTH(V80)</f>
        <v>8</v>
      </c>
      <c r="C80" s="21" t="str">
        <f>R80</f>
        <v>P770625887719453891</v>
      </c>
      <c r="D80" s="21">
        <f>COUNTIF(R:R,R80)</f>
        <v>2</v>
      </c>
      <c r="E80" s="21">
        <f>COUNTIF($R$2:R80,R80)</f>
        <v>2</v>
      </c>
      <c r="F80" s="22" t="str" cm="1">
        <f t="array" ref="F80">INDEX(订单明细!BQ:BQ,MATCH(R80&amp;AC80,订单明细!A:A&amp;订单明细!O:O,0))</f>
        <v>Z2284-牛仔蓝色-L</v>
      </c>
      <c r="G80" s="22" t="str">
        <f>LEFT(F80,FIND("-",F80)-1)</f>
        <v>Z2284</v>
      </c>
      <c r="H80" s="21" cm="1">
        <f t="array" ref="H80">_xlfn.IFS(C80=0,"",I80&gt;0,AD80,AND(I80&lt;0,I80&gt;-30),0,I80&lt;=-30,-1)</f>
        <v>1</v>
      </c>
      <c r="I80" s="21">
        <f>AF80</f>
        <v>399</v>
      </c>
      <c r="J80" s="21">
        <f>AI80+AJ80</f>
        <v>0</v>
      </c>
      <c r="K80" s="21">
        <f>IF(AZ80&lt;=0,AZ80,AZ80/COUNTIFS(R:R,R80,AZ:AZ,"&gt;0"))</f>
        <v>0</v>
      </c>
      <c r="L80" s="21">
        <f>AM80</f>
        <v>-19.95</v>
      </c>
      <c r="M80" s="21">
        <f>AT80</f>
        <v>-2.39</v>
      </c>
      <c r="N80" s="21"/>
      <c r="O80" s="23">
        <f>SUM(I80:N80)</f>
        <v>376.66</v>
      </c>
      <c r="R80" s="32" t="s">
        <v>1569</v>
      </c>
      <c r="S80" s="30"/>
      <c r="T80" s="30" t="s">
        <v>1583</v>
      </c>
      <c r="U80" s="30" t="s">
        <v>1586</v>
      </c>
      <c r="V80" s="30" t="s">
        <v>1926</v>
      </c>
      <c r="W80" s="33" t="s">
        <v>1782</v>
      </c>
      <c r="X80" s="33" t="s">
        <v>1776</v>
      </c>
      <c r="Y80" s="30">
        <v>376.66</v>
      </c>
      <c r="Z80" s="26" t="s">
        <v>1927</v>
      </c>
      <c r="AA80" s="33" t="s">
        <v>1928</v>
      </c>
      <c r="AB80" s="30" t="s">
        <v>1575</v>
      </c>
      <c r="AC80" s="32" t="s">
        <v>1576</v>
      </c>
      <c r="AD80" s="27">
        <v>1</v>
      </c>
      <c r="AE80" s="30">
        <v>399</v>
      </c>
      <c r="AF80" s="31">
        <v>399</v>
      </c>
      <c r="AG80" s="30" t="s">
        <v>75</v>
      </c>
      <c r="AH80" s="30">
        <v>0</v>
      </c>
      <c r="AI80" s="28">
        <v>0</v>
      </c>
      <c r="AJ80" s="28">
        <v>0</v>
      </c>
      <c r="AK80" s="27">
        <v>0.05</v>
      </c>
      <c r="AL80" s="27">
        <v>0</v>
      </c>
      <c r="AM80" s="28">
        <v>-19.95</v>
      </c>
      <c r="AN80" s="28">
        <v>399</v>
      </c>
      <c r="AO80" s="27">
        <v>399</v>
      </c>
      <c r="AP80" s="27">
        <v>0</v>
      </c>
      <c r="AQ80" s="29" t="s">
        <v>103</v>
      </c>
      <c r="AR80" s="27">
        <v>0</v>
      </c>
      <c r="AS80" s="27">
        <v>0.006</v>
      </c>
      <c r="AT80" s="28">
        <v>-2.39</v>
      </c>
      <c r="AU80" s="30" t="s">
        <v>151</v>
      </c>
      <c r="AV80" s="33" t="s">
        <v>1779</v>
      </c>
      <c r="AW80" s="33" t="s">
        <v>1780</v>
      </c>
      <c r="AX80" s="30"/>
      <c r="AY80" s="30"/>
      <c r="AZ80" s="28">
        <v>0</v>
      </c>
      <c r="BA80" s="27">
        <v>0</v>
      </c>
      <c r="BB80" s="27">
        <v>0</v>
      </c>
      <c r="BC80" s="27">
        <v>0</v>
      </c>
      <c r="BD80" s="27">
        <v>0</v>
      </c>
      <c r="BE80" s="30"/>
    </row>
    <row r="81" customHeight="1" spans="1:57">
      <c r="A81" s="20">
        <f>YEAR(V81)</f>
        <v>2025</v>
      </c>
      <c r="B81" s="21">
        <f>MONTH(V81)</f>
        <v>8</v>
      </c>
      <c r="C81" s="21" t="str">
        <f>R81</f>
        <v>P770986869946371481</v>
      </c>
      <c r="D81" s="21">
        <f>COUNTIF(R:R,R81)</f>
        <v>4</v>
      </c>
      <c r="E81" s="21">
        <f>COUNTIF($R$2:R81,R81)</f>
        <v>1</v>
      </c>
      <c r="F81" s="22" t="str" cm="1">
        <f t="array" ref="F81">INDEX(订单明细!BQ:BQ,MATCH(R81&amp;AC81,订单明细!A:A&amp;订单明细!O:O,0))</f>
        <v>Z2218-黑色-M</v>
      </c>
      <c r="G81" s="22" t="str">
        <f>LEFT(F81,FIND("-",F81)-1)</f>
        <v>Z2218</v>
      </c>
      <c r="H81" s="21" cm="1">
        <f t="array" ref="H81">_xlfn.IFS(C81=0,"",I81&gt;0,AD81,AND(I81&lt;0,I81&gt;-30),0,I81&lt;=-30,-1)</f>
        <v>-1</v>
      </c>
      <c r="I81" s="21">
        <f>AF81</f>
        <v>-229</v>
      </c>
      <c r="J81" s="21">
        <f>AI81+AJ81</f>
        <v>0</v>
      </c>
      <c r="K81" s="21">
        <f>IF(AZ81&lt;=0,AZ81,AZ81/COUNTIFS(R:R,R81,AZ:AZ,"&gt;0"))</f>
        <v>0</v>
      </c>
      <c r="L81" s="21">
        <f>AM81</f>
        <v>11.45</v>
      </c>
      <c r="M81" s="21">
        <f>AT81</f>
        <v>1.37</v>
      </c>
      <c r="N81" s="21"/>
      <c r="O81" s="23">
        <f>SUM(I81:N81)</f>
        <v>-216.18</v>
      </c>
      <c r="R81" s="32" t="s">
        <v>228</v>
      </c>
      <c r="S81" s="30" t="s">
        <v>1941</v>
      </c>
      <c r="T81" s="30" t="s">
        <v>1942</v>
      </c>
      <c r="U81" s="30" t="s">
        <v>1943</v>
      </c>
      <c r="V81" s="30" t="s">
        <v>1944</v>
      </c>
      <c r="W81" s="33" t="s">
        <v>1775</v>
      </c>
      <c r="X81" s="33" t="s">
        <v>1776</v>
      </c>
      <c r="Y81" s="30">
        <v>-216.18</v>
      </c>
      <c r="Z81" s="26" t="s">
        <v>1945</v>
      </c>
      <c r="AA81" s="33" t="s">
        <v>1800</v>
      </c>
      <c r="AB81" s="30" t="s">
        <v>237</v>
      </c>
      <c r="AC81" s="32" t="s">
        <v>238</v>
      </c>
      <c r="AD81" s="27">
        <v>0</v>
      </c>
      <c r="AE81" s="30">
        <v>-229</v>
      </c>
      <c r="AF81" s="32">
        <v>-229</v>
      </c>
      <c r="AG81" s="30">
        <v>0</v>
      </c>
      <c r="AH81" s="30">
        <v>0</v>
      </c>
      <c r="AI81" s="28">
        <v>0</v>
      </c>
      <c r="AJ81" s="28">
        <v>0</v>
      </c>
      <c r="AK81" s="27">
        <v>0</v>
      </c>
      <c r="AL81" s="27">
        <v>0</v>
      </c>
      <c r="AM81" s="28">
        <v>11.45</v>
      </c>
      <c r="AN81" s="28">
        <v>0</v>
      </c>
      <c r="AO81" s="27">
        <v>0</v>
      </c>
      <c r="AP81" s="27">
        <v>0</v>
      </c>
      <c r="AQ81" s="29" t="s">
        <v>103</v>
      </c>
      <c r="AR81" s="27">
        <v>0</v>
      </c>
      <c r="AS81" s="27">
        <v>0</v>
      </c>
      <c r="AT81" s="28">
        <v>1.37</v>
      </c>
      <c r="AU81" s="30" t="s">
        <v>151</v>
      </c>
      <c r="AV81" s="33" t="s">
        <v>1779</v>
      </c>
      <c r="AW81" s="33" t="s">
        <v>1780</v>
      </c>
      <c r="AX81" s="30"/>
      <c r="AY81" s="30"/>
      <c r="AZ81" s="28">
        <v>0</v>
      </c>
      <c r="BA81" s="27">
        <v>0</v>
      </c>
      <c r="BB81" s="27">
        <v>0</v>
      </c>
      <c r="BC81" s="27">
        <v>0</v>
      </c>
      <c r="BD81" s="27">
        <v>0</v>
      </c>
      <c r="BE81" s="30"/>
    </row>
    <row r="82" customHeight="1" spans="1:57">
      <c r="A82" s="20">
        <f>YEAR(V82)</f>
        <v>2025</v>
      </c>
      <c r="B82" s="21">
        <f>MONTH(V82)</f>
        <v>8</v>
      </c>
      <c r="C82" s="21" t="str">
        <f>R82</f>
        <v>P770986869946371481</v>
      </c>
      <c r="D82" s="21">
        <f>COUNTIF(R:R,R82)</f>
        <v>4</v>
      </c>
      <c r="E82" s="21">
        <f>COUNTIF($R$2:R82,R82)</f>
        <v>2</v>
      </c>
      <c r="F82" s="22" t="str" cm="1">
        <f t="array" ref="F82">INDEX(订单明细!BQ:BQ,MATCH(R82&amp;AC82,订单明细!A:A&amp;订单明细!O:O,0))</f>
        <v>Z2218-黑色-S</v>
      </c>
      <c r="G82" s="22" t="str">
        <f>LEFT(F82,FIND("-",F82)-1)</f>
        <v>Z2218</v>
      </c>
      <c r="H82" s="21" cm="1">
        <f t="array" ref="H82">_xlfn.IFS(C82=0,"",I82&gt;0,AD82,AND(I82&lt;0,I82&gt;-30),0,I82&lt;=-30,-1)</f>
        <v>-1</v>
      </c>
      <c r="I82" s="21">
        <f>AF82</f>
        <v>-229</v>
      </c>
      <c r="J82" s="21">
        <f>AI82+AJ82</f>
        <v>0</v>
      </c>
      <c r="K82" s="21">
        <f>IF(AZ82&lt;=0,AZ82,AZ82/COUNTIFS(R:R,R82,AZ:AZ,"&gt;0"))</f>
        <v>0</v>
      </c>
      <c r="L82" s="21">
        <f>AM82</f>
        <v>11.45</v>
      </c>
      <c r="M82" s="21">
        <f>AT82</f>
        <v>1.37</v>
      </c>
      <c r="N82" s="21"/>
      <c r="O82" s="23">
        <f>SUM(I82:N82)</f>
        <v>-216.18</v>
      </c>
      <c r="R82" s="32" t="s">
        <v>228</v>
      </c>
      <c r="S82" s="30" t="s">
        <v>1946</v>
      </c>
      <c r="T82" s="30" t="s">
        <v>1942</v>
      </c>
      <c r="U82" s="30" t="s">
        <v>1947</v>
      </c>
      <c r="V82" s="30" t="s">
        <v>1944</v>
      </c>
      <c r="W82" s="33" t="s">
        <v>1775</v>
      </c>
      <c r="X82" s="33" t="s">
        <v>1776</v>
      </c>
      <c r="Y82" s="30">
        <v>-216.18</v>
      </c>
      <c r="Z82" s="26" t="s">
        <v>1814</v>
      </c>
      <c r="AA82" s="33" t="s">
        <v>1800</v>
      </c>
      <c r="AB82" s="30" t="s">
        <v>254</v>
      </c>
      <c r="AC82" s="32" t="s">
        <v>255</v>
      </c>
      <c r="AD82" s="27">
        <v>0</v>
      </c>
      <c r="AE82" s="30">
        <v>-229</v>
      </c>
      <c r="AF82" s="32">
        <v>-229</v>
      </c>
      <c r="AG82" s="30">
        <v>0</v>
      </c>
      <c r="AH82" s="30">
        <v>0</v>
      </c>
      <c r="AI82" s="28">
        <v>0</v>
      </c>
      <c r="AJ82" s="28">
        <v>0</v>
      </c>
      <c r="AK82" s="27">
        <v>0</v>
      </c>
      <c r="AL82" s="27">
        <v>0</v>
      </c>
      <c r="AM82" s="28">
        <v>11.45</v>
      </c>
      <c r="AN82" s="28">
        <v>0</v>
      </c>
      <c r="AO82" s="27">
        <v>0</v>
      </c>
      <c r="AP82" s="27">
        <v>0</v>
      </c>
      <c r="AQ82" s="29" t="s">
        <v>103</v>
      </c>
      <c r="AR82" s="27">
        <v>0</v>
      </c>
      <c r="AS82" s="27">
        <v>0</v>
      </c>
      <c r="AT82" s="28">
        <v>1.37</v>
      </c>
      <c r="AU82" s="30" t="s">
        <v>151</v>
      </c>
      <c r="AV82" s="33" t="s">
        <v>1779</v>
      </c>
      <c r="AW82" s="33" t="s">
        <v>1780</v>
      </c>
      <c r="AX82" s="30"/>
      <c r="AY82" s="30"/>
      <c r="AZ82" s="28">
        <v>0</v>
      </c>
      <c r="BA82" s="27">
        <v>0</v>
      </c>
      <c r="BB82" s="27">
        <v>0</v>
      </c>
      <c r="BC82" s="27">
        <v>0</v>
      </c>
      <c r="BD82" s="27">
        <v>0</v>
      </c>
      <c r="BE82" s="30"/>
    </row>
    <row r="83" customHeight="1" spans="1:57">
      <c r="A83" s="20">
        <f>YEAR(V83)</f>
        <v>2025</v>
      </c>
      <c r="B83" s="21">
        <f>MONTH(V83)</f>
        <v>8</v>
      </c>
      <c r="C83" s="21" t="str">
        <f>R83</f>
        <v>P770628663394212021</v>
      </c>
      <c r="D83" s="21">
        <f>COUNTIF(R:R,R83)</f>
        <v>2</v>
      </c>
      <c r="E83" s="21">
        <f>COUNTIF($R$2:R83,R83)</f>
        <v>1</v>
      </c>
      <c r="F83" s="22" t="str" cm="1">
        <f t="array" ref="F83">INDEX(订单明细!BQ:BQ,MATCH(R83&amp;AC83,订单明细!A:A&amp;订单明细!O:O,0))</f>
        <v>Z2333-米白色-M</v>
      </c>
      <c r="G83" s="22" t="str">
        <f>LEFT(F83,FIND("-",F83)-1)</f>
        <v>Z2333</v>
      </c>
      <c r="H83" s="21" cm="1">
        <f t="array" ref="H83">_xlfn.IFS(C83=0,"",I83&gt;0,AD83,AND(I83&lt;0,I83&gt;-30),0,I83&lt;=-30,-1)</f>
        <v>-1</v>
      </c>
      <c r="I83" s="21">
        <f>AF83</f>
        <v>-169</v>
      </c>
      <c r="J83" s="21">
        <f>AI83+AJ83</f>
        <v>0</v>
      </c>
      <c r="K83" s="21">
        <f>IF(AZ83&lt;=0,AZ83,AZ83/COUNTIFS(R:R,R83,AZ:AZ,"&gt;0"))</f>
        <v>0</v>
      </c>
      <c r="L83" s="21">
        <f>AM83</f>
        <v>8.45</v>
      </c>
      <c r="M83" s="21">
        <f>AT83</f>
        <v>1.01</v>
      </c>
      <c r="N83" s="21"/>
      <c r="O83" s="23">
        <f>SUM(I83:N83)</f>
        <v>-159.54</v>
      </c>
      <c r="R83" s="32" t="s">
        <v>1548</v>
      </c>
      <c r="S83" s="30" t="s">
        <v>1948</v>
      </c>
      <c r="T83" s="30" t="s">
        <v>1563</v>
      </c>
      <c r="U83" s="30" t="s">
        <v>1949</v>
      </c>
      <c r="V83" s="30" t="s">
        <v>1944</v>
      </c>
      <c r="W83" s="33" t="s">
        <v>1775</v>
      </c>
      <c r="X83" s="33" t="s">
        <v>1776</v>
      </c>
      <c r="Y83" s="30">
        <v>-159.54</v>
      </c>
      <c r="Z83" s="26" t="s">
        <v>1950</v>
      </c>
      <c r="AA83" s="33" t="s">
        <v>1788</v>
      </c>
      <c r="AB83" s="30" t="s">
        <v>1556</v>
      </c>
      <c r="AC83" s="32" t="s">
        <v>1557</v>
      </c>
      <c r="AD83" s="27">
        <v>0</v>
      </c>
      <c r="AE83" s="30">
        <v>-169</v>
      </c>
      <c r="AF83" s="32">
        <v>-169</v>
      </c>
      <c r="AG83" s="30">
        <v>0</v>
      </c>
      <c r="AH83" s="30">
        <v>0</v>
      </c>
      <c r="AI83" s="28">
        <v>0</v>
      </c>
      <c r="AJ83" s="28">
        <v>0</v>
      </c>
      <c r="AK83" s="27">
        <v>0</v>
      </c>
      <c r="AL83" s="27">
        <v>0</v>
      </c>
      <c r="AM83" s="28">
        <v>8.45</v>
      </c>
      <c r="AN83" s="28">
        <v>0</v>
      </c>
      <c r="AO83" s="27">
        <v>0</v>
      </c>
      <c r="AP83" s="27">
        <v>0</v>
      </c>
      <c r="AQ83" s="29" t="s">
        <v>103</v>
      </c>
      <c r="AR83" s="27">
        <v>0</v>
      </c>
      <c r="AS83" s="27">
        <v>0</v>
      </c>
      <c r="AT83" s="28">
        <v>1.01</v>
      </c>
      <c r="AU83" s="30" t="s">
        <v>151</v>
      </c>
      <c r="AV83" s="33" t="s">
        <v>1779</v>
      </c>
      <c r="AW83" s="33" t="s">
        <v>1780</v>
      </c>
      <c r="AX83" s="30"/>
      <c r="AY83" s="30"/>
      <c r="AZ83" s="28">
        <v>0</v>
      </c>
      <c r="BA83" s="27">
        <v>0</v>
      </c>
      <c r="BB83" s="27">
        <v>0</v>
      </c>
      <c r="BC83" s="27">
        <v>0</v>
      </c>
      <c r="BD83" s="27">
        <v>0</v>
      </c>
      <c r="BE83" s="30"/>
    </row>
    <row r="84" customHeight="1" spans="1:57">
      <c r="A84" s="20">
        <f>YEAR(V84)</f>
        <v>2025</v>
      </c>
      <c r="B84" s="21">
        <f>MONTH(V84)</f>
        <v>8</v>
      </c>
      <c r="C84" s="21" t="str">
        <f>R84</f>
        <v>P770990615215304131</v>
      </c>
      <c r="D84" s="21">
        <f>COUNTIF(R:R,R84)</f>
        <v>2</v>
      </c>
      <c r="E84" s="21">
        <f>COUNTIF($R$2:R84,R84)</f>
        <v>1</v>
      </c>
      <c r="F84" s="22" t="str" cm="1">
        <f t="array" ref="F84">INDEX(订单明细!BQ:BQ,MATCH(R84&amp;AC84,订单明细!A:A&amp;订单明细!O:O,0))</f>
        <v>Z2233-黄绿色-S</v>
      </c>
      <c r="G84" s="22" t="str">
        <f>LEFT(F84,FIND("-",F84)-1)</f>
        <v>Z2233</v>
      </c>
      <c r="H84" s="21" cm="1">
        <f t="array" ref="H84">_xlfn.IFS(C84=0,"",I84&gt;0,AD84,AND(I84&lt;0,I84&gt;-30),0,I84&lt;=-30,-1)</f>
        <v>-1</v>
      </c>
      <c r="I84" s="21">
        <f>AF84</f>
        <v>-269</v>
      </c>
      <c r="J84" s="21">
        <f>AI84+AJ84</f>
        <v>0</v>
      </c>
      <c r="K84" s="21">
        <f>IF(AZ84&lt;=0,AZ84,AZ84/COUNTIFS(R:R,R84,AZ:AZ,"&gt;0"))</f>
        <v>0</v>
      </c>
      <c r="L84" s="21">
        <f>AM84</f>
        <v>13.45</v>
      </c>
      <c r="M84" s="21">
        <f>AT84</f>
        <v>1.61</v>
      </c>
      <c r="N84" s="21"/>
      <c r="O84" s="23">
        <f>SUM(I84:N84)</f>
        <v>-253.94</v>
      </c>
      <c r="R84" s="32" t="s">
        <v>201</v>
      </c>
      <c r="S84" s="30" t="s">
        <v>1951</v>
      </c>
      <c r="T84" s="30" t="s">
        <v>219</v>
      </c>
      <c r="U84" s="30" t="s">
        <v>1952</v>
      </c>
      <c r="V84" s="30" t="s">
        <v>1944</v>
      </c>
      <c r="W84" s="33" t="s">
        <v>1775</v>
      </c>
      <c r="X84" s="33" t="s">
        <v>1776</v>
      </c>
      <c r="Y84" s="30">
        <v>-253.94</v>
      </c>
      <c r="Z84" s="26" t="s">
        <v>1953</v>
      </c>
      <c r="AA84" s="33" t="s">
        <v>1778</v>
      </c>
      <c r="AB84" s="30" t="s">
        <v>210</v>
      </c>
      <c r="AC84" s="32" t="s">
        <v>211</v>
      </c>
      <c r="AD84" s="27">
        <v>0</v>
      </c>
      <c r="AE84" s="30">
        <v>-269</v>
      </c>
      <c r="AF84" s="32">
        <v>-269</v>
      </c>
      <c r="AG84" s="30">
        <v>0</v>
      </c>
      <c r="AH84" s="30">
        <v>0</v>
      </c>
      <c r="AI84" s="28">
        <v>0</v>
      </c>
      <c r="AJ84" s="28">
        <v>0</v>
      </c>
      <c r="AK84" s="27">
        <v>0</v>
      </c>
      <c r="AL84" s="27">
        <v>0</v>
      </c>
      <c r="AM84" s="28">
        <v>13.45</v>
      </c>
      <c r="AN84" s="28">
        <v>0</v>
      </c>
      <c r="AO84" s="27">
        <v>0</v>
      </c>
      <c r="AP84" s="27">
        <v>0</v>
      </c>
      <c r="AQ84" s="29" t="s">
        <v>103</v>
      </c>
      <c r="AR84" s="27">
        <v>0</v>
      </c>
      <c r="AS84" s="27">
        <v>0</v>
      </c>
      <c r="AT84" s="28">
        <v>1.61</v>
      </c>
      <c r="AU84" s="30" t="s">
        <v>151</v>
      </c>
      <c r="AV84" s="33" t="s">
        <v>1779</v>
      </c>
      <c r="AW84" s="33" t="s">
        <v>1780</v>
      </c>
      <c r="AX84" s="30"/>
      <c r="AY84" s="30"/>
      <c r="AZ84" s="28">
        <v>0</v>
      </c>
      <c r="BA84" s="27">
        <v>0</v>
      </c>
      <c r="BB84" s="27">
        <v>0</v>
      </c>
      <c r="BC84" s="27">
        <v>0</v>
      </c>
      <c r="BD84" s="27">
        <v>0</v>
      </c>
      <c r="BE84" s="30"/>
    </row>
    <row r="85" customHeight="1" spans="1:57">
      <c r="A85" s="20">
        <f>YEAR(V85)</f>
        <v>2025</v>
      </c>
      <c r="B85" s="21">
        <f>MONTH(V85)</f>
        <v>8</v>
      </c>
      <c r="C85" s="21" t="str">
        <f>R85</f>
        <v>P770990615215304131</v>
      </c>
      <c r="D85" s="21">
        <f>COUNTIF(R:R,R85)</f>
        <v>2</v>
      </c>
      <c r="E85" s="21">
        <f>COUNTIF($R$2:R85,R85)</f>
        <v>2</v>
      </c>
      <c r="F85" s="22" t="str" cm="1">
        <f t="array" ref="F85">INDEX(订单明细!BQ:BQ,MATCH(R85&amp;AC85,订单明细!A:A&amp;订单明细!O:O,0))</f>
        <v>Z2233-黄绿色-S</v>
      </c>
      <c r="G85" s="22" t="str">
        <f>LEFT(F85,FIND("-",F85)-1)</f>
        <v>Z2233</v>
      </c>
      <c r="H85" s="21" cm="1">
        <f t="array" ref="H85">_xlfn.IFS(C85=0,"",I85&gt;0,AD85,AND(I85&lt;0,I85&gt;-30),0,I85&lt;=-30,-1)</f>
        <v>1</v>
      </c>
      <c r="I85" s="21">
        <f>AF85</f>
        <v>269</v>
      </c>
      <c r="J85" s="21">
        <f>AI85+AJ85</f>
        <v>0</v>
      </c>
      <c r="K85" s="21">
        <f>IF(AZ85&lt;=0,AZ85,AZ85/COUNTIFS(R:R,R85,AZ:AZ,"&gt;0"))</f>
        <v>0</v>
      </c>
      <c r="L85" s="21">
        <f>AM85</f>
        <v>-13.45</v>
      </c>
      <c r="M85" s="21">
        <f>AT85</f>
        <v>-1.61</v>
      </c>
      <c r="N85" s="21"/>
      <c r="O85" s="23">
        <f>SUM(I85:N85)</f>
        <v>253.94</v>
      </c>
      <c r="R85" s="32" t="s">
        <v>201</v>
      </c>
      <c r="S85" s="30"/>
      <c r="T85" s="30" t="s">
        <v>219</v>
      </c>
      <c r="U85" s="30" t="s">
        <v>1954</v>
      </c>
      <c r="V85" s="30" t="s">
        <v>1944</v>
      </c>
      <c r="W85" s="33" t="s">
        <v>1782</v>
      </c>
      <c r="X85" s="33" t="s">
        <v>1776</v>
      </c>
      <c r="Y85" s="30">
        <v>253.94</v>
      </c>
      <c r="Z85" s="26" t="s">
        <v>1953</v>
      </c>
      <c r="AA85" s="33" t="s">
        <v>1778</v>
      </c>
      <c r="AB85" s="30" t="s">
        <v>210</v>
      </c>
      <c r="AC85" s="32" t="s">
        <v>211</v>
      </c>
      <c r="AD85" s="27">
        <v>1</v>
      </c>
      <c r="AE85" s="30">
        <v>269</v>
      </c>
      <c r="AF85" s="31">
        <v>269</v>
      </c>
      <c r="AG85" s="30" t="s">
        <v>75</v>
      </c>
      <c r="AH85" s="30">
        <v>0</v>
      </c>
      <c r="AI85" s="28">
        <v>0</v>
      </c>
      <c r="AJ85" s="28">
        <v>0</v>
      </c>
      <c r="AK85" s="27">
        <v>0.05</v>
      </c>
      <c r="AL85" s="27">
        <v>0</v>
      </c>
      <c r="AM85" s="28">
        <v>-13.45</v>
      </c>
      <c r="AN85" s="28">
        <v>269</v>
      </c>
      <c r="AO85" s="27">
        <v>269</v>
      </c>
      <c r="AP85" s="27">
        <v>0</v>
      </c>
      <c r="AQ85" s="29" t="s">
        <v>103</v>
      </c>
      <c r="AR85" s="27">
        <v>0</v>
      </c>
      <c r="AS85" s="27">
        <v>0.006</v>
      </c>
      <c r="AT85" s="28">
        <v>-1.61</v>
      </c>
      <c r="AU85" s="30" t="s">
        <v>151</v>
      </c>
      <c r="AV85" s="33" t="s">
        <v>1779</v>
      </c>
      <c r="AW85" s="33" t="s">
        <v>1780</v>
      </c>
      <c r="AX85" s="30"/>
      <c r="AY85" s="30"/>
      <c r="AZ85" s="28">
        <v>0</v>
      </c>
      <c r="BA85" s="27">
        <v>0</v>
      </c>
      <c r="BB85" s="27">
        <v>0</v>
      </c>
      <c r="BC85" s="27">
        <v>0</v>
      </c>
      <c r="BD85" s="27">
        <v>0</v>
      </c>
      <c r="BE85" s="30"/>
    </row>
    <row r="86" customHeight="1" spans="1:57">
      <c r="A86" s="20">
        <f>YEAR(V86)</f>
        <v>2025</v>
      </c>
      <c r="B86" s="21">
        <f>MONTH(V86)</f>
        <v>8</v>
      </c>
      <c r="C86" s="21" t="str">
        <f>R86</f>
        <v>P770986869946371481</v>
      </c>
      <c r="D86" s="21">
        <f>COUNTIF(R:R,R86)</f>
        <v>4</v>
      </c>
      <c r="E86" s="21">
        <f>COUNTIF($R$2:R86,R86)</f>
        <v>3</v>
      </c>
      <c r="F86" s="22" t="str" cm="1">
        <f t="array" ref="F86">INDEX(订单明细!BQ:BQ,MATCH(R86&amp;AC86,订单明细!A:A&amp;订单明细!O:O,0))</f>
        <v>Z2218-黑色-S</v>
      </c>
      <c r="G86" s="22" t="str">
        <f>LEFT(F86,FIND("-",F86)-1)</f>
        <v>Z2218</v>
      </c>
      <c r="H86" s="21" cm="1">
        <f t="array" ref="H86">_xlfn.IFS(C86=0,"",I86&gt;0,AD86,AND(I86&lt;0,I86&gt;-30),0,I86&lt;=-30,-1)</f>
        <v>1</v>
      </c>
      <c r="I86" s="21">
        <f>AF86</f>
        <v>229</v>
      </c>
      <c r="J86" s="21">
        <f>AI86+AJ86</f>
        <v>0</v>
      </c>
      <c r="K86" s="21">
        <f>IF(AZ86&lt;=0,AZ86,AZ86/COUNTIFS(R:R,R86,AZ:AZ,"&gt;0"))</f>
        <v>0</v>
      </c>
      <c r="L86" s="21">
        <f>AM86</f>
        <v>-11.45</v>
      </c>
      <c r="M86" s="21">
        <f>AT86</f>
        <v>-1.37</v>
      </c>
      <c r="N86" s="21"/>
      <c r="O86" s="23">
        <f>SUM(I86:N86)</f>
        <v>216.18</v>
      </c>
      <c r="R86" s="32" t="s">
        <v>228</v>
      </c>
      <c r="S86" s="30"/>
      <c r="T86" s="30" t="s">
        <v>1942</v>
      </c>
      <c r="U86" s="30" t="s">
        <v>1955</v>
      </c>
      <c r="V86" s="30" t="s">
        <v>1944</v>
      </c>
      <c r="W86" s="33" t="s">
        <v>1782</v>
      </c>
      <c r="X86" s="33" t="s">
        <v>1776</v>
      </c>
      <c r="Y86" s="30">
        <v>432.36</v>
      </c>
      <c r="Z86" s="26" t="s">
        <v>1814</v>
      </c>
      <c r="AA86" s="33" t="s">
        <v>1800</v>
      </c>
      <c r="AB86" s="30" t="s">
        <v>254</v>
      </c>
      <c r="AC86" s="32" t="s">
        <v>255</v>
      </c>
      <c r="AD86" s="27">
        <v>1</v>
      </c>
      <c r="AE86" s="30">
        <v>229</v>
      </c>
      <c r="AF86" s="31">
        <v>229</v>
      </c>
      <c r="AG86" s="30" t="s">
        <v>75</v>
      </c>
      <c r="AH86" s="30">
        <v>0</v>
      </c>
      <c r="AI86" s="28">
        <v>0</v>
      </c>
      <c r="AJ86" s="28">
        <v>0</v>
      </c>
      <c r="AK86" s="27">
        <v>0.05</v>
      </c>
      <c r="AL86" s="27">
        <v>0</v>
      </c>
      <c r="AM86" s="28">
        <v>-11.45</v>
      </c>
      <c r="AN86" s="28">
        <v>229</v>
      </c>
      <c r="AO86" s="27">
        <v>229</v>
      </c>
      <c r="AP86" s="27">
        <v>0</v>
      </c>
      <c r="AQ86" s="29" t="s">
        <v>103</v>
      </c>
      <c r="AR86" s="27">
        <v>0</v>
      </c>
      <c r="AS86" s="27">
        <v>0.006</v>
      </c>
      <c r="AT86" s="28">
        <v>-1.37</v>
      </c>
      <c r="AU86" s="30" t="s">
        <v>151</v>
      </c>
      <c r="AV86" s="33" t="s">
        <v>1779</v>
      </c>
      <c r="AW86" s="33" t="s">
        <v>1780</v>
      </c>
      <c r="AX86" s="30"/>
      <c r="AY86" s="30"/>
      <c r="AZ86" s="28">
        <v>0</v>
      </c>
      <c r="BA86" s="27">
        <v>0</v>
      </c>
      <c r="BB86" s="27">
        <v>0</v>
      </c>
      <c r="BC86" s="27">
        <v>0</v>
      </c>
      <c r="BD86" s="27">
        <v>0</v>
      </c>
      <c r="BE86" s="30"/>
    </row>
    <row r="87" customHeight="1" spans="1:57">
      <c r="A87" s="20">
        <f>YEAR(V87)</f>
        <v>2025</v>
      </c>
      <c r="B87" s="21">
        <f>MONTH(V87)</f>
        <v>8</v>
      </c>
      <c r="C87" s="21" t="str">
        <f>R87</f>
        <v>P770986869946371481</v>
      </c>
      <c r="D87" s="21">
        <f>COUNTIF(R:R,R87)</f>
        <v>4</v>
      </c>
      <c r="E87" s="21">
        <f>COUNTIF($R$2:R87,R87)</f>
        <v>4</v>
      </c>
      <c r="F87" s="22" t="str" cm="1">
        <f t="array" ref="F87">INDEX(订单明细!BQ:BQ,MATCH(R87&amp;AC87,订单明细!A:A&amp;订单明细!O:O,0))</f>
        <v>Z2218-黑色-M</v>
      </c>
      <c r="G87" s="22" t="str">
        <f>LEFT(F87,FIND("-",F87)-1)</f>
        <v>Z2218</v>
      </c>
      <c r="H87" s="21" cm="1">
        <f t="array" ref="H87">_xlfn.IFS(C87=0,"",I87&gt;0,AD87,AND(I87&lt;0,I87&gt;-30),0,I87&lt;=-30,-1)</f>
        <v>1</v>
      </c>
      <c r="I87" s="21">
        <f>AF87</f>
        <v>229</v>
      </c>
      <c r="J87" s="21">
        <f>AI87+AJ87</f>
        <v>0</v>
      </c>
      <c r="K87" s="21">
        <f>IF(AZ87&lt;=0,AZ87,AZ87/COUNTIFS(R:R,R87,AZ:AZ,"&gt;0"))</f>
        <v>0</v>
      </c>
      <c r="L87" s="21">
        <f>AM87</f>
        <v>-11.45</v>
      </c>
      <c r="M87" s="21">
        <f>AT87</f>
        <v>-1.37</v>
      </c>
      <c r="N87" s="21"/>
      <c r="O87" s="23">
        <f>SUM(I87:N87)</f>
        <v>216.18</v>
      </c>
      <c r="R87" s="32" t="s">
        <v>228</v>
      </c>
      <c r="S87" s="30"/>
      <c r="T87" s="30" t="s">
        <v>1942</v>
      </c>
      <c r="U87" s="30" t="s">
        <v>1955</v>
      </c>
      <c r="V87" s="30" t="s">
        <v>1944</v>
      </c>
      <c r="W87" s="33" t="s">
        <v>1782</v>
      </c>
      <c r="X87" s="33" t="s">
        <v>1776</v>
      </c>
      <c r="Y87" s="30">
        <v>432.36</v>
      </c>
      <c r="Z87" s="26" t="s">
        <v>1945</v>
      </c>
      <c r="AA87" s="33" t="s">
        <v>1800</v>
      </c>
      <c r="AB87" s="30" t="s">
        <v>237</v>
      </c>
      <c r="AC87" s="32" t="s">
        <v>238</v>
      </c>
      <c r="AD87" s="27">
        <v>1</v>
      </c>
      <c r="AE87" s="30">
        <v>229</v>
      </c>
      <c r="AF87" s="31">
        <v>229</v>
      </c>
      <c r="AG87" s="30" t="s">
        <v>75</v>
      </c>
      <c r="AH87" s="30">
        <v>0</v>
      </c>
      <c r="AI87" s="28">
        <v>0</v>
      </c>
      <c r="AJ87" s="28">
        <v>0</v>
      </c>
      <c r="AK87" s="27">
        <v>0.05</v>
      </c>
      <c r="AL87" s="27">
        <v>0</v>
      </c>
      <c r="AM87" s="28">
        <v>-11.45</v>
      </c>
      <c r="AN87" s="28">
        <v>229</v>
      </c>
      <c r="AO87" s="27">
        <v>229</v>
      </c>
      <c r="AP87" s="27">
        <v>0</v>
      </c>
      <c r="AQ87" s="29" t="s">
        <v>103</v>
      </c>
      <c r="AR87" s="27">
        <v>0</v>
      </c>
      <c r="AS87" s="27">
        <v>0.006</v>
      </c>
      <c r="AT87" s="28">
        <v>-1.37</v>
      </c>
      <c r="AU87" s="30" t="s">
        <v>151</v>
      </c>
      <c r="AV87" s="33" t="s">
        <v>1779</v>
      </c>
      <c r="AW87" s="33" t="s">
        <v>1780</v>
      </c>
      <c r="AX87" s="30"/>
      <c r="AY87" s="30"/>
      <c r="AZ87" s="28">
        <v>0</v>
      </c>
      <c r="BA87" s="27">
        <v>0</v>
      </c>
      <c r="BB87" s="27">
        <v>0</v>
      </c>
      <c r="BC87" s="27">
        <v>0</v>
      </c>
      <c r="BD87" s="27">
        <v>0</v>
      </c>
      <c r="BE87" s="30"/>
    </row>
    <row r="88" customHeight="1" spans="1:57">
      <c r="A88" s="20">
        <f>YEAR(V88)</f>
        <v>2025</v>
      </c>
      <c r="B88" s="21">
        <f>MONTH(V88)</f>
        <v>8</v>
      </c>
      <c r="C88" s="21" t="str">
        <f>R88</f>
        <v>P770628663394212021</v>
      </c>
      <c r="D88" s="21">
        <f>COUNTIF(R:R,R88)</f>
        <v>2</v>
      </c>
      <c r="E88" s="21">
        <f>COUNTIF($R$2:R88,R88)</f>
        <v>2</v>
      </c>
      <c r="F88" s="22" t="str" cm="1">
        <f t="array" ref="F88">INDEX(订单明细!BQ:BQ,MATCH(R88&amp;AC88,订单明细!A:A&amp;订单明细!O:O,0))</f>
        <v>Z2333-米白色-M</v>
      </c>
      <c r="G88" s="22" t="str">
        <f>LEFT(F88,FIND("-",F88)-1)</f>
        <v>Z2333</v>
      </c>
      <c r="H88" s="21" cm="1">
        <f t="array" ref="H88">_xlfn.IFS(C88=0,"",I88&gt;0,AD88,AND(I88&lt;0,I88&gt;-30),0,I88&lt;=-30,-1)</f>
        <v>1</v>
      </c>
      <c r="I88" s="21">
        <f>AF88</f>
        <v>169</v>
      </c>
      <c r="J88" s="21">
        <f>AI88+AJ88</f>
        <v>0</v>
      </c>
      <c r="K88" s="21">
        <f>IF(AZ88&lt;=0,AZ88,AZ88/COUNTIFS(R:R,R88,AZ:AZ,"&gt;0"))</f>
        <v>0</v>
      </c>
      <c r="L88" s="21">
        <f>AM88</f>
        <v>-8.45</v>
      </c>
      <c r="M88" s="21">
        <f>AT88</f>
        <v>-1.01</v>
      </c>
      <c r="N88" s="21"/>
      <c r="O88" s="23">
        <f>SUM(I88:N88)</f>
        <v>159.54</v>
      </c>
      <c r="R88" s="32" t="s">
        <v>1548</v>
      </c>
      <c r="S88" s="30"/>
      <c r="T88" s="30" t="s">
        <v>1563</v>
      </c>
      <c r="U88" s="30" t="s">
        <v>1956</v>
      </c>
      <c r="V88" s="30" t="s">
        <v>1944</v>
      </c>
      <c r="W88" s="33" t="s">
        <v>1782</v>
      </c>
      <c r="X88" s="33" t="s">
        <v>1776</v>
      </c>
      <c r="Y88" s="30">
        <v>159.54</v>
      </c>
      <c r="Z88" s="26" t="s">
        <v>1950</v>
      </c>
      <c r="AA88" s="33" t="s">
        <v>1788</v>
      </c>
      <c r="AB88" s="30" t="s">
        <v>1556</v>
      </c>
      <c r="AC88" s="32" t="s">
        <v>1557</v>
      </c>
      <c r="AD88" s="27">
        <v>1</v>
      </c>
      <c r="AE88" s="30">
        <v>169</v>
      </c>
      <c r="AF88" s="31">
        <v>169</v>
      </c>
      <c r="AG88" s="30" t="s">
        <v>75</v>
      </c>
      <c r="AH88" s="30">
        <v>0</v>
      </c>
      <c r="AI88" s="28">
        <v>0</v>
      </c>
      <c r="AJ88" s="28">
        <v>0</v>
      </c>
      <c r="AK88" s="27">
        <v>0.05</v>
      </c>
      <c r="AL88" s="27">
        <v>0</v>
      </c>
      <c r="AM88" s="28">
        <v>-8.45</v>
      </c>
      <c r="AN88" s="28">
        <v>169</v>
      </c>
      <c r="AO88" s="27">
        <v>169</v>
      </c>
      <c r="AP88" s="27">
        <v>0</v>
      </c>
      <c r="AQ88" s="29" t="s">
        <v>103</v>
      </c>
      <c r="AR88" s="27">
        <v>0</v>
      </c>
      <c r="AS88" s="27">
        <v>0.006</v>
      </c>
      <c r="AT88" s="28">
        <v>-1.01</v>
      </c>
      <c r="AU88" s="30" t="s">
        <v>151</v>
      </c>
      <c r="AV88" s="33" t="s">
        <v>1779</v>
      </c>
      <c r="AW88" s="33" t="s">
        <v>1780</v>
      </c>
      <c r="AX88" s="30"/>
      <c r="AY88" s="30"/>
      <c r="AZ88" s="28">
        <v>0</v>
      </c>
      <c r="BA88" s="27">
        <v>0</v>
      </c>
      <c r="BB88" s="27">
        <v>0</v>
      </c>
      <c r="BC88" s="27">
        <v>0</v>
      </c>
      <c r="BD88" s="27">
        <v>0</v>
      </c>
      <c r="BE88" s="30"/>
    </row>
    <row r="89" customHeight="1" spans="1:57">
      <c r="A89" s="20">
        <f>YEAR(V89)</f>
        <v>2025</v>
      </c>
      <c r="B89" s="21">
        <f>MONTH(V89)</f>
        <v>8</v>
      </c>
      <c r="C89" s="21" t="str">
        <f>R89</f>
        <v>P770796465763337081</v>
      </c>
      <c r="D89" s="21">
        <f>COUNTIF(R:R,R89)</f>
        <v>1</v>
      </c>
      <c r="E89" s="21">
        <f>COUNTIF($R$2:R89,R89)</f>
        <v>1</v>
      </c>
      <c r="F89" s="22" t="str" cm="1">
        <f t="array" ref="F89">INDEX(订单明细!BQ:BQ,MATCH(R89&amp;AC89,订单明细!A:A&amp;订单明细!O:O,0))</f>
        <v>Z1248-杏色-M</v>
      </c>
      <c r="G89" s="22" t="str">
        <f>LEFT(F89,FIND("-",F89)-1)</f>
        <v>Z1248</v>
      </c>
      <c r="H89" s="21" cm="1">
        <f t="array" ref="H89">_xlfn.IFS(C89=0,"",I89&gt;0,AD89,AND(I89&lt;0,I89&gt;-30),0,I89&lt;=-30,-1)</f>
        <v>1</v>
      </c>
      <c r="I89" s="21">
        <f>AF89</f>
        <v>199</v>
      </c>
      <c r="J89" s="21">
        <f>AI89+AJ89</f>
        <v>0</v>
      </c>
      <c r="K89" s="21">
        <f>IF(AZ89&lt;=0,AZ89,AZ89/COUNTIFS(R:R,R89,AZ:AZ,"&gt;0"))</f>
        <v>0</v>
      </c>
      <c r="L89" s="21">
        <f>AM89</f>
        <v>-9.95</v>
      </c>
      <c r="M89" s="21">
        <f>AT89</f>
        <v>-1.19</v>
      </c>
      <c r="N89" s="21"/>
      <c r="O89" s="23">
        <f>SUM(I89:N89)</f>
        <v>187.86</v>
      </c>
      <c r="R89" s="32" t="s">
        <v>878</v>
      </c>
      <c r="S89" s="30"/>
      <c r="T89" s="30" t="s">
        <v>1957</v>
      </c>
      <c r="U89" s="30" t="s">
        <v>893</v>
      </c>
      <c r="V89" s="30" t="s">
        <v>1958</v>
      </c>
      <c r="W89" s="33" t="s">
        <v>1782</v>
      </c>
      <c r="X89" s="33" t="s">
        <v>1776</v>
      </c>
      <c r="Y89" s="30">
        <v>187.86</v>
      </c>
      <c r="Z89" s="26" t="s">
        <v>1959</v>
      </c>
      <c r="AA89" s="33" t="s">
        <v>1860</v>
      </c>
      <c r="AB89" s="30" t="s">
        <v>883</v>
      </c>
      <c r="AC89" s="32" t="s">
        <v>884</v>
      </c>
      <c r="AD89" s="27">
        <v>1</v>
      </c>
      <c r="AE89" s="30">
        <v>199</v>
      </c>
      <c r="AF89" s="31">
        <v>199</v>
      </c>
      <c r="AG89" s="30" t="s">
        <v>75</v>
      </c>
      <c r="AH89" s="30">
        <v>0</v>
      </c>
      <c r="AI89" s="28">
        <v>0</v>
      </c>
      <c r="AJ89" s="28">
        <v>0</v>
      </c>
      <c r="AK89" s="27">
        <v>0.05</v>
      </c>
      <c r="AL89" s="27">
        <v>0</v>
      </c>
      <c r="AM89" s="28">
        <v>-9.95</v>
      </c>
      <c r="AN89" s="28">
        <v>199</v>
      </c>
      <c r="AO89" s="27">
        <v>199</v>
      </c>
      <c r="AP89" s="27">
        <v>0</v>
      </c>
      <c r="AQ89" s="29" t="s">
        <v>103</v>
      </c>
      <c r="AR89" s="27">
        <v>0</v>
      </c>
      <c r="AS89" s="27">
        <v>0.006</v>
      </c>
      <c r="AT89" s="28">
        <v>-1.19</v>
      </c>
      <c r="AU89" s="30" t="s">
        <v>151</v>
      </c>
      <c r="AV89" s="33" t="s">
        <v>1779</v>
      </c>
      <c r="AW89" s="33" t="s">
        <v>1780</v>
      </c>
      <c r="AX89" s="30"/>
      <c r="AY89" s="30"/>
      <c r="AZ89" s="28">
        <v>0</v>
      </c>
      <c r="BA89" s="27">
        <v>0</v>
      </c>
      <c r="BB89" s="27">
        <v>0</v>
      </c>
      <c r="BC89" s="27">
        <v>0</v>
      </c>
      <c r="BD89" s="27">
        <v>0</v>
      </c>
      <c r="BE89" s="30"/>
    </row>
    <row r="90" customHeight="1" spans="1:57">
      <c r="A90" s="20">
        <f>YEAR(V90)</f>
        <v>2025</v>
      </c>
      <c r="B90" s="21">
        <f>MONTH(V90)</f>
        <v>8</v>
      </c>
      <c r="C90" s="21" t="str">
        <f>R90</f>
        <v>P770794613000337021</v>
      </c>
      <c r="D90" s="21">
        <f>COUNTIF(R:R,R90)</f>
        <v>1</v>
      </c>
      <c r="E90" s="21">
        <f>COUNTIF($R$2:R90,R90)</f>
        <v>1</v>
      </c>
      <c r="F90" s="22" t="str" cm="1">
        <f t="array" ref="F90">INDEX(订单明细!BQ:BQ,MATCH(R90&amp;AC90,订单明细!A:A&amp;订单明细!O:O,0))</f>
        <v>Z1248-黑色-M</v>
      </c>
      <c r="G90" s="22" t="str">
        <f>LEFT(F90,FIND("-",F90)-1)</f>
        <v>Z1248</v>
      </c>
      <c r="H90" s="21" cm="1">
        <f t="array" ref="H90">_xlfn.IFS(C90=0,"",I90&gt;0,AD90,AND(I90&lt;0,I90&gt;-30),0,I90&lt;=-30,-1)</f>
        <v>1</v>
      </c>
      <c r="I90" s="21">
        <f>AF90</f>
        <v>199</v>
      </c>
      <c r="J90" s="21">
        <f>AI90+AJ90</f>
        <v>0</v>
      </c>
      <c r="K90" s="21">
        <f>IF(AZ90&lt;=0,AZ90,AZ90/COUNTIFS(R:R,R90,AZ:AZ,"&gt;0"))</f>
        <v>0</v>
      </c>
      <c r="L90" s="21">
        <f>AM90</f>
        <v>-9.95</v>
      </c>
      <c r="M90" s="21">
        <f>AT90</f>
        <v>-1.19</v>
      </c>
      <c r="N90" s="21"/>
      <c r="O90" s="23">
        <f>SUM(I90:N90)</f>
        <v>187.86</v>
      </c>
      <c r="R90" s="32" t="s">
        <v>1229</v>
      </c>
      <c r="S90" s="30"/>
      <c r="T90" s="30" t="s">
        <v>1233</v>
      </c>
      <c r="U90" s="30" t="s">
        <v>1235</v>
      </c>
      <c r="V90" s="30" t="s">
        <v>1958</v>
      </c>
      <c r="W90" s="33" t="s">
        <v>1782</v>
      </c>
      <c r="X90" s="33" t="s">
        <v>1776</v>
      </c>
      <c r="Y90" s="30">
        <v>187.86</v>
      </c>
      <c r="Z90" s="26" t="s">
        <v>1887</v>
      </c>
      <c r="AA90" s="33" t="s">
        <v>1860</v>
      </c>
      <c r="AB90" s="30" t="s">
        <v>777</v>
      </c>
      <c r="AC90" s="32" t="s">
        <v>778</v>
      </c>
      <c r="AD90" s="27">
        <v>1</v>
      </c>
      <c r="AE90" s="30">
        <v>199</v>
      </c>
      <c r="AF90" s="31">
        <v>199</v>
      </c>
      <c r="AG90" s="30" t="s">
        <v>75</v>
      </c>
      <c r="AH90" s="30">
        <v>0</v>
      </c>
      <c r="AI90" s="28">
        <v>0</v>
      </c>
      <c r="AJ90" s="28">
        <v>0</v>
      </c>
      <c r="AK90" s="27">
        <v>0.05</v>
      </c>
      <c r="AL90" s="27">
        <v>0</v>
      </c>
      <c r="AM90" s="28">
        <v>-9.95</v>
      </c>
      <c r="AN90" s="28">
        <v>199</v>
      </c>
      <c r="AO90" s="27">
        <v>199</v>
      </c>
      <c r="AP90" s="27">
        <v>0</v>
      </c>
      <c r="AQ90" s="29" t="s">
        <v>103</v>
      </c>
      <c r="AR90" s="27">
        <v>0</v>
      </c>
      <c r="AS90" s="27">
        <v>0.006</v>
      </c>
      <c r="AT90" s="28">
        <v>-1.19</v>
      </c>
      <c r="AU90" s="30" t="s">
        <v>151</v>
      </c>
      <c r="AV90" s="33" t="s">
        <v>1779</v>
      </c>
      <c r="AW90" s="33" t="s">
        <v>1780</v>
      </c>
      <c r="AX90" s="30"/>
      <c r="AY90" s="30"/>
      <c r="AZ90" s="28">
        <v>0</v>
      </c>
      <c r="BA90" s="27">
        <v>0</v>
      </c>
      <c r="BB90" s="27">
        <v>0</v>
      </c>
      <c r="BC90" s="27">
        <v>0</v>
      </c>
      <c r="BD90" s="27">
        <v>0</v>
      </c>
      <c r="BE90" s="30"/>
    </row>
    <row r="91" customHeight="1" spans="1:57">
      <c r="A91" s="20">
        <f>YEAR(V91)</f>
        <v>2025</v>
      </c>
      <c r="B91" s="21">
        <f>MONTH(V91)</f>
        <v>8</v>
      </c>
      <c r="C91" s="21" t="str">
        <f>R91</f>
        <v>P770796110033183261</v>
      </c>
      <c r="D91" s="21">
        <f>COUNTIF(R:R,R91)</f>
        <v>2</v>
      </c>
      <c r="E91" s="21">
        <f>COUNTIF($R$2:R91,R91)</f>
        <v>1</v>
      </c>
      <c r="F91" s="22" t="str" cm="1">
        <f t="array" ref="F91">INDEX(订单明细!BQ:BQ,MATCH(R91&amp;AC91,订单明细!A:A&amp;订单明细!O:O,0))</f>
        <v>Z2378-花纱色-S</v>
      </c>
      <c r="G91" s="22" t="str">
        <f>LEFT(F91,FIND("-",F91)-1)</f>
        <v>Z2378</v>
      </c>
      <c r="H91" s="21" cm="1">
        <f t="array" ref="H91">_xlfn.IFS(C91=0,"",I91&gt;0,AD91,AND(I91&lt;0,I91&gt;-30),0,I91&lt;=-30,-1)</f>
        <v>-1</v>
      </c>
      <c r="I91" s="21">
        <f>AF91</f>
        <v>-179</v>
      </c>
      <c r="J91" s="21">
        <f>AI91+AJ91</f>
        <v>0</v>
      </c>
      <c r="K91" s="21">
        <f>IF(AZ91&lt;=0,AZ91,AZ91/COUNTIFS(R:R,R91,AZ:AZ,"&gt;0"))</f>
        <v>0</v>
      </c>
      <c r="L91" s="21">
        <f>AM91</f>
        <v>8.95</v>
      </c>
      <c r="M91" s="21">
        <f>AT91</f>
        <v>1.07</v>
      </c>
      <c r="N91" s="21"/>
      <c r="O91" s="23">
        <f>SUM(I91:N91)</f>
        <v>-168.98</v>
      </c>
      <c r="R91" s="32" t="s">
        <v>931</v>
      </c>
      <c r="S91" s="30" t="s">
        <v>1960</v>
      </c>
      <c r="T91" s="30" t="s">
        <v>944</v>
      </c>
      <c r="U91" s="30" t="s">
        <v>1961</v>
      </c>
      <c r="V91" s="30" t="s">
        <v>1962</v>
      </c>
      <c r="W91" s="33" t="s">
        <v>1775</v>
      </c>
      <c r="X91" s="33" t="s">
        <v>1776</v>
      </c>
      <c r="Y91" s="30">
        <v>-168.98</v>
      </c>
      <c r="Z91" s="26" t="s">
        <v>1834</v>
      </c>
      <c r="AA91" s="33" t="s">
        <v>1800</v>
      </c>
      <c r="AB91" s="30" t="s">
        <v>937</v>
      </c>
      <c r="AC91" s="32" t="s">
        <v>938</v>
      </c>
      <c r="AD91" s="27">
        <v>0</v>
      </c>
      <c r="AE91" s="30">
        <v>-179</v>
      </c>
      <c r="AF91" s="32">
        <v>-179</v>
      </c>
      <c r="AG91" s="30">
        <v>0</v>
      </c>
      <c r="AH91" s="30">
        <v>0</v>
      </c>
      <c r="AI91" s="28">
        <v>0</v>
      </c>
      <c r="AJ91" s="28">
        <v>0</v>
      </c>
      <c r="AK91" s="27">
        <v>0</v>
      </c>
      <c r="AL91" s="27">
        <v>0</v>
      </c>
      <c r="AM91" s="28">
        <v>8.95</v>
      </c>
      <c r="AN91" s="28">
        <v>0</v>
      </c>
      <c r="AO91" s="27">
        <v>0</v>
      </c>
      <c r="AP91" s="27">
        <v>0</v>
      </c>
      <c r="AQ91" s="29" t="s">
        <v>103</v>
      </c>
      <c r="AR91" s="27">
        <v>0</v>
      </c>
      <c r="AS91" s="27">
        <v>0</v>
      </c>
      <c r="AT91" s="28">
        <v>1.07</v>
      </c>
      <c r="AU91" s="30" t="s">
        <v>151</v>
      </c>
      <c r="AV91" s="33" t="s">
        <v>1779</v>
      </c>
      <c r="AW91" s="33" t="s">
        <v>1780</v>
      </c>
      <c r="AX91" s="30"/>
      <c r="AY91" s="30"/>
      <c r="AZ91" s="28">
        <v>0</v>
      </c>
      <c r="BA91" s="27">
        <v>0</v>
      </c>
      <c r="BB91" s="27">
        <v>0</v>
      </c>
      <c r="BC91" s="27">
        <v>0</v>
      </c>
      <c r="BD91" s="27">
        <v>0</v>
      </c>
      <c r="BE91" s="30"/>
    </row>
    <row r="92" customHeight="1" spans="1:57">
      <c r="A92" s="20">
        <f>YEAR(V92)</f>
        <v>2025</v>
      </c>
      <c r="B92" s="21">
        <f>MONTH(V92)</f>
        <v>8</v>
      </c>
      <c r="C92" s="21" t="str">
        <f>R92</f>
        <v>P770796110033183261</v>
      </c>
      <c r="D92" s="21">
        <f>COUNTIF(R:R,R92)</f>
        <v>2</v>
      </c>
      <c r="E92" s="21">
        <f>COUNTIF($R$2:R92,R92)</f>
        <v>2</v>
      </c>
      <c r="F92" s="22" t="str" cm="1">
        <f t="array" ref="F92">INDEX(订单明细!BQ:BQ,MATCH(R92&amp;AC92,订单明细!A:A&amp;订单明细!O:O,0))</f>
        <v>Z2378-花纱色-S</v>
      </c>
      <c r="G92" s="22" t="str">
        <f>LEFT(F92,FIND("-",F92)-1)</f>
        <v>Z2378</v>
      </c>
      <c r="H92" s="21" cm="1">
        <f t="array" ref="H92">_xlfn.IFS(C92=0,"",I92&gt;0,AD92,AND(I92&lt;0,I92&gt;-30),0,I92&lt;=-30,-1)</f>
        <v>1</v>
      </c>
      <c r="I92" s="21">
        <f>AF92</f>
        <v>179</v>
      </c>
      <c r="J92" s="21">
        <f>AI92+AJ92</f>
        <v>0</v>
      </c>
      <c r="K92" s="21">
        <f>IF(AZ92&lt;=0,AZ92,AZ92/COUNTIFS(R:R,R92,AZ:AZ,"&gt;0"))</f>
        <v>0</v>
      </c>
      <c r="L92" s="21">
        <f>AM92</f>
        <v>-8.95</v>
      </c>
      <c r="M92" s="21">
        <f>AT92</f>
        <v>-1.07</v>
      </c>
      <c r="N92" s="21"/>
      <c r="O92" s="23">
        <f>SUM(I92:N92)</f>
        <v>168.98</v>
      </c>
      <c r="R92" s="32" t="s">
        <v>931</v>
      </c>
      <c r="S92" s="30"/>
      <c r="T92" s="30" t="s">
        <v>944</v>
      </c>
      <c r="U92" s="30" t="s">
        <v>1963</v>
      </c>
      <c r="V92" s="30" t="s">
        <v>1962</v>
      </c>
      <c r="W92" s="33" t="s">
        <v>1782</v>
      </c>
      <c r="X92" s="33" t="s">
        <v>1776</v>
      </c>
      <c r="Y92" s="30">
        <v>168.98</v>
      </c>
      <c r="Z92" s="26" t="s">
        <v>1834</v>
      </c>
      <c r="AA92" s="33" t="s">
        <v>1800</v>
      </c>
      <c r="AB92" s="30" t="s">
        <v>937</v>
      </c>
      <c r="AC92" s="32" t="s">
        <v>938</v>
      </c>
      <c r="AD92" s="27">
        <v>1</v>
      </c>
      <c r="AE92" s="30">
        <v>179</v>
      </c>
      <c r="AF92" s="31">
        <v>179</v>
      </c>
      <c r="AG92" s="30" t="s">
        <v>75</v>
      </c>
      <c r="AH92" s="30">
        <v>0</v>
      </c>
      <c r="AI92" s="28">
        <v>0</v>
      </c>
      <c r="AJ92" s="28">
        <v>0</v>
      </c>
      <c r="AK92" s="27">
        <v>0.05</v>
      </c>
      <c r="AL92" s="27">
        <v>0</v>
      </c>
      <c r="AM92" s="28">
        <v>-8.95</v>
      </c>
      <c r="AN92" s="28">
        <v>179</v>
      </c>
      <c r="AO92" s="27">
        <v>179</v>
      </c>
      <c r="AP92" s="27">
        <v>0</v>
      </c>
      <c r="AQ92" s="29" t="s">
        <v>103</v>
      </c>
      <c r="AR92" s="27">
        <v>0</v>
      </c>
      <c r="AS92" s="27">
        <v>0.006</v>
      </c>
      <c r="AT92" s="28">
        <v>-1.07</v>
      </c>
      <c r="AU92" s="30" t="s">
        <v>151</v>
      </c>
      <c r="AV92" s="33" t="s">
        <v>1779</v>
      </c>
      <c r="AW92" s="33" t="s">
        <v>1780</v>
      </c>
      <c r="AX92" s="30"/>
      <c r="AY92" s="30"/>
      <c r="AZ92" s="28">
        <v>0</v>
      </c>
      <c r="BA92" s="27">
        <v>0</v>
      </c>
      <c r="BB92" s="27">
        <v>0</v>
      </c>
      <c r="BC92" s="27">
        <v>0</v>
      </c>
      <c r="BD92" s="27">
        <v>0</v>
      </c>
      <c r="BE92" s="30"/>
    </row>
    <row r="93" customHeight="1" spans="1:57">
      <c r="A93" s="20">
        <f>YEAR(V93)</f>
        <v>2025</v>
      </c>
      <c r="B93" s="21">
        <f>MONTH(V93)</f>
        <v>8</v>
      </c>
      <c r="C93" s="21" t="str">
        <f>R93</f>
        <v>P770797478381146081</v>
      </c>
      <c r="D93" s="21">
        <f>COUNTIF(R:R,R93)</f>
        <v>1</v>
      </c>
      <c r="E93" s="21">
        <f>COUNTIF($R$2:R93,R93)</f>
        <v>1</v>
      </c>
      <c r="F93" s="22" t="str" cm="1">
        <f t="array" ref="F93">INDEX(订单明细!BQ:BQ,MATCH(R93&amp;AC93,订单明细!A:A&amp;订单明细!O:O,0))</f>
        <v>Z2363-灰色-M</v>
      </c>
      <c r="G93" s="22" t="str">
        <f>LEFT(F93,FIND("-",F93)-1)</f>
        <v>Z2363</v>
      </c>
      <c r="H93" s="21" cm="1">
        <f t="array" ref="H93">_xlfn.IFS(C93=0,"",I93&gt;0,AD93,AND(I93&lt;0,I93&gt;-30),0,I93&lt;=-30,-1)</f>
        <v>1</v>
      </c>
      <c r="I93" s="21">
        <f>AF93</f>
        <v>359</v>
      </c>
      <c r="J93" s="21">
        <f>AI93+AJ93</f>
        <v>0</v>
      </c>
      <c r="K93" s="21">
        <f>IF(AZ93&lt;=0,AZ93,AZ93/COUNTIFS(R:R,R93,AZ:AZ,"&gt;0"))</f>
        <v>0</v>
      </c>
      <c r="L93" s="21">
        <f>AM93</f>
        <v>-17.95</v>
      </c>
      <c r="M93" s="21">
        <f>AT93</f>
        <v>-2.15</v>
      </c>
      <c r="N93" s="21"/>
      <c r="O93" s="23">
        <f>SUM(I93:N93)</f>
        <v>338.9</v>
      </c>
      <c r="R93" s="32" t="s">
        <v>834</v>
      </c>
      <c r="S93" s="30"/>
      <c r="T93" s="30" t="s">
        <v>846</v>
      </c>
      <c r="U93" s="30" t="s">
        <v>849</v>
      </c>
      <c r="V93" s="30" t="s">
        <v>1964</v>
      </c>
      <c r="W93" s="33" t="s">
        <v>1782</v>
      </c>
      <c r="X93" s="33" t="s">
        <v>1776</v>
      </c>
      <c r="Y93" s="30">
        <v>338.9</v>
      </c>
      <c r="Z93" s="26" t="s">
        <v>1784</v>
      </c>
      <c r="AA93" s="33" t="s">
        <v>1785</v>
      </c>
      <c r="AB93" s="30" t="s">
        <v>838</v>
      </c>
      <c r="AC93" s="32" t="s">
        <v>839</v>
      </c>
      <c r="AD93" s="27">
        <v>1</v>
      </c>
      <c r="AE93" s="30">
        <v>359</v>
      </c>
      <c r="AF93" s="31">
        <v>359</v>
      </c>
      <c r="AG93" s="30" t="s">
        <v>75</v>
      </c>
      <c r="AH93" s="30">
        <v>0</v>
      </c>
      <c r="AI93" s="28">
        <v>0</v>
      </c>
      <c r="AJ93" s="28">
        <v>0</v>
      </c>
      <c r="AK93" s="27">
        <v>0.05</v>
      </c>
      <c r="AL93" s="27">
        <v>0</v>
      </c>
      <c r="AM93" s="28">
        <v>-17.95</v>
      </c>
      <c r="AN93" s="28">
        <v>359</v>
      </c>
      <c r="AO93" s="27">
        <v>359</v>
      </c>
      <c r="AP93" s="27">
        <v>0</v>
      </c>
      <c r="AQ93" s="29" t="s">
        <v>103</v>
      </c>
      <c r="AR93" s="27">
        <v>0</v>
      </c>
      <c r="AS93" s="27">
        <v>0.006</v>
      </c>
      <c r="AT93" s="28">
        <v>-2.15</v>
      </c>
      <c r="AU93" s="30" t="s">
        <v>151</v>
      </c>
      <c r="AV93" s="33" t="s">
        <v>1779</v>
      </c>
      <c r="AW93" s="33" t="s">
        <v>1780</v>
      </c>
      <c r="AX93" s="30"/>
      <c r="AY93" s="30"/>
      <c r="AZ93" s="28">
        <v>0</v>
      </c>
      <c r="BA93" s="27">
        <v>0</v>
      </c>
      <c r="BB93" s="27">
        <v>0</v>
      </c>
      <c r="BC93" s="27">
        <v>0</v>
      </c>
      <c r="BD93" s="27">
        <v>0</v>
      </c>
      <c r="BE93" s="30"/>
    </row>
    <row r="94" customHeight="1" spans="1:57">
      <c r="A94" s="20">
        <f>YEAR(V94)</f>
        <v>2025</v>
      </c>
      <c r="B94" s="21">
        <f>MONTH(V94)</f>
        <v>8</v>
      </c>
      <c r="C94" s="21" t="str">
        <f>R94</f>
        <v>P770633097859472931</v>
      </c>
      <c r="D94" s="21">
        <f>COUNTIF(R:R,R94)</f>
        <v>2</v>
      </c>
      <c r="E94" s="21">
        <f>COUNTIF($R$2:R94,R94)</f>
        <v>1</v>
      </c>
      <c r="F94" s="22" t="str" cm="1">
        <f t="array" ref="F94">INDEX(订单明细!BQ:BQ,MATCH(R94&amp;AC94,订单明细!A:A&amp;订单明细!O:O,0))</f>
        <v>Z1581-黑色-L</v>
      </c>
      <c r="G94" s="22" t="str">
        <f>LEFT(F94,FIND("-",F94)-1)</f>
        <v>Z1581</v>
      </c>
      <c r="H94" s="21" cm="1">
        <f t="array" ref="H94">_xlfn.IFS(C94=0,"",I94&gt;0,AD94,AND(I94&lt;0,I94&gt;-30),0,I94&lt;=-30,-1)</f>
        <v>-1</v>
      </c>
      <c r="I94" s="21">
        <f>AF94</f>
        <v>-289</v>
      </c>
      <c r="J94" s="21">
        <f>AI94+AJ94</f>
        <v>0</v>
      </c>
      <c r="K94" s="21">
        <f>IF(AZ94&lt;=0,AZ94,AZ94/COUNTIFS(R:R,R94,AZ:AZ,"&gt;0"))</f>
        <v>0</v>
      </c>
      <c r="L94" s="21">
        <f>AM94</f>
        <v>14.45</v>
      </c>
      <c r="M94" s="21">
        <f>AT94</f>
        <v>1.73</v>
      </c>
      <c r="N94" s="21"/>
      <c r="O94" s="23">
        <f>SUM(I94:N94)</f>
        <v>-272.82</v>
      </c>
      <c r="R94" s="32" t="s">
        <v>1528</v>
      </c>
      <c r="S94" s="30" t="s">
        <v>1965</v>
      </c>
      <c r="T94" s="30" t="s">
        <v>1966</v>
      </c>
      <c r="U94" s="30" t="s">
        <v>1967</v>
      </c>
      <c r="V94" s="30" t="s">
        <v>1968</v>
      </c>
      <c r="W94" s="33" t="s">
        <v>1775</v>
      </c>
      <c r="X94" s="33" t="s">
        <v>1776</v>
      </c>
      <c r="Y94" s="30">
        <v>-272.82</v>
      </c>
      <c r="Z94" s="26" t="s">
        <v>1969</v>
      </c>
      <c r="AA94" s="33" t="s">
        <v>1791</v>
      </c>
      <c r="AB94" s="30" t="s">
        <v>1535</v>
      </c>
      <c r="AC94" s="32" t="s">
        <v>1536</v>
      </c>
      <c r="AD94" s="27">
        <v>0</v>
      </c>
      <c r="AE94" s="30">
        <v>-289</v>
      </c>
      <c r="AF94" s="32">
        <v>-289</v>
      </c>
      <c r="AG94" s="30">
        <v>0</v>
      </c>
      <c r="AH94" s="30">
        <v>0</v>
      </c>
      <c r="AI94" s="28">
        <v>0</v>
      </c>
      <c r="AJ94" s="28">
        <v>0</v>
      </c>
      <c r="AK94" s="27">
        <v>0</v>
      </c>
      <c r="AL94" s="27">
        <v>0</v>
      </c>
      <c r="AM94" s="28">
        <v>14.45</v>
      </c>
      <c r="AN94" s="28">
        <v>0</v>
      </c>
      <c r="AO94" s="27">
        <v>0</v>
      </c>
      <c r="AP94" s="27">
        <v>0</v>
      </c>
      <c r="AQ94" s="29" t="s">
        <v>103</v>
      </c>
      <c r="AR94" s="27">
        <v>0</v>
      </c>
      <c r="AS94" s="27">
        <v>0</v>
      </c>
      <c r="AT94" s="28">
        <v>1.73</v>
      </c>
      <c r="AU94" s="30" t="s">
        <v>151</v>
      </c>
      <c r="AV94" s="33" t="s">
        <v>1779</v>
      </c>
      <c r="AW94" s="33" t="s">
        <v>1780</v>
      </c>
      <c r="AX94" s="30"/>
      <c r="AY94" s="30"/>
      <c r="AZ94" s="28">
        <v>0</v>
      </c>
      <c r="BA94" s="27">
        <v>0</v>
      </c>
      <c r="BB94" s="27">
        <v>0</v>
      </c>
      <c r="BC94" s="27">
        <v>0</v>
      </c>
      <c r="BD94" s="27">
        <v>0</v>
      </c>
      <c r="BE94" s="30"/>
    </row>
    <row r="95" customHeight="1" spans="1:57">
      <c r="A95" s="20">
        <f>YEAR(V95)</f>
        <v>2025</v>
      </c>
      <c r="B95" s="21">
        <f>MONTH(V95)</f>
        <v>8</v>
      </c>
      <c r="C95" s="21" t="str">
        <f>R95</f>
        <v>P770633097859472931</v>
      </c>
      <c r="D95" s="21">
        <f>COUNTIF(R:R,R95)</f>
        <v>2</v>
      </c>
      <c r="E95" s="21">
        <f>COUNTIF($R$2:R95,R95)</f>
        <v>2</v>
      </c>
      <c r="F95" s="22" t="str" cm="1">
        <f t="array" ref="F95">INDEX(订单明细!BQ:BQ,MATCH(R95&amp;AC95,订单明细!A:A&amp;订单明细!O:O,0))</f>
        <v>Z1581-黑色-L</v>
      </c>
      <c r="G95" s="22" t="str">
        <f>LEFT(F95,FIND("-",F95)-1)</f>
        <v>Z1581</v>
      </c>
      <c r="H95" s="21" cm="1">
        <f t="array" ref="H95">_xlfn.IFS(C95=0,"",I95&gt;0,AD95,AND(I95&lt;0,I95&gt;-30),0,I95&lt;=-30,-1)</f>
        <v>1</v>
      </c>
      <c r="I95" s="21">
        <f>AF95</f>
        <v>289</v>
      </c>
      <c r="J95" s="21">
        <f>AI95+AJ95</f>
        <v>0</v>
      </c>
      <c r="K95" s="21">
        <f>IF(AZ95&lt;=0,AZ95,AZ95/COUNTIFS(R:R,R95,AZ:AZ,"&gt;0"))</f>
        <v>0</v>
      </c>
      <c r="L95" s="21">
        <f>AM95</f>
        <v>-14.45</v>
      </c>
      <c r="M95" s="21">
        <f>AT95</f>
        <v>-1.73</v>
      </c>
      <c r="N95" s="21"/>
      <c r="O95" s="23">
        <f>SUM(I95:N95)</f>
        <v>272.82</v>
      </c>
      <c r="R95" s="32" t="s">
        <v>1528</v>
      </c>
      <c r="S95" s="30"/>
      <c r="T95" s="30" t="s">
        <v>1966</v>
      </c>
      <c r="U95" s="30" t="s">
        <v>1970</v>
      </c>
      <c r="V95" s="30" t="s">
        <v>1968</v>
      </c>
      <c r="W95" s="33" t="s">
        <v>1782</v>
      </c>
      <c r="X95" s="33" t="s">
        <v>1776</v>
      </c>
      <c r="Y95" s="30">
        <v>272.82</v>
      </c>
      <c r="Z95" s="26" t="s">
        <v>1969</v>
      </c>
      <c r="AA95" s="33" t="s">
        <v>1791</v>
      </c>
      <c r="AB95" s="30" t="s">
        <v>1535</v>
      </c>
      <c r="AC95" s="32" t="s">
        <v>1536</v>
      </c>
      <c r="AD95" s="27">
        <v>1</v>
      </c>
      <c r="AE95" s="30">
        <v>289</v>
      </c>
      <c r="AF95" s="31">
        <v>289</v>
      </c>
      <c r="AG95" s="30" t="s">
        <v>75</v>
      </c>
      <c r="AH95" s="30">
        <v>0</v>
      </c>
      <c r="AI95" s="28">
        <v>0</v>
      </c>
      <c r="AJ95" s="28">
        <v>0</v>
      </c>
      <c r="AK95" s="27">
        <v>0.05</v>
      </c>
      <c r="AL95" s="27">
        <v>0</v>
      </c>
      <c r="AM95" s="28">
        <v>-14.45</v>
      </c>
      <c r="AN95" s="28">
        <v>289</v>
      </c>
      <c r="AO95" s="27">
        <v>289</v>
      </c>
      <c r="AP95" s="27">
        <v>0</v>
      </c>
      <c r="AQ95" s="29" t="s">
        <v>103</v>
      </c>
      <c r="AR95" s="27">
        <v>0</v>
      </c>
      <c r="AS95" s="27">
        <v>0.006</v>
      </c>
      <c r="AT95" s="28">
        <v>-1.73</v>
      </c>
      <c r="AU95" s="30" t="s">
        <v>151</v>
      </c>
      <c r="AV95" s="33" t="s">
        <v>1779</v>
      </c>
      <c r="AW95" s="33" t="s">
        <v>1780</v>
      </c>
      <c r="AX95" s="30"/>
      <c r="AY95" s="30"/>
      <c r="AZ95" s="28">
        <v>0</v>
      </c>
      <c r="BA95" s="27">
        <v>0</v>
      </c>
      <c r="BB95" s="27">
        <v>0</v>
      </c>
      <c r="BC95" s="27">
        <v>0</v>
      </c>
      <c r="BD95" s="27">
        <v>0</v>
      </c>
      <c r="BE95" s="30"/>
    </row>
    <row r="96" customHeight="1" spans="1:57">
      <c r="A96" s="20">
        <f>YEAR(V96)</f>
        <v>2025</v>
      </c>
      <c r="B96" s="21">
        <f>MONTH(V96)</f>
        <v>8</v>
      </c>
      <c r="C96" s="21" t="str">
        <f>R96</f>
        <v>P770798754835129721</v>
      </c>
      <c r="D96" s="21">
        <f>COUNTIF(R:R,R96)</f>
        <v>1</v>
      </c>
      <c r="E96" s="21">
        <f>COUNTIF($R$2:R96,R96)</f>
        <v>1</v>
      </c>
      <c r="F96" s="22" t="str" cm="1">
        <f t="array" ref="F96">INDEX(订单明细!BQ:BQ,MATCH(R96&amp;AC96,订单明细!A:A&amp;订单明细!O:O,0))</f>
        <v>Z1248-黑色-L</v>
      </c>
      <c r="G96" s="22" t="str">
        <f>LEFT(F96,FIND("-",F96)-1)</f>
        <v>Z1248</v>
      </c>
      <c r="H96" s="21" cm="1">
        <f t="array" ref="H96">_xlfn.IFS(C96=0,"",I96&gt;0,AD96,AND(I96&lt;0,I96&gt;-30),0,I96&lt;=-30,-1)</f>
        <v>1</v>
      </c>
      <c r="I96" s="21">
        <f>AF96</f>
        <v>199</v>
      </c>
      <c r="J96" s="21">
        <f>AI96+AJ96</f>
        <v>0</v>
      </c>
      <c r="K96" s="21">
        <f>IF(AZ96&lt;=0,AZ96,AZ96/COUNTIFS(R:R,R96,AZ:AZ,"&gt;0"))</f>
        <v>0</v>
      </c>
      <c r="L96" s="21">
        <f>AM96</f>
        <v>-9.95</v>
      </c>
      <c r="M96" s="21">
        <f>AT96</f>
        <v>-1.19</v>
      </c>
      <c r="N96" s="21"/>
      <c r="O96" s="23">
        <f>SUM(I96:N96)</f>
        <v>187.86</v>
      </c>
      <c r="R96" s="32" t="s">
        <v>790</v>
      </c>
      <c r="S96" s="30"/>
      <c r="T96" s="30" t="s">
        <v>1971</v>
      </c>
      <c r="U96" s="30" t="s">
        <v>808</v>
      </c>
      <c r="V96" s="30" t="s">
        <v>1972</v>
      </c>
      <c r="W96" s="33" t="s">
        <v>1782</v>
      </c>
      <c r="X96" s="33" t="s">
        <v>1776</v>
      </c>
      <c r="Y96" s="30">
        <v>187.86</v>
      </c>
      <c r="Z96" s="26" t="s">
        <v>1900</v>
      </c>
      <c r="AA96" s="33" t="s">
        <v>1860</v>
      </c>
      <c r="AB96" s="30" t="s">
        <v>799</v>
      </c>
      <c r="AC96" s="32" t="s">
        <v>800</v>
      </c>
      <c r="AD96" s="27">
        <v>1</v>
      </c>
      <c r="AE96" s="30">
        <v>199</v>
      </c>
      <c r="AF96" s="31">
        <v>199</v>
      </c>
      <c r="AG96" s="30" t="s">
        <v>75</v>
      </c>
      <c r="AH96" s="30">
        <v>0</v>
      </c>
      <c r="AI96" s="28">
        <v>0</v>
      </c>
      <c r="AJ96" s="28">
        <v>0</v>
      </c>
      <c r="AK96" s="27">
        <v>0.05</v>
      </c>
      <c r="AL96" s="27">
        <v>0</v>
      </c>
      <c r="AM96" s="28">
        <v>-9.95</v>
      </c>
      <c r="AN96" s="28">
        <v>199</v>
      </c>
      <c r="AO96" s="27">
        <v>199</v>
      </c>
      <c r="AP96" s="27">
        <v>0</v>
      </c>
      <c r="AQ96" s="29" t="s">
        <v>103</v>
      </c>
      <c r="AR96" s="27">
        <v>0</v>
      </c>
      <c r="AS96" s="27">
        <v>0.006</v>
      </c>
      <c r="AT96" s="28">
        <v>-1.19</v>
      </c>
      <c r="AU96" s="30" t="s">
        <v>151</v>
      </c>
      <c r="AV96" s="33" t="s">
        <v>1779</v>
      </c>
      <c r="AW96" s="33" t="s">
        <v>1780</v>
      </c>
      <c r="AX96" s="30"/>
      <c r="AY96" s="30"/>
      <c r="AZ96" s="28">
        <v>0</v>
      </c>
      <c r="BA96" s="27">
        <v>0</v>
      </c>
      <c r="BB96" s="27">
        <v>0</v>
      </c>
      <c r="BC96" s="27">
        <v>0</v>
      </c>
      <c r="BD96" s="27">
        <v>0</v>
      </c>
      <c r="BE96" s="30"/>
    </row>
    <row r="97" customHeight="1" spans="1:57">
      <c r="A97" s="20">
        <f>YEAR(V97)</f>
        <v>2025</v>
      </c>
      <c r="B97" s="21">
        <f>MONTH(V97)</f>
        <v>8</v>
      </c>
      <c r="C97" s="21" t="str">
        <f>R97</f>
        <v>P770794938906198011</v>
      </c>
      <c r="D97" s="21">
        <f>COUNTIF(R:R,R97)</f>
        <v>1</v>
      </c>
      <c r="E97" s="21">
        <f>COUNTIF($R$2:R97,R97)</f>
        <v>1</v>
      </c>
      <c r="F97" s="22" t="str" cm="1">
        <f t="array" ref="F97">INDEX(订单明细!BQ:BQ,MATCH(R97&amp;AC97,订单明细!A:A&amp;订单明细!O:O,0))</f>
        <v>Z2363-灰色-S</v>
      </c>
      <c r="G97" s="22" t="str">
        <f>LEFT(F97,FIND("-",F97)-1)</f>
        <v>Z2363</v>
      </c>
      <c r="H97" s="21" cm="1">
        <f t="array" ref="H97">_xlfn.IFS(C97=0,"",I97&gt;0,AD97,AND(I97&lt;0,I97&gt;-30),0,I97&lt;=-30,-1)</f>
        <v>1</v>
      </c>
      <c r="I97" s="21">
        <f>AF97</f>
        <v>359</v>
      </c>
      <c r="J97" s="21">
        <f>AI97+AJ97</f>
        <v>0</v>
      </c>
      <c r="K97" s="21">
        <f>IF(AZ97&lt;=0,AZ97,AZ97/COUNTIFS(R:R,R97,AZ:AZ,"&gt;0"))</f>
        <v>0</v>
      </c>
      <c r="L97" s="21">
        <f>AM97</f>
        <v>-17.95</v>
      </c>
      <c r="M97" s="21">
        <f>AT97</f>
        <v>-2.15</v>
      </c>
      <c r="N97" s="21"/>
      <c r="O97" s="23">
        <f>SUM(I97:N97)</f>
        <v>338.9</v>
      </c>
      <c r="R97" s="32" t="s">
        <v>1116</v>
      </c>
      <c r="S97" s="30"/>
      <c r="T97" s="30" t="s">
        <v>1973</v>
      </c>
      <c r="U97" s="30" t="s">
        <v>1129</v>
      </c>
      <c r="V97" s="30" t="s">
        <v>1974</v>
      </c>
      <c r="W97" s="33" t="s">
        <v>1782</v>
      </c>
      <c r="X97" s="33" t="s">
        <v>1776</v>
      </c>
      <c r="Y97" s="30">
        <v>338.9</v>
      </c>
      <c r="Z97" s="26" t="s">
        <v>1975</v>
      </c>
      <c r="AA97" s="33" t="s">
        <v>1785</v>
      </c>
      <c r="AB97" s="30" t="s">
        <v>1105</v>
      </c>
      <c r="AC97" s="32" t="s">
        <v>1106</v>
      </c>
      <c r="AD97" s="27">
        <v>1</v>
      </c>
      <c r="AE97" s="30">
        <v>359</v>
      </c>
      <c r="AF97" s="31">
        <v>359</v>
      </c>
      <c r="AG97" s="30" t="s">
        <v>75</v>
      </c>
      <c r="AH97" s="30">
        <v>0</v>
      </c>
      <c r="AI97" s="28">
        <v>0</v>
      </c>
      <c r="AJ97" s="28">
        <v>0</v>
      </c>
      <c r="AK97" s="27">
        <v>0.05</v>
      </c>
      <c r="AL97" s="27">
        <v>0</v>
      </c>
      <c r="AM97" s="28">
        <v>-17.95</v>
      </c>
      <c r="AN97" s="28">
        <v>359</v>
      </c>
      <c r="AO97" s="27">
        <v>359</v>
      </c>
      <c r="AP97" s="27">
        <v>0</v>
      </c>
      <c r="AQ97" s="29" t="s">
        <v>103</v>
      </c>
      <c r="AR97" s="27">
        <v>0</v>
      </c>
      <c r="AS97" s="27">
        <v>0.006</v>
      </c>
      <c r="AT97" s="28">
        <v>-2.15</v>
      </c>
      <c r="AU97" s="30" t="s">
        <v>151</v>
      </c>
      <c r="AV97" s="33" t="s">
        <v>1779</v>
      </c>
      <c r="AW97" s="33" t="s">
        <v>1780</v>
      </c>
      <c r="AX97" s="30"/>
      <c r="AY97" s="30"/>
      <c r="AZ97" s="28">
        <v>0</v>
      </c>
      <c r="BA97" s="27">
        <v>0</v>
      </c>
      <c r="BB97" s="27">
        <v>0</v>
      </c>
      <c r="BC97" s="27">
        <v>0</v>
      </c>
      <c r="BD97" s="27">
        <v>0</v>
      </c>
      <c r="BE97" s="30"/>
    </row>
    <row r="98" customHeight="1" spans="1:57">
      <c r="A98" s="20">
        <f>YEAR(V98)</f>
        <v>2025</v>
      </c>
      <c r="B98" s="21">
        <f>MONTH(V98)</f>
        <v>8</v>
      </c>
      <c r="C98" s="21" t="str">
        <f>R98</f>
        <v>P770794018587272501</v>
      </c>
      <c r="D98" s="21">
        <f>COUNTIF(R:R,R98)</f>
        <v>2</v>
      </c>
      <c r="E98" s="21">
        <f>COUNTIF($R$2:R98,R98)</f>
        <v>1</v>
      </c>
      <c r="F98" s="22" t="str" cm="1">
        <f t="array" ref="F98">INDEX(订单明细!BQ:BQ,MATCH(R98&amp;AC98,订单明细!A:A&amp;订单明细!O:O,0))</f>
        <v>Z2378-花纱色-M</v>
      </c>
      <c r="G98" s="22" t="str">
        <f>LEFT(F98,FIND("-",F98)-1)</f>
        <v>Z2378</v>
      </c>
      <c r="H98" s="21" cm="1">
        <f t="array" ref="H98">_xlfn.IFS(C98=0,"",I98&gt;0,AD98,AND(I98&lt;0,I98&gt;-30),0,I98&lt;=-30,-1)</f>
        <v>-1</v>
      </c>
      <c r="I98" s="21">
        <f>AF98</f>
        <v>-179</v>
      </c>
      <c r="J98" s="21">
        <f>AI98+AJ98</f>
        <v>0</v>
      </c>
      <c r="K98" s="21">
        <f>IF(AZ98&lt;=0,AZ98,AZ98/COUNTIFS(R:R,R98,AZ:AZ,"&gt;0"))</f>
        <v>0</v>
      </c>
      <c r="L98" s="21">
        <f>AM98</f>
        <v>8.95</v>
      </c>
      <c r="M98" s="21">
        <f>AT98</f>
        <v>1.07</v>
      </c>
      <c r="N98" s="21"/>
      <c r="O98" s="23">
        <f>SUM(I98:N98)</f>
        <v>-168.98</v>
      </c>
      <c r="R98" s="32" t="s">
        <v>1337</v>
      </c>
      <c r="S98" s="30" t="s">
        <v>1976</v>
      </c>
      <c r="T98" s="30" t="s">
        <v>1289</v>
      </c>
      <c r="U98" s="30" t="s">
        <v>1977</v>
      </c>
      <c r="V98" s="30" t="s">
        <v>1978</v>
      </c>
      <c r="W98" s="33" t="s">
        <v>1775</v>
      </c>
      <c r="X98" s="33" t="s">
        <v>1776</v>
      </c>
      <c r="Y98" s="30">
        <v>-168.98</v>
      </c>
      <c r="Z98" s="26" t="s">
        <v>1826</v>
      </c>
      <c r="AA98" s="33" t="s">
        <v>1800</v>
      </c>
      <c r="AB98" s="30" t="s">
        <v>822</v>
      </c>
      <c r="AC98" s="32" t="s">
        <v>823</v>
      </c>
      <c r="AD98" s="27">
        <v>0</v>
      </c>
      <c r="AE98" s="30">
        <v>-179</v>
      </c>
      <c r="AF98" s="32">
        <v>-179</v>
      </c>
      <c r="AG98" s="30">
        <v>0</v>
      </c>
      <c r="AH98" s="30">
        <v>0</v>
      </c>
      <c r="AI98" s="28">
        <v>0</v>
      </c>
      <c r="AJ98" s="28">
        <v>0</v>
      </c>
      <c r="AK98" s="27">
        <v>0</v>
      </c>
      <c r="AL98" s="27">
        <v>0</v>
      </c>
      <c r="AM98" s="28">
        <v>8.95</v>
      </c>
      <c r="AN98" s="28">
        <v>0</v>
      </c>
      <c r="AO98" s="27">
        <v>0</v>
      </c>
      <c r="AP98" s="27">
        <v>0</v>
      </c>
      <c r="AQ98" s="29" t="s">
        <v>103</v>
      </c>
      <c r="AR98" s="27">
        <v>0</v>
      </c>
      <c r="AS98" s="27">
        <v>0</v>
      </c>
      <c r="AT98" s="28">
        <v>1.07</v>
      </c>
      <c r="AU98" s="30" t="s">
        <v>151</v>
      </c>
      <c r="AV98" s="33" t="s">
        <v>1779</v>
      </c>
      <c r="AW98" s="33" t="s">
        <v>1780</v>
      </c>
      <c r="AX98" s="30"/>
      <c r="AY98" s="30"/>
      <c r="AZ98" s="28">
        <v>0</v>
      </c>
      <c r="BA98" s="27">
        <v>0</v>
      </c>
      <c r="BB98" s="27">
        <v>0</v>
      </c>
      <c r="BC98" s="27">
        <v>0</v>
      </c>
      <c r="BD98" s="27">
        <v>0</v>
      </c>
      <c r="BE98" s="30"/>
    </row>
    <row r="99" customHeight="1" spans="1:57">
      <c r="A99" s="20">
        <f>YEAR(V99)</f>
        <v>2025</v>
      </c>
      <c r="B99" s="21">
        <f>MONTH(V99)</f>
        <v>8</v>
      </c>
      <c r="C99" s="21" t="str">
        <f>R99</f>
        <v>P770794018587272501</v>
      </c>
      <c r="D99" s="21">
        <f>COUNTIF(R:R,R99)</f>
        <v>2</v>
      </c>
      <c r="E99" s="21">
        <f>COUNTIF($R$2:R99,R99)</f>
        <v>2</v>
      </c>
      <c r="F99" s="22" t="str" cm="1">
        <f t="array" ref="F99">INDEX(订单明细!BQ:BQ,MATCH(R99&amp;AC99,订单明细!A:A&amp;订单明细!O:O,0))</f>
        <v>Z2378-花纱色-M</v>
      </c>
      <c r="G99" s="22" t="str">
        <f>LEFT(F99,FIND("-",F99)-1)</f>
        <v>Z2378</v>
      </c>
      <c r="H99" s="21" cm="1">
        <f t="array" ref="H99">_xlfn.IFS(C99=0,"",I99&gt;0,AD99,AND(I99&lt;0,I99&gt;-30),0,I99&lt;=-30,-1)</f>
        <v>1</v>
      </c>
      <c r="I99" s="21">
        <f>AF99</f>
        <v>179</v>
      </c>
      <c r="J99" s="21">
        <f>AI99+AJ99</f>
        <v>0</v>
      </c>
      <c r="K99" s="21">
        <f>IF(AZ99&lt;=0,AZ99,AZ99/COUNTIFS(R:R,R99,AZ:AZ,"&gt;0"))</f>
        <v>0</v>
      </c>
      <c r="L99" s="21">
        <f>AM99</f>
        <v>-8.95</v>
      </c>
      <c r="M99" s="21">
        <f>AT99</f>
        <v>-1.07</v>
      </c>
      <c r="N99" s="21"/>
      <c r="O99" s="23">
        <f>SUM(I99:N99)</f>
        <v>168.98</v>
      </c>
      <c r="R99" s="32" t="s">
        <v>1337</v>
      </c>
      <c r="S99" s="30"/>
      <c r="T99" s="30" t="s">
        <v>1289</v>
      </c>
      <c r="U99" s="30" t="s">
        <v>1979</v>
      </c>
      <c r="V99" s="30" t="s">
        <v>1978</v>
      </c>
      <c r="W99" s="33" t="s">
        <v>1782</v>
      </c>
      <c r="X99" s="33" t="s">
        <v>1776</v>
      </c>
      <c r="Y99" s="30">
        <v>168.98</v>
      </c>
      <c r="Z99" s="26" t="s">
        <v>1826</v>
      </c>
      <c r="AA99" s="33" t="s">
        <v>1800</v>
      </c>
      <c r="AB99" s="30" t="s">
        <v>822</v>
      </c>
      <c r="AC99" s="32" t="s">
        <v>823</v>
      </c>
      <c r="AD99" s="27">
        <v>1</v>
      </c>
      <c r="AE99" s="30">
        <v>179</v>
      </c>
      <c r="AF99" s="31">
        <v>179</v>
      </c>
      <c r="AG99" s="30" t="s">
        <v>75</v>
      </c>
      <c r="AH99" s="30">
        <v>0</v>
      </c>
      <c r="AI99" s="28">
        <v>0</v>
      </c>
      <c r="AJ99" s="28">
        <v>0</v>
      </c>
      <c r="AK99" s="27">
        <v>0.05</v>
      </c>
      <c r="AL99" s="27">
        <v>0</v>
      </c>
      <c r="AM99" s="28">
        <v>-8.95</v>
      </c>
      <c r="AN99" s="28">
        <v>179</v>
      </c>
      <c r="AO99" s="27">
        <v>179</v>
      </c>
      <c r="AP99" s="27">
        <v>0</v>
      </c>
      <c r="AQ99" s="29" t="s">
        <v>103</v>
      </c>
      <c r="AR99" s="27">
        <v>0</v>
      </c>
      <c r="AS99" s="27">
        <v>0.006</v>
      </c>
      <c r="AT99" s="28">
        <v>-1.07</v>
      </c>
      <c r="AU99" s="30" t="s">
        <v>151</v>
      </c>
      <c r="AV99" s="33" t="s">
        <v>1779</v>
      </c>
      <c r="AW99" s="33" t="s">
        <v>1780</v>
      </c>
      <c r="AX99" s="30"/>
      <c r="AY99" s="30"/>
      <c r="AZ99" s="28">
        <v>0</v>
      </c>
      <c r="BA99" s="27">
        <v>0</v>
      </c>
      <c r="BB99" s="27">
        <v>0</v>
      </c>
      <c r="BC99" s="27">
        <v>0</v>
      </c>
      <c r="BD99" s="27">
        <v>0</v>
      </c>
      <c r="BE99" s="30"/>
    </row>
    <row r="100" customHeight="1" spans="1:57">
      <c r="A100" s="20">
        <f>YEAR(V100)</f>
        <v>2025</v>
      </c>
      <c r="B100" s="21">
        <f>MONTH(V100)</f>
        <v>8</v>
      </c>
      <c r="C100" s="21" t="str">
        <f>R100</f>
        <v>P770794027175352691</v>
      </c>
      <c r="D100" s="21">
        <f>COUNTIF(R:R,R100)</f>
        <v>1</v>
      </c>
      <c r="E100" s="21">
        <f>COUNTIF($R$2:R100,R100)</f>
        <v>1</v>
      </c>
      <c r="F100" s="22" t="str" cm="1">
        <f t="array" ref="F100">INDEX(订单明细!BQ:BQ,MATCH(R100&amp;AC100,订单明细!A:A&amp;订单明细!O:O,0))</f>
        <v>Z2378-花纱色-S</v>
      </c>
      <c r="G100" s="22" t="str">
        <f>LEFT(F100,FIND("-",F100)-1)</f>
        <v>Z2378</v>
      </c>
      <c r="H100" s="21" cm="1">
        <f t="array" ref="H100">_xlfn.IFS(C100=0,"",I100&gt;0,AD100,AND(I100&lt;0,I100&gt;-30),0,I100&lt;=-30,-1)</f>
        <v>1</v>
      </c>
      <c r="I100" s="21">
        <f>AF100</f>
        <v>179</v>
      </c>
      <c r="J100" s="21">
        <f>AI100+AJ100</f>
        <v>0</v>
      </c>
      <c r="K100" s="21">
        <f>IF(AZ100&lt;=0,AZ100,AZ100/COUNTIFS(R:R,R100,AZ:AZ,"&gt;0"))</f>
        <v>0</v>
      </c>
      <c r="L100" s="21">
        <f>AM100</f>
        <v>-8.95</v>
      </c>
      <c r="M100" s="21">
        <f>AT100</f>
        <v>-1.07</v>
      </c>
      <c r="N100" s="21"/>
      <c r="O100" s="23">
        <f>SUM(I100:N100)</f>
        <v>168.98</v>
      </c>
      <c r="R100" s="32" t="s">
        <v>1244</v>
      </c>
      <c r="S100" s="30"/>
      <c r="T100" s="30" t="s">
        <v>1248</v>
      </c>
      <c r="U100" s="30" t="s">
        <v>1250</v>
      </c>
      <c r="V100" s="30" t="s">
        <v>1980</v>
      </c>
      <c r="W100" s="33" t="s">
        <v>1782</v>
      </c>
      <c r="X100" s="33" t="s">
        <v>1776</v>
      </c>
      <c r="Y100" s="30">
        <v>168.98</v>
      </c>
      <c r="Z100" s="26" t="s">
        <v>1834</v>
      </c>
      <c r="AA100" s="33" t="s">
        <v>1800</v>
      </c>
      <c r="AB100" s="30" t="s">
        <v>937</v>
      </c>
      <c r="AC100" s="32" t="s">
        <v>938</v>
      </c>
      <c r="AD100" s="27">
        <v>1</v>
      </c>
      <c r="AE100" s="30">
        <v>179</v>
      </c>
      <c r="AF100" s="31">
        <v>179</v>
      </c>
      <c r="AG100" s="30" t="s">
        <v>75</v>
      </c>
      <c r="AH100" s="30">
        <v>0</v>
      </c>
      <c r="AI100" s="28">
        <v>0</v>
      </c>
      <c r="AJ100" s="28">
        <v>0</v>
      </c>
      <c r="AK100" s="27">
        <v>0.05</v>
      </c>
      <c r="AL100" s="27">
        <v>0</v>
      </c>
      <c r="AM100" s="28">
        <v>-8.95</v>
      </c>
      <c r="AN100" s="28">
        <v>179</v>
      </c>
      <c r="AO100" s="27">
        <v>179</v>
      </c>
      <c r="AP100" s="27">
        <v>0</v>
      </c>
      <c r="AQ100" s="29" t="s">
        <v>103</v>
      </c>
      <c r="AR100" s="27">
        <v>0</v>
      </c>
      <c r="AS100" s="27">
        <v>0.006</v>
      </c>
      <c r="AT100" s="28">
        <v>-1.07</v>
      </c>
      <c r="AU100" s="30" t="s">
        <v>151</v>
      </c>
      <c r="AV100" s="33" t="s">
        <v>1779</v>
      </c>
      <c r="AW100" s="33" t="s">
        <v>1780</v>
      </c>
      <c r="AX100" s="30"/>
      <c r="AY100" s="30"/>
      <c r="AZ100" s="28">
        <v>0</v>
      </c>
      <c r="BA100" s="27">
        <v>0</v>
      </c>
      <c r="BB100" s="27">
        <v>0</v>
      </c>
      <c r="BC100" s="27">
        <v>0</v>
      </c>
      <c r="BD100" s="27">
        <v>0</v>
      </c>
      <c r="BE100" s="30"/>
    </row>
    <row r="101" customHeight="1" spans="1:57">
      <c r="A101" s="20">
        <f>YEAR(V101)</f>
        <v>2025</v>
      </c>
      <c r="B101" s="21">
        <f>MONTH(V101)</f>
        <v>8</v>
      </c>
      <c r="C101" s="21" t="str">
        <f>R101</f>
        <v>P770794618887352631</v>
      </c>
      <c r="D101" s="21">
        <f>COUNTIF(R:R,R101)</f>
        <v>1</v>
      </c>
      <c r="E101" s="21">
        <f>COUNTIF($R$2:R101,R101)</f>
        <v>1</v>
      </c>
      <c r="F101" s="22" t="str" cm="1">
        <f t="array" ref="F101">INDEX(订单明细!BQ:BQ,MATCH(R101&amp;AC101,订单明细!A:A&amp;订单明细!O:O,0))</f>
        <v>Z1248-黑色-S</v>
      </c>
      <c r="G101" s="22" t="str">
        <f>LEFT(F101,FIND("-",F101)-1)</f>
        <v>Z1248</v>
      </c>
      <c r="H101" s="21" cm="1">
        <f t="array" ref="H101">_xlfn.IFS(C101=0,"",I101&gt;0,AD101,AND(I101&lt;0,I101&gt;-30),0,I101&lt;=-30,-1)</f>
        <v>1</v>
      </c>
      <c r="I101" s="21">
        <f>AF101</f>
        <v>199</v>
      </c>
      <c r="J101" s="21">
        <f>AI101+AJ101</f>
        <v>0</v>
      </c>
      <c r="K101" s="21">
        <f>IF(AZ101&lt;=0,AZ101,AZ101/COUNTIFS(R:R,R101,AZ:AZ,"&gt;0"))</f>
        <v>0</v>
      </c>
      <c r="L101" s="21">
        <f>AM101</f>
        <v>-9.95</v>
      </c>
      <c r="M101" s="21">
        <f>AT101</f>
        <v>-1.19</v>
      </c>
      <c r="N101" s="21"/>
      <c r="O101" s="23">
        <f>SUM(I101:N101)</f>
        <v>187.86</v>
      </c>
      <c r="R101" s="32" t="s">
        <v>1145</v>
      </c>
      <c r="S101" s="30"/>
      <c r="T101" s="30" t="s">
        <v>1981</v>
      </c>
      <c r="U101" s="30" t="s">
        <v>1158</v>
      </c>
      <c r="V101" s="30" t="s">
        <v>1982</v>
      </c>
      <c r="W101" s="33" t="s">
        <v>1782</v>
      </c>
      <c r="X101" s="33" t="s">
        <v>1776</v>
      </c>
      <c r="Y101" s="30">
        <v>187.86</v>
      </c>
      <c r="Z101" s="26" t="s">
        <v>1859</v>
      </c>
      <c r="AA101" s="33" t="s">
        <v>1860</v>
      </c>
      <c r="AB101" s="30" t="s">
        <v>1149</v>
      </c>
      <c r="AC101" s="32" t="s">
        <v>1150</v>
      </c>
      <c r="AD101" s="27">
        <v>1</v>
      </c>
      <c r="AE101" s="30">
        <v>199</v>
      </c>
      <c r="AF101" s="31">
        <v>199</v>
      </c>
      <c r="AG101" s="30" t="s">
        <v>75</v>
      </c>
      <c r="AH101" s="30">
        <v>0</v>
      </c>
      <c r="AI101" s="28">
        <v>0</v>
      </c>
      <c r="AJ101" s="28">
        <v>0</v>
      </c>
      <c r="AK101" s="27">
        <v>0.05</v>
      </c>
      <c r="AL101" s="27">
        <v>0</v>
      </c>
      <c r="AM101" s="28">
        <v>-9.95</v>
      </c>
      <c r="AN101" s="28">
        <v>199</v>
      </c>
      <c r="AO101" s="27">
        <v>199</v>
      </c>
      <c r="AP101" s="27">
        <v>0</v>
      </c>
      <c r="AQ101" s="29" t="s">
        <v>103</v>
      </c>
      <c r="AR101" s="27">
        <v>0</v>
      </c>
      <c r="AS101" s="27">
        <v>0.006</v>
      </c>
      <c r="AT101" s="28">
        <v>-1.19</v>
      </c>
      <c r="AU101" s="30" t="s">
        <v>151</v>
      </c>
      <c r="AV101" s="33" t="s">
        <v>1779</v>
      </c>
      <c r="AW101" s="33" t="s">
        <v>1780</v>
      </c>
      <c r="AX101" s="30"/>
      <c r="AY101" s="30"/>
      <c r="AZ101" s="28">
        <v>0</v>
      </c>
      <c r="BA101" s="27">
        <v>0</v>
      </c>
      <c r="BB101" s="27">
        <v>0</v>
      </c>
      <c r="BC101" s="27">
        <v>0</v>
      </c>
      <c r="BD101" s="27">
        <v>0</v>
      </c>
      <c r="BE101" s="30"/>
    </row>
    <row r="102" customHeight="1" spans="1:57">
      <c r="A102" s="20">
        <f>YEAR(V102)</f>
        <v>2025</v>
      </c>
      <c r="B102" s="21">
        <f>MONTH(V102)</f>
        <v>8</v>
      </c>
      <c r="C102" s="21" t="str">
        <f>R102</f>
        <v>P770795096898414161</v>
      </c>
      <c r="D102" s="21">
        <f>COUNTIF(R:R,R102)</f>
        <v>2</v>
      </c>
      <c r="E102" s="21">
        <f>COUNTIF($R$2:R102,R102)</f>
        <v>1</v>
      </c>
      <c r="F102" s="22" t="str" cm="1">
        <f t="array" ref="F102">INDEX(订单明细!BQ:BQ,MATCH(R102&amp;AC102,订单明细!A:A&amp;订单明细!O:O,0))</f>
        <v>Z2363-灰色-M</v>
      </c>
      <c r="G102" s="22" t="str">
        <f>LEFT(F102,FIND("-",F102)-1)</f>
        <v>Z2363</v>
      </c>
      <c r="H102" s="21" cm="1">
        <f t="array" ref="H102">_xlfn.IFS(C102=0,"",I102&gt;0,AD102,AND(I102&lt;0,I102&gt;-30),0,I102&lt;=-30,-1)</f>
        <v>-1</v>
      </c>
      <c r="I102" s="21">
        <f>AF102</f>
        <v>-359</v>
      </c>
      <c r="J102" s="21">
        <f>AI102+AJ102</f>
        <v>0</v>
      </c>
      <c r="K102" s="21">
        <f>IF(AZ102&lt;=0,AZ102,AZ102/COUNTIFS(R:R,R102,AZ:AZ,"&gt;0"))</f>
        <v>0</v>
      </c>
      <c r="L102" s="21">
        <f>AM102</f>
        <v>17.95</v>
      </c>
      <c r="M102" s="21">
        <f>AT102</f>
        <v>2.15</v>
      </c>
      <c r="N102" s="21"/>
      <c r="O102" s="23">
        <f>SUM(I102:N102)</f>
        <v>-338.9</v>
      </c>
      <c r="R102" s="32" t="s">
        <v>1083</v>
      </c>
      <c r="S102" s="30" t="s">
        <v>1983</v>
      </c>
      <c r="T102" s="30" t="s">
        <v>1984</v>
      </c>
      <c r="U102" s="30" t="s">
        <v>1985</v>
      </c>
      <c r="V102" s="30" t="s">
        <v>1986</v>
      </c>
      <c r="W102" s="33" t="s">
        <v>1775</v>
      </c>
      <c r="X102" s="33" t="s">
        <v>1776</v>
      </c>
      <c r="Y102" s="30">
        <v>-338.9</v>
      </c>
      <c r="Z102" s="26" t="s">
        <v>1784</v>
      </c>
      <c r="AA102" s="33" t="s">
        <v>1785</v>
      </c>
      <c r="AB102" s="30" t="s">
        <v>838</v>
      </c>
      <c r="AC102" s="32" t="s">
        <v>839</v>
      </c>
      <c r="AD102" s="27">
        <v>0</v>
      </c>
      <c r="AE102" s="30">
        <v>-359</v>
      </c>
      <c r="AF102" s="32">
        <v>-359</v>
      </c>
      <c r="AG102" s="30">
        <v>0</v>
      </c>
      <c r="AH102" s="30">
        <v>0</v>
      </c>
      <c r="AI102" s="28">
        <v>0</v>
      </c>
      <c r="AJ102" s="28">
        <v>0</v>
      </c>
      <c r="AK102" s="27">
        <v>0</v>
      </c>
      <c r="AL102" s="27">
        <v>0</v>
      </c>
      <c r="AM102" s="28">
        <v>17.95</v>
      </c>
      <c r="AN102" s="28">
        <v>0</v>
      </c>
      <c r="AO102" s="27">
        <v>0</v>
      </c>
      <c r="AP102" s="27">
        <v>0</v>
      </c>
      <c r="AQ102" s="29" t="s">
        <v>103</v>
      </c>
      <c r="AR102" s="27">
        <v>0</v>
      </c>
      <c r="AS102" s="27">
        <v>0</v>
      </c>
      <c r="AT102" s="28">
        <v>2.15</v>
      </c>
      <c r="AU102" s="30" t="s">
        <v>151</v>
      </c>
      <c r="AV102" s="33" t="s">
        <v>1779</v>
      </c>
      <c r="AW102" s="33" t="s">
        <v>1780</v>
      </c>
      <c r="AX102" s="30"/>
      <c r="AY102" s="30"/>
      <c r="AZ102" s="28">
        <v>0</v>
      </c>
      <c r="BA102" s="27">
        <v>0</v>
      </c>
      <c r="BB102" s="27">
        <v>0</v>
      </c>
      <c r="BC102" s="27">
        <v>0</v>
      </c>
      <c r="BD102" s="27">
        <v>0</v>
      </c>
      <c r="BE102" s="30"/>
    </row>
    <row r="103" customHeight="1" spans="1:57">
      <c r="A103" s="20">
        <f>YEAR(V103)</f>
        <v>2025</v>
      </c>
      <c r="B103" s="21">
        <f>MONTH(V103)</f>
        <v>8</v>
      </c>
      <c r="C103" s="21" t="str">
        <f>R103</f>
        <v>P770817653033321541</v>
      </c>
      <c r="D103" s="21">
        <f>COUNTIF(R:R,R103)</f>
        <v>2</v>
      </c>
      <c r="E103" s="21">
        <f>COUNTIF($R$2:R103,R103)</f>
        <v>1</v>
      </c>
      <c r="F103" s="22" t="str" cm="1">
        <f t="array" ref="F103">INDEX(订单明细!BQ:BQ,MATCH(R103&amp;AC103,订单明细!A:A&amp;订单明细!O:O,0))</f>
        <v>Z1645-黑色-S</v>
      </c>
      <c r="G103" s="22" t="str">
        <f>LEFT(F103,FIND("-",F103)-1)</f>
        <v>Z1645</v>
      </c>
      <c r="H103" s="21" cm="1">
        <f t="array" ref="H103">_xlfn.IFS(C103=0,"",I103&gt;0,AD103,AND(I103&lt;0,I103&gt;-30),0,I103&lt;=-30,-1)</f>
        <v>-1</v>
      </c>
      <c r="I103" s="21">
        <f>AF103</f>
        <v>-189</v>
      </c>
      <c r="J103" s="21">
        <f>AI103+AJ103</f>
        <v>0</v>
      </c>
      <c r="K103" s="21">
        <f>IF(AZ103&lt;=0,AZ103,AZ103/COUNTIFS(R:R,R103,AZ:AZ,"&gt;0"))</f>
        <v>0</v>
      </c>
      <c r="L103" s="21">
        <f>AM103</f>
        <v>9.45</v>
      </c>
      <c r="M103" s="21">
        <f>AT103</f>
        <v>1.13</v>
      </c>
      <c r="N103" s="21"/>
      <c r="O103" s="23">
        <f>SUM(I103:N103)</f>
        <v>-178.42</v>
      </c>
      <c r="R103" s="32" t="s">
        <v>409</v>
      </c>
      <c r="S103" s="30" t="s">
        <v>1987</v>
      </c>
      <c r="T103" s="30" t="s">
        <v>425</v>
      </c>
      <c r="U103" s="30" t="s">
        <v>1988</v>
      </c>
      <c r="V103" s="30" t="s">
        <v>1986</v>
      </c>
      <c r="W103" s="33" t="s">
        <v>1775</v>
      </c>
      <c r="X103" s="33" t="s">
        <v>1776</v>
      </c>
      <c r="Y103" s="30">
        <v>-178.42</v>
      </c>
      <c r="Z103" s="26" t="s">
        <v>1932</v>
      </c>
      <c r="AA103" s="33" t="s">
        <v>1933</v>
      </c>
      <c r="AB103" s="30" t="s">
        <v>418</v>
      </c>
      <c r="AC103" s="32" t="s">
        <v>419</v>
      </c>
      <c r="AD103" s="27">
        <v>0</v>
      </c>
      <c r="AE103" s="30">
        <v>-189</v>
      </c>
      <c r="AF103" s="32">
        <v>-189</v>
      </c>
      <c r="AG103" s="30">
        <v>0</v>
      </c>
      <c r="AH103" s="30">
        <v>0</v>
      </c>
      <c r="AI103" s="28">
        <v>0</v>
      </c>
      <c r="AJ103" s="28">
        <v>0</v>
      </c>
      <c r="AK103" s="27">
        <v>0</v>
      </c>
      <c r="AL103" s="27">
        <v>0</v>
      </c>
      <c r="AM103" s="28">
        <v>9.45</v>
      </c>
      <c r="AN103" s="28">
        <v>0</v>
      </c>
      <c r="AO103" s="27">
        <v>0</v>
      </c>
      <c r="AP103" s="27">
        <v>0</v>
      </c>
      <c r="AQ103" s="29" t="s">
        <v>103</v>
      </c>
      <c r="AR103" s="27">
        <v>0</v>
      </c>
      <c r="AS103" s="27">
        <v>0</v>
      </c>
      <c r="AT103" s="28">
        <v>1.13</v>
      </c>
      <c r="AU103" s="30" t="s">
        <v>151</v>
      </c>
      <c r="AV103" s="33" t="s">
        <v>1779</v>
      </c>
      <c r="AW103" s="33" t="s">
        <v>1780</v>
      </c>
      <c r="AX103" s="30"/>
      <c r="AY103" s="30"/>
      <c r="AZ103" s="28">
        <v>0</v>
      </c>
      <c r="BA103" s="27">
        <v>0</v>
      </c>
      <c r="BB103" s="27">
        <v>0</v>
      </c>
      <c r="BC103" s="27">
        <v>0</v>
      </c>
      <c r="BD103" s="27">
        <v>0</v>
      </c>
      <c r="BE103" s="30"/>
    </row>
    <row r="104" customHeight="1" spans="1:57">
      <c r="A104" s="20">
        <f>YEAR(V104)</f>
        <v>2025</v>
      </c>
      <c r="B104" s="21">
        <f>MONTH(V104)</f>
        <v>8</v>
      </c>
      <c r="C104" s="21" t="str">
        <f>R104</f>
        <v>P770817653033321541</v>
      </c>
      <c r="D104" s="21">
        <f>COUNTIF(R:R,R104)</f>
        <v>2</v>
      </c>
      <c r="E104" s="21">
        <f>COUNTIF($R$2:R104,R104)</f>
        <v>2</v>
      </c>
      <c r="F104" s="22" t="str" cm="1">
        <f t="array" ref="F104">INDEX(订单明细!BQ:BQ,MATCH(R104&amp;AC104,订单明细!A:A&amp;订单明细!O:O,0))</f>
        <v>Z1645-黑色-S</v>
      </c>
      <c r="G104" s="22" t="str">
        <f>LEFT(F104,FIND("-",F104)-1)</f>
        <v>Z1645</v>
      </c>
      <c r="H104" s="21" cm="1">
        <f t="array" ref="H104">_xlfn.IFS(C104=0,"",I104&gt;0,AD104,AND(I104&lt;0,I104&gt;-30),0,I104&lt;=-30,-1)</f>
        <v>1</v>
      </c>
      <c r="I104" s="21">
        <f>AF104</f>
        <v>189</v>
      </c>
      <c r="J104" s="21">
        <f>AI104+AJ104</f>
        <v>0</v>
      </c>
      <c r="K104" s="21">
        <f>IF(AZ104&lt;=0,AZ104,AZ104/COUNTIFS(R:R,R104,AZ:AZ,"&gt;0"))</f>
        <v>0</v>
      </c>
      <c r="L104" s="21">
        <f>AM104</f>
        <v>-9.45</v>
      </c>
      <c r="M104" s="21">
        <f>AT104</f>
        <v>-1.13</v>
      </c>
      <c r="N104" s="21"/>
      <c r="O104" s="23">
        <f>SUM(I104:N104)</f>
        <v>178.42</v>
      </c>
      <c r="R104" s="32" t="s">
        <v>409</v>
      </c>
      <c r="S104" s="30"/>
      <c r="T104" s="30" t="s">
        <v>425</v>
      </c>
      <c r="U104" s="30" t="s">
        <v>1989</v>
      </c>
      <c r="V104" s="30" t="s">
        <v>1986</v>
      </c>
      <c r="W104" s="33" t="s">
        <v>1782</v>
      </c>
      <c r="X104" s="33" t="s">
        <v>1776</v>
      </c>
      <c r="Y104" s="30">
        <v>178.42</v>
      </c>
      <c r="Z104" s="26" t="s">
        <v>1932</v>
      </c>
      <c r="AA104" s="33" t="s">
        <v>1933</v>
      </c>
      <c r="AB104" s="30" t="s">
        <v>418</v>
      </c>
      <c r="AC104" s="32" t="s">
        <v>419</v>
      </c>
      <c r="AD104" s="27">
        <v>1</v>
      </c>
      <c r="AE104" s="30">
        <v>189</v>
      </c>
      <c r="AF104" s="31">
        <v>189</v>
      </c>
      <c r="AG104" s="30" t="s">
        <v>75</v>
      </c>
      <c r="AH104" s="30">
        <v>0</v>
      </c>
      <c r="AI104" s="28">
        <v>0</v>
      </c>
      <c r="AJ104" s="28">
        <v>0</v>
      </c>
      <c r="AK104" s="27">
        <v>0.05</v>
      </c>
      <c r="AL104" s="27">
        <v>0</v>
      </c>
      <c r="AM104" s="28">
        <v>-9.45</v>
      </c>
      <c r="AN104" s="28">
        <v>189</v>
      </c>
      <c r="AO104" s="27">
        <v>189</v>
      </c>
      <c r="AP104" s="27">
        <v>0</v>
      </c>
      <c r="AQ104" s="29" t="s">
        <v>103</v>
      </c>
      <c r="AR104" s="27">
        <v>0</v>
      </c>
      <c r="AS104" s="27">
        <v>0.006</v>
      </c>
      <c r="AT104" s="28">
        <v>-1.13</v>
      </c>
      <c r="AU104" s="30" t="s">
        <v>151</v>
      </c>
      <c r="AV104" s="33" t="s">
        <v>1779</v>
      </c>
      <c r="AW104" s="33" t="s">
        <v>1780</v>
      </c>
      <c r="AX104" s="30"/>
      <c r="AY104" s="30"/>
      <c r="AZ104" s="28">
        <v>0</v>
      </c>
      <c r="BA104" s="27">
        <v>0</v>
      </c>
      <c r="BB104" s="27">
        <v>0</v>
      </c>
      <c r="BC104" s="27">
        <v>0</v>
      </c>
      <c r="BD104" s="27">
        <v>0</v>
      </c>
      <c r="BE104" s="30"/>
    </row>
    <row r="105" customHeight="1" spans="1:57">
      <c r="A105" s="20">
        <f>YEAR(V105)</f>
        <v>2025</v>
      </c>
      <c r="B105" s="21">
        <f>MONTH(V105)</f>
        <v>8</v>
      </c>
      <c r="C105" s="21" t="str">
        <f>R105</f>
        <v>P770795096898414161</v>
      </c>
      <c r="D105" s="21">
        <f>COUNTIF(R:R,R105)</f>
        <v>2</v>
      </c>
      <c r="E105" s="21">
        <f>COUNTIF($R$2:R105,R105)</f>
        <v>2</v>
      </c>
      <c r="F105" s="22" t="str" cm="1">
        <f t="array" ref="F105">INDEX(订单明细!BQ:BQ,MATCH(R105&amp;AC105,订单明细!A:A&amp;订单明细!O:O,0))</f>
        <v>Z2363-灰色-M</v>
      </c>
      <c r="G105" s="22" t="str">
        <f>LEFT(F105,FIND("-",F105)-1)</f>
        <v>Z2363</v>
      </c>
      <c r="H105" s="21" cm="1">
        <f t="array" ref="H105">_xlfn.IFS(C105=0,"",I105&gt;0,AD105,AND(I105&lt;0,I105&gt;-30),0,I105&lt;=-30,-1)</f>
        <v>1</v>
      </c>
      <c r="I105" s="21">
        <f>AF105</f>
        <v>359</v>
      </c>
      <c r="J105" s="21">
        <f>AI105+AJ105</f>
        <v>0</v>
      </c>
      <c r="K105" s="21">
        <f>IF(AZ105&lt;=0,AZ105,AZ105/COUNTIFS(R:R,R105,AZ:AZ,"&gt;0"))</f>
        <v>0</v>
      </c>
      <c r="L105" s="21">
        <f>AM105</f>
        <v>-17.95</v>
      </c>
      <c r="M105" s="21">
        <f>AT105</f>
        <v>-2.15</v>
      </c>
      <c r="N105" s="21"/>
      <c r="O105" s="23">
        <f>SUM(I105:N105)</f>
        <v>338.9</v>
      </c>
      <c r="R105" s="32" t="s">
        <v>1083</v>
      </c>
      <c r="S105" s="30"/>
      <c r="T105" s="30" t="s">
        <v>1984</v>
      </c>
      <c r="U105" s="30" t="s">
        <v>1990</v>
      </c>
      <c r="V105" s="30" t="s">
        <v>1986</v>
      </c>
      <c r="W105" s="33" t="s">
        <v>1782</v>
      </c>
      <c r="X105" s="33" t="s">
        <v>1776</v>
      </c>
      <c r="Y105" s="30">
        <v>338.9</v>
      </c>
      <c r="Z105" s="26" t="s">
        <v>1784</v>
      </c>
      <c r="AA105" s="33" t="s">
        <v>1785</v>
      </c>
      <c r="AB105" s="30" t="s">
        <v>838</v>
      </c>
      <c r="AC105" s="32" t="s">
        <v>839</v>
      </c>
      <c r="AD105" s="27">
        <v>1</v>
      </c>
      <c r="AE105" s="30">
        <v>359</v>
      </c>
      <c r="AF105" s="31">
        <v>359</v>
      </c>
      <c r="AG105" s="30" t="s">
        <v>75</v>
      </c>
      <c r="AH105" s="30">
        <v>0</v>
      </c>
      <c r="AI105" s="28">
        <v>0</v>
      </c>
      <c r="AJ105" s="28">
        <v>0</v>
      </c>
      <c r="AK105" s="27">
        <v>0.05</v>
      </c>
      <c r="AL105" s="27">
        <v>0</v>
      </c>
      <c r="AM105" s="28">
        <v>-17.95</v>
      </c>
      <c r="AN105" s="28">
        <v>359</v>
      </c>
      <c r="AO105" s="27">
        <v>359</v>
      </c>
      <c r="AP105" s="27">
        <v>0</v>
      </c>
      <c r="AQ105" s="29" t="s">
        <v>103</v>
      </c>
      <c r="AR105" s="27">
        <v>0</v>
      </c>
      <c r="AS105" s="27">
        <v>0.006</v>
      </c>
      <c r="AT105" s="28">
        <v>-2.15</v>
      </c>
      <c r="AU105" s="30" t="s">
        <v>151</v>
      </c>
      <c r="AV105" s="33" t="s">
        <v>1779</v>
      </c>
      <c r="AW105" s="33" t="s">
        <v>1780</v>
      </c>
      <c r="AX105" s="30"/>
      <c r="AY105" s="30"/>
      <c r="AZ105" s="28">
        <v>0</v>
      </c>
      <c r="BA105" s="27">
        <v>0</v>
      </c>
      <c r="BB105" s="27">
        <v>0</v>
      </c>
      <c r="BC105" s="27">
        <v>0</v>
      </c>
      <c r="BD105" s="27">
        <v>0</v>
      </c>
      <c r="BE105" s="30"/>
    </row>
    <row r="106" customHeight="1" spans="1:57">
      <c r="A106" s="20">
        <f>YEAR(V106)</f>
        <v>2025</v>
      </c>
      <c r="B106" s="21">
        <f>MONTH(V106)</f>
        <v>8</v>
      </c>
      <c r="C106" s="21" t="str">
        <f>R106</f>
        <v>P770799964547510201</v>
      </c>
      <c r="D106" s="21">
        <f>COUNTIF(R:R,R106)</f>
        <v>2</v>
      </c>
      <c r="E106" s="21">
        <f>COUNTIF($R$2:R106,R106)</f>
        <v>1</v>
      </c>
      <c r="F106" s="22" t="str" cm="1">
        <f t="array" ref="F106">INDEX(订单明细!BQ:BQ,MATCH(R106&amp;AC106,订单明细!A:A&amp;订单明细!O:O,0))</f>
        <v>Z2380-黑色</v>
      </c>
      <c r="G106" s="22" t="str">
        <f>LEFT(F106,FIND("-",F106)-1)</f>
        <v>Z2380</v>
      </c>
      <c r="H106" s="21" cm="1">
        <f t="array" ref="H106">_xlfn.IFS(C106=0,"",I106&gt;0,AD106,AND(I106&lt;0,I106&gt;-30),0,I106&lt;=-30,-1)</f>
        <v>-1</v>
      </c>
      <c r="I106" s="21">
        <f>AF106</f>
        <v>-199</v>
      </c>
      <c r="J106" s="21">
        <f>AI106+AJ106</f>
        <v>0</v>
      </c>
      <c r="K106" s="21">
        <f>IF(AZ106&lt;=0,AZ106,AZ106/COUNTIFS(R:R,R106,AZ:AZ,"&gt;0"))</f>
        <v>0</v>
      </c>
      <c r="L106" s="21">
        <f>AM106</f>
        <v>9.95</v>
      </c>
      <c r="M106" s="21">
        <f>AT106</f>
        <v>1.19</v>
      </c>
      <c r="N106" s="21"/>
      <c r="O106" s="23">
        <f>SUM(I106:N106)</f>
        <v>-187.86</v>
      </c>
      <c r="R106" s="32" t="s">
        <v>750</v>
      </c>
      <c r="S106" s="30" t="s">
        <v>1991</v>
      </c>
      <c r="T106" s="30" t="s">
        <v>759</v>
      </c>
      <c r="U106" s="30" t="s">
        <v>1992</v>
      </c>
      <c r="V106" s="30" t="s">
        <v>1993</v>
      </c>
      <c r="W106" s="33" t="s">
        <v>1775</v>
      </c>
      <c r="X106" s="33" t="s">
        <v>1776</v>
      </c>
      <c r="Y106" s="30">
        <v>-187.86</v>
      </c>
      <c r="Z106" s="26" t="s">
        <v>1872</v>
      </c>
      <c r="AA106" s="33" t="s">
        <v>1869</v>
      </c>
      <c r="AB106" s="30" t="s">
        <v>523</v>
      </c>
      <c r="AC106" s="32" t="s">
        <v>524</v>
      </c>
      <c r="AD106" s="27">
        <v>0</v>
      </c>
      <c r="AE106" s="30">
        <v>-199</v>
      </c>
      <c r="AF106" s="32">
        <v>-199</v>
      </c>
      <c r="AG106" s="30">
        <v>0</v>
      </c>
      <c r="AH106" s="30">
        <v>0</v>
      </c>
      <c r="AI106" s="28">
        <v>0</v>
      </c>
      <c r="AJ106" s="28">
        <v>0</v>
      </c>
      <c r="AK106" s="27">
        <v>0</v>
      </c>
      <c r="AL106" s="27">
        <v>0</v>
      </c>
      <c r="AM106" s="28">
        <v>9.95</v>
      </c>
      <c r="AN106" s="28">
        <v>0</v>
      </c>
      <c r="AO106" s="27">
        <v>0</v>
      </c>
      <c r="AP106" s="27">
        <v>0</v>
      </c>
      <c r="AQ106" s="29" t="s">
        <v>103</v>
      </c>
      <c r="AR106" s="27">
        <v>0</v>
      </c>
      <c r="AS106" s="27">
        <v>0</v>
      </c>
      <c r="AT106" s="28">
        <v>1.19</v>
      </c>
      <c r="AU106" s="30" t="s">
        <v>151</v>
      </c>
      <c r="AV106" s="33" t="s">
        <v>1779</v>
      </c>
      <c r="AW106" s="33" t="s">
        <v>1780</v>
      </c>
      <c r="AX106" s="30"/>
      <c r="AY106" s="30"/>
      <c r="AZ106" s="28">
        <v>0</v>
      </c>
      <c r="BA106" s="27">
        <v>0</v>
      </c>
      <c r="BB106" s="27">
        <v>0</v>
      </c>
      <c r="BC106" s="27">
        <v>0</v>
      </c>
      <c r="BD106" s="27">
        <v>0</v>
      </c>
      <c r="BE106" s="30"/>
    </row>
    <row r="107" customHeight="1" spans="1:57">
      <c r="A107" s="20">
        <f>YEAR(V107)</f>
        <v>2025</v>
      </c>
      <c r="B107" s="21">
        <f>MONTH(V107)</f>
        <v>8</v>
      </c>
      <c r="C107" s="21" t="str">
        <f>R107</f>
        <v>P770799964547510201</v>
      </c>
      <c r="D107" s="21">
        <f>COUNTIF(R:R,R107)</f>
        <v>2</v>
      </c>
      <c r="E107" s="21">
        <f>COUNTIF($R$2:R107,R107)</f>
        <v>2</v>
      </c>
      <c r="F107" s="22" t="str" cm="1">
        <f t="array" ref="F107">INDEX(订单明细!BQ:BQ,MATCH(R107&amp;AC107,订单明细!A:A&amp;订单明细!O:O,0))</f>
        <v>Z2380-黑色</v>
      </c>
      <c r="G107" s="22" t="str">
        <f>LEFT(F107,FIND("-",F107)-1)</f>
        <v>Z2380</v>
      </c>
      <c r="H107" s="21" cm="1">
        <f t="array" ref="H107">_xlfn.IFS(C107=0,"",I107&gt;0,AD107,AND(I107&lt;0,I107&gt;-30),0,I107&lt;=-30,-1)</f>
        <v>1</v>
      </c>
      <c r="I107" s="21">
        <f>AF107</f>
        <v>199</v>
      </c>
      <c r="J107" s="21">
        <f>AI107+AJ107</f>
        <v>0</v>
      </c>
      <c r="K107" s="21">
        <f>IF(AZ107&lt;=0,AZ107,AZ107/COUNTIFS(R:R,R107,AZ:AZ,"&gt;0"))</f>
        <v>0</v>
      </c>
      <c r="L107" s="21">
        <f>AM107</f>
        <v>-9.95</v>
      </c>
      <c r="M107" s="21">
        <f>AT107</f>
        <v>-1.19</v>
      </c>
      <c r="N107" s="21"/>
      <c r="O107" s="23">
        <f>SUM(I107:N107)</f>
        <v>187.86</v>
      </c>
      <c r="R107" s="32" t="s">
        <v>750</v>
      </c>
      <c r="S107" s="30"/>
      <c r="T107" s="30" t="s">
        <v>759</v>
      </c>
      <c r="U107" s="30" t="s">
        <v>1994</v>
      </c>
      <c r="V107" s="30" t="s">
        <v>1993</v>
      </c>
      <c r="W107" s="33" t="s">
        <v>1782</v>
      </c>
      <c r="X107" s="33" t="s">
        <v>1776</v>
      </c>
      <c r="Y107" s="30">
        <v>187.86</v>
      </c>
      <c r="Z107" s="26" t="s">
        <v>1872</v>
      </c>
      <c r="AA107" s="33" t="s">
        <v>1869</v>
      </c>
      <c r="AB107" s="30" t="s">
        <v>523</v>
      </c>
      <c r="AC107" s="32" t="s">
        <v>524</v>
      </c>
      <c r="AD107" s="27">
        <v>1</v>
      </c>
      <c r="AE107" s="30">
        <v>199</v>
      </c>
      <c r="AF107" s="31">
        <v>199</v>
      </c>
      <c r="AG107" s="30" t="s">
        <v>75</v>
      </c>
      <c r="AH107" s="30">
        <v>0</v>
      </c>
      <c r="AI107" s="28">
        <v>0</v>
      </c>
      <c r="AJ107" s="28">
        <v>0</v>
      </c>
      <c r="AK107" s="27">
        <v>0.05</v>
      </c>
      <c r="AL107" s="27">
        <v>0</v>
      </c>
      <c r="AM107" s="28">
        <v>-9.95</v>
      </c>
      <c r="AN107" s="28">
        <v>199</v>
      </c>
      <c r="AO107" s="27">
        <v>199</v>
      </c>
      <c r="AP107" s="27">
        <v>0</v>
      </c>
      <c r="AQ107" s="29" t="s">
        <v>103</v>
      </c>
      <c r="AR107" s="27">
        <v>0</v>
      </c>
      <c r="AS107" s="27">
        <v>0.006</v>
      </c>
      <c r="AT107" s="28">
        <v>-1.19</v>
      </c>
      <c r="AU107" s="30" t="s">
        <v>151</v>
      </c>
      <c r="AV107" s="33" t="s">
        <v>1779</v>
      </c>
      <c r="AW107" s="33" t="s">
        <v>1780</v>
      </c>
      <c r="AX107" s="30"/>
      <c r="AY107" s="30"/>
      <c r="AZ107" s="28">
        <v>0</v>
      </c>
      <c r="BA107" s="27">
        <v>0</v>
      </c>
      <c r="BB107" s="27">
        <v>0</v>
      </c>
      <c r="BC107" s="27">
        <v>0</v>
      </c>
      <c r="BD107" s="27">
        <v>0</v>
      </c>
      <c r="BE107" s="30"/>
    </row>
    <row r="108" customHeight="1" spans="1:57">
      <c r="A108" s="20">
        <f>YEAR(V108)</f>
        <v>2025</v>
      </c>
      <c r="B108" s="21">
        <f>MONTH(V108)</f>
        <v>8</v>
      </c>
      <c r="C108" s="21" t="str">
        <f>R108</f>
        <v>P770794446611478281</v>
      </c>
      <c r="D108" s="21">
        <f>COUNTIF(R:R,R108)</f>
        <v>2</v>
      </c>
      <c r="E108" s="21">
        <f>COUNTIF($R$2:R108,R108)</f>
        <v>1</v>
      </c>
      <c r="F108" s="22" t="str" cm="1">
        <f t="array" ref="F108">INDEX(订单明细!BQ:BQ,MATCH(R108&amp;AC108,订单明细!A:A&amp;订单明细!O:O,0))</f>
        <v>Z2378-花纱色-S</v>
      </c>
      <c r="G108" s="22" t="str">
        <f>LEFT(F108,FIND("-",F108)-1)</f>
        <v>Z2378</v>
      </c>
      <c r="H108" s="21" cm="1">
        <f t="array" ref="H108">_xlfn.IFS(C108=0,"",I108&gt;0,AD108,AND(I108&lt;0,I108&gt;-30),0,I108&lt;=-30,-1)</f>
        <v>-1</v>
      </c>
      <c r="I108" s="21">
        <f>AF108</f>
        <v>-179</v>
      </c>
      <c r="J108" s="21">
        <f>AI108+AJ108</f>
        <v>0</v>
      </c>
      <c r="K108" s="21">
        <f>IF(AZ108&lt;=0,AZ108,AZ108/COUNTIFS(R:R,R108,AZ:AZ,"&gt;0"))</f>
        <v>0</v>
      </c>
      <c r="L108" s="21">
        <f>AM108</f>
        <v>8.95</v>
      </c>
      <c r="M108" s="21">
        <f>AT108</f>
        <v>1.07</v>
      </c>
      <c r="N108" s="21"/>
      <c r="O108" s="23">
        <f>SUM(I108:N108)</f>
        <v>-168.98</v>
      </c>
      <c r="R108" s="32" t="s">
        <v>1200</v>
      </c>
      <c r="S108" s="30" t="s">
        <v>1995</v>
      </c>
      <c r="T108" s="30" t="s">
        <v>1210</v>
      </c>
      <c r="U108" s="30" t="s">
        <v>1996</v>
      </c>
      <c r="V108" s="30" t="s">
        <v>1997</v>
      </c>
      <c r="W108" s="33" t="s">
        <v>1775</v>
      </c>
      <c r="X108" s="33" t="s">
        <v>1776</v>
      </c>
      <c r="Y108" s="30">
        <v>-168.98</v>
      </c>
      <c r="Z108" s="26" t="s">
        <v>1834</v>
      </c>
      <c r="AA108" s="33" t="s">
        <v>1800</v>
      </c>
      <c r="AB108" s="30" t="s">
        <v>937</v>
      </c>
      <c r="AC108" s="32" t="s">
        <v>938</v>
      </c>
      <c r="AD108" s="27">
        <v>0</v>
      </c>
      <c r="AE108" s="30">
        <v>-179</v>
      </c>
      <c r="AF108" s="32">
        <v>-179</v>
      </c>
      <c r="AG108" s="30">
        <v>0</v>
      </c>
      <c r="AH108" s="30">
        <v>0</v>
      </c>
      <c r="AI108" s="28">
        <v>0</v>
      </c>
      <c r="AJ108" s="28">
        <v>0</v>
      </c>
      <c r="AK108" s="27">
        <v>0</v>
      </c>
      <c r="AL108" s="27">
        <v>0</v>
      </c>
      <c r="AM108" s="28">
        <v>8.95</v>
      </c>
      <c r="AN108" s="28">
        <v>0</v>
      </c>
      <c r="AO108" s="27">
        <v>0</v>
      </c>
      <c r="AP108" s="27">
        <v>0</v>
      </c>
      <c r="AQ108" s="29" t="s">
        <v>103</v>
      </c>
      <c r="AR108" s="27">
        <v>0</v>
      </c>
      <c r="AS108" s="27">
        <v>0</v>
      </c>
      <c r="AT108" s="28">
        <v>1.07</v>
      </c>
      <c r="AU108" s="30" t="s">
        <v>151</v>
      </c>
      <c r="AV108" s="33" t="s">
        <v>1779</v>
      </c>
      <c r="AW108" s="33" t="s">
        <v>1780</v>
      </c>
      <c r="AX108" s="30"/>
      <c r="AY108" s="30"/>
      <c r="AZ108" s="28">
        <v>0</v>
      </c>
      <c r="BA108" s="27">
        <v>0</v>
      </c>
      <c r="BB108" s="27">
        <v>0</v>
      </c>
      <c r="BC108" s="27">
        <v>0</v>
      </c>
      <c r="BD108" s="27">
        <v>0</v>
      </c>
      <c r="BE108" s="30"/>
    </row>
    <row r="109" customHeight="1" spans="1:57">
      <c r="A109" s="20">
        <f>YEAR(V109)</f>
        <v>2025</v>
      </c>
      <c r="B109" s="21">
        <f>MONTH(V109)</f>
        <v>8</v>
      </c>
      <c r="C109" s="21" t="str">
        <f>R109</f>
        <v>P770794446611478281</v>
      </c>
      <c r="D109" s="21">
        <f>COUNTIF(R:R,R109)</f>
        <v>2</v>
      </c>
      <c r="E109" s="21">
        <f>COUNTIF($R$2:R109,R109)</f>
        <v>2</v>
      </c>
      <c r="F109" s="22" t="str" cm="1">
        <f t="array" ref="F109">INDEX(订单明细!BQ:BQ,MATCH(R109&amp;AC109,订单明细!A:A&amp;订单明细!O:O,0))</f>
        <v>Z2378-花纱色-S</v>
      </c>
      <c r="G109" s="22" t="str">
        <f>LEFT(F109,FIND("-",F109)-1)</f>
        <v>Z2378</v>
      </c>
      <c r="H109" s="21" cm="1">
        <f t="array" ref="H109">_xlfn.IFS(C109=0,"",I109&gt;0,AD109,AND(I109&lt;0,I109&gt;-30),0,I109&lt;=-30,-1)</f>
        <v>1</v>
      </c>
      <c r="I109" s="21">
        <f>AF109</f>
        <v>179</v>
      </c>
      <c r="J109" s="21">
        <f>AI109+AJ109</f>
        <v>0</v>
      </c>
      <c r="K109" s="21">
        <f>IF(AZ109&lt;=0,AZ109,AZ109/COUNTIFS(R:R,R109,AZ:AZ,"&gt;0"))</f>
        <v>0</v>
      </c>
      <c r="L109" s="21">
        <f>AM109</f>
        <v>-8.95</v>
      </c>
      <c r="M109" s="21">
        <f>AT109</f>
        <v>-1.07</v>
      </c>
      <c r="N109" s="21"/>
      <c r="O109" s="23">
        <f>SUM(I109:N109)</f>
        <v>168.98</v>
      </c>
      <c r="R109" s="32" t="s">
        <v>1200</v>
      </c>
      <c r="S109" s="30"/>
      <c r="T109" s="30" t="s">
        <v>1210</v>
      </c>
      <c r="U109" s="30" t="s">
        <v>1998</v>
      </c>
      <c r="V109" s="30" t="s">
        <v>1997</v>
      </c>
      <c r="W109" s="33" t="s">
        <v>1782</v>
      </c>
      <c r="X109" s="33" t="s">
        <v>1776</v>
      </c>
      <c r="Y109" s="30">
        <v>168.98</v>
      </c>
      <c r="Z109" s="26" t="s">
        <v>1834</v>
      </c>
      <c r="AA109" s="33" t="s">
        <v>1800</v>
      </c>
      <c r="AB109" s="30" t="s">
        <v>937</v>
      </c>
      <c r="AC109" s="32" t="s">
        <v>938</v>
      </c>
      <c r="AD109" s="27">
        <v>1</v>
      </c>
      <c r="AE109" s="30">
        <v>179</v>
      </c>
      <c r="AF109" s="31">
        <v>179</v>
      </c>
      <c r="AG109" s="30" t="s">
        <v>75</v>
      </c>
      <c r="AH109" s="30">
        <v>0</v>
      </c>
      <c r="AI109" s="28">
        <v>0</v>
      </c>
      <c r="AJ109" s="28">
        <v>0</v>
      </c>
      <c r="AK109" s="27">
        <v>0.05</v>
      </c>
      <c r="AL109" s="27">
        <v>0</v>
      </c>
      <c r="AM109" s="28">
        <v>-8.95</v>
      </c>
      <c r="AN109" s="28">
        <v>179</v>
      </c>
      <c r="AO109" s="27">
        <v>179</v>
      </c>
      <c r="AP109" s="27">
        <v>0</v>
      </c>
      <c r="AQ109" s="29" t="s">
        <v>103</v>
      </c>
      <c r="AR109" s="27">
        <v>0</v>
      </c>
      <c r="AS109" s="27">
        <v>0.006</v>
      </c>
      <c r="AT109" s="28">
        <v>-1.07</v>
      </c>
      <c r="AU109" s="30" t="s">
        <v>151</v>
      </c>
      <c r="AV109" s="33" t="s">
        <v>1779</v>
      </c>
      <c r="AW109" s="33" t="s">
        <v>1780</v>
      </c>
      <c r="AX109" s="30"/>
      <c r="AY109" s="30"/>
      <c r="AZ109" s="28">
        <v>0</v>
      </c>
      <c r="BA109" s="27">
        <v>0</v>
      </c>
      <c r="BB109" s="27">
        <v>0</v>
      </c>
      <c r="BC109" s="27">
        <v>0</v>
      </c>
      <c r="BD109" s="27">
        <v>0</v>
      </c>
      <c r="BE109" s="30"/>
    </row>
    <row r="110" customHeight="1" spans="1:57">
      <c r="A110" s="20">
        <f>YEAR(V110)</f>
        <v>2025</v>
      </c>
      <c r="B110" s="21">
        <f>MONTH(V110)</f>
        <v>8</v>
      </c>
      <c r="C110" s="21" t="str">
        <f>R110</f>
        <v>P770794257861206101</v>
      </c>
      <c r="D110" s="21">
        <f>COUNTIF(R:R,R110)</f>
        <v>1</v>
      </c>
      <c r="E110" s="21">
        <f>COUNTIF($R$2:R110,R110)</f>
        <v>1</v>
      </c>
      <c r="F110" s="22" t="str" cm="1">
        <f t="array" ref="F110">INDEX(订单明细!BQ:BQ,MATCH(R110&amp;AC110,订单明细!A:A&amp;订单明细!O:O,0))</f>
        <v>Z1248-黑色-L</v>
      </c>
      <c r="G110" s="22" t="str">
        <f>LEFT(F110,FIND("-",F110)-1)</f>
        <v>Z1248</v>
      </c>
      <c r="H110" s="21" cm="1">
        <f t="array" ref="H110">_xlfn.IFS(C110=0,"",I110&gt;0,AD110,AND(I110&lt;0,I110&gt;-30),0,I110&lt;=-30,-1)</f>
        <v>1</v>
      </c>
      <c r="I110" s="21">
        <f>AF110</f>
        <v>199</v>
      </c>
      <c r="J110" s="21">
        <f>AI110+AJ110</f>
        <v>0</v>
      </c>
      <c r="K110" s="21">
        <f>IF(AZ110&lt;=0,AZ110,AZ110/COUNTIFS(R:R,R110,AZ:AZ,"&gt;0"))</f>
        <v>0</v>
      </c>
      <c r="L110" s="21">
        <f>AM110</f>
        <v>-9.95</v>
      </c>
      <c r="M110" s="21">
        <f>AT110</f>
        <v>-1.19</v>
      </c>
      <c r="N110" s="21"/>
      <c r="O110" s="23">
        <f>SUM(I110:N110)</f>
        <v>187.86</v>
      </c>
      <c r="R110" s="32" t="s">
        <v>1188</v>
      </c>
      <c r="S110" s="30"/>
      <c r="T110" s="30" t="s">
        <v>1999</v>
      </c>
      <c r="U110" s="30" t="s">
        <v>1196</v>
      </c>
      <c r="V110" s="30" t="s">
        <v>2000</v>
      </c>
      <c r="W110" s="33" t="s">
        <v>1782</v>
      </c>
      <c r="X110" s="33" t="s">
        <v>1776</v>
      </c>
      <c r="Y110" s="30">
        <v>187.86</v>
      </c>
      <c r="Z110" s="26" t="s">
        <v>1900</v>
      </c>
      <c r="AA110" s="33" t="s">
        <v>1860</v>
      </c>
      <c r="AB110" s="30" t="s">
        <v>799</v>
      </c>
      <c r="AC110" s="32" t="s">
        <v>800</v>
      </c>
      <c r="AD110" s="27">
        <v>1</v>
      </c>
      <c r="AE110" s="30">
        <v>199</v>
      </c>
      <c r="AF110" s="31">
        <v>199</v>
      </c>
      <c r="AG110" s="30" t="s">
        <v>75</v>
      </c>
      <c r="AH110" s="30">
        <v>0</v>
      </c>
      <c r="AI110" s="28">
        <v>0</v>
      </c>
      <c r="AJ110" s="28">
        <v>0</v>
      </c>
      <c r="AK110" s="27">
        <v>0.05</v>
      </c>
      <c r="AL110" s="27">
        <v>0</v>
      </c>
      <c r="AM110" s="28">
        <v>-9.95</v>
      </c>
      <c r="AN110" s="28">
        <v>199</v>
      </c>
      <c r="AO110" s="27">
        <v>199</v>
      </c>
      <c r="AP110" s="27">
        <v>0</v>
      </c>
      <c r="AQ110" s="29" t="s">
        <v>103</v>
      </c>
      <c r="AR110" s="27">
        <v>0</v>
      </c>
      <c r="AS110" s="27">
        <v>0.006</v>
      </c>
      <c r="AT110" s="28">
        <v>-1.19</v>
      </c>
      <c r="AU110" s="30" t="s">
        <v>151</v>
      </c>
      <c r="AV110" s="33" t="s">
        <v>1779</v>
      </c>
      <c r="AW110" s="33" t="s">
        <v>1780</v>
      </c>
      <c r="AX110" s="30"/>
      <c r="AY110" s="30"/>
      <c r="AZ110" s="28">
        <v>0</v>
      </c>
      <c r="BA110" s="27">
        <v>0</v>
      </c>
      <c r="BB110" s="27">
        <v>0</v>
      </c>
      <c r="BC110" s="27">
        <v>0</v>
      </c>
      <c r="BD110" s="27">
        <v>0</v>
      </c>
      <c r="BE110" s="30"/>
    </row>
    <row r="111" customHeight="1" spans="1:57">
      <c r="A111" s="20">
        <f>YEAR(V111)</f>
        <v>2025</v>
      </c>
      <c r="B111" s="21">
        <f>MONTH(V111)</f>
        <v>8</v>
      </c>
      <c r="C111" s="21" t="str">
        <f>R111</f>
        <v>P770818894631507761</v>
      </c>
      <c r="D111" s="21">
        <f>COUNTIF(R:R,R111)</f>
        <v>1</v>
      </c>
      <c r="E111" s="21">
        <f>COUNTIF($R$2:R111,R111)</f>
        <v>1</v>
      </c>
      <c r="F111" s="22" t="str" cm="1">
        <f t="array" ref="F111">INDEX(订单明细!BQ:BQ,MATCH(R111&amp;AC111,订单明细!A:A&amp;订单明细!O:O,0))</f>
        <v>Z2380-藏青色</v>
      </c>
      <c r="G111" s="22" t="str">
        <f>LEFT(F111,FIND("-",F111)-1)</f>
        <v>Z2380</v>
      </c>
      <c r="H111" s="21" cm="1">
        <f t="array" ref="H111">_xlfn.IFS(C111=0,"",I111&gt;0,AD111,AND(I111&lt;0,I111&gt;-30),0,I111&lt;=-30,-1)</f>
        <v>1</v>
      </c>
      <c r="I111" s="21">
        <f>AF111</f>
        <v>199</v>
      </c>
      <c r="J111" s="21">
        <f>AI111+AJ111</f>
        <v>0</v>
      </c>
      <c r="K111" s="21">
        <f>IF(AZ111&lt;=0,AZ111,AZ111/COUNTIFS(R:R,R111,AZ:AZ,"&gt;0"))</f>
        <v>0</v>
      </c>
      <c r="L111" s="21">
        <f>AM111</f>
        <v>-9.95</v>
      </c>
      <c r="M111" s="21">
        <f>AT111</f>
        <v>-1.19</v>
      </c>
      <c r="N111" s="21"/>
      <c r="O111" s="23">
        <f>SUM(I111:N111)</f>
        <v>187.86</v>
      </c>
      <c r="R111" s="32" t="s">
        <v>362</v>
      </c>
      <c r="S111" s="30"/>
      <c r="T111" s="30" t="s">
        <v>378</v>
      </c>
      <c r="U111" s="30" t="s">
        <v>381</v>
      </c>
      <c r="V111" s="30" t="s">
        <v>2001</v>
      </c>
      <c r="W111" s="33" t="s">
        <v>1782</v>
      </c>
      <c r="X111" s="33" t="s">
        <v>1776</v>
      </c>
      <c r="Y111" s="30">
        <v>187.86</v>
      </c>
      <c r="Z111" s="26" t="s">
        <v>1868</v>
      </c>
      <c r="AA111" s="33" t="s">
        <v>1869</v>
      </c>
      <c r="AB111" s="30" t="s">
        <v>369</v>
      </c>
      <c r="AC111" s="32" t="s">
        <v>370</v>
      </c>
      <c r="AD111" s="27">
        <v>1</v>
      </c>
      <c r="AE111" s="30">
        <v>199</v>
      </c>
      <c r="AF111" s="31">
        <v>199</v>
      </c>
      <c r="AG111" s="30" t="s">
        <v>75</v>
      </c>
      <c r="AH111" s="30">
        <v>0</v>
      </c>
      <c r="AI111" s="28">
        <v>0</v>
      </c>
      <c r="AJ111" s="28">
        <v>0</v>
      </c>
      <c r="AK111" s="27">
        <v>0.05</v>
      </c>
      <c r="AL111" s="27">
        <v>0</v>
      </c>
      <c r="AM111" s="28">
        <v>-9.95</v>
      </c>
      <c r="AN111" s="28">
        <v>199</v>
      </c>
      <c r="AO111" s="27">
        <v>199</v>
      </c>
      <c r="AP111" s="27">
        <v>0</v>
      </c>
      <c r="AQ111" s="29" t="s">
        <v>103</v>
      </c>
      <c r="AR111" s="27">
        <v>0</v>
      </c>
      <c r="AS111" s="27">
        <v>0.006</v>
      </c>
      <c r="AT111" s="28">
        <v>-1.19</v>
      </c>
      <c r="AU111" s="30" t="s">
        <v>151</v>
      </c>
      <c r="AV111" s="33" t="s">
        <v>1779</v>
      </c>
      <c r="AW111" s="33" t="s">
        <v>1780</v>
      </c>
      <c r="AX111" s="30"/>
      <c r="AY111" s="30"/>
      <c r="AZ111" s="28">
        <v>0</v>
      </c>
      <c r="BA111" s="27">
        <v>0</v>
      </c>
      <c r="BB111" s="27">
        <v>0</v>
      </c>
      <c r="BC111" s="27">
        <v>0</v>
      </c>
      <c r="BD111" s="27">
        <v>0</v>
      </c>
      <c r="BE111" s="30"/>
    </row>
    <row r="112" customHeight="1" spans="1:57">
      <c r="A112" s="20">
        <f>YEAR(V112)</f>
        <v>2025</v>
      </c>
      <c r="B112" s="21">
        <f>MONTH(V112)</f>
        <v>8</v>
      </c>
      <c r="C112" s="21" t="str">
        <f>R112</f>
        <v>P770802455479324851</v>
      </c>
      <c r="D112" s="21">
        <f>COUNTIF(R:R,R112)</f>
        <v>1</v>
      </c>
      <c r="E112" s="21">
        <f>COUNTIF($R$2:R112,R112)</f>
        <v>1</v>
      </c>
      <c r="F112" s="22" t="str" cm="1">
        <f t="array" ref="F112">INDEX(订单明细!BQ:BQ,MATCH(R112&amp;AC112,订单明细!A:A&amp;订单明细!O:O,0))</f>
        <v>Z2351-黑色-L</v>
      </c>
      <c r="G112" s="22" t="str">
        <f>LEFT(F112,FIND("-",F112)-1)</f>
        <v>Z2351</v>
      </c>
      <c r="H112" s="21" cm="1">
        <f t="array" ref="H112">_xlfn.IFS(C112=0,"",I112&gt;0,AD112,AND(I112&lt;0,I112&gt;-30),0,I112&lt;=-30,-1)</f>
        <v>1</v>
      </c>
      <c r="I112" s="21">
        <f>AF112</f>
        <v>219</v>
      </c>
      <c r="J112" s="21">
        <f>AI112+AJ112</f>
        <v>0</v>
      </c>
      <c r="K112" s="21">
        <f>IF(AZ112&lt;=0,AZ112,AZ112/COUNTIFS(R:R,R112,AZ:AZ,"&gt;0"))</f>
        <v>0</v>
      </c>
      <c r="L112" s="21">
        <f>AM112</f>
        <v>-10.95</v>
      </c>
      <c r="M112" s="21">
        <f>AT112</f>
        <v>-1.31</v>
      </c>
      <c r="N112" s="21"/>
      <c r="O112" s="23">
        <f>SUM(I112:N112)</f>
        <v>206.74</v>
      </c>
      <c r="R112" s="32" t="s">
        <v>536</v>
      </c>
      <c r="S112" s="30"/>
      <c r="T112" s="30" t="s">
        <v>550</v>
      </c>
      <c r="U112" s="30" t="s">
        <v>553</v>
      </c>
      <c r="V112" s="30" t="s">
        <v>2002</v>
      </c>
      <c r="W112" s="33" t="s">
        <v>1782</v>
      </c>
      <c r="X112" s="33" t="s">
        <v>1776</v>
      </c>
      <c r="Y112" s="30">
        <v>206.74</v>
      </c>
      <c r="Z112" s="26" t="s">
        <v>2003</v>
      </c>
      <c r="AA112" s="33" t="s">
        <v>1788</v>
      </c>
      <c r="AB112" s="30" t="s">
        <v>543</v>
      </c>
      <c r="AC112" s="32" t="s">
        <v>544</v>
      </c>
      <c r="AD112" s="27">
        <v>1</v>
      </c>
      <c r="AE112" s="30">
        <v>219</v>
      </c>
      <c r="AF112" s="31">
        <v>219</v>
      </c>
      <c r="AG112" s="30" t="s">
        <v>75</v>
      </c>
      <c r="AH112" s="30">
        <v>0</v>
      </c>
      <c r="AI112" s="28">
        <v>0</v>
      </c>
      <c r="AJ112" s="28">
        <v>0</v>
      </c>
      <c r="AK112" s="27">
        <v>0.05</v>
      </c>
      <c r="AL112" s="27">
        <v>0</v>
      </c>
      <c r="AM112" s="28">
        <v>-10.95</v>
      </c>
      <c r="AN112" s="28">
        <v>219</v>
      </c>
      <c r="AO112" s="27">
        <v>219</v>
      </c>
      <c r="AP112" s="27">
        <v>0</v>
      </c>
      <c r="AQ112" s="29" t="s">
        <v>103</v>
      </c>
      <c r="AR112" s="27">
        <v>0</v>
      </c>
      <c r="AS112" s="27">
        <v>0.006</v>
      </c>
      <c r="AT112" s="28">
        <v>-1.31</v>
      </c>
      <c r="AU112" s="30" t="s">
        <v>151</v>
      </c>
      <c r="AV112" s="33" t="s">
        <v>1779</v>
      </c>
      <c r="AW112" s="33" t="s">
        <v>1780</v>
      </c>
      <c r="AX112" s="30"/>
      <c r="AY112" s="30"/>
      <c r="AZ112" s="28">
        <v>0</v>
      </c>
      <c r="BA112" s="27">
        <v>0</v>
      </c>
      <c r="BB112" s="27">
        <v>0</v>
      </c>
      <c r="BC112" s="27">
        <v>0</v>
      </c>
      <c r="BD112" s="27">
        <v>0</v>
      </c>
      <c r="BE112" s="30"/>
    </row>
    <row r="113" customHeight="1" spans="1:57">
      <c r="A113" s="20">
        <f>YEAR(V113)</f>
        <v>2025</v>
      </c>
      <c r="B113" s="21">
        <f>MONTH(V113)</f>
        <v>8</v>
      </c>
      <c r="C113" s="21" t="str">
        <f>R113</f>
        <v>P770629227939064881</v>
      </c>
      <c r="D113" s="21">
        <f>COUNTIF(R:R,R113)</f>
        <v>1</v>
      </c>
      <c r="E113" s="21">
        <f>COUNTIF($R$2:R113,R113)</f>
        <v>1</v>
      </c>
      <c r="F113" s="22" t="str" cm="1">
        <f t="array" ref="F113">INDEX(订单明细!BQ:BQ,MATCH(R113&amp;AC113,订单明细!A:A&amp;订单明细!O:O,0))</f>
        <v>Z2333-米白色-L</v>
      </c>
      <c r="G113" s="22" t="str">
        <f>LEFT(F113,FIND("-",F113)-1)</f>
        <v>Z2333</v>
      </c>
      <c r="H113" s="21" cm="1">
        <f t="array" ref="H113">_xlfn.IFS(C113=0,"",I113&gt;0,AD113,AND(I113&lt;0,I113&gt;-30),0,I113&lt;=-30,-1)</f>
        <v>1</v>
      </c>
      <c r="I113" s="21">
        <f>AF113</f>
        <v>169</v>
      </c>
      <c r="J113" s="21">
        <f>AI113+AJ113</f>
        <v>0</v>
      </c>
      <c r="K113" s="21">
        <f>IF(AZ113&lt;=0,AZ113,AZ113/COUNTIFS(R:R,R113,AZ:AZ,"&gt;0"))</f>
        <v>0</v>
      </c>
      <c r="L113" s="21">
        <f>AM113</f>
        <v>-8.45</v>
      </c>
      <c r="M113" s="21">
        <f>AT113</f>
        <v>-1.01</v>
      </c>
      <c r="N113" s="21"/>
      <c r="O113" s="23">
        <f>SUM(I113:N113)</f>
        <v>159.54</v>
      </c>
      <c r="R113" s="32" t="s">
        <v>1506</v>
      </c>
      <c r="S113" s="30"/>
      <c r="T113" s="30" t="s">
        <v>2004</v>
      </c>
      <c r="U113" s="30" t="s">
        <v>1523</v>
      </c>
      <c r="V113" s="30" t="s">
        <v>2005</v>
      </c>
      <c r="W113" s="33" t="s">
        <v>1782</v>
      </c>
      <c r="X113" s="33" t="s">
        <v>1776</v>
      </c>
      <c r="Y113" s="30">
        <v>159.54</v>
      </c>
      <c r="Z113" s="26" t="s">
        <v>2006</v>
      </c>
      <c r="AA113" s="33" t="s">
        <v>1788</v>
      </c>
      <c r="AB113" s="30" t="s">
        <v>1513</v>
      </c>
      <c r="AC113" s="32" t="s">
        <v>1514</v>
      </c>
      <c r="AD113" s="27">
        <v>1</v>
      </c>
      <c r="AE113" s="30">
        <v>169</v>
      </c>
      <c r="AF113" s="31">
        <v>169</v>
      </c>
      <c r="AG113" s="30" t="s">
        <v>75</v>
      </c>
      <c r="AH113" s="30">
        <v>0</v>
      </c>
      <c r="AI113" s="28">
        <v>0</v>
      </c>
      <c r="AJ113" s="28">
        <v>0</v>
      </c>
      <c r="AK113" s="27">
        <v>0.05</v>
      </c>
      <c r="AL113" s="27">
        <v>0</v>
      </c>
      <c r="AM113" s="28">
        <v>-8.45</v>
      </c>
      <c r="AN113" s="28">
        <v>169</v>
      </c>
      <c r="AO113" s="27">
        <v>169</v>
      </c>
      <c r="AP113" s="27">
        <v>0</v>
      </c>
      <c r="AQ113" s="29" t="s">
        <v>103</v>
      </c>
      <c r="AR113" s="27">
        <v>0</v>
      </c>
      <c r="AS113" s="27">
        <v>0.006</v>
      </c>
      <c r="AT113" s="28">
        <v>-1.01</v>
      </c>
      <c r="AU113" s="30" t="s">
        <v>151</v>
      </c>
      <c r="AV113" s="33" t="s">
        <v>1779</v>
      </c>
      <c r="AW113" s="33" t="s">
        <v>1780</v>
      </c>
      <c r="AX113" s="30"/>
      <c r="AY113" s="30"/>
      <c r="AZ113" s="28">
        <v>0</v>
      </c>
      <c r="BA113" s="27">
        <v>0</v>
      </c>
      <c r="BB113" s="27">
        <v>0</v>
      </c>
      <c r="BC113" s="27">
        <v>0</v>
      </c>
      <c r="BD113" s="27">
        <v>0</v>
      </c>
      <c r="BE113" s="30"/>
    </row>
    <row r="114" customHeight="1" spans="1:57">
      <c r="A114" s="20">
        <f>YEAR(V114)</f>
        <v>2025</v>
      </c>
      <c r="B114" s="21">
        <f>MONTH(V114)</f>
        <v>8</v>
      </c>
      <c r="C114" s="21" t="str">
        <f>R114</f>
        <v>P770795097742070261</v>
      </c>
      <c r="D114" s="21">
        <f>COUNTIF(R:R,R114)</f>
        <v>2</v>
      </c>
      <c r="E114" s="21">
        <f>COUNTIF($R$2:R114,R114)</f>
        <v>1</v>
      </c>
      <c r="F114" s="22" t="str" cm="1">
        <f t="array" ref="F114">INDEX(订单明细!BQ:BQ,MATCH(R114&amp;AC114,订单明细!A:A&amp;订单明细!O:O,0))</f>
        <v>Z2363-灰色-S</v>
      </c>
      <c r="G114" s="22" t="str">
        <f>LEFT(F114,FIND("-",F114)-1)</f>
        <v>Z2363</v>
      </c>
      <c r="H114" s="21" cm="1">
        <f t="array" ref="H114">_xlfn.IFS(C114=0,"",I114&gt;0,AD114,AND(I114&lt;0,I114&gt;-30),0,I114&lt;=-30,-1)</f>
        <v>-1</v>
      </c>
      <c r="I114" s="21">
        <f>AF114</f>
        <v>-359</v>
      </c>
      <c r="J114" s="21">
        <f>AI114+AJ114</f>
        <v>0</v>
      </c>
      <c r="K114" s="21">
        <f>IF(AZ114&lt;=0,AZ114,AZ114/COUNTIFS(R:R,R114,AZ:AZ,"&gt;0"))</f>
        <v>0</v>
      </c>
      <c r="L114" s="21">
        <f>AM114</f>
        <v>17.95</v>
      </c>
      <c r="M114" s="21">
        <f>AT114</f>
        <v>2.15</v>
      </c>
      <c r="N114" s="21"/>
      <c r="O114" s="23">
        <f>SUM(I114:N114)</f>
        <v>-338.9</v>
      </c>
      <c r="R114" s="32" t="s">
        <v>1096</v>
      </c>
      <c r="S114" s="30" t="s">
        <v>2007</v>
      </c>
      <c r="T114" s="30" t="s">
        <v>1091</v>
      </c>
      <c r="U114" s="30" t="s">
        <v>2008</v>
      </c>
      <c r="V114" s="30" t="s">
        <v>2009</v>
      </c>
      <c r="W114" s="33" t="s">
        <v>1775</v>
      </c>
      <c r="X114" s="33" t="s">
        <v>1776</v>
      </c>
      <c r="Y114" s="30">
        <v>-338.9</v>
      </c>
      <c r="Z114" s="26" t="s">
        <v>1975</v>
      </c>
      <c r="AA114" s="33" t="s">
        <v>1785</v>
      </c>
      <c r="AB114" s="30" t="s">
        <v>1105</v>
      </c>
      <c r="AC114" s="32" t="s">
        <v>1106</v>
      </c>
      <c r="AD114" s="27">
        <v>0</v>
      </c>
      <c r="AE114" s="30">
        <v>-359</v>
      </c>
      <c r="AF114" s="32">
        <v>-359</v>
      </c>
      <c r="AG114" s="30">
        <v>0</v>
      </c>
      <c r="AH114" s="30">
        <v>0</v>
      </c>
      <c r="AI114" s="28">
        <v>0</v>
      </c>
      <c r="AJ114" s="28">
        <v>0</v>
      </c>
      <c r="AK114" s="27">
        <v>0</v>
      </c>
      <c r="AL114" s="27">
        <v>0</v>
      </c>
      <c r="AM114" s="28">
        <v>17.95</v>
      </c>
      <c r="AN114" s="28">
        <v>0</v>
      </c>
      <c r="AO114" s="27">
        <v>0</v>
      </c>
      <c r="AP114" s="27">
        <v>0</v>
      </c>
      <c r="AQ114" s="29" t="s">
        <v>103</v>
      </c>
      <c r="AR114" s="27">
        <v>0</v>
      </c>
      <c r="AS114" s="27">
        <v>0</v>
      </c>
      <c r="AT114" s="28">
        <v>2.15</v>
      </c>
      <c r="AU114" s="30" t="s">
        <v>151</v>
      </c>
      <c r="AV114" s="33" t="s">
        <v>1779</v>
      </c>
      <c r="AW114" s="33" t="s">
        <v>1780</v>
      </c>
      <c r="AX114" s="30"/>
      <c r="AY114" s="30"/>
      <c r="AZ114" s="28">
        <v>0</v>
      </c>
      <c r="BA114" s="27">
        <v>0</v>
      </c>
      <c r="BB114" s="27">
        <v>0</v>
      </c>
      <c r="BC114" s="27">
        <v>0</v>
      </c>
      <c r="BD114" s="27">
        <v>0</v>
      </c>
      <c r="BE114" s="30"/>
    </row>
    <row r="115" customHeight="1" spans="1:57">
      <c r="A115" s="20">
        <f>YEAR(V115)</f>
        <v>2025</v>
      </c>
      <c r="B115" s="21">
        <f>MONTH(V115)</f>
        <v>8</v>
      </c>
      <c r="C115" s="21" t="str">
        <f>R115</f>
        <v>P770795097742070261</v>
      </c>
      <c r="D115" s="21">
        <f>COUNTIF(R:R,R115)</f>
        <v>2</v>
      </c>
      <c r="E115" s="21">
        <f>COUNTIF($R$2:R115,R115)</f>
        <v>2</v>
      </c>
      <c r="F115" s="22" t="str" cm="1">
        <f t="array" ref="F115">INDEX(订单明细!BQ:BQ,MATCH(R115&amp;AC115,订单明细!A:A&amp;订单明细!O:O,0))</f>
        <v>Z2363-灰色-S</v>
      </c>
      <c r="G115" s="22" t="str">
        <f>LEFT(F115,FIND("-",F115)-1)</f>
        <v>Z2363</v>
      </c>
      <c r="H115" s="21" cm="1">
        <f t="array" ref="H115">_xlfn.IFS(C115=0,"",I115&gt;0,AD115,AND(I115&lt;0,I115&gt;-30),0,I115&lt;=-30,-1)</f>
        <v>1</v>
      </c>
      <c r="I115" s="21">
        <f>AF115</f>
        <v>359</v>
      </c>
      <c r="J115" s="21">
        <f>AI115+AJ115</f>
        <v>0</v>
      </c>
      <c r="K115" s="21">
        <f>IF(AZ115&lt;=0,AZ115,AZ115/COUNTIFS(R:R,R115,AZ:AZ,"&gt;0"))</f>
        <v>0</v>
      </c>
      <c r="L115" s="21">
        <f>AM115</f>
        <v>-17.95</v>
      </c>
      <c r="M115" s="21">
        <f>AT115</f>
        <v>-2.15</v>
      </c>
      <c r="N115" s="21"/>
      <c r="O115" s="23">
        <f>SUM(I115:N115)</f>
        <v>338.9</v>
      </c>
      <c r="R115" s="32" t="s">
        <v>1096</v>
      </c>
      <c r="S115" s="30"/>
      <c r="T115" s="30" t="s">
        <v>1091</v>
      </c>
      <c r="U115" s="30" t="s">
        <v>2010</v>
      </c>
      <c r="V115" s="30" t="s">
        <v>2009</v>
      </c>
      <c r="W115" s="33" t="s">
        <v>1782</v>
      </c>
      <c r="X115" s="33" t="s">
        <v>1776</v>
      </c>
      <c r="Y115" s="30">
        <v>338.9</v>
      </c>
      <c r="Z115" s="26" t="s">
        <v>1975</v>
      </c>
      <c r="AA115" s="33" t="s">
        <v>1785</v>
      </c>
      <c r="AB115" s="30" t="s">
        <v>1105</v>
      </c>
      <c r="AC115" s="32" t="s">
        <v>1106</v>
      </c>
      <c r="AD115" s="27">
        <v>1</v>
      </c>
      <c r="AE115" s="30">
        <v>359</v>
      </c>
      <c r="AF115" s="31">
        <v>359</v>
      </c>
      <c r="AG115" s="30" t="s">
        <v>75</v>
      </c>
      <c r="AH115" s="30">
        <v>0</v>
      </c>
      <c r="AI115" s="28">
        <v>0</v>
      </c>
      <c r="AJ115" s="28">
        <v>0</v>
      </c>
      <c r="AK115" s="27">
        <v>0.05</v>
      </c>
      <c r="AL115" s="27">
        <v>0</v>
      </c>
      <c r="AM115" s="28">
        <v>-17.95</v>
      </c>
      <c r="AN115" s="28">
        <v>359</v>
      </c>
      <c r="AO115" s="27">
        <v>359</v>
      </c>
      <c r="AP115" s="27">
        <v>0</v>
      </c>
      <c r="AQ115" s="29" t="s">
        <v>103</v>
      </c>
      <c r="AR115" s="27">
        <v>0</v>
      </c>
      <c r="AS115" s="27">
        <v>0.006</v>
      </c>
      <c r="AT115" s="28">
        <v>-2.15</v>
      </c>
      <c r="AU115" s="30" t="s">
        <v>151</v>
      </c>
      <c r="AV115" s="33" t="s">
        <v>1779</v>
      </c>
      <c r="AW115" s="33" t="s">
        <v>1780</v>
      </c>
      <c r="AX115" s="30"/>
      <c r="AY115" s="30"/>
      <c r="AZ115" s="28">
        <v>0</v>
      </c>
      <c r="BA115" s="27">
        <v>0</v>
      </c>
      <c r="BB115" s="27">
        <v>0</v>
      </c>
      <c r="BC115" s="27">
        <v>0</v>
      </c>
      <c r="BD115" s="27">
        <v>0</v>
      </c>
      <c r="BE115" s="30"/>
    </row>
    <row r="116" customHeight="1" spans="1:57">
      <c r="A116" s="20">
        <f>YEAR(V116)</f>
        <v>2025</v>
      </c>
      <c r="B116" s="21">
        <f>MONTH(V116)</f>
        <v>8</v>
      </c>
      <c r="C116" s="21" t="str">
        <f>R116</f>
        <v>P770645825682316701</v>
      </c>
      <c r="D116" s="21">
        <f>COUNTIF(R:R,R116)</f>
        <v>1</v>
      </c>
      <c r="E116" s="21">
        <f>COUNTIF($R$2:R116,R116)</f>
        <v>1</v>
      </c>
      <c r="F116" s="22" t="str" cm="1">
        <f t="array" ref="F116">INDEX(订单明细!BQ:BQ,MATCH(R116&amp;AC116,订单明细!A:A&amp;订单明细!O:O,0))</f>
        <v>Z1576-黑色-M</v>
      </c>
      <c r="G116" s="22" t="str">
        <f>LEFT(F116,FIND("-",F116)-1)</f>
        <v>Z1576</v>
      </c>
      <c r="H116" s="21" cm="1">
        <f t="array" ref="H116">_xlfn.IFS(C116=0,"",I116&gt;0,AD116,AND(I116&lt;0,I116&gt;-30),0,I116&lt;=-30,-1)</f>
        <v>1</v>
      </c>
      <c r="I116" s="21">
        <f>AF116</f>
        <v>199</v>
      </c>
      <c r="J116" s="21">
        <f>AI116+AJ116</f>
        <v>0</v>
      </c>
      <c r="K116" s="21">
        <f>IF(AZ116&lt;=0,AZ116,AZ116/COUNTIFS(R:R,R116,AZ:AZ,"&gt;0"))</f>
        <v>0</v>
      </c>
      <c r="L116" s="21">
        <f>AM116</f>
        <v>-9.95</v>
      </c>
      <c r="M116" s="21">
        <f>AT116</f>
        <v>-1.19</v>
      </c>
      <c r="N116" s="21"/>
      <c r="O116" s="23">
        <f>SUM(I116:N116)</f>
        <v>187.86</v>
      </c>
      <c r="R116" s="32" t="s">
        <v>1443</v>
      </c>
      <c r="S116" s="30"/>
      <c r="T116" s="30" t="s">
        <v>1450</v>
      </c>
      <c r="U116" s="30" t="s">
        <v>1452</v>
      </c>
      <c r="V116" s="30" t="s">
        <v>2011</v>
      </c>
      <c r="W116" s="33" t="s">
        <v>1782</v>
      </c>
      <c r="X116" s="33" t="s">
        <v>1776</v>
      </c>
      <c r="Y116" s="30">
        <v>187.86</v>
      </c>
      <c r="Z116" s="26" t="s">
        <v>1808</v>
      </c>
      <c r="AA116" s="33" t="s">
        <v>1778</v>
      </c>
      <c r="AB116" s="30" t="s">
        <v>395</v>
      </c>
      <c r="AC116" s="32" t="s">
        <v>396</v>
      </c>
      <c r="AD116" s="27">
        <v>1</v>
      </c>
      <c r="AE116" s="30">
        <v>199</v>
      </c>
      <c r="AF116" s="31">
        <v>199</v>
      </c>
      <c r="AG116" s="30" t="s">
        <v>75</v>
      </c>
      <c r="AH116" s="30">
        <v>0</v>
      </c>
      <c r="AI116" s="28">
        <v>0</v>
      </c>
      <c r="AJ116" s="28">
        <v>0</v>
      </c>
      <c r="AK116" s="27">
        <v>0.05</v>
      </c>
      <c r="AL116" s="27">
        <v>0</v>
      </c>
      <c r="AM116" s="28">
        <v>-9.95</v>
      </c>
      <c r="AN116" s="28">
        <v>199</v>
      </c>
      <c r="AO116" s="27">
        <v>199</v>
      </c>
      <c r="AP116" s="27">
        <v>0</v>
      </c>
      <c r="AQ116" s="29" t="s">
        <v>103</v>
      </c>
      <c r="AR116" s="27">
        <v>0</v>
      </c>
      <c r="AS116" s="27">
        <v>0.006</v>
      </c>
      <c r="AT116" s="28">
        <v>-1.19</v>
      </c>
      <c r="AU116" s="30" t="s">
        <v>151</v>
      </c>
      <c r="AV116" s="33" t="s">
        <v>1779</v>
      </c>
      <c r="AW116" s="33" t="s">
        <v>1780</v>
      </c>
      <c r="AX116" s="30"/>
      <c r="AY116" s="30"/>
      <c r="AZ116" s="28">
        <v>0</v>
      </c>
      <c r="BA116" s="27">
        <v>0</v>
      </c>
      <c r="BB116" s="27">
        <v>0</v>
      </c>
      <c r="BC116" s="27">
        <v>0</v>
      </c>
      <c r="BD116" s="27">
        <v>0</v>
      </c>
      <c r="BE116" s="30"/>
    </row>
    <row r="117" customHeight="1" spans="1:57">
      <c r="A117" s="20">
        <f>YEAR(V117)</f>
        <v>2025</v>
      </c>
      <c r="B117" s="21">
        <f>MONTH(V117)</f>
        <v>8</v>
      </c>
      <c r="C117" s="21" t="str">
        <f>R117</f>
        <v>P770367158896295821</v>
      </c>
      <c r="D117" s="21">
        <f>COUNTIF(R:R,R117)</f>
        <v>1</v>
      </c>
      <c r="E117" s="21">
        <f>COUNTIF($R$2:R117,R117)</f>
        <v>1</v>
      </c>
      <c r="F117" s="22" t="str" cm="1">
        <f t="array" ref="F117">INDEX(订单明细!BQ:BQ,MATCH(R117&amp;AC117,订单明细!A:A&amp;订单明细!O:O,0))</f>
        <v>Z2333-米白色-S</v>
      </c>
      <c r="G117" s="22" t="str">
        <f>LEFT(F117,FIND("-",F117)-1)</f>
        <v>Z2333</v>
      </c>
      <c r="H117" s="21" cm="1">
        <f t="array" ref="H117">_xlfn.IFS(C117=0,"",I117&gt;0,AD117,AND(I117&lt;0,I117&gt;-30),0,I117&lt;=-30,-1)</f>
        <v>1</v>
      </c>
      <c r="I117" s="21">
        <f>AF117</f>
        <v>159</v>
      </c>
      <c r="J117" s="21">
        <f>AI117+AJ117</f>
        <v>10</v>
      </c>
      <c r="K117" s="21">
        <f>IF(AZ117&lt;=0,AZ117,AZ117/COUNTIFS(R:R,R117,AZ:AZ,"&gt;0"))</f>
        <v>0</v>
      </c>
      <c r="L117" s="21">
        <f>AM117</f>
        <v>-8.45</v>
      </c>
      <c r="M117" s="21">
        <f>AT117</f>
        <v>-1.01</v>
      </c>
      <c r="N117" s="21"/>
      <c r="O117" s="23">
        <f>SUM(I117:N117)</f>
        <v>159.54</v>
      </c>
      <c r="R117" s="32" t="s">
        <v>1672</v>
      </c>
      <c r="S117" s="30"/>
      <c r="T117" s="30" t="s">
        <v>2012</v>
      </c>
      <c r="U117" s="30" t="s">
        <v>2013</v>
      </c>
      <c r="V117" s="30" t="s">
        <v>2014</v>
      </c>
      <c r="W117" s="33" t="s">
        <v>1782</v>
      </c>
      <c r="X117" s="33" t="s">
        <v>1776</v>
      </c>
      <c r="Y117" s="30">
        <v>159.54</v>
      </c>
      <c r="Z117" s="26" t="s">
        <v>2015</v>
      </c>
      <c r="AA117" s="33" t="s">
        <v>1788</v>
      </c>
      <c r="AB117" s="30" t="s">
        <v>1599</v>
      </c>
      <c r="AC117" s="32" t="s">
        <v>1600</v>
      </c>
      <c r="AD117" s="27">
        <v>1</v>
      </c>
      <c r="AE117" s="30">
        <v>169</v>
      </c>
      <c r="AF117" s="31">
        <v>159</v>
      </c>
      <c r="AG117" s="33" t="s">
        <v>2016</v>
      </c>
      <c r="AH117" s="30">
        <v>0</v>
      </c>
      <c r="AI117" s="28">
        <v>10</v>
      </c>
      <c r="AJ117" s="28">
        <v>0</v>
      </c>
      <c r="AK117" s="27">
        <v>0.05</v>
      </c>
      <c r="AL117" s="27">
        <v>0</v>
      </c>
      <c r="AM117" s="28">
        <v>-8.45</v>
      </c>
      <c r="AN117" s="28">
        <v>169</v>
      </c>
      <c r="AO117" s="27">
        <v>169</v>
      </c>
      <c r="AP117" s="27">
        <v>0</v>
      </c>
      <c r="AQ117" s="29" t="s">
        <v>103</v>
      </c>
      <c r="AR117" s="27">
        <v>0</v>
      </c>
      <c r="AS117" s="27">
        <v>0.006</v>
      </c>
      <c r="AT117" s="28">
        <v>-1.01</v>
      </c>
      <c r="AU117" s="30" t="s">
        <v>151</v>
      </c>
      <c r="AV117" s="33" t="s">
        <v>1779</v>
      </c>
      <c r="AW117" s="33" t="s">
        <v>1780</v>
      </c>
      <c r="AX117" s="30"/>
      <c r="AY117" s="30"/>
      <c r="AZ117" s="28">
        <v>0</v>
      </c>
      <c r="BA117" s="27">
        <v>0</v>
      </c>
      <c r="BB117" s="27">
        <v>0</v>
      </c>
      <c r="BC117" s="27">
        <v>0</v>
      </c>
      <c r="BD117" s="27">
        <v>0</v>
      </c>
      <c r="BE117" s="30"/>
    </row>
    <row r="118" customHeight="1" spans="1:57">
      <c r="A118" s="20">
        <f>YEAR(V118)</f>
        <v>2025</v>
      </c>
      <c r="B118" s="21">
        <f>MONTH(V118)</f>
        <v>8</v>
      </c>
      <c r="C118" s="21" t="str">
        <f>R118</f>
        <v>P770638780093456882</v>
      </c>
      <c r="D118" s="21">
        <f>COUNTIF(R:R,R118)</f>
        <v>1</v>
      </c>
      <c r="E118" s="21">
        <f>COUNTIF($R$2:R118,R118)</f>
        <v>1</v>
      </c>
      <c r="F118" s="22" t="str" cm="1">
        <f t="array" ref="F118">INDEX(订单明细!BQ:BQ,MATCH(R118&amp;AC118,订单明细!A:A&amp;订单明细!O:O,0))</f>
        <v>Z1581-黑色-M</v>
      </c>
      <c r="G118" s="22" t="str">
        <f>LEFT(F118,FIND("-",F118)-1)</f>
        <v>Z1581</v>
      </c>
      <c r="H118" s="21" cm="1">
        <f t="array" ref="H118">_xlfn.IFS(C118=0,"",I118&gt;0,AD118,AND(I118&lt;0,I118&gt;-30),0,I118&lt;=-30,-1)</f>
        <v>1</v>
      </c>
      <c r="I118" s="21">
        <f>AF118</f>
        <v>289</v>
      </c>
      <c r="J118" s="21">
        <f>AI118+AJ118</f>
        <v>0</v>
      </c>
      <c r="K118" s="21">
        <f>IF(AZ118&lt;=0,AZ118,AZ118/COUNTIFS(R:R,R118,AZ:AZ,"&gt;0"))</f>
        <v>0</v>
      </c>
      <c r="L118" s="21">
        <f>AM118</f>
        <v>-14.45</v>
      </c>
      <c r="M118" s="21">
        <f>AT118</f>
        <v>-1.73</v>
      </c>
      <c r="N118" s="21"/>
      <c r="O118" s="23">
        <f>SUM(I118:N118)</f>
        <v>272.82</v>
      </c>
      <c r="R118" s="32" t="s">
        <v>1468</v>
      </c>
      <c r="S118" s="30"/>
      <c r="T118" s="30" t="s">
        <v>1477</v>
      </c>
      <c r="U118" s="30" t="s">
        <v>1480</v>
      </c>
      <c r="V118" s="30" t="s">
        <v>2017</v>
      </c>
      <c r="W118" s="33" t="s">
        <v>1782</v>
      </c>
      <c r="X118" s="33" t="s">
        <v>1776</v>
      </c>
      <c r="Y118" s="30">
        <v>272.82</v>
      </c>
      <c r="Z118" s="26" t="s">
        <v>2018</v>
      </c>
      <c r="AA118" s="33" t="s">
        <v>1791</v>
      </c>
      <c r="AB118" s="30" t="s">
        <v>1472</v>
      </c>
      <c r="AC118" s="32" t="s">
        <v>1473</v>
      </c>
      <c r="AD118" s="27">
        <v>1</v>
      </c>
      <c r="AE118" s="30">
        <v>289</v>
      </c>
      <c r="AF118" s="31">
        <v>289</v>
      </c>
      <c r="AG118" s="30" t="s">
        <v>75</v>
      </c>
      <c r="AH118" s="30">
        <v>0</v>
      </c>
      <c r="AI118" s="28">
        <v>0</v>
      </c>
      <c r="AJ118" s="28">
        <v>0</v>
      </c>
      <c r="AK118" s="27">
        <v>0.05</v>
      </c>
      <c r="AL118" s="27">
        <v>0</v>
      </c>
      <c r="AM118" s="28">
        <v>-14.45</v>
      </c>
      <c r="AN118" s="28">
        <v>289</v>
      </c>
      <c r="AO118" s="27">
        <v>289</v>
      </c>
      <c r="AP118" s="27">
        <v>0</v>
      </c>
      <c r="AQ118" s="29" t="s">
        <v>103</v>
      </c>
      <c r="AR118" s="27">
        <v>0</v>
      </c>
      <c r="AS118" s="27">
        <v>0.006</v>
      </c>
      <c r="AT118" s="28">
        <v>-1.73</v>
      </c>
      <c r="AU118" s="30" t="s">
        <v>151</v>
      </c>
      <c r="AV118" s="33" t="s">
        <v>1779</v>
      </c>
      <c r="AW118" s="33" t="s">
        <v>1780</v>
      </c>
      <c r="AX118" s="30"/>
      <c r="AY118" s="30"/>
      <c r="AZ118" s="28">
        <v>0</v>
      </c>
      <c r="BA118" s="27">
        <v>0</v>
      </c>
      <c r="BB118" s="27">
        <v>0</v>
      </c>
      <c r="BC118" s="27">
        <v>0</v>
      </c>
      <c r="BD118" s="27">
        <v>0</v>
      </c>
      <c r="BE118" s="30"/>
    </row>
    <row r="119" customHeight="1" spans="1:57">
      <c r="A119" s="20">
        <f>YEAR(V119)</f>
        <v>2025</v>
      </c>
      <c r="B119" s="21">
        <f>MONTH(V119)</f>
        <v>8</v>
      </c>
      <c r="C119" s="21" t="str">
        <f>R119</f>
        <v>P771077302074017641</v>
      </c>
      <c r="D119" s="21">
        <f>COUNTIF(R:R,R119)</f>
        <v>3</v>
      </c>
      <c r="E119" s="21">
        <f>COUNTIF($R$2:R119,R119)</f>
        <v>1</v>
      </c>
      <c r="F119" s="22" t="str" cm="1">
        <f t="array" ref="F119">INDEX(订单明细!BQ:BQ,MATCH(R119&amp;AC119,订单明细!A:A&amp;订单明细!O:O,0))</f>
        <v>Z2183-米白色-M</v>
      </c>
      <c r="G119" s="22" t="str">
        <f>LEFT(F119,FIND("-",F119)-1)</f>
        <v>Z2183</v>
      </c>
      <c r="H119" s="21" cm="1">
        <f t="array" ref="H119">_xlfn.IFS(C119=0,"",I119&gt;0,AD119,AND(I119&lt;0,I119&gt;-30),0,I119&lt;=-30,-1)</f>
        <v>-1</v>
      </c>
      <c r="I119" s="21">
        <f>AF119</f>
        <v>-129</v>
      </c>
      <c r="J119" s="21">
        <f>AI119+AJ119</f>
        <v>0</v>
      </c>
      <c r="K119" s="21">
        <f>IF(AZ119&lt;=0,AZ119,AZ119/COUNTIFS(R:R,R119,AZ:AZ,"&gt;0"))</f>
        <v>0</v>
      </c>
      <c r="L119" s="21">
        <f>AM119</f>
        <v>6.45</v>
      </c>
      <c r="M119" s="21">
        <f>AT119</f>
        <v>0.77</v>
      </c>
      <c r="N119" s="21"/>
      <c r="O119" s="23">
        <f>SUM(I119:N119)</f>
        <v>-121.78</v>
      </c>
      <c r="R119" s="32" t="s">
        <v>139</v>
      </c>
      <c r="S119" s="30" t="s">
        <v>2019</v>
      </c>
      <c r="T119" s="30" t="s">
        <v>159</v>
      </c>
      <c r="U119" s="30" t="s">
        <v>2020</v>
      </c>
      <c r="V119" s="30" t="s">
        <v>2021</v>
      </c>
      <c r="W119" s="33" t="s">
        <v>1775</v>
      </c>
      <c r="X119" s="33" t="s">
        <v>1776</v>
      </c>
      <c r="Y119" s="30">
        <v>-121.78</v>
      </c>
      <c r="Z119" s="26" t="s">
        <v>2022</v>
      </c>
      <c r="AA119" s="33" t="s">
        <v>1778</v>
      </c>
      <c r="AB119" s="30" t="s">
        <v>170</v>
      </c>
      <c r="AC119" s="32" t="s">
        <v>171</v>
      </c>
      <c r="AD119" s="27">
        <v>0</v>
      </c>
      <c r="AE119" s="30">
        <v>-129</v>
      </c>
      <c r="AF119" s="32">
        <v>-129</v>
      </c>
      <c r="AG119" s="30">
        <v>0</v>
      </c>
      <c r="AH119" s="30">
        <v>0</v>
      </c>
      <c r="AI119" s="28">
        <v>0</v>
      </c>
      <c r="AJ119" s="28">
        <v>0</v>
      </c>
      <c r="AK119" s="27">
        <v>0</v>
      </c>
      <c r="AL119" s="27">
        <v>0</v>
      </c>
      <c r="AM119" s="28">
        <v>6.45</v>
      </c>
      <c r="AN119" s="28">
        <v>0</v>
      </c>
      <c r="AO119" s="27">
        <v>0</v>
      </c>
      <c r="AP119" s="27">
        <v>0</v>
      </c>
      <c r="AQ119" s="29" t="s">
        <v>103</v>
      </c>
      <c r="AR119" s="27">
        <v>0</v>
      </c>
      <c r="AS119" s="27">
        <v>0</v>
      </c>
      <c r="AT119" s="28">
        <v>0.77</v>
      </c>
      <c r="AU119" s="30" t="s">
        <v>151</v>
      </c>
      <c r="AV119" s="33" t="s">
        <v>1779</v>
      </c>
      <c r="AW119" s="33" t="s">
        <v>1780</v>
      </c>
      <c r="AX119" s="30"/>
      <c r="AY119" s="30"/>
      <c r="AZ119" s="28">
        <v>0</v>
      </c>
      <c r="BA119" s="27">
        <v>0</v>
      </c>
      <c r="BB119" s="27">
        <v>0</v>
      </c>
      <c r="BC119" s="27">
        <v>0</v>
      </c>
      <c r="BD119" s="27">
        <v>0</v>
      </c>
      <c r="BE119" s="30"/>
    </row>
    <row r="120" customHeight="1" spans="1:57">
      <c r="A120" s="20">
        <f>YEAR(V120)</f>
        <v>2025</v>
      </c>
      <c r="B120" s="21">
        <f>MONTH(V120)</f>
        <v>8</v>
      </c>
      <c r="C120" s="21" t="str">
        <f>R120</f>
        <v>P771077302074017641</v>
      </c>
      <c r="D120" s="21">
        <f>COUNTIF(R:R,R120)</f>
        <v>3</v>
      </c>
      <c r="E120" s="21">
        <f>COUNTIF($R$2:R120,R120)</f>
        <v>2</v>
      </c>
      <c r="F120" s="22" t="str" cm="1">
        <f t="array" ref="F120">INDEX(订单明细!BQ:BQ,MATCH(R120&amp;AC120,订单明细!A:A&amp;订单明细!O:O,0))</f>
        <v>Z2183-黑色-M</v>
      </c>
      <c r="G120" s="22" t="str">
        <f>LEFT(F120,FIND("-",F120)-1)</f>
        <v>Z2183</v>
      </c>
      <c r="H120" s="21" cm="1">
        <f t="array" ref="H120">_xlfn.IFS(C120=0,"",I120&gt;0,AD120,AND(I120&lt;0,I120&gt;-30),0,I120&lt;=-30,-1)</f>
        <v>1</v>
      </c>
      <c r="I120" s="21">
        <f>AF120</f>
        <v>129</v>
      </c>
      <c r="J120" s="21">
        <f>AI120+AJ120</f>
        <v>0</v>
      </c>
      <c r="K120" s="21">
        <f>IF(AZ120&lt;=0,AZ120,AZ120/COUNTIFS(R:R,R120,AZ:AZ,"&gt;0"))</f>
        <v>0</v>
      </c>
      <c r="L120" s="21">
        <f>AM120</f>
        <v>-6.45</v>
      </c>
      <c r="M120" s="21">
        <f>AT120</f>
        <v>-0.77</v>
      </c>
      <c r="N120" s="21"/>
      <c r="O120" s="23">
        <f>SUM(I120:N120)</f>
        <v>121.78</v>
      </c>
      <c r="R120" s="32" t="s">
        <v>139</v>
      </c>
      <c r="S120" s="30"/>
      <c r="T120" s="30" t="s">
        <v>159</v>
      </c>
      <c r="U120" s="30" t="s">
        <v>2023</v>
      </c>
      <c r="V120" s="30" t="s">
        <v>2021</v>
      </c>
      <c r="W120" s="33" t="s">
        <v>1782</v>
      </c>
      <c r="X120" s="33" t="s">
        <v>1776</v>
      </c>
      <c r="Y120" s="30">
        <v>243.56</v>
      </c>
      <c r="Z120" s="26" t="s">
        <v>2024</v>
      </c>
      <c r="AA120" s="33" t="s">
        <v>1778</v>
      </c>
      <c r="AB120" s="30" t="s">
        <v>149</v>
      </c>
      <c r="AC120" s="32" t="s">
        <v>150</v>
      </c>
      <c r="AD120" s="27">
        <v>1</v>
      </c>
      <c r="AE120" s="30">
        <v>129</v>
      </c>
      <c r="AF120" s="31">
        <v>129</v>
      </c>
      <c r="AG120" s="30" t="s">
        <v>75</v>
      </c>
      <c r="AH120" s="30">
        <v>0</v>
      </c>
      <c r="AI120" s="28">
        <v>0</v>
      </c>
      <c r="AJ120" s="28">
        <v>0</v>
      </c>
      <c r="AK120" s="27">
        <v>0.05</v>
      </c>
      <c r="AL120" s="27">
        <v>0</v>
      </c>
      <c r="AM120" s="28">
        <v>-6.45</v>
      </c>
      <c r="AN120" s="28">
        <v>129</v>
      </c>
      <c r="AO120" s="27">
        <v>129</v>
      </c>
      <c r="AP120" s="27">
        <v>0</v>
      </c>
      <c r="AQ120" s="29" t="s">
        <v>103</v>
      </c>
      <c r="AR120" s="27">
        <v>0</v>
      </c>
      <c r="AS120" s="27">
        <v>0.006</v>
      </c>
      <c r="AT120" s="28">
        <v>-0.77</v>
      </c>
      <c r="AU120" s="30" t="s">
        <v>151</v>
      </c>
      <c r="AV120" s="33" t="s">
        <v>1779</v>
      </c>
      <c r="AW120" s="33" t="s">
        <v>1780</v>
      </c>
      <c r="AX120" s="30"/>
      <c r="AY120" s="30"/>
      <c r="AZ120" s="28">
        <v>0</v>
      </c>
      <c r="BA120" s="27">
        <v>0</v>
      </c>
      <c r="BB120" s="27">
        <v>0</v>
      </c>
      <c r="BC120" s="27">
        <v>0</v>
      </c>
      <c r="BD120" s="27">
        <v>0</v>
      </c>
      <c r="BE120" s="30"/>
    </row>
    <row r="121" customHeight="1" spans="1:57">
      <c r="A121" s="20">
        <f>YEAR(V121)</f>
        <v>2025</v>
      </c>
      <c r="B121" s="21">
        <f>MONTH(V121)</f>
        <v>8</v>
      </c>
      <c r="C121" s="21" t="str">
        <f>R121</f>
        <v>P771077302074017641</v>
      </c>
      <c r="D121" s="21">
        <f>COUNTIF(R:R,R121)</f>
        <v>3</v>
      </c>
      <c r="E121" s="21">
        <f>COUNTIF($R$2:R121,R121)</f>
        <v>3</v>
      </c>
      <c r="F121" s="22" t="str" cm="1">
        <f t="array" ref="F121">INDEX(订单明细!BQ:BQ,MATCH(R121&amp;AC121,订单明细!A:A&amp;订单明细!O:O,0))</f>
        <v>Z2183-米白色-M</v>
      </c>
      <c r="G121" s="22" t="str">
        <f>LEFT(F121,FIND("-",F121)-1)</f>
        <v>Z2183</v>
      </c>
      <c r="H121" s="21" cm="1">
        <f t="array" ref="H121">_xlfn.IFS(C121=0,"",I121&gt;0,AD121,AND(I121&lt;0,I121&gt;-30),0,I121&lt;=-30,-1)</f>
        <v>1</v>
      </c>
      <c r="I121" s="21">
        <f>AF121</f>
        <v>129</v>
      </c>
      <c r="J121" s="21">
        <f>AI121+AJ121</f>
        <v>0</v>
      </c>
      <c r="K121" s="21">
        <f>IF(AZ121&lt;=0,AZ121,AZ121/COUNTIFS(R:R,R121,AZ:AZ,"&gt;0"))</f>
        <v>0</v>
      </c>
      <c r="L121" s="21">
        <f>AM121</f>
        <v>-6.45</v>
      </c>
      <c r="M121" s="21">
        <f>AT121</f>
        <v>-0.77</v>
      </c>
      <c r="N121" s="21"/>
      <c r="O121" s="23">
        <f>SUM(I121:N121)</f>
        <v>121.78</v>
      </c>
      <c r="R121" s="32" t="s">
        <v>139</v>
      </c>
      <c r="S121" s="30"/>
      <c r="T121" s="30" t="s">
        <v>159</v>
      </c>
      <c r="U121" s="30" t="s">
        <v>2023</v>
      </c>
      <c r="V121" s="30" t="s">
        <v>2021</v>
      </c>
      <c r="W121" s="33" t="s">
        <v>1782</v>
      </c>
      <c r="X121" s="33" t="s">
        <v>1776</v>
      </c>
      <c r="Y121" s="30">
        <v>243.56</v>
      </c>
      <c r="Z121" s="26" t="s">
        <v>2022</v>
      </c>
      <c r="AA121" s="33" t="s">
        <v>1778</v>
      </c>
      <c r="AB121" s="30" t="s">
        <v>170</v>
      </c>
      <c r="AC121" s="32" t="s">
        <v>171</v>
      </c>
      <c r="AD121" s="27">
        <v>1</v>
      </c>
      <c r="AE121" s="30">
        <v>129</v>
      </c>
      <c r="AF121" s="31">
        <v>129</v>
      </c>
      <c r="AG121" s="30" t="s">
        <v>75</v>
      </c>
      <c r="AH121" s="30">
        <v>0</v>
      </c>
      <c r="AI121" s="28">
        <v>0</v>
      </c>
      <c r="AJ121" s="28">
        <v>0</v>
      </c>
      <c r="AK121" s="27">
        <v>0.05</v>
      </c>
      <c r="AL121" s="27">
        <v>0</v>
      </c>
      <c r="AM121" s="28">
        <v>-6.45</v>
      </c>
      <c r="AN121" s="28">
        <v>129</v>
      </c>
      <c r="AO121" s="27">
        <v>129</v>
      </c>
      <c r="AP121" s="27">
        <v>0</v>
      </c>
      <c r="AQ121" s="29" t="s">
        <v>103</v>
      </c>
      <c r="AR121" s="27">
        <v>0</v>
      </c>
      <c r="AS121" s="27">
        <v>0.006</v>
      </c>
      <c r="AT121" s="28">
        <v>-0.77</v>
      </c>
      <c r="AU121" s="30" t="s">
        <v>151</v>
      </c>
      <c r="AV121" s="33" t="s">
        <v>1779</v>
      </c>
      <c r="AW121" s="33" t="s">
        <v>1780</v>
      </c>
      <c r="AX121" s="30"/>
      <c r="AY121" s="30"/>
      <c r="AZ121" s="28">
        <v>0</v>
      </c>
      <c r="BA121" s="27">
        <v>0</v>
      </c>
      <c r="BB121" s="27">
        <v>0</v>
      </c>
      <c r="BC121" s="27">
        <v>0</v>
      </c>
      <c r="BD121" s="27">
        <v>0</v>
      </c>
      <c r="BE121" s="30"/>
    </row>
    <row r="122" customHeight="1" spans="1:57">
      <c r="A122" s="20">
        <f>YEAR(V122)</f>
        <v>2025</v>
      </c>
      <c r="B122" s="21">
        <f>MONTH(V122)</f>
        <v>8</v>
      </c>
      <c r="C122" s="21" t="str">
        <f>R122</f>
        <v>P770807071130358401</v>
      </c>
      <c r="D122" s="21">
        <f>COUNTIF(R:R,R122)</f>
        <v>1</v>
      </c>
      <c r="E122" s="21">
        <f>COUNTIF($R$2:R122,R122)</f>
        <v>1</v>
      </c>
      <c r="F122" s="22" t="str" cm="1">
        <f t="array" ref="F122">INDEX(订单明细!BQ:BQ,MATCH(R122&amp;AC122,订单明细!A:A&amp;订单明细!O:O,0))</f>
        <v>Z2380-黑色</v>
      </c>
      <c r="G122" s="22" t="str">
        <f>LEFT(F122,FIND("-",F122)-1)</f>
        <v>Z2380</v>
      </c>
      <c r="H122" s="21" cm="1">
        <f t="array" ref="H122">_xlfn.IFS(C122=0,"",I122&gt;0,AD122,AND(I122&lt;0,I122&gt;-30),0,I122&lt;=-30,-1)</f>
        <v>1</v>
      </c>
      <c r="I122" s="21">
        <f>AF122</f>
        <v>199</v>
      </c>
      <c r="J122" s="21">
        <f>AI122+AJ122</f>
        <v>0</v>
      </c>
      <c r="K122" s="21">
        <f>IF(AZ122&lt;=0,AZ122,AZ122/COUNTIFS(R:R,R122,AZ:AZ,"&gt;0"))</f>
        <v>0</v>
      </c>
      <c r="L122" s="21">
        <f>AM122</f>
        <v>-9.95</v>
      </c>
      <c r="M122" s="21">
        <f>AT122</f>
        <v>-1.19</v>
      </c>
      <c r="N122" s="21"/>
      <c r="O122" s="23">
        <f>SUM(I122:N122)</f>
        <v>187.86</v>
      </c>
      <c r="R122" s="32" t="s">
        <v>515</v>
      </c>
      <c r="S122" s="30"/>
      <c r="T122" s="30" t="s">
        <v>530</v>
      </c>
      <c r="U122" s="30" t="s">
        <v>533</v>
      </c>
      <c r="V122" s="30" t="s">
        <v>2025</v>
      </c>
      <c r="W122" s="33" t="s">
        <v>1782</v>
      </c>
      <c r="X122" s="33" t="s">
        <v>1776</v>
      </c>
      <c r="Y122" s="30">
        <v>187.86</v>
      </c>
      <c r="Z122" s="26" t="s">
        <v>1872</v>
      </c>
      <c r="AA122" s="33" t="s">
        <v>1869</v>
      </c>
      <c r="AB122" s="30" t="s">
        <v>523</v>
      </c>
      <c r="AC122" s="32" t="s">
        <v>524</v>
      </c>
      <c r="AD122" s="27">
        <v>1</v>
      </c>
      <c r="AE122" s="30">
        <v>199</v>
      </c>
      <c r="AF122" s="31">
        <v>199</v>
      </c>
      <c r="AG122" s="30" t="s">
        <v>75</v>
      </c>
      <c r="AH122" s="30">
        <v>0</v>
      </c>
      <c r="AI122" s="28">
        <v>0</v>
      </c>
      <c r="AJ122" s="28">
        <v>0</v>
      </c>
      <c r="AK122" s="27">
        <v>0.05</v>
      </c>
      <c r="AL122" s="27">
        <v>0</v>
      </c>
      <c r="AM122" s="28">
        <v>-9.95</v>
      </c>
      <c r="AN122" s="28">
        <v>199</v>
      </c>
      <c r="AO122" s="27">
        <v>199</v>
      </c>
      <c r="AP122" s="27">
        <v>0</v>
      </c>
      <c r="AQ122" s="29" t="s">
        <v>103</v>
      </c>
      <c r="AR122" s="27">
        <v>0</v>
      </c>
      <c r="AS122" s="27">
        <v>0.006</v>
      </c>
      <c r="AT122" s="28">
        <v>-1.19</v>
      </c>
      <c r="AU122" s="30" t="s">
        <v>151</v>
      </c>
      <c r="AV122" s="33" t="s">
        <v>1779</v>
      </c>
      <c r="AW122" s="33" t="s">
        <v>1780</v>
      </c>
      <c r="AX122" s="30"/>
      <c r="AY122" s="30"/>
      <c r="AZ122" s="28">
        <v>0</v>
      </c>
      <c r="BA122" s="27">
        <v>0</v>
      </c>
      <c r="BB122" s="27">
        <v>0</v>
      </c>
      <c r="BC122" s="27">
        <v>0</v>
      </c>
      <c r="BD122" s="27">
        <v>0</v>
      </c>
      <c r="BE122" s="30"/>
    </row>
    <row r="123" customHeight="1" spans="1:57">
      <c r="A123" s="20">
        <f>YEAR(V123)</f>
        <v>2025</v>
      </c>
      <c r="B123" s="21">
        <f>MONTH(V123)</f>
        <v>8</v>
      </c>
      <c r="C123" s="21" t="str">
        <f>R123</f>
        <v>P770368565398098151</v>
      </c>
      <c r="D123" s="21">
        <f>COUNTIF(R:R,R123)</f>
        <v>1</v>
      </c>
      <c r="E123" s="21">
        <f>COUNTIF($R$2:R123,R123)</f>
        <v>1</v>
      </c>
      <c r="F123" s="22" t="str" cm="1">
        <f t="array" ref="F123">INDEX(订单明细!BQ:BQ,MATCH(R123&amp;AC123,订单明细!A:A&amp;订单明细!O:O,0))</f>
        <v>Z1581-白色-S</v>
      </c>
      <c r="G123" s="22" t="str">
        <f>LEFT(F123,FIND("-",F123)-1)</f>
        <v>Z1581</v>
      </c>
      <c r="H123" s="21" cm="1">
        <f t="array" ref="H123">_xlfn.IFS(C123=0,"",I123&gt;0,AD123,AND(I123&lt;0,I123&gt;-30),0,I123&lt;=-30,-1)</f>
        <v>1</v>
      </c>
      <c r="I123" s="21">
        <f>AF123</f>
        <v>289</v>
      </c>
      <c r="J123" s="21">
        <f>AI123+AJ123</f>
        <v>0</v>
      </c>
      <c r="K123" s="21">
        <f>IF(AZ123&lt;=0,AZ123,AZ123/COUNTIFS(R:R,R123,AZ:AZ,"&gt;0"))</f>
        <v>0</v>
      </c>
      <c r="L123" s="21">
        <f>AM123</f>
        <v>-14.45</v>
      </c>
      <c r="M123" s="21">
        <f>AT123</f>
        <v>-1.73</v>
      </c>
      <c r="N123" s="21"/>
      <c r="O123" s="23">
        <f>SUM(I123:N123)</f>
        <v>272.82</v>
      </c>
      <c r="R123" s="32" t="s">
        <v>1686</v>
      </c>
      <c r="S123" s="30"/>
      <c r="T123" s="30" t="s">
        <v>1698</v>
      </c>
      <c r="U123" s="30" t="s">
        <v>1701</v>
      </c>
      <c r="V123" s="30" t="s">
        <v>2026</v>
      </c>
      <c r="W123" s="33" t="s">
        <v>1782</v>
      </c>
      <c r="X123" s="33" t="s">
        <v>1776</v>
      </c>
      <c r="Y123" s="30">
        <v>272.82</v>
      </c>
      <c r="Z123" s="26" t="s">
        <v>2027</v>
      </c>
      <c r="AA123" s="33" t="s">
        <v>1791</v>
      </c>
      <c r="AB123" s="30" t="s">
        <v>1691</v>
      </c>
      <c r="AC123" s="32" t="s">
        <v>1692</v>
      </c>
      <c r="AD123" s="27">
        <v>1</v>
      </c>
      <c r="AE123" s="30">
        <v>289</v>
      </c>
      <c r="AF123" s="31">
        <v>289</v>
      </c>
      <c r="AG123" s="30" t="s">
        <v>75</v>
      </c>
      <c r="AH123" s="30">
        <v>0</v>
      </c>
      <c r="AI123" s="28">
        <v>0</v>
      </c>
      <c r="AJ123" s="28">
        <v>0</v>
      </c>
      <c r="AK123" s="27">
        <v>0.05</v>
      </c>
      <c r="AL123" s="27">
        <v>0</v>
      </c>
      <c r="AM123" s="28">
        <v>-14.45</v>
      </c>
      <c r="AN123" s="28">
        <v>289</v>
      </c>
      <c r="AO123" s="27">
        <v>289</v>
      </c>
      <c r="AP123" s="27">
        <v>0</v>
      </c>
      <c r="AQ123" s="29" t="s">
        <v>103</v>
      </c>
      <c r="AR123" s="27">
        <v>0</v>
      </c>
      <c r="AS123" s="27">
        <v>0.006</v>
      </c>
      <c r="AT123" s="28">
        <v>-1.73</v>
      </c>
      <c r="AU123" s="30" t="s">
        <v>151</v>
      </c>
      <c r="AV123" s="33" t="s">
        <v>1779</v>
      </c>
      <c r="AW123" s="33" t="s">
        <v>1780</v>
      </c>
      <c r="AX123" s="30"/>
      <c r="AY123" s="30"/>
      <c r="AZ123" s="28">
        <v>0</v>
      </c>
      <c r="BA123" s="27">
        <v>0</v>
      </c>
      <c r="BB123" s="27">
        <v>0</v>
      </c>
      <c r="BC123" s="27">
        <v>0</v>
      </c>
      <c r="BD123" s="27">
        <v>0</v>
      </c>
      <c r="BE123" s="30"/>
    </row>
    <row r="124" customHeight="1" spans="1:57">
      <c r="A124" s="20">
        <f>YEAR(V124)</f>
        <v>2025</v>
      </c>
      <c r="B124" s="21">
        <f>MONTH(V124)</f>
        <v>8</v>
      </c>
      <c r="C124" s="21" t="str">
        <f>R124</f>
        <v>P770794018572034931</v>
      </c>
      <c r="D124" s="21">
        <f>COUNTIF(R:R,R124)</f>
        <v>1</v>
      </c>
      <c r="E124" s="21">
        <f>COUNTIF($R$2:R124,R124)</f>
        <v>1</v>
      </c>
      <c r="F124" s="22" t="str" cm="1">
        <f t="array" ref="F124">INDEX(订单明细!BQ:BQ,MATCH(R124&amp;AC124,订单明细!A:A&amp;订单明细!O:O,0))</f>
        <v>Z2378-花纱色-S</v>
      </c>
      <c r="G124" s="22" t="str">
        <f>LEFT(F124,FIND("-",F124)-1)</f>
        <v>Z2378</v>
      </c>
      <c r="H124" s="21" cm="1">
        <f t="array" ref="H124">_xlfn.IFS(C124=0,"",I124&gt;0,AD124,AND(I124&lt;0,I124&gt;-30),0,I124&lt;=-30,-1)</f>
        <v>1</v>
      </c>
      <c r="I124" s="21">
        <f>AF124</f>
        <v>179</v>
      </c>
      <c r="J124" s="21">
        <f>AI124+AJ124</f>
        <v>0</v>
      </c>
      <c r="K124" s="21">
        <f>IF(AZ124&lt;=0,AZ124,AZ124/COUNTIFS(R:R,R124,AZ:AZ,"&gt;0"))</f>
        <v>0</v>
      </c>
      <c r="L124" s="21">
        <f>AM124</f>
        <v>-8.95</v>
      </c>
      <c r="M124" s="21">
        <f>AT124</f>
        <v>-1.07</v>
      </c>
      <c r="N124" s="21"/>
      <c r="O124" s="23">
        <f>SUM(I124:N124)</f>
        <v>168.98</v>
      </c>
      <c r="R124" s="32" t="s">
        <v>1279</v>
      </c>
      <c r="S124" s="30"/>
      <c r="T124" s="30" t="s">
        <v>1289</v>
      </c>
      <c r="U124" s="30" t="s">
        <v>1292</v>
      </c>
      <c r="V124" s="30" t="s">
        <v>2028</v>
      </c>
      <c r="W124" s="33" t="s">
        <v>1782</v>
      </c>
      <c r="X124" s="33" t="s">
        <v>1776</v>
      </c>
      <c r="Y124" s="30">
        <v>168.98</v>
      </c>
      <c r="Z124" s="26" t="s">
        <v>1834</v>
      </c>
      <c r="AA124" s="33" t="s">
        <v>1800</v>
      </c>
      <c r="AB124" s="30" t="s">
        <v>937</v>
      </c>
      <c r="AC124" s="32" t="s">
        <v>938</v>
      </c>
      <c r="AD124" s="27">
        <v>1</v>
      </c>
      <c r="AE124" s="30">
        <v>179</v>
      </c>
      <c r="AF124" s="31">
        <v>179</v>
      </c>
      <c r="AG124" s="30" t="s">
        <v>75</v>
      </c>
      <c r="AH124" s="30">
        <v>0</v>
      </c>
      <c r="AI124" s="28">
        <v>0</v>
      </c>
      <c r="AJ124" s="28">
        <v>0</v>
      </c>
      <c r="AK124" s="27">
        <v>0.05</v>
      </c>
      <c r="AL124" s="27">
        <v>0</v>
      </c>
      <c r="AM124" s="28">
        <v>-8.95</v>
      </c>
      <c r="AN124" s="28">
        <v>179</v>
      </c>
      <c r="AO124" s="27">
        <v>179</v>
      </c>
      <c r="AP124" s="27">
        <v>0</v>
      </c>
      <c r="AQ124" s="29" t="s">
        <v>103</v>
      </c>
      <c r="AR124" s="27">
        <v>0</v>
      </c>
      <c r="AS124" s="27">
        <v>0.006</v>
      </c>
      <c r="AT124" s="28">
        <v>-1.07</v>
      </c>
      <c r="AU124" s="30" t="s">
        <v>151</v>
      </c>
      <c r="AV124" s="33" t="s">
        <v>1779</v>
      </c>
      <c r="AW124" s="33" t="s">
        <v>1780</v>
      </c>
      <c r="AX124" s="30"/>
      <c r="AY124" s="30"/>
      <c r="AZ124" s="28">
        <v>0</v>
      </c>
      <c r="BA124" s="27">
        <v>0</v>
      </c>
      <c r="BB124" s="27">
        <v>0</v>
      </c>
      <c r="BC124" s="27">
        <v>0</v>
      </c>
      <c r="BD124" s="27">
        <v>0</v>
      </c>
      <c r="BE124" s="30"/>
    </row>
    <row r="125" customHeight="1" spans="1:57">
      <c r="A125" s="20">
        <f>YEAR(V125)</f>
        <v>2025</v>
      </c>
      <c r="B125" s="21">
        <f>MONTH(V125)</f>
        <v>8</v>
      </c>
      <c r="C125" s="21" t="str">
        <f>R125</f>
        <v>P770800356297378821</v>
      </c>
      <c r="D125" s="21">
        <f>COUNTIF(R:R,R125)</f>
        <v>1</v>
      </c>
      <c r="E125" s="21">
        <f>COUNTIF($R$2:R125,R125)</f>
        <v>1</v>
      </c>
      <c r="F125" s="22" t="str" cm="1">
        <f t="array" ref="F125">INDEX(订单明细!BQ:BQ,MATCH(R125&amp;AC125,订单明细!A:A&amp;订单明细!O:O,0))</f>
        <v>Z2375-杏色-L</v>
      </c>
      <c r="G125" s="22" t="str">
        <f>LEFT(F125,FIND("-",F125)-1)</f>
        <v>Z2375</v>
      </c>
      <c r="H125" s="21" cm="1">
        <f t="array" ref="H125">_xlfn.IFS(C125=0,"",I125&gt;0,AD125,AND(I125&lt;0,I125&gt;-30),0,I125&lt;=-30,-1)</f>
        <v>1</v>
      </c>
      <c r="I125" s="21">
        <f>AF125</f>
        <v>299</v>
      </c>
      <c r="J125" s="21">
        <f>AI125+AJ125</f>
        <v>0</v>
      </c>
      <c r="K125" s="21">
        <f>IF(AZ125&lt;=0,AZ125,AZ125/COUNTIFS(R:R,R125,AZ:AZ,"&gt;0"))</f>
        <v>0</v>
      </c>
      <c r="L125" s="21">
        <f>AM125</f>
        <v>-14.95</v>
      </c>
      <c r="M125" s="21">
        <f>AT125</f>
        <v>-1.79</v>
      </c>
      <c r="N125" s="21"/>
      <c r="O125" s="23">
        <f>SUM(I125:N125)</f>
        <v>282.26</v>
      </c>
      <c r="R125" s="32" t="s">
        <v>708</v>
      </c>
      <c r="S125" s="30"/>
      <c r="T125" s="30" t="s">
        <v>717</v>
      </c>
      <c r="U125" s="30" t="s">
        <v>720</v>
      </c>
      <c r="V125" s="30" t="s">
        <v>2029</v>
      </c>
      <c r="W125" s="33" t="s">
        <v>1782</v>
      </c>
      <c r="X125" s="33" t="s">
        <v>1776</v>
      </c>
      <c r="Y125" s="30">
        <v>282.26</v>
      </c>
      <c r="Z125" s="26" t="s">
        <v>2030</v>
      </c>
      <c r="AA125" s="33" t="s">
        <v>1791</v>
      </c>
      <c r="AB125" s="30" t="s">
        <v>710</v>
      </c>
      <c r="AC125" s="32" t="s">
        <v>711</v>
      </c>
      <c r="AD125" s="27">
        <v>1</v>
      </c>
      <c r="AE125" s="30">
        <v>299</v>
      </c>
      <c r="AF125" s="31">
        <v>299</v>
      </c>
      <c r="AG125" s="30" t="s">
        <v>75</v>
      </c>
      <c r="AH125" s="30">
        <v>0</v>
      </c>
      <c r="AI125" s="28">
        <v>0</v>
      </c>
      <c r="AJ125" s="28">
        <v>0</v>
      </c>
      <c r="AK125" s="27">
        <v>0.05</v>
      </c>
      <c r="AL125" s="27">
        <v>0</v>
      </c>
      <c r="AM125" s="28">
        <v>-14.95</v>
      </c>
      <c r="AN125" s="28">
        <v>299</v>
      </c>
      <c r="AO125" s="27">
        <v>299</v>
      </c>
      <c r="AP125" s="27">
        <v>0</v>
      </c>
      <c r="AQ125" s="29" t="s">
        <v>103</v>
      </c>
      <c r="AR125" s="27">
        <v>0</v>
      </c>
      <c r="AS125" s="27">
        <v>0.006</v>
      </c>
      <c r="AT125" s="28">
        <v>-1.79</v>
      </c>
      <c r="AU125" s="30" t="s">
        <v>151</v>
      </c>
      <c r="AV125" s="33" t="s">
        <v>1779</v>
      </c>
      <c r="AW125" s="33" t="s">
        <v>1780</v>
      </c>
      <c r="AX125" s="30"/>
      <c r="AY125" s="30"/>
      <c r="AZ125" s="28">
        <v>0</v>
      </c>
      <c r="BA125" s="27">
        <v>0</v>
      </c>
      <c r="BB125" s="27">
        <v>0</v>
      </c>
      <c r="BC125" s="27">
        <v>0</v>
      </c>
      <c r="BD125" s="27">
        <v>0</v>
      </c>
      <c r="BE125" s="30"/>
    </row>
    <row r="126" customHeight="1" spans="1:57">
      <c r="A126" s="20">
        <f>YEAR(V126)</f>
        <v>2025</v>
      </c>
      <c r="B126" s="21">
        <f>MONTH(V126)</f>
        <v>8</v>
      </c>
      <c r="C126" s="21" t="str">
        <f>R126</f>
        <v>P770800342402378981</v>
      </c>
      <c r="D126" s="21">
        <f>COUNTIF(R:R,R126)</f>
        <v>1</v>
      </c>
      <c r="E126" s="21">
        <f>COUNTIF($R$2:R126,R126)</f>
        <v>1</v>
      </c>
      <c r="F126" s="22" t="str" cm="1">
        <f t="array" ref="F126">INDEX(订单明细!BQ:BQ,MATCH(R126&amp;AC126,订单明细!A:A&amp;订单明细!O:O,0))</f>
        <v>Z2375-深藏青色-L</v>
      </c>
      <c r="G126" s="22" t="str">
        <f>LEFT(F126,FIND("-",F126)-1)</f>
        <v>Z2375</v>
      </c>
      <c r="H126" s="21" cm="1">
        <f t="array" ref="H126">_xlfn.IFS(C126=0,"",I126&gt;0,AD126,AND(I126&lt;0,I126&gt;-30),0,I126&lt;=-30,-1)</f>
        <v>1</v>
      </c>
      <c r="I126" s="21">
        <f>AF126</f>
        <v>299</v>
      </c>
      <c r="J126" s="21">
        <f>AI126+AJ126</f>
        <v>0</v>
      </c>
      <c r="K126" s="21">
        <f>IF(AZ126&lt;=0,AZ126,AZ126/COUNTIFS(R:R,R126,AZ:AZ,"&gt;0"))</f>
        <v>0</v>
      </c>
      <c r="L126" s="21">
        <f>AM126</f>
        <v>-14.95</v>
      </c>
      <c r="M126" s="21">
        <f>AT126</f>
        <v>-1.79</v>
      </c>
      <c r="N126" s="21"/>
      <c r="O126" s="23">
        <f>SUM(I126:N126)</f>
        <v>282.26</v>
      </c>
      <c r="R126" s="32" t="s">
        <v>597</v>
      </c>
      <c r="S126" s="30"/>
      <c r="T126" s="30" t="s">
        <v>612</v>
      </c>
      <c r="U126" s="30" t="s">
        <v>615</v>
      </c>
      <c r="V126" s="30" t="s">
        <v>2029</v>
      </c>
      <c r="W126" s="33" t="s">
        <v>1782</v>
      </c>
      <c r="X126" s="33" t="s">
        <v>1776</v>
      </c>
      <c r="Y126" s="30">
        <v>282.26</v>
      </c>
      <c r="Z126" s="26" t="s">
        <v>2031</v>
      </c>
      <c r="AA126" s="33" t="s">
        <v>1791</v>
      </c>
      <c r="AB126" s="30" t="s">
        <v>605</v>
      </c>
      <c r="AC126" s="32" t="s">
        <v>606</v>
      </c>
      <c r="AD126" s="27">
        <v>1</v>
      </c>
      <c r="AE126" s="30">
        <v>299</v>
      </c>
      <c r="AF126" s="31">
        <v>299</v>
      </c>
      <c r="AG126" s="30" t="s">
        <v>75</v>
      </c>
      <c r="AH126" s="30">
        <v>0</v>
      </c>
      <c r="AI126" s="28">
        <v>0</v>
      </c>
      <c r="AJ126" s="28">
        <v>0</v>
      </c>
      <c r="AK126" s="27">
        <v>0.05</v>
      </c>
      <c r="AL126" s="27">
        <v>0</v>
      </c>
      <c r="AM126" s="28">
        <v>-14.95</v>
      </c>
      <c r="AN126" s="28">
        <v>299</v>
      </c>
      <c r="AO126" s="27">
        <v>299</v>
      </c>
      <c r="AP126" s="27">
        <v>0</v>
      </c>
      <c r="AQ126" s="29" t="s">
        <v>103</v>
      </c>
      <c r="AR126" s="27">
        <v>0</v>
      </c>
      <c r="AS126" s="27">
        <v>0.006</v>
      </c>
      <c r="AT126" s="28">
        <v>-1.79</v>
      </c>
      <c r="AU126" s="30" t="s">
        <v>151</v>
      </c>
      <c r="AV126" s="33" t="s">
        <v>1779</v>
      </c>
      <c r="AW126" s="33" t="s">
        <v>1780</v>
      </c>
      <c r="AX126" s="30"/>
      <c r="AY126" s="30"/>
      <c r="AZ126" s="28">
        <v>0</v>
      </c>
      <c r="BA126" s="27">
        <v>0</v>
      </c>
      <c r="BB126" s="27">
        <v>0</v>
      </c>
      <c r="BC126" s="27">
        <v>0</v>
      </c>
      <c r="BD126" s="27">
        <v>0</v>
      </c>
      <c r="BE126" s="30"/>
    </row>
    <row r="127" customHeight="1" spans="1:57">
      <c r="A127" s="20">
        <f>YEAR(V127)</f>
        <v>2025</v>
      </c>
      <c r="B127" s="21">
        <f>MONTH(V127)</f>
        <v>8</v>
      </c>
      <c r="C127" s="21" t="str">
        <f>R127</f>
        <v>P770794017000112911</v>
      </c>
      <c r="D127" s="21">
        <f>COUNTIF(R:R,R127)</f>
        <v>1</v>
      </c>
      <c r="E127" s="21">
        <f>COUNTIF($R$2:R127,R127)</f>
        <v>1</v>
      </c>
      <c r="F127" s="22" t="str" cm="1">
        <f t="array" ref="F127">INDEX(订单明细!BQ:BQ,MATCH(R127&amp;AC127,订单明细!A:A&amp;订单明细!O:O,0))</f>
        <v>Z2378-花纱色-S</v>
      </c>
      <c r="G127" s="22" t="str">
        <f>LEFT(F127,FIND("-",F127)-1)</f>
        <v>Z2378</v>
      </c>
      <c r="H127" s="21" cm="1">
        <f t="array" ref="H127">_xlfn.IFS(C127=0,"",I127&gt;0,AD127,AND(I127&lt;0,I127&gt;-30),0,I127&lt;=-30,-1)</f>
        <v>1</v>
      </c>
      <c r="I127" s="21">
        <f>AF127</f>
        <v>179</v>
      </c>
      <c r="J127" s="21">
        <f>AI127+AJ127</f>
        <v>0</v>
      </c>
      <c r="K127" s="21">
        <f>IF(AZ127&lt;=0,AZ127,AZ127/COUNTIFS(R:R,R127,AZ:AZ,"&gt;0"))</f>
        <v>0</v>
      </c>
      <c r="L127" s="21">
        <f>AM127</f>
        <v>-8.95</v>
      </c>
      <c r="M127" s="21">
        <f>AT127</f>
        <v>-1.07</v>
      </c>
      <c r="N127" s="21"/>
      <c r="O127" s="23">
        <f>SUM(I127:N127)</f>
        <v>168.98</v>
      </c>
      <c r="R127" s="32" t="s">
        <v>1404</v>
      </c>
      <c r="S127" s="30"/>
      <c r="T127" s="30" t="s">
        <v>1412</v>
      </c>
      <c r="U127" s="30" t="s">
        <v>1292</v>
      </c>
      <c r="V127" s="30" t="s">
        <v>2032</v>
      </c>
      <c r="W127" s="33" t="s">
        <v>1782</v>
      </c>
      <c r="X127" s="33" t="s">
        <v>1776</v>
      </c>
      <c r="Y127" s="30">
        <v>168.98</v>
      </c>
      <c r="Z127" s="26" t="s">
        <v>1834</v>
      </c>
      <c r="AA127" s="33" t="s">
        <v>1800</v>
      </c>
      <c r="AB127" s="30" t="s">
        <v>937</v>
      </c>
      <c r="AC127" s="32" t="s">
        <v>938</v>
      </c>
      <c r="AD127" s="27">
        <v>1</v>
      </c>
      <c r="AE127" s="30">
        <v>179</v>
      </c>
      <c r="AF127" s="31">
        <v>179</v>
      </c>
      <c r="AG127" s="30" t="s">
        <v>75</v>
      </c>
      <c r="AH127" s="30">
        <v>0</v>
      </c>
      <c r="AI127" s="28">
        <v>0</v>
      </c>
      <c r="AJ127" s="28">
        <v>0</v>
      </c>
      <c r="AK127" s="27">
        <v>0.05</v>
      </c>
      <c r="AL127" s="27">
        <v>0</v>
      </c>
      <c r="AM127" s="28">
        <v>-8.95</v>
      </c>
      <c r="AN127" s="28">
        <v>179</v>
      </c>
      <c r="AO127" s="27">
        <v>179</v>
      </c>
      <c r="AP127" s="27">
        <v>0</v>
      </c>
      <c r="AQ127" s="29" t="s">
        <v>103</v>
      </c>
      <c r="AR127" s="27">
        <v>0</v>
      </c>
      <c r="AS127" s="27">
        <v>0.006</v>
      </c>
      <c r="AT127" s="28">
        <v>-1.07</v>
      </c>
      <c r="AU127" s="30" t="s">
        <v>151</v>
      </c>
      <c r="AV127" s="33" t="s">
        <v>1779</v>
      </c>
      <c r="AW127" s="33" t="s">
        <v>1780</v>
      </c>
      <c r="AX127" s="30"/>
      <c r="AY127" s="30"/>
      <c r="AZ127" s="28">
        <v>0</v>
      </c>
      <c r="BA127" s="27">
        <v>0</v>
      </c>
      <c r="BB127" s="27">
        <v>0</v>
      </c>
      <c r="BC127" s="27">
        <v>0</v>
      </c>
      <c r="BD127" s="27">
        <v>0</v>
      </c>
      <c r="BE127" s="30"/>
    </row>
    <row r="128" customHeight="1" spans="1:57">
      <c r="A128" s="20">
        <f>YEAR(V128)</f>
        <v>2025</v>
      </c>
      <c r="B128" s="21">
        <f>MONTH(V128)</f>
        <v>8</v>
      </c>
      <c r="C128" s="21" t="str">
        <f>R128</f>
        <v>P770794934880461651</v>
      </c>
      <c r="D128" s="21">
        <f>COUNTIF(R:R,R128)</f>
        <v>1</v>
      </c>
      <c r="E128" s="21">
        <f>COUNTIF($R$2:R128,R128)</f>
        <v>1</v>
      </c>
      <c r="F128" s="22" t="str" cm="1">
        <f t="array" ref="F128">INDEX(订单明细!BQ:BQ,MATCH(R128&amp;AC128,订单明细!A:A&amp;订单明细!O:O,0))</f>
        <v>Z2363-灰色-M</v>
      </c>
      <c r="G128" s="22" t="str">
        <f>LEFT(F128,FIND("-",F128)-1)</f>
        <v>Z2363</v>
      </c>
      <c r="H128" s="21" cm="1">
        <f t="array" ref="H128">_xlfn.IFS(C128=0,"",I128&gt;0,AD128,AND(I128&lt;0,I128&gt;-30),0,I128&lt;=-30,-1)</f>
        <v>1</v>
      </c>
      <c r="I128" s="21">
        <f>AF128</f>
        <v>359</v>
      </c>
      <c r="J128" s="21">
        <f>AI128+AJ128</f>
        <v>0</v>
      </c>
      <c r="K128" s="21">
        <f>IF(AZ128&lt;=0,AZ128,AZ128/COUNTIFS(R:R,R128,AZ:AZ,"&gt;0"))</f>
        <v>0</v>
      </c>
      <c r="L128" s="21">
        <f>AM128</f>
        <v>-17.95</v>
      </c>
      <c r="M128" s="21">
        <f>AT128</f>
        <v>-2.15</v>
      </c>
      <c r="N128" s="21"/>
      <c r="O128" s="23">
        <f>SUM(I128:N128)</f>
        <v>338.9</v>
      </c>
      <c r="R128" s="32" t="s">
        <v>1131</v>
      </c>
      <c r="S128" s="30"/>
      <c r="T128" s="30" t="s">
        <v>2033</v>
      </c>
      <c r="U128" s="30" t="s">
        <v>1143</v>
      </c>
      <c r="V128" s="30" t="s">
        <v>2034</v>
      </c>
      <c r="W128" s="33" t="s">
        <v>1782</v>
      </c>
      <c r="X128" s="33" t="s">
        <v>1776</v>
      </c>
      <c r="Y128" s="30">
        <v>338.9</v>
      </c>
      <c r="Z128" s="26" t="s">
        <v>1784</v>
      </c>
      <c r="AA128" s="33" t="s">
        <v>1785</v>
      </c>
      <c r="AB128" s="30" t="s">
        <v>838</v>
      </c>
      <c r="AC128" s="32" t="s">
        <v>839</v>
      </c>
      <c r="AD128" s="27">
        <v>1</v>
      </c>
      <c r="AE128" s="30">
        <v>359</v>
      </c>
      <c r="AF128" s="31">
        <v>359</v>
      </c>
      <c r="AG128" s="30" t="s">
        <v>75</v>
      </c>
      <c r="AH128" s="30">
        <v>0</v>
      </c>
      <c r="AI128" s="28">
        <v>0</v>
      </c>
      <c r="AJ128" s="28">
        <v>0</v>
      </c>
      <c r="AK128" s="27">
        <v>0.05</v>
      </c>
      <c r="AL128" s="27">
        <v>0</v>
      </c>
      <c r="AM128" s="28">
        <v>-17.95</v>
      </c>
      <c r="AN128" s="28">
        <v>359</v>
      </c>
      <c r="AO128" s="27">
        <v>359</v>
      </c>
      <c r="AP128" s="27">
        <v>0</v>
      </c>
      <c r="AQ128" s="29" t="s">
        <v>103</v>
      </c>
      <c r="AR128" s="27">
        <v>0</v>
      </c>
      <c r="AS128" s="27">
        <v>0.006</v>
      </c>
      <c r="AT128" s="28">
        <v>-2.15</v>
      </c>
      <c r="AU128" s="30" t="s">
        <v>151</v>
      </c>
      <c r="AV128" s="33" t="s">
        <v>1779</v>
      </c>
      <c r="AW128" s="33" t="s">
        <v>1780</v>
      </c>
      <c r="AX128" s="30"/>
      <c r="AY128" s="30"/>
      <c r="AZ128" s="28">
        <v>0</v>
      </c>
      <c r="BA128" s="27">
        <v>0</v>
      </c>
      <c r="BB128" s="27">
        <v>0</v>
      </c>
      <c r="BC128" s="27">
        <v>0</v>
      </c>
      <c r="BD128" s="27">
        <v>0</v>
      </c>
      <c r="BE128" s="30"/>
    </row>
    <row r="129" customHeight="1" spans="1:57">
      <c r="A129" s="20">
        <f>YEAR(V129)</f>
        <v>2025</v>
      </c>
      <c r="B129" s="21">
        <f>MONTH(V129)</f>
        <v>8</v>
      </c>
      <c r="C129" s="21" t="str">
        <f>R129</f>
        <v>P770794019068036511</v>
      </c>
      <c r="D129" s="21">
        <f>COUNTIF(R:R,R129)</f>
        <v>1</v>
      </c>
      <c r="E129" s="21">
        <f>COUNTIF($R$2:R129,R129)</f>
        <v>1</v>
      </c>
      <c r="F129" s="22" t="str" cm="1">
        <f t="array" ref="F129">INDEX(订单明细!BQ:BQ,MATCH(R129&amp;AC129,订单明细!A:A&amp;订单明细!O:O,0))</f>
        <v>Z2378-花纱色-M</v>
      </c>
      <c r="G129" s="22" t="str">
        <f>LEFT(F129,FIND("-",F129)-1)</f>
        <v>Z2378</v>
      </c>
      <c r="H129" s="21" cm="1">
        <f t="array" ref="H129">_xlfn.IFS(C129=0,"",I129&gt;0,AD129,AND(I129&lt;0,I129&gt;-30),0,I129&lt;=-30,-1)</f>
        <v>1</v>
      </c>
      <c r="I129" s="21">
        <f>AF129</f>
        <v>179</v>
      </c>
      <c r="J129" s="21">
        <f>AI129+AJ129</f>
        <v>0</v>
      </c>
      <c r="K129" s="21">
        <f>IF(AZ129&lt;=0,AZ129,AZ129/COUNTIFS(R:R,R129,AZ:AZ,"&gt;0"))</f>
        <v>0</v>
      </c>
      <c r="L129" s="21">
        <f>AM129</f>
        <v>-8.95</v>
      </c>
      <c r="M129" s="21">
        <f>AT129</f>
        <v>-1.07</v>
      </c>
      <c r="N129" s="21"/>
      <c r="O129" s="23">
        <f>SUM(I129:N129)</f>
        <v>168.98</v>
      </c>
      <c r="R129" s="32" t="s">
        <v>1385</v>
      </c>
      <c r="S129" s="30"/>
      <c r="T129" s="30" t="s">
        <v>1357</v>
      </c>
      <c r="U129" s="30" t="s">
        <v>1277</v>
      </c>
      <c r="V129" s="30" t="s">
        <v>2035</v>
      </c>
      <c r="W129" s="33" t="s">
        <v>1782</v>
      </c>
      <c r="X129" s="33" t="s">
        <v>1776</v>
      </c>
      <c r="Y129" s="30">
        <v>168.98</v>
      </c>
      <c r="Z129" s="26" t="s">
        <v>1826</v>
      </c>
      <c r="AA129" s="33" t="s">
        <v>1800</v>
      </c>
      <c r="AB129" s="30" t="s">
        <v>822</v>
      </c>
      <c r="AC129" s="32" t="s">
        <v>823</v>
      </c>
      <c r="AD129" s="27">
        <v>1</v>
      </c>
      <c r="AE129" s="30">
        <v>179</v>
      </c>
      <c r="AF129" s="31">
        <v>179</v>
      </c>
      <c r="AG129" s="30" t="s">
        <v>75</v>
      </c>
      <c r="AH129" s="30">
        <v>0</v>
      </c>
      <c r="AI129" s="28">
        <v>0</v>
      </c>
      <c r="AJ129" s="28">
        <v>0</v>
      </c>
      <c r="AK129" s="27">
        <v>0.05</v>
      </c>
      <c r="AL129" s="27">
        <v>0</v>
      </c>
      <c r="AM129" s="28">
        <v>-8.95</v>
      </c>
      <c r="AN129" s="28">
        <v>179</v>
      </c>
      <c r="AO129" s="27">
        <v>179</v>
      </c>
      <c r="AP129" s="27">
        <v>0</v>
      </c>
      <c r="AQ129" s="29" t="s">
        <v>103</v>
      </c>
      <c r="AR129" s="27">
        <v>0</v>
      </c>
      <c r="AS129" s="27">
        <v>0.006</v>
      </c>
      <c r="AT129" s="28">
        <v>-1.07</v>
      </c>
      <c r="AU129" s="30" t="s">
        <v>151</v>
      </c>
      <c r="AV129" s="33" t="s">
        <v>1779</v>
      </c>
      <c r="AW129" s="33" t="s">
        <v>1780</v>
      </c>
      <c r="AX129" s="30"/>
      <c r="AY129" s="30"/>
      <c r="AZ129" s="28">
        <v>0</v>
      </c>
      <c r="BA129" s="27">
        <v>0</v>
      </c>
      <c r="BB129" s="27">
        <v>0</v>
      </c>
      <c r="BC129" s="27">
        <v>0</v>
      </c>
      <c r="BD129" s="27">
        <v>0</v>
      </c>
      <c r="BE129" s="30"/>
    </row>
    <row r="130" customHeight="1" spans="1:57">
      <c r="A130" s="20">
        <f>YEAR(V130)</f>
        <v>2025</v>
      </c>
      <c r="B130" s="21">
        <f>MONTH(V130)</f>
        <v>8</v>
      </c>
      <c r="C130" s="21" t="str">
        <f>R130</f>
        <v>P770794525672392531</v>
      </c>
      <c r="D130" s="21">
        <f>COUNTIF(R:R,R130)</f>
        <v>1</v>
      </c>
      <c r="E130" s="21">
        <f>COUNTIF($R$2:R130,R130)</f>
        <v>1</v>
      </c>
      <c r="F130" s="22" t="str" cm="1">
        <f t="array" ref="F130">INDEX(订单明细!BQ:BQ,MATCH(R130&amp;AC130,订单明细!A:A&amp;订单明细!O:O,0))</f>
        <v>Z2378-灰色-S</v>
      </c>
      <c r="G130" s="22" t="str">
        <f>LEFT(F130,FIND("-",F130)-1)</f>
        <v>Z2378</v>
      </c>
      <c r="H130" s="21" cm="1">
        <f t="array" ref="H130">_xlfn.IFS(C130=0,"",I130&gt;0,AD130,AND(I130&lt;0,I130&gt;-30),0,I130&lt;=-30,-1)</f>
        <v>1</v>
      </c>
      <c r="I130" s="21">
        <f>AF130</f>
        <v>179</v>
      </c>
      <c r="J130" s="21">
        <f>AI130+AJ130</f>
        <v>0</v>
      </c>
      <c r="K130" s="21">
        <f>IF(AZ130&lt;=0,AZ130,AZ130/COUNTIFS(R:R,R130,AZ:AZ,"&gt;0"))</f>
        <v>0</v>
      </c>
      <c r="L130" s="21">
        <f>AM130</f>
        <v>-8.95</v>
      </c>
      <c r="M130" s="21">
        <f>AT130</f>
        <v>-1.07</v>
      </c>
      <c r="N130" s="21"/>
      <c r="O130" s="23">
        <f>SUM(I130:N130)</f>
        <v>168.98</v>
      </c>
      <c r="R130" s="32" t="s">
        <v>1175</v>
      </c>
      <c r="S130" s="30"/>
      <c r="T130" s="30" t="s">
        <v>1185</v>
      </c>
      <c r="U130" s="30" t="s">
        <v>772</v>
      </c>
      <c r="V130" s="30" t="s">
        <v>2036</v>
      </c>
      <c r="W130" s="33" t="s">
        <v>1782</v>
      </c>
      <c r="X130" s="33" t="s">
        <v>1776</v>
      </c>
      <c r="Y130" s="30">
        <v>168.98</v>
      </c>
      <c r="Z130" s="26" t="s">
        <v>1875</v>
      </c>
      <c r="AA130" s="33" t="s">
        <v>1800</v>
      </c>
      <c r="AB130" s="30" t="s">
        <v>442</v>
      </c>
      <c r="AC130" s="32" t="s">
        <v>443</v>
      </c>
      <c r="AD130" s="27">
        <v>1</v>
      </c>
      <c r="AE130" s="30">
        <v>179</v>
      </c>
      <c r="AF130" s="31">
        <v>179</v>
      </c>
      <c r="AG130" s="30" t="s">
        <v>75</v>
      </c>
      <c r="AH130" s="30">
        <v>0</v>
      </c>
      <c r="AI130" s="28">
        <v>0</v>
      </c>
      <c r="AJ130" s="28">
        <v>0</v>
      </c>
      <c r="AK130" s="27">
        <v>0.05</v>
      </c>
      <c r="AL130" s="27">
        <v>0</v>
      </c>
      <c r="AM130" s="28">
        <v>-8.95</v>
      </c>
      <c r="AN130" s="28">
        <v>179</v>
      </c>
      <c r="AO130" s="27">
        <v>179</v>
      </c>
      <c r="AP130" s="27">
        <v>0</v>
      </c>
      <c r="AQ130" s="29" t="s">
        <v>103</v>
      </c>
      <c r="AR130" s="27">
        <v>0</v>
      </c>
      <c r="AS130" s="27">
        <v>0.006</v>
      </c>
      <c r="AT130" s="28">
        <v>-1.07</v>
      </c>
      <c r="AU130" s="30" t="s">
        <v>151</v>
      </c>
      <c r="AV130" s="33" t="s">
        <v>1779</v>
      </c>
      <c r="AW130" s="33" t="s">
        <v>1780</v>
      </c>
      <c r="AX130" s="30"/>
      <c r="AY130" s="30"/>
      <c r="AZ130" s="28">
        <v>0</v>
      </c>
      <c r="BA130" s="27">
        <v>0</v>
      </c>
      <c r="BB130" s="27">
        <v>0</v>
      </c>
      <c r="BC130" s="27">
        <v>0</v>
      </c>
      <c r="BD130" s="27">
        <v>0</v>
      </c>
      <c r="BE130" s="30"/>
    </row>
    <row r="131" customHeight="1" spans="1:57">
      <c r="A131" s="20">
        <f>YEAR(V131)</f>
        <v>2025</v>
      </c>
      <c r="B131" s="21">
        <f>MONTH(V131)</f>
        <v>8</v>
      </c>
      <c r="C131" s="21" t="str">
        <f>R131</f>
        <v>P770800341731245681</v>
      </c>
      <c r="D131" s="21">
        <f>COUNTIF(R:R,R131)</f>
        <v>1</v>
      </c>
      <c r="E131" s="21">
        <f>COUNTIF($R$2:R131,R131)</f>
        <v>1</v>
      </c>
      <c r="F131" s="22" t="str" cm="1">
        <f t="array" ref="F131">INDEX(订单明细!BQ:BQ,MATCH(R131&amp;AC131,订单明细!A:A&amp;订单明细!O:O,0))</f>
        <v>Z2375-深藏青色-M</v>
      </c>
      <c r="G131" s="22" t="str">
        <f>LEFT(F131,FIND("-",F131)-1)</f>
        <v>Z2375</v>
      </c>
      <c r="H131" s="21" cm="1">
        <f t="array" ref="H131">_xlfn.IFS(C131=0,"",I131&gt;0,AD131,AND(I131&lt;0,I131&gt;-30),0,I131&lt;=-30,-1)</f>
        <v>1</v>
      </c>
      <c r="I131" s="21">
        <f>AF131</f>
        <v>299</v>
      </c>
      <c r="J131" s="21">
        <f>AI131+AJ131</f>
        <v>0</v>
      </c>
      <c r="K131" s="21">
        <f>IF(AZ131&lt;=0,AZ131,AZ131/COUNTIFS(R:R,R131,AZ:AZ,"&gt;0"))</f>
        <v>0</v>
      </c>
      <c r="L131" s="21">
        <f>AM131</f>
        <v>-14.95</v>
      </c>
      <c r="M131" s="21">
        <f>AT131</f>
        <v>-1.79</v>
      </c>
      <c r="N131" s="21"/>
      <c r="O131" s="23">
        <f>SUM(I131:N131)</f>
        <v>282.26</v>
      </c>
      <c r="R131" s="32" t="s">
        <v>670</v>
      </c>
      <c r="S131" s="30"/>
      <c r="T131" s="30" t="s">
        <v>684</v>
      </c>
      <c r="U131" s="30" t="s">
        <v>687</v>
      </c>
      <c r="V131" s="30" t="s">
        <v>2037</v>
      </c>
      <c r="W131" s="33" t="s">
        <v>1782</v>
      </c>
      <c r="X131" s="33" t="s">
        <v>1776</v>
      </c>
      <c r="Y131" s="30">
        <v>282.26</v>
      </c>
      <c r="Z131" s="26" t="s">
        <v>2038</v>
      </c>
      <c r="AA131" s="33" t="s">
        <v>1791</v>
      </c>
      <c r="AB131" s="30" t="s">
        <v>678</v>
      </c>
      <c r="AC131" s="32" t="s">
        <v>679</v>
      </c>
      <c r="AD131" s="27">
        <v>1</v>
      </c>
      <c r="AE131" s="30">
        <v>299</v>
      </c>
      <c r="AF131" s="31">
        <v>299</v>
      </c>
      <c r="AG131" s="30" t="s">
        <v>75</v>
      </c>
      <c r="AH131" s="30">
        <v>0</v>
      </c>
      <c r="AI131" s="28">
        <v>0</v>
      </c>
      <c r="AJ131" s="28">
        <v>0</v>
      </c>
      <c r="AK131" s="27">
        <v>0.05</v>
      </c>
      <c r="AL131" s="27">
        <v>0</v>
      </c>
      <c r="AM131" s="28">
        <v>-14.95</v>
      </c>
      <c r="AN131" s="28">
        <v>299</v>
      </c>
      <c r="AO131" s="27">
        <v>299</v>
      </c>
      <c r="AP131" s="27">
        <v>0</v>
      </c>
      <c r="AQ131" s="29" t="s">
        <v>103</v>
      </c>
      <c r="AR131" s="27">
        <v>0</v>
      </c>
      <c r="AS131" s="27">
        <v>0.006</v>
      </c>
      <c r="AT131" s="28">
        <v>-1.79</v>
      </c>
      <c r="AU131" s="30" t="s">
        <v>151</v>
      </c>
      <c r="AV131" s="33" t="s">
        <v>1779</v>
      </c>
      <c r="AW131" s="33" t="s">
        <v>1780</v>
      </c>
      <c r="AX131" s="30"/>
      <c r="AY131" s="30"/>
      <c r="AZ131" s="28">
        <v>0</v>
      </c>
      <c r="BA131" s="27">
        <v>0</v>
      </c>
      <c r="BB131" s="27">
        <v>0</v>
      </c>
      <c r="BC131" s="27">
        <v>0</v>
      </c>
      <c r="BD131" s="27">
        <v>0</v>
      </c>
      <c r="BE131" s="30"/>
    </row>
    <row r="132" customHeight="1" spans="1:57">
      <c r="A132" s="20">
        <f>YEAR(V132)</f>
        <v>2025</v>
      </c>
      <c r="B132" s="21">
        <f>MONTH(V132)</f>
        <v>8</v>
      </c>
      <c r="C132" s="21" t="str">
        <f>R132</f>
        <v>P770794020469428631</v>
      </c>
      <c r="D132" s="21">
        <f>COUNTIF(R:R,R132)</f>
        <v>1</v>
      </c>
      <c r="E132" s="21">
        <f>COUNTIF($R$2:R132,R132)</f>
        <v>1</v>
      </c>
      <c r="F132" s="22" t="str" cm="1">
        <f t="array" ref="F132">INDEX(订单明细!BQ:BQ,MATCH(R132&amp;AC132,订单明细!A:A&amp;订单明细!O:O,0))</f>
        <v>Z2378-花纱色-M</v>
      </c>
      <c r="G132" s="22" t="str">
        <f>LEFT(F132,FIND("-",F132)-1)</f>
        <v>Z2378</v>
      </c>
      <c r="H132" s="21" cm="1">
        <f t="array" ref="H132">_xlfn.IFS(C132=0,"",I132&gt;0,AD132,AND(I132&lt;0,I132&gt;-30),0,I132&lt;=-30,-1)</f>
        <v>1</v>
      </c>
      <c r="I132" s="21">
        <f>AF132</f>
        <v>179</v>
      </c>
      <c r="J132" s="21">
        <f>AI132+AJ132</f>
        <v>0</v>
      </c>
      <c r="K132" s="21">
        <f>IF(AZ132&lt;=0,AZ132,AZ132/COUNTIFS(R:R,R132,AZ:AZ,"&gt;0"))</f>
        <v>0</v>
      </c>
      <c r="L132" s="21">
        <f>AM132</f>
        <v>-8.95</v>
      </c>
      <c r="M132" s="21">
        <f>AT132</f>
        <v>-1.07</v>
      </c>
      <c r="N132" s="21"/>
      <c r="O132" s="23">
        <f>SUM(I132:N132)</f>
        <v>168.98</v>
      </c>
      <c r="R132" s="32" t="s">
        <v>1368</v>
      </c>
      <c r="S132" s="30"/>
      <c r="T132" s="30" t="s">
        <v>1299</v>
      </c>
      <c r="U132" s="30" t="s">
        <v>1277</v>
      </c>
      <c r="V132" s="30" t="s">
        <v>2039</v>
      </c>
      <c r="W132" s="33" t="s">
        <v>1782</v>
      </c>
      <c r="X132" s="33" t="s">
        <v>1776</v>
      </c>
      <c r="Y132" s="30">
        <v>168.98</v>
      </c>
      <c r="Z132" s="26" t="s">
        <v>1826</v>
      </c>
      <c r="AA132" s="33" t="s">
        <v>1800</v>
      </c>
      <c r="AB132" s="30" t="s">
        <v>822</v>
      </c>
      <c r="AC132" s="32" t="s">
        <v>823</v>
      </c>
      <c r="AD132" s="27">
        <v>1</v>
      </c>
      <c r="AE132" s="30">
        <v>179</v>
      </c>
      <c r="AF132" s="31">
        <v>179</v>
      </c>
      <c r="AG132" s="30" t="s">
        <v>75</v>
      </c>
      <c r="AH132" s="30">
        <v>0</v>
      </c>
      <c r="AI132" s="28">
        <v>0</v>
      </c>
      <c r="AJ132" s="28">
        <v>0</v>
      </c>
      <c r="AK132" s="27">
        <v>0.05</v>
      </c>
      <c r="AL132" s="27">
        <v>0</v>
      </c>
      <c r="AM132" s="28">
        <v>-8.95</v>
      </c>
      <c r="AN132" s="28">
        <v>179</v>
      </c>
      <c r="AO132" s="27">
        <v>179</v>
      </c>
      <c r="AP132" s="27">
        <v>0</v>
      </c>
      <c r="AQ132" s="29" t="s">
        <v>103</v>
      </c>
      <c r="AR132" s="27">
        <v>0</v>
      </c>
      <c r="AS132" s="27">
        <v>0.006</v>
      </c>
      <c r="AT132" s="28">
        <v>-1.07</v>
      </c>
      <c r="AU132" s="30" t="s">
        <v>151</v>
      </c>
      <c r="AV132" s="33" t="s">
        <v>1779</v>
      </c>
      <c r="AW132" s="33" t="s">
        <v>1780</v>
      </c>
      <c r="AX132" s="30"/>
      <c r="AY132" s="30"/>
      <c r="AZ132" s="28">
        <v>0</v>
      </c>
      <c r="BA132" s="27">
        <v>0</v>
      </c>
      <c r="BB132" s="27">
        <v>0</v>
      </c>
      <c r="BC132" s="27">
        <v>0</v>
      </c>
      <c r="BD132" s="27">
        <v>0</v>
      </c>
      <c r="BE132" s="30"/>
    </row>
    <row r="133" customHeight="1" spans="1:57">
      <c r="A133" s="20">
        <f>YEAR(V133)</f>
        <v>2025</v>
      </c>
      <c r="B133" s="21">
        <f>MONTH(V133)</f>
        <v>8</v>
      </c>
      <c r="C133" s="21" t="str">
        <f>R133</f>
        <v>P770800350927090411</v>
      </c>
      <c r="D133" s="21">
        <f>COUNTIF(R:R,R133)</f>
        <v>1</v>
      </c>
      <c r="E133" s="21">
        <f>COUNTIF($R$2:R133,R133)</f>
        <v>1</v>
      </c>
      <c r="F133" s="22" t="str" cm="1">
        <f t="array" ref="F133">INDEX(订单明细!BQ:BQ,MATCH(R133&amp;AC133,订单明细!A:A&amp;订单明细!O:O,0))</f>
        <v>Z2375-深藏青色-M</v>
      </c>
      <c r="G133" s="22" t="str">
        <f>LEFT(F133,FIND("-",F133)-1)</f>
        <v>Z2375</v>
      </c>
      <c r="H133" s="21" cm="1">
        <f t="array" ref="H133">_xlfn.IFS(C133=0,"",I133&gt;0,AD133,AND(I133&lt;0,I133&gt;-30),0,I133&lt;=-30,-1)</f>
        <v>1</v>
      </c>
      <c r="I133" s="21">
        <f>AF133</f>
        <v>299</v>
      </c>
      <c r="J133" s="21">
        <f>AI133+AJ133</f>
        <v>0</v>
      </c>
      <c r="K133" s="21">
        <f>IF(AZ133&lt;=0,AZ133,AZ133/COUNTIFS(R:R,R133,AZ:AZ,"&gt;0"))</f>
        <v>0</v>
      </c>
      <c r="L133" s="21">
        <f>AM133</f>
        <v>-14.95</v>
      </c>
      <c r="M133" s="21">
        <f>AT133</f>
        <v>-1.79</v>
      </c>
      <c r="N133" s="21"/>
      <c r="O133" s="23">
        <f>SUM(I133:N133)</f>
        <v>282.26</v>
      </c>
      <c r="R133" s="32" t="s">
        <v>690</v>
      </c>
      <c r="S133" s="30"/>
      <c r="T133" s="30" t="s">
        <v>648</v>
      </c>
      <c r="U133" s="30" t="s">
        <v>687</v>
      </c>
      <c r="V133" s="30" t="s">
        <v>2040</v>
      </c>
      <c r="W133" s="33" t="s">
        <v>1782</v>
      </c>
      <c r="X133" s="33" t="s">
        <v>1776</v>
      </c>
      <c r="Y133" s="30">
        <v>282.26</v>
      </c>
      <c r="Z133" s="26" t="s">
        <v>2038</v>
      </c>
      <c r="AA133" s="33" t="s">
        <v>1791</v>
      </c>
      <c r="AB133" s="30" t="s">
        <v>678</v>
      </c>
      <c r="AC133" s="32" t="s">
        <v>679</v>
      </c>
      <c r="AD133" s="27">
        <v>1</v>
      </c>
      <c r="AE133" s="30">
        <v>299</v>
      </c>
      <c r="AF133" s="31">
        <v>299</v>
      </c>
      <c r="AG133" s="30" t="s">
        <v>75</v>
      </c>
      <c r="AH133" s="30">
        <v>0</v>
      </c>
      <c r="AI133" s="28">
        <v>0</v>
      </c>
      <c r="AJ133" s="28">
        <v>0</v>
      </c>
      <c r="AK133" s="27">
        <v>0.05</v>
      </c>
      <c r="AL133" s="27">
        <v>0</v>
      </c>
      <c r="AM133" s="28">
        <v>-14.95</v>
      </c>
      <c r="AN133" s="28">
        <v>299</v>
      </c>
      <c r="AO133" s="27">
        <v>299</v>
      </c>
      <c r="AP133" s="27">
        <v>0</v>
      </c>
      <c r="AQ133" s="29" t="s">
        <v>103</v>
      </c>
      <c r="AR133" s="27">
        <v>0</v>
      </c>
      <c r="AS133" s="27">
        <v>0.006</v>
      </c>
      <c r="AT133" s="28">
        <v>-1.79</v>
      </c>
      <c r="AU133" s="30" t="s">
        <v>151</v>
      </c>
      <c r="AV133" s="33" t="s">
        <v>1779</v>
      </c>
      <c r="AW133" s="33" t="s">
        <v>1780</v>
      </c>
      <c r="AX133" s="30"/>
      <c r="AY133" s="30"/>
      <c r="AZ133" s="28">
        <v>0</v>
      </c>
      <c r="BA133" s="27">
        <v>0</v>
      </c>
      <c r="BB133" s="27">
        <v>0</v>
      </c>
      <c r="BC133" s="27">
        <v>0</v>
      </c>
      <c r="BD133" s="27">
        <v>0</v>
      </c>
      <c r="BE133" s="30"/>
    </row>
    <row r="134" customHeight="1" spans="1:57">
      <c r="A134" s="20">
        <f>YEAR(V134)</f>
        <v>2025</v>
      </c>
      <c r="B134" s="21">
        <f>MONTH(V134)</f>
        <v>8</v>
      </c>
      <c r="C134" s="21" t="str">
        <f>R134</f>
        <v>P770794018286221631</v>
      </c>
      <c r="D134" s="21">
        <f>COUNTIF(R:R,R134)</f>
        <v>1</v>
      </c>
      <c r="E134" s="21">
        <f>COUNTIF($R$2:R134,R134)</f>
        <v>1</v>
      </c>
      <c r="F134" s="22" t="str" cm="1">
        <f t="array" ref="F134">INDEX(订单明细!BQ:BQ,MATCH(R134&amp;AC134,订单明细!A:A&amp;订单明细!O:O,0))</f>
        <v>Z2378-花纱色-S</v>
      </c>
      <c r="G134" s="22" t="str">
        <f>LEFT(F134,FIND("-",F134)-1)</f>
        <v>Z2378</v>
      </c>
      <c r="H134" s="21" cm="1">
        <f t="array" ref="H134">_xlfn.IFS(C134=0,"",I134&gt;0,AD134,AND(I134&lt;0,I134&gt;-30),0,I134&lt;=-30,-1)</f>
        <v>1</v>
      </c>
      <c r="I134" s="21">
        <f>AF134</f>
        <v>179</v>
      </c>
      <c r="J134" s="21">
        <f>AI134+AJ134</f>
        <v>0</v>
      </c>
      <c r="K134" s="21">
        <f>IF(AZ134&lt;=0,AZ134,AZ134/COUNTIFS(R:R,R134,AZ:AZ,"&gt;0"))</f>
        <v>0</v>
      </c>
      <c r="L134" s="21">
        <f>AM134</f>
        <v>-8.95</v>
      </c>
      <c r="M134" s="21">
        <f>AT134</f>
        <v>-1.07</v>
      </c>
      <c r="N134" s="21"/>
      <c r="O134" s="23">
        <f>SUM(I134:N134)</f>
        <v>168.98</v>
      </c>
      <c r="R134" s="32" t="s">
        <v>1360</v>
      </c>
      <c r="S134" s="30"/>
      <c r="T134" s="30" t="s">
        <v>1289</v>
      </c>
      <c r="U134" s="30" t="s">
        <v>1292</v>
      </c>
      <c r="V134" s="30" t="s">
        <v>2041</v>
      </c>
      <c r="W134" s="33" t="s">
        <v>1782</v>
      </c>
      <c r="X134" s="33" t="s">
        <v>1776</v>
      </c>
      <c r="Y134" s="30">
        <v>168.98</v>
      </c>
      <c r="Z134" s="26" t="s">
        <v>1834</v>
      </c>
      <c r="AA134" s="33" t="s">
        <v>1800</v>
      </c>
      <c r="AB134" s="30" t="s">
        <v>937</v>
      </c>
      <c r="AC134" s="32" t="s">
        <v>938</v>
      </c>
      <c r="AD134" s="27">
        <v>1</v>
      </c>
      <c r="AE134" s="30">
        <v>179</v>
      </c>
      <c r="AF134" s="31">
        <v>179</v>
      </c>
      <c r="AG134" s="30" t="s">
        <v>75</v>
      </c>
      <c r="AH134" s="30">
        <v>0</v>
      </c>
      <c r="AI134" s="28">
        <v>0</v>
      </c>
      <c r="AJ134" s="28">
        <v>0</v>
      </c>
      <c r="AK134" s="27">
        <v>0.05</v>
      </c>
      <c r="AL134" s="27">
        <v>0</v>
      </c>
      <c r="AM134" s="28">
        <v>-8.95</v>
      </c>
      <c r="AN134" s="28">
        <v>179</v>
      </c>
      <c r="AO134" s="27">
        <v>179</v>
      </c>
      <c r="AP134" s="27">
        <v>0</v>
      </c>
      <c r="AQ134" s="29" t="s">
        <v>103</v>
      </c>
      <c r="AR134" s="27">
        <v>0</v>
      </c>
      <c r="AS134" s="27">
        <v>0.006</v>
      </c>
      <c r="AT134" s="28">
        <v>-1.07</v>
      </c>
      <c r="AU134" s="30" t="s">
        <v>151</v>
      </c>
      <c r="AV134" s="33" t="s">
        <v>1779</v>
      </c>
      <c r="AW134" s="33" t="s">
        <v>1780</v>
      </c>
      <c r="AX134" s="30"/>
      <c r="AY134" s="30"/>
      <c r="AZ134" s="28">
        <v>0</v>
      </c>
      <c r="BA134" s="27">
        <v>0</v>
      </c>
      <c r="BB134" s="27">
        <v>0</v>
      </c>
      <c r="BC134" s="27">
        <v>0</v>
      </c>
      <c r="BD134" s="27">
        <v>0</v>
      </c>
      <c r="BE134" s="30"/>
    </row>
    <row r="135" customHeight="1" spans="1:57">
      <c r="A135" s="20">
        <f>YEAR(V135)</f>
        <v>2025</v>
      </c>
      <c r="B135" s="21">
        <f>MONTH(V135)</f>
        <v>8</v>
      </c>
      <c r="C135" s="21" t="str">
        <f>R135</f>
        <v>P770801203180185471</v>
      </c>
      <c r="D135" s="21">
        <f>COUNTIF(R:R,R135)</f>
        <v>1</v>
      </c>
      <c r="E135" s="21">
        <f>COUNTIF($R$2:R135,R135)</f>
        <v>1</v>
      </c>
      <c r="F135" s="22" t="str" cm="1">
        <f t="array" ref="F135">INDEX(订单明细!BQ:BQ,MATCH(R135&amp;AC135,订单明细!A:A&amp;订单明细!O:O,0))</f>
        <v>Z2366-灰色-S</v>
      </c>
      <c r="G135" s="22" t="str">
        <f>LEFT(F135,FIND("-",F135)-1)</f>
        <v>Z2366</v>
      </c>
      <c r="H135" s="21" cm="1">
        <f t="array" ref="H135">_xlfn.IFS(C135=0,"",I135&gt;0,AD135,AND(I135&lt;0,I135&gt;-30),0,I135&lt;=-30,-1)</f>
        <v>1</v>
      </c>
      <c r="I135" s="21">
        <f>AF135</f>
        <v>299</v>
      </c>
      <c r="J135" s="21">
        <f>AI135+AJ135</f>
        <v>0</v>
      </c>
      <c r="K135" s="21">
        <f>IF(AZ135&lt;=0,AZ135,AZ135/COUNTIFS(R:R,R135,AZ:AZ,"&gt;0"))</f>
        <v>0</v>
      </c>
      <c r="L135" s="21">
        <f>AM135</f>
        <v>-14.95</v>
      </c>
      <c r="M135" s="21">
        <f>AT135</f>
        <v>-1.79</v>
      </c>
      <c r="N135" s="21"/>
      <c r="O135" s="23">
        <f>SUM(I135:N135)</f>
        <v>282.26</v>
      </c>
      <c r="R135" s="32" t="s">
        <v>574</v>
      </c>
      <c r="S135" s="30"/>
      <c r="T135" s="30" t="s">
        <v>589</v>
      </c>
      <c r="U135" s="30" t="s">
        <v>592</v>
      </c>
      <c r="V135" s="30" t="s">
        <v>2042</v>
      </c>
      <c r="W135" s="33" t="s">
        <v>1782</v>
      </c>
      <c r="X135" s="33" t="s">
        <v>1776</v>
      </c>
      <c r="Y135" s="30">
        <v>282.26</v>
      </c>
      <c r="Z135" s="26" t="s">
        <v>2043</v>
      </c>
      <c r="AA135" s="33" t="s">
        <v>1788</v>
      </c>
      <c r="AB135" s="30" t="s">
        <v>582</v>
      </c>
      <c r="AC135" s="32" t="s">
        <v>583</v>
      </c>
      <c r="AD135" s="27">
        <v>1</v>
      </c>
      <c r="AE135" s="30">
        <v>299</v>
      </c>
      <c r="AF135" s="31">
        <v>299</v>
      </c>
      <c r="AG135" s="30" t="s">
        <v>75</v>
      </c>
      <c r="AH135" s="30">
        <v>0</v>
      </c>
      <c r="AI135" s="28">
        <v>0</v>
      </c>
      <c r="AJ135" s="28">
        <v>0</v>
      </c>
      <c r="AK135" s="27">
        <v>0.05</v>
      </c>
      <c r="AL135" s="27">
        <v>0</v>
      </c>
      <c r="AM135" s="28">
        <v>-14.95</v>
      </c>
      <c r="AN135" s="28">
        <v>299</v>
      </c>
      <c r="AO135" s="27">
        <v>299</v>
      </c>
      <c r="AP135" s="27">
        <v>0</v>
      </c>
      <c r="AQ135" s="29" t="s">
        <v>103</v>
      </c>
      <c r="AR135" s="27">
        <v>0</v>
      </c>
      <c r="AS135" s="27">
        <v>0.006</v>
      </c>
      <c r="AT135" s="28">
        <v>-1.79</v>
      </c>
      <c r="AU135" s="30" t="s">
        <v>151</v>
      </c>
      <c r="AV135" s="33" t="s">
        <v>1779</v>
      </c>
      <c r="AW135" s="33" t="s">
        <v>1780</v>
      </c>
      <c r="AX135" s="30"/>
      <c r="AY135" s="30"/>
      <c r="AZ135" s="28">
        <v>0</v>
      </c>
      <c r="BA135" s="27">
        <v>0</v>
      </c>
      <c r="BB135" s="27">
        <v>0</v>
      </c>
      <c r="BC135" s="27">
        <v>0</v>
      </c>
      <c r="BD135" s="27">
        <v>0</v>
      </c>
      <c r="BE135" s="30"/>
    </row>
    <row r="136" customHeight="1" spans="1:57">
      <c r="A136" s="20">
        <f>YEAR(V136)</f>
        <v>2025</v>
      </c>
      <c r="B136" s="21">
        <f>MONTH(V136)</f>
        <v>8</v>
      </c>
      <c r="C136" s="21" t="str">
        <f>R136</f>
        <v>P770794019357298741</v>
      </c>
      <c r="D136" s="21">
        <f>COUNTIF(R:R,R136)</f>
        <v>1</v>
      </c>
      <c r="E136" s="21">
        <f>COUNTIF($R$2:R136,R136)</f>
        <v>1</v>
      </c>
      <c r="F136" s="22" t="str" cm="1">
        <f t="array" ref="F136">INDEX(订单明细!BQ:BQ,MATCH(R136&amp;AC136,订单明细!A:A&amp;订单明细!O:O,0))</f>
        <v>Z2378-花纱色-M</v>
      </c>
      <c r="G136" s="22" t="str">
        <f>LEFT(F136,FIND("-",F136)-1)</f>
        <v>Z2378</v>
      </c>
      <c r="H136" s="21" cm="1">
        <f t="array" ref="H136">_xlfn.IFS(C136=0,"",I136&gt;0,AD136,AND(I136&lt;0,I136&gt;-30),0,I136&lt;=-30,-1)</f>
        <v>1</v>
      </c>
      <c r="I136" s="21">
        <f>AF136</f>
        <v>179</v>
      </c>
      <c r="J136" s="21">
        <f>AI136+AJ136</f>
        <v>0</v>
      </c>
      <c r="K136" s="21">
        <f>IF(AZ136&lt;=0,AZ136,AZ136/COUNTIFS(R:R,R136,AZ:AZ,"&gt;0"))</f>
        <v>0</v>
      </c>
      <c r="L136" s="21">
        <f>AM136</f>
        <v>-8.95</v>
      </c>
      <c r="M136" s="21">
        <f>AT136</f>
        <v>-1.07</v>
      </c>
      <c r="N136" s="21"/>
      <c r="O136" s="23">
        <f>SUM(I136:N136)</f>
        <v>168.98</v>
      </c>
      <c r="R136" s="32" t="s">
        <v>1347</v>
      </c>
      <c r="S136" s="30"/>
      <c r="T136" s="30" t="s">
        <v>1357</v>
      </c>
      <c r="U136" s="30" t="s">
        <v>1277</v>
      </c>
      <c r="V136" s="30" t="s">
        <v>2044</v>
      </c>
      <c r="W136" s="33" t="s">
        <v>1782</v>
      </c>
      <c r="X136" s="33" t="s">
        <v>1776</v>
      </c>
      <c r="Y136" s="30">
        <v>168.98</v>
      </c>
      <c r="Z136" s="26" t="s">
        <v>1826</v>
      </c>
      <c r="AA136" s="33" t="s">
        <v>1800</v>
      </c>
      <c r="AB136" s="30" t="s">
        <v>822</v>
      </c>
      <c r="AC136" s="32" t="s">
        <v>823</v>
      </c>
      <c r="AD136" s="27">
        <v>1</v>
      </c>
      <c r="AE136" s="30">
        <v>179</v>
      </c>
      <c r="AF136" s="31">
        <v>179</v>
      </c>
      <c r="AG136" s="30" t="s">
        <v>75</v>
      </c>
      <c r="AH136" s="30">
        <v>0</v>
      </c>
      <c r="AI136" s="28">
        <v>0</v>
      </c>
      <c r="AJ136" s="28">
        <v>0</v>
      </c>
      <c r="AK136" s="27">
        <v>0.05</v>
      </c>
      <c r="AL136" s="27">
        <v>0</v>
      </c>
      <c r="AM136" s="28">
        <v>-8.95</v>
      </c>
      <c r="AN136" s="28">
        <v>179</v>
      </c>
      <c r="AO136" s="27">
        <v>179</v>
      </c>
      <c r="AP136" s="27">
        <v>0</v>
      </c>
      <c r="AQ136" s="29" t="s">
        <v>103</v>
      </c>
      <c r="AR136" s="27">
        <v>0</v>
      </c>
      <c r="AS136" s="27">
        <v>0.006</v>
      </c>
      <c r="AT136" s="28">
        <v>-1.07</v>
      </c>
      <c r="AU136" s="30" t="s">
        <v>151</v>
      </c>
      <c r="AV136" s="33" t="s">
        <v>1779</v>
      </c>
      <c r="AW136" s="33" t="s">
        <v>1780</v>
      </c>
      <c r="AX136" s="30"/>
      <c r="AY136" s="30"/>
      <c r="AZ136" s="28">
        <v>0</v>
      </c>
      <c r="BA136" s="27">
        <v>0</v>
      </c>
      <c r="BB136" s="27">
        <v>0</v>
      </c>
      <c r="BC136" s="27">
        <v>0</v>
      </c>
      <c r="BD136" s="27">
        <v>0</v>
      </c>
      <c r="BE136" s="30"/>
    </row>
    <row r="137" customHeight="1" spans="1:57">
      <c r="A137" s="20">
        <f>YEAR(V137)</f>
        <v>2025</v>
      </c>
      <c r="B137" s="21">
        <f>MONTH(V137)</f>
        <v>8</v>
      </c>
      <c r="C137" s="21" t="str">
        <f>R137</f>
        <v>P770388218319370581</v>
      </c>
      <c r="D137" s="21">
        <f>COUNTIF(R:R,R137)</f>
        <v>1</v>
      </c>
      <c r="E137" s="21">
        <f>COUNTIF($R$2:R137,R137)</f>
        <v>1</v>
      </c>
      <c r="F137" s="22" t="str" cm="1">
        <f t="array" ref="F137">INDEX(订单明细!BQ:BQ,MATCH(R137&amp;AC137,订单明细!A:A&amp;订单明细!O:O,0))</f>
        <v>Z2333-米白色-S</v>
      </c>
      <c r="G137" s="22" t="str">
        <f>LEFT(F137,FIND("-",F137)-1)</f>
        <v>Z2333</v>
      </c>
      <c r="H137" s="21" cm="1">
        <f t="array" ref="H137">_xlfn.IFS(C137=0,"",I137&gt;0,AD137,AND(I137&lt;0,I137&gt;-30),0,I137&lt;=-30,-1)</f>
        <v>1</v>
      </c>
      <c r="I137" s="21">
        <f>AF137</f>
        <v>169</v>
      </c>
      <c r="J137" s="21">
        <f>AI137+AJ137</f>
        <v>0</v>
      </c>
      <c r="K137" s="21">
        <f>IF(AZ137&lt;=0,AZ137,AZ137/COUNTIFS(R:R,R137,AZ:AZ,"&gt;0"))</f>
        <v>0</v>
      </c>
      <c r="L137" s="21">
        <f>AM137</f>
        <v>-8.45</v>
      </c>
      <c r="M137" s="21">
        <f>AT137</f>
        <v>-1.01</v>
      </c>
      <c r="N137" s="21"/>
      <c r="O137" s="23">
        <f>SUM(I137:N137)</f>
        <v>159.54</v>
      </c>
      <c r="R137" s="32" t="s">
        <v>1592</v>
      </c>
      <c r="S137" s="30"/>
      <c r="T137" s="30" t="s">
        <v>1606</v>
      </c>
      <c r="U137" s="30" t="s">
        <v>1609</v>
      </c>
      <c r="V137" s="30" t="s">
        <v>2045</v>
      </c>
      <c r="W137" s="33" t="s">
        <v>1782</v>
      </c>
      <c r="X137" s="33" t="s">
        <v>1776</v>
      </c>
      <c r="Y137" s="30">
        <v>159.54</v>
      </c>
      <c r="Z137" s="26" t="s">
        <v>2015</v>
      </c>
      <c r="AA137" s="33" t="s">
        <v>1788</v>
      </c>
      <c r="AB137" s="30" t="s">
        <v>1599</v>
      </c>
      <c r="AC137" s="32" t="s">
        <v>1600</v>
      </c>
      <c r="AD137" s="27">
        <v>1</v>
      </c>
      <c r="AE137" s="30">
        <v>169</v>
      </c>
      <c r="AF137" s="31">
        <v>169</v>
      </c>
      <c r="AG137" s="30" t="s">
        <v>75</v>
      </c>
      <c r="AH137" s="30">
        <v>0</v>
      </c>
      <c r="AI137" s="28">
        <v>0</v>
      </c>
      <c r="AJ137" s="28">
        <v>0</v>
      </c>
      <c r="AK137" s="27">
        <v>0.05</v>
      </c>
      <c r="AL137" s="27">
        <v>0</v>
      </c>
      <c r="AM137" s="28">
        <v>-8.45</v>
      </c>
      <c r="AN137" s="28">
        <v>169</v>
      </c>
      <c r="AO137" s="27">
        <v>169</v>
      </c>
      <c r="AP137" s="27">
        <v>0</v>
      </c>
      <c r="AQ137" s="29" t="s">
        <v>103</v>
      </c>
      <c r="AR137" s="27">
        <v>0</v>
      </c>
      <c r="AS137" s="27">
        <v>0.006</v>
      </c>
      <c r="AT137" s="28">
        <v>-1.01</v>
      </c>
      <c r="AU137" s="30" t="s">
        <v>151</v>
      </c>
      <c r="AV137" s="33" t="s">
        <v>1779</v>
      </c>
      <c r="AW137" s="33" t="s">
        <v>1780</v>
      </c>
      <c r="AX137" s="30"/>
      <c r="AY137" s="30"/>
      <c r="AZ137" s="28">
        <v>0</v>
      </c>
      <c r="BA137" s="27">
        <v>0</v>
      </c>
      <c r="BB137" s="27">
        <v>0</v>
      </c>
      <c r="BC137" s="27">
        <v>0</v>
      </c>
      <c r="BD137" s="27">
        <v>0</v>
      </c>
      <c r="BE137" s="30"/>
    </row>
    <row r="138" customHeight="1" spans="1:57">
      <c r="A138" s="20">
        <f>YEAR(V138)</f>
        <v>2025</v>
      </c>
      <c r="B138" s="21">
        <f>MONTH(V138)</f>
        <v>8</v>
      </c>
      <c r="C138" s="21" t="str">
        <f>R138</f>
        <v>P770800347247449271</v>
      </c>
      <c r="D138" s="21">
        <f>COUNTIF(R:R,R138)</f>
        <v>1</v>
      </c>
      <c r="E138" s="21">
        <f>COUNTIF($R$2:R138,R138)</f>
        <v>1</v>
      </c>
      <c r="F138" s="22" t="str" cm="1">
        <f t="array" ref="F138">INDEX(订单明细!BQ:BQ,MATCH(R138&amp;AC138,订单明细!A:A&amp;订单明细!O:O,0))</f>
        <v>Z2375-深藏青色-M</v>
      </c>
      <c r="G138" s="22" t="str">
        <f>LEFT(F138,FIND("-",F138)-1)</f>
        <v>Z2375</v>
      </c>
      <c r="H138" s="21" cm="1">
        <f t="array" ref="H138">_xlfn.IFS(C138=0,"",I138&gt;0,AD138,AND(I138&lt;0,I138&gt;-30),0,I138&lt;=-30,-1)</f>
        <v>1</v>
      </c>
      <c r="I138" s="21">
        <f>AF138</f>
        <v>299</v>
      </c>
      <c r="J138" s="21">
        <f>AI138+AJ138</f>
        <v>0</v>
      </c>
      <c r="K138" s="21">
        <f>IF(AZ138&lt;=0,AZ138,AZ138/COUNTIFS(R:R,R138,AZ:AZ,"&gt;0"))</f>
        <v>0</v>
      </c>
      <c r="L138" s="21">
        <f>AM138</f>
        <v>-14.95</v>
      </c>
      <c r="M138" s="21">
        <f>AT138</f>
        <v>-1.79</v>
      </c>
      <c r="N138" s="21"/>
      <c r="O138" s="23">
        <f>SUM(I138:N138)</f>
        <v>282.26</v>
      </c>
      <c r="R138" s="32" t="s">
        <v>702</v>
      </c>
      <c r="S138" s="30"/>
      <c r="T138" s="30" t="s">
        <v>662</v>
      </c>
      <c r="U138" s="30" t="s">
        <v>687</v>
      </c>
      <c r="V138" s="30" t="s">
        <v>2046</v>
      </c>
      <c r="W138" s="33" t="s">
        <v>1782</v>
      </c>
      <c r="X138" s="33" t="s">
        <v>1776</v>
      </c>
      <c r="Y138" s="30">
        <v>282.26</v>
      </c>
      <c r="Z138" s="26" t="s">
        <v>2038</v>
      </c>
      <c r="AA138" s="33" t="s">
        <v>1791</v>
      </c>
      <c r="AB138" s="30" t="s">
        <v>678</v>
      </c>
      <c r="AC138" s="32" t="s">
        <v>679</v>
      </c>
      <c r="AD138" s="27">
        <v>1</v>
      </c>
      <c r="AE138" s="30">
        <v>299</v>
      </c>
      <c r="AF138" s="31">
        <v>299</v>
      </c>
      <c r="AG138" s="30" t="s">
        <v>75</v>
      </c>
      <c r="AH138" s="30">
        <v>0</v>
      </c>
      <c r="AI138" s="28">
        <v>0</v>
      </c>
      <c r="AJ138" s="28">
        <v>0</v>
      </c>
      <c r="AK138" s="27">
        <v>0.05</v>
      </c>
      <c r="AL138" s="27">
        <v>0</v>
      </c>
      <c r="AM138" s="28">
        <v>-14.95</v>
      </c>
      <c r="AN138" s="28">
        <v>299</v>
      </c>
      <c r="AO138" s="27">
        <v>299</v>
      </c>
      <c r="AP138" s="27">
        <v>0</v>
      </c>
      <c r="AQ138" s="29" t="s">
        <v>103</v>
      </c>
      <c r="AR138" s="27">
        <v>0</v>
      </c>
      <c r="AS138" s="27">
        <v>0.006</v>
      </c>
      <c r="AT138" s="28">
        <v>-1.79</v>
      </c>
      <c r="AU138" s="30" t="s">
        <v>151</v>
      </c>
      <c r="AV138" s="33" t="s">
        <v>1779</v>
      </c>
      <c r="AW138" s="33" t="s">
        <v>1780</v>
      </c>
      <c r="AX138" s="30"/>
      <c r="AY138" s="30"/>
      <c r="AZ138" s="28">
        <v>0</v>
      </c>
      <c r="BA138" s="27">
        <v>0</v>
      </c>
      <c r="BB138" s="27">
        <v>0</v>
      </c>
      <c r="BC138" s="27">
        <v>0</v>
      </c>
      <c r="BD138" s="27">
        <v>0</v>
      </c>
      <c r="BE138" s="30"/>
    </row>
    <row r="139" customHeight="1" spans="1:57">
      <c r="A139" s="20">
        <f>YEAR(V139)</f>
        <v>2025</v>
      </c>
      <c r="B139" s="21">
        <f>MONTH(V139)</f>
        <v>8</v>
      </c>
      <c r="C139" s="21" t="str">
        <f>R139</f>
        <v>P770388132291000981</v>
      </c>
      <c r="D139" s="21">
        <f>COUNTIF(R:R,R139)</f>
        <v>1</v>
      </c>
      <c r="E139" s="21">
        <f>COUNTIF($R$2:R139,R139)</f>
        <v>1</v>
      </c>
      <c r="F139" s="22" t="str" cm="1">
        <f t="array" ref="F139">INDEX(订单明细!BQ:BQ,MATCH(R139&amp;AC139,订单明细!A:A&amp;订单明细!O:O,0))</f>
        <v>Z2333-米白色-S</v>
      </c>
      <c r="G139" s="22" t="str">
        <f>LEFT(F139,FIND("-",F139)-1)</f>
        <v>Z2333</v>
      </c>
      <c r="H139" s="21" cm="1">
        <f t="array" ref="H139">_xlfn.IFS(C139=0,"",I139&gt;0,AD139,AND(I139&lt;0,I139&gt;-30),0,I139&lt;=-30,-1)</f>
        <v>1</v>
      </c>
      <c r="I139" s="21">
        <f>AF139</f>
        <v>169</v>
      </c>
      <c r="J139" s="21">
        <f>AI139+AJ139</f>
        <v>0</v>
      </c>
      <c r="K139" s="21">
        <f>IF(AZ139&lt;=0,AZ139,AZ139/COUNTIFS(R:R,R139,AZ:AZ,"&gt;0"))</f>
        <v>0</v>
      </c>
      <c r="L139" s="21">
        <f>AM139</f>
        <v>-8.45</v>
      </c>
      <c r="M139" s="21">
        <f>AT139</f>
        <v>-1.01</v>
      </c>
      <c r="N139" s="21"/>
      <c r="O139" s="23">
        <f>SUM(I139:N139)</f>
        <v>159.54</v>
      </c>
      <c r="R139" s="32" t="s">
        <v>1612</v>
      </c>
      <c r="S139" s="30"/>
      <c r="T139" s="30" t="s">
        <v>1621</v>
      </c>
      <c r="U139" s="30" t="s">
        <v>1624</v>
      </c>
      <c r="V139" s="30" t="s">
        <v>2047</v>
      </c>
      <c r="W139" s="33" t="s">
        <v>1782</v>
      </c>
      <c r="X139" s="33" t="s">
        <v>1776</v>
      </c>
      <c r="Y139" s="30">
        <v>159.54</v>
      </c>
      <c r="Z139" s="26" t="s">
        <v>2015</v>
      </c>
      <c r="AA139" s="33" t="s">
        <v>1788</v>
      </c>
      <c r="AB139" s="30" t="s">
        <v>1599</v>
      </c>
      <c r="AC139" s="32" t="s">
        <v>1600</v>
      </c>
      <c r="AD139" s="27">
        <v>1</v>
      </c>
      <c r="AE139" s="30">
        <v>169</v>
      </c>
      <c r="AF139" s="31">
        <v>169</v>
      </c>
      <c r="AG139" s="30" t="s">
        <v>75</v>
      </c>
      <c r="AH139" s="30">
        <v>0</v>
      </c>
      <c r="AI139" s="28">
        <v>0</v>
      </c>
      <c r="AJ139" s="28">
        <v>0</v>
      </c>
      <c r="AK139" s="27">
        <v>0.05</v>
      </c>
      <c r="AL139" s="27">
        <v>0</v>
      </c>
      <c r="AM139" s="28">
        <v>-8.45</v>
      </c>
      <c r="AN139" s="28">
        <v>169</v>
      </c>
      <c r="AO139" s="27">
        <v>169</v>
      </c>
      <c r="AP139" s="27">
        <v>0</v>
      </c>
      <c r="AQ139" s="29" t="s">
        <v>103</v>
      </c>
      <c r="AR139" s="27">
        <v>0</v>
      </c>
      <c r="AS139" s="27">
        <v>0.006</v>
      </c>
      <c r="AT139" s="28">
        <v>-1.01</v>
      </c>
      <c r="AU139" s="30" t="s">
        <v>151</v>
      </c>
      <c r="AV139" s="33" t="s">
        <v>1779</v>
      </c>
      <c r="AW139" s="33" t="s">
        <v>1780</v>
      </c>
      <c r="AX139" s="30"/>
      <c r="AY139" s="30"/>
      <c r="AZ139" s="28">
        <v>0</v>
      </c>
      <c r="BA139" s="27">
        <v>0</v>
      </c>
      <c r="BB139" s="27">
        <v>0</v>
      </c>
      <c r="BC139" s="27">
        <v>0</v>
      </c>
      <c r="BD139" s="27">
        <v>0</v>
      </c>
      <c r="BE139" s="30"/>
    </row>
    <row r="140" customHeight="1" spans="1:57">
      <c r="A140" s="20">
        <f>YEAR(V140)</f>
        <v>2025</v>
      </c>
      <c r="B140" s="21">
        <f>MONTH(V140)</f>
        <v>8</v>
      </c>
      <c r="C140" s="21" t="str">
        <f>R140</f>
        <v>P770802417453059131</v>
      </c>
      <c r="D140" s="21">
        <f>COUNTIF(R:R,R140)</f>
        <v>1</v>
      </c>
      <c r="E140" s="21">
        <f>COUNTIF($R$2:R140,R140)</f>
        <v>1</v>
      </c>
      <c r="F140" s="22" t="str" cm="1">
        <f t="array" ref="F140">INDEX(订单明细!BQ:BQ,MATCH(R140&amp;AC140,订单明细!A:A&amp;订单明细!O:O,0))</f>
        <v>Z2351-黑色-L</v>
      </c>
      <c r="G140" s="22" t="str">
        <f>LEFT(F140,FIND("-",F140)-1)</f>
        <v>Z2351</v>
      </c>
      <c r="H140" s="21" cm="1">
        <f t="array" ref="H140">_xlfn.IFS(C140=0,"",I140&gt;0,AD140,AND(I140&lt;0,I140&gt;-30),0,I140&lt;=-30,-1)</f>
        <v>1</v>
      </c>
      <c r="I140" s="21">
        <f>AF140</f>
        <v>219</v>
      </c>
      <c r="J140" s="21">
        <f>AI140+AJ140</f>
        <v>0</v>
      </c>
      <c r="K140" s="21">
        <f>IF(AZ140&lt;=0,AZ140,AZ140/COUNTIFS(R:R,R140,AZ:AZ,"&gt;0"))</f>
        <v>10</v>
      </c>
      <c r="L140" s="21">
        <f>AM140</f>
        <v>-10.95</v>
      </c>
      <c r="M140" s="21">
        <f>AT140</f>
        <v>-1.31</v>
      </c>
      <c r="N140" s="21"/>
      <c r="O140" s="23">
        <f>SUM(I140:N140)</f>
        <v>216.74</v>
      </c>
      <c r="R140" s="32" t="s">
        <v>558</v>
      </c>
      <c r="S140" s="30"/>
      <c r="T140" s="30" t="s">
        <v>570</v>
      </c>
      <c r="U140" s="30" t="s">
        <v>572</v>
      </c>
      <c r="V140" s="30" t="s">
        <v>2048</v>
      </c>
      <c r="W140" s="33" t="s">
        <v>1782</v>
      </c>
      <c r="X140" s="33" t="s">
        <v>1776</v>
      </c>
      <c r="Y140" s="30">
        <v>216.74</v>
      </c>
      <c r="Z140" s="26" t="s">
        <v>2003</v>
      </c>
      <c r="AA140" s="33" t="s">
        <v>1788</v>
      </c>
      <c r="AB140" s="30" t="s">
        <v>543</v>
      </c>
      <c r="AC140" s="32" t="s">
        <v>544</v>
      </c>
      <c r="AD140" s="27">
        <v>1</v>
      </c>
      <c r="AE140" s="30">
        <v>219</v>
      </c>
      <c r="AF140" s="31">
        <v>219</v>
      </c>
      <c r="AG140" s="30" t="s">
        <v>75</v>
      </c>
      <c r="AH140" s="30">
        <v>0</v>
      </c>
      <c r="AI140" s="28">
        <v>0</v>
      </c>
      <c r="AJ140" s="28">
        <v>0</v>
      </c>
      <c r="AK140" s="27">
        <v>0.05</v>
      </c>
      <c r="AL140" s="27">
        <v>0</v>
      </c>
      <c r="AM140" s="28">
        <v>-10.95</v>
      </c>
      <c r="AN140" s="28">
        <v>219</v>
      </c>
      <c r="AO140" s="27">
        <v>219</v>
      </c>
      <c r="AP140" s="27">
        <v>0</v>
      </c>
      <c r="AQ140" s="29" t="s">
        <v>103</v>
      </c>
      <c r="AR140" s="27">
        <v>0</v>
      </c>
      <c r="AS140" s="27">
        <v>0.006</v>
      </c>
      <c r="AT140" s="28">
        <v>-1.31</v>
      </c>
      <c r="AU140" s="30" t="s">
        <v>151</v>
      </c>
      <c r="AV140" s="33" t="s">
        <v>1779</v>
      </c>
      <c r="AW140" s="33" t="s">
        <v>1780</v>
      </c>
      <c r="AX140" s="30"/>
      <c r="AY140" s="30"/>
      <c r="AZ140" s="28">
        <v>10</v>
      </c>
      <c r="BA140" s="27">
        <v>0</v>
      </c>
      <c r="BB140" s="27">
        <v>0</v>
      </c>
      <c r="BC140" s="27">
        <v>0</v>
      </c>
      <c r="BD140" s="27">
        <v>0</v>
      </c>
      <c r="BE140" s="30"/>
    </row>
    <row r="141" customHeight="1" spans="1:57">
      <c r="A141" s="20">
        <f>YEAR(V141)</f>
        <v>2025</v>
      </c>
      <c r="B141" s="21">
        <f>MONTH(V141)</f>
        <v>8</v>
      </c>
      <c r="C141" s="21" t="str">
        <f>R141</f>
        <v>P770800349964423951</v>
      </c>
      <c r="D141" s="21">
        <f>COUNTIF(R:R,R141)</f>
        <v>1</v>
      </c>
      <c r="E141" s="21">
        <f>COUNTIF($R$2:R141,R141)</f>
        <v>1</v>
      </c>
      <c r="F141" s="22" t="str" cm="1">
        <f t="array" ref="F141">INDEX(订单明细!BQ:BQ,MATCH(R141&amp;AC141,订单明细!A:A&amp;订单明细!O:O,0))</f>
        <v>Z2375-深藏青色-L</v>
      </c>
      <c r="G141" s="22" t="str">
        <f>LEFT(F141,FIND("-",F141)-1)</f>
        <v>Z2375</v>
      </c>
      <c r="H141" s="21" cm="1">
        <f t="array" ref="H141">_xlfn.IFS(C141=0,"",I141&gt;0,AD141,AND(I141&lt;0,I141&gt;-30),0,I141&lt;=-30,-1)</f>
        <v>1</v>
      </c>
      <c r="I141" s="21">
        <f>AF141</f>
        <v>299</v>
      </c>
      <c r="J141" s="21">
        <f>AI141+AJ141</f>
        <v>0</v>
      </c>
      <c r="K141" s="21">
        <f>IF(AZ141&lt;=0,AZ141,AZ141/COUNTIFS(R:R,R141,AZ:AZ,"&gt;0"))</f>
        <v>0</v>
      </c>
      <c r="L141" s="21">
        <f>AM141</f>
        <v>-14.95</v>
      </c>
      <c r="M141" s="21">
        <f>AT141</f>
        <v>-1.79</v>
      </c>
      <c r="N141" s="21"/>
      <c r="O141" s="23">
        <f>SUM(I141:N141)</f>
        <v>282.26</v>
      </c>
      <c r="R141" s="32" t="s">
        <v>640</v>
      </c>
      <c r="S141" s="30"/>
      <c r="T141" s="30" t="s">
        <v>648</v>
      </c>
      <c r="U141" s="30" t="s">
        <v>615</v>
      </c>
      <c r="V141" s="30" t="s">
        <v>2049</v>
      </c>
      <c r="W141" s="33" t="s">
        <v>1782</v>
      </c>
      <c r="X141" s="33" t="s">
        <v>1776</v>
      </c>
      <c r="Y141" s="30">
        <v>282.26</v>
      </c>
      <c r="Z141" s="26" t="s">
        <v>2031</v>
      </c>
      <c r="AA141" s="33" t="s">
        <v>1791</v>
      </c>
      <c r="AB141" s="30" t="s">
        <v>605</v>
      </c>
      <c r="AC141" s="32" t="s">
        <v>606</v>
      </c>
      <c r="AD141" s="27">
        <v>1</v>
      </c>
      <c r="AE141" s="30">
        <v>299</v>
      </c>
      <c r="AF141" s="31">
        <v>299</v>
      </c>
      <c r="AG141" s="30" t="s">
        <v>75</v>
      </c>
      <c r="AH141" s="30">
        <v>0</v>
      </c>
      <c r="AI141" s="28">
        <v>0</v>
      </c>
      <c r="AJ141" s="28">
        <v>0</v>
      </c>
      <c r="AK141" s="27">
        <v>0.05</v>
      </c>
      <c r="AL141" s="27">
        <v>0</v>
      </c>
      <c r="AM141" s="28">
        <v>-14.95</v>
      </c>
      <c r="AN141" s="28">
        <v>299</v>
      </c>
      <c r="AO141" s="27">
        <v>299</v>
      </c>
      <c r="AP141" s="27">
        <v>0</v>
      </c>
      <c r="AQ141" s="29" t="s">
        <v>103</v>
      </c>
      <c r="AR141" s="27">
        <v>0</v>
      </c>
      <c r="AS141" s="27">
        <v>0.006</v>
      </c>
      <c r="AT141" s="28">
        <v>-1.79</v>
      </c>
      <c r="AU141" s="30" t="s">
        <v>151</v>
      </c>
      <c r="AV141" s="33" t="s">
        <v>1779</v>
      </c>
      <c r="AW141" s="33" t="s">
        <v>1780</v>
      </c>
      <c r="AX141" s="30"/>
      <c r="AY141" s="30"/>
      <c r="AZ141" s="28">
        <v>0</v>
      </c>
      <c r="BA141" s="27">
        <v>0</v>
      </c>
      <c r="BB141" s="27">
        <v>0</v>
      </c>
      <c r="BC141" s="27">
        <v>0</v>
      </c>
      <c r="BD141" s="27">
        <v>0</v>
      </c>
      <c r="BE141" s="30"/>
    </row>
    <row r="142" customHeight="1" spans="1:57">
      <c r="A142" s="20">
        <f>YEAR(V142)</f>
        <v>2025</v>
      </c>
      <c r="B142" s="21">
        <f>MONTH(V142)</f>
        <v>8</v>
      </c>
      <c r="C142" s="21" t="str">
        <f>R142</f>
        <v>P770800340656114071</v>
      </c>
      <c r="D142" s="21">
        <f>COUNTIF(R:R,R142)</f>
        <v>1</v>
      </c>
      <c r="E142" s="21">
        <f>COUNTIF($R$2:R142,R142)</f>
        <v>1</v>
      </c>
      <c r="F142" s="22" t="str" cm="1">
        <f t="array" ref="F142">INDEX(订单明细!BQ:BQ,MATCH(R142&amp;AC142,订单明细!A:A&amp;订单明细!O:O,0))</f>
        <v>Z2375-杏色-M</v>
      </c>
      <c r="G142" s="22" t="str">
        <f>LEFT(F142,FIND("-",F142)-1)</f>
        <v>Z2375</v>
      </c>
      <c r="H142" s="21" cm="1">
        <f t="array" ref="H142">_xlfn.IFS(C142=0,"",I142&gt;0,AD142,AND(I142&lt;0,I142&gt;-30),0,I142&lt;=-30,-1)</f>
        <v>1</v>
      </c>
      <c r="I142" s="21">
        <f>AF142</f>
        <v>299</v>
      </c>
      <c r="J142" s="21">
        <f>AI142+AJ142</f>
        <v>0</v>
      </c>
      <c r="K142" s="21">
        <f>IF(AZ142&lt;=0,AZ142,AZ142/COUNTIFS(R:R,R142,AZ:AZ,"&gt;0"))</f>
        <v>0</v>
      </c>
      <c r="L142" s="21">
        <f>AM142</f>
        <v>-14.95</v>
      </c>
      <c r="M142" s="21">
        <f>AT142</f>
        <v>-1.79</v>
      </c>
      <c r="N142" s="21"/>
      <c r="O142" s="23">
        <f>SUM(I142:N142)</f>
        <v>282.26</v>
      </c>
      <c r="R142" s="32" t="s">
        <v>650</v>
      </c>
      <c r="S142" s="30"/>
      <c r="T142" s="30" t="s">
        <v>664</v>
      </c>
      <c r="U142" s="30" t="s">
        <v>667</v>
      </c>
      <c r="V142" s="30" t="s">
        <v>2049</v>
      </c>
      <c r="W142" s="33" t="s">
        <v>1782</v>
      </c>
      <c r="X142" s="33" t="s">
        <v>1776</v>
      </c>
      <c r="Y142" s="30">
        <v>282.26</v>
      </c>
      <c r="Z142" s="26" t="s">
        <v>2050</v>
      </c>
      <c r="AA142" s="33" t="s">
        <v>1791</v>
      </c>
      <c r="AB142" s="30" t="s">
        <v>657</v>
      </c>
      <c r="AC142" s="32" t="s">
        <v>658</v>
      </c>
      <c r="AD142" s="27">
        <v>1</v>
      </c>
      <c r="AE142" s="30">
        <v>299</v>
      </c>
      <c r="AF142" s="31">
        <v>299</v>
      </c>
      <c r="AG142" s="30" t="s">
        <v>75</v>
      </c>
      <c r="AH142" s="30">
        <v>0</v>
      </c>
      <c r="AI142" s="28">
        <v>0</v>
      </c>
      <c r="AJ142" s="28">
        <v>0</v>
      </c>
      <c r="AK142" s="27">
        <v>0.05</v>
      </c>
      <c r="AL142" s="27">
        <v>0</v>
      </c>
      <c r="AM142" s="28">
        <v>-14.95</v>
      </c>
      <c r="AN142" s="28">
        <v>299</v>
      </c>
      <c r="AO142" s="27">
        <v>299</v>
      </c>
      <c r="AP142" s="27">
        <v>0</v>
      </c>
      <c r="AQ142" s="29" t="s">
        <v>103</v>
      </c>
      <c r="AR142" s="27">
        <v>0</v>
      </c>
      <c r="AS142" s="27">
        <v>0.006</v>
      </c>
      <c r="AT142" s="28">
        <v>-1.79</v>
      </c>
      <c r="AU142" s="30" t="s">
        <v>151</v>
      </c>
      <c r="AV142" s="33" t="s">
        <v>1779</v>
      </c>
      <c r="AW142" s="33" t="s">
        <v>1780</v>
      </c>
      <c r="AX142" s="30"/>
      <c r="AY142" s="30"/>
      <c r="AZ142" s="28">
        <v>0</v>
      </c>
      <c r="BA142" s="27">
        <v>0</v>
      </c>
      <c r="BB142" s="27">
        <v>0</v>
      </c>
      <c r="BC142" s="27">
        <v>0</v>
      </c>
      <c r="BD142" s="27">
        <v>0</v>
      </c>
      <c r="BE142" s="30"/>
    </row>
    <row r="143" customHeight="1" spans="1:57">
      <c r="A143" s="20">
        <f>YEAR(V143)</f>
        <v>2025</v>
      </c>
      <c r="B143" s="21">
        <f>MONTH(V143)</f>
        <v>8</v>
      </c>
      <c r="C143" s="21" t="str">
        <f>R143</f>
        <v>P770796111496158521</v>
      </c>
      <c r="D143" s="21">
        <f>COUNTIF(R:R,R143)</f>
        <v>1</v>
      </c>
      <c r="E143" s="21">
        <f>COUNTIF($R$2:R143,R143)</f>
        <v>1</v>
      </c>
      <c r="F143" s="22" t="str" cm="1">
        <f t="array" ref="F143">INDEX(订单明细!BQ:BQ,MATCH(R143&amp;AC143,订单明细!A:A&amp;订单明细!O:O,0))</f>
        <v>Z2378-灰色-S</v>
      </c>
      <c r="G143" s="22" t="str">
        <f>LEFT(F143,FIND("-",F143)-1)</f>
        <v>Z2378</v>
      </c>
      <c r="H143" s="21" cm="1">
        <f t="array" ref="H143">_xlfn.IFS(C143=0,"",I143&gt;0,AD143,AND(I143&lt;0,I143&gt;-30),0,I143&lt;=-30,-1)</f>
        <v>1</v>
      </c>
      <c r="I143" s="21">
        <f>AF143</f>
        <v>179</v>
      </c>
      <c r="J143" s="21">
        <f>AI143+AJ143</f>
        <v>0</v>
      </c>
      <c r="K143" s="21">
        <f>IF(AZ143&lt;=0,AZ143,AZ143/COUNTIFS(R:R,R143,AZ:AZ,"&gt;0"))</f>
        <v>0</v>
      </c>
      <c r="L143" s="21">
        <f>AM143</f>
        <v>-8.95</v>
      </c>
      <c r="M143" s="21">
        <f>AT143</f>
        <v>-1.07</v>
      </c>
      <c r="N143" s="21"/>
      <c r="O143" s="23">
        <f>SUM(I143:N143)</f>
        <v>168.98</v>
      </c>
      <c r="R143" s="32" t="s">
        <v>964</v>
      </c>
      <c r="S143" s="30"/>
      <c r="T143" s="30" t="s">
        <v>973</v>
      </c>
      <c r="U143" s="30" t="s">
        <v>772</v>
      </c>
      <c r="V143" s="30" t="s">
        <v>2051</v>
      </c>
      <c r="W143" s="33" t="s">
        <v>1782</v>
      </c>
      <c r="X143" s="33" t="s">
        <v>1776</v>
      </c>
      <c r="Y143" s="30">
        <v>168.98</v>
      </c>
      <c r="Z143" s="26" t="s">
        <v>1875</v>
      </c>
      <c r="AA143" s="33" t="s">
        <v>1800</v>
      </c>
      <c r="AB143" s="30" t="s">
        <v>442</v>
      </c>
      <c r="AC143" s="32" t="s">
        <v>443</v>
      </c>
      <c r="AD143" s="27">
        <v>1</v>
      </c>
      <c r="AE143" s="30">
        <v>179</v>
      </c>
      <c r="AF143" s="31">
        <v>179</v>
      </c>
      <c r="AG143" s="30" t="s">
        <v>75</v>
      </c>
      <c r="AH143" s="30">
        <v>0</v>
      </c>
      <c r="AI143" s="28">
        <v>0</v>
      </c>
      <c r="AJ143" s="28">
        <v>0</v>
      </c>
      <c r="AK143" s="27">
        <v>0.05</v>
      </c>
      <c r="AL143" s="27">
        <v>0</v>
      </c>
      <c r="AM143" s="28">
        <v>-8.95</v>
      </c>
      <c r="AN143" s="28">
        <v>179</v>
      </c>
      <c r="AO143" s="27">
        <v>179</v>
      </c>
      <c r="AP143" s="27">
        <v>0</v>
      </c>
      <c r="AQ143" s="29" t="s">
        <v>103</v>
      </c>
      <c r="AR143" s="27">
        <v>0</v>
      </c>
      <c r="AS143" s="27">
        <v>0.006</v>
      </c>
      <c r="AT143" s="28">
        <v>-1.07</v>
      </c>
      <c r="AU143" s="30" t="s">
        <v>151</v>
      </c>
      <c r="AV143" s="33" t="s">
        <v>1779</v>
      </c>
      <c r="AW143" s="33" t="s">
        <v>1780</v>
      </c>
      <c r="AX143" s="30"/>
      <c r="AY143" s="30"/>
      <c r="AZ143" s="28">
        <v>0</v>
      </c>
      <c r="BA143" s="27">
        <v>0</v>
      </c>
      <c r="BB143" s="27">
        <v>0</v>
      </c>
      <c r="BC143" s="27">
        <v>0</v>
      </c>
      <c r="BD143" s="27">
        <v>0</v>
      </c>
      <c r="BE143" s="30"/>
    </row>
    <row r="144" customHeight="1" spans="1:57">
      <c r="A144" s="20">
        <f>YEAR(V144)</f>
        <v>2025</v>
      </c>
      <c r="B144" s="21">
        <f>MONTH(V144)</f>
        <v>8</v>
      </c>
      <c r="C144" s="21" t="str">
        <f>R144</f>
        <v>P770796096694064811</v>
      </c>
      <c r="D144" s="21">
        <f>COUNTIF(R:R,R144)</f>
        <v>1</v>
      </c>
      <c r="E144" s="21">
        <f>COUNTIF($R$2:R144,R144)</f>
        <v>1</v>
      </c>
      <c r="F144" s="22" t="str" cm="1">
        <f t="array" ref="F144">INDEX(订单明细!BQ:BQ,MATCH(R144&amp;AC144,订单明细!A:A&amp;订单明细!O:O,0))</f>
        <v>Z2378-灰色-M</v>
      </c>
      <c r="G144" s="22" t="str">
        <f>LEFT(F144,FIND("-",F144)-1)</f>
        <v>Z2378</v>
      </c>
      <c r="H144" s="21" cm="1">
        <f t="array" ref="H144">_xlfn.IFS(C144=0,"",I144&gt;0,AD144,AND(I144&lt;0,I144&gt;-30),0,I144&lt;=-30,-1)</f>
        <v>1</v>
      </c>
      <c r="I144" s="21">
        <f>AF144</f>
        <v>179</v>
      </c>
      <c r="J144" s="21">
        <f>AI144+AJ144</f>
        <v>0</v>
      </c>
      <c r="K144" s="21">
        <f>IF(AZ144&lt;=0,AZ144,AZ144/COUNTIFS(R:R,R144,AZ:AZ,"&gt;0"))</f>
        <v>0</v>
      </c>
      <c r="L144" s="21">
        <f>AM144</f>
        <v>-8.95</v>
      </c>
      <c r="M144" s="21">
        <f>AT144</f>
        <v>-1.07</v>
      </c>
      <c r="N144" s="21"/>
      <c r="O144" s="23">
        <f>SUM(I144:N144)</f>
        <v>168.98</v>
      </c>
      <c r="R144" s="32" t="s">
        <v>911</v>
      </c>
      <c r="S144" s="30"/>
      <c r="T144" s="30" t="s">
        <v>925</v>
      </c>
      <c r="U144" s="30" t="s">
        <v>928</v>
      </c>
      <c r="V144" s="30" t="s">
        <v>2052</v>
      </c>
      <c r="W144" s="33" t="s">
        <v>1782</v>
      </c>
      <c r="X144" s="33" t="s">
        <v>1776</v>
      </c>
      <c r="Y144" s="30">
        <v>168.98</v>
      </c>
      <c r="Z144" s="26" t="s">
        <v>1831</v>
      </c>
      <c r="AA144" s="33" t="s">
        <v>1800</v>
      </c>
      <c r="AB144" s="30" t="s">
        <v>919</v>
      </c>
      <c r="AC144" s="32" t="s">
        <v>920</v>
      </c>
      <c r="AD144" s="27">
        <v>1</v>
      </c>
      <c r="AE144" s="30">
        <v>179</v>
      </c>
      <c r="AF144" s="31">
        <v>179</v>
      </c>
      <c r="AG144" s="30" t="s">
        <v>75</v>
      </c>
      <c r="AH144" s="30">
        <v>0</v>
      </c>
      <c r="AI144" s="28">
        <v>0</v>
      </c>
      <c r="AJ144" s="28">
        <v>0</v>
      </c>
      <c r="AK144" s="27">
        <v>0.05</v>
      </c>
      <c r="AL144" s="27">
        <v>0</v>
      </c>
      <c r="AM144" s="28">
        <v>-8.95</v>
      </c>
      <c r="AN144" s="28">
        <v>179</v>
      </c>
      <c r="AO144" s="27">
        <v>179</v>
      </c>
      <c r="AP144" s="27">
        <v>0</v>
      </c>
      <c r="AQ144" s="29" t="s">
        <v>103</v>
      </c>
      <c r="AR144" s="27">
        <v>0</v>
      </c>
      <c r="AS144" s="27">
        <v>0.006</v>
      </c>
      <c r="AT144" s="28">
        <v>-1.07</v>
      </c>
      <c r="AU144" s="30" t="s">
        <v>151</v>
      </c>
      <c r="AV144" s="33" t="s">
        <v>1779</v>
      </c>
      <c r="AW144" s="33" t="s">
        <v>1780</v>
      </c>
      <c r="AX144" s="30"/>
      <c r="AY144" s="30"/>
      <c r="AZ144" s="28">
        <v>0</v>
      </c>
      <c r="BA144" s="27">
        <v>0</v>
      </c>
      <c r="BB144" s="27">
        <v>0</v>
      </c>
      <c r="BC144" s="27">
        <v>0</v>
      </c>
      <c r="BD144" s="27">
        <v>0</v>
      </c>
      <c r="BE144" s="30"/>
    </row>
    <row r="145" customHeight="1" spans="1:57">
      <c r="A145" s="20">
        <f>YEAR(V145)</f>
        <v>2025</v>
      </c>
      <c r="B145" s="21">
        <f>MONTH(V145)</f>
        <v>8</v>
      </c>
      <c r="C145" s="21" t="str">
        <f>R145</f>
        <v>P770811839659457301</v>
      </c>
      <c r="D145" s="21">
        <f>COUNTIF(R:R,R145)</f>
        <v>1</v>
      </c>
      <c r="E145" s="21">
        <f>COUNTIF($R$2:R145,R145)</f>
        <v>1</v>
      </c>
      <c r="F145" s="22" t="str" cm="1">
        <f t="array" ref="F145">INDEX(订单明细!BQ:BQ,MATCH(R145&amp;AC145,订单明细!A:A&amp;订单明细!O:O,0))</f>
        <v>Z2380-藏青色</v>
      </c>
      <c r="G145" s="22" t="str">
        <f>LEFT(F145,FIND("-",F145)-1)</f>
        <v>Z2380</v>
      </c>
      <c r="H145" s="21" cm="1">
        <f t="array" ref="H145">_xlfn.IFS(C145=0,"",I145&gt;0,AD145,AND(I145&lt;0,I145&gt;-30),0,I145&lt;=-30,-1)</f>
        <v>1</v>
      </c>
      <c r="I145" s="21">
        <f>AF145</f>
        <v>199</v>
      </c>
      <c r="J145" s="21">
        <f>AI145+AJ145</f>
        <v>0</v>
      </c>
      <c r="K145" s="21">
        <f>IF(AZ145&lt;=0,AZ145,AZ145/COUNTIFS(R:R,R145,AZ:AZ,"&gt;0"))</f>
        <v>0</v>
      </c>
      <c r="L145" s="21">
        <f>AM145</f>
        <v>-9.95</v>
      </c>
      <c r="M145" s="21">
        <f>AT145</f>
        <v>-1.19</v>
      </c>
      <c r="N145" s="21"/>
      <c r="O145" s="23">
        <f>SUM(I145:N145)</f>
        <v>187.86</v>
      </c>
      <c r="R145" s="32" t="s">
        <v>478</v>
      </c>
      <c r="S145" s="30"/>
      <c r="T145" s="30" t="s">
        <v>488</v>
      </c>
      <c r="U145" s="30" t="s">
        <v>491</v>
      </c>
      <c r="V145" s="30" t="s">
        <v>2053</v>
      </c>
      <c r="W145" s="33" t="s">
        <v>1782</v>
      </c>
      <c r="X145" s="33" t="s">
        <v>1776</v>
      </c>
      <c r="Y145" s="30">
        <v>187.86</v>
      </c>
      <c r="Z145" s="26" t="s">
        <v>1868</v>
      </c>
      <c r="AA145" s="33" t="s">
        <v>1869</v>
      </c>
      <c r="AB145" s="30" t="s">
        <v>369</v>
      </c>
      <c r="AC145" s="32" t="s">
        <v>370</v>
      </c>
      <c r="AD145" s="27">
        <v>1</v>
      </c>
      <c r="AE145" s="30">
        <v>199</v>
      </c>
      <c r="AF145" s="31">
        <v>199</v>
      </c>
      <c r="AG145" s="30" t="s">
        <v>75</v>
      </c>
      <c r="AH145" s="30">
        <v>0</v>
      </c>
      <c r="AI145" s="28">
        <v>0</v>
      </c>
      <c r="AJ145" s="28">
        <v>0</v>
      </c>
      <c r="AK145" s="27">
        <v>0.05</v>
      </c>
      <c r="AL145" s="27">
        <v>0</v>
      </c>
      <c r="AM145" s="28">
        <v>-9.95</v>
      </c>
      <c r="AN145" s="28">
        <v>199</v>
      </c>
      <c r="AO145" s="27">
        <v>199</v>
      </c>
      <c r="AP145" s="27">
        <v>0</v>
      </c>
      <c r="AQ145" s="29" t="s">
        <v>103</v>
      </c>
      <c r="AR145" s="27">
        <v>0</v>
      </c>
      <c r="AS145" s="27">
        <v>0.006</v>
      </c>
      <c r="AT145" s="28">
        <v>-1.19</v>
      </c>
      <c r="AU145" s="30" t="s">
        <v>151</v>
      </c>
      <c r="AV145" s="33" t="s">
        <v>1779</v>
      </c>
      <c r="AW145" s="33" t="s">
        <v>1780</v>
      </c>
      <c r="AX145" s="30"/>
      <c r="AY145" s="30"/>
      <c r="AZ145" s="28">
        <v>0</v>
      </c>
      <c r="BA145" s="27">
        <v>0</v>
      </c>
      <c r="BB145" s="27">
        <v>0</v>
      </c>
      <c r="BC145" s="27">
        <v>0</v>
      </c>
      <c r="BD145" s="27">
        <v>0</v>
      </c>
      <c r="BE145" s="30"/>
    </row>
    <row r="146" customHeight="1" spans="1:57">
      <c r="A146" s="20">
        <f>YEAR(V146)</f>
        <v>2025</v>
      </c>
      <c r="B146" s="21">
        <f>MONTH(V146)</f>
        <v>8</v>
      </c>
      <c r="C146" s="21" t="str">
        <f>R146</f>
        <v>P770794020316255331</v>
      </c>
      <c r="D146" s="21">
        <f>COUNTIF(R:R,R146)</f>
        <v>1</v>
      </c>
      <c r="E146" s="21">
        <f>COUNTIF($R$2:R146,R146)</f>
        <v>1</v>
      </c>
      <c r="F146" s="22" t="str" cm="1">
        <f t="array" ref="F146">INDEX(订单明细!BQ:BQ,MATCH(R146&amp;AC146,订单明细!A:A&amp;订单明细!O:O,0))</f>
        <v>Z2378-花纱色-M</v>
      </c>
      <c r="G146" s="22" t="str">
        <f>LEFT(F146,FIND("-",F146)-1)</f>
        <v>Z2378</v>
      </c>
      <c r="H146" s="21" cm="1">
        <f t="array" ref="H146">_xlfn.IFS(C146=0,"",I146&gt;0,AD146,AND(I146&lt;0,I146&gt;-30),0,I146&lt;=-30,-1)</f>
        <v>1</v>
      </c>
      <c r="I146" s="21">
        <f>AF146</f>
        <v>179</v>
      </c>
      <c r="J146" s="21">
        <f>AI146+AJ146</f>
        <v>0</v>
      </c>
      <c r="K146" s="21">
        <f>IF(AZ146&lt;=0,AZ146,AZ146/COUNTIFS(R:R,R146,AZ:AZ,"&gt;0"))</f>
        <v>0</v>
      </c>
      <c r="L146" s="21">
        <f>AM146</f>
        <v>-8.95</v>
      </c>
      <c r="M146" s="21">
        <f>AT146</f>
        <v>-1.07</v>
      </c>
      <c r="N146" s="21"/>
      <c r="O146" s="23">
        <f>SUM(I146:N146)</f>
        <v>168.98</v>
      </c>
      <c r="R146" s="32" t="s">
        <v>1327</v>
      </c>
      <c r="S146" s="30"/>
      <c r="T146" s="30" t="s">
        <v>1299</v>
      </c>
      <c r="U146" s="30" t="s">
        <v>1277</v>
      </c>
      <c r="V146" s="30" t="s">
        <v>2054</v>
      </c>
      <c r="W146" s="33" t="s">
        <v>1782</v>
      </c>
      <c r="X146" s="33" t="s">
        <v>1776</v>
      </c>
      <c r="Y146" s="30">
        <v>168.98</v>
      </c>
      <c r="Z146" s="26" t="s">
        <v>1826</v>
      </c>
      <c r="AA146" s="33" t="s">
        <v>1800</v>
      </c>
      <c r="AB146" s="30" t="s">
        <v>822</v>
      </c>
      <c r="AC146" s="32" t="s">
        <v>823</v>
      </c>
      <c r="AD146" s="27">
        <v>1</v>
      </c>
      <c r="AE146" s="30">
        <v>179</v>
      </c>
      <c r="AF146" s="31">
        <v>179</v>
      </c>
      <c r="AG146" s="30" t="s">
        <v>75</v>
      </c>
      <c r="AH146" s="30">
        <v>0</v>
      </c>
      <c r="AI146" s="28">
        <v>0</v>
      </c>
      <c r="AJ146" s="28">
        <v>0</v>
      </c>
      <c r="AK146" s="27">
        <v>0.05</v>
      </c>
      <c r="AL146" s="27">
        <v>0</v>
      </c>
      <c r="AM146" s="28">
        <v>-8.95</v>
      </c>
      <c r="AN146" s="28">
        <v>179</v>
      </c>
      <c r="AO146" s="27">
        <v>179</v>
      </c>
      <c r="AP146" s="27">
        <v>0</v>
      </c>
      <c r="AQ146" s="29" t="s">
        <v>103</v>
      </c>
      <c r="AR146" s="27">
        <v>0</v>
      </c>
      <c r="AS146" s="27">
        <v>0.006</v>
      </c>
      <c r="AT146" s="28">
        <v>-1.07</v>
      </c>
      <c r="AU146" s="30" t="s">
        <v>151</v>
      </c>
      <c r="AV146" s="33" t="s">
        <v>1779</v>
      </c>
      <c r="AW146" s="33" t="s">
        <v>1780</v>
      </c>
      <c r="AX146" s="30"/>
      <c r="AY146" s="30"/>
      <c r="AZ146" s="28">
        <v>0</v>
      </c>
      <c r="BA146" s="27">
        <v>0</v>
      </c>
      <c r="BB146" s="27">
        <v>0</v>
      </c>
      <c r="BC146" s="27">
        <v>0</v>
      </c>
      <c r="BD146" s="27">
        <v>0</v>
      </c>
      <c r="BE146" s="30"/>
    </row>
    <row r="147" customHeight="1" spans="1:57">
      <c r="A147" s="20">
        <f>YEAR(V147)</f>
        <v>2025</v>
      </c>
      <c r="B147" s="21">
        <f>MONTH(V147)</f>
        <v>8</v>
      </c>
      <c r="C147" s="21" t="str">
        <f>R147</f>
        <v>P770794019971106161</v>
      </c>
      <c r="D147" s="21">
        <f>COUNTIF(R:R,R147)</f>
        <v>1</v>
      </c>
      <c r="E147" s="21">
        <f>COUNTIF($R$2:R147,R147)</f>
        <v>1</v>
      </c>
      <c r="F147" s="22" t="str" cm="1">
        <f t="array" ref="F147">INDEX(订单明细!BQ:BQ,MATCH(R147&amp;AC147,订单明细!A:A&amp;订单明细!O:O,0))</f>
        <v>Z2378-花纱色-M</v>
      </c>
      <c r="G147" s="22" t="str">
        <f>LEFT(F147,FIND("-",F147)-1)</f>
        <v>Z2378</v>
      </c>
      <c r="H147" s="21" cm="1">
        <f t="array" ref="H147">_xlfn.IFS(C147=0,"",I147&gt;0,AD147,AND(I147&lt;0,I147&gt;-30),0,I147&lt;=-30,-1)</f>
        <v>1</v>
      </c>
      <c r="I147" s="21">
        <f>AF147</f>
        <v>179</v>
      </c>
      <c r="J147" s="21">
        <f>AI147+AJ147</f>
        <v>0</v>
      </c>
      <c r="K147" s="21">
        <f>IF(AZ147&lt;=0,AZ147,AZ147/COUNTIFS(R:R,R147,AZ:AZ,"&gt;0"))</f>
        <v>0</v>
      </c>
      <c r="L147" s="21">
        <f>AM147</f>
        <v>-8.95</v>
      </c>
      <c r="M147" s="21">
        <f>AT147</f>
        <v>-1.07</v>
      </c>
      <c r="N147" s="21"/>
      <c r="O147" s="23">
        <f>SUM(I147:N147)</f>
        <v>168.98</v>
      </c>
      <c r="R147" s="32" t="s">
        <v>1294</v>
      </c>
      <c r="S147" s="30"/>
      <c r="T147" s="30" t="s">
        <v>1299</v>
      </c>
      <c r="U147" s="30" t="s">
        <v>1277</v>
      </c>
      <c r="V147" s="30" t="s">
        <v>2055</v>
      </c>
      <c r="W147" s="33" t="s">
        <v>1782</v>
      </c>
      <c r="X147" s="33" t="s">
        <v>1776</v>
      </c>
      <c r="Y147" s="30">
        <v>168.98</v>
      </c>
      <c r="Z147" s="26" t="s">
        <v>1826</v>
      </c>
      <c r="AA147" s="33" t="s">
        <v>1800</v>
      </c>
      <c r="AB147" s="30" t="s">
        <v>822</v>
      </c>
      <c r="AC147" s="32" t="s">
        <v>823</v>
      </c>
      <c r="AD147" s="27">
        <v>1</v>
      </c>
      <c r="AE147" s="30">
        <v>179</v>
      </c>
      <c r="AF147" s="31">
        <v>179</v>
      </c>
      <c r="AG147" s="30" t="s">
        <v>75</v>
      </c>
      <c r="AH147" s="30">
        <v>0</v>
      </c>
      <c r="AI147" s="28">
        <v>0</v>
      </c>
      <c r="AJ147" s="28">
        <v>0</v>
      </c>
      <c r="AK147" s="27">
        <v>0.05</v>
      </c>
      <c r="AL147" s="27">
        <v>0</v>
      </c>
      <c r="AM147" s="28">
        <v>-8.95</v>
      </c>
      <c r="AN147" s="28">
        <v>179</v>
      </c>
      <c r="AO147" s="27">
        <v>179</v>
      </c>
      <c r="AP147" s="27">
        <v>0</v>
      </c>
      <c r="AQ147" s="29" t="s">
        <v>103</v>
      </c>
      <c r="AR147" s="27">
        <v>0</v>
      </c>
      <c r="AS147" s="27">
        <v>0.006</v>
      </c>
      <c r="AT147" s="28">
        <v>-1.07</v>
      </c>
      <c r="AU147" s="30" t="s">
        <v>151</v>
      </c>
      <c r="AV147" s="33" t="s">
        <v>1779</v>
      </c>
      <c r="AW147" s="33" t="s">
        <v>1780</v>
      </c>
      <c r="AX147" s="30"/>
      <c r="AY147" s="30"/>
      <c r="AZ147" s="28">
        <v>0</v>
      </c>
      <c r="BA147" s="27">
        <v>0</v>
      </c>
      <c r="BB147" s="27">
        <v>0</v>
      </c>
      <c r="BC147" s="27">
        <v>0</v>
      </c>
      <c r="BD147" s="27">
        <v>0</v>
      </c>
      <c r="BE147" s="30"/>
    </row>
    <row r="148" customHeight="1" spans="1:57">
      <c r="A148" s="20">
        <f>YEAR(V148)</f>
        <v>2025</v>
      </c>
      <c r="B148" s="21">
        <f>MONTH(V148)</f>
        <v>8</v>
      </c>
      <c r="C148" s="21" t="str">
        <f>R148</f>
        <v>P770794019497300331</v>
      </c>
      <c r="D148" s="21">
        <f>COUNTIF(R:R,R148)</f>
        <v>1</v>
      </c>
      <c r="E148" s="21">
        <f>COUNTIF($R$2:R148,R148)</f>
        <v>1</v>
      </c>
      <c r="F148" s="22" t="str" cm="1">
        <f t="array" ref="F148">INDEX(订单明细!BQ:BQ,MATCH(R148&amp;AC148,订单明细!A:A&amp;订单明细!O:O,0))</f>
        <v>Z2378-花纱色-M</v>
      </c>
      <c r="G148" s="22" t="str">
        <f>LEFT(F148,FIND("-",F148)-1)</f>
        <v>Z2378</v>
      </c>
      <c r="H148" s="21" cm="1">
        <f t="array" ref="H148">_xlfn.IFS(C148=0,"",I148&gt;0,AD148,AND(I148&lt;0,I148&gt;-30),0,I148&lt;=-30,-1)</f>
        <v>1</v>
      </c>
      <c r="I148" s="21">
        <f>AF148</f>
        <v>179</v>
      </c>
      <c r="J148" s="21">
        <f>AI148+AJ148</f>
        <v>0</v>
      </c>
      <c r="K148" s="21">
        <f>IF(AZ148&lt;=0,AZ148,AZ148/COUNTIFS(R:R,R148,AZ:AZ,"&gt;0"))</f>
        <v>0</v>
      </c>
      <c r="L148" s="21">
        <f>AM148</f>
        <v>-8.95</v>
      </c>
      <c r="M148" s="21">
        <f>AT148</f>
        <v>-1.07</v>
      </c>
      <c r="N148" s="21"/>
      <c r="O148" s="23">
        <f>SUM(I148:N148)</f>
        <v>168.98</v>
      </c>
      <c r="R148" s="32" t="s">
        <v>1378</v>
      </c>
      <c r="S148" s="30"/>
      <c r="T148" s="30" t="s">
        <v>1357</v>
      </c>
      <c r="U148" s="30" t="s">
        <v>1277</v>
      </c>
      <c r="V148" s="30" t="s">
        <v>2056</v>
      </c>
      <c r="W148" s="33" t="s">
        <v>1782</v>
      </c>
      <c r="X148" s="33" t="s">
        <v>1776</v>
      </c>
      <c r="Y148" s="30">
        <v>168.98</v>
      </c>
      <c r="Z148" s="26" t="s">
        <v>1826</v>
      </c>
      <c r="AA148" s="33" t="s">
        <v>1800</v>
      </c>
      <c r="AB148" s="30" t="s">
        <v>822</v>
      </c>
      <c r="AC148" s="32" t="s">
        <v>823</v>
      </c>
      <c r="AD148" s="27">
        <v>1</v>
      </c>
      <c r="AE148" s="30">
        <v>179</v>
      </c>
      <c r="AF148" s="31">
        <v>179</v>
      </c>
      <c r="AG148" s="30" t="s">
        <v>75</v>
      </c>
      <c r="AH148" s="30">
        <v>0</v>
      </c>
      <c r="AI148" s="28">
        <v>0</v>
      </c>
      <c r="AJ148" s="28">
        <v>0</v>
      </c>
      <c r="AK148" s="27">
        <v>0.05</v>
      </c>
      <c r="AL148" s="27">
        <v>0</v>
      </c>
      <c r="AM148" s="28">
        <v>-8.95</v>
      </c>
      <c r="AN148" s="28">
        <v>179</v>
      </c>
      <c r="AO148" s="27">
        <v>179</v>
      </c>
      <c r="AP148" s="27">
        <v>0</v>
      </c>
      <c r="AQ148" s="29" t="s">
        <v>103</v>
      </c>
      <c r="AR148" s="27">
        <v>0</v>
      </c>
      <c r="AS148" s="27">
        <v>0.006</v>
      </c>
      <c r="AT148" s="28">
        <v>-1.07</v>
      </c>
      <c r="AU148" s="30" t="s">
        <v>151</v>
      </c>
      <c r="AV148" s="33" t="s">
        <v>1779</v>
      </c>
      <c r="AW148" s="33" t="s">
        <v>1780</v>
      </c>
      <c r="AX148" s="30"/>
      <c r="AY148" s="30"/>
      <c r="AZ148" s="28">
        <v>0</v>
      </c>
      <c r="BA148" s="27">
        <v>0</v>
      </c>
      <c r="BB148" s="27">
        <v>0</v>
      </c>
      <c r="BC148" s="27">
        <v>0</v>
      </c>
      <c r="BD148" s="27">
        <v>0</v>
      </c>
      <c r="BE148" s="30"/>
    </row>
    <row r="149" customHeight="1" spans="1:57">
      <c r="A149" s="20">
        <f>YEAR(V149)</f>
        <v>2025</v>
      </c>
      <c r="B149" s="21">
        <f>MONTH(V149)</f>
        <v>8</v>
      </c>
      <c r="C149" s="21" t="str">
        <f>R149</f>
        <v>P770800341884471531</v>
      </c>
      <c r="D149" s="21">
        <f>COUNTIF(R:R,R149)</f>
        <v>1</v>
      </c>
      <c r="E149" s="21">
        <f>COUNTIF($R$2:R149,R149)</f>
        <v>1</v>
      </c>
      <c r="F149" s="22" t="str" cm="1">
        <f t="array" ref="F149">INDEX(订单明细!BQ:BQ,MATCH(R149&amp;AC149,订单明细!A:A&amp;订单明细!O:O,0))</f>
        <v>Z2375-黑色-XL</v>
      </c>
      <c r="G149" s="22" t="str">
        <f>LEFT(F149,FIND("-",F149)-1)</f>
        <v>Z2375</v>
      </c>
      <c r="H149" s="21" cm="1">
        <f t="array" ref="H149">_xlfn.IFS(C149=0,"",I149&gt;0,AD149,AND(I149&lt;0,I149&gt;-30),0,I149&lt;=-30,-1)</f>
        <v>1</v>
      </c>
      <c r="I149" s="21">
        <f>AF149</f>
        <v>299</v>
      </c>
      <c r="J149" s="21">
        <f>AI149+AJ149</f>
        <v>0</v>
      </c>
      <c r="K149" s="21">
        <f>IF(AZ149&lt;=0,AZ149,AZ149/COUNTIFS(R:R,R149,AZ:AZ,"&gt;0"))</f>
        <v>0</v>
      </c>
      <c r="L149" s="21">
        <f>AM149</f>
        <v>-14.95</v>
      </c>
      <c r="M149" s="21">
        <f>AT149</f>
        <v>-1.79</v>
      </c>
      <c r="N149" s="21"/>
      <c r="O149" s="23">
        <f>SUM(I149:N149)</f>
        <v>282.26</v>
      </c>
      <c r="R149" s="32" t="s">
        <v>620</v>
      </c>
      <c r="S149" s="30"/>
      <c r="T149" s="30" t="s">
        <v>684</v>
      </c>
      <c r="U149" s="30" t="s">
        <v>637</v>
      </c>
      <c r="V149" s="30" t="s">
        <v>2057</v>
      </c>
      <c r="W149" s="33" t="s">
        <v>1782</v>
      </c>
      <c r="X149" s="33" t="s">
        <v>1776</v>
      </c>
      <c r="Y149" s="30">
        <v>282.26</v>
      </c>
      <c r="Z149" s="26" t="s">
        <v>2058</v>
      </c>
      <c r="AA149" s="33" t="s">
        <v>1791</v>
      </c>
      <c r="AB149" s="30" t="s">
        <v>628</v>
      </c>
      <c r="AC149" s="32" t="s">
        <v>629</v>
      </c>
      <c r="AD149" s="27">
        <v>1</v>
      </c>
      <c r="AE149" s="30">
        <v>299</v>
      </c>
      <c r="AF149" s="31">
        <v>299</v>
      </c>
      <c r="AG149" s="30" t="s">
        <v>75</v>
      </c>
      <c r="AH149" s="30">
        <v>0</v>
      </c>
      <c r="AI149" s="28">
        <v>0</v>
      </c>
      <c r="AJ149" s="28">
        <v>0</v>
      </c>
      <c r="AK149" s="27">
        <v>0.05</v>
      </c>
      <c r="AL149" s="27">
        <v>0</v>
      </c>
      <c r="AM149" s="28">
        <v>-14.95</v>
      </c>
      <c r="AN149" s="28">
        <v>299</v>
      </c>
      <c r="AO149" s="27">
        <v>299</v>
      </c>
      <c r="AP149" s="27">
        <v>0</v>
      </c>
      <c r="AQ149" s="29" t="s">
        <v>103</v>
      </c>
      <c r="AR149" s="27">
        <v>0</v>
      </c>
      <c r="AS149" s="27">
        <v>0.006</v>
      </c>
      <c r="AT149" s="28">
        <v>-1.79</v>
      </c>
      <c r="AU149" s="30" t="s">
        <v>151</v>
      </c>
      <c r="AV149" s="33" t="s">
        <v>1779</v>
      </c>
      <c r="AW149" s="33" t="s">
        <v>1780</v>
      </c>
      <c r="AX149" s="30"/>
      <c r="AY149" s="30"/>
      <c r="AZ149" s="28">
        <v>0</v>
      </c>
      <c r="BA149" s="27">
        <v>0</v>
      </c>
      <c r="BB149" s="27">
        <v>0</v>
      </c>
      <c r="BC149" s="27">
        <v>0</v>
      </c>
      <c r="BD149" s="27">
        <v>0</v>
      </c>
      <c r="BE149" s="30"/>
    </row>
    <row r="150" customHeight="1" spans="1:57">
      <c r="A150" s="20">
        <f>YEAR(V150)</f>
        <v>2025</v>
      </c>
      <c r="B150" s="21">
        <f>MONTH(V150)</f>
        <v>8</v>
      </c>
      <c r="C150" s="21" t="str">
        <f>R150</f>
        <v>P770795092998457951</v>
      </c>
      <c r="D150" s="21">
        <f>COUNTIF(R:R,R150)</f>
        <v>1</v>
      </c>
      <c r="E150" s="21">
        <f>COUNTIF($R$2:R150,R150)</f>
        <v>1</v>
      </c>
      <c r="F150" s="22" t="str" cm="1">
        <f t="array" ref="F150">INDEX(订单明细!BQ:BQ,MATCH(R150&amp;AC150,订单明细!A:A&amp;订单明细!O:O,0))</f>
        <v>Z2363-黑色-M</v>
      </c>
      <c r="G150" s="22" t="str">
        <f>LEFT(F150,FIND("-",F150)-1)</f>
        <v>Z2363</v>
      </c>
      <c r="H150" s="21" cm="1">
        <f t="array" ref="H150">_xlfn.IFS(C150=0,"",I150&gt;0,AD150,AND(I150&lt;0,I150&gt;-30),0,I150&lt;=-30,-1)</f>
        <v>1</v>
      </c>
      <c r="I150" s="21">
        <f>AF150</f>
        <v>359</v>
      </c>
      <c r="J150" s="21">
        <f>AI150+AJ150</f>
        <v>0</v>
      </c>
      <c r="K150" s="21">
        <f>IF(AZ150&lt;=0,AZ150,AZ150/COUNTIFS(R:R,R150,AZ:AZ,"&gt;0"))</f>
        <v>0</v>
      </c>
      <c r="L150" s="21">
        <f>AM150</f>
        <v>-17.95</v>
      </c>
      <c r="M150" s="21">
        <f>AT150</f>
        <v>-2.15</v>
      </c>
      <c r="N150" s="21"/>
      <c r="O150" s="23">
        <f>SUM(I150:N150)</f>
        <v>338.9</v>
      </c>
      <c r="R150" s="32" t="s">
        <v>1017</v>
      </c>
      <c r="S150" s="30"/>
      <c r="T150" s="30" t="s">
        <v>1026</v>
      </c>
      <c r="U150" s="30" t="s">
        <v>1029</v>
      </c>
      <c r="V150" s="30" t="s">
        <v>2059</v>
      </c>
      <c r="W150" s="33" t="s">
        <v>1782</v>
      </c>
      <c r="X150" s="33" t="s">
        <v>1776</v>
      </c>
      <c r="Y150" s="30">
        <v>338.9</v>
      </c>
      <c r="Z150" s="26" t="s">
        <v>1893</v>
      </c>
      <c r="AA150" s="33" t="s">
        <v>1785</v>
      </c>
      <c r="AB150" s="30" t="s">
        <v>982</v>
      </c>
      <c r="AC150" s="32" t="s">
        <v>983</v>
      </c>
      <c r="AD150" s="27">
        <v>1</v>
      </c>
      <c r="AE150" s="30">
        <v>359</v>
      </c>
      <c r="AF150" s="31">
        <v>359</v>
      </c>
      <c r="AG150" s="30" t="s">
        <v>75</v>
      </c>
      <c r="AH150" s="30">
        <v>0</v>
      </c>
      <c r="AI150" s="28">
        <v>0</v>
      </c>
      <c r="AJ150" s="28">
        <v>0</v>
      </c>
      <c r="AK150" s="27">
        <v>0.05</v>
      </c>
      <c r="AL150" s="27">
        <v>0</v>
      </c>
      <c r="AM150" s="28">
        <v>-17.95</v>
      </c>
      <c r="AN150" s="28">
        <v>359</v>
      </c>
      <c r="AO150" s="27">
        <v>359</v>
      </c>
      <c r="AP150" s="27">
        <v>0</v>
      </c>
      <c r="AQ150" s="29" t="s">
        <v>103</v>
      </c>
      <c r="AR150" s="27">
        <v>0</v>
      </c>
      <c r="AS150" s="27">
        <v>0.006</v>
      </c>
      <c r="AT150" s="28">
        <v>-2.15</v>
      </c>
      <c r="AU150" s="30" t="s">
        <v>151</v>
      </c>
      <c r="AV150" s="33" t="s">
        <v>1779</v>
      </c>
      <c r="AW150" s="33" t="s">
        <v>1780</v>
      </c>
      <c r="AX150" s="30"/>
      <c r="AY150" s="30"/>
      <c r="AZ150" s="28">
        <v>0</v>
      </c>
      <c r="BA150" s="27">
        <v>0</v>
      </c>
      <c r="BB150" s="27">
        <v>0</v>
      </c>
      <c r="BC150" s="27">
        <v>0</v>
      </c>
      <c r="BD150" s="27">
        <v>0</v>
      </c>
      <c r="BE150" s="30"/>
    </row>
    <row r="151" customHeight="1" spans="1:57">
      <c r="A151" s="20">
        <f>YEAR(V151)</f>
        <v>2025</v>
      </c>
      <c r="B151" s="21">
        <f>MONTH(V151)</f>
        <v>8</v>
      </c>
      <c r="C151" s="21" t="str">
        <f>R151</f>
        <v>P770637065043122801</v>
      </c>
      <c r="D151" s="21">
        <f>COUNTIF(R:R,R151)</f>
        <v>1</v>
      </c>
      <c r="E151" s="21">
        <f>COUNTIF($R$2:R151,R151)</f>
        <v>1</v>
      </c>
      <c r="F151" s="22" t="str" cm="1">
        <f t="array" ref="F151">INDEX(订单明细!BQ:BQ,MATCH(R151&amp;AC151,订单明细!A:A&amp;订单明细!O:O,0))</f>
        <v>Z1581-白色-M</v>
      </c>
      <c r="G151" s="22" t="str">
        <f>LEFT(F151,FIND("-",F151)-1)</f>
        <v>Z1581</v>
      </c>
      <c r="H151" s="21" cm="1">
        <f t="array" ref="H151">_xlfn.IFS(C151=0,"",I151&gt;0,AD151,AND(I151&lt;0,I151&gt;-30),0,I151&lt;=-30,-1)</f>
        <v>1</v>
      </c>
      <c r="I151" s="21">
        <f>AF151</f>
        <v>289</v>
      </c>
      <c r="J151" s="21">
        <f>AI151+AJ151</f>
        <v>0</v>
      </c>
      <c r="K151" s="21">
        <f>IF(AZ151&lt;=0,AZ151,AZ151/COUNTIFS(R:R,R151,AZ:AZ,"&gt;0"))</f>
        <v>0</v>
      </c>
      <c r="L151" s="21">
        <f>AM151</f>
        <v>-14.45</v>
      </c>
      <c r="M151" s="21">
        <f>AT151</f>
        <v>-1.73</v>
      </c>
      <c r="N151" s="21"/>
      <c r="O151" s="23">
        <f>SUM(I151:N151)</f>
        <v>272.82</v>
      </c>
      <c r="R151" s="32" t="s">
        <v>1485</v>
      </c>
      <c r="S151" s="30"/>
      <c r="T151" s="30" t="s">
        <v>1500</v>
      </c>
      <c r="U151" s="30" t="s">
        <v>1503</v>
      </c>
      <c r="V151" s="30" t="s">
        <v>2060</v>
      </c>
      <c r="W151" s="33" t="s">
        <v>1782</v>
      </c>
      <c r="X151" s="33" t="s">
        <v>1776</v>
      </c>
      <c r="Y151" s="30">
        <v>272.82</v>
      </c>
      <c r="Z151" s="26" t="s">
        <v>2061</v>
      </c>
      <c r="AA151" s="33" t="s">
        <v>1791</v>
      </c>
      <c r="AB151" s="30" t="s">
        <v>1493</v>
      </c>
      <c r="AC151" s="32" t="s">
        <v>1494</v>
      </c>
      <c r="AD151" s="27">
        <v>1</v>
      </c>
      <c r="AE151" s="30">
        <v>289</v>
      </c>
      <c r="AF151" s="31">
        <v>289</v>
      </c>
      <c r="AG151" s="30" t="s">
        <v>75</v>
      </c>
      <c r="AH151" s="30">
        <v>0</v>
      </c>
      <c r="AI151" s="28">
        <v>0</v>
      </c>
      <c r="AJ151" s="28">
        <v>0</v>
      </c>
      <c r="AK151" s="27">
        <v>0.05</v>
      </c>
      <c r="AL151" s="27">
        <v>0</v>
      </c>
      <c r="AM151" s="28">
        <v>-14.45</v>
      </c>
      <c r="AN151" s="28">
        <v>289</v>
      </c>
      <c r="AO151" s="27">
        <v>289</v>
      </c>
      <c r="AP151" s="27">
        <v>0</v>
      </c>
      <c r="AQ151" s="29" t="s">
        <v>103</v>
      </c>
      <c r="AR151" s="27">
        <v>0</v>
      </c>
      <c r="AS151" s="27">
        <v>0.006</v>
      </c>
      <c r="AT151" s="28">
        <v>-1.73</v>
      </c>
      <c r="AU151" s="30" t="s">
        <v>151</v>
      </c>
      <c r="AV151" s="33" t="s">
        <v>1779</v>
      </c>
      <c r="AW151" s="33" t="s">
        <v>1780</v>
      </c>
      <c r="AX151" s="30"/>
      <c r="AY151" s="30"/>
      <c r="AZ151" s="28">
        <v>0</v>
      </c>
      <c r="BA151" s="27">
        <v>0</v>
      </c>
      <c r="BB151" s="27">
        <v>0</v>
      </c>
      <c r="BC151" s="27">
        <v>0</v>
      </c>
      <c r="BD151" s="27">
        <v>0</v>
      </c>
      <c r="BE151" s="30"/>
    </row>
    <row r="152" customHeight="1" spans="1:57">
      <c r="A152" s="20">
        <f>YEAR(V152)</f>
        <v>2025</v>
      </c>
      <c r="B152" s="21">
        <f>MONTH(V152)</f>
        <v>8</v>
      </c>
      <c r="C152" s="21" t="str">
        <f>R152</f>
        <v>P770794022057206671</v>
      </c>
      <c r="D152" s="21">
        <f>COUNTIF(R:R,R152)</f>
        <v>1</v>
      </c>
      <c r="E152" s="21">
        <f>COUNTIF($R$2:R152,R152)</f>
        <v>1</v>
      </c>
      <c r="F152" s="22" t="str" cm="1">
        <f t="array" ref="F152">INDEX(订单明细!BQ:BQ,MATCH(R152&amp;AC152,订单明细!A:A&amp;订单明细!O:O,0))</f>
        <v>Z2378-花纱色-M</v>
      </c>
      <c r="G152" s="22" t="str">
        <f>LEFT(F152,FIND("-",F152)-1)</f>
        <v>Z2378</v>
      </c>
      <c r="H152" s="21" cm="1">
        <f t="array" ref="H152">_xlfn.IFS(C152=0,"",I152&gt;0,AD152,AND(I152&lt;0,I152&gt;-30),0,I152&lt;=-30,-1)</f>
        <v>1</v>
      </c>
      <c r="I152" s="21">
        <f>AF152</f>
        <v>179</v>
      </c>
      <c r="J152" s="21">
        <f>AI152+AJ152</f>
        <v>0</v>
      </c>
      <c r="K152" s="21">
        <f>IF(AZ152&lt;=0,AZ152,AZ152/COUNTIFS(R:R,R152,AZ:AZ,"&gt;0"))</f>
        <v>0</v>
      </c>
      <c r="L152" s="21">
        <f>AM152</f>
        <v>-8.95</v>
      </c>
      <c r="M152" s="21">
        <f>AT152</f>
        <v>-1.07</v>
      </c>
      <c r="N152" s="21"/>
      <c r="O152" s="23">
        <f>SUM(I152:N152)</f>
        <v>168.98</v>
      </c>
      <c r="R152" s="32" t="s">
        <v>1265</v>
      </c>
      <c r="S152" s="30"/>
      <c r="T152" s="30" t="s">
        <v>1274</v>
      </c>
      <c r="U152" s="30" t="s">
        <v>1277</v>
      </c>
      <c r="V152" s="30" t="s">
        <v>2062</v>
      </c>
      <c r="W152" s="33" t="s">
        <v>1782</v>
      </c>
      <c r="X152" s="33" t="s">
        <v>1776</v>
      </c>
      <c r="Y152" s="30">
        <v>168.98</v>
      </c>
      <c r="Z152" s="26" t="s">
        <v>1826</v>
      </c>
      <c r="AA152" s="33" t="s">
        <v>1800</v>
      </c>
      <c r="AB152" s="30" t="s">
        <v>822</v>
      </c>
      <c r="AC152" s="32" t="s">
        <v>823</v>
      </c>
      <c r="AD152" s="27">
        <v>1</v>
      </c>
      <c r="AE152" s="30">
        <v>179</v>
      </c>
      <c r="AF152" s="31">
        <v>179</v>
      </c>
      <c r="AG152" s="30" t="s">
        <v>75</v>
      </c>
      <c r="AH152" s="30">
        <v>0</v>
      </c>
      <c r="AI152" s="28">
        <v>0</v>
      </c>
      <c r="AJ152" s="28">
        <v>0</v>
      </c>
      <c r="AK152" s="27">
        <v>0.05</v>
      </c>
      <c r="AL152" s="27">
        <v>0</v>
      </c>
      <c r="AM152" s="28">
        <v>-8.95</v>
      </c>
      <c r="AN152" s="28">
        <v>179</v>
      </c>
      <c r="AO152" s="27">
        <v>179</v>
      </c>
      <c r="AP152" s="27">
        <v>0</v>
      </c>
      <c r="AQ152" s="29" t="s">
        <v>103</v>
      </c>
      <c r="AR152" s="27">
        <v>0</v>
      </c>
      <c r="AS152" s="27">
        <v>0.006</v>
      </c>
      <c r="AT152" s="28">
        <v>-1.07</v>
      </c>
      <c r="AU152" s="30" t="s">
        <v>151</v>
      </c>
      <c r="AV152" s="33" t="s">
        <v>1779</v>
      </c>
      <c r="AW152" s="33" t="s">
        <v>1780</v>
      </c>
      <c r="AX152" s="30"/>
      <c r="AY152" s="30"/>
      <c r="AZ152" s="28">
        <v>0</v>
      </c>
      <c r="BA152" s="27">
        <v>0</v>
      </c>
      <c r="BB152" s="27">
        <v>0</v>
      </c>
      <c r="BC152" s="27">
        <v>0</v>
      </c>
      <c r="BD152" s="27">
        <v>0</v>
      </c>
      <c r="BE152" s="30"/>
    </row>
  </sheetData>
  <autoFilter xmlns:etc="http://www.wps.cn/officeDocument/2017/etCustomData" ref="A1:BE152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订单明细</vt:lpstr>
      <vt:lpstr>结算明细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</dc:creator>
  <cp:lastModifiedBy>jasonlin</cp:lastModifiedBy>
  <dcterms:created xsi:type="dcterms:W3CDTF">2025-10-24T15:28:00Z</dcterms:created>
  <dcterms:modified xsi:type="dcterms:W3CDTF">2025-10-27T14:27:18Z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27EA8416459A48C0B289F48327E3E255_11</vt:lpwstr>
  </property>
  <property fmtid="{D5CDD505-2E9C-101B-9397-08002B2CF9AE}" pid="3" name="KSOProductBuildVer">
    <vt:lpwstr>2052-12.1.23540.23540</vt:lpwstr>
  </property>
</Properties>
</file>