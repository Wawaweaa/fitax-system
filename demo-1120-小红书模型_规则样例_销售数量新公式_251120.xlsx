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440" tabRatio="812" activeTab="1"/>
  </bookViews>
  <sheets>
    <sheet name="小红书-订单明细" sheetId="2" r:id="rId1"/>
    <sheet name="小红书-结算账单" sheetId="3" r:id="rId2"/>
  </sheets>
  <definedNames>
    <definedName name="_xlnm._FilterDatabase" localSheetId="0" hidden="1">'小红书-订单明细'!$A$1:$BT$8</definedName>
    <definedName name="_xlnm._FilterDatabase" localSheetId="1" hidden="1">'小红书-结算账单'!$A$1:$O$12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lixia</author>
  </authors>
  <commentList>
    <comment ref="V1" authorId="0">
      <text>
        <r>
          <rPr>
            <sz val="9"/>
            <rFont val="方正书宋_GBK"/>
            <charset val="134"/>
          </rPr>
          <t>交易类型=结算入账时，指订单完成时间；交易类型=退款时，指退款完成时间</t>
        </r>
      </text>
    </comment>
    <comment ref="Z1" authorId="0">
      <text>
        <r>
          <rPr>
            <sz val="9"/>
            <color rgb="FF000000"/>
            <rFont val="方正书宋_GBK"/>
            <charset val="134"/>
          </rPr>
          <t xml:space="preserve">销售结算规则：商品实付+平台优惠-商品税金-佣金-分销佣金+运费-运费税金-支付渠道费-花呗分期手续费；
列表中支出项已带负号，故动账金额为每列相加
</t>
        </r>
      </text>
    </comment>
    <comment ref="AG1" authorId="0">
      <text>
        <r>
          <rPr>
            <sz val="9"/>
            <color rgb="FF000000"/>
            <rFont val="宋体"/>
            <scheme val="minor"/>
            <charset val="0"/>
          </rPr>
          <t>交易类型=结算入账时，计佣基数=销售计佣基数=商品实付+平台优惠
交易类型=退款时，计佣基数=退款计佣基数=商品实退+平台优惠回收</t>
        </r>
      </text>
    </comment>
    <comment ref="AN1" authorId="0">
      <text>
        <r>
          <rPr>
            <sz val="9"/>
            <rFont val="方正书宋_GBK"/>
            <charset val="134"/>
          </rPr>
          <t>平台佣金返利，如无则为空</t>
        </r>
      </text>
    </comment>
    <comment ref="AO1" authorId="0">
      <text>
        <r>
          <rPr>
            <sz val="9"/>
            <rFont val="方正书宋_GBK"/>
            <charset val="134"/>
          </rPr>
          <t>(商品实付+平台优惠)*佣金率-返利激励</t>
        </r>
      </text>
    </comment>
    <comment ref="AT1" authorId="0">
      <text>
        <r>
          <rPr>
            <sz val="9"/>
            <rFont val="方正书宋_GBK"/>
            <charset val="134"/>
          </rPr>
          <t>跨境贸易商品需缴纳税金。
跨境税代缴=是，由小红书代缴税金；
跨境税代缴=否，由商家自行缴纳税金。</t>
        </r>
      </text>
    </comment>
    <comment ref="AV1" authorId="0">
      <text>
        <r>
          <rPr>
            <sz val="9"/>
            <rFont val="方正书宋_GBK"/>
            <charset val="134"/>
          </rPr>
          <t>支付给达人的推广佣金，带货金额*卖家CPS佣金率</t>
        </r>
      </text>
    </comment>
    <comment ref="AW1" authorId="0">
      <text>
        <r>
          <rPr>
            <sz val="9"/>
            <rFont val="方正书宋_GBK"/>
            <charset val="134"/>
          </rPr>
          <t>商品对应的推广达人的UID，如无对应达人则为空</t>
        </r>
      </text>
    </comment>
    <comment ref="BD1" authorId="0">
      <text>
        <r>
          <rPr>
            <sz val="9"/>
            <rFont val="方正书宋_GBK"/>
            <charset val="134"/>
          </rPr>
          <t>商品实付渠道费+运费实付渠道费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<sst xmlns="http://schemas.openxmlformats.org/spreadsheetml/2006/main" count="743" uniqueCount="328">
  <si>
    <t>订单号</t>
  </si>
  <si>
    <t>订单状态</t>
  </si>
  <si>
    <t>售后状态</t>
  </si>
  <si>
    <t>订单类型</t>
  </si>
  <si>
    <t>订单标记</t>
  </si>
  <si>
    <t>收件人姓名</t>
  </si>
  <si>
    <t>收件人电话</t>
  </si>
  <si>
    <t>收件人地址</t>
  </si>
  <si>
    <t>省</t>
  </si>
  <si>
    <t>市</t>
  </si>
  <si>
    <t>区</t>
  </si>
  <si>
    <t>区域编码</t>
  </si>
  <si>
    <t>小红书编码</t>
  </si>
  <si>
    <t>条形码</t>
  </si>
  <si>
    <t>规格ID</t>
  </si>
  <si>
    <t>达人ID</t>
  </si>
  <si>
    <t>达人名称</t>
  </si>
  <si>
    <t>SKU名称</t>
  </si>
  <si>
    <t>SKU规格</t>
  </si>
  <si>
    <t>SKU件数</t>
  </si>
  <si>
    <t>是否为赠品</t>
  </si>
  <si>
    <t>发票/Invoice</t>
  </si>
  <si>
    <t>商品总价(元)</t>
  </si>
  <si>
    <t>用户应付金额(元)</t>
  </si>
  <si>
    <t>平台优惠(元)</t>
  </si>
  <si>
    <t>店铺优惠(元)</t>
  </si>
  <si>
    <t>支付渠道优惠(元)</t>
  </si>
  <si>
    <t>SKU商家改价(元)</t>
  </si>
  <si>
    <t>商家应收金额(元)（支付金额）</t>
  </si>
  <si>
    <t>支付方式</t>
  </si>
  <si>
    <t>支付渠道订单号</t>
  </si>
  <si>
    <t>支付期数</t>
  </si>
  <si>
    <t>利息费用</t>
  </si>
  <si>
    <t>手续费承担方</t>
  </si>
  <si>
    <t>支付时间</t>
  </si>
  <si>
    <t>sku净重(kg)</t>
  </si>
  <si>
    <t>包裹总净重(kg)</t>
  </si>
  <si>
    <t>包裹总运费(元)</t>
  </si>
  <si>
    <t>快递公司</t>
  </si>
  <si>
    <t>快递单号</t>
  </si>
  <si>
    <t>大头笔/Paint Marker</t>
  </si>
  <si>
    <t>集包地/Express Extend 1</t>
  </si>
  <si>
    <t>三段码/Express Extend 2</t>
  </si>
  <si>
    <t>订购人身份证姓名/ID Name</t>
  </si>
  <si>
    <t>订购人身份证号/ID Number</t>
  </si>
  <si>
    <t>收件人身份证姓名</t>
  </si>
  <si>
    <t>收件人身份证号</t>
  </si>
  <si>
    <t>订单创建时间</t>
  </si>
  <si>
    <t>预售订单开始发货时间</t>
  </si>
  <si>
    <t>预售订单截止发货时间</t>
  </si>
  <si>
    <t>承诺发货时间</t>
  </si>
  <si>
    <t>订单发货时间</t>
  </si>
  <si>
    <t>订单完成时间</t>
  </si>
  <si>
    <t>发货仓库</t>
  </si>
  <si>
    <t>确认收货类型</t>
  </si>
  <si>
    <t>是否延迟收货</t>
  </si>
  <si>
    <t>用户备注</t>
  </si>
  <si>
    <t>包裹备注标记</t>
  </si>
  <si>
    <t>包裹备注信息</t>
  </si>
  <si>
    <t>异常原因</t>
  </si>
  <si>
    <t>店铺名称</t>
  </si>
  <si>
    <t>用户编号</t>
  </si>
  <si>
    <t>运费模版名称</t>
  </si>
  <si>
    <t>物流方案名称</t>
  </si>
  <si>
    <t>第三方机构订单号</t>
  </si>
  <si>
    <t>国补模式</t>
  </si>
  <si>
    <t>供应商id</t>
  </si>
  <si>
    <t>供应商名称</t>
  </si>
  <si>
    <t>商家编码</t>
  </si>
  <si>
    <t>商品ID</t>
  </si>
  <si>
    <t>商品名称</t>
  </si>
  <si>
    <t>P776450506670185383</t>
  </si>
  <si>
    <t>已完成</t>
  </si>
  <si>
    <t>无售后</t>
  </si>
  <si>
    <t>预售订单</t>
  </si>
  <si>
    <t/>
  </si>
  <si>
    <t>陈*</t>
  </si>
  <si>
    <t>185****9339</t>
  </si>
  <si>
    <t>广东省 深圳市 龙岗区 ***</t>
  </si>
  <si>
    <t>广东省</t>
  </si>
  <si>
    <t>深圳市</t>
  </si>
  <si>
    <t>龙岗区</t>
  </si>
  <si>
    <t>440307017</t>
  </si>
  <si>
    <t>689d98fa3b9d470015b74585</t>
  </si>
  <si>
    <t>XHS-33LDRKIY2HOG</t>
  </si>
  <si>
    <t>689d98fa3b9d470015b74584</t>
  </si>
  <si>
    <t>【老板周】小众休闲 春季单口袋翻领设计感廓形百搭衬衫 黑色 S（80-100斤）</t>
  </si>
  <si>
    <t>黑色 S（80-100斤）</t>
  </si>
  <si>
    <t>银联</t>
  </si>
  <si>
    <t>762510200228279916448</t>
  </si>
  <si>
    <t>2025-10-20 02:29:15</t>
  </si>
  <si>
    <t>0.000</t>
  </si>
  <si>
    <t>0.00</t>
  </si>
  <si>
    <t>中通速递</t>
  </si>
  <si>
    <t>73577344950969</t>
  </si>
  <si>
    <t>2025-10-20 02:28:27</t>
  </si>
  <si>
    <t>2025-11-04 02:29:15</t>
  </si>
  <si>
    <t>2025-10-20 16:00:35</t>
  </si>
  <si>
    <t>2025-10-27 16:00:36</t>
  </si>
  <si>
    <t>第三方平台卖家电子库存</t>
  </si>
  <si>
    <t>系统自动收货</t>
  </si>
  <si>
    <t>否</t>
  </si>
  <si>
    <t>LAO BAN ZHOU的店</t>
  </si>
  <si>
    <t>5a573d4d4eacab4e1f29f9a8</t>
  </si>
  <si>
    <t>公司店运费模版</t>
  </si>
  <si>
    <t xml:space="preserve"> 小红书公司</t>
  </si>
  <si>
    <t>Z1744-黑色-S</t>
  </si>
  <si>
    <t>689d98fa3b9d470015b74583</t>
  </si>
  <si>
    <t>【老板周】小众休闲 春季单口袋翻领设计感廓形百搭衬衫</t>
  </si>
  <si>
    <t>P776413384104295891</t>
  </si>
  <si>
    <t>王*</t>
  </si>
  <si>
    <t>186****2222</t>
  </si>
  <si>
    <t>山东省 青岛市 李沧区 ***</t>
  </si>
  <si>
    <t>山东省</t>
  </si>
  <si>
    <t>青岛市</t>
  </si>
  <si>
    <t>李沧区</t>
  </si>
  <si>
    <t>370213</t>
  </si>
  <si>
    <t>68bc2b917be29900156dcb03</t>
  </si>
  <si>
    <t>XHS-3M8510F0MEPT</t>
  </si>
  <si>
    <t>68bc2b917be29900156dcb02</t>
  </si>
  <si>
    <t>650d6e9f000000001603a6ac</t>
  </si>
  <si>
    <t>老板周.</t>
  </si>
  <si>
    <t>LAO BAN ZHOU 【老板周】百搭经典 定制混纺半高领舒适打底衫 黑色 M（95-110斤）</t>
  </si>
  <si>
    <t>黑色 M（95-110斤）</t>
  </si>
  <si>
    <t>微信</t>
  </si>
  <si>
    <t>4345302459202510196711849700</t>
  </si>
  <si>
    <t>2025-10-19 16:09:48</t>
  </si>
  <si>
    <t>73577367911306</t>
  </si>
  <si>
    <t>2025-10-19 16:09:44</t>
  </si>
  <si>
    <t>2025-11-03 16:09:48</t>
  </si>
  <si>
    <t>2025-10-20 17:58:51</t>
  </si>
  <si>
    <t>2025-10-27 17:58:52</t>
  </si>
  <si>
    <t>5b1ff1b3e8ac2b622a40a237</t>
  </si>
  <si>
    <t>Z119-黑色-M</t>
  </si>
  <si>
    <t>68bc2b917be29900156dcaff</t>
  </si>
  <si>
    <t>【老板周】百搭经典 定制混纺半高领舒适打底衫</t>
  </si>
  <si>
    <t>P776212592782130361</t>
  </si>
  <si>
    <t>已关闭</t>
  </si>
  <si>
    <t>售后完成</t>
  </si>
  <si>
    <t>王**</t>
  </si>
  <si>
    <t>180****5179</t>
  </si>
  <si>
    <t>北京 北京市 西城区 ***</t>
  </si>
  <si>
    <t>北京</t>
  </si>
  <si>
    <t>北京市</t>
  </si>
  <si>
    <t>西城区</t>
  </si>
  <si>
    <t>110102</t>
  </si>
  <si>
    <t>68e90d604290ae0015508d8f</t>
  </si>
  <si>
    <t>XHS-3PLL9MH2YQDC</t>
  </si>
  <si>
    <t>68e90d604290ae0015508d8e</t>
  </si>
  <si>
    <t>LAO BAN ZHOU 【老板周】慵懒松弛 秋冬新品连帽半拉链奶咖针织马甲 深灰色 M（80-100斤）</t>
  </si>
  <si>
    <t>深灰色 M（80-100斤）</t>
  </si>
  <si>
    <t>支付宝</t>
  </si>
  <si>
    <t>2025101722001435471407497525</t>
  </si>
  <si>
    <t>2025-10-17 08:23:24</t>
  </si>
  <si>
    <t>73577405756360</t>
  </si>
  <si>
    <t>2025-10-17 08:23:13</t>
  </si>
  <si>
    <t>2025-11-01 08:23:24</t>
  </si>
  <si>
    <t>2025-10-20 23:14:08</t>
  </si>
  <si>
    <t>灰旗</t>
  </si>
  <si>
    <t>;(收)[Z2561-深灰色-M]*[1]#</t>
  </si>
  <si>
    <t>59a2ec9350c4b42e5cdd8ca8</t>
  </si>
  <si>
    <t>Z2561-深灰色-M</t>
  </si>
  <si>
    <t>68e90d604290ae0015508d8d</t>
  </si>
  <si>
    <t>【老板周】慵懒松弛 秋冬新品连帽半拉链奶咖针织马甲</t>
  </si>
  <si>
    <t>P776035102571191292</t>
  </si>
  <si>
    <t>麦**</t>
  </si>
  <si>
    <t>136****7549</t>
  </si>
  <si>
    <t>上海 上海市 黄浦区 ***</t>
  </si>
  <si>
    <t>上海</t>
  </si>
  <si>
    <t>上海市</t>
  </si>
  <si>
    <t>黄浦区</t>
  </si>
  <si>
    <t>310101002000</t>
  </si>
  <si>
    <t>XHS-3N0YAR11BAPS</t>
  </si>
  <si>
    <t>68c6d0daf9d8290001dcb02d</t>
  </si>
  <si>
    <t>LAO BAN ZHOU 【老板周】极简主义 秋冬立体裁剪弧形设计感休闲私服裤 咖色 M（95-110斤）</t>
  </si>
  <si>
    <t>咖色 M（95-110斤）</t>
  </si>
  <si>
    <t>2025-10-15 07:05:08</t>
  </si>
  <si>
    <t>73577344923853</t>
  </si>
  <si>
    <t>2025-10-15 07:05:02</t>
  </si>
  <si>
    <t>2025-10-30 07:05:08</t>
  </si>
  <si>
    <t>2025-10-20 15:55:30</t>
  </si>
  <si>
    <t>2025-10-27 15:55:30</t>
  </si>
  <si>
    <t>569589dc1c07df4b71df8cf0</t>
  </si>
  <si>
    <t>Z1436-咖色-M</t>
  </si>
  <si>
    <t>68aaf74f581ea20015bf4bc3</t>
  </si>
  <si>
    <t>【老板周】极简主义 秋冬立体裁剪弧形设计感休闲私服裤</t>
  </si>
  <si>
    <t>P775954589917164071</t>
  </si>
  <si>
    <t>悠*</t>
  </si>
  <si>
    <t>183****2650</t>
  </si>
  <si>
    <t>辽宁省 铁岭市 铁岭县 ***</t>
  </si>
  <si>
    <t>辽宁省</t>
  </si>
  <si>
    <t>铁岭市</t>
  </si>
  <si>
    <t>铁岭县</t>
  </si>
  <si>
    <t>211221105</t>
  </si>
  <si>
    <t>68cea8f7f6cbe500156c0154</t>
  </si>
  <si>
    <t>XHS-3NM6LSUL0W75</t>
  </si>
  <si>
    <t>68cea8f7f6cbe500156c0153</t>
  </si>
  <si>
    <t>LAO BAN ZHOU 【老板周】气质优雅 秋冬亲肤有型百搭奶茶圆领针织上衣 奶茶色 M（100-120斤）</t>
  </si>
  <si>
    <t>奶茶色 M（100-120斤）</t>
  </si>
  <si>
    <t>2025101422001431591459480137</t>
  </si>
  <si>
    <t>2025-10-14 08:43:15</t>
  </si>
  <si>
    <t>73577344916376</t>
  </si>
  <si>
    <t>2025-10-14 08:43:10</t>
  </si>
  <si>
    <t>2025-10-29 08:43:15</t>
  </si>
  <si>
    <t>2025-10-20 15:18:42</t>
  </si>
  <si>
    <t>2025-10-27 15:18:42</t>
  </si>
  <si>
    <t>;(收)[Z1326-奶茶色-M]*[1]#</t>
  </si>
  <si>
    <t>63b2bddb0000000026012f42</t>
  </si>
  <si>
    <t>Z1326-奶茶色-M</t>
  </si>
  <si>
    <t>68cea8f7f6cbe500156c0150</t>
  </si>
  <si>
    <t>【老板周】气质优雅 秋冬亲肤有型百搭奶茶圆领针织上衣</t>
  </si>
  <si>
    <t>P775810157576298981</t>
  </si>
  <si>
    <t>谭**</t>
  </si>
  <si>
    <t>135****1587</t>
  </si>
  <si>
    <t>湖南省 株洲市 攸县 ***</t>
  </si>
  <si>
    <t>湖南省</t>
  </si>
  <si>
    <t>株洲市</t>
  </si>
  <si>
    <t>攸县</t>
  </si>
  <si>
    <t>430223001000</t>
  </si>
  <si>
    <t>XHS-3N0YAR1BAW3K</t>
  </si>
  <si>
    <t>68c6d0daf9d8290001dcb033</t>
  </si>
  <si>
    <t>LAO BAN ZHOU 【老板周】极简主义 秋冬立体裁剪弧形设计感休闲私服裤 咖色 XL（125-140斤）</t>
  </si>
  <si>
    <t>咖色 XL（125-140斤）</t>
  </si>
  <si>
    <t>2025101222001453241431496470</t>
  </si>
  <si>
    <t>2025-10-12 16:36:04</t>
  </si>
  <si>
    <t>73576648943793</t>
  </si>
  <si>
    <t>2025-10-12 16:35:57</t>
  </si>
  <si>
    <t>2025-10-27 16:36:04</t>
  </si>
  <si>
    <t>2025-10-15 17:47:17</t>
  </si>
  <si>
    <t>2025-10-22 17:47:18</t>
  </si>
  <si>
    <t>;(收)[Z1436-咖色-L]*[1]#</t>
  </si>
  <si>
    <t>59b6b84e82ec3931c55e004b</t>
  </si>
  <si>
    <t>Z1436-咖色-XL</t>
  </si>
  <si>
    <t>XHS-3N0YAR16B3EO</t>
  </si>
  <si>
    <t>68c6d0daf9d8290001dcb030</t>
  </si>
  <si>
    <t>LAO BAN ZHOU 【老板周】极简主义 秋冬立体裁剪弧形设计感休闲私服裤 咖色 L（110-125斤）</t>
  </si>
  <si>
    <t>咖色 L（110-125斤）</t>
  </si>
  <si>
    <t>Z1436-咖色-L</t>
  </si>
  <si>
    <t>年</t>
  </si>
  <si>
    <t>月</t>
  </si>
  <si>
    <t>订单行数</t>
  </si>
  <si>
    <t>订单序位</t>
  </si>
  <si>
    <t>平台商品编码</t>
  </si>
  <si>
    <t>商品编码</t>
  </si>
  <si>
    <t>销售数量</t>
  </si>
  <si>
    <t>应收客户</t>
  </si>
  <si>
    <t>应收平台</t>
  </si>
  <si>
    <t>收：价外收费</t>
  </si>
  <si>
    <t>扣：平台佣金用</t>
  </si>
  <si>
    <t>扣：分销佣金</t>
  </si>
  <si>
    <t>扣其它费用</t>
  </si>
  <si>
    <t>应到账金额</t>
  </si>
  <si>
    <t>留用</t>
  </si>
  <si>
    <t>校验</t>
  </si>
  <si>
    <t>售后单号</t>
  </si>
  <si>
    <t>下单时间</t>
  </si>
  <si>
    <t>完成时间</t>
  </si>
  <si>
    <t>结算时间</t>
  </si>
  <si>
    <t>交易类型</t>
  </si>
  <si>
    <t>结算账户</t>
  </si>
  <si>
    <t>动账金额</t>
  </si>
  <si>
    <t>类目</t>
  </si>
  <si>
    <r>
      <rPr>
        <b/>
        <sz val="9"/>
        <color theme="1"/>
        <rFont val="Arial"/>
        <charset val="134"/>
      </rPr>
      <t>SKU</t>
    </r>
    <r>
      <rPr>
        <b/>
        <sz val="9"/>
        <color theme="1"/>
        <rFont val="方正书宋_GBK"/>
        <charset val="134"/>
      </rPr>
      <t>条码</t>
    </r>
  </si>
  <si>
    <r>
      <rPr>
        <b/>
        <sz val="9"/>
        <rFont val="宋体"/>
        <charset val="134"/>
      </rPr>
      <t>规格</t>
    </r>
    <r>
      <rPr>
        <b/>
        <sz val="9"/>
        <rFont val="Arial"/>
        <charset val="134"/>
      </rPr>
      <t>ID</t>
    </r>
  </si>
  <si>
    <t>商品数量</t>
  </si>
  <si>
    <t>计佣基数</t>
  </si>
  <si>
    <r>
      <rPr>
        <b/>
        <sz val="9"/>
        <rFont val="宋体"/>
        <charset val="134"/>
      </rPr>
      <t>商品实付</t>
    </r>
    <r>
      <rPr>
        <b/>
        <sz val="9"/>
        <rFont val="Arial"/>
        <charset val="134"/>
      </rPr>
      <t>/</t>
    </r>
    <r>
      <rPr>
        <b/>
        <sz val="9"/>
        <rFont val="宋体"/>
        <charset val="134"/>
      </rPr>
      <t>实退</t>
    </r>
  </si>
  <si>
    <t>优惠类型</t>
  </si>
  <si>
    <t>商家优惠</t>
  </si>
  <si>
    <t>平台优惠补贴</t>
  </si>
  <si>
    <t>平台运费补贴</t>
  </si>
  <si>
    <t>佣金率</t>
  </si>
  <si>
    <t>返利率</t>
  </si>
  <si>
    <t>佣金总额</t>
  </si>
  <si>
    <r>
      <rPr>
        <b/>
        <sz val="9"/>
        <rFont val="方正书宋_GBK"/>
        <charset val="134"/>
      </rPr>
      <t>计税价格</t>
    </r>
    <r>
      <rPr>
        <b/>
        <sz val="9"/>
        <rFont val="Arial"/>
        <charset val="134"/>
      </rPr>
      <t>(</t>
    </r>
    <r>
      <rPr>
        <b/>
        <sz val="9"/>
        <rFont val="方正书宋_GBK"/>
        <charset val="134"/>
      </rPr>
      <t>含税</t>
    </r>
    <r>
      <rPr>
        <b/>
        <sz val="9"/>
        <rFont val="Arial"/>
        <charset val="134"/>
      </rPr>
      <t>)</t>
    </r>
  </si>
  <si>
    <r>
      <rPr>
        <b/>
        <sz val="9"/>
        <rFont val="方正书宋_GBK"/>
        <charset val="134"/>
      </rPr>
      <t>计税价格</t>
    </r>
    <r>
      <rPr>
        <b/>
        <sz val="9"/>
        <rFont val="Arial"/>
        <charset val="134"/>
      </rPr>
      <t>(</t>
    </r>
    <r>
      <rPr>
        <b/>
        <sz val="9"/>
        <rFont val="方正书宋_GBK"/>
        <charset val="134"/>
      </rPr>
      <t>未税</t>
    </r>
    <r>
      <rPr>
        <b/>
        <sz val="9"/>
        <rFont val="Arial"/>
        <charset val="134"/>
      </rPr>
      <t>)</t>
    </r>
  </si>
  <si>
    <t>税率</t>
  </si>
  <si>
    <t>跨境税代缴</t>
  </si>
  <si>
    <t>商品税金</t>
  </si>
  <si>
    <r>
      <rPr>
        <b/>
        <sz val="9"/>
        <rFont val="宋体"/>
        <charset val="134"/>
      </rPr>
      <t>卖家</t>
    </r>
    <r>
      <rPr>
        <b/>
        <sz val="9"/>
        <rFont val="Arial"/>
        <charset val="134"/>
      </rPr>
      <t>CPS</t>
    </r>
    <r>
      <rPr>
        <b/>
        <sz val="9"/>
        <rFont val="宋体"/>
        <charset val="134"/>
      </rPr>
      <t>佣金率</t>
    </r>
  </si>
  <si>
    <t>分销佣金</t>
  </si>
  <si>
    <r>
      <rPr>
        <b/>
        <sz val="9"/>
        <rFont val="Arial"/>
        <charset val="134"/>
      </rPr>
      <t>_x0008__x0008_</t>
    </r>
    <r>
      <rPr>
        <b/>
        <sz val="9"/>
        <rFont val="宋体"/>
        <charset val="134"/>
      </rPr>
      <t>推广</t>
    </r>
    <r>
      <rPr>
        <b/>
        <sz val="9"/>
        <rFont val="Arial"/>
        <charset val="134"/>
      </rPr>
      <t>_x0008_</t>
    </r>
    <r>
      <rPr>
        <b/>
        <sz val="9"/>
        <rFont val="宋体"/>
        <charset val="134"/>
      </rPr>
      <t>达人</t>
    </r>
    <r>
      <rPr>
        <b/>
        <sz val="9"/>
        <rFont val="Arial"/>
        <charset val="134"/>
      </rPr>
      <t>ID</t>
    </r>
  </si>
  <si>
    <t>达人昵称</t>
  </si>
  <si>
    <t>带货类型</t>
  </si>
  <si>
    <t>代运营服务商佣金</t>
  </si>
  <si>
    <t>代开发服务商佣金</t>
  </si>
  <si>
    <t>运费</t>
  </si>
  <si>
    <t>运费税金</t>
  </si>
  <si>
    <t>支付渠道费</t>
  </si>
  <si>
    <t>花呗分期手续费</t>
  </si>
  <si>
    <t>国补订单毛保金额</t>
  </si>
  <si>
    <t>备注</t>
  </si>
  <si>
    <t>R7629898138099819</t>
  </si>
  <si>
    <t>2025-10-21 17:34:49</t>
  </si>
  <si>
    <t>2025-10-31 18:57:25</t>
  </si>
  <si>
    <t>退款</t>
  </si>
  <si>
    <t>店铺余额</t>
  </si>
  <si>
    <t>【老板周】极简主义 秋冬 · 【老板周】极简主义 秋冬立体裁剪弧形设计感休闲私服裤 咖色 L（110-125斤）</t>
  </si>
  <si>
    <t>女装/女士精品&gt;裤子&gt;休闲裤</t>
  </si>
  <si>
    <t>2025-10-27 17:47:18</t>
  </si>
  <si>
    <t>结算入账</t>
  </si>
  <si>
    <t>1年1度狂欢礼券,参与计税;</t>
  </si>
  <si>
    <t>0.0500</t>
  </si>
  <si>
    <t>0.0000</t>
  </si>
  <si>
    <t>【老板周】极简主义 秋冬 · 【老板周】极简主义 秋冬立体裁剪弧形设计感休闲私服裤 咖色 XL（125-140斤）</t>
  </si>
  <si>
    <t>2025-10-31 18:32:16</t>
  </si>
  <si>
    <t>【老板周】百搭经典 定制 · 【老板周】百搭经典 定制混纺半高领舒适打底衫 黑色 M（95-110斤）</t>
  </si>
  <si>
    <t>女装/女士精品&gt;毛针织衫</t>
  </si>
  <si>
    <t>达人带货</t>
  </si>
  <si>
    <t>R8213036198852621</t>
  </si>
  <si>
    <t>2025-10-17 08:23:12</t>
  </si>
  <si>
    <t>2025-10-25 09:30:12</t>
  </si>
  <si>
    <t>2025-10-31 18:25:11</t>
  </si>
  <si>
    <t>【老板周】慵懒松弛 秋冬 · 【老板周】慵懒松弛 秋冬新品连帽半拉链奶咖针织马甲 深灰色 M（80-100斤）</t>
  </si>
  <si>
    <t>女装/女士精品&gt;马夹</t>
  </si>
  <si>
    <t>2025-10-27 17:49:59</t>
  </si>
  <si>
    <t>2025-10-20 02:28:26</t>
  </si>
  <si>
    <t>2025-10-31 17:59:32</t>
  </si>
  <si>
    <t>【老板周】小众休闲 春季 · 【老板周】小众休闲 春季单口袋翻领设计感廓形百搭衬衫 黑色 S（80-100斤）</t>
  </si>
  <si>
    <t>女装/女士精品&gt;衬衫</t>
  </si>
  <si>
    <t>2025-10-31 17:50:14</t>
  </si>
  <si>
    <t>【老板周】极简主义 秋冬 · 【老板周】极简主义 秋冬立体裁剪弧形设计感休闲私服裤 咖色 M（95-110斤）</t>
  </si>
  <si>
    <t>R1716407110088374</t>
  </si>
  <si>
    <t>2025-10-14 08:43:09</t>
  </si>
  <si>
    <t>2025-10-24 10:57:10</t>
  </si>
  <si>
    <t>2025-10-31 17:24:05</t>
  </si>
  <si>
    <t>【老板周】气质优雅 秋冬 · 【老板周】气质优雅 秋冬亲肤有型百搭奶茶圆领针织上衣 奶茶色 M（100-120斤）</t>
  </si>
  <si>
    <t>2025-10-27 16:41:15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</si>
</sst>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0.0%"/>
  </numFmts>
  <fonts count="37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b/>
      <sz val="9"/>
      <color theme="0"/>
      <name val="Microsoft YaHei"/>
      <charset val="134"/>
    </font>
    <font>
      <b/>
      <sz val="9"/>
      <color rgb="FFFF0000"/>
      <name val="Microsoft YaHei"/>
      <charset val="134"/>
    </font>
    <font>
      <sz val="9"/>
      <color theme="1"/>
      <name val="宋体"/>
      <charset val="134"/>
    </font>
    <font>
      <b/>
      <sz val="9"/>
      <name val="宋体"/>
      <charset val="134"/>
    </font>
    <font>
      <b/>
      <sz val="9"/>
      <name val="方正书宋_GBK"/>
      <charset val="134"/>
    </font>
    <font>
      <b/>
      <sz val="9"/>
      <name val="宋体-简"/>
      <charset val="134"/>
    </font>
    <font>
      <b/>
      <sz val="9"/>
      <color theme="1"/>
      <name val="Arial"/>
      <charset val="134"/>
    </font>
    <font>
      <b/>
      <sz val="9"/>
      <name val="Microsoft YaHei"/>
      <charset val="134"/>
    </font>
    <font>
      <b/>
      <sz val="9"/>
      <name val="Arial"/>
      <charset val="134"/>
    </font>
    <font>
      <b/>
      <sz val="9"/>
      <color theme="1"/>
      <name val="宋体"/>
      <charset val="134"/>
    </font>
    <font>
      <sz val="11"/>
      <color indexed="8"/>
      <name val="宋体"/>
      <charset val="134"/>
      <scheme val="minor"/>
    </font>
    <font>
      <sz val="1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theme="1"/>
      <name val="方正书宋_GBK"/>
      <charset val="134"/>
    </font>
    <font>
      <sz val="9"/>
      <color rgb="FF000000"/>
      <name val="宋体"/>
      <charset val="0"/>
      <scheme val="minor"/>
    </font>
    <font>
      <sz val="9"/>
      <color rgb="FF000000"/>
      <name val="方正书宋_GBK"/>
      <charset val="134"/>
    </font>
    <font>
      <sz val="9"/>
      <name val="方正书宋_GBK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7" tint="0.8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9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0" borderId="11" applyNumberFormat="0" applyAlignment="0" applyProtection="0">
      <alignment vertical="center"/>
    </xf>
    <xf numFmtId="0" fontId="23" fillId="11" borderId="12" applyNumberFormat="0" applyAlignment="0" applyProtection="0">
      <alignment vertical="center"/>
    </xf>
    <xf numFmtId="0" fontId="24" fillId="11" borderId="11" applyNumberFormat="0" applyAlignment="0" applyProtection="0">
      <alignment vertical="center"/>
    </xf>
    <xf numFmtId="0" fontId="25" fillId="12" borderId="13" applyNumberFormat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>
      <alignment vertical="center"/>
    </xf>
    <xf numFmtId="0" fontId="1" fillId="0" borderId="0" xfId="0" applyFont="1" applyFill="1">
      <alignment vertical="center"/>
    </xf>
    <xf numFmtId="177" fontId="1" fillId="0" borderId="0" xfId="3" applyNumberFormat="1" applyFont="1" applyFill="1" applyAlignment="1">
      <alignment horizontal="center"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43" fontId="1" fillId="2" borderId="0" xfId="0" applyNumberFormat="1" applyFont="1" applyFill="1">
      <alignment vertical="center"/>
    </xf>
    <xf numFmtId="0" fontId="1" fillId="4" borderId="0" xfId="0" applyFont="1" applyFill="1">
      <alignment vertical="center"/>
    </xf>
    <xf numFmtId="0" fontId="2" fillId="5" borderId="1" xfId="0" applyNumberFormat="1" applyFont="1" applyFill="1" applyBorder="1" applyAlignment="1">
      <alignment horizontal="center" vertical="center" wrapText="1"/>
    </xf>
    <xf numFmtId="0" fontId="2" fillId="5" borderId="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5" borderId="3" xfId="0" applyNumberFormat="1" applyFont="1" applyFill="1" applyBorder="1" applyAlignment="1">
      <alignment horizontal="center" vertical="center" wrapText="1"/>
    </xf>
    <xf numFmtId="177" fontId="4" fillId="0" borderId="0" xfId="3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43" fontId="5" fillId="2" borderId="0" xfId="0" applyNumberFormat="1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1" fillId="6" borderId="4" xfId="0" applyNumberFormat="1" applyFont="1" applyFill="1" applyBorder="1" applyAlignment="1">
      <alignment horizontal="center" vertical="center" wrapText="1"/>
    </xf>
    <xf numFmtId="0" fontId="1" fillId="6" borderId="5" xfId="0" applyNumberFormat="1" applyFont="1" applyFill="1" applyBorder="1" applyAlignment="1">
      <alignment horizontal="center" vertical="center" wrapText="1"/>
    </xf>
    <xf numFmtId="0" fontId="4" fillId="6" borderId="5" xfId="0" applyNumberFormat="1" applyFont="1" applyFill="1" applyBorder="1" applyAlignment="1">
      <alignment horizontal="center" vertical="center" wrapText="1"/>
    </xf>
    <xf numFmtId="0" fontId="1" fillId="6" borderId="6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>
      <alignment vertical="center"/>
    </xf>
    <xf numFmtId="176" fontId="1" fillId="0" borderId="0" xfId="3" applyNumberFormat="1" applyFont="1" applyFill="1" applyAlignment="1">
      <alignment horizontal="center" vertical="center"/>
    </xf>
    <xf numFmtId="176" fontId="1" fillId="2" borderId="0" xfId="0" applyNumberFormat="1" applyFont="1" applyFill="1">
      <alignment vertical="center"/>
    </xf>
    <xf numFmtId="176" fontId="1" fillId="3" borderId="0" xfId="0" applyNumberFormat="1" applyFont="1" applyFill="1">
      <alignment vertical="center"/>
    </xf>
    <xf numFmtId="176" fontId="1" fillId="4" borderId="0" xfId="0" applyNumberFormat="1" applyFont="1" applyFill="1">
      <alignment vertical="center"/>
    </xf>
    <xf numFmtId="0" fontId="0" fillId="0" borderId="0" xfId="0" applyAlignment="1">
      <alignment vertical="center" wrapText="1"/>
    </xf>
    <xf numFmtId="0" fontId="12" fillId="2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43" fontId="12" fillId="2" borderId="0" xfId="0" applyNumberFormat="1" applyFont="1" applyFill="1" applyAlignment="1">
      <alignment vertical="center"/>
    </xf>
    <xf numFmtId="0" fontId="12" fillId="7" borderId="0" xfId="0" applyFont="1" applyFill="1" applyAlignment="1">
      <alignment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43" fontId="13" fillId="2" borderId="7" xfId="0" applyNumberFormat="1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12" fillId="2" borderId="0" xfId="0" applyNumberFormat="1" applyFont="1" applyFill="1" applyAlignment="1">
      <alignment vertical="center"/>
    </xf>
    <xf numFmtId="0" fontId="12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BT8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B8" sqref="B8"/>
    </sheetView>
  </sheetViews>
  <sheetFormatPr defaultColWidth="8.84615384615385" defaultRowHeight="16.8" outlineLevelRow="7"/>
  <cols>
    <col min="1" max="2" width="22.9519230769231" style="38" customWidth="1"/>
    <col min="3" max="3" width="10.7884615384615" style="39" customWidth="1"/>
    <col min="4" max="13" width="16" style="39"/>
    <col min="14" max="14" width="27.4230769230769" style="39" customWidth="1"/>
    <col min="15" max="15" width="27.1538461538462" style="39" customWidth="1"/>
    <col min="16" max="16" width="27.4230769230769" style="38" customWidth="1"/>
    <col min="17" max="18" width="16" style="39"/>
    <col min="19" max="19" width="48.8461538461538" style="39" customWidth="1"/>
    <col min="20" max="20" width="46.5769230769231" style="39" customWidth="1"/>
    <col min="21" max="21" width="16" style="38"/>
    <col min="22" max="24" width="16" style="39"/>
    <col min="25" max="25" width="16" style="40"/>
    <col min="26" max="26" width="16" style="38"/>
    <col min="27" max="31" width="16" style="39"/>
    <col min="32" max="32" width="34.6538461538462" style="39" customWidth="1"/>
    <col min="33" max="33" width="16" style="39"/>
    <col min="34" max="34" width="10.875" style="39" customWidth="1"/>
    <col min="35" max="38" width="16" style="39"/>
    <col min="39" max="39" width="16" style="38"/>
    <col min="40" max="48" width="16" style="39"/>
    <col min="49" max="49" width="19.5384615384615" style="39" customWidth="1"/>
    <col min="50" max="51" width="16" style="39"/>
    <col min="52" max="52" width="21.7884615384615" style="39" customWidth="1"/>
    <col min="53" max="53" width="16" style="39"/>
    <col min="54" max="54" width="21.7884615384615" style="39" customWidth="1"/>
    <col min="55" max="69" width="16" style="39"/>
    <col min="70" max="70" width="16" style="38"/>
    <col min="71" max="71" width="26.9038461538462" style="39" customWidth="1"/>
    <col min="72" max="72" width="63.0480769230769" style="41" customWidth="1"/>
  </cols>
  <sheetData>
    <row r="1" s="37" customFormat="1" ht="58" spans="1:72">
      <c r="A1" s="42" t="s">
        <v>0</v>
      </c>
      <c r="B1" s="42">
        <v>1</v>
      </c>
      <c r="C1" s="43" t="s">
        <v>1</v>
      </c>
      <c r="D1" s="43" t="s">
        <v>2</v>
      </c>
      <c r="E1" s="43" t="s">
        <v>3</v>
      </c>
      <c r="F1" s="43" t="s">
        <v>4</v>
      </c>
      <c r="G1" s="43" t="s">
        <v>5</v>
      </c>
      <c r="H1" s="43" t="s">
        <v>6</v>
      </c>
      <c r="I1" s="43" t="s">
        <v>7</v>
      </c>
      <c r="J1" s="43" t="s">
        <v>8</v>
      </c>
      <c r="K1" s="43" t="s">
        <v>9</v>
      </c>
      <c r="L1" s="43" t="s">
        <v>10</v>
      </c>
      <c r="M1" s="43" t="s">
        <v>11</v>
      </c>
      <c r="N1" s="43" t="s">
        <v>12</v>
      </c>
      <c r="O1" s="44" t="s">
        <v>13</v>
      </c>
      <c r="P1" s="42" t="s">
        <v>14</v>
      </c>
      <c r="Q1" s="43" t="s">
        <v>15</v>
      </c>
      <c r="R1" s="43" t="s">
        <v>16</v>
      </c>
      <c r="S1" s="43" t="s">
        <v>17</v>
      </c>
      <c r="T1" s="43" t="s">
        <v>18</v>
      </c>
      <c r="U1" s="42" t="s">
        <v>19</v>
      </c>
      <c r="V1" s="43" t="s">
        <v>20</v>
      </c>
      <c r="W1" s="43" t="s">
        <v>21</v>
      </c>
      <c r="X1" s="43" t="s">
        <v>22</v>
      </c>
      <c r="Y1" s="45" t="s">
        <v>23</v>
      </c>
      <c r="Z1" s="42" t="s">
        <v>24</v>
      </c>
      <c r="AA1" s="43" t="s">
        <v>25</v>
      </c>
      <c r="AB1" s="43" t="s">
        <v>26</v>
      </c>
      <c r="AC1" s="43" t="s">
        <v>27</v>
      </c>
      <c r="AD1" s="43" t="s">
        <v>28</v>
      </c>
      <c r="AE1" s="43" t="s">
        <v>29</v>
      </c>
      <c r="AF1" s="43" t="s">
        <v>30</v>
      </c>
      <c r="AG1" s="43" t="s">
        <v>31</v>
      </c>
      <c r="AH1" s="43" t="s">
        <v>32</v>
      </c>
      <c r="AI1" s="43" t="s">
        <v>33</v>
      </c>
      <c r="AJ1" s="43" t="s">
        <v>34</v>
      </c>
      <c r="AK1" s="43" t="s">
        <v>35</v>
      </c>
      <c r="AL1" s="43" t="s">
        <v>36</v>
      </c>
      <c r="AM1" s="42" t="s">
        <v>37</v>
      </c>
      <c r="AN1" s="43" t="s">
        <v>38</v>
      </c>
      <c r="AO1" s="43" t="s">
        <v>39</v>
      </c>
      <c r="AP1" s="43" t="s">
        <v>40</v>
      </c>
      <c r="AQ1" s="43" t="s">
        <v>41</v>
      </c>
      <c r="AR1" s="43" t="s">
        <v>42</v>
      </c>
      <c r="AS1" s="43" t="s">
        <v>43</v>
      </c>
      <c r="AT1" s="43" t="s">
        <v>44</v>
      </c>
      <c r="AU1" s="43" t="s">
        <v>45</v>
      </c>
      <c r="AV1" s="43" t="s">
        <v>46</v>
      </c>
      <c r="AW1" s="43" t="s">
        <v>47</v>
      </c>
      <c r="AX1" s="43" t="s">
        <v>48</v>
      </c>
      <c r="AY1" s="43" t="s">
        <v>49</v>
      </c>
      <c r="AZ1" s="43" t="s">
        <v>50</v>
      </c>
      <c r="BA1" s="43" t="s">
        <v>51</v>
      </c>
      <c r="BB1" s="43" t="s">
        <v>52</v>
      </c>
      <c r="BC1" s="43" t="s">
        <v>53</v>
      </c>
      <c r="BD1" s="43" t="s">
        <v>54</v>
      </c>
      <c r="BE1" s="43" t="s">
        <v>55</v>
      </c>
      <c r="BF1" s="43" t="s">
        <v>56</v>
      </c>
      <c r="BG1" s="43" t="s">
        <v>57</v>
      </c>
      <c r="BH1" s="43" t="s">
        <v>58</v>
      </c>
      <c r="BI1" s="43" t="s">
        <v>59</v>
      </c>
      <c r="BJ1" s="43" t="s">
        <v>60</v>
      </c>
      <c r="BK1" s="43" t="s">
        <v>61</v>
      </c>
      <c r="BL1" s="43" t="s">
        <v>62</v>
      </c>
      <c r="BM1" s="43" t="s">
        <v>63</v>
      </c>
      <c r="BN1" s="43" t="s">
        <v>64</v>
      </c>
      <c r="BO1" s="43" t="s">
        <v>65</v>
      </c>
      <c r="BP1" s="43" t="s">
        <v>66</v>
      </c>
      <c r="BQ1" s="43" t="s">
        <v>67</v>
      </c>
      <c r="BR1" s="42" t="s">
        <v>68</v>
      </c>
      <c r="BS1" s="43" t="s">
        <v>69</v>
      </c>
      <c r="BT1" s="46" t="s">
        <v>70</v>
      </c>
    </row>
    <row r="2" spans="1:72">
      <c r="A2" s="38" t="s">
        <v>71</v>
      </c>
      <c r="B2" s="38" t="str">
        <f>_xlfn.XLOOKUP(A2,'小红书-结算账单'!R:R,'小红书-结算账单'!R:R)</f>
        <v>P776450506670185383</v>
      </c>
      <c r="C2" s="39" t="s">
        <v>72</v>
      </c>
      <c r="D2" s="39" t="s">
        <v>73</v>
      </c>
      <c r="E2" s="39" t="s">
        <v>74</v>
      </c>
      <c r="F2" s="39" t="s">
        <v>75</v>
      </c>
      <c r="G2" s="39" t="s">
        <v>76</v>
      </c>
      <c r="H2" s="39" t="s">
        <v>77</v>
      </c>
      <c r="I2" s="39" t="s">
        <v>78</v>
      </c>
      <c r="J2" s="39" t="s">
        <v>79</v>
      </c>
      <c r="K2" s="39" t="s">
        <v>80</v>
      </c>
      <c r="L2" s="39" t="s">
        <v>81</v>
      </c>
      <c r="M2" s="39" t="s">
        <v>82</v>
      </c>
      <c r="N2" s="39" t="s">
        <v>83</v>
      </c>
      <c r="O2" s="39" t="s">
        <v>84</v>
      </c>
      <c r="P2" s="38" t="s">
        <v>85</v>
      </c>
      <c r="Q2" s="39" t="s">
        <v>75</v>
      </c>
      <c r="R2" s="39" t="s">
        <v>75</v>
      </c>
      <c r="S2" s="39" t="s">
        <v>86</v>
      </c>
      <c r="T2" s="39" t="s">
        <v>87</v>
      </c>
      <c r="U2" s="47">
        <v>1</v>
      </c>
      <c r="V2" s="39" t="s">
        <v>75</v>
      </c>
      <c r="W2" s="39" t="s">
        <v>75</v>
      </c>
      <c r="X2" s="48">
        <v>289</v>
      </c>
      <c r="Y2" s="47">
        <v>254.47</v>
      </c>
      <c r="Z2" s="47">
        <v>34.53</v>
      </c>
      <c r="AA2" s="48">
        <v>0</v>
      </c>
      <c r="AB2" s="39" t="s">
        <v>75</v>
      </c>
      <c r="AC2" s="48">
        <v>0</v>
      </c>
      <c r="AD2" s="48">
        <v>289</v>
      </c>
      <c r="AE2" s="39" t="s">
        <v>88</v>
      </c>
      <c r="AF2" s="39" t="s">
        <v>89</v>
      </c>
      <c r="AG2" s="39" t="s">
        <v>75</v>
      </c>
      <c r="AH2" s="39" t="s">
        <v>75</v>
      </c>
      <c r="AI2" s="39" t="s">
        <v>75</v>
      </c>
      <c r="AJ2" s="39" t="s">
        <v>90</v>
      </c>
      <c r="AK2" s="39" t="s">
        <v>75</v>
      </c>
      <c r="AL2" s="39" t="s">
        <v>91</v>
      </c>
      <c r="AM2" s="38" t="s">
        <v>92</v>
      </c>
      <c r="AN2" s="39" t="s">
        <v>93</v>
      </c>
      <c r="AO2" s="39" t="s">
        <v>94</v>
      </c>
      <c r="AP2" s="39" t="s">
        <v>75</v>
      </c>
      <c r="AQ2" s="39" t="s">
        <v>75</v>
      </c>
      <c r="AR2" s="39" t="s">
        <v>75</v>
      </c>
      <c r="AS2" s="39" t="s">
        <v>75</v>
      </c>
      <c r="AT2" s="39" t="s">
        <v>75</v>
      </c>
      <c r="AU2" s="39" t="s">
        <v>75</v>
      </c>
      <c r="AV2" s="39" t="s">
        <v>75</v>
      </c>
      <c r="AW2" s="39" t="s">
        <v>95</v>
      </c>
      <c r="AX2" s="39" t="s">
        <v>75</v>
      </c>
      <c r="AY2" s="39" t="s">
        <v>75</v>
      </c>
      <c r="AZ2" s="39" t="s">
        <v>96</v>
      </c>
      <c r="BA2" s="39" t="s">
        <v>97</v>
      </c>
      <c r="BB2" s="39" t="s">
        <v>98</v>
      </c>
      <c r="BC2" s="39" t="s">
        <v>99</v>
      </c>
      <c r="BD2" s="39" t="s">
        <v>100</v>
      </c>
      <c r="BE2" s="39" t="s">
        <v>101</v>
      </c>
      <c r="BF2" s="39" t="s">
        <v>75</v>
      </c>
      <c r="BG2" s="39" t="s">
        <v>75</v>
      </c>
      <c r="BH2" s="39" t="s">
        <v>75</v>
      </c>
      <c r="BI2" s="39" t="s">
        <v>75</v>
      </c>
      <c r="BJ2" s="39" t="s">
        <v>102</v>
      </c>
      <c r="BK2" s="39" t="s">
        <v>103</v>
      </c>
      <c r="BL2" s="39" t="s">
        <v>104</v>
      </c>
      <c r="BM2" s="39" t="s">
        <v>105</v>
      </c>
      <c r="BN2" s="39" t="s">
        <v>75</v>
      </c>
      <c r="BO2" s="39" t="s">
        <v>75</v>
      </c>
      <c r="BP2" s="39" t="s">
        <v>75</v>
      </c>
      <c r="BQ2" s="39" t="s">
        <v>75</v>
      </c>
      <c r="BR2" s="38" t="s">
        <v>106</v>
      </c>
      <c r="BS2" s="39" t="s">
        <v>107</v>
      </c>
      <c r="BT2" s="41" t="s">
        <v>108</v>
      </c>
    </row>
    <row r="3" spans="1:72">
      <c r="A3" s="38" t="s">
        <v>109</v>
      </c>
      <c r="B3" s="38" t="str">
        <f>_xlfn.XLOOKUP(A3,'小红书-结算账单'!R:R,'小红书-结算账单'!R:R)</f>
        <v>P776413384104295891</v>
      </c>
      <c r="C3" s="39" t="s">
        <v>72</v>
      </c>
      <c r="D3" s="39" t="s">
        <v>73</v>
      </c>
      <c r="E3" s="39" t="s">
        <v>74</v>
      </c>
      <c r="F3" s="39" t="s">
        <v>75</v>
      </c>
      <c r="G3" s="39" t="s">
        <v>110</v>
      </c>
      <c r="H3" s="39" t="s">
        <v>111</v>
      </c>
      <c r="I3" s="39" t="s">
        <v>112</v>
      </c>
      <c r="J3" s="39" t="s">
        <v>113</v>
      </c>
      <c r="K3" s="39" t="s">
        <v>114</v>
      </c>
      <c r="L3" s="39" t="s">
        <v>115</v>
      </c>
      <c r="M3" s="39" t="s">
        <v>116</v>
      </c>
      <c r="N3" s="39" t="s">
        <v>117</v>
      </c>
      <c r="O3" s="39" t="s">
        <v>118</v>
      </c>
      <c r="P3" s="38" t="s">
        <v>119</v>
      </c>
      <c r="Q3" s="39" t="s">
        <v>120</v>
      </c>
      <c r="R3" s="39" t="s">
        <v>121</v>
      </c>
      <c r="S3" s="39" t="s">
        <v>122</v>
      </c>
      <c r="T3" s="39" t="s">
        <v>123</v>
      </c>
      <c r="U3" s="47">
        <v>1</v>
      </c>
      <c r="V3" s="39" t="s">
        <v>75</v>
      </c>
      <c r="W3" s="39" t="s">
        <v>75</v>
      </c>
      <c r="X3" s="48">
        <v>180</v>
      </c>
      <c r="Y3" s="47">
        <v>180</v>
      </c>
      <c r="Z3" s="47">
        <v>0</v>
      </c>
      <c r="AA3" s="48">
        <v>0</v>
      </c>
      <c r="AB3" s="39" t="s">
        <v>75</v>
      </c>
      <c r="AC3" s="48">
        <v>0</v>
      </c>
      <c r="AD3" s="48">
        <v>180</v>
      </c>
      <c r="AE3" s="39" t="s">
        <v>124</v>
      </c>
      <c r="AF3" s="39" t="s">
        <v>125</v>
      </c>
      <c r="AG3" s="39" t="s">
        <v>75</v>
      </c>
      <c r="AH3" s="39" t="s">
        <v>75</v>
      </c>
      <c r="AI3" s="39" t="s">
        <v>75</v>
      </c>
      <c r="AJ3" s="39" t="s">
        <v>126</v>
      </c>
      <c r="AK3" s="39" t="s">
        <v>75</v>
      </c>
      <c r="AL3" s="39" t="s">
        <v>91</v>
      </c>
      <c r="AM3" s="38" t="s">
        <v>92</v>
      </c>
      <c r="AN3" s="39" t="s">
        <v>93</v>
      </c>
      <c r="AO3" s="39" t="s">
        <v>127</v>
      </c>
      <c r="AP3" s="39" t="s">
        <v>75</v>
      </c>
      <c r="AQ3" s="39" t="s">
        <v>75</v>
      </c>
      <c r="AR3" s="39" t="s">
        <v>75</v>
      </c>
      <c r="AS3" s="39" t="s">
        <v>75</v>
      </c>
      <c r="AT3" s="39" t="s">
        <v>75</v>
      </c>
      <c r="AU3" s="39" t="s">
        <v>75</v>
      </c>
      <c r="AV3" s="39" t="s">
        <v>75</v>
      </c>
      <c r="AW3" s="39" t="s">
        <v>128</v>
      </c>
      <c r="AX3" s="39" t="s">
        <v>75</v>
      </c>
      <c r="AY3" s="39" t="s">
        <v>75</v>
      </c>
      <c r="AZ3" s="39" t="s">
        <v>129</v>
      </c>
      <c r="BA3" s="39" t="s">
        <v>130</v>
      </c>
      <c r="BB3" s="39" t="s">
        <v>131</v>
      </c>
      <c r="BC3" s="39" t="s">
        <v>99</v>
      </c>
      <c r="BD3" s="39" t="s">
        <v>100</v>
      </c>
      <c r="BE3" s="39" t="s">
        <v>101</v>
      </c>
      <c r="BF3" s="39" t="s">
        <v>75</v>
      </c>
      <c r="BG3" s="39" t="s">
        <v>75</v>
      </c>
      <c r="BH3" s="39" t="s">
        <v>75</v>
      </c>
      <c r="BI3" s="39" t="s">
        <v>75</v>
      </c>
      <c r="BJ3" s="39" t="s">
        <v>102</v>
      </c>
      <c r="BK3" s="39" t="s">
        <v>132</v>
      </c>
      <c r="BL3" s="39" t="s">
        <v>104</v>
      </c>
      <c r="BM3" s="39" t="s">
        <v>105</v>
      </c>
      <c r="BN3" s="39" t="s">
        <v>75</v>
      </c>
      <c r="BO3" s="39" t="s">
        <v>75</v>
      </c>
      <c r="BP3" s="39" t="s">
        <v>75</v>
      </c>
      <c r="BQ3" s="39" t="s">
        <v>75</v>
      </c>
      <c r="BR3" s="38" t="s">
        <v>133</v>
      </c>
      <c r="BS3" s="39" t="s">
        <v>134</v>
      </c>
      <c r="BT3" s="41" t="s">
        <v>135</v>
      </c>
    </row>
    <row r="4" spans="1:72">
      <c r="A4" s="38" t="s">
        <v>136</v>
      </c>
      <c r="B4" s="38" t="str">
        <f>_xlfn.XLOOKUP(A4,'小红书-结算账单'!R:R,'小红书-结算账单'!R:R)</f>
        <v>P776212592782130361</v>
      </c>
      <c r="C4" s="39" t="s">
        <v>137</v>
      </c>
      <c r="D4" s="39" t="s">
        <v>138</v>
      </c>
      <c r="E4" s="39" t="s">
        <v>74</v>
      </c>
      <c r="F4" s="39" t="s">
        <v>75</v>
      </c>
      <c r="G4" s="39" t="s">
        <v>139</v>
      </c>
      <c r="H4" s="39" t="s">
        <v>140</v>
      </c>
      <c r="I4" s="39" t="s">
        <v>141</v>
      </c>
      <c r="J4" s="39" t="s">
        <v>142</v>
      </c>
      <c r="K4" s="39" t="s">
        <v>143</v>
      </c>
      <c r="L4" s="39" t="s">
        <v>144</v>
      </c>
      <c r="M4" s="39" t="s">
        <v>145</v>
      </c>
      <c r="N4" s="39" t="s">
        <v>146</v>
      </c>
      <c r="O4" s="39" t="s">
        <v>147</v>
      </c>
      <c r="P4" s="38" t="s">
        <v>148</v>
      </c>
      <c r="Q4" s="39" t="s">
        <v>120</v>
      </c>
      <c r="R4" s="39" t="s">
        <v>121</v>
      </c>
      <c r="S4" s="39" t="s">
        <v>149</v>
      </c>
      <c r="T4" s="39" t="s">
        <v>150</v>
      </c>
      <c r="U4" s="47">
        <v>1</v>
      </c>
      <c r="V4" s="39" t="s">
        <v>75</v>
      </c>
      <c r="W4" s="39" t="s">
        <v>75</v>
      </c>
      <c r="X4" s="48">
        <v>299</v>
      </c>
      <c r="Y4" s="47">
        <v>299</v>
      </c>
      <c r="Z4" s="47">
        <v>0</v>
      </c>
      <c r="AA4" s="48">
        <v>0</v>
      </c>
      <c r="AB4" s="39" t="s">
        <v>75</v>
      </c>
      <c r="AC4" s="48">
        <v>0</v>
      </c>
      <c r="AD4" s="48">
        <v>299</v>
      </c>
      <c r="AE4" s="39" t="s">
        <v>151</v>
      </c>
      <c r="AF4" s="39" t="s">
        <v>152</v>
      </c>
      <c r="AG4" s="39" t="s">
        <v>75</v>
      </c>
      <c r="AH4" s="39" t="s">
        <v>75</v>
      </c>
      <c r="AI4" s="39" t="s">
        <v>75</v>
      </c>
      <c r="AJ4" s="39" t="s">
        <v>153</v>
      </c>
      <c r="AK4" s="39" t="s">
        <v>75</v>
      </c>
      <c r="AL4" s="39" t="s">
        <v>91</v>
      </c>
      <c r="AM4" s="38" t="s">
        <v>92</v>
      </c>
      <c r="AN4" s="39" t="s">
        <v>93</v>
      </c>
      <c r="AO4" s="39" t="s">
        <v>154</v>
      </c>
      <c r="AP4" s="39" t="s">
        <v>75</v>
      </c>
      <c r="AQ4" s="39" t="s">
        <v>75</v>
      </c>
      <c r="AR4" s="39" t="s">
        <v>75</v>
      </c>
      <c r="AS4" s="39" t="s">
        <v>75</v>
      </c>
      <c r="AT4" s="39" t="s">
        <v>75</v>
      </c>
      <c r="AU4" s="39" t="s">
        <v>75</v>
      </c>
      <c r="AV4" s="39" t="s">
        <v>75</v>
      </c>
      <c r="AW4" s="39" t="s">
        <v>155</v>
      </c>
      <c r="AX4" s="39" t="s">
        <v>75</v>
      </c>
      <c r="AY4" s="39" t="s">
        <v>75</v>
      </c>
      <c r="AZ4" s="39" t="s">
        <v>156</v>
      </c>
      <c r="BA4" s="39" t="s">
        <v>157</v>
      </c>
      <c r="BB4" s="39" t="s">
        <v>75</v>
      </c>
      <c r="BC4" s="39" t="s">
        <v>99</v>
      </c>
      <c r="BD4" s="39" t="s">
        <v>75</v>
      </c>
      <c r="BE4" s="39" t="s">
        <v>101</v>
      </c>
      <c r="BF4" s="39" t="s">
        <v>75</v>
      </c>
      <c r="BG4" s="39" t="s">
        <v>158</v>
      </c>
      <c r="BH4" s="39" t="s">
        <v>159</v>
      </c>
      <c r="BI4" s="39" t="s">
        <v>75</v>
      </c>
      <c r="BJ4" s="39" t="s">
        <v>102</v>
      </c>
      <c r="BK4" s="39" t="s">
        <v>160</v>
      </c>
      <c r="BL4" s="39" t="s">
        <v>104</v>
      </c>
      <c r="BM4" s="39" t="s">
        <v>105</v>
      </c>
      <c r="BN4" s="39" t="s">
        <v>75</v>
      </c>
      <c r="BO4" s="39" t="s">
        <v>75</v>
      </c>
      <c r="BP4" s="39" t="s">
        <v>75</v>
      </c>
      <c r="BQ4" s="39" t="s">
        <v>75</v>
      </c>
      <c r="BR4" s="38" t="s">
        <v>161</v>
      </c>
      <c r="BS4" s="39" t="s">
        <v>162</v>
      </c>
      <c r="BT4" s="41" t="s">
        <v>163</v>
      </c>
    </row>
    <row r="5" spans="1:72">
      <c r="A5" s="38" t="s">
        <v>164</v>
      </c>
      <c r="B5" s="38" t="str">
        <f>_xlfn.XLOOKUP(A5,'小红书-结算账单'!R:R,'小红书-结算账单'!R:R)</f>
        <v>P776035102571191292</v>
      </c>
      <c r="C5" s="39" t="s">
        <v>72</v>
      </c>
      <c r="D5" s="39" t="s">
        <v>73</v>
      </c>
      <c r="E5" s="39" t="s">
        <v>74</v>
      </c>
      <c r="F5" s="39" t="s">
        <v>75</v>
      </c>
      <c r="G5" s="39" t="s">
        <v>165</v>
      </c>
      <c r="H5" s="39" t="s">
        <v>166</v>
      </c>
      <c r="I5" s="39" t="s">
        <v>167</v>
      </c>
      <c r="J5" s="39" t="s">
        <v>168</v>
      </c>
      <c r="K5" s="39" t="s">
        <v>169</v>
      </c>
      <c r="L5" s="39" t="s">
        <v>170</v>
      </c>
      <c r="M5" s="39" t="s">
        <v>171</v>
      </c>
      <c r="N5" s="39" t="s">
        <v>172</v>
      </c>
      <c r="O5" s="39" t="s">
        <v>172</v>
      </c>
      <c r="P5" s="38" t="s">
        <v>173</v>
      </c>
      <c r="Q5" s="39" t="s">
        <v>75</v>
      </c>
      <c r="R5" s="39" t="s">
        <v>75</v>
      </c>
      <c r="S5" s="39" t="s">
        <v>174</v>
      </c>
      <c r="T5" s="39" t="s">
        <v>175</v>
      </c>
      <c r="U5" s="47">
        <v>1</v>
      </c>
      <c r="V5" s="39" t="s">
        <v>75</v>
      </c>
      <c r="W5" s="39" t="s">
        <v>75</v>
      </c>
      <c r="X5" s="48">
        <v>339</v>
      </c>
      <c r="Y5" s="47">
        <v>288.16</v>
      </c>
      <c r="Z5" s="47">
        <v>50.84</v>
      </c>
      <c r="AA5" s="48">
        <v>0</v>
      </c>
      <c r="AB5" s="39" t="s">
        <v>75</v>
      </c>
      <c r="AC5" s="48">
        <v>0</v>
      </c>
      <c r="AD5" s="48">
        <v>339</v>
      </c>
      <c r="AE5" s="39" t="s">
        <v>151</v>
      </c>
      <c r="AF5" s="39" t="s">
        <v>75</v>
      </c>
      <c r="AG5" s="39" t="s">
        <v>75</v>
      </c>
      <c r="AH5" s="39" t="s">
        <v>75</v>
      </c>
      <c r="AI5" s="39" t="s">
        <v>75</v>
      </c>
      <c r="AJ5" s="39" t="s">
        <v>176</v>
      </c>
      <c r="AK5" s="39" t="s">
        <v>75</v>
      </c>
      <c r="AL5" s="39" t="s">
        <v>91</v>
      </c>
      <c r="AM5" s="38" t="s">
        <v>92</v>
      </c>
      <c r="AN5" s="39" t="s">
        <v>93</v>
      </c>
      <c r="AO5" s="39" t="s">
        <v>177</v>
      </c>
      <c r="AP5" s="39" t="s">
        <v>75</v>
      </c>
      <c r="AQ5" s="39" t="s">
        <v>75</v>
      </c>
      <c r="AR5" s="39" t="s">
        <v>75</v>
      </c>
      <c r="AS5" s="39" t="s">
        <v>75</v>
      </c>
      <c r="AT5" s="39" t="s">
        <v>75</v>
      </c>
      <c r="AU5" s="39" t="s">
        <v>75</v>
      </c>
      <c r="AV5" s="39" t="s">
        <v>75</v>
      </c>
      <c r="AW5" s="39" t="s">
        <v>178</v>
      </c>
      <c r="AX5" s="39" t="s">
        <v>75</v>
      </c>
      <c r="AY5" s="39" t="s">
        <v>75</v>
      </c>
      <c r="AZ5" s="39" t="s">
        <v>179</v>
      </c>
      <c r="BA5" s="39" t="s">
        <v>180</v>
      </c>
      <c r="BB5" s="39" t="s">
        <v>181</v>
      </c>
      <c r="BC5" s="39" t="s">
        <v>99</v>
      </c>
      <c r="BD5" s="39" t="s">
        <v>100</v>
      </c>
      <c r="BE5" s="39" t="s">
        <v>101</v>
      </c>
      <c r="BF5" s="39" t="s">
        <v>75</v>
      </c>
      <c r="BG5" s="39" t="s">
        <v>75</v>
      </c>
      <c r="BH5" s="39" t="s">
        <v>75</v>
      </c>
      <c r="BI5" s="39" t="s">
        <v>75</v>
      </c>
      <c r="BJ5" s="39" t="s">
        <v>102</v>
      </c>
      <c r="BK5" s="39" t="s">
        <v>182</v>
      </c>
      <c r="BL5" s="39" t="s">
        <v>104</v>
      </c>
      <c r="BM5" s="39" t="s">
        <v>105</v>
      </c>
      <c r="BN5" s="39" t="s">
        <v>75</v>
      </c>
      <c r="BO5" s="39" t="s">
        <v>75</v>
      </c>
      <c r="BP5" s="39" t="s">
        <v>75</v>
      </c>
      <c r="BQ5" s="39" t="s">
        <v>75</v>
      </c>
      <c r="BR5" s="38" t="s">
        <v>183</v>
      </c>
      <c r="BS5" s="39" t="s">
        <v>184</v>
      </c>
      <c r="BT5" s="41" t="s">
        <v>185</v>
      </c>
    </row>
    <row r="6" spans="1:72">
      <c r="A6" s="38" t="s">
        <v>186</v>
      </c>
      <c r="B6" s="38" t="str">
        <f>_xlfn.XLOOKUP(A6,'小红书-结算账单'!R:R,'小红书-结算账单'!R:R)</f>
        <v>P775954589917164071</v>
      </c>
      <c r="C6" s="39" t="s">
        <v>137</v>
      </c>
      <c r="D6" s="39" t="s">
        <v>138</v>
      </c>
      <c r="E6" s="39" t="s">
        <v>74</v>
      </c>
      <c r="F6" s="39" t="s">
        <v>75</v>
      </c>
      <c r="G6" s="39" t="s">
        <v>187</v>
      </c>
      <c r="H6" s="39" t="s">
        <v>188</v>
      </c>
      <c r="I6" s="39" t="s">
        <v>189</v>
      </c>
      <c r="J6" s="39" t="s">
        <v>190</v>
      </c>
      <c r="K6" s="39" t="s">
        <v>191</v>
      </c>
      <c r="L6" s="39" t="s">
        <v>192</v>
      </c>
      <c r="M6" s="39" t="s">
        <v>193</v>
      </c>
      <c r="N6" s="39" t="s">
        <v>194</v>
      </c>
      <c r="O6" s="39" t="s">
        <v>195</v>
      </c>
      <c r="P6" s="38" t="s">
        <v>196</v>
      </c>
      <c r="Q6" s="39" t="s">
        <v>120</v>
      </c>
      <c r="R6" s="39" t="s">
        <v>121</v>
      </c>
      <c r="S6" s="39" t="s">
        <v>197</v>
      </c>
      <c r="T6" s="39" t="s">
        <v>198</v>
      </c>
      <c r="U6" s="47">
        <v>1</v>
      </c>
      <c r="V6" s="39" t="s">
        <v>75</v>
      </c>
      <c r="W6" s="39" t="s">
        <v>75</v>
      </c>
      <c r="X6" s="48">
        <v>139</v>
      </c>
      <c r="Y6" s="47">
        <v>139</v>
      </c>
      <c r="Z6" s="47">
        <v>0</v>
      </c>
      <c r="AA6" s="48">
        <v>0</v>
      </c>
      <c r="AB6" s="39" t="s">
        <v>75</v>
      </c>
      <c r="AC6" s="48">
        <v>0</v>
      </c>
      <c r="AD6" s="48">
        <v>139</v>
      </c>
      <c r="AE6" s="39" t="s">
        <v>151</v>
      </c>
      <c r="AF6" s="39" t="s">
        <v>199</v>
      </c>
      <c r="AG6" s="39" t="s">
        <v>75</v>
      </c>
      <c r="AH6" s="39" t="s">
        <v>75</v>
      </c>
      <c r="AI6" s="39" t="s">
        <v>75</v>
      </c>
      <c r="AJ6" s="39" t="s">
        <v>200</v>
      </c>
      <c r="AK6" s="39" t="s">
        <v>75</v>
      </c>
      <c r="AL6" s="39" t="s">
        <v>91</v>
      </c>
      <c r="AM6" s="38" t="s">
        <v>92</v>
      </c>
      <c r="AN6" s="39" t="s">
        <v>93</v>
      </c>
      <c r="AO6" s="39" t="s">
        <v>201</v>
      </c>
      <c r="AP6" s="39" t="s">
        <v>75</v>
      </c>
      <c r="AQ6" s="39" t="s">
        <v>75</v>
      </c>
      <c r="AR6" s="39" t="s">
        <v>75</v>
      </c>
      <c r="AS6" s="39" t="s">
        <v>75</v>
      </c>
      <c r="AT6" s="39" t="s">
        <v>75</v>
      </c>
      <c r="AU6" s="39" t="s">
        <v>75</v>
      </c>
      <c r="AV6" s="39" t="s">
        <v>75</v>
      </c>
      <c r="AW6" s="39" t="s">
        <v>202</v>
      </c>
      <c r="AX6" s="39" t="s">
        <v>75</v>
      </c>
      <c r="AY6" s="39" t="s">
        <v>75</v>
      </c>
      <c r="AZ6" s="39" t="s">
        <v>203</v>
      </c>
      <c r="BA6" s="39" t="s">
        <v>204</v>
      </c>
      <c r="BB6" s="39" t="s">
        <v>205</v>
      </c>
      <c r="BC6" s="39" t="s">
        <v>99</v>
      </c>
      <c r="BD6" s="39" t="s">
        <v>100</v>
      </c>
      <c r="BE6" s="39" t="s">
        <v>101</v>
      </c>
      <c r="BF6" s="39" t="s">
        <v>75</v>
      </c>
      <c r="BG6" s="39" t="s">
        <v>158</v>
      </c>
      <c r="BH6" s="39" t="s">
        <v>206</v>
      </c>
      <c r="BI6" s="39" t="s">
        <v>75</v>
      </c>
      <c r="BJ6" s="39" t="s">
        <v>102</v>
      </c>
      <c r="BK6" s="39" t="s">
        <v>207</v>
      </c>
      <c r="BL6" s="39" t="s">
        <v>104</v>
      </c>
      <c r="BM6" s="39" t="s">
        <v>105</v>
      </c>
      <c r="BN6" s="39" t="s">
        <v>75</v>
      </c>
      <c r="BO6" s="39" t="s">
        <v>75</v>
      </c>
      <c r="BP6" s="39" t="s">
        <v>75</v>
      </c>
      <c r="BQ6" s="39" t="s">
        <v>75</v>
      </c>
      <c r="BR6" s="38" t="s">
        <v>208</v>
      </c>
      <c r="BS6" s="39" t="s">
        <v>209</v>
      </c>
      <c r="BT6" s="41" t="s">
        <v>210</v>
      </c>
    </row>
    <row r="7" spans="1:72">
      <c r="A7" s="38" t="s">
        <v>211</v>
      </c>
      <c r="B7" s="38" t="str">
        <f>_xlfn.XLOOKUP(A7,'小红书-结算账单'!R:R,'小红书-结算账单'!R:R)</f>
        <v>P775810157576298981</v>
      </c>
      <c r="C7" s="39" t="s">
        <v>72</v>
      </c>
      <c r="D7" s="39" t="s">
        <v>73</v>
      </c>
      <c r="E7" s="39" t="s">
        <v>74</v>
      </c>
      <c r="F7" s="39" t="s">
        <v>75</v>
      </c>
      <c r="G7" s="39" t="s">
        <v>212</v>
      </c>
      <c r="H7" s="39" t="s">
        <v>213</v>
      </c>
      <c r="I7" s="39" t="s">
        <v>214</v>
      </c>
      <c r="J7" s="39" t="s">
        <v>215</v>
      </c>
      <c r="K7" s="39" t="s">
        <v>216</v>
      </c>
      <c r="L7" s="39" t="s">
        <v>217</v>
      </c>
      <c r="M7" s="39" t="s">
        <v>218</v>
      </c>
      <c r="N7" s="39" t="s">
        <v>219</v>
      </c>
      <c r="O7" s="39" t="s">
        <v>219</v>
      </c>
      <c r="P7" s="38" t="s">
        <v>220</v>
      </c>
      <c r="Q7" s="39" t="s">
        <v>120</v>
      </c>
      <c r="R7" s="39" t="s">
        <v>121</v>
      </c>
      <c r="S7" s="39" t="s">
        <v>221</v>
      </c>
      <c r="T7" s="39" t="s">
        <v>222</v>
      </c>
      <c r="U7" s="47">
        <v>1</v>
      </c>
      <c r="V7" s="39" t="s">
        <v>75</v>
      </c>
      <c r="W7" s="39" t="s">
        <v>75</v>
      </c>
      <c r="X7" s="48">
        <v>339</v>
      </c>
      <c r="Y7" s="47">
        <v>304</v>
      </c>
      <c r="Z7" s="47">
        <v>35</v>
      </c>
      <c r="AA7" s="48">
        <v>0</v>
      </c>
      <c r="AB7" s="39" t="s">
        <v>75</v>
      </c>
      <c r="AC7" s="48">
        <v>0</v>
      </c>
      <c r="AD7" s="48">
        <v>339</v>
      </c>
      <c r="AE7" s="39" t="s">
        <v>151</v>
      </c>
      <c r="AF7" s="39" t="s">
        <v>223</v>
      </c>
      <c r="AG7" s="39" t="s">
        <v>75</v>
      </c>
      <c r="AH7" s="39" t="s">
        <v>75</v>
      </c>
      <c r="AI7" s="39" t="s">
        <v>75</v>
      </c>
      <c r="AJ7" s="39" t="s">
        <v>224</v>
      </c>
      <c r="AK7" s="39" t="s">
        <v>75</v>
      </c>
      <c r="AL7" s="39" t="s">
        <v>91</v>
      </c>
      <c r="AM7" s="38" t="s">
        <v>92</v>
      </c>
      <c r="AN7" s="39" t="s">
        <v>93</v>
      </c>
      <c r="AO7" s="39" t="s">
        <v>225</v>
      </c>
      <c r="AP7" s="39" t="s">
        <v>75</v>
      </c>
      <c r="AQ7" s="39" t="s">
        <v>75</v>
      </c>
      <c r="AR7" s="39" t="s">
        <v>75</v>
      </c>
      <c r="AS7" s="39" t="s">
        <v>75</v>
      </c>
      <c r="AT7" s="39" t="s">
        <v>75</v>
      </c>
      <c r="AU7" s="39" t="s">
        <v>75</v>
      </c>
      <c r="AV7" s="39" t="s">
        <v>75</v>
      </c>
      <c r="AW7" s="39" t="s">
        <v>226</v>
      </c>
      <c r="AX7" s="39" t="s">
        <v>75</v>
      </c>
      <c r="AY7" s="39" t="s">
        <v>75</v>
      </c>
      <c r="AZ7" s="39" t="s">
        <v>227</v>
      </c>
      <c r="BA7" s="39" t="s">
        <v>228</v>
      </c>
      <c r="BB7" s="39" t="s">
        <v>229</v>
      </c>
      <c r="BC7" s="39" t="s">
        <v>99</v>
      </c>
      <c r="BD7" s="39" t="s">
        <v>100</v>
      </c>
      <c r="BE7" s="39" t="s">
        <v>101</v>
      </c>
      <c r="BF7" s="39" t="s">
        <v>75</v>
      </c>
      <c r="BG7" s="39" t="s">
        <v>158</v>
      </c>
      <c r="BH7" s="39" t="s">
        <v>230</v>
      </c>
      <c r="BI7" s="39" t="s">
        <v>75</v>
      </c>
      <c r="BJ7" s="39" t="s">
        <v>102</v>
      </c>
      <c r="BK7" s="39" t="s">
        <v>231</v>
      </c>
      <c r="BL7" s="39" t="s">
        <v>104</v>
      </c>
      <c r="BM7" s="39" t="s">
        <v>105</v>
      </c>
      <c r="BN7" s="39" t="s">
        <v>75</v>
      </c>
      <c r="BO7" s="39" t="s">
        <v>75</v>
      </c>
      <c r="BP7" s="39" t="s">
        <v>75</v>
      </c>
      <c r="BQ7" s="39" t="s">
        <v>75</v>
      </c>
      <c r="BR7" s="38" t="s">
        <v>232</v>
      </c>
      <c r="BS7" s="39" t="s">
        <v>184</v>
      </c>
      <c r="BT7" s="41" t="s">
        <v>185</v>
      </c>
    </row>
    <row r="8" spans="1:72">
      <c r="A8" s="38" t="s">
        <v>211</v>
      </c>
      <c r="B8" s="38" t="str">
        <f>_xlfn.XLOOKUP(A8,'小红书-结算账单'!R:R,'小红书-结算账单'!R:R)</f>
        <v>P775810157576298981</v>
      </c>
      <c r="C8" s="39" t="s">
        <v>72</v>
      </c>
      <c r="D8" s="39" t="s">
        <v>138</v>
      </c>
      <c r="E8" s="39" t="s">
        <v>74</v>
      </c>
      <c r="F8" s="39" t="s">
        <v>75</v>
      </c>
      <c r="G8" s="39" t="s">
        <v>212</v>
      </c>
      <c r="H8" s="39" t="s">
        <v>213</v>
      </c>
      <c r="I8" s="39" t="s">
        <v>214</v>
      </c>
      <c r="J8" s="39" t="s">
        <v>215</v>
      </c>
      <c r="K8" s="39" t="s">
        <v>216</v>
      </c>
      <c r="L8" s="39" t="s">
        <v>217</v>
      </c>
      <c r="M8" s="39" t="s">
        <v>218</v>
      </c>
      <c r="N8" s="39" t="s">
        <v>233</v>
      </c>
      <c r="O8" s="39" t="s">
        <v>233</v>
      </c>
      <c r="P8" s="38" t="s">
        <v>234</v>
      </c>
      <c r="Q8" s="39" t="s">
        <v>120</v>
      </c>
      <c r="R8" s="39" t="s">
        <v>121</v>
      </c>
      <c r="S8" s="39" t="s">
        <v>235</v>
      </c>
      <c r="T8" s="39" t="s">
        <v>236</v>
      </c>
      <c r="U8" s="47">
        <v>1</v>
      </c>
      <c r="V8" s="39" t="s">
        <v>75</v>
      </c>
      <c r="W8" s="39" t="s">
        <v>75</v>
      </c>
      <c r="X8" s="48">
        <v>339</v>
      </c>
      <c r="Y8" s="47">
        <v>304</v>
      </c>
      <c r="Z8" s="47">
        <v>35</v>
      </c>
      <c r="AA8" s="48">
        <v>0</v>
      </c>
      <c r="AB8" s="39" t="s">
        <v>75</v>
      </c>
      <c r="AC8" s="48">
        <v>0</v>
      </c>
      <c r="AD8" s="48">
        <v>339</v>
      </c>
      <c r="AE8" s="39" t="s">
        <v>151</v>
      </c>
      <c r="AF8" s="39" t="s">
        <v>223</v>
      </c>
      <c r="AG8" s="39" t="s">
        <v>75</v>
      </c>
      <c r="AH8" s="39" t="s">
        <v>75</v>
      </c>
      <c r="AI8" s="39" t="s">
        <v>75</v>
      </c>
      <c r="AJ8" s="39" t="s">
        <v>224</v>
      </c>
      <c r="AK8" s="39" t="s">
        <v>75</v>
      </c>
      <c r="AL8" s="39" t="s">
        <v>91</v>
      </c>
      <c r="AM8" s="38" t="s">
        <v>92</v>
      </c>
      <c r="AN8" s="39" t="s">
        <v>93</v>
      </c>
      <c r="AO8" s="39" t="s">
        <v>225</v>
      </c>
      <c r="AP8" s="39" t="s">
        <v>75</v>
      </c>
      <c r="AQ8" s="39" t="s">
        <v>75</v>
      </c>
      <c r="AR8" s="39" t="s">
        <v>75</v>
      </c>
      <c r="AS8" s="39" t="s">
        <v>75</v>
      </c>
      <c r="AT8" s="39" t="s">
        <v>75</v>
      </c>
      <c r="AU8" s="39" t="s">
        <v>75</v>
      </c>
      <c r="AV8" s="39" t="s">
        <v>75</v>
      </c>
      <c r="AW8" s="39" t="s">
        <v>226</v>
      </c>
      <c r="AX8" s="39" t="s">
        <v>75</v>
      </c>
      <c r="AY8" s="39" t="s">
        <v>75</v>
      </c>
      <c r="AZ8" s="39" t="s">
        <v>227</v>
      </c>
      <c r="BA8" s="39" t="s">
        <v>228</v>
      </c>
      <c r="BB8" s="39" t="s">
        <v>229</v>
      </c>
      <c r="BC8" s="39" t="s">
        <v>99</v>
      </c>
      <c r="BD8" s="39" t="s">
        <v>100</v>
      </c>
      <c r="BE8" s="39" t="s">
        <v>101</v>
      </c>
      <c r="BF8" s="39" t="s">
        <v>75</v>
      </c>
      <c r="BG8" s="39" t="s">
        <v>158</v>
      </c>
      <c r="BH8" s="39" t="s">
        <v>230</v>
      </c>
      <c r="BI8" s="39" t="s">
        <v>75</v>
      </c>
      <c r="BJ8" s="39" t="s">
        <v>102</v>
      </c>
      <c r="BK8" s="39" t="s">
        <v>231</v>
      </c>
      <c r="BL8" s="39" t="s">
        <v>104</v>
      </c>
      <c r="BM8" s="39" t="s">
        <v>105</v>
      </c>
      <c r="BN8" s="39" t="s">
        <v>75</v>
      </c>
      <c r="BO8" s="39" t="s">
        <v>75</v>
      </c>
      <c r="BP8" s="39" t="s">
        <v>75</v>
      </c>
      <c r="BQ8" s="39" t="s">
        <v>75</v>
      </c>
      <c r="BR8" s="38" t="s">
        <v>237</v>
      </c>
      <c r="BS8" s="39" t="s">
        <v>184</v>
      </c>
      <c r="BT8" s="41" t="s">
        <v>185</v>
      </c>
    </row>
  </sheetData>
  <autoFilter xmlns:etc="http://www.wps.cn/officeDocument/2017/etCustomData" ref="A1:BT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BH12"/>
  <sheetViews>
    <sheetView tabSelected="1" zoomScale="90" zoomScaleNormal="90" workbookViewId="0">
      <pane xSplit="18" ySplit="1" topLeftCell="AB2" activePane="bottomRight" state="frozen"/>
      <selection/>
      <selection pane="topRight"/>
      <selection pane="bottomLeft"/>
      <selection pane="bottomRight" activeCell="AB33" sqref="AB33"/>
    </sheetView>
  </sheetViews>
  <sheetFormatPr defaultColWidth="8.84615384615385" defaultRowHeight="13" customHeight="1"/>
  <cols>
    <col min="1" max="1" width="5.74038461538461" style="3" customWidth="1"/>
    <col min="2" max="2" width="5.78846153846154" style="3" customWidth="1"/>
    <col min="3" max="3" width="18.8461538461538" style="3" customWidth="1"/>
    <col min="4" max="5" width="8.72115384615385" style="3" customWidth="1"/>
    <col min="6" max="7" width="14.5288461538462" style="3" customWidth="1"/>
    <col min="8" max="8" width="12.4711538461538" style="3"/>
    <col min="9" max="9" width="13.3076923076923" style="3"/>
    <col min="10" max="10" width="10.5384615384615" style="3"/>
    <col min="11" max="11" width="8.84615384615385" style="3"/>
    <col min="12" max="12" width="10.5384615384615" style="3"/>
    <col min="13" max="13" width="9.53846153846154" style="3"/>
    <col min="14" max="14" width="8.84615384615385" style="3"/>
    <col min="15" max="15" width="10.9230769230769" style="3" customWidth="1"/>
    <col min="16" max="16" width="3.51923076923077" style="3" customWidth="1"/>
    <col min="17" max="17" width="7.10576923076923" style="4" customWidth="1"/>
    <col min="18" max="18" width="19.5769230769231" style="5" customWidth="1"/>
    <col min="19" max="19" width="19.5769230769231" style="6" customWidth="1"/>
    <col min="20" max="20" width="17.5769230769231" style="3" customWidth="1"/>
    <col min="21" max="22" width="19.5769230769231" style="3" customWidth="1"/>
    <col min="23" max="23" width="19.5769230769231" style="5" customWidth="1"/>
    <col min="24" max="24" width="11.2307692307692" style="3" customWidth="1"/>
    <col min="25" max="25" width="8.47115384615385" style="5" customWidth="1"/>
    <col min="26" max="26" width="8.68269230769231" style="5" customWidth="1"/>
    <col min="27" max="27" width="103" style="3" customWidth="1"/>
    <col min="28" max="28" width="54.2115384615385" style="3" customWidth="1"/>
    <col min="29" max="29" width="16.5769230769231" style="3" customWidth="1"/>
    <col min="30" max="30" width="24.5769230769231" style="5" customWidth="1"/>
    <col min="31" max="31" width="24.5769230769231" style="6" customWidth="1"/>
    <col min="32" max="32" width="5.85576923076923" style="3" customWidth="1"/>
    <col min="33" max="33" width="10.2596153846154" style="3" customWidth="1"/>
    <col min="34" max="34" width="11.3173076923077" style="7" customWidth="1"/>
    <col min="35" max="35" width="6.48076923076923" style="3" customWidth="1"/>
    <col min="36" max="36" width="7.74038461538461" style="3" customWidth="1"/>
    <col min="37" max="38" width="7.63461538461539" style="5" customWidth="1"/>
    <col min="39" max="39" width="6" style="3" customWidth="1"/>
    <col min="40" max="40" width="5.95192307692308" style="3" customWidth="1"/>
    <col min="41" max="41" width="7.78846153846154" style="5" customWidth="1"/>
    <col min="42" max="42" width="7.74038461538461" style="5" customWidth="1"/>
    <col min="43" max="43" width="7.74038461538461" style="3" customWidth="1"/>
    <col min="44" max="44" width="4.15384615384615" style="3" customWidth="1"/>
    <col min="45" max="46" width="7.74038461538461" style="3" customWidth="1"/>
    <col min="47" max="47" width="8.63461538461539" style="3" customWidth="1"/>
    <col min="48" max="48" width="7.74038461538461" style="5" customWidth="1"/>
    <col min="49" max="49" width="24.5769230769231" style="3" customWidth="1"/>
    <col min="50" max="50" width="14.4230769230769" style="3" customWidth="1"/>
    <col min="51" max="51" width="8.47115384615385" style="3" customWidth="1"/>
    <col min="52" max="53" width="7.74038461538461" style="3" customWidth="1"/>
    <col min="54" max="54" width="7.15384615384615" style="5" customWidth="1"/>
    <col min="55" max="57" width="7.74038461538461" style="3" customWidth="1"/>
    <col min="58" max="58" width="7.63461538461539" style="3" customWidth="1"/>
    <col min="59" max="59" width="4.15384615384615" style="3" customWidth="1"/>
    <col min="60" max="60" width="15.9423076923077" style="8" customWidth="1"/>
    <col min="61" max="62" width="12.4711538461538" style="3"/>
    <col min="63" max="63" width="8.84615384615385" style="3"/>
    <col min="64" max="64" width="12.4711538461538" style="3"/>
    <col min="65" max="65" width="8.84615384615385" style="3"/>
    <col min="66" max="66" width="12.4711538461538" style="3"/>
    <col min="67" max="16384" width="8.84615384615385" style="3"/>
  </cols>
  <sheetData>
    <row r="1" s="1" customFormat="1" ht="24" customHeight="1" spans="1:60">
      <c r="A1" s="9" t="s">
        <v>238</v>
      </c>
      <c r="B1" s="10" t="s">
        <v>239</v>
      </c>
      <c r="C1" s="10" t="s">
        <v>0</v>
      </c>
      <c r="D1" s="11" t="s">
        <v>240</v>
      </c>
      <c r="E1" s="11" t="s">
        <v>241</v>
      </c>
      <c r="F1" s="12" t="s">
        <v>242</v>
      </c>
      <c r="G1" s="12" t="s">
        <v>243</v>
      </c>
      <c r="H1" s="10" t="s">
        <v>244</v>
      </c>
      <c r="I1" s="10" t="s">
        <v>245</v>
      </c>
      <c r="J1" s="10" t="s">
        <v>246</v>
      </c>
      <c r="K1" s="10" t="s">
        <v>247</v>
      </c>
      <c r="L1" s="10" t="s">
        <v>248</v>
      </c>
      <c r="M1" s="10" t="s">
        <v>249</v>
      </c>
      <c r="N1" s="10" t="s">
        <v>250</v>
      </c>
      <c r="O1" s="13" t="s">
        <v>251</v>
      </c>
      <c r="P1" s="1"/>
      <c r="Q1" s="14" t="s">
        <v>252</v>
      </c>
      <c r="R1" s="15" t="s">
        <v>0</v>
      </c>
      <c r="S1" s="16" t="s">
        <v>253</v>
      </c>
      <c r="T1" s="17" t="s">
        <v>254</v>
      </c>
      <c r="U1" s="18" t="s">
        <v>255</v>
      </c>
      <c r="V1" s="18" t="s">
        <v>256</v>
      </c>
      <c r="W1" s="15" t="s">
        <v>257</v>
      </c>
      <c r="X1" s="17" t="s">
        <v>258</v>
      </c>
      <c r="Y1" s="15" t="s">
        <v>259</v>
      </c>
      <c r="Z1" s="15" t="s">
        <v>260</v>
      </c>
      <c r="AA1" s="17" t="s">
        <v>70</v>
      </c>
      <c r="AB1" s="19" t="s">
        <v>261</v>
      </c>
      <c r="AC1" s="20" t="s">
        <v>262</v>
      </c>
      <c r="AD1" s="15" t="s">
        <v>263</v>
      </c>
      <c r="AE1" s="16" t="s">
        <v>253</v>
      </c>
      <c r="AF1" s="17" t="s">
        <v>264</v>
      </c>
      <c r="AG1" s="21" t="s">
        <v>265</v>
      </c>
      <c r="AH1" s="22" t="s">
        <v>266</v>
      </c>
      <c r="AI1" s="17" t="s">
        <v>267</v>
      </c>
      <c r="AJ1" s="17" t="s">
        <v>268</v>
      </c>
      <c r="AK1" s="23" t="s">
        <v>269</v>
      </c>
      <c r="AL1" s="23" t="s">
        <v>270</v>
      </c>
      <c r="AM1" s="17" t="s">
        <v>271</v>
      </c>
      <c r="AN1" s="17" t="s">
        <v>272</v>
      </c>
      <c r="AO1" s="24" t="s">
        <v>273</v>
      </c>
      <c r="AP1" s="24" t="s">
        <v>274</v>
      </c>
      <c r="AQ1" s="18" t="s">
        <v>275</v>
      </c>
      <c r="AR1" s="18" t="s">
        <v>276</v>
      </c>
      <c r="AS1" s="17" t="s">
        <v>277</v>
      </c>
      <c r="AT1" s="17" t="s">
        <v>278</v>
      </c>
      <c r="AU1" s="17" t="s">
        <v>279</v>
      </c>
      <c r="AV1" s="15" t="s">
        <v>280</v>
      </c>
      <c r="AW1" s="25" t="s">
        <v>281</v>
      </c>
      <c r="AX1" s="18" t="s">
        <v>282</v>
      </c>
      <c r="AY1" s="18" t="s">
        <v>283</v>
      </c>
      <c r="AZ1" s="18" t="s">
        <v>284</v>
      </c>
      <c r="BA1" s="18" t="s">
        <v>285</v>
      </c>
      <c r="BB1" s="15" t="s">
        <v>286</v>
      </c>
      <c r="BC1" s="17" t="s">
        <v>287</v>
      </c>
      <c r="BD1" s="17" t="s">
        <v>288</v>
      </c>
      <c r="BE1" s="17" t="s">
        <v>289</v>
      </c>
      <c r="BF1" s="21" t="s">
        <v>290</v>
      </c>
      <c r="BG1" s="26" t="s">
        <v>291</v>
      </c>
      <c r="BH1" s="27"/>
    </row>
    <row r="2" customHeight="1" spans="1:60">
      <c r="A2" s="28">
        <f>YEAR(W2)</f>
        <v>2025</v>
      </c>
      <c r="B2" s="29">
        <f>MONTH(W2)</f>
        <v>10</v>
      </c>
      <c r="C2" s="29" t="str">
        <f>R2</f>
        <v>P775810157576298981</v>
      </c>
      <c r="D2" s="29">
        <f>COUNTIF(R:R,R2)</f>
        <v>3</v>
      </c>
      <c r="E2" s="29">
        <f>COUNTIF($R$2:R2,R2)</f>
        <v>1</v>
      </c>
      <c r="F2" s="30" t="str" cm="1">
        <f t="array" ref="F2">INDEX('小红书-订单明细'!BR:BR,MATCH(R2&amp;AD2,'小红书-订单明细'!A:A&amp;'小红书-订单明细'!P:P,0))</f>
        <v>Z1436-咖色-L</v>
      </c>
      <c r="G2" s="30" t="str">
        <f>LEFT(F2,FIND("-",F2)-1)</f>
        <v>Z1436</v>
      </c>
      <c r="H2" s="29" cm="1">
        <f t="array" ref="H2">IF(ABS(SUM(AH2,AJ2:AK2)/(INDEX('小红书-订单明细'!X:X,MATCH(R2&amp;AD2,'小红书-订单明细'!A:A&amp;'小红书-订单明细'!P:P,0))/(INDEX('小红书-订单明细'!U:U,MATCH(R2&amp;AD2,'小红书-订单明细'!A:A&amp;'小红书-订单明细'!P:P,0)))))&gt;15%,ROUNDUP(SUM(AH2,AJ2:AK2)/(INDEX('小红书-订单明细'!X:X,MATCH(R2&amp;AD2,'小红书-订单明细'!A:A&amp;'小红书-订单明细'!P:P,0))/(INDEX('小红书-订单明细'!U:U,MATCH(R2&amp;AD2,'小红书-订单明细'!A:A&amp;'小红书-订单明细'!P:P,0)))),0),ROUNDDOWN(SUM(AH2,AJ2:AK2)/(INDEX('小红书-订单明细'!X:X,MATCH(R2&amp;AD2,'小红书-订单明细'!A:A&amp;'小红书-订单明细'!P:P,0))/(INDEX('小红书-订单明细'!U:U,MATCH(R2&amp;AD2,'小红书-订单明细'!A:A&amp;'小红书-订单明细'!P:P,0)))),0))</f>
        <v>-1</v>
      </c>
      <c r="I2" s="29">
        <f>AH2</f>
        <v>-304</v>
      </c>
      <c r="J2" s="29">
        <f>AK2+AL2</f>
        <v>-35</v>
      </c>
      <c r="K2" s="29">
        <f>IF(BB2&lt;=0,BB2,BB2/COUNTIFS(R:R,R2,BB:BB,"&gt;0"))</f>
        <v>0</v>
      </c>
      <c r="L2" s="29">
        <f>-AO2</f>
        <v>-16.95</v>
      </c>
      <c r="M2" s="29">
        <f>-AV2</f>
        <v>0</v>
      </c>
      <c r="N2" s="29"/>
      <c r="O2" s="31">
        <f>I2+J2+K2-L2-M2-N2</f>
        <v>-322.05</v>
      </c>
      <c r="Q2" s="4" cm="1">
        <f t="array" ref="Q2">SUM(AH2,AJ2:AK2)/(INDEX('小红书-订单明细'!X:X,MATCH(R2&amp;AD2,'小红书-订单明细'!A:A&amp;'小红书-订单明细'!P:P,0))/(INDEX('小红书-订单明细'!U:U,MATCH(R2&amp;AD2,'小红书-订单明细'!A:A&amp;'小红书-订单明细'!P:P,0))))</f>
        <v>-1</v>
      </c>
      <c r="R2" s="5" t="s">
        <v>211</v>
      </c>
      <c r="S2" s="6" t="str">
        <f>_xlfn.XLOOKUP(R2,'小红书-订单明细'!A:A,'小红书-订单明细'!A:A)</f>
        <v>P775810157576298981</v>
      </c>
      <c r="T2" s="3" t="s">
        <v>292</v>
      </c>
      <c r="U2" s="3" t="s">
        <v>226</v>
      </c>
      <c r="V2" s="3" t="s">
        <v>293</v>
      </c>
      <c r="W2" s="5" t="s">
        <v>294</v>
      </c>
      <c r="X2" s="3" t="s">
        <v>295</v>
      </c>
      <c r="Y2" s="5" t="s">
        <v>296</v>
      </c>
      <c r="Z2" s="5">
        <v>-322.05</v>
      </c>
      <c r="AA2" s="3" t="s">
        <v>297</v>
      </c>
      <c r="AB2" s="3" t="s">
        <v>298</v>
      </c>
      <c r="AC2" s="3" t="s">
        <v>233</v>
      </c>
      <c r="AD2" s="5" t="s">
        <v>234</v>
      </c>
      <c r="AE2" s="6" t="str">
        <f>_xlfn.XLOOKUP(AD2,'小红书-订单明细'!P:P,'小红书-订单明细'!P:P)</f>
        <v>68c6d0daf9d8290001dcb030</v>
      </c>
      <c r="AG2" s="3">
        <v>-339</v>
      </c>
      <c r="AH2" s="7">
        <v>-304</v>
      </c>
      <c r="AJ2" s="3">
        <v>0</v>
      </c>
      <c r="AK2" s="5">
        <v>-35</v>
      </c>
      <c r="AL2" s="5">
        <v>0</v>
      </c>
      <c r="AO2" s="5">
        <v>16.95</v>
      </c>
      <c r="AS2" s="3" t="s">
        <v>101</v>
      </c>
      <c r="AT2" s="3">
        <v>0</v>
      </c>
      <c r="AV2" s="5">
        <v>0</v>
      </c>
      <c r="AW2" s="3" t="s">
        <v>75</v>
      </c>
      <c r="AX2" s="3" t="s">
        <v>75</v>
      </c>
      <c r="BB2" s="5">
        <v>0</v>
      </c>
      <c r="BC2" s="3">
        <v>0</v>
      </c>
      <c r="BD2" s="3">
        <v>0</v>
      </c>
      <c r="BE2" s="3">
        <v>0</v>
      </c>
      <c r="BF2" s="3">
        <v>0</v>
      </c>
    </row>
    <row r="3" customHeight="1" spans="1:60">
      <c r="A3" s="28">
        <f>YEAR(W3)</f>
        <v>2025</v>
      </c>
      <c r="B3" s="29">
        <f>MONTH(W3)</f>
        <v>10</v>
      </c>
      <c r="C3" s="29" t="str">
        <f>R3</f>
        <v>P775810157576298981</v>
      </c>
      <c r="D3" s="29">
        <f>COUNTIF(R:R,R3)</f>
        <v>3</v>
      </c>
      <c r="E3" s="29">
        <f>COUNTIF($R$2:R3,R3)</f>
        <v>2</v>
      </c>
      <c r="F3" s="30" t="str" cm="1">
        <f t="array" ref="F3">INDEX('小红书-订单明细'!BR:BR,MATCH(R3&amp;AD3,'小红书-订单明细'!A:A&amp;'小红书-订单明细'!P:P,0))</f>
        <v>Z1436-咖色-L</v>
      </c>
      <c r="G3" s="30" t="str">
        <f>LEFT(F3,FIND("-",F3)-1)</f>
        <v>Z1436</v>
      </c>
      <c r="H3" s="29" cm="1">
        <f t="array" ref="H3">IF(ABS(SUM(AH3,AJ3:AK3)/(INDEX('小红书-订单明细'!X:X,MATCH(R3&amp;AD3,'小红书-订单明细'!A:A&amp;'小红书-订单明细'!P:P,0))/(INDEX('小红书-订单明细'!U:U,MATCH(R3&amp;AD3,'小红书-订单明细'!A:A&amp;'小红书-订单明细'!P:P,0)))))&gt;15%,ROUNDUP(SUM(AH3,AJ3:AK3)/(INDEX('小红书-订单明细'!X:X,MATCH(R3&amp;AD3,'小红书-订单明细'!A:A&amp;'小红书-订单明细'!P:P,0))/(INDEX('小红书-订单明细'!U:U,MATCH(R3&amp;AD3,'小红书-订单明细'!A:A&amp;'小红书-订单明细'!P:P,0)))),0),ROUNDDOWN(SUM(AH3,AJ3:AK3)/(INDEX('小红书-订单明细'!X:X,MATCH(R3&amp;AD3,'小红书-订单明细'!A:A&amp;'小红书-订单明细'!P:P,0))/(INDEX('小红书-订单明细'!U:U,MATCH(R3&amp;AD3,'小红书-订单明细'!A:A&amp;'小红书-订单明细'!P:P,0)))),0))</f>
        <v>1</v>
      </c>
      <c r="I3" s="29">
        <f>AH3</f>
        <v>304</v>
      </c>
      <c r="J3" s="29">
        <f>AK3+AL3</f>
        <v>35</v>
      </c>
      <c r="K3" s="29">
        <f>IF(BB3&lt;=0,BB3,BB3/COUNTIFS(R:R,R3,BB:BB,"&gt;0"))</f>
        <v>0</v>
      </c>
      <c r="L3" s="29">
        <f>-AO3</f>
        <v>16.95</v>
      </c>
      <c r="M3" s="29">
        <f>-AV3</f>
        <v>0</v>
      </c>
      <c r="N3" s="29"/>
      <c r="O3" s="31">
        <f>I3+J3+K3-L3-M3-N3</f>
        <v>322.05</v>
      </c>
      <c r="Q3" s="4" cm="1">
        <f t="array" ref="Q3">SUM(AH3,AJ3:AK3)/(INDEX('小红书-订单明细'!X:X,MATCH(R3&amp;AD3,'小红书-订单明细'!A:A&amp;'小红书-订单明细'!P:P,0))/(INDEX('小红书-订单明细'!U:U,MATCH(R3&amp;AD3,'小红书-订单明细'!A:A&amp;'小红书-订单明细'!P:P,0))))</f>
        <v>1</v>
      </c>
      <c r="R3" s="5" t="s">
        <v>211</v>
      </c>
      <c r="S3" s="6" t="str">
        <f>_xlfn.XLOOKUP(R3,'小红书-订单明细'!A:A,'小红书-订单明细'!A:A)</f>
        <v>P775810157576298981</v>
      </c>
      <c r="U3" s="3" t="s">
        <v>226</v>
      </c>
      <c r="V3" s="3" t="s">
        <v>299</v>
      </c>
      <c r="W3" s="5" t="s">
        <v>294</v>
      </c>
      <c r="X3" s="3" t="s">
        <v>300</v>
      </c>
      <c r="Y3" s="5" t="s">
        <v>296</v>
      </c>
      <c r="Z3" s="5">
        <v>644.1</v>
      </c>
      <c r="AA3" s="3" t="s">
        <v>297</v>
      </c>
      <c r="AB3" s="3" t="s">
        <v>298</v>
      </c>
      <c r="AC3" s="3" t="s">
        <v>233</v>
      </c>
      <c r="AD3" s="5" t="s">
        <v>234</v>
      </c>
      <c r="AE3" s="6" t="str">
        <f>_xlfn.XLOOKUP(AD3,'小红书-订单明细'!P:P,'小红书-订单明细'!P:P)</f>
        <v>68c6d0daf9d8290001dcb030</v>
      </c>
      <c r="AF3" s="32">
        <v>1</v>
      </c>
      <c r="AG3" s="3">
        <v>339</v>
      </c>
      <c r="AH3" s="7">
        <v>304</v>
      </c>
      <c r="AI3" s="3" t="s">
        <v>301</v>
      </c>
      <c r="AJ3" s="3">
        <v>0</v>
      </c>
      <c r="AK3" s="5">
        <v>35</v>
      </c>
      <c r="AL3" s="5">
        <v>0</v>
      </c>
      <c r="AM3" s="3" t="s">
        <v>302</v>
      </c>
      <c r="AN3" s="3" t="s">
        <v>303</v>
      </c>
      <c r="AO3" s="5">
        <v>-16.95</v>
      </c>
      <c r="AP3" s="5">
        <v>339</v>
      </c>
      <c r="AQ3" s="3">
        <v>339</v>
      </c>
      <c r="AR3" s="3" t="s">
        <v>303</v>
      </c>
      <c r="AS3" s="3" t="s">
        <v>101</v>
      </c>
      <c r="AT3" s="3">
        <v>0</v>
      </c>
      <c r="AU3" s="3">
        <v>0</v>
      </c>
      <c r="AV3" s="5">
        <v>0</v>
      </c>
      <c r="AW3" s="3" t="s">
        <v>75</v>
      </c>
      <c r="AX3" s="3" t="s">
        <v>75</v>
      </c>
      <c r="BB3" s="5">
        <v>0</v>
      </c>
      <c r="BC3" s="3">
        <v>0</v>
      </c>
      <c r="BD3" s="3">
        <v>0</v>
      </c>
      <c r="BE3" s="3">
        <v>0</v>
      </c>
      <c r="BF3" s="3">
        <v>0</v>
      </c>
    </row>
    <row r="4" customHeight="1" spans="1:60">
      <c r="A4" s="28">
        <f>YEAR(W4)</f>
        <v>2025</v>
      </c>
      <c r="B4" s="29">
        <f>MONTH(W4)</f>
        <v>10</v>
      </c>
      <c r="C4" s="29" t="str">
        <f>R4</f>
        <v>P775810157576298981</v>
      </c>
      <c r="D4" s="29">
        <f>COUNTIF(R:R,R4)</f>
        <v>3</v>
      </c>
      <c r="E4" s="29">
        <f>COUNTIF($R$2:R4,R4)</f>
        <v>3</v>
      </c>
      <c r="F4" s="30" t="str" cm="1">
        <f t="array" ref="F4">INDEX('小红书-订单明细'!BR:BR,MATCH(R4&amp;AD4,'小红书-订单明细'!A:A&amp;'小红书-订单明细'!P:P,0))</f>
        <v>Z1436-咖色-XL</v>
      </c>
      <c r="G4" s="30" t="str">
        <f>LEFT(F4,FIND("-",F4)-1)</f>
        <v>Z1436</v>
      </c>
      <c r="H4" s="29" cm="1">
        <f t="array" ref="H4">IF(ABS(SUM(AH4,AJ4:AK4)/(INDEX('小红书-订单明细'!X:X,MATCH(R4&amp;AD4,'小红书-订单明细'!A:A&amp;'小红书-订单明细'!P:P,0))/(INDEX('小红书-订单明细'!U:U,MATCH(R4&amp;AD4,'小红书-订单明细'!A:A&amp;'小红书-订单明细'!P:P,0)))))&gt;15%,ROUNDUP(SUM(AH4,AJ4:AK4)/(INDEX('小红书-订单明细'!X:X,MATCH(R4&amp;AD4,'小红书-订单明细'!A:A&amp;'小红书-订单明细'!P:P,0))/(INDEX('小红书-订单明细'!U:U,MATCH(R4&amp;AD4,'小红书-订单明细'!A:A&amp;'小红书-订单明细'!P:P,0)))),0),ROUNDDOWN(SUM(AH4,AJ4:AK4)/(INDEX('小红书-订单明细'!X:X,MATCH(R4&amp;AD4,'小红书-订单明细'!A:A&amp;'小红书-订单明细'!P:P,0))/(INDEX('小红书-订单明细'!U:U,MATCH(R4&amp;AD4,'小红书-订单明细'!A:A&amp;'小红书-订单明细'!P:P,0)))),0))</f>
        <v>1</v>
      </c>
      <c r="I4" s="29">
        <f>AH4</f>
        <v>304</v>
      </c>
      <c r="J4" s="29">
        <f>AK4+AL4</f>
        <v>35</v>
      </c>
      <c r="K4" s="29">
        <f>IF(BB4&lt;=0,BB4,BB4/COUNTIFS(R:R,R4,BB:BB,"&gt;0"))</f>
        <v>0</v>
      </c>
      <c r="L4" s="29">
        <f>-AO4</f>
        <v>16.95</v>
      </c>
      <c r="M4" s="29">
        <f>-AV4</f>
        <v>0</v>
      </c>
      <c r="N4" s="29"/>
      <c r="O4" s="31">
        <f>I4+J4+K4-L4-M4-N4</f>
        <v>322.05</v>
      </c>
      <c r="Q4" s="4" cm="1">
        <f t="array" ref="Q4">SUM(AH4,AJ4:AK4)/(INDEX('小红书-订单明细'!X:X,MATCH(R4&amp;AD4,'小红书-订单明细'!A:A&amp;'小红书-订单明细'!P:P,0))/(INDEX('小红书-订单明细'!U:U,MATCH(R4&amp;AD4,'小红书-订单明细'!A:A&amp;'小红书-订单明细'!P:P,0))))</f>
        <v>1</v>
      </c>
      <c r="R4" s="5" t="s">
        <v>211</v>
      </c>
      <c r="S4" s="6" t="str">
        <f>_xlfn.XLOOKUP(R4,'小红书-订单明细'!A:A,'小红书-订单明细'!A:A)</f>
        <v>P775810157576298981</v>
      </c>
      <c r="U4" s="3" t="s">
        <v>226</v>
      </c>
      <c r="V4" s="3" t="s">
        <v>299</v>
      </c>
      <c r="W4" s="5" t="s">
        <v>294</v>
      </c>
      <c r="X4" s="3" t="s">
        <v>300</v>
      </c>
      <c r="Y4" s="5" t="s">
        <v>296</v>
      </c>
      <c r="Z4" s="5">
        <v>644.1</v>
      </c>
      <c r="AA4" s="3" t="s">
        <v>304</v>
      </c>
      <c r="AB4" s="3" t="s">
        <v>298</v>
      </c>
      <c r="AC4" s="3" t="s">
        <v>219</v>
      </c>
      <c r="AD4" s="5" t="s">
        <v>220</v>
      </c>
      <c r="AE4" s="6" t="str">
        <f>_xlfn.XLOOKUP(AD4,'小红书-订单明细'!P:P,'小红书-订单明细'!P:P)</f>
        <v>68c6d0daf9d8290001dcb033</v>
      </c>
      <c r="AF4" s="32">
        <v>1</v>
      </c>
      <c r="AG4" s="3">
        <v>339</v>
      </c>
      <c r="AH4" s="7">
        <v>304</v>
      </c>
      <c r="AI4" s="3" t="s">
        <v>301</v>
      </c>
      <c r="AJ4" s="3">
        <v>0</v>
      </c>
      <c r="AK4" s="5">
        <v>35</v>
      </c>
      <c r="AL4" s="5">
        <v>0</v>
      </c>
      <c r="AM4" s="3" t="s">
        <v>302</v>
      </c>
      <c r="AN4" s="3" t="s">
        <v>303</v>
      </c>
      <c r="AO4" s="5">
        <v>-16.95</v>
      </c>
      <c r="AP4" s="5">
        <v>339</v>
      </c>
      <c r="AQ4" s="3">
        <v>339</v>
      </c>
      <c r="AR4" s="3" t="s">
        <v>303</v>
      </c>
      <c r="AS4" s="3" t="s">
        <v>101</v>
      </c>
      <c r="AT4" s="3">
        <v>0</v>
      </c>
      <c r="AU4" s="3">
        <v>0</v>
      </c>
      <c r="AV4" s="5">
        <v>0</v>
      </c>
      <c r="AW4" s="3" t="s">
        <v>75</v>
      </c>
      <c r="AX4" s="3" t="s">
        <v>75</v>
      </c>
      <c r="BB4" s="5">
        <v>0</v>
      </c>
      <c r="BC4" s="3">
        <v>0</v>
      </c>
      <c r="BD4" s="3">
        <v>0</v>
      </c>
      <c r="BE4" s="3">
        <v>0</v>
      </c>
      <c r="BF4" s="3">
        <v>0</v>
      </c>
    </row>
    <row r="5" customHeight="1" spans="1:60">
      <c r="A5" s="28">
        <f>YEAR(W5)</f>
        <v>2025</v>
      </c>
      <c r="B5" s="29">
        <f>MONTH(W5)</f>
        <v>10</v>
      </c>
      <c r="C5" s="29" t="str">
        <f>R5</f>
        <v>P776413384104295891</v>
      </c>
      <c r="D5" s="29">
        <f>COUNTIF(R:R,R5)</f>
        <v>1</v>
      </c>
      <c r="E5" s="29">
        <f>COUNTIF($R$2:R5,R5)</f>
        <v>1</v>
      </c>
      <c r="F5" s="30" t="str" cm="1">
        <f t="array" ref="F5">INDEX('小红书-订单明细'!BR:BR,MATCH(R5&amp;AD5,'小红书-订单明细'!A:A&amp;'小红书-订单明细'!P:P,0))</f>
        <v>Z119-黑色-M</v>
      </c>
      <c r="G5" s="30" t="str">
        <f>LEFT(F5,FIND("-",F5)-1)</f>
        <v>Z119</v>
      </c>
      <c r="H5" s="29" cm="1">
        <f t="array" ref="H5">IF(ABS(SUM(AH5,AJ5:AK5)/(INDEX('小红书-订单明细'!X:X,MATCH(R5&amp;AD5,'小红书-订单明细'!A:A&amp;'小红书-订单明细'!P:P,0))/(INDEX('小红书-订单明细'!U:U,MATCH(R5&amp;AD5,'小红书-订单明细'!A:A&amp;'小红书-订单明细'!P:P,0)))))&gt;15%,ROUNDUP(SUM(AH5,AJ5:AK5)/(INDEX('小红书-订单明细'!X:X,MATCH(R5&amp;AD5,'小红书-订单明细'!A:A&amp;'小红书-订单明细'!P:P,0))/(INDEX('小红书-订单明细'!U:U,MATCH(R5&amp;AD5,'小红书-订单明细'!A:A&amp;'小红书-订单明细'!P:P,0)))),0),ROUNDDOWN(SUM(AH5,AJ5:AK5)/(INDEX('小红书-订单明细'!X:X,MATCH(R5&amp;AD5,'小红书-订单明细'!A:A&amp;'小红书-订单明细'!P:P,0))/(INDEX('小红书-订单明细'!U:U,MATCH(R5&amp;AD5,'小红书-订单明细'!A:A&amp;'小红书-订单明细'!P:P,0)))),0))</f>
        <v>1</v>
      </c>
      <c r="I5" s="29">
        <f>AH5</f>
        <v>180</v>
      </c>
      <c r="J5" s="29">
        <f>AK5+AL5</f>
        <v>0</v>
      </c>
      <c r="K5" s="29">
        <f>IF(BB5&lt;=0,BB5,BB5/COUNTIFS(R:R,R5,BB:BB,"&gt;0"))</f>
        <v>0</v>
      </c>
      <c r="L5" s="29">
        <f>-AO5</f>
        <v>9</v>
      </c>
      <c r="M5" s="29">
        <f>-AV5</f>
        <v>1.08</v>
      </c>
      <c r="N5" s="29"/>
      <c r="O5" s="31">
        <f>I5+J5+K5-L5-M5-N5</f>
        <v>169.92</v>
      </c>
      <c r="Q5" s="4" cm="1">
        <f t="array" ref="Q5">SUM(AH5,AJ5:AK5)/(INDEX('小红书-订单明细'!X:X,MATCH(R5&amp;AD5,'小红书-订单明细'!A:A&amp;'小红书-订单明细'!P:P,0))/(INDEX('小红书-订单明细'!U:U,MATCH(R5&amp;AD5,'小红书-订单明细'!A:A&amp;'小红书-订单明细'!P:P,0))))</f>
        <v>1</v>
      </c>
      <c r="R5" s="5" t="s">
        <v>109</v>
      </c>
      <c r="S5" s="6" t="str">
        <f>_xlfn.XLOOKUP(R5,'小红书-订单明细'!A:A,'小红书-订单明细'!A:A)</f>
        <v>P776413384104295891</v>
      </c>
      <c r="U5" s="3" t="s">
        <v>128</v>
      </c>
      <c r="V5" s="3" t="s">
        <v>131</v>
      </c>
      <c r="W5" s="5" t="s">
        <v>305</v>
      </c>
      <c r="X5" s="3" t="s">
        <v>300</v>
      </c>
      <c r="Y5" s="5" t="s">
        <v>296</v>
      </c>
      <c r="Z5" s="5">
        <v>169.92</v>
      </c>
      <c r="AA5" s="3" t="s">
        <v>306</v>
      </c>
      <c r="AB5" s="3" t="s">
        <v>307</v>
      </c>
      <c r="AC5" s="3" t="s">
        <v>118</v>
      </c>
      <c r="AD5" s="5" t="s">
        <v>119</v>
      </c>
      <c r="AE5" s="6" t="str">
        <f>_xlfn.XLOOKUP(AD5,'小红书-订单明细'!P:P,'小红书-订单明细'!P:P)</f>
        <v>68bc2b917be29900156dcb02</v>
      </c>
      <c r="AF5" s="32">
        <v>1</v>
      </c>
      <c r="AG5" s="3">
        <v>180</v>
      </c>
      <c r="AH5" s="7">
        <v>180</v>
      </c>
      <c r="AI5" s="3" t="s">
        <v>75</v>
      </c>
      <c r="AJ5" s="3">
        <v>0</v>
      </c>
      <c r="AK5" s="5">
        <v>0</v>
      </c>
      <c r="AL5" s="5">
        <v>0</v>
      </c>
      <c r="AM5" s="3" t="s">
        <v>302</v>
      </c>
      <c r="AN5" s="3" t="s">
        <v>303</v>
      </c>
      <c r="AO5" s="5">
        <v>-9</v>
      </c>
      <c r="AP5" s="5">
        <v>180</v>
      </c>
      <c r="AQ5" s="3">
        <v>180</v>
      </c>
      <c r="AR5" s="3" t="s">
        <v>303</v>
      </c>
      <c r="AS5" s="3" t="s">
        <v>101</v>
      </c>
      <c r="AT5" s="3">
        <v>0</v>
      </c>
      <c r="AU5" s="3">
        <v>0.006</v>
      </c>
      <c r="AV5" s="5">
        <v>-1.08</v>
      </c>
      <c r="AW5" s="3" t="s">
        <v>120</v>
      </c>
      <c r="AX5" s="3" t="s">
        <v>121</v>
      </c>
      <c r="AY5" s="3" t="s">
        <v>308</v>
      </c>
      <c r="BB5" s="5">
        <v>0</v>
      </c>
      <c r="BC5" s="3">
        <v>0</v>
      </c>
      <c r="BD5" s="3">
        <v>0</v>
      </c>
      <c r="BE5" s="3">
        <v>0</v>
      </c>
      <c r="BF5" s="3">
        <v>0</v>
      </c>
    </row>
    <row r="6" customHeight="1" spans="1:60">
      <c r="A6" s="28">
        <f>YEAR(W6)</f>
        <v>2025</v>
      </c>
      <c r="B6" s="29">
        <f>MONTH(W6)</f>
        <v>10</v>
      </c>
      <c r="C6" s="29" t="str">
        <f>R6</f>
        <v>P776212592782130361</v>
      </c>
      <c r="D6" s="29">
        <f>COUNTIF(R:R,R6)</f>
        <v>2</v>
      </c>
      <c r="E6" s="29">
        <f>COUNTIF($R$2:R6,R6)</f>
        <v>1</v>
      </c>
      <c r="F6" s="30" t="str" cm="1">
        <f t="array" ref="F6">INDEX('小红书-订单明细'!BR:BR,MATCH(R6&amp;AD6,'小红书-订单明细'!A:A&amp;'小红书-订单明细'!P:P,0))</f>
        <v>Z2561-深灰色-M</v>
      </c>
      <c r="G6" s="30" t="str">
        <f>LEFT(F6,FIND("-",F6)-1)</f>
        <v>Z2561</v>
      </c>
      <c r="H6" s="29" cm="1">
        <f t="array" ref="H6">IF(ABS(SUM(AH6,AJ6:AK6)/(INDEX('小红书-订单明细'!X:X,MATCH(R6&amp;AD6,'小红书-订单明细'!A:A&amp;'小红书-订单明细'!P:P,0))/(INDEX('小红书-订单明细'!U:U,MATCH(R6&amp;AD6,'小红书-订单明细'!A:A&amp;'小红书-订单明细'!P:P,0)))))&gt;15%,ROUNDUP(SUM(AH6,AJ6:AK6)/(INDEX('小红书-订单明细'!X:X,MATCH(R6&amp;AD6,'小红书-订单明细'!A:A&amp;'小红书-订单明细'!P:P,0))/(INDEX('小红书-订单明细'!U:U,MATCH(R6&amp;AD6,'小红书-订单明细'!A:A&amp;'小红书-订单明细'!P:P,0)))),0),ROUNDDOWN(SUM(AH6,AJ6:AK6)/(INDEX('小红书-订单明细'!X:X,MATCH(R6&amp;AD6,'小红书-订单明细'!A:A&amp;'小红书-订单明细'!P:P,0))/(INDEX('小红书-订单明细'!U:U,MATCH(R6&amp;AD6,'小红书-订单明细'!A:A&amp;'小红书-订单明细'!P:P,0)))),0))</f>
        <v>-1</v>
      </c>
      <c r="I6" s="29">
        <f>AH6</f>
        <v>-299</v>
      </c>
      <c r="J6" s="29">
        <f>AK6+AL6</f>
        <v>0</v>
      </c>
      <c r="K6" s="29">
        <f>IF(BB6&lt;=0,BB6,BB6/COUNTIFS(R:R,R6,BB:BB,"&gt;0"))</f>
        <v>0</v>
      </c>
      <c r="L6" s="29">
        <f>-AO6</f>
        <v>-14.95</v>
      </c>
      <c r="M6" s="29">
        <f>-AV6</f>
        <v>-1.79</v>
      </c>
      <c r="N6" s="29"/>
      <c r="O6" s="31">
        <f>I6+J6+K6-L6-M6-N6</f>
        <v>-282.26</v>
      </c>
      <c r="Q6" s="4" cm="1">
        <f t="array" ref="Q6">SUM(AH6,AJ6:AK6)/(INDEX('小红书-订单明细'!X:X,MATCH(R6&amp;AD6,'小红书-订单明细'!A:A&amp;'小红书-订单明细'!P:P,0))/(INDEX('小红书-订单明细'!U:U,MATCH(R6&amp;AD6,'小红书-订单明细'!A:A&amp;'小红书-订单明细'!P:P,0))))</f>
        <v>-1</v>
      </c>
      <c r="R6" s="5" t="s">
        <v>136</v>
      </c>
      <c r="S6" s="6" t="str">
        <f>_xlfn.XLOOKUP(R6,'小红书-订单明细'!A:A,'小红书-订单明细'!A:A)</f>
        <v>P776212592782130361</v>
      </c>
      <c r="T6" s="3" t="s">
        <v>309</v>
      </c>
      <c r="U6" s="3" t="s">
        <v>310</v>
      </c>
      <c r="V6" s="3" t="s">
        <v>311</v>
      </c>
      <c r="W6" s="5" t="s">
        <v>312</v>
      </c>
      <c r="X6" s="3" t="s">
        <v>295</v>
      </c>
      <c r="Y6" s="5" t="s">
        <v>296</v>
      </c>
      <c r="Z6" s="5">
        <v>-282.26</v>
      </c>
      <c r="AA6" s="3" t="s">
        <v>313</v>
      </c>
      <c r="AB6" s="3" t="s">
        <v>314</v>
      </c>
      <c r="AC6" s="3" t="s">
        <v>147</v>
      </c>
      <c r="AD6" s="5" t="s">
        <v>148</v>
      </c>
      <c r="AE6" s="6" t="str">
        <f>_xlfn.XLOOKUP(AD6,'小红书-订单明细'!P:P,'小红书-订单明细'!P:P)</f>
        <v>68e90d604290ae0015508d8e</v>
      </c>
      <c r="AG6" s="3">
        <v>-299</v>
      </c>
      <c r="AH6" s="7">
        <v>-299</v>
      </c>
      <c r="AJ6" s="3">
        <v>0</v>
      </c>
      <c r="AK6" s="5">
        <v>0</v>
      </c>
      <c r="AL6" s="5">
        <v>0</v>
      </c>
      <c r="AO6" s="5">
        <v>14.95</v>
      </c>
      <c r="AS6" s="3" t="s">
        <v>101</v>
      </c>
      <c r="AT6" s="3">
        <v>0</v>
      </c>
      <c r="AV6" s="5">
        <v>1.79</v>
      </c>
      <c r="AW6" s="3" t="s">
        <v>120</v>
      </c>
      <c r="AX6" s="3" t="s">
        <v>121</v>
      </c>
      <c r="AY6" s="3" t="s">
        <v>308</v>
      </c>
      <c r="BB6" s="5">
        <v>0</v>
      </c>
      <c r="BC6" s="3">
        <v>0</v>
      </c>
      <c r="BD6" s="3">
        <v>0</v>
      </c>
      <c r="BE6" s="3">
        <v>0</v>
      </c>
      <c r="BF6" s="3">
        <v>0</v>
      </c>
    </row>
    <row r="7" customHeight="1" spans="1:60">
      <c r="A7" s="28">
        <f>YEAR(W7)</f>
        <v>2025</v>
      </c>
      <c r="B7" s="29">
        <f>MONTH(W7)</f>
        <v>10</v>
      </c>
      <c r="C7" s="29" t="str">
        <f>R7</f>
        <v>P776212592782130361</v>
      </c>
      <c r="D7" s="29">
        <f>COUNTIF(R:R,R7)</f>
        <v>2</v>
      </c>
      <c r="E7" s="29">
        <f>COUNTIF($R$2:R7,R7)</f>
        <v>2</v>
      </c>
      <c r="F7" s="30" t="str" cm="1">
        <f t="array" ref="F7">INDEX('小红书-订单明细'!BR:BR,MATCH(R7&amp;AD7,'小红书-订单明细'!A:A&amp;'小红书-订单明细'!P:P,0))</f>
        <v>Z2561-深灰色-M</v>
      </c>
      <c r="G7" s="30" t="str">
        <f>LEFT(F7,FIND("-",F7)-1)</f>
        <v>Z2561</v>
      </c>
      <c r="H7" s="29" cm="1">
        <f t="array" ref="H7">IF(ABS(SUM(AH7,AJ7:AK7)/(INDEX('小红书-订单明细'!X:X,MATCH(R7&amp;AD7,'小红书-订单明细'!A:A&amp;'小红书-订单明细'!P:P,0))/(INDEX('小红书-订单明细'!U:U,MATCH(R7&amp;AD7,'小红书-订单明细'!A:A&amp;'小红书-订单明细'!P:P,0)))))&gt;15%,ROUNDUP(SUM(AH7,AJ7:AK7)/(INDEX('小红书-订单明细'!X:X,MATCH(R7&amp;AD7,'小红书-订单明细'!A:A&amp;'小红书-订单明细'!P:P,0))/(INDEX('小红书-订单明细'!U:U,MATCH(R7&amp;AD7,'小红书-订单明细'!A:A&amp;'小红书-订单明细'!P:P,0)))),0),ROUNDDOWN(SUM(AH7,AJ7:AK7)/(INDEX('小红书-订单明细'!X:X,MATCH(R7&amp;AD7,'小红书-订单明细'!A:A&amp;'小红书-订单明细'!P:P,0))/(INDEX('小红书-订单明细'!U:U,MATCH(R7&amp;AD7,'小红书-订单明细'!A:A&amp;'小红书-订单明细'!P:P,0)))),0))</f>
        <v>1</v>
      </c>
      <c r="I7" s="29">
        <f>AH7</f>
        <v>299</v>
      </c>
      <c r="J7" s="29">
        <f>AK7+AL7</f>
        <v>0</v>
      </c>
      <c r="K7" s="29">
        <f>IF(BB7&lt;=0,BB7,BB7/COUNTIFS(R:R,R7,BB:BB,"&gt;0"))</f>
        <v>0</v>
      </c>
      <c r="L7" s="29">
        <f>-AO7</f>
        <v>14.95</v>
      </c>
      <c r="M7" s="29">
        <f>-AV7</f>
        <v>1.79</v>
      </c>
      <c r="N7" s="29"/>
      <c r="O7" s="31">
        <f>I7+J7+K7-L7-M7-N7</f>
        <v>282.26</v>
      </c>
      <c r="Q7" s="4" cm="1">
        <f t="array" ref="Q7">SUM(AH7,AJ7:AK7)/(INDEX('小红书-订单明细'!X:X,MATCH(R7&amp;AD7,'小红书-订单明细'!A:A&amp;'小红书-订单明细'!P:P,0))/(INDEX('小红书-订单明细'!U:U,MATCH(R7&amp;AD7,'小红书-订单明细'!A:A&amp;'小红书-订单明细'!P:P,0))))</f>
        <v>1</v>
      </c>
      <c r="R7" s="5" t="s">
        <v>136</v>
      </c>
      <c r="S7" s="6" t="str">
        <f>_xlfn.XLOOKUP(R7,'小红书-订单明细'!A:A,'小红书-订单明细'!A:A)</f>
        <v>P776212592782130361</v>
      </c>
      <c r="U7" s="3" t="s">
        <v>310</v>
      </c>
      <c r="V7" s="3" t="s">
        <v>315</v>
      </c>
      <c r="W7" s="5" t="s">
        <v>312</v>
      </c>
      <c r="X7" s="3" t="s">
        <v>300</v>
      </c>
      <c r="Y7" s="5" t="s">
        <v>296</v>
      </c>
      <c r="Z7" s="5">
        <v>282.26</v>
      </c>
      <c r="AA7" s="3" t="s">
        <v>313</v>
      </c>
      <c r="AB7" s="3" t="s">
        <v>314</v>
      </c>
      <c r="AC7" s="3" t="s">
        <v>147</v>
      </c>
      <c r="AD7" s="5" t="s">
        <v>148</v>
      </c>
      <c r="AE7" s="6" t="str">
        <f>_xlfn.XLOOKUP(AD7,'小红书-订单明细'!P:P,'小红书-订单明细'!P:P)</f>
        <v>68e90d604290ae0015508d8e</v>
      </c>
      <c r="AF7" s="32">
        <v>1</v>
      </c>
      <c r="AG7" s="3">
        <v>299</v>
      </c>
      <c r="AH7" s="7">
        <v>299</v>
      </c>
      <c r="AI7" s="3" t="s">
        <v>75</v>
      </c>
      <c r="AJ7" s="3">
        <v>0</v>
      </c>
      <c r="AK7" s="5">
        <v>0</v>
      </c>
      <c r="AL7" s="5">
        <v>0</v>
      </c>
      <c r="AM7" s="3" t="s">
        <v>302</v>
      </c>
      <c r="AN7" s="3" t="s">
        <v>303</v>
      </c>
      <c r="AO7" s="5">
        <v>-14.95</v>
      </c>
      <c r="AP7" s="5">
        <v>299</v>
      </c>
      <c r="AQ7" s="3">
        <v>299</v>
      </c>
      <c r="AR7" s="3" t="s">
        <v>303</v>
      </c>
      <c r="AS7" s="3" t="s">
        <v>101</v>
      </c>
      <c r="AT7" s="3">
        <v>0</v>
      </c>
      <c r="AU7" s="3">
        <v>0.006</v>
      </c>
      <c r="AV7" s="5">
        <v>-1.79</v>
      </c>
      <c r="AW7" s="3" t="s">
        <v>120</v>
      </c>
      <c r="AX7" s="3" t="s">
        <v>121</v>
      </c>
      <c r="AY7" s="3" t="s">
        <v>308</v>
      </c>
      <c r="BB7" s="5">
        <v>0</v>
      </c>
      <c r="BC7" s="3">
        <v>0</v>
      </c>
      <c r="BD7" s="3">
        <v>0</v>
      </c>
      <c r="BE7" s="3">
        <v>0</v>
      </c>
      <c r="BF7" s="3">
        <v>0</v>
      </c>
    </row>
    <row r="8" customHeight="1" spans="1:60">
      <c r="A8" s="28">
        <f>YEAR(W8)</f>
        <v>2025</v>
      </c>
      <c r="B8" s="29">
        <f>MONTH(W8)</f>
        <v>10</v>
      </c>
      <c r="C8" s="29" t="str">
        <f>R8</f>
        <v>P776450506670185383</v>
      </c>
      <c r="D8" s="29">
        <f>COUNTIF(R:R,R8)</f>
        <v>1</v>
      </c>
      <c r="E8" s="29">
        <f>COUNTIF($R$2:R8,R8)</f>
        <v>1</v>
      </c>
      <c r="F8" s="30" t="str" cm="1">
        <f t="array" ref="F8">INDEX('小红书-订单明细'!BR:BR,MATCH(R8&amp;AD8,'小红书-订单明细'!A:A&amp;'小红书-订单明细'!P:P,0))</f>
        <v>Z1744-黑色-S</v>
      </c>
      <c r="G8" s="30" t="str">
        <f>LEFT(F8,FIND("-",F8)-1)</f>
        <v>Z1744</v>
      </c>
      <c r="H8" s="29" cm="1">
        <f t="array" ref="H8">IF(ABS(SUM(AH8,AJ8:AK8)/(INDEX('小红书-订单明细'!X:X,MATCH(R8&amp;AD8,'小红书-订单明细'!A:A&amp;'小红书-订单明细'!P:P,0))/(INDEX('小红书-订单明细'!U:U,MATCH(R8&amp;AD8,'小红书-订单明细'!A:A&amp;'小红书-订单明细'!P:P,0)))))&gt;15%,ROUNDUP(SUM(AH8,AJ8:AK8)/(INDEX('小红书-订单明细'!X:X,MATCH(R8&amp;AD8,'小红书-订单明细'!A:A&amp;'小红书-订单明细'!P:P,0))/(INDEX('小红书-订单明细'!U:U,MATCH(R8&amp;AD8,'小红书-订单明细'!A:A&amp;'小红书-订单明细'!P:P,0)))),0),ROUNDDOWN(SUM(AH8,AJ8:AK8)/(INDEX('小红书-订单明细'!X:X,MATCH(R8&amp;AD8,'小红书-订单明细'!A:A&amp;'小红书-订单明细'!P:P,0))/(INDEX('小红书-订单明细'!U:U,MATCH(R8&amp;AD8,'小红书-订单明细'!A:A&amp;'小红书-订单明细'!P:P,0)))),0))</f>
        <v>1</v>
      </c>
      <c r="I8" s="29">
        <f>AH8</f>
        <v>254.47</v>
      </c>
      <c r="J8" s="29">
        <f>AK8+AL8</f>
        <v>34.53</v>
      </c>
      <c r="K8" s="29">
        <f>IF(BB8&lt;=0,BB8,BB8/COUNTIFS(R:R,R8,BB:BB,"&gt;0"))</f>
        <v>0</v>
      </c>
      <c r="L8" s="29">
        <f>-AO8</f>
        <v>14.45</v>
      </c>
      <c r="M8" s="29">
        <f>-AV8</f>
        <v>0</v>
      </c>
      <c r="N8" s="29"/>
      <c r="O8" s="31">
        <f>I8+J8+K8-L8-M8-N8</f>
        <v>274.55</v>
      </c>
      <c r="Q8" s="4" cm="1">
        <f t="array" ref="Q8">SUM(AH8,AJ8:AK8)/(INDEX('小红书-订单明细'!X:X,MATCH(R8&amp;AD8,'小红书-订单明细'!A:A&amp;'小红书-订单明细'!P:P,0))/(INDEX('小红书-订单明细'!U:U,MATCH(R8&amp;AD8,'小红书-订单明细'!A:A&amp;'小红书-订单明细'!P:P,0))))</f>
        <v>1</v>
      </c>
      <c r="R8" s="5" t="s">
        <v>71</v>
      </c>
      <c r="S8" s="6" t="str">
        <f>_xlfn.XLOOKUP(R8,'小红书-订单明细'!A:A,'小红书-订单明细'!A:A)</f>
        <v>P776450506670185383</v>
      </c>
      <c r="U8" s="3" t="s">
        <v>316</v>
      </c>
      <c r="V8" s="3" t="s">
        <v>98</v>
      </c>
      <c r="W8" s="5" t="s">
        <v>317</v>
      </c>
      <c r="X8" s="3" t="s">
        <v>300</v>
      </c>
      <c r="Y8" s="5" t="s">
        <v>296</v>
      </c>
      <c r="Z8" s="5">
        <v>274.55</v>
      </c>
      <c r="AA8" s="3" t="s">
        <v>318</v>
      </c>
      <c r="AB8" s="3" t="s">
        <v>319</v>
      </c>
      <c r="AC8" s="3" t="s">
        <v>84</v>
      </c>
      <c r="AD8" s="5" t="s">
        <v>85</v>
      </c>
      <c r="AE8" s="6" t="str">
        <f>_xlfn.XLOOKUP(AD8,'小红书-订单明细'!P:P,'小红书-订单明细'!P:P)</f>
        <v>689d98fa3b9d470015b74584</v>
      </c>
      <c r="AF8" s="32">
        <v>1</v>
      </c>
      <c r="AG8" s="3">
        <v>289</v>
      </c>
      <c r="AH8" s="7">
        <v>254.47</v>
      </c>
      <c r="AI8" s="3" t="s">
        <v>301</v>
      </c>
      <c r="AJ8" s="3">
        <v>0</v>
      </c>
      <c r="AK8" s="5">
        <v>34.53</v>
      </c>
      <c r="AL8" s="5">
        <v>0</v>
      </c>
      <c r="AM8" s="3" t="s">
        <v>302</v>
      </c>
      <c r="AN8" s="3" t="s">
        <v>303</v>
      </c>
      <c r="AO8" s="5">
        <v>-14.45</v>
      </c>
      <c r="AP8" s="5">
        <v>289</v>
      </c>
      <c r="AQ8" s="3">
        <v>289</v>
      </c>
      <c r="AR8" s="3" t="s">
        <v>303</v>
      </c>
      <c r="AS8" s="3" t="s">
        <v>101</v>
      </c>
      <c r="AT8" s="3">
        <v>0</v>
      </c>
      <c r="AU8" s="3">
        <v>0</v>
      </c>
      <c r="AV8" s="5">
        <v>0</v>
      </c>
      <c r="AW8" s="3" t="s">
        <v>75</v>
      </c>
      <c r="AX8" s="3" t="s">
        <v>75</v>
      </c>
      <c r="BB8" s="5">
        <v>0</v>
      </c>
      <c r="BC8" s="3">
        <v>0</v>
      </c>
      <c r="BD8" s="3">
        <v>0</v>
      </c>
      <c r="BE8" s="3">
        <v>0</v>
      </c>
      <c r="BF8" s="3">
        <v>0</v>
      </c>
    </row>
    <row r="9" customHeight="1" spans="1:60">
      <c r="A9" s="28">
        <f>YEAR(W9)</f>
        <v>2025</v>
      </c>
      <c r="B9" s="29">
        <f>MONTH(W9)</f>
        <v>10</v>
      </c>
      <c r="C9" s="29" t="str">
        <f>R9</f>
        <v>P776035102571191292</v>
      </c>
      <c r="D9" s="29">
        <f>COUNTIF(R:R,R9)</f>
        <v>1</v>
      </c>
      <c r="E9" s="29">
        <f>COUNTIF($R$2:R9,R9)</f>
        <v>1</v>
      </c>
      <c r="F9" s="30" t="str" cm="1">
        <f t="array" ref="F9">INDEX('小红书-订单明细'!BR:BR,MATCH(R9&amp;AD9,'小红书-订单明细'!A:A&amp;'小红书-订单明细'!P:P,0))</f>
        <v>Z1436-咖色-M</v>
      </c>
      <c r="G9" s="30" t="str">
        <f>LEFT(F9,FIND("-",F9)-1)</f>
        <v>Z1436</v>
      </c>
      <c r="H9" s="29" cm="1">
        <f t="array" ref="H9">IF(ABS(SUM(AH9,AJ9:AK9)/(INDEX('小红书-订单明细'!X:X,MATCH(R9&amp;AD9,'小红书-订单明细'!A:A&amp;'小红书-订单明细'!P:P,0))/(INDEX('小红书-订单明细'!U:U,MATCH(R9&amp;AD9,'小红书-订单明细'!A:A&amp;'小红书-订单明细'!P:P,0)))))&gt;15%,ROUNDUP(SUM(AH9,AJ9:AK9)/(INDEX('小红书-订单明细'!X:X,MATCH(R9&amp;AD9,'小红书-订单明细'!A:A&amp;'小红书-订单明细'!P:P,0))/(INDEX('小红书-订单明细'!U:U,MATCH(R9&amp;AD9,'小红书-订单明细'!A:A&amp;'小红书-订单明细'!P:P,0)))),0),ROUNDDOWN(SUM(AH9,AJ9:AK9)/(INDEX('小红书-订单明细'!X:X,MATCH(R9&amp;AD9,'小红书-订单明细'!A:A&amp;'小红书-订单明细'!P:P,0))/(INDEX('小红书-订单明细'!U:U,MATCH(R9&amp;AD9,'小红书-订单明细'!A:A&amp;'小红书-订单明细'!P:P,0)))),0))</f>
        <v>1</v>
      </c>
      <c r="I9" s="29">
        <f>AH9</f>
        <v>288.16</v>
      </c>
      <c r="J9" s="29">
        <f>AK9+AL9</f>
        <v>50.84</v>
      </c>
      <c r="K9" s="29">
        <f>IF(BB9&lt;=0,BB9,BB9/COUNTIFS(R:R,R9,BB:BB,"&gt;0"))</f>
        <v>0</v>
      </c>
      <c r="L9" s="29">
        <f>-AO9</f>
        <v>16.95</v>
      </c>
      <c r="M9" s="29">
        <f>-AV9</f>
        <v>0</v>
      </c>
      <c r="N9" s="29"/>
      <c r="O9" s="31">
        <f>I9+J9+K9-L9-M9-N9</f>
        <v>322.05</v>
      </c>
      <c r="Q9" s="4" cm="1">
        <f t="array" ref="Q9">SUM(AH9,AJ9:AK9)/(INDEX('小红书-订单明细'!X:X,MATCH(R9&amp;AD9,'小红书-订单明细'!A:A&amp;'小红书-订单明细'!P:P,0))/(INDEX('小红书-订单明细'!U:U,MATCH(R9&amp;AD9,'小红书-订单明细'!A:A&amp;'小红书-订单明细'!P:P,0))))</f>
        <v>1</v>
      </c>
      <c r="R9" s="5" t="s">
        <v>164</v>
      </c>
      <c r="S9" s="6" t="str">
        <f>_xlfn.XLOOKUP(R9,'小红书-订单明细'!A:A,'小红书-订单明细'!A:A)</f>
        <v>P776035102571191292</v>
      </c>
      <c r="U9" s="3" t="s">
        <v>178</v>
      </c>
      <c r="V9" s="3" t="s">
        <v>181</v>
      </c>
      <c r="W9" s="5" t="s">
        <v>320</v>
      </c>
      <c r="X9" s="3" t="s">
        <v>300</v>
      </c>
      <c r="Y9" s="5" t="s">
        <v>296</v>
      </c>
      <c r="Z9" s="5">
        <v>322.05</v>
      </c>
      <c r="AA9" s="3" t="s">
        <v>321</v>
      </c>
      <c r="AB9" s="3" t="s">
        <v>298</v>
      </c>
      <c r="AC9" s="3" t="s">
        <v>172</v>
      </c>
      <c r="AD9" s="5" t="s">
        <v>173</v>
      </c>
      <c r="AE9" s="6" t="str">
        <f>_xlfn.XLOOKUP(AD9,'小红书-订单明细'!P:P,'小红书-订单明细'!P:P)</f>
        <v>68c6d0daf9d8290001dcb02d</v>
      </c>
      <c r="AF9" s="32">
        <v>1</v>
      </c>
      <c r="AG9" s="3">
        <v>339</v>
      </c>
      <c r="AH9" s="7">
        <v>288.16</v>
      </c>
      <c r="AI9" s="3" t="s">
        <v>301</v>
      </c>
      <c r="AJ9" s="3">
        <v>0</v>
      </c>
      <c r="AK9" s="5">
        <v>50.84</v>
      </c>
      <c r="AL9" s="5">
        <v>0</v>
      </c>
      <c r="AM9" s="3" t="s">
        <v>302</v>
      </c>
      <c r="AN9" s="3" t="s">
        <v>303</v>
      </c>
      <c r="AO9" s="5">
        <v>-16.95</v>
      </c>
      <c r="AP9" s="5">
        <v>339</v>
      </c>
      <c r="AQ9" s="3">
        <v>339</v>
      </c>
      <c r="AR9" s="3" t="s">
        <v>303</v>
      </c>
      <c r="AS9" s="3" t="s">
        <v>101</v>
      </c>
      <c r="AT9" s="3">
        <v>0</v>
      </c>
      <c r="AU9" s="3">
        <v>0</v>
      </c>
      <c r="AV9" s="5">
        <v>0</v>
      </c>
      <c r="AW9" s="3" t="s">
        <v>75</v>
      </c>
      <c r="AX9" s="3" t="s">
        <v>75</v>
      </c>
      <c r="BB9" s="5">
        <v>0</v>
      </c>
      <c r="BC9" s="3">
        <v>0</v>
      </c>
      <c r="BD9" s="3">
        <v>0</v>
      </c>
      <c r="BE9" s="3">
        <v>0</v>
      </c>
      <c r="BF9" s="3">
        <v>0</v>
      </c>
    </row>
    <row r="10" customHeight="1" spans="1:60">
      <c r="A10" s="28">
        <f>YEAR(W10)</f>
        <v>2025</v>
      </c>
      <c r="B10" s="29">
        <f>MONTH(W10)</f>
        <v>10</v>
      </c>
      <c r="C10" s="29" t="str">
        <f>R10</f>
        <v>P775954589917164071</v>
      </c>
      <c r="D10" s="29">
        <f>COUNTIF(R:R,R10)</f>
        <v>2</v>
      </c>
      <c r="E10" s="29">
        <f>COUNTIF($R$2:R10,R10)</f>
        <v>1</v>
      </c>
      <c r="F10" s="30" t="str" cm="1">
        <f t="array" ref="F10">INDEX('小红书-订单明细'!BR:BR,MATCH(R10&amp;AD10,'小红书-订单明细'!A:A&amp;'小红书-订单明细'!P:P,0))</f>
        <v>Z1326-奶茶色-M</v>
      </c>
      <c r="G10" s="30" t="str">
        <f>LEFT(F10,FIND("-",F10)-1)</f>
        <v>Z1326</v>
      </c>
      <c r="H10" s="29" cm="1">
        <f t="array" ref="H10">IF(ABS(SUM(AH10,AJ10:AK10)/(INDEX('小红书-订单明细'!X:X,MATCH(R10&amp;AD10,'小红书-订单明细'!A:A&amp;'小红书-订单明细'!P:P,0))/(INDEX('小红书-订单明细'!U:U,MATCH(R10&amp;AD10,'小红书-订单明细'!A:A&amp;'小红书-订单明细'!P:P,0)))))&gt;15%,ROUNDUP(SUM(AH10,AJ10:AK10)/(INDEX('小红书-订单明细'!X:X,MATCH(R10&amp;AD10,'小红书-订单明细'!A:A&amp;'小红书-订单明细'!P:P,0))/(INDEX('小红书-订单明细'!U:U,MATCH(R10&amp;AD10,'小红书-订单明细'!A:A&amp;'小红书-订单明细'!P:P,0)))),0),ROUNDDOWN(SUM(AH10,AJ10:AK10)/(INDEX('小红书-订单明细'!X:X,MATCH(R10&amp;AD10,'小红书-订单明细'!A:A&amp;'小红书-订单明细'!P:P,0))/(INDEX('小红书-订单明细'!U:U,MATCH(R10&amp;AD10,'小红书-订单明细'!A:A&amp;'小红书-订单明细'!P:P,0)))),0))</f>
        <v>-1</v>
      </c>
      <c r="I10" s="29">
        <f>AH10</f>
        <v>-139</v>
      </c>
      <c r="J10" s="29">
        <f>AK10+AL10</f>
        <v>0</v>
      </c>
      <c r="K10" s="29">
        <f>IF(BB10&lt;=0,BB10,BB10/COUNTIFS(R:R,R10,BB:BB,"&gt;0"))</f>
        <v>0</v>
      </c>
      <c r="L10" s="29">
        <f>-AO10</f>
        <v>-6.95</v>
      </c>
      <c r="M10" s="29">
        <f>-AV10</f>
        <v>-0.83</v>
      </c>
      <c r="N10" s="29"/>
      <c r="O10" s="31">
        <f>I10+J10+K10-L10-M10-N10</f>
        <v>-131.22</v>
      </c>
      <c r="Q10" s="4" cm="1">
        <f t="array" ref="Q10">SUM(AH10,AJ10:AK10)/(INDEX('小红书-订单明细'!X:X,MATCH(R10&amp;AD10,'小红书-订单明细'!A:A&amp;'小红书-订单明细'!P:P,0))/(INDEX('小红书-订单明细'!U:U,MATCH(R10&amp;AD10,'小红书-订单明细'!A:A&amp;'小红书-订单明细'!P:P,0))))</f>
        <v>-1</v>
      </c>
      <c r="R10" s="5" t="s">
        <v>186</v>
      </c>
      <c r="S10" s="6" t="str">
        <f>_xlfn.XLOOKUP(R10,'小红书-订单明细'!A:A,'小红书-订单明细'!A:A)</f>
        <v>P775954589917164071</v>
      </c>
      <c r="T10" s="3" t="s">
        <v>322</v>
      </c>
      <c r="U10" s="3" t="s">
        <v>323</v>
      </c>
      <c r="V10" s="3" t="s">
        <v>324</v>
      </c>
      <c r="W10" s="5" t="s">
        <v>325</v>
      </c>
      <c r="X10" s="3" t="s">
        <v>295</v>
      </c>
      <c r="Y10" s="5" t="s">
        <v>296</v>
      </c>
      <c r="Z10" s="5">
        <v>-131.22</v>
      </c>
      <c r="AA10" s="3" t="s">
        <v>326</v>
      </c>
      <c r="AB10" s="3" t="s">
        <v>307</v>
      </c>
      <c r="AC10" s="3" t="s">
        <v>195</v>
      </c>
      <c r="AD10" s="5" t="s">
        <v>196</v>
      </c>
      <c r="AE10" s="6" t="str">
        <f>_xlfn.XLOOKUP(AD10,'小红书-订单明细'!P:P,'小红书-订单明细'!P:P)</f>
        <v>68cea8f7f6cbe500156c0153</v>
      </c>
      <c r="AG10" s="3">
        <v>-139</v>
      </c>
      <c r="AH10" s="7">
        <v>-139</v>
      </c>
      <c r="AJ10" s="3">
        <v>0</v>
      </c>
      <c r="AK10" s="5">
        <v>0</v>
      </c>
      <c r="AL10" s="5">
        <v>0</v>
      </c>
      <c r="AO10" s="5">
        <v>6.95</v>
      </c>
      <c r="AS10" s="3" t="s">
        <v>101</v>
      </c>
      <c r="AT10" s="3">
        <v>0</v>
      </c>
      <c r="AV10" s="5">
        <v>0.83</v>
      </c>
      <c r="AW10" s="3" t="s">
        <v>120</v>
      </c>
      <c r="AX10" s="3" t="s">
        <v>121</v>
      </c>
      <c r="AY10" s="3" t="s">
        <v>308</v>
      </c>
      <c r="BB10" s="5">
        <v>0</v>
      </c>
      <c r="BC10" s="3">
        <v>0</v>
      </c>
      <c r="BD10" s="3">
        <v>0</v>
      </c>
      <c r="BE10" s="3">
        <v>0</v>
      </c>
      <c r="BF10" s="3">
        <v>0</v>
      </c>
    </row>
    <row r="11" customHeight="1" spans="1:60">
      <c r="A11" s="28">
        <f>YEAR(W11)</f>
        <v>2025</v>
      </c>
      <c r="B11" s="29">
        <f>MONTH(W11)</f>
        <v>10</v>
      </c>
      <c r="C11" s="29" t="str">
        <f>R11</f>
        <v>P775954589917164071</v>
      </c>
      <c r="D11" s="29">
        <f>COUNTIF(R:R,R11)</f>
        <v>2</v>
      </c>
      <c r="E11" s="29">
        <f>COUNTIF($R$2:R11,R11)</f>
        <v>2</v>
      </c>
      <c r="F11" s="30" t="str" cm="1">
        <f t="array" ref="F11">INDEX('小红书-订单明细'!BR:BR,MATCH(R11&amp;AD11,'小红书-订单明细'!A:A&amp;'小红书-订单明细'!P:P,0))</f>
        <v>Z1326-奶茶色-M</v>
      </c>
      <c r="G11" s="30" t="str">
        <f>LEFT(F11,FIND("-",F11)-1)</f>
        <v>Z1326</v>
      </c>
      <c r="H11" s="29" cm="1">
        <f t="array" ref="H11">IF(ABS(SUM(AH11,AJ11:AK11)/(INDEX('小红书-订单明细'!X:X,MATCH(R11&amp;AD11,'小红书-订单明细'!A:A&amp;'小红书-订单明细'!P:P,0))/(INDEX('小红书-订单明细'!U:U,MATCH(R11&amp;AD11,'小红书-订单明细'!A:A&amp;'小红书-订单明细'!P:P,0)))))&gt;15%,ROUNDUP(SUM(AH11,AJ11:AK11)/(INDEX('小红书-订单明细'!X:X,MATCH(R11&amp;AD11,'小红书-订单明细'!A:A&amp;'小红书-订单明细'!P:P,0))/(INDEX('小红书-订单明细'!U:U,MATCH(R11&amp;AD11,'小红书-订单明细'!A:A&amp;'小红书-订单明细'!P:P,0)))),0),ROUNDDOWN(SUM(AH11,AJ11:AK11)/(INDEX('小红书-订单明细'!X:X,MATCH(R11&amp;AD11,'小红书-订单明细'!A:A&amp;'小红书-订单明细'!P:P,0))/(INDEX('小红书-订单明细'!U:U,MATCH(R11&amp;AD11,'小红书-订单明细'!A:A&amp;'小红书-订单明细'!P:P,0)))),0))</f>
        <v>1</v>
      </c>
      <c r="I11" s="29">
        <f>AH11</f>
        <v>139</v>
      </c>
      <c r="J11" s="29">
        <f>AK11+AL11</f>
        <v>0</v>
      </c>
      <c r="K11" s="29">
        <f>IF(BB11&lt;=0,BB11,BB11/COUNTIFS(R:R,R11,BB:BB,"&gt;0"))</f>
        <v>0</v>
      </c>
      <c r="L11" s="29">
        <f>-AO11</f>
        <v>6.95</v>
      </c>
      <c r="M11" s="29">
        <f>-AV11</f>
        <v>0.83</v>
      </c>
      <c r="N11" s="29"/>
      <c r="O11" s="31">
        <f>I11+J11+K11-L11-M11-N11</f>
        <v>131.22</v>
      </c>
      <c r="Q11" s="4" cm="1">
        <f t="array" ref="Q11">SUM(AH11,AJ11:AK11)/(INDEX('小红书-订单明细'!X:X,MATCH(R11&amp;AD11,'小红书-订单明细'!A:A&amp;'小红书-订单明细'!P:P,0))/(INDEX('小红书-订单明细'!U:U,MATCH(R11&amp;AD11,'小红书-订单明细'!A:A&amp;'小红书-订单明细'!P:P,0))))</f>
        <v>1</v>
      </c>
      <c r="R11" s="5" t="s">
        <v>186</v>
      </c>
      <c r="S11" s="6" t="str">
        <f>_xlfn.XLOOKUP(R11,'小红书-订单明细'!A:A,'小红书-订单明细'!A:A)</f>
        <v>P775954589917164071</v>
      </c>
      <c r="U11" s="3" t="s">
        <v>323</v>
      </c>
      <c r="V11" s="3" t="s">
        <v>327</v>
      </c>
      <c r="W11" s="5" t="s">
        <v>325</v>
      </c>
      <c r="X11" s="3" t="s">
        <v>300</v>
      </c>
      <c r="Y11" s="5" t="s">
        <v>296</v>
      </c>
      <c r="Z11" s="5">
        <v>131.22</v>
      </c>
      <c r="AA11" s="3" t="s">
        <v>326</v>
      </c>
      <c r="AB11" s="3" t="s">
        <v>307</v>
      </c>
      <c r="AC11" s="3" t="s">
        <v>195</v>
      </c>
      <c r="AD11" s="5" t="s">
        <v>196</v>
      </c>
      <c r="AE11" s="6" t="str">
        <f>_xlfn.XLOOKUP(AD11,'小红书-订单明细'!P:P,'小红书-订单明细'!P:P)</f>
        <v>68cea8f7f6cbe500156c0153</v>
      </c>
      <c r="AF11" s="32">
        <v>1</v>
      </c>
      <c r="AG11" s="3">
        <v>139</v>
      </c>
      <c r="AH11" s="7">
        <v>139</v>
      </c>
      <c r="AI11" s="3" t="s">
        <v>75</v>
      </c>
      <c r="AJ11" s="3">
        <v>0</v>
      </c>
      <c r="AK11" s="5">
        <v>0</v>
      </c>
      <c r="AL11" s="5">
        <v>0</v>
      </c>
      <c r="AM11" s="3" t="s">
        <v>302</v>
      </c>
      <c r="AN11" s="3" t="s">
        <v>303</v>
      </c>
      <c r="AO11" s="5">
        <v>-6.95</v>
      </c>
      <c r="AP11" s="5">
        <v>139</v>
      </c>
      <c r="AQ11" s="3">
        <v>139</v>
      </c>
      <c r="AR11" s="3" t="s">
        <v>303</v>
      </c>
      <c r="AS11" s="3" t="s">
        <v>101</v>
      </c>
      <c r="AT11" s="3">
        <v>0</v>
      </c>
      <c r="AU11" s="3">
        <v>0.006</v>
      </c>
      <c r="AV11" s="5">
        <v>-0.83</v>
      </c>
      <c r="AW11" s="3" t="s">
        <v>120</v>
      </c>
      <c r="AX11" s="3" t="s">
        <v>121</v>
      </c>
      <c r="AY11" s="3" t="s">
        <v>308</v>
      </c>
      <c r="BB11" s="5">
        <v>0</v>
      </c>
      <c r="BC11" s="3">
        <v>0</v>
      </c>
      <c r="BD11" s="3">
        <v>0</v>
      </c>
      <c r="BE11" s="3">
        <v>0</v>
      </c>
      <c r="BF11" s="3">
        <v>0</v>
      </c>
    </row>
    <row r="12" s="2" customFormat="1" customHeight="1" spans="1:60">
      <c r="Q12" s="33"/>
      <c r="R12" s="34"/>
      <c r="S12" s="35"/>
      <c r="T12" s="2"/>
      <c r="U12" s="2"/>
      <c r="V12" s="2"/>
      <c r="W12" s="34"/>
      <c r="X12" s="2"/>
      <c r="Y12" s="34"/>
      <c r="Z12" s="34"/>
      <c r="AA12" s="2"/>
      <c r="AB12" s="2"/>
      <c r="AC12" s="2"/>
      <c r="AD12" s="34"/>
      <c r="AE12" s="35"/>
      <c r="AF12" s="2"/>
      <c r="AG12" s="2"/>
      <c r="AK12" s="34"/>
      <c r="AL12" s="34"/>
      <c r="AM12" s="2"/>
      <c r="AN12" s="2"/>
      <c r="AO12" s="34"/>
      <c r="AP12" s="34"/>
      <c r="AQ12" s="2"/>
      <c r="AR12" s="2"/>
      <c r="AS12" s="2"/>
      <c r="AT12" s="2"/>
      <c r="AU12" s="2"/>
      <c r="AV12" s="34"/>
      <c r="AW12" s="2"/>
      <c r="AX12" s="2"/>
      <c r="AY12" s="2"/>
      <c r="AZ12" s="2"/>
      <c r="BA12" s="2"/>
      <c r="BB12" s="34"/>
      <c r="BC12" s="2"/>
      <c r="BD12" s="2"/>
      <c r="BE12" s="2"/>
      <c r="BF12" s="2"/>
      <c r="BG12" s="2"/>
      <c r="BH12" s="36"/>
    </row>
  </sheetData>
  <autoFilter xmlns:etc="http://www.wps.cn/officeDocument/2017/etCustomData" ref="A1:O12" etc:filterBottomFollowUsedRange="0">
    <extLst/>
  </autoFilter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小红书-订单明细</vt:lpstr>
      <vt:lpstr>小红书-结算账单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</dc:creator>
  <cp:lastModifiedBy>Jason  林雨</cp:lastModifiedBy>
  <dcterms:created xsi:type="dcterms:W3CDTF">2025-10-25T07:28:00Z</dcterms:created>
  <dcterms:modified xsi:type="dcterms:W3CDTF">2025-11-21T14:23:46Z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C01B4B640F0F81A13BCA1E69D5A80BB6_43</vt:lpwstr>
  </property>
  <property fmtid="{D5CDD505-2E9C-101B-9397-08002B2CF9AE}" pid="3" name="KSOProductBuildVer">
    <vt:lpwstr>2052-12.1.23540.23540</vt:lpwstr>
  </property>
</Properties>
</file>