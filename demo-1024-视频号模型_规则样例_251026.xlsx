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720"/>
  </bookViews>
  <sheets>
    <sheet name="视频号订单完成结算时间" sheetId="1" r:id="rId1"/>
  </sheets>
  <definedNames>
    <definedName name="_xlnm._FilterDatabase" localSheetId="0" hidden="1">视频号订单完成结算时间!$R$1:$BV$374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<sst xmlns="http://schemas.openxmlformats.org/spreadsheetml/2006/main" count="14582" uniqueCount="4429">
  <si>
    <t>年</t>
  </si>
  <si>
    <t>月</t>
  </si>
  <si>
    <t>订单号</t>
  </si>
  <si>
    <t>订单行数</t>
  </si>
  <si>
    <t>订单序位</t>
  </si>
  <si>
    <t>平台商品编码</t>
  </si>
  <si>
    <t>财务核算编码</t>
  </si>
  <si>
    <t>销售数量</t>
  </si>
  <si>
    <t>应收客户</t>
  </si>
  <si>
    <t>应收平台</t>
  </si>
  <si>
    <t>收：价外收费</t>
  </si>
  <si>
    <t>扣：平台佣金用</t>
  </si>
  <si>
    <t>扣：分销佣金</t>
  </si>
  <si>
    <t>扣其它费用</t>
  </si>
  <si>
    <t>应到账金额</t>
  </si>
  <si>
    <t>备注1</t>
  </si>
  <si>
    <t>备注2</t>
  </si>
  <si>
    <t>订单下单时间</t>
  </si>
  <si>
    <t>订单发货时间</t>
  </si>
  <si>
    <t>订单确认收货时间</t>
  </si>
  <si>
    <t>订单完成结算时间</t>
  </si>
  <si>
    <t>订单状态</t>
  </si>
  <si>
    <t>发货方式</t>
  </si>
  <si>
    <t>收件人姓名</t>
  </si>
  <si>
    <t>收件人地址</t>
  </si>
  <si>
    <t>省</t>
  </si>
  <si>
    <t>市</t>
  </si>
  <si>
    <t>区</t>
  </si>
  <si>
    <t>收件人手机</t>
  </si>
  <si>
    <t>买家备注</t>
  </si>
  <si>
    <t>商家备注</t>
  </si>
  <si>
    <t>商品总价</t>
  </si>
  <si>
    <t>订单实际支付金额</t>
  </si>
  <si>
    <t>订单实际收款金额</t>
  </si>
  <si>
    <t>订单运费</t>
  </si>
  <si>
    <t>商品优惠</t>
  </si>
  <si>
    <t>跨店优惠</t>
  </si>
  <si>
    <t>商品改价</t>
  </si>
  <si>
    <t>积分抵扣</t>
  </si>
  <si>
    <t>支付方式</t>
  </si>
  <si>
    <t>支付时间</t>
  </si>
  <si>
    <t>交易单号</t>
  </si>
  <si>
    <t>物流公司</t>
  </si>
  <si>
    <t>快递单号</t>
  </si>
  <si>
    <t>技术服务费</t>
  </si>
  <si>
    <t>技术服务费（将以人气卡形式返还）</t>
  </si>
  <si>
    <t>运费险预计投保费用</t>
  </si>
  <si>
    <t>带货方式</t>
  </si>
  <si>
    <t>带货账号类型</t>
  </si>
  <si>
    <t>带货账号昵称</t>
  </si>
  <si>
    <t>带货费用渠道</t>
  </si>
  <si>
    <t>带货费用类型</t>
  </si>
  <si>
    <t>带货费用</t>
  </si>
  <si>
    <t>带货佣金率</t>
  </si>
  <si>
    <t>礼物单号</t>
  </si>
  <si>
    <t>商品名称</t>
  </si>
  <si>
    <t>商品编码(平台)</t>
  </si>
  <si>
    <t>商品编码(自定义)</t>
  </si>
  <si>
    <t>SKU编码(自定义)</t>
  </si>
  <si>
    <t>商品属性</t>
  </si>
  <si>
    <t>商品价格</t>
  </si>
  <si>
    <t>商品实际价格(单件)</t>
  </si>
  <si>
    <t>商品实际价格(总共)</t>
  </si>
  <si>
    <t>是否预售</t>
  </si>
  <si>
    <t>商品数量</t>
  </si>
  <si>
    <t>商品平均运费</t>
  </si>
  <si>
    <t>定制信息</t>
  </si>
  <si>
    <t>定制预览图</t>
  </si>
  <si>
    <t>商品发货</t>
  </si>
  <si>
    <t>商品售后</t>
  </si>
  <si>
    <t>商品已退款金额</t>
  </si>
  <si>
    <t>3730307475717108736</t>
  </si>
  <si>
    <t>2025-08-19 19:45:22</t>
  </si>
  <si>
    <t>2025-08-19 20:52:45</t>
  </si>
  <si>
    <t>2025-08-24 20:53:12</t>
  </si>
  <si>
    <t>2025-08-31 20:53:46</t>
  </si>
  <si>
    <t>已完成</t>
  </si>
  <si>
    <t>快递</t>
  </si>
  <si>
    <t>彩*</t>
  </si>
  <si>
    <t>浙江省宁波市鄞州区****</t>
  </si>
  <si>
    <t>浙江省</t>
  </si>
  <si>
    <t>宁波市</t>
  </si>
  <si>
    <t>鄞州区</t>
  </si>
  <si>
    <t>135****4229</t>
  </si>
  <si>
    <t/>
  </si>
  <si>
    <t>微信支付</t>
  </si>
  <si>
    <t>2025-08-19 19:45:30</t>
  </si>
  <si>
    <t>4326702571202508199032357903</t>
  </si>
  <si>
    <t>ZTO</t>
  </si>
  <si>
    <t>73660122165898</t>
  </si>
  <si>
    <t>-</t>
  </si>
  <si>
    <t>【老板周】极简气质 夏季复古直角肩圆领显瘦收腰针织背心</t>
  </si>
  <si>
    <t>10000267837353</t>
  </si>
  <si>
    <t>Z1999</t>
  </si>
  <si>
    <t>Z1999-灰色-S</t>
  </si>
  <si>
    <t>颜色: 灰色;尺码: S（80-100斤）</t>
  </si>
  <si>
    <t>预售，付款后15天发货</t>
  </si>
  <si>
    <t>已发货</t>
  </si>
  <si>
    <t>无</t>
  </si>
  <si>
    <t>3730288769804150016</t>
  </si>
  <si>
    <t>2025-08-18 23:56:05</t>
  </si>
  <si>
    <t>2025-08-19 14:59:16</t>
  </si>
  <si>
    <t>2025-08-23 17:08:58</t>
  </si>
  <si>
    <t>2025-08-30 17:09:32</t>
  </si>
  <si>
    <t>已取消</t>
  </si>
  <si>
    <t>游**</t>
  </si>
  <si>
    <t>广东省深圳市龙华区****</t>
  </si>
  <si>
    <t>广东省</t>
  </si>
  <si>
    <t>深圳市</t>
  </si>
  <si>
    <t>龙华区</t>
  </si>
  <si>
    <t>136****1082</t>
  </si>
  <si>
    <t>;73570426505893(收） P136-黑色*1#</t>
  </si>
  <si>
    <t>2025-08-18 23:56:12</t>
  </si>
  <si>
    <t>4324402242202508185813544817</t>
  </si>
  <si>
    <t>73660100230698</t>
  </si>
  <si>
    <t>达人带货</t>
  </si>
  <si>
    <t>带货达人</t>
  </si>
  <si>
    <t>老板周.</t>
  </si>
  <si>
    <t>达人佣金</t>
  </si>
  <si>
    <t>佣金</t>
  </si>
  <si>
    <t>【老板周】极简风 新款小众百搭单肩手提通勤腋下包</t>
  </si>
  <si>
    <t>10000272373463</t>
  </si>
  <si>
    <t>P136</t>
  </si>
  <si>
    <t>P136-黑色</t>
  </si>
  <si>
    <t>颜色: 黑色</t>
  </si>
  <si>
    <t>退货退款完成</t>
  </si>
  <si>
    <t>3730281331099316480</t>
  </si>
  <si>
    <t>2025-08-18 16:03:14</t>
  </si>
  <si>
    <t>2025-08-18 19:43:31</t>
  </si>
  <si>
    <t>2025-08-23 16:00:50</t>
  </si>
  <si>
    <t>2025-08-30 16:02:25</t>
  </si>
  <si>
    <t>贺**</t>
  </si>
  <si>
    <t>贵州省黔南布依族苗族自治州三都水族自治县****</t>
  </si>
  <si>
    <t>贵州省</t>
  </si>
  <si>
    <t>黔南布依族苗族自治州</t>
  </si>
  <si>
    <t>三都水族自治县</t>
  </si>
  <si>
    <t>137****2087</t>
  </si>
  <si>
    <t>先用后付</t>
  </si>
  <si>
    <t>2025-08-18 16:03:25</t>
  </si>
  <si>
    <t>4200002738202508235233258759</t>
  </si>
  <si>
    <t>73660097670443</t>
  </si>
  <si>
    <t>【老板周】气质单品 夏季新品松紧袖后背扣子肌理感上衣</t>
  </si>
  <si>
    <t>10000268374156</t>
  </si>
  <si>
    <t>Z2278</t>
  </si>
  <si>
    <t>Z2278-黑色-S</t>
  </si>
  <si>
    <t>颜色: 黑色;尺码: S（80-100斤）</t>
  </si>
  <si>
    <t>3730273990505276928</t>
  </si>
  <si>
    <t>2025-08-18 08:16:31</t>
  </si>
  <si>
    <t>2025-08-18 15:14:53</t>
  </si>
  <si>
    <t>2025-08-22 19:41:51</t>
  </si>
  <si>
    <t>2025-08-29 19:42:25</t>
  </si>
  <si>
    <t>展**</t>
  </si>
  <si>
    <t>北京市北京市朝阳区****</t>
  </si>
  <si>
    <t>北京市</t>
  </si>
  <si>
    <t>朝阳区</t>
  </si>
  <si>
    <t>186****5959</t>
  </si>
  <si>
    <t>2025-08-18 08:16:40</t>
  </si>
  <si>
    <t>4328602464202508183946513858</t>
  </si>
  <si>
    <t>73660091346146</t>
  </si>
  <si>
    <t>【老板周】法式慵懒 春季新款微透套头气质宽松黑天鹅上衣</t>
  </si>
  <si>
    <t>10000269838328</t>
  </si>
  <si>
    <t>Z1628</t>
  </si>
  <si>
    <t>Z1628-灰色-S</t>
  </si>
  <si>
    <t>颜色分类: 灰色;尺码大小: S（80-100斤）</t>
  </si>
  <si>
    <t>3730254008134022656</t>
  </si>
  <si>
    <t>2025-08-17 11:06:00</t>
  </si>
  <si>
    <t>2025-08-17 16:07:54</t>
  </si>
  <si>
    <t>2025-08-22 18:43:31</t>
  </si>
  <si>
    <t>2025-08-29 18:44:05</t>
  </si>
  <si>
    <t>魏**</t>
  </si>
  <si>
    <t>四川省成都市金牛区****</t>
  </si>
  <si>
    <t>四川省</t>
  </si>
  <si>
    <t>成都市</t>
  </si>
  <si>
    <t>金牛区</t>
  </si>
  <si>
    <t>138****2955</t>
  </si>
  <si>
    <t>2025-08-17 11:06:08</t>
  </si>
  <si>
    <t>4200002770202508220388187197</t>
  </si>
  <si>
    <t>73660070418613</t>
  </si>
  <si>
    <t>【老板周】休闲腔调 夏季薄款圆领口袋设计百搭三角T恤</t>
  </si>
  <si>
    <t>10000268336633</t>
  </si>
  <si>
    <t>Z2233</t>
  </si>
  <si>
    <t>Z2233-黄绿色-M</t>
  </si>
  <si>
    <t>颜色: 黄绿色;尺码: M（100-120斤）</t>
  </si>
  <si>
    <t>3730235547935972864</t>
  </si>
  <si>
    <t>2025-08-16 15:32:25</t>
  </si>
  <si>
    <t>2025-08-16 18:19:06</t>
  </si>
  <si>
    <t>2025-08-18 19:47:26</t>
  </si>
  <si>
    <t>2025-08-25 19:48:01</t>
  </si>
  <si>
    <t>王**</t>
  </si>
  <si>
    <t>广东省广州市越秀区****</t>
  </si>
  <si>
    <t>广州市</t>
  </si>
  <si>
    <t>越秀区</t>
  </si>
  <si>
    <t>135****3880</t>
  </si>
  <si>
    <t>2025-08-16 15:32:32</t>
  </si>
  <si>
    <t>4311002475202508165320598161</t>
  </si>
  <si>
    <t>73660050334985</t>
  </si>
  <si>
    <t>【老板周】通勤时髦 新款极简设计耐磨质感手提包</t>
  </si>
  <si>
    <t>10000271544828</t>
  </si>
  <si>
    <t>P132</t>
  </si>
  <si>
    <t>P132-黑色</t>
  </si>
  <si>
    <t>3730231575967047936</t>
  </si>
  <si>
    <t>2025-08-16 11:19:57</t>
  </si>
  <si>
    <t>2025-08-17 19:21:49</t>
  </si>
  <si>
    <t>2025-08-24 17:50:03</t>
  </si>
  <si>
    <t>2025-08-31 17:50:38</t>
  </si>
  <si>
    <t>吴**</t>
  </si>
  <si>
    <t>新疆维吾尔自治区伊犁哈萨克自治州奎屯市****</t>
  </si>
  <si>
    <t>新疆维吾尔自治区</t>
  </si>
  <si>
    <t>伊犁哈萨克自治州</t>
  </si>
  <si>
    <t>奎屯市</t>
  </si>
  <si>
    <t>182****6868</t>
  </si>
  <si>
    <t>2025-08-16 11:20:07</t>
  </si>
  <si>
    <t>4318702465202508162820778508</t>
  </si>
  <si>
    <t>73660072828212</t>
  </si>
  <si>
    <t>【老板周】罗马假日 夏季新款垂感松紧腰宽松休闲九分裤</t>
  </si>
  <si>
    <t>10000268393243</t>
  </si>
  <si>
    <t>Z2079</t>
  </si>
  <si>
    <t>Z2079-粉色-S</t>
  </si>
  <si>
    <t>颜色分类: 粉色;尺码大小: S（80-100斤）</t>
  </si>
  <si>
    <t>3730211654560522496</t>
  </si>
  <si>
    <t>2025-08-15 14:13:15</t>
  </si>
  <si>
    <t>2025-08-15 15:20:14</t>
  </si>
  <si>
    <t>2025-08-20 17:33:30</t>
  </si>
  <si>
    <t>2025-08-27 17:34:03</t>
  </si>
  <si>
    <t>田*</t>
  </si>
  <si>
    <t>北京市北京市东城区****</t>
  </si>
  <si>
    <t>东城区</t>
  </si>
  <si>
    <t>185****0066</t>
  </si>
  <si>
    <t>2025-08-15 14:13:22</t>
  </si>
  <si>
    <t>4313302269202508155145382704</t>
  </si>
  <si>
    <t>73660023188309</t>
  </si>
  <si>
    <t>【老板周】 复古松弛 夏季复古水墨提花松紧腰显瘦阔腿裤</t>
  </si>
  <si>
    <t>10000268291288</t>
  </si>
  <si>
    <t>Z2274</t>
  </si>
  <si>
    <t>Z2274-花色-L</t>
  </si>
  <si>
    <t>颜色: 花色;尺码: L（120-135斤）</t>
  </si>
  <si>
    <t>3730207965308395264</t>
  </si>
  <si>
    <t>2025-08-15 10:18:41</t>
  </si>
  <si>
    <t>2025-08-17 00:28:47</t>
  </si>
  <si>
    <t>2025-08-22 08:41:44</t>
  </si>
  <si>
    <t>2025-08-29 08:42:18</t>
  </si>
  <si>
    <t>李**</t>
  </si>
  <si>
    <t>河南省开封市龙亭区****</t>
  </si>
  <si>
    <t>河南省</t>
  </si>
  <si>
    <t>开封市</t>
  </si>
  <si>
    <t>龙亭区</t>
  </si>
  <si>
    <t>138****0566</t>
  </si>
  <si>
    <t>2025-08-15 10:18:50</t>
  </si>
  <si>
    <t>4340502262202508150031136814</t>
  </si>
  <si>
    <t>73660053524623</t>
  </si>
  <si>
    <t>【老板周】复古舒适 亲肤透气时髦针织圆领背心</t>
  </si>
  <si>
    <t>10000268458228</t>
  </si>
  <si>
    <t>Z657</t>
  </si>
  <si>
    <t>Z657-灰色-M</t>
  </si>
  <si>
    <t>颜色分类: 灰色;尺码大小: M（95-110斤）</t>
  </si>
  <si>
    <t>3730196197338651648</t>
  </si>
  <si>
    <t>2025-08-14 21:50:32</t>
  </si>
  <si>
    <t>2025-08-14 23:25:54</t>
  </si>
  <si>
    <t>2025-08-19 15:44:01</t>
  </si>
  <si>
    <t>2025-08-26 15:44:37</t>
  </si>
  <si>
    <t>黄**</t>
  </si>
  <si>
    <t>江苏省苏州市常熟市****</t>
  </si>
  <si>
    <t>江苏省</t>
  </si>
  <si>
    <t>苏州市</t>
  </si>
  <si>
    <t>常熟市</t>
  </si>
  <si>
    <t>133****8665</t>
  </si>
  <si>
    <t>2025-08-14 21:50:40</t>
  </si>
  <si>
    <t>4200002782202508199590049543</t>
  </si>
  <si>
    <t>73660008457269</t>
  </si>
  <si>
    <t>【老板周】赫本风 新款压皱工艺无袖经典连衣裙</t>
  </si>
  <si>
    <t>10000267878774</t>
  </si>
  <si>
    <t>Z579</t>
  </si>
  <si>
    <t>Z579-黑色-M</t>
  </si>
  <si>
    <t>颜色分类: 黑色;尺码大小: M（100-120斤）</t>
  </si>
  <si>
    <t>3730191124416312832</t>
  </si>
  <si>
    <t>2025-08-14 16:28:00</t>
  </si>
  <si>
    <t>2025-08-14 17:02:21</t>
  </si>
  <si>
    <t>2025-08-24 16:53:56</t>
  </si>
  <si>
    <t>林*</t>
  </si>
  <si>
    <t>福建省福州市福清市****</t>
  </si>
  <si>
    <t>福建省</t>
  </si>
  <si>
    <t>福州市</t>
  </si>
  <si>
    <t>福清市</t>
  </si>
  <si>
    <t>138****8018</t>
  </si>
  <si>
    <t>;73568250618757(收） Z2209-黑色-M*1#</t>
  </si>
  <si>
    <t>2025-08-14 16:28:18</t>
  </si>
  <si>
    <t>4308302462202508140550120178</t>
  </si>
  <si>
    <t>73660004831478</t>
  </si>
  <si>
    <t>【老板周】优雅气质 夏季不规则系带设计感小众针织上衣</t>
  </si>
  <si>
    <t>10000268404809</t>
  </si>
  <si>
    <t>Z2209</t>
  </si>
  <si>
    <t>Z2209-黑色-M</t>
  </si>
  <si>
    <t>3730189196379961344</t>
  </si>
  <si>
    <t>2025-08-14 14:25:25</t>
  </si>
  <si>
    <t>2025-08-20 23:51:19</t>
  </si>
  <si>
    <t>2025-08-23 15:28:14</t>
  </si>
  <si>
    <t>2025-08-30 15:28:49</t>
  </si>
  <si>
    <t>赵**</t>
  </si>
  <si>
    <t>北京市北京市昌平区****</t>
  </si>
  <si>
    <t>昌平区</t>
  </si>
  <si>
    <t>134****6885</t>
  </si>
  <si>
    <t>2025-08-14 14:25:32</t>
  </si>
  <si>
    <t>4312202253202508149108580991</t>
  </si>
  <si>
    <t>73660146671105</t>
  </si>
  <si>
    <t>【老板周】舒适休闲 极简短版腰头抽绳设计宽松半身裙</t>
  </si>
  <si>
    <t>10000267813305</t>
  </si>
  <si>
    <t>Z1645</t>
  </si>
  <si>
    <t>Z1645-黑色-M</t>
  </si>
  <si>
    <t>颜色: 黑色;规格: M（100-120斤）</t>
  </si>
  <si>
    <t>3730175097836805888</t>
  </si>
  <si>
    <t>2025-08-13 23:29:02</t>
  </si>
  <si>
    <t>2025-08-14 00:13:30</t>
  </si>
  <si>
    <t>2025-08-20 17:11:54</t>
  </si>
  <si>
    <t>2025-08-27 17:12:29</t>
  </si>
  <si>
    <t>广东省广州市黄埔区****</t>
  </si>
  <si>
    <t>黄埔区</t>
  </si>
  <si>
    <t>137****0099</t>
  </si>
  <si>
    <t>2025-08-13 23:29:18</t>
  </si>
  <si>
    <t>4313402280202508137706401948</t>
  </si>
  <si>
    <t>73619987669048</t>
  </si>
  <si>
    <t>【老板周】高品质 百搭舒适可调节亲肤吊带背心</t>
  </si>
  <si>
    <t>10000267814985</t>
  </si>
  <si>
    <t>Z507</t>
  </si>
  <si>
    <t>Z507-黑色-L</t>
  </si>
  <si>
    <t>颜色分类: 黑色;尺码大小: L（120-135斤）</t>
  </si>
  <si>
    <t>3730175088769246464</t>
  </si>
  <si>
    <t>2025-08-13 23:28:36</t>
  </si>
  <si>
    <t>2025-08-14 00:04:18</t>
  </si>
  <si>
    <t>2025-08-19 18:33:10</t>
  </si>
  <si>
    <t>2025-08-26 18:33:45</t>
  </si>
  <si>
    <t>李*</t>
  </si>
  <si>
    <t>山西省太原市小店区****</t>
  </si>
  <si>
    <t>山西省</t>
  </si>
  <si>
    <t>太原市</t>
  </si>
  <si>
    <t>小店区</t>
  </si>
  <si>
    <t>138****0962</t>
  </si>
  <si>
    <t>2025-08-13 23:28:43</t>
  </si>
  <si>
    <t>4308702572202508131140577818</t>
  </si>
  <si>
    <t>73619987669010</t>
  </si>
  <si>
    <t>Z507-黑色-M</t>
  </si>
  <si>
    <t>3730175082753832192</t>
  </si>
  <si>
    <t>2025-08-13 23:28:04</t>
  </si>
  <si>
    <t>2025-08-14 00:12:56</t>
  </si>
  <si>
    <t>2025-08-18 10:06:25</t>
  </si>
  <si>
    <t>2025-08-25 10:06:59</t>
  </si>
  <si>
    <t>檀**</t>
  </si>
  <si>
    <t>135****1988</t>
  </si>
  <si>
    <t>2025-08-13 23:28:12</t>
  </si>
  <si>
    <t>4300202244202508134880456488</t>
  </si>
  <si>
    <t>73619987668976</t>
  </si>
  <si>
    <t>3730174667981463808</t>
  </si>
  <si>
    <t>2025-08-13 23:01:42</t>
  </si>
  <si>
    <t>2025-08-24 17:30:01</t>
  </si>
  <si>
    <t>2025-08-31 17:30:34</t>
  </si>
  <si>
    <t>谢**</t>
  </si>
  <si>
    <t>广东省清远市清城区****</t>
  </si>
  <si>
    <t>清远市</t>
  </si>
  <si>
    <t>清城区</t>
  </si>
  <si>
    <t>139****8882</t>
  </si>
  <si>
    <t>2025-08-13 23:01:49</t>
  </si>
  <si>
    <t>4200002741202508247383653339</t>
  </si>
  <si>
    <t>73660146671373</t>
  </si>
  <si>
    <t>3730173914101456640</t>
  </si>
  <si>
    <t>2025-08-13 22:13:46</t>
  </si>
  <si>
    <t>2025-08-20 23:50:56</t>
  </si>
  <si>
    <t>2025-08-24 11:29:07</t>
  </si>
  <si>
    <t>2025-08-31 11:29:41</t>
  </si>
  <si>
    <t>杨*</t>
  </si>
  <si>
    <t>湖南省湘潭市雨湖区****</t>
  </si>
  <si>
    <t>湖南省</t>
  </si>
  <si>
    <t>湘潭市</t>
  </si>
  <si>
    <t>雨湖区</t>
  </si>
  <si>
    <t>177****7038</t>
  </si>
  <si>
    <t>2025-08-13 22:13:55</t>
  </si>
  <si>
    <t>4333102259202508137952383015</t>
  </si>
  <si>
    <t>73660146671409</t>
  </si>
  <si>
    <t>Z1645-黑色-S</t>
  </si>
  <si>
    <t>颜色: 黑色;规格: S（80-100斤）</t>
  </si>
  <si>
    <t>3730173860373734912</t>
  </si>
  <si>
    <t>2025-08-13 22:10:21</t>
  </si>
  <si>
    <t>2025-08-24 19:02:51</t>
  </si>
  <si>
    <t>2025-08-31 19:03:25</t>
  </si>
  <si>
    <t>晴*</t>
  </si>
  <si>
    <t>辽宁省本溪市明山区****</t>
  </si>
  <si>
    <t>辽宁省</t>
  </si>
  <si>
    <t>本溪市</t>
  </si>
  <si>
    <t>明山区</t>
  </si>
  <si>
    <t>156****5666</t>
  </si>
  <si>
    <t>2025-08-13 22:10:26</t>
  </si>
  <si>
    <t>4339102584202508133715094691</t>
  </si>
  <si>
    <t>73660146671544</t>
  </si>
  <si>
    <t>3730173002979096064</t>
  </si>
  <si>
    <t>2025-08-13 21:15:57</t>
  </si>
  <si>
    <t>2025-08-20 23:52:06</t>
  </si>
  <si>
    <t>2025-08-24 18:43:36</t>
  </si>
  <si>
    <t>2025-08-31 18:44:09</t>
  </si>
  <si>
    <t>浙江省宁波市宁海县****</t>
  </si>
  <si>
    <t>宁海县</t>
  </si>
  <si>
    <t>189****3179</t>
  </si>
  <si>
    <t>2025-08-13 21:16:03</t>
  </si>
  <si>
    <t>4200002770202508245499522633</t>
  </si>
  <si>
    <t>73660146671174</t>
  </si>
  <si>
    <t>【老板周】时髦撞色 春季新款假两件显瘦长袖打底T恤上衣</t>
  </si>
  <si>
    <t>10000270838387</t>
  </si>
  <si>
    <t>Z1576</t>
  </si>
  <si>
    <t>Z1576-黑色-L</t>
  </si>
  <si>
    <t>颜色: 黑色;规格: L（120-135斤）</t>
  </si>
  <si>
    <t>3730171810942688256</t>
  </si>
  <si>
    <t>2025-08-13 20:00:06</t>
  </si>
  <si>
    <t>2025-08-17 21:01:41</t>
  </si>
  <si>
    <t>2025-08-22 14:45:06</t>
  </si>
  <si>
    <t>2025-08-29 14:45:40</t>
  </si>
  <si>
    <t>刘*</t>
  </si>
  <si>
    <t>河南省开封市杞县****</t>
  </si>
  <si>
    <t>杞县</t>
  </si>
  <si>
    <t>182****3291</t>
  </si>
  <si>
    <t>2025-08-13 20:00:15</t>
  </si>
  <si>
    <t>4309602581202508136664629461</t>
  </si>
  <si>
    <t>73660075446455</t>
  </si>
  <si>
    <t>【老板周】松弛感 春夏新款简约休闲宽松阔腿弯刀私服裤</t>
  </si>
  <si>
    <t>10000268389727</t>
  </si>
  <si>
    <t>Z1581</t>
  </si>
  <si>
    <t>Z1581-黑色-M</t>
  </si>
  <si>
    <t>3730170939485856512</t>
  </si>
  <si>
    <t>2025-08-13 19:04:41</t>
  </si>
  <si>
    <t>2025-08-17 19:12:17</t>
  </si>
  <si>
    <t>2025-08-22 17:51:12</t>
  </si>
  <si>
    <t>2025-08-29 17:51:47</t>
  </si>
  <si>
    <t>周*</t>
  </si>
  <si>
    <t>上海市上海市虹口区****</t>
  </si>
  <si>
    <t>上海市</t>
  </si>
  <si>
    <t>虹口区</t>
  </si>
  <si>
    <t>139****6550</t>
  </si>
  <si>
    <t>2025-08-13 19:04:50</t>
  </si>
  <si>
    <t>4344202284202508136875918713</t>
  </si>
  <si>
    <t>73660072827364</t>
  </si>
  <si>
    <t>3730170301391184128</t>
  </si>
  <si>
    <t>2025-08-13 18:24:18</t>
  </si>
  <si>
    <t>2025-08-21 23:22:10</t>
  </si>
  <si>
    <t>2025-08-24 16:09:51</t>
  </si>
  <si>
    <t>2025-08-31 16:10:27</t>
  </si>
  <si>
    <t>浙江省嘉兴市桐乡市****</t>
  </si>
  <si>
    <t>嘉兴市</t>
  </si>
  <si>
    <t>桐乡市</t>
  </si>
  <si>
    <t>188****0950</t>
  </si>
  <si>
    <t>2025-08-13 18:24:25</t>
  </si>
  <si>
    <t>4308202283202508138352382842</t>
  </si>
  <si>
    <t>73660169297858</t>
  </si>
  <si>
    <t>Z1581-黑色-S</t>
  </si>
  <si>
    <t>3730169680180688896</t>
  </si>
  <si>
    <t>2025-08-13 17:44:35</t>
  </si>
  <si>
    <t>2025-08-18 19:29:34</t>
  </si>
  <si>
    <t>2025-08-24 11:52:37</t>
  </si>
  <si>
    <t>2025-08-31 11:53:12</t>
  </si>
  <si>
    <t>曾**</t>
  </si>
  <si>
    <t>广东省佛山市南海区****</t>
  </si>
  <si>
    <t>佛山市</t>
  </si>
  <si>
    <t>南海区</t>
  </si>
  <si>
    <t>139****0175</t>
  </si>
  <si>
    <t>2025-08-13 17:44:41</t>
  </si>
  <si>
    <t>4200002786202508243798314142</t>
  </si>
  <si>
    <t>73660097669505</t>
  </si>
  <si>
    <t>3730169659386639104</t>
  </si>
  <si>
    <t>2025-08-13 17:43:26</t>
  </si>
  <si>
    <t>2025-08-21 23:19:25</t>
  </si>
  <si>
    <t>2025-08-22 20:35:01</t>
  </si>
  <si>
    <t>2025-08-29 20:36:36</t>
  </si>
  <si>
    <t>黄*</t>
  </si>
  <si>
    <t>广东省深圳市宝安区****</t>
  </si>
  <si>
    <t>宝安区</t>
  </si>
  <si>
    <t>135****1323</t>
  </si>
  <si>
    <t>2025-08-13 17:43:34</t>
  </si>
  <si>
    <t>4332202586202508133564901500</t>
  </si>
  <si>
    <t>73660169297526</t>
  </si>
  <si>
    <t>Z1576-黑色-M</t>
  </si>
  <si>
    <t>3730169073287181056</t>
  </si>
  <si>
    <t>2025-08-13 17:06:00</t>
  </si>
  <si>
    <t>2025-08-14 22:14:22</t>
  </si>
  <si>
    <t>2025-08-16 10:41:50</t>
  </si>
  <si>
    <t>2025-08-23 10:42:25</t>
  </si>
  <si>
    <t>胡**</t>
  </si>
  <si>
    <t>云南省昆明市五华区****</t>
  </si>
  <si>
    <t>云南省</t>
  </si>
  <si>
    <t>昆明市</t>
  </si>
  <si>
    <t>五华区</t>
  </si>
  <si>
    <t>139****7491</t>
  </si>
  <si>
    <t>2025-08-13 17:06:08</t>
  </si>
  <si>
    <t>4200002726202508163625441350</t>
  </si>
  <si>
    <t>73660008014396</t>
  </si>
  <si>
    <t>【老板周】夏季新款 气质正反两穿立领透气飞袖上衣</t>
  </si>
  <si>
    <t>10000268399873</t>
  </si>
  <si>
    <t>Z925</t>
  </si>
  <si>
    <t>Z925-人字纹-M</t>
  </si>
  <si>
    <t>颜色分类: 人字纹;尺码大小: M（100-120斤）</t>
  </si>
  <si>
    <t>3730168822346430464</t>
  </si>
  <si>
    <t>2025-08-13 16:50:05</t>
  </si>
  <si>
    <t>2025-08-15 22:33:08</t>
  </si>
  <si>
    <t>2025-08-20 11:14:00</t>
  </si>
  <si>
    <t>2025-08-27 11:14:35</t>
  </si>
  <si>
    <t>上海市上海市嘉定区****</t>
  </si>
  <si>
    <t>嘉定区</t>
  </si>
  <si>
    <t>187****9501</t>
  </si>
  <si>
    <t>2025-08-13 16:50:12</t>
  </si>
  <si>
    <t>4328102245202508131855550506</t>
  </si>
  <si>
    <t>73660029907848</t>
  </si>
  <si>
    <t>3730165534436501504</t>
  </si>
  <si>
    <t>2025-08-13 13:21:01</t>
  </si>
  <si>
    <t>2025-08-14 22:17:55</t>
  </si>
  <si>
    <t>2025-08-18 19:10:53</t>
  </si>
  <si>
    <t>2025-08-25 19:11:27</t>
  </si>
  <si>
    <t>陈**</t>
  </si>
  <si>
    <t>广西壮族自治区桂林市临桂区****</t>
  </si>
  <si>
    <t>广西壮族自治区</t>
  </si>
  <si>
    <t>桂林市</t>
  </si>
  <si>
    <t>临桂区</t>
  </si>
  <si>
    <t>189****3686</t>
  </si>
  <si>
    <t>2025-08-13 13:21:07</t>
  </si>
  <si>
    <t>4338702281202508134456463749</t>
  </si>
  <si>
    <t>73660008014506</t>
  </si>
  <si>
    <t>【老板周】慵懒风 秋冬新款复古撞色条纹松弛感毛衣</t>
  </si>
  <si>
    <t>10000276567313</t>
  </si>
  <si>
    <t>Z2271</t>
  </si>
  <si>
    <t>Z2271-条纹-S</t>
  </si>
  <si>
    <t>颜色: 条纹;尺码: S（80-100斤）</t>
  </si>
  <si>
    <t>3730164457694176000</t>
  </si>
  <si>
    <t>2025-08-13 12:12:43</t>
  </si>
  <si>
    <t>2025-08-18 19:27:51</t>
  </si>
  <si>
    <t>2025-08-23 15:33:11</t>
  </si>
  <si>
    <t>2025-08-30 15:33:45</t>
  </si>
  <si>
    <t>瑞*</t>
  </si>
  <si>
    <t>云南省昆明市西山区****</t>
  </si>
  <si>
    <t>西山区</t>
  </si>
  <si>
    <t>138****6810</t>
  </si>
  <si>
    <t>2025-08-13 12:13:00</t>
  </si>
  <si>
    <t>4305602587202508137758198905</t>
  </si>
  <si>
    <t>73660097668989</t>
  </si>
  <si>
    <t>Z657-黑色-M</t>
  </si>
  <si>
    <t>颜色分类: 黑色;尺码大小: M（95-110斤）</t>
  </si>
  <si>
    <t>3730130842699576576</t>
  </si>
  <si>
    <t>2025-08-12 00:35:29</t>
  </si>
  <si>
    <t>2025-08-12 15:19:47</t>
  </si>
  <si>
    <t>2025-08-20 20:03:48</t>
  </si>
  <si>
    <t>2025-08-27 20:04:22</t>
  </si>
  <si>
    <t>张*</t>
  </si>
  <si>
    <t>新疆维吾尔自治区阿克苏地区阿克苏市****</t>
  </si>
  <si>
    <t>阿克苏地区</t>
  </si>
  <si>
    <t>阿克苏市</t>
  </si>
  <si>
    <t>131****5888</t>
  </si>
  <si>
    <t>2025-08-12 00:35:42</t>
  </si>
  <si>
    <t>4200002729202508205410510452</t>
  </si>
  <si>
    <t>73619959000779</t>
  </si>
  <si>
    <t>【老板周】英伦复古 小众拼接设计款廓形双口袋风衣</t>
  </si>
  <si>
    <t>10000267785623</t>
  </si>
  <si>
    <t>Z1682</t>
  </si>
  <si>
    <t>Z1682-浅卡其色-M</t>
  </si>
  <si>
    <t>颜色: 浅卡其色;规格: M（100-135斤）</t>
  </si>
  <si>
    <t>3730123218604137728</t>
  </si>
  <si>
    <t>2025-08-11 16:30:37</t>
  </si>
  <si>
    <t>2025-08-11 17:33:32</t>
  </si>
  <si>
    <t>2025-08-18 20:01:33</t>
  </si>
  <si>
    <t>2025-08-25 20:02:07</t>
  </si>
  <si>
    <t>2025-08-11 16:30:44</t>
  </si>
  <si>
    <t>4341902472202508111088113701</t>
  </si>
  <si>
    <t>73619941973708</t>
  </si>
  <si>
    <t>925银 3.3g【老板周】简约个性 设计感几何双层重工戒指 饰品</t>
  </si>
  <si>
    <t>10000269519362</t>
  </si>
  <si>
    <t>P127</t>
  </si>
  <si>
    <t>P127-银色</t>
  </si>
  <si>
    <t>标称银重: 3.3 g</t>
  </si>
  <si>
    <t>3730107174167911936</t>
  </si>
  <si>
    <t>2025-08-10 23:30:33</t>
  </si>
  <si>
    <t>2025-08-17 23:42:37</t>
  </si>
  <si>
    <t>2025-08-21 15:44:36</t>
  </si>
  <si>
    <t>2025-08-28 15:45:10</t>
  </si>
  <si>
    <t>广东省广州市海珠区****</t>
  </si>
  <si>
    <t>海珠区</t>
  </si>
  <si>
    <t>135****0096</t>
  </si>
  <si>
    <t>2025-08-10 23:30:38</t>
  </si>
  <si>
    <t>4331702289202508103922751614</t>
  </si>
  <si>
    <t>73660076792413</t>
  </si>
  <si>
    <t>【老板周】慵懒风 新品混纱法式极简复古廓形针织上衣</t>
  </si>
  <si>
    <t>10000267780684</t>
  </si>
  <si>
    <t>Z1578</t>
  </si>
  <si>
    <t>Z1578-黑色-M</t>
  </si>
  <si>
    <t>3730105709203170816</t>
  </si>
  <si>
    <t>2025-08-10 21:58:25</t>
  </si>
  <si>
    <t>2025-08-10 23:48:02</t>
  </si>
  <si>
    <t>2025-08-16 16:55:59</t>
  </si>
  <si>
    <t>2025-08-23 16:56:34</t>
  </si>
  <si>
    <t>袁*</t>
  </si>
  <si>
    <t>四川省绵阳市平武县****</t>
  </si>
  <si>
    <t>绵阳市</t>
  </si>
  <si>
    <t>平武县</t>
  </si>
  <si>
    <t>137****6580</t>
  </si>
  <si>
    <t>2025-08-10 21:58:40</t>
  </si>
  <si>
    <t>4328002483202508104478301716</t>
  </si>
  <si>
    <t>73619924796367</t>
  </si>
  <si>
    <t>3730105715613119232</t>
  </si>
  <si>
    <t>2025-08-10 21:57:50</t>
  </si>
  <si>
    <t>2025-08-16 18:11:32</t>
  </si>
  <si>
    <t>2025-08-21 17:33:27</t>
  </si>
  <si>
    <t>2025-08-28 17:34:01</t>
  </si>
  <si>
    <t>江苏省南京市浦口区****</t>
  </si>
  <si>
    <t>南京市</t>
  </si>
  <si>
    <t>浦口区</t>
  </si>
  <si>
    <t>176****0566</t>
  </si>
  <si>
    <t>加急</t>
  </si>
  <si>
    <t>2025-08-10 21:57:56</t>
  </si>
  <si>
    <t>4200002779202508211214252433</t>
  </si>
  <si>
    <t>73660050305267</t>
  </si>
  <si>
    <t>【老板周】夏季轻盈 新品圆领气质轻薄不规则透气上衣</t>
  </si>
  <si>
    <t>10000268351425</t>
  </si>
  <si>
    <t>Z2183</t>
  </si>
  <si>
    <t>Z2183-黑色-XL</t>
  </si>
  <si>
    <t>颜色分类: 黑色;尺码大小: XL（120-135斤）</t>
  </si>
  <si>
    <t>3730103354326398720</t>
  </si>
  <si>
    <t>2025-08-10 19:27:42</t>
  </si>
  <si>
    <t>2025-08-18 21:03:46</t>
  </si>
  <si>
    <t>2025-08-24 18:04:46</t>
  </si>
  <si>
    <t>2025-08-31 18:05:20</t>
  </si>
  <si>
    <t>辽宁省沈阳市皇姑区****</t>
  </si>
  <si>
    <t>沈阳市</t>
  </si>
  <si>
    <t>皇姑区</t>
  </si>
  <si>
    <t>135****4892</t>
  </si>
  <si>
    <t>2025-08-10 19:28:38</t>
  </si>
  <si>
    <t>4311502278202508109635402684</t>
  </si>
  <si>
    <t>73660098501537</t>
  </si>
  <si>
    <t>【老板周】时髦复古 秋冬新品经典翻领短款廓形开衫外套</t>
  </si>
  <si>
    <t>10000285407516</t>
  </si>
  <si>
    <t>Z2347</t>
  </si>
  <si>
    <t>Z2347-深灰色-L</t>
  </si>
  <si>
    <t>颜色: 深灰色;尺码: L（120-135斤）</t>
  </si>
  <si>
    <t>3730103306058609920</t>
  </si>
  <si>
    <t>2025-08-10 19:24:49</t>
  </si>
  <si>
    <t>2025-08-10 19:49:17</t>
  </si>
  <si>
    <t>2025-08-15 12:38:17</t>
  </si>
  <si>
    <t>2025-08-22 12:38:52</t>
  </si>
  <si>
    <t>丁**</t>
  </si>
  <si>
    <t>上海市上海市闵行区****</t>
  </si>
  <si>
    <t>闵行区</t>
  </si>
  <si>
    <t>180****5978</t>
  </si>
  <si>
    <t>2025-08-10 19:24:58</t>
  </si>
  <si>
    <t>4343602472202508107507488047</t>
  </si>
  <si>
    <t>JD</t>
  </si>
  <si>
    <t>JDAWX0728875442</t>
  </si>
  <si>
    <t>【老板周】小众设计 秋冬后背单排扣慵懒休闲短毛衣</t>
  </si>
  <si>
    <t>10000268265281</t>
  </si>
  <si>
    <t>Z1555</t>
  </si>
  <si>
    <t>Z1555-红色-S</t>
  </si>
  <si>
    <t>颜色分类: 红色;尺码大小: S（80-100斤）</t>
  </si>
  <si>
    <t>3730103285990170880</t>
  </si>
  <si>
    <t>2025-08-10 19:23:22</t>
  </si>
  <si>
    <t>2025-08-23 14:10:20</t>
  </si>
  <si>
    <t>2025-08-30 14:10:56</t>
  </si>
  <si>
    <t>浙江省温州市平阳县****</t>
  </si>
  <si>
    <t>温州市</t>
  </si>
  <si>
    <t>平阳县</t>
  </si>
  <si>
    <t>138****5583</t>
  </si>
  <si>
    <t>2025-08-10 19:23:30</t>
  </si>
  <si>
    <t>4320602282202508107638509454</t>
  </si>
  <si>
    <t>73660146671039</t>
  </si>
  <si>
    <t>3730103194157194752</t>
  </si>
  <si>
    <t>2025-08-10 19:17:30</t>
  </si>
  <si>
    <t>2025-08-24 20:24:01</t>
  </si>
  <si>
    <t>2025-08-31 20:24:35</t>
  </si>
  <si>
    <t>婷*</t>
  </si>
  <si>
    <t>广东省江门市鹤山市****</t>
  </si>
  <si>
    <t>江门市</t>
  </si>
  <si>
    <t>鹤山市</t>
  </si>
  <si>
    <t>157****4286</t>
  </si>
  <si>
    <t>2025-08-10 19:17:36</t>
  </si>
  <si>
    <t>4330002587202508108274281645</t>
  </si>
  <si>
    <t>73660146670882</t>
  </si>
  <si>
    <t>3730103129233822720</t>
  </si>
  <si>
    <t>2025-08-10 19:13:23</t>
  </si>
  <si>
    <t>2025-08-13 22:16:32</t>
  </si>
  <si>
    <t>2025-08-23 17:51:09</t>
  </si>
  <si>
    <t>张</t>
  </si>
  <si>
    <t>广东省深圳市罗湖区****</t>
  </si>
  <si>
    <t>罗湖区</t>
  </si>
  <si>
    <t>188****3449</t>
  </si>
  <si>
    <t>;73568067165010(收） Z2183-黑色-M*1#</t>
  </si>
  <si>
    <t>2025-08-10 19:13:28</t>
  </si>
  <si>
    <t>4330502277202508105222696039</t>
  </si>
  <si>
    <t>73619987137288</t>
  </si>
  <si>
    <t>Z2183-黑色-M</t>
  </si>
  <si>
    <t>颜色分类: 黑色;尺码大小: M（80-100斤）</t>
  </si>
  <si>
    <t>3730101572153777408</t>
  </si>
  <si>
    <t>2025-08-10 17:34:27</t>
  </si>
  <si>
    <t>2025-08-20 21:30:22</t>
  </si>
  <si>
    <t>2025-08-21 18:32:40</t>
  </si>
  <si>
    <t>2025-08-28 18:33:14</t>
  </si>
  <si>
    <t>张**</t>
  </si>
  <si>
    <t>广西壮族自治区桂林市象山区****</t>
  </si>
  <si>
    <t>象山区</t>
  </si>
  <si>
    <t>157****7180</t>
  </si>
  <si>
    <t>2025-08-10 17:34:35</t>
  </si>
  <si>
    <t>4311102254202508100242500842</t>
  </si>
  <si>
    <t>73660145921019</t>
  </si>
  <si>
    <t>【老板周】舒适百搭 复古拼色轻便舒适软底休闲鞋</t>
  </si>
  <si>
    <t>10000285402459</t>
  </si>
  <si>
    <t>P139</t>
  </si>
  <si>
    <t>P139-黑色-37</t>
  </si>
  <si>
    <t>颜色: 黑色;尺码: 37</t>
  </si>
  <si>
    <t>3730100686145068032</t>
  </si>
  <si>
    <t>2025-08-10 16:38:02</t>
  </si>
  <si>
    <t>2025-08-14 19:13:04</t>
  </si>
  <si>
    <t>2025-08-18 16:59:21</t>
  </si>
  <si>
    <t>2025-08-25 16:59:56</t>
  </si>
  <si>
    <t>广东省广州市番禺区****</t>
  </si>
  <si>
    <t>番禺区</t>
  </si>
  <si>
    <t>189****8199</t>
  </si>
  <si>
    <t>2025-08-10 16:38:11</t>
  </si>
  <si>
    <t>4200002721202508182717741136</t>
  </si>
  <si>
    <t>73660005994060</t>
  </si>
  <si>
    <t>Z1581-白色-M</t>
  </si>
  <si>
    <t>颜色: 白色;规格: M（100-120斤）</t>
  </si>
  <si>
    <t>3730100611626966016</t>
  </si>
  <si>
    <t>2025-08-10 16:33:22</t>
  </si>
  <si>
    <t>2025-08-24 21:40:41</t>
  </si>
  <si>
    <t>2025-08-31 21:41:15</t>
  </si>
  <si>
    <t>广东省汕头市金平区****</t>
  </si>
  <si>
    <t>汕头市</t>
  </si>
  <si>
    <t>金平区</t>
  </si>
  <si>
    <t>188****9379</t>
  </si>
  <si>
    <t>2025-08-10 16:33:31</t>
  </si>
  <si>
    <t>4341602482202508105201913027</t>
  </si>
  <si>
    <t>73660146671478</t>
  </si>
  <si>
    <t>3730099423499662080</t>
  </si>
  <si>
    <t>2025-08-10 15:17:47</t>
  </si>
  <si>
    <t>2025-08-14 18:44:33</t>
  </si>
  <si>
    <t>2025-08-21 18:45:08</t>
  </si>
  <si>
    <t>阿*</t>
  </si>
  <si>
    <t>广东省广州市白云区****</t>
  </si>
  <si>
    <t>白云区</t>
  </si>
  <si>
    <t>133****8312</t>
  </si>
  <si>
    <t>2025-08-10 15:17:54</t>
  </si>
  <si>
    <t>4200002787202508147252431661</t>
  </si>
  <si>
    <t>73619924796010</t>
  </si>
  <si>
    <t>3730093396162389248</t>
  </si>
  <si>
    <t>2025-08-10 08:54:35</t>
  </si>
  <si>
    <t>2025-08-10 17:55:34</t>
  </si>
  <si>
    <t>2025-08-13 10:33:35</t>
  </si>
  <si>
    <t>2025-08-20 10:34:10</t>
  </si>
  <si>
    <t>蓝**</t>
  </si>
  <si>
    <t>福建省福州市长乐区****</t>
  </si>
  <si>
    <t>长乐区</t>
  </si>
  <si>
    <t>139****7008</t>
  </si>
  <si>
    <t>2025-08-10 08:54:47</t>
  </si>
  <si>
    <t>4330602254202508107744888091</t>
  </si>
  <si>
    <t>73619922004285</t>
  </si>
  <si>
    <t>【老板周】松弛感 秋冬新品复古v领开叉开箱针织上衣</t>
  </si>
  <si>
    <t>10000276527808</t>
  </si>
  <si>
    <t>Z2290</t>
  </si>
  <si>
    <t>Z2290-藏青色-S</t>
  </si>
  <si>
    <t>颜色: 藏青色;尺码: S（80-100斤）</t>
  </si>
  <si>
    <t>3730081942718785024</t>
  </si>
  <si>
    <t>2025-08-09 20:46:22</t>
  </si>
  <si>
    <t>2025-08-10 22:30:22</t>
  </si>
  <si>
    <t>2025-08-15 15:13:37</t>
  </si>
  <si>
    <t>2025-08-22 15:14:12</t>
  </si>
  <si>
    <t>陈*</t>
  </si>
  <si>
    <t>重庆市重庆市璧山区****</t>
  </si>
  <si>
    <t>重庆市</t>
  </si>
  <si>
    <t>璧山区</t>
  </si>
  <si>
    <t>138****2678</t>
  </si>
  <si>
    <t>2025-08-09 20:46:31</t>
  </si>
  <si>
    <t>4200002768202508156600106760</t>
  </si>
  <si>
    <t>73619924424736</t>
  </si>
  <si>
    <t>【老板周】休闲简约 夏季极简百搭后背扣子短袖上衣</t>
  </si>
  <si>
    <t>10000268291836</t>
  </si>
  <si>
    <t>Z2006</t>
  </si>
  <si>
    <t>Z2006-黑色-L</t>
  </si>
  <si>
    <t>3730069770365449472</t>
  </si>
  <si>
    <t>2025-08-09 07:52:28</t>
  </si>
  <si>
    <t>2025-08-17 23:39:41</t>
  </si>
  <si>
    <t>2025-08-20 23:17:33</t>
  </si>
  <si>
    <t>2025-08-27 23:18:08</t>
  </si>
  <si>
    <t>董**</t>
  </si>
  <si>
    <t>吉林省长春市长春经济技术开发区****</t>
  </si>
  <si>
    <t>吉林省</t>
  </si>
  <si>
    <t>长春市</t>
  </si>
  <si>
    <t>长春经济技术开发区</t>
  </si>
  <si>
    <t>130****8276</t>
  </si>
  <si>
    <t>2025-08-09 07:52:38</t>
  </si>
  <si>
    <t>4340902463202508097802266508</t>
  </si>
  <si>
    <t>73660076669117</t>
  </si>
  <si>
    <t>【老板周】时髦精 秋冬新款段染不规则撞色针织上衣</t>
  </si>
  <si>
    <t>10000276958291</t>
  </si>
  <si>
    <t>Z2320</t>
  </si>
  <si>
    <t>Z2320-绿色-M</t>
  </si>
  <si>
    <t>颜色: 绿色;尺码: M（100-135斤）</t>
  </si>
  <si>
    <t>3730053825026728704</t>
  </si>
  <si>
    <t>2025-08-08 14:58:45</t>
  </si>
  <si>
    <t>2025-08-11 23:09:26</t>
  </si>
  <si>
    <t>2025-08-17 23:01:26</t>
  </si>
  <si>
    <t>2025-08-24 23:02:01</t>
  </si>
  <si>
    <t>燕*</t>
  </si>
  <si>
    <t>山东省青岛市崂山区****</t>
  </si>
  <si>
    <t>山东省</t>
  </si>
  <si>
    <t>青岛市</t>
  </si>
  <si>
    <t>崂山区</t>
  </si>
  <si>
    <t>176****6370</t>
  </si>
  <si>
    <t>;SF3233894126812(收） Z2299-蓝色-M*1#</t>
  </si>
  <si>
    <t>2025-08-08 14:58:51</t>
  </si>
  <si>
    <t>4322002256202508087684778930</t>
  </si>
  <si>
    <t>73619941973261</t>
  </si>
  <si>
    <t>【老板周】松弛感 夏季新品时髦休闲垂感百搭休闲裤</t>
  </si>
  <si>
    <t>10000272133183</t>
  </si>
  <si>
    <t>Z2299</t>
  </si>
  <si>
    <t>Z2299-蓝色-M</t>
  </si>
  <si>
    <t>颜色: 蓝色;尺码: M（100-120斤）</t>
  </si>
  <si>
    <t>73619945230778</t>
  </si>
  <si>
    <t>3730046305697406208</t>
  </si>
  <si>
    <t>2025-08-08 07:00:40</t>
  </si>
  <si>
    <t>2025-08-17 00:56:11</t>
  </si>
  <si>
    <t>2025-08-22 12:18:29</t>
  </si>
  <si>
    <t>2025-08-29 12:19:03</t>
  </si>
  <si>
    <t>商**</t>
  </si>
  <si>
    <t>河北省邯郸市临漳县****</t>
  </si>
  <si>
    <t>河北省</t>
  </si>
  <si>
    <t>邯郸市</t>
  </si>
  <si>
    <t>临漳县</t>
  </si>
  <si>
    <t>155****7888</t>
  </si>
  <si>
    <t>2025-08-08 07:00:48</t>
  </si>
  <si>
    <t>4200002791202508226575795206</t>
  </si>
  <si>
    <t>73660053755099</t>
  </si>
  <si>
    <t>3730038407463837952</t>
  </si>
  <si>
    <t>2025-08-07 22:38:37</t>
  </si>
  <si>
    <t>2025-08-08 22:18:55</t>
  </si>
  <si>
    <t>2025-08-14 12:04:47</t>
  </si>
  <si>
    <t>2025-08-21 12:05:21</t>
  </si>
  <si>
    <t>吴*</t>
  </si>
  <si>
    <t>山东省东营市垦利区****</t>
  </si>
  <si>
    <t>东营市</t>
  </si>
  <si>
    <t>垦利区</t>
  </si>
  <si>
    <t>151****5063</t>
  </si>
  <si>
    <t>2025-08-07 22:39:10</t>
  </si>
  <si>
    <t>4336602473202508072558930352</t>
  </si>
  <si>
    <t>73619881434669</t>
  </si>
  <si>
    <t>【老板周】休闲立裁 夏季时髦肌理感挺括百搭九分裤</t>
  </si>
  <si>
    <t>10000267900790</t>
  </si>
  <si>
    <t>Z1913</t>
  </si>
  <si>
    <t>Z1913-黑色-S</t>
  </si>
  <si>
    <t>颜色: 黑色;自定义属性: S（80-100斤）</t>
  </si>
  <si>
    <t>3730033636431508992</t>
  </si>
  <si>
    <t>2025-08-07 17:35:09</t>
  </si>
  <si>
    <t>2025-08-18 17:13:08</t>
  </si>
  <si>
    <t>2025-08-23 16:17:10</t>
  </si>
  <si>
    <t>2025-08-30 16:17:46</t>
  </si>
  <si>
    <t>陈</t>
  </si>
  <si>
    <t>福建省厦门市思明区****</t>
  </si>
  <si>
    <t>厦门市</t>
  </si>
  <si>
    <t>思明区</t>
  </si>
  <si>
    <t>139****5012</t>
  </si>
  <si>
    <t>2025-08-07 17:35:16</t>
  </si>
  <si>
    <t>4349002233202508070957125864</t>
  </si>
  <si>
    <t>73660095545345</t>
  </si>
  <si>
    <t>Z1645-黑色-L</t>
  </si>
  <si>
    <t>3730031473571011072</t>
  </si>
  <si>
    <t>2025-08-07 15:17:38</t>
  </si>
  <si>
    <t>2025-08-17 00:02:06</t>
  </si>
  <si>
    <t>2025-08-21 16:25:23</t>
  </si>
  <si>
    <t>2025-08-28 16:25:57</t>
  </si>
  <si>
    <t>何</t>
  </si>
  <si>
    <t>138****7013</t>
  </si>
  <si>
    <t>2025-08-07 15:17:44</t>
  </si>
  <si>
    <t>4306502240202508071998552511</t>
  </si>
  <si>
    <t>73660053524345</t>
  </si>
  <si>
    <t>3730031110743012864</t>
  </si>
  <si>
    <t>2025-08-07 14:54:33</t>
  </si>
  <si>
    <t>2025-08-19 22:28:56</t>
  </si>
  <si>
    <t>2025-08-24 15:34:19</t>
  </si>
  <si>
    <t>2025-08-31 15:34:53</t>
  </si>
  <si>
    <t>2025-08-07 14:54:40</t>
  </si>
  <si>
    <t>4314102463202508071442537480</t>
  </si>
  <si>
    <t>73660122873853</t>
  </si>
  <si>
    <t>3730029474336093696</t>
  </si>
  <si>
    <t>2025-08-07 13:10:33</t>
  </si>
  <si>
    <t>2025-08-17 00:00:48</t>
  </si>
  <si>
    <t>2025-08-24 16:08:06</t>
  </si>
  <si>
    <t>2025-08-31 16:09:41</t>
  </si>
  <si>
    <t>柴**</t>
  </si>
  <si>
    <t>黑龙江省哈尔滨市道里区****</t>
  </si>
  <si>
    <t>黑龙江省</t>
  </si>
  <si>
    <t>哈尔滨市</t>
  </si>
  <si>
    <t>道里区</t>
  </si>
  <si>
    <t>132****6134</t>
  </si>
  <si>
    <t>2025-08-07 13:10:39</t>
  </si>
  <si>
    <t>4329402262202508072924368502</t>
  </si>
  <si>
    <t>73660053524070</t>
  </si>
  <si>
    <t>3730028515566434304</t>
  </si>
  <si>
    <t>2025-08-07 12:09:35</t>
  </si>
  <si>
    <t>2025-08-17 23:14:16</t>
  </si>
  <si>
    <t>2025-08-21 19:37:58</t>
  </si>
  <si>
    <t>2025-08-28 19:38:32</t>
  </si>
  <si>
    <t>2025-08-07 12:09:43</t>
  </si>
  <si>
    <t>4311502270202508076477252290</t>
  </si>
  <si>
    <t>73660076669648</t>
  </si>
  <si>
    <t>Z1578-黑色-S</t>
  </si>
  <si>
    <t>3730026656676329472</t>
  </si>
  <si>
    <t>2025-08-07 10:11:25</t>
  </si>
  <si>
    <t>2025-08-14 19:11:32</t>
  </si>
  <si>
    <t>2025-08-19 15:26:13</t>
  </si>
  <si>
    <t>2025-08-26 15:27:48</t>
  </si>
  <si>
    <t>顾*</t>
  </si>
  <si>
    <t>江苏省南通市崇川区****</t>
  </si>
  <si>
    <t>南通市</t>
  </si>
  <si>
    <t>崇川区</t>
  </si>
  <si>
    <t>150****6007</t>
  </si>
  <si>
    <t>2025-08-07 10:11:32</t>
  </si>
  <si>
    <t>4200002741202508190297925796</t>
  </si>
  <si>
    <t>73660005993370</t>
  </si>
  <si>
    <t>3730026504921429504</t>
  </si>
  <si>
    <t>2025-08-07 10:01:43</t>
  </si>
  <si>
    <t>2025-08-21 00:11:13</t>
  </si>
  <si>
    <t>2025-08-24 17:33:14</t>
  </si>
  <si>
    <t>2025-08-31 17:33:47</t>
  </si>
  <si>
    <t>许*</t>
  </si>
  <si>
    <t>浙江省金华市东阳市****</t>
  </si>
  <si>
    <t>金华市</t>
  </si>
  <si>
    <t>东阳市</t>
  </si>
  <si>
    <t>182****5757</t>
  </si>
  <si>
    <t>2025-08-07 10:01:51</t>
  </si>
  <si>
    <t>4200002732202508248151466487</t>
  </si>
  <si>
    <t>73660146668616</t>
  </si>
  <si>
    <t>【老板周】百搭质感 经典设计柔软舒适休闲牛仔裤</t>
  </si>
  <si>
    <t>10000282045326</t>
  </si>
  <si>
    <t>Z1038</t>
  </si>
  <si>
    <t>Z1038-黑色-L</t>
  </si>
  <si>
    <t>颜色分类: 黑色;尺码大小: L（110-125斤）</t>
  </si>
  <si>
    <t>3730023142521707520</t>
  </si>
  <si>
    <t>2025-08-07 06:28:04</t>
  </si>
  <si>
    <t>2025-08-10 17:55:51</t>
  </si>
  <si>
    <t>2025-08-15 21:05:24</t>
  </si>
  <si>
    <t>2025-08-22 21:05:59</t>
  </si>
  <si>
    <t>波</t>
  </si>
  <si>
    <t>北京市北京市丰台区****</t>
  </si>
  <si>
    <t>丰台区</t>
  </si>
  <si>
    <t>134****7321</t>
  </si>
  <si>
    <t>2025-08-07 06:28:12</t>
  </si>
  <si>
    <t>4348302277202508072753126885</t>
  </si>
  <si>
    <t>73619922004066</t>
  </si>
  <si>
    <t>Z2290-深灰色-M</t>
  </si>
  <si>
    <t>颜色: 深灰色;尺码: M（100-135斤）</t>
  </si>
  <si>
    <t>3730016977258159872</t>
  </si>
  <si>
    <t>2025-08-06 23:56:04</t>
  </si>
  <si>
    <t>2025-08-11 17:38:16</t>
  </si>
  <si>
    <t>2025-08-16 18:33:26</t>
  </si>
  <si>
    <t>2025-08-23 18:33:59</t>
  </si>
  <si>
    <t>林**</t>
  </si>
  <si>
    <t>福建省厦门市集美区****</t>
  </si>
  <si>
    <t>集美区</t>
  </si>
  <si>
    <t>136****8065</t>
  </si>
  <si>
    <t>2025-08-06 23:56:21</t>
  </si>
  <si>
    <t>4339302582202508067890453513</t>
  </si>
  <si>
    <t>73619941972888</t>
  </si>
  <si>
    <t>Z2079-粉色-M</t>
  </si>
  <si>
    <t>颜色分类: 粉色;尺码大小: M（100-120斤）</t>
  </si>
  <si>
    <t>3730015260880545792</t>
  </si>
  <si>
    <t>2025-08-06 22:07:00</t>
  </si>
  <si>
    <t>2025-08-21 10:20:59</t>
  </si>
  <si>
    <t>2025-08-24 09:36:24</t>
  </si>
  <si>
    <t>2025-08-31 09:36:58</t>
  </si>
  <si>
    <t>何**</t>
  </si>
  <si>
    <t>广东省广州市花都区****</t>
  </si>
  <si>
    <t>花都区</t>
  </si>
  <si>
    <t>136****3233</t>
  </si>
  <si>
    <t>2025-08-06 22:07:12</t>
  </si>
  <si>
    <t>4321502590202508065854100552</t>
  </si>
  <si>
    <t>73660154869088</t>
  </si>
  <si>
    <t>【老板周】休闲时髦 夏季重工水洗舒适柔软八分牛仔裤</t>
  </si>
  <si>
    <t>10000270654599</t>
  </si>
  <si>
    <t>Z2215</t>
  </si>
  <si>
    <t>Z2215-蓝色-M</t>
  </si>
  <si>
    <t>73660154868995</t>
  </si>
  <si>
    <t>【老板周】极简随性 春夏休闲舒适廓形百搭卫衣蓝精灵短外套</t>
  </si>
  <si>
    <t>10000268718881</t>
  </si>
  <si>
    <t>Z1848</t>
  </si>
  <si>
    <t>Z1848-蓝色-M</t>
  </si>
  <si>
    <t>颜色分类: 蓝色;尺码: M（100-120斤）</t>
  </si>
  <si>
    <t>3730004663504089344</t>
  </si>
  <si>
    <t>2025-08-06 10:53:13</t>
  </si>
  <si>
    <t>2025-08-11 23:53:23</t>
  </si>
  <si>
    <t>2025-08-16 14:16:12</t>
  </si>
  <si>
    <t>2025-08-23 14:16:46</t>
  </si>
  <si>
    <t>四川省成都市成华区****</t>
  </si>
  <si>
    <t>成华区</t>
  </si>
  <si>
    <t>151****5265</t>
  </si>
  <si>
    <t>2025-08-06 10:53:20</t>
  </si>
  <si>
    <t>4200002791202508160665700372</t>
  </si>
  <si>
    <t>73619945531639</t>
  </si>
  <si>
    <t>关联账号</t>
  </si>
  <si>
    <t>服务号</t>
  </si>
  <si>
    <t>老板周LAO BAN ZHOU</t>
  </si>
  <si>
    <t>【老板周】简约U领 后中线设计舒适坎肩上衣</t>
  </si>
  <si>
    <t>10000267868630</t>
  </si>
  <si>
    <t>Z574</t>
  </si>
  <si>
    <t>Z574-深灰色-S</t>
  </si>
  <si>
    <t>颜色分类: 深灰色;尺码大小: S（80-95斤）</t>
  </si>
  <si>
    <t>3730002886317713408</t>
  </si>
  <si>
    <t>2025-08-06 09:00:07</t>
  </si>
  <si>
    <t>2025-08-14 18:15:04</t>
  </si>
  <si>
    <t>2025-08-24 18:15:06</t>
  </si>
  <si>
    <t>2025-08-31 18:15:41</t>
  </si>
  <si>
    <t>梁**</t>
  </si>
  <si>
    <t>广东省湛江市赤坎区****</t>
  </si>
  <si>
    <t>湛江市</t>
  </si>
  <si>
    <t>赤坎区</t>
  </si>
  <si>
    <t>138****4882</t>
  </si>
  <si>
    <t>2025-08-06 09:00:17</t>
  </si>
  <si>
    <t>4329502266202508069626055009</t>
  </si>
  <si>
    <t>73660005994682</t>
  </si>
  <si>
    <t>【老板周】复古调性 秋冬老钱极简廓形结构宽松休闲裤</t>
  </si>
  <si>
    <t>10000276627514</t>
  </si>
  <si>
    <t>Z2158</t>
  </si>
  <si>
    <t>Z2158-卡其色-L</t>
  </si>
  <si>
    <t>颜色: 卡其色;尺码: L（120-135斤）</t>
  </si>
  <si>
    <t>用户取消申请</t>
  </si>
  <si>
    <t>3729993879076611584</t>
  </si>
  <si>
    <t>2025-08-05 23:27:26</t>
  </si>
  <si>
    <t>2025-08-20 16:58:52</t>
  </si>
  <si>
    <t>2025-08-27 16:59:27</t>
  </si>
  <si>
    <t>昇**</t>
  </si>
  <si>
    <t>广东省东莞市塘厦镇****</t>
  </si>
  <si>
    <t>东莞市</t>
  </si>
  <si>
    <t>塘厦镇</t>
  </si>
  <si>
    <t>133****9161</t>
  </si>
  <si>
    <t>2025-08-05 23:27:34</t>
  </si>
  <si>
    <t>4349902589202508055963420868</t>
  </si>
  <si>
    <t>73660053521446</t>
  </si>
  <si>
    <t>3729993873023710464</t>
  </si>
  <si>
    <t>2025-08-05 23:27:11</t>
  </si>
  <si>
    <t>2025-08-22 10:07:16</t>
  </si>
  <si>
    <t>2025-08-29 10:07:50</t>
  </si>
  <si>
    <t>北京市北京市通州区****</t>
  </si>
  <si>
    <t>通州区</t>
  </si>
  <si>
    <t>186****7797</t>
  </si>
  <si>
    <t>2025-08-05 23:27:21</t>
  </si>
  <si>
    <t>4324802274202508055058436914</t>
  </si>
  <si>
    <t>73660053521466</t>
  </si>
  <si>
    <t>3729993832604505088</t>
  </si>
  <si>
    <t>2025-08-05 23:24:32</t>
  </si>
  <si>
    <t>2025-08-16 23:59:13</t>
  </si>
  <si>
    <t>2025-08-21 18:41:06</t>
  </si>
  <si>
    <t>2025-08-28 18:41:39</t>
  </si>
  <si>
    <t>徐**</t>
  </si>
  <si>
    <t>137****2799</t>
  </si>
  <si>
    <t>2025-08-05 23:24:37</t>
  </si>
  <si>
    <t>4200002723202508218981384015</t>
  </si>
  <si>
    <t>73660053521479</t>
  </si>
  <si>
    <t>3729993829610299136</t>
  </si>
  <si>
    <t>2025-08-05 23:24:20</t>
  </si>
  <si>
    <t>2025-08-18 23:30:54</t>
  </si>
  <si>
    <t>2025-08-23 14:36:42</t>
  </si>
  <si>
    <t>2025-08-30 14:37:16</t>
  </si>
  <si>
    <t>湖南省长沙市岳麓区****</t>
  </si>
  <si>
    <t>长沙市</t>
  </si>
  <si>
    <t>岳麓区</t>
  </si>
  <si>
    <t>181****3017</t>
  </si>
  <si>
    <t>2025-08-05 23:24:29</t>
  </si>
  <si>
    <t>4324702235202508057312875248</t>
  </si>
  <si>
    <t>73660099843961</t>
  </si>
  <si>
    <t>3729993787703177984</t>
  </si>
  <si>
    <t>2025-08-05 23:21:38</t>
  </si>
  <si>
    <t>2025-08-20 14:37:08</t>
  </si>
  <si>
    <t>2025-08-27 14:37:43</t>
  </si>
  <si>
    <t>广东省深圳市光明区****</t>
  </si>
  <si>
    <t>光明区</t>
  </si>
  <si>
    <t>181****6688</t>
  </si>
  <si>
    <t>2025-08-05 23:21:44</t>
  </si>
  <si>
    <t>4319402587202508052597256942</t>
  </si>
  <si>
    <t>73660099843841</t>
  </si>
  <si>
    <t>3729993785795028992</t>
  </si>
  <si>
    <t>2025-08-05 23:21:36</t>
  </si>
  <si>
    <t>2025-08-19 12:14:52</t>
  </si>
  <si>
    <t>2025-08-26 12:15:26</t>
  </si>
  <si>
    <t>王*</t>
  </si>
  <si>
    <t>139****8826</t>
  </si>
  <si>
    <t>2025-08-05 23:21:42</t>
  </si>
  <si>
    <t>4200002720202508197660179900</t>
  </si>
  <si>
    <t>73660053521374</t>
  </si>
  <si>
    <t>3729993780212152320</t>
  </si>
  <si>
    <t>2025-08-05 23:21:09</t>
  </si>
  <si>
    <t>2025-08-24 12:03:25</t>
  </si>
  <si>
    <t>2025-08-31 12:03:59</t>
  </si>
  <si>
    <t>广东省深圳市龙岗区****</t>
  </si>
  <si>
    <t>龙岗区</t>
  </si>
  <si>
    <t>137****1545</t>
  </si>
  <si>
    <t>2025-08-05 23:21:19</t>
  </si>
  <si>
    <t>4315002276202508053560009684</t>
  </si>
  <si>
    <t>73660099843918</t>
  </si>
  <si>
    <t>3729993777319131136</t>
  </si>
  <si>
    <t>2025-08-05 23:20:58</t>
  </si>
  <si>
    <t>2025-08-20 14:37:13</t>
  </si>
  <si>
    <t>2025-08-27 14:37:47</t>
  </si>
  <si>
    <t>2025-08-05 23:21:04</t>
  </si>
  <si>
    <t>4330602286202508059646742625</t>
  </si>
  <si>
    <t>73660053521387</t>
  </si>
  <si>
    <t>3729993769676846592</t>
  </si>
  <si>
    <t>2025-08-05 23:20:32</t>
  </si>
  <si>
    <t>2025-08-18 23:23:55</t>
  </si>
  <si>
    <t>2025-08-23 12:43:32</t>
  </si>
  <si>
    <t>2025-08-30 12:44:07</t>
  </si>
  <si>
    <t>2025-08-05 23:20:39</t>
  </si>
  <si>
    <t>4343302271202508058115420497</t>
  </si>
  <si>
    <t>73660099464157</t>
  </si>
  <si>
    <t>3729993768515277824</t>
  </si>
  <si>
    <t>2025-08-05 23:20:24</t>
  </si>
  <si>
    <t>2025-08-18 23:10:51</t>
  </si>
  <si>
    <t>2025-08-24 11:14:01</t>
  </si>
  <si>
    <t>2025-08-31 11:14:35</t>
  </si>
  <si>
    <t>叶**</t>
  </si>
  <si>
    <t>山东省淄博市张店区****</t>
  </si>
  <si>
    <t>淄博市</t>
  </si>
  <si>
    <t>张店区</t>
  </si>
  <si>
    <t>199****4494</t>
  </si>
  <si>
    <t>2025-08-05 23:20:30</t>
  </si>
  <si>
    <t>4335002279202508059838757876</t>
  </si>
  <si>
    <t>73660099464093</t>
  </si>
  <si>
    <t>3729993755695125504</t>
  </si>
  <si>
    <t>2025-08-05 23:19:38</t>
  </si>
  <si>
    <t>2025-08-17 23:18:42</t>
  </si>
  <si>
    <t>2025-08-21 21:44:27</t>
  </si>
  <si>
    <t>2025-08-28 21:45:00</t>
  </si>
  <si>
    <t>2025-08-05 23:19:44</t>
  </si>
  <si>
    <t>4200002764202508216854657382</t>
  </si>
  <si>
    <t>73660076665826</t>
  </si>
  <si>
    <t>【老板周】日系极简 春季新品圆领简约设计感无袖马甲</t>
  </si>
  <si>
    <t>10000281061917</t>
  </si>
  <si>
    <t>Z1640</t>
  </si>
  <si>
    <t>Z1640-黑色-L</t>
  </si>
  <si>
    <t>3729993609132250112</t>
  </si>
  <si>
    <t>2025-08-05 23:10:17</t>
  </si>
  <si>
    <t>2025-08-05 23:43:12</t>
  </si>
  <si>
    <t>2025-08-10 22:26:29</t>
  </si>
  <si>
    <t>2025-08-17 22:27:03</t>
  </si>
  <si>
    <t>138****7521</t>
  </si>
  <si>
    <t>2025-08-05 23:10:28</t>
  </si>
  <si>
    <t>4200002793202508101768309475</t>
  </si>
  <si>
    <t>73619817417496</t>
  </si>
  <si>
    <t>Z2183-米白色-M</t>
  </si>
  <si>
    <t>颜色分类: 米白色;尺码大小: M（80-100斤）</t>
  </si>
  <si>
    <t>3729993485694145536</t>
  </si>
  <si>
    <t>2025-08-05 23:02:26</t>
  </si>
  <si>
    <t>2025-08-18 19:34:52</t>
  </si>
  <si>
    <t>2025-08-23 10:55:08</t>
  </si>
  <si>
    <t>2025-08-30 10:55:43</t>
  </si>
  <si>
    <t>史**</t>
  </si>
  <si>
    <t>浙江省宁波市余姚市****</t>
  </si>
  <si>
    <t>余姚市</t>
  </si>
  <si>
    <t>150****0888</t>
  </si>
  <si>
    <t>2025-08-05 23:02:32</t>
  </si>
  <si>
    <t>4312502239202508055167748565</t>
  </si>
  <si>
    <t>73660097662256</t>
  </si>
  <si>
    <t>3729992993487593216</t>
  </si>
  <si>
    <t>2025-08-05 22:31:09</t>
  </si>
  <si>
    <t>2025-08-18 09:14:51</t>
  </si>
  <si>
    <t>2025-08-25 09:15:26</t>
  </si>
  <si>
    <t>蔡**</t>
  </si>
  <si>
    <t>上海市上海市杨浦区****</t>
  </si>
  <si>
    <t>杨浦区</t>
  </si>
  <si>
    <t>150****8958</t>
  </si>
  <si>
    <t>2025-08-05 22:31:14</t>
  </si>
  <si>
    <t>4200002793202508181828659237</t>
  </si>
  <si>
    <t>73619987135839</t>
  </si>
  <si>
    <t>3729992973983555328</t>
  </si>
  <si>
    <t>2025-08-05 22:29:54</t>
  </si>
  <si>
    <t>2025-08-17 00:50:19</t>
  </si>
  <si>
    <t>2025-08-20 17:12:02</t>
  </si>
  <si>
    <t>2025-08-27 17:12:37</t>
  </si>
  <si>
    <t>2025-08-05 22:30:05</t>
  </si>
  <si>
    <t>4309902459202508059855796628</t>
  </si>
  <si>
    <t>73660053750957</t>
  </si>
  <si>
    <t>Z2183-黑色-L</t>
  </si>
  <si>
    <t>颜色分类: 黑色;尺码大小: L（100-120斤）</t>
  </si>
  <si>
    <t>3729992972891462912</t>
  </si>
  <si>
    <t>2025-08-05 22:29:49</t>
  </si>
  <si>
    <t>2025-08-14 19:12:26</t>
  </si>
  <si>
    <t>2025-08-24 10:48:09</t>
  </si>
  <si>
    <t>杜**</t>
  </si>
  <si>
    <t>广东省东莞市清溪镇****</t>
  </si>
  <si>
    <t>清溪镇</t>
  </si>
  <si>
    <t>134****8129</t>
  </si>
  <si>
    <t>;SF3231552110346(收） Z2183-黑色-XL*1#</t>
  </si>
  <si>
    <t>2025-08-05 22:29:57</t>
  </si>
  <si>
    <t>4335302278202508051554497830</t>
  </si>
  <si>
    <t>73660005994085</t>
  </si>
  <si>
    <t>3729992906953593856</t>
  </si>
  <si>
    <t>2025-08-05 22:25:38</t>
  </si>
  <si>
    <t>2025-08-18 10:23:36</t>
  </si>
  <si>
    <t>2025-08-25 10:24:11</t>
  </si>
  <si>
    <t>沈**</t>
  </si>
  <si>
    <t>江苏省常州市武进区****</t>
  </si>
  <si>
    <t>常州市</t>
  </si>
  <si>
    <t>武进区</t>
  </si>
  <si>
    <t>133****9189</t>
  </si>
  <si>
    <t>2025-08-05 22:25:45</t>
  </si>
  <si>
    <t>4314102282202508059161389037</t>
  </si>
  <si>
    <t>73619987137127</t>
  </si>
  <si>
    <t>3729991851465127936</t>
  </si>
  <si>
    <t>2025-08-05 21:18:38</t>
  </si>
  <si>
    <t>2025-08-11 22:15:49</t>
  </si>
  <si>
    <t>2025-08-20 22:23:19</t>
  </si>
  <si>
    <t>2025-08-27 22:23:53</t>
  </si>
  <si>
    <t>天津市天津市西青区****</t>
  </si>
  <si>
    <t>天津市</t>
  </si>
  <si>
    <t>西青区</t>
  </si>
  <si>
    <t>137****1957</t>
  </si>
  <si>
    <t>2025-08-05 21:18:45</t>
  </si>
  <si>
    <t>4200002782202508202606985975</t>
  </si>
  <si>
    <t>73619944881926</t>
  </si>
  <si>
    <t>【老板周】法式极简 春夏新款重工立裁百搭十片半身裙</t>
  </si>
  <si>
    <t>10000268341741</t>
  </si>
  <si>
    <t>Z1741</t>
  </si>
  <si>
    <t>Z1741-白色-L</t>
  </si>
  <si>
    <t>颜色: 白色;规格: L（120-135斤）</t>
  </si>
  <si>
    <t>3729991740645319424</t>
  </si>
  <si>
    <t>2025-08-05 21:11:28</t>
  </si>
  <si>
    <t>2025-08-18 10:30:59</t>
  </si>
  <si>
    <t>2025-08-25 10:31:34</t>
  </si>
  <si>
    <t>曾*</t>
  </si>
  <si>
    <t>贵州省贵阳市乌当区****</t>
  </si>
  <si>
    <t>贵阳市</t>
  </si>
  <si>
    <t>乌当区</t>
  </si>
  <si>
    <t>138****4000</t>
  </si>
  <si>
    <t>2025-08-05 21:11:38</t>
  </si>
  <si>
    <t>4313802469202508052706551058</t>
  </si>
  <si>
    <t>73619816737219</t>
  </si>
  <si>
    <t>73619987136623</t>
  </si>
  <si>
    <t>3729991040944449024</t>
  </si>
  <si>
    <t>2025-08-05 20:27:00</t>
  </si>
  <si>
    <t>2025-08-05 21:46:12</t>
  </si>
  <si>
    <t>2025-08-08 05:52:04</t>
  </si>
  <si>
    <t>2025-08-15 05:52:40</t>
  </si>
  <si>
    <t>浙江省温州市瓯海区****</t>
  </si>
  <si>
    <t>瓯海区</t>
  </si>
  <si>
    <t>139****4690</t>
  </si>
  <si>
    <t>2025-08-05 20:27:07</t>
  </si>
  <si>
    <t>4343102245202508053688623450</t>
  </si>
  <si>
    <t>73619816734618</t>
  </si>
  <si>
    <t>Z2183-米白色-L</t>
  </si>
  <si>
    <t>颜色分类: 米白色;尺码大小: L（100-120斤）</t>
  </si>
  <si>
    <t>3729991033542024448</t>
  </si>
  <si>
    <t>2025-08-05 20:26:34</t>
  </si>
  <si>
    <t>2025-08-05 21:45:32</t>
  </si>
  <si>
    <t>2025-08-10 18:11:31</t>
  </si>
  <si>
    <t>2025-08-17 18:12:06</t>
  </si>
  <si>
    <t>2025-08-05 20:26:43</t>
  </si>
  <si>
    <t>4331702273202508050076046998</t>
  </si>
  <si>
    <t>73619816735073</t>
  </si>
  <si>
    <t>3729989295561645568</t>
  </si>
  <si>
    <t>2025-08-05 18:36:02</t>
  </si>
  <si>
    <t>2025-08-17 00:39:58</t>
  </si>
  <si>
    <t>2025-08-21 14:54:34</t>
  </si>
  <si>
    <t>2025-08-28 14:55:08</t>
  </si>
  <si>
    <t>杨**</t>
  </si>
  <si>
    <t>浙江省杭州市滨江区****</t>
  </si>
  <si>
    <t>杭州市</t>
  </si>
  <si>
    <t>滨江区</t>
  </si>
  <si>
    <t>137****0966</t>
  </si>
  <si>
    <t>2025-08-05 18:36:07</t>
  </si>
  <si>
    <t>4334802284202508054919318345</t>
  </si>
  <si>
    <t>73660053520669</t>
  </si>
  <si>
    <t>Z1576-黑色-S</t>
  </si>
  <si>
    <t>3729988599348868352</t>
  </si>
  <si>
    <t>2025-08-05 17:51:48</t>
  </si>
  <si>
    <t>2025-08-06 19:44:22</t>
  </si>
  <si>
    <t>2025-08-13 18:29:43</t>
  </si>
  <si>
    <t>2025-08-20 18:30:18</t>
  </si>
  <si>
    <t>敬*</t>
  </si>
  <si>
    <t>吉林省长春市朝阳区****</t>
  </si>
  <si>
    <t>138****3377</t>
  </si>
  <si>
    <t>2025-08-05 17:51:56</t>
  </si>
  <si>
    <t>4322802478202508052653884674</t>
  </si>
  <si>
    <t>73619837403339</t>
  </si>
  <si>
    <t>3729988162114692352</t>
  </si>
  <si>
    <t>2025-08-05 17:24:02</t>
  </si>
  <si>
    <t>2025-08-17 00:30:08</t>
  </si>
  <si>
    <t>2025-08-21 15:44:24</t>
  </si>
  <si>
    <t>2025-08-28 15:44:57</t>
  </si>
  <si>
    <t>吕*</t>
  </si>
  <si>
    <t>江西省九江市湖口县****</t>
  </si>
  <si>
    <t>江西省</t>
  </si>
  <si>
    <t>九江市</t>
  </si>
  <si>
    <t>湖口县</t>
  </si>
  <si>
    <t>182****9998</t>
  </si>
  <si>
    <t>2025-08-05 17:24:08</t>
  </si>
  <si>
    <t>4344602584202508051120700632</t>
  </si>
  <si>
    <t>73660053520934</t>
  </si>
  <si>
    <t>3729988057297205248</t>
  </si>
  <si>
    <t>2025-08-05 17:17:18</t>
  </si>
  <si>
    <t>2025-08-15 22:45:20</t>
  </si>
  <si>
    <t>2025-08-21 13:21:20</t>
  </si>
  <si>
    <t>2025-08-28 13:22:55</t>
  </si>
  <si>
    <t>邓**</t>
  </si>
  <si>
    <t>重庆市重庆市南岸区****</t>
  </si>
  <si>
    <t>南岸区</t>
  </si>
  <si>
    <t>136****1794</t>
  </si>
  <si>
    <t>2025-08-05 17:17:28</t>
  </si>
  <si>
    <t>4303302252202508052388933343</t>
  </si>
  <si>
    <t>73660029907486</t>
  </si>
  <si>
    <t>3729987215633555712</t>
  </si>
  <si>
    <t>2025-08-05 16:24:04</t>
  </si>
  <si>
    <t>2025-08-18 23:31:31</t>
  </si>
  <si>
    <t>2025-08-23 11:10:25</t>
  </si>
  <si>
    <t>2025-08-30 11:12:00</t>
  </si>
  <si>
    <t>朱*</t>
  </si>
  <si>
    <t>上海市上海市浦东新区****</t>
  </si>
  <si>
    <t>浦东新区</t>
  </si>
  <si>
    <t>139****9966</t>
  </si>
  <si>
    <t>2025-08-05 16:24:11</t>
  </si>
  <si>
    <t>4200002760202508231751445875</t>
  </si>
  <si>
    <t>73660099843839</t>
  </si>
  <si>
    <t>Z1640-黑色-M</t>
  </si>
  <si>
    <t>3729987197862289920</t>
  </si>
  <si>
    <t>2025-08-05 16:22:40</t>
  </si>
  <si>
    <t>2025-08-15 22:35:22</t>
  </si>
  <si>
    <t>2025-08-20 18:35:12</t>
  </si>
  <si>
    <t>2025-08-27 18:35:47</t>
  </si>
  <si>
    <t>贝*</t>
  </si>
  <si>
    <t>重庆市重庆市九龙坡区****</t>
  </si>
  <si>
    <t>九龙坡区</t>
  </si>
  <si>
    <t>152****3811</t>
  </si>
  <si>
    <t>2025-08-05 16:22:48</t>
  </si>
  <si>
    <t>4200002731202508206546545976</t>
  </si>
  <si>
    <t>73660029908370</t>
  </si>
  <si>
    <t>3729987087858022400</t>
  </si>
  <si>
    <t>2025-08-05 16:15:49</t>
  </si>
  <si>
    <t>2025-08-18 23:31:30</t>
  </si>
  <si>
    <t>2025-08-23 11:34:39</t>
  </si>
  <si>
    <t>2025-08-30 11:35:14</t>
  </si>
  <si>
    <t>福建省福州市仓山区****</t>
  </si>
  <si>
    <t>仓山区</t>
  </si>
  <si>
    <t>189****9237</t>
  </si>
  <si>
    <t>2025-08-05 16:15:55</t>
  </si>
  <si>
    <t>4200002773202508234606506316</t>
  </si>
  <si>
    <t>73660099843826</t>
  </si>
  <si>
    <t>3729987078858090496</t>
  </si>
  <si>
    <t>2025-08-05 16:15:07</t>
  </si>
  <si>
    <t>2025-08-17 00:52:06</t>
  </si>
  <si>
    <t>2025-08-20 21:39:52</t>
  </si>
  <si>
    <t>2025-08-27 21:40:26</t>
  </si>
  <si>
    <t>139****8757</t>
  </si>
  <si>
    <t>2025-08-05 16:15:14</t>
  </si>
  <si>
    <t>4200002780202508203425827476</t>
  </si>
  <si>
    <t>73660053750985</t>
  </si>
  <si>
    <t>3729987077234636544</t>
  </si>
  <si>
    <t>2025-08-05 16:15:05</t>
  </si>
  <si>
    <t>2025-08-23 12:05:43</t>
  </si>
  <si>
    <t>2025-08-30 12:06:16</t>
  </si>
  <si>
    <t>唐**</t>
  </si>
  <si>
    <t>湖南省永州市零陵区****</t>
  </si>
  <si>
    <t>永州市</t>
  </si>
  <si>
    <t>零陵区</t>
  </si>
  <si>
    <t>151****5339</t>
  </si>
  <si>
    <t>2025-08-05 16:15:11</t>
  </si>
  <si>
    <t>4200002732202508232685796251</t>
  </si>
  <si>
    <t>73660099843959</t>
  </si>
  <si>
    <t>3729987077409748737</t>
  </si>
  <si>
    <t>2025-08-05 16:15:00</t>
  </si>
  <si>
    <t>2025-08-24 11:38:33</t>
  </si>
  <si>
    <t>2025-08-31 11:39:06</t>
  </si>
  <si>
    <t>康*</t>
  </si>
  <si>
    <t>陕西省西安市灞桥区****</t>
  </si>
  <si>
    <t>陕西省</t>
  </si>
  <si>
    <t>西安市</t>
  </si>
  <si>
    <t>灞桥区</t>
  </si>
  <si>
    <t>135****0834</t>
  </si>
  <si>
    <t>2025-08-05 16:15:08</t>
  </si>
  <si>
    <t>4345802462202508050922228137</t>
  </si>
  <si>
    <t>73660099843854</t>
  </si>
  <si>
    <t>3729987055737254144</t>
  </si>
  <si>
    <t>2025-08-05 16:13:37</t>
  </si>
  <si>
    <t>2025-08-16 20:57:32</t>
  </si>
  <si>
    <t>2025-08-22 09:11:56</t>
  </si>
  <si>
    <t>2025-08-29 09:12:30</t>
  </si>
  <si>
    <t>浙江省台州市椒江区****</t>
  </si>
  <si>
    <t>台州市</t>
  </si>
  <si>
    <t>椒江区</t>
  </si>
  <si>
    <t>130****1351</t>
  </si>
  <si>
    <t>2025-08-05 16:13:46</t>
  </si>
  <si>
    <t>4328302248202508055796559079</t>
  </si>
  <si>
    <t>73660052105038</t>
  </si>
  <si>
    <t>3729987046644522496</t>
  </si>
  <si>
    <t>2025-08-05 16:13:10</t>
  </si>
  <si>
    <t>2025-08-16 18:28:23</t>
  </si>
  <si>
    <t>2025-08-23 12:06:20</t>
  </si>
  <si>
    <t>2025-08-30 12:06:54</t>
  </si>
  <si>
    <t>2025-08-05 16:13:20</t>
  </si>
  <si>
    <t>4200002788202508233779736964</t>
  </si>
  <si>
    <t>73660050329204</t>
  </si>
  <si>
    <t>3729987045830045696</t>
  </si>
  <si>
    <t>2025-08-05 16:13:01</t>
  </si>
  <si>
    <t>2025-08-21 16:42:02</t>
  </si>
  <si>
    <t>2025-08-28 16:42:36</t>
  </si>
  <si>
    <t>138****7380</t>
  </si>
  <si>
    <t>2025-08-05 16:13:08</t>
  </si>
  <si>
    <t>4322802471202508052801490871</t>
  </si>
  <si>
    <t>73660053520763</t>
  </si>
  <si>
    <t>3729987046130726656</t>
  </si>
  <si>
    <t>2025-08-14 23:24:59</t>
  </si>
  <si>
    <t>2025-08-20 17:04:30</t>
  </si>
  <si>
    <t>2025-08-27 17:05:05</t>
  </si>
  <si>
    <t>安徽省合肥市瑶海区****</t>
  </si>
  <si>
    <t>安徽省</t>
  </si>
  <si>
    <t>合肥市</t>
  </si>
  <si>
    <t>瑶海区</t>
  </si>
  <si>
    <t>153****8087</t>
  </si>
  <si>
    <t>2025-08-05 16:13:07</t>
  </si>
  <si>
    <t>4302102243202508058674528352</t>
  </si>
  <si>
    <t>73660008624666</t>
  </si>
  <si>
    <t>3729987044860369408</t>
  </si>
  <si>
    <t>2025-08-05 16:13:00</t>
  </si>
  <si>
    <t>2025-08-15 17:33:40</t>
  </si>
  <si>
    <t>2025-08-20 11:17:19</t>
  </si>
  <si>
    <t>2025-08-27 11:17:53</t>
  </si>
  <si>
    <t>2025-08-05 16:13:09</t>
  </si>
  <si>
    <t>4200002771202508208672788969</t>
  </si>
  <si>
    <t>73660025216196</t>
  </si>
  <si>
    <t>3729987045684026624</t>
  </si>
  <si>
    <t>2025-08-15 17:28:35</t>
  </si>
  <si>
    <t>2025-08-22 20:33:58</t>
  </si>
  <si>
    <t>2025-08-29 20:34:31</t>
  </si>
  <si>
    <t>山东省青岛市市北区****</t>
  </si>
  <si>
    <t>市北区</t>
  </si>
  <si>
    <t>150****4535</t>
  </si>
  <si>
    <t>4200002770202508225389505488</t>
  </si>
  <si>
    <t>73660025215585</t>
  </si>
  <si>
    <t>3729987042053863424</t>
  </si>
  <si>
    <t>2025-08-05 16:12:57</t>
  </si>
  <si>
    <t>2025-08-14 23:26:07</t>
  </si>
  <si>
    <t>2025-08-19 17:56:54</t>
  </si>
  <si>
    <t>2025-08-26 17:57:30</t>
  </si>
  <si>
    <t>广东省肇庆市封开县****</t>
  </si>
  <si>
    <t>肇庆市</t>
  </si>
  <si>
    <t>封开县</t>
  </si>
  <si>
    <t>139****1008</t>
  </si>
  <si>
    <t>4200002769202508192838886357</t>
  </si>
  <si>
    <t>73660008624740</t>
  </si>
  <si>
    <t>3729987043696456704</t>
  </si>
  <si>
    <t>2025-08-05 16:12:53</t>
  </si>
  <si>
    <t>2025-08-22 10:13:15</t>
  </si>
  <si>
    <t>2025-08-29 10:13:49</t>
  </si>
  <si>
    <t>云南省保山市腾冲市****</t>
  </si>
  <si>
    <t>保山市</t>
  </si>
  <si>
    <t>腾冲市</t>
  </si>
  <si>
    <t>153****9936</t>
  </si>
  <si>
    <t>2025-08-05 16:13:02</t>
  </si>
  <si>
    <t>4340802467202508051138508626</t>
  </si>
  <si>
    <t>73660008624594</t>
  </si>
  <si>
    <t>3729987043485163264</t>
  </si>
  <si>
    <t>2025-08-05 16:12:51</t>
  </si>
  <si>
    <t>2025-08-19 17:27:54</t>
  </si>
  <si>
    <t>2025-08-26 17:28:28</t>
  </si>
  <si>
    <t>江苏省常州市溧阳市****</t>
  </si>
  <si>
    <t>溧阳市</t>
  </si>
  <si>
    <t>138****8837</t>
  </si>
  <si>
    <t>4200002774202508196511881543</t>
  </si>
  <si>
    <t>73660008624566</t>
  </si>
  <si>
    <t>3729987040648771328</t>
  </si>
  <si>
    <t>2025-08-05 16:12:40</t>
  </si>
  <si>
    <t>2025-08-19 09:39:15</t>
  </si>
  <si>
    <t>2025-08-26 09:39:49</t>
  </si>
  <si>
    <t>姚*</t>
  </si>
  <si>
    <t>138****1278</t>
  </si>
  <si>
    <t>2025-08-05 16:12:50</t>
  </si>
  <si>
    <t>4200002721202508197229664108</t>
  </si>
  <si>
    <t>73660008624620</t>
  </si>
  <si>
    <t>3729987021196631296</t>
  </si>
  <si>
    <t>2025-08-05 16:11:31</t>
  </si>
  <si>
    <t>2025-08-19 23:46:13</t>
  </si>
  <si>
    <t>2025-08-26 23:46:47</t>
  </si>
  <si>
    <t>小**</t>
  </si>
  <si>
    <t>浙江省温州市鹿城区****</t>
  </si>
  <si>
    <t>鹿城区</t>
  </si>
  <si>
    <t>136****5060</t>
  </si>
  <si>
    <t>2025-08-05 16:11:37</t>
  </si>
  <si>
    <t>4342402482202508059741848522</t>
  </si>
  <si>
    <t>73660008624709</t>
  </si>
  <si>
    <t>3729987016751193088</t>
  </si>
  <si>
    <t>2025-08-05 16:11:15</t>
  </si>
  <si>
    <t>2025-08-21 12:54:34</t>
  </si>
  <si>
    <t>2025-08-28 12:56:09</t>
  </si>
  <si>
    <t>2025-08-05 16:11:21</t>
  </si>
  <si>
    <t>4341302270202508053082546396</t>
  </si>
  <si>
    <t>73660008624686</t>
  </si>
  <si>
    <t>3729987014416545536</t>
  </si>
  <si>
    <t>2025-08-05 16:11:00</t>
  </si>
  <si>
    <t>2025-08-20 18:13:41</t>
  </si>
  <si>
    <t>2025-08-27 18:14:15</t>
  </si>
  <si>
    <t>2025-08-05 16:11:08</t>
  </si>
  <si>
    <t>4200002773202508203396420943</t>
  </si>
  <si>
    <t>73660053520735</t>
  </si>
  <si>
    <t>3729987010391317504</t>
  </si>
  <si>
    <t>2025-08-05 16:10:45</t>
  </si>
  <si>
    <t>2025-08-23 11:50:43</t>
  </si>
  <si>
    <t>2025-08-30 11:51:18</t>
  </si>
  <si>
    <t>蓉*</t>
  </si>
  <si>
    <t>四川省成都市双流区****</t>
  </si>
  <si>
    <t>双流区</t>
  </si>
  <si>
    <t>136****3512</t>
  </si>
  <si>
    <t>2025-08-05 16:10:52</t>
  </si>
  <si>
    <t>4200002782202508233698799935</t>
  </si>
  <si>
    <t>73660053520842</t>
  </si>
  <si>
    <t>3729987008773892096</t>
  </si>
  <si>
    <t>2025-08-05 16:10:40</t>
  </si>
  <si>
    <t>2025-08-16 22:07:35</t>
  </si>
  <si>
    <t>2025-08-21 13:44:15</t>
  </si>
  <si>
    <t>2025-08-28 13:44:49</t>
  </si>
  <si>
    <t>刘**</t>
  </si>
  <si>
    <t>江西省抚州市南城县****</t>
  </si>
  <si>
    <t>抚州市</t>
  </si>
  <si>
    <t>南城县</t>
  </si>
  <si>
    <t>138****4399</t>
  </si>
  <si>
    <t>2025-08-05 16:10:46</t>
  </si>
  <si>
    <t>4305402266202508057053012803</t>
  </si>
  <si>
    <t>73660052704389</t>
  </si>
  <si>
    <t>Z1741-白色-S</t>
  </si>
  <si>
    <t>颜色: 白色;规格: S（80-100斤）</t>
  </si>
  <si>
    <t>3729987001021242624</t>
  </si>
  <si>
    <t>2025-08-05 16:10:12</t>
  </si>
  <si>
    <t>2025-08-21 12:12:39</t>
  </si>
  <si>
    <t>2025-08-28 12:13:13</t>
  </si>
  <si>
    <t>徐*</t>
  </si>
  <si>
    <t>陕西省西安市未央区****</t>
  </si>
  <si>
    <t>未央区</t>
  </si>
  <si>
    <t>138****2080</t>
  </si>
  <si>
    <t>2025-08-05 16:10:20</t>
  </si>
  <si>
    <t>4314102261202508054014924320</t>
  </si>
  <si>
    <t>73660008624645</t>
  </si>
  <si>
    <t>3729986999867544576</t>
  </si>
  <si>
    <t>2025-08-05 16:10:08</t>
  </si>
  <si>
    <t>2025-08-21 19:17:48</t>
  </si>
  <si>
    <t>2025-08-28 19:18:22</t>
  </si>
  <si>
    <t>冯*</t>
  </si>
  <si>
    <t>四川省成都市青羊区****</t>
  </si>
  <si>
    <t>青羊区</t>
  </si>
  <si>
    <t>136****4473</t>
  </si>
  <si>
    <t>2025-08-05 16:10:16</t>
  </si>
  <si>
    <t>4200002782202508210190494419</t>
  </si>
  <si>
    <t>73660053520748</t>
  </si>
  <si>
    <t>3729986993208567040</t>
  </si>
  <si>
    <t>2025-08-05 16:09:40</t>
  </si>
  <si>
    <t>2025-08-23 16:57:16</t>
  </si>
  <si>
    <t>2025-08-30 16:57:50</t>
  </si>
  <si>
    <t>湖北省武汉市黄陂区****</t>
  </si>
  <si>
    <t>湖北省</t>
  </si>
  <si>
    <t>武汉市</t>
  </si>
  <si>
    <t>黄陂区</t>
  </si>
  <si>
    <t>2025-08-05 16:09:46</t>
  </si>
  <si>
    <t>4302702260202508053512462327</t>
  </si>
  <si>
    <t>73660099843813</t>
  </si>
  <si>
    <t>3729986980063618560</t>
  </si>
  <si>
    <t>2025-08-05 16:08:48</t>
  </si>
  <si>
    <t>2025-08-16 00:35:04</t>
  </si>
  <si>
    <t>2025-08-20 18:12:46</t>
  </si>
  <si>
    <t>2025-08-27 18:13:21</t>
  </si>
  <si>
    <t>2025-08-05 16:08:54</t>
  </si>
  <si>
    <t>4200002778202508202748878309</t>
  </si>
  <si>
    <t>73660030723455</t>
  </si>
  <si>
    <t>3729986972954008832</t>
  </si>
  <si>
    <t>2025-08-05 16:08:27</t>
  </si>
  <si>
    <t>2025-08-20 15:50:07</t>
  </si>
  <si>
    <t>2025-08-27 15:51:42</t>
  </si>
  <si>
    <t>周</t>
  </si>
  <si>
    <t>上海市上海市宝山区****</t>
  </si>
  <si>
    <t>宝山区</t>
  </si>
  <si>
    <t>139****1175</t>
  </si>
  <si>
    <t>2025-08-05 16:08:33</t>
  </si>
  <si>
    <t>4323902242202508057484008188</t>
  </si>
  <si>
    <t>73660030723519</t>
  </si>
  <si>
    <t>3729986971498850304</t>
  </si>
  <si>
    <t>2025-08-05 16:08:26</t>
  </si>
  <si>
    <t>2025-08-19 10:44:22</t>
  </si>
  <si>
    <t>2025-08-26 10:44:55</t>
  </si>
  <si>
    <t>郭*</t>
  </si>
  <si>
    <t>139****1918</t>
  </si>
  <si>
    <t>2025-08-05 16:08:35</t>
  </si>
  <si>
    <t>4323602480202508055445708019</t>
  </si>
  <si>
    <t>73660008624737</t>
  </si>
  <si>
    <t>3729986972593305344</t>
  </si>
  <si>
    <t>2025-08-05 16:08:22</t>
  </si>
  <si>
    <t>2025-08-20 12:01:06</t>
  </si>
  <si>
    <t>2025-08-27 12:01:40</t>
  </si>
  <si>
    <t>朱**</t>
  </si>
  <si>
    <t>138****1020</t>
  </si>
  <si>
    <t>2025-08-05 16:08:30</t>
  </si>
  <si>
    <t>4200002733202508209587722738</t>
  </si>
  <si>
    <t>73660030723521</t>
  </si>
  <si>
    <t>3729986971460843264</t>
  </si>
  <si>
    <t>2025-08-05 16:08:15</t>
  </si>
  <si>
    <t>2025-08-19 18:34:09</t>
  </si>
  <si>
    <t>2025-08-26 18:34:43</t>
  </si>
  <si>
    <t>韩**</t>
  </si>
  <si>
    <t>北京市北京市西城区****</t>
  </si>
  <si>
    <t>西城区</t>
  </si>
  <si>
    <t>139****6849</t>
  </si>
  <si>
    <t>2025-08-05 16:08:24</t>
  </si>
  <si>
    <t>4200002771202508197222663143</t>
  </si>
  <si>
    <t>73660053520791</t>
  </si>
  <si>
    <t>3729986967111081728</t>
  </si>
  <si>
    <t>2025-08-05 16:08:05</t>
  </si>
  <si>
    <t>2025-08-22 16:50:08</t>
  </si>
  <si>
    <t>2025-08-29 16:51:42</t>
  </si>
  <si>
    <t>2025-08-05 16:08:11</t>
  </si>
  <si>
    <t>4200002759202508226048410854</t>
  </si>
  <si>
    <t>73660053520906</t>
  </si>
  <si>
    <t>3729986446022286848</t>
  </si>
  <si>
    <t>2025-08-05 15:34:52</t>
  </si>
  <si>
    <t>2025-08-14 23:21:35</t>
  </si>
  <si>
    <t>2025-08-20 19:54:31</t>
  </si>
  <si>
    <t>2025-08-27 19:55:06</t>
  </si>
  <si>
    <t>山东省滨州市阳信县****</t>
  </si>
  <si>
    <t>滨州市</t>
  </si>
  <si>
    <t>阳信县</t>
  </si>
  <si>
    <t>139****8732</t>
  </si>
  <si>
    <t>2025-08-05 15:35:02</t>
  </si>
  <si>
    <t>4200002762202508200939157904</t>
  </si>
  <si>
    <t>73660008457483</t>
  </si>
  <si>
    <t>3729986416136564736</t>
  </si>
  <si>
    <t>2025-08-05 15:32:57</t>
  </si>
  <si>
    <t>2025-08-08 20:10:11</t>
  </si>
  <si>
    <t>2025-08-13 10:02:56</t>
  </si>
  <si>
    <t>2025-08-20 10:03:31</t>
  </si>
  <si>
    <t>江苏省镇江市句容市****</t>
  </si>
  <si>
    <t>镇江市</t>
  </si>
  <si>
    <t>句容市</t>
  </si>
  <si>
    <t>134****8981</t>
  </si>
  <si>
    <t>2025-08-05 15:33:04</t>
  </si>
  <si>
    <t>4305002283202508053265386900</t>
  </si>
  <si>
    <t>73619880594253</t>
  </si>
  <si>
    <t>3729986387971022336</t>
  </si>
  <si>
    <t>2025-08-05 15:31:12</t>
  </si>
  <si>
    <t>2025-08-21 17:20:13</t>
  </si>
  <si>
    <t>2025-08-28 17:20:46</t>
  </si>
  <si>
    <t>马**</t>
  </si>
  <si>
    <t>江苏省苏州市虎丘区****</t>
  </si>
  <si>
    <t>虎丘区</t>
  </si>
  <si>
    <t>137****6135</t>
  </si>
  <si>
    <t>2025-08-05 15:31:19</t>
  </si>
  <si>
    <t>4200002719202508210984789878</t>
  </si>
  <si>
    <t>73660053520707</t>
  </si>
  <si>
    <t>3729986101076696320</t>
  </si>
  <si>
    <t>2025-08-05 15:12:56</t>
  </si>
  <si>
    <t>2025-08-07 16:40:05</t>
  </si>
  <si>
    <t>2025-08-13 19:30:29</t>
  </si>
  <si>
    <t>2025-08-20 19:30:41</t>
  </si>
  <si>
    <t>内蒙古自治区包头市昆都仑区****</t>
  </si>
  <si>
    <t>内蒙古自治区</t>
  </si>
  <si>
    <t>包头市</t>
  </si>
  <si>
    <t>昆都仑区</t>
  </si>
  <si>
    <t>150****1666</t>
  </si>
  <si>
    <t>2025-08-05 15:13:03</t>
  </si>
  <si>
    <t>4308002572202508058055112684</t>
  </si>
  <si>
    <t>73619855782103</t>
  </si>
  <si>
    <t>3729983986901333760</t>
  </si>
  <si>
    <t>2025-08-05 12:58:31</t>
  </si>
  <si>
    <t>2025-08-15 22:37:50</t>
  </si>
  <si>
    <t>2025-08-22 22:38:22</t>
  </si>
  <si>
    <t>2025-08-05 13:10:59</t>
  </si>
  <si>
    <t>4337702233202508050230864820</t>
  </si>
  <si>
    <t>73660008624553</t>
  </si>
  <si>
    <t>3729983960164474112</t>
  </si>
  <si>
    <t>2025-08-05 12:56:49</t>
  </si>
  <si>
    <t>2025-08-19 22:21:49</t>
  </si>
  <si>
    <t>2025-08-26 22:22:23</t>
  </si>
  <si>
    <t>2025-08-05 12:56:55</t>
  </si>
  <si>
    <t>4335502480202508051150539658</t>
  </si>
  <si>
    <t>73660099843298</t>
  </si>
  <si>
    <t>3729977364006189056</t>
  </si>
  <si>
    <t>2025-08-05 05:57:25</t>
  </si>
  <si>
    <t>2025-08-16 23:07:22</t>
  </si>
  <si>
    <t>2025-08-21 16:13:05</t>
  </si>
  <si>
    <t>2025-08-28 16:13:40</t>
  </si>
  <si>
    <t>姚**</t>
  </si>
  <si>
    <t>江苏省苏州市昆山市****</t>
  </si>
  <si>
    <t>昆山市</t>
  </si>
  <si>
    <t>139****9790</t>
  </si>
  <si>
    <t>2025-08-05 05:57:33</t>
  </si>
  <si>
    <t>4348902271202508056070767830</t>
  </si>
  <si>
    <t>73660053221134</t>
  </si>
  <si>
    <t>3729964449811800576</t>
  </si>
  <si>
    <t>2025-08-04 16:16:26</t>
  </si>
  <si>
    <t>2025-08-14 23:07:29</t>
  </si>
  <si>
    <t>2025-08-19 12:25:06</t>
  </si>
  <si>
    <t>2025-08-26 12:25:40</t>
  </si>
  <si>
    <t>金**</t>
  </si>
  <si>
    <t>上海市上海市青浦区****</t>
  </si>
  <si>
    <t>青浦区</t>
  </si>
  <si>
    <t>135****8846</t>
  </si>
  <si>
    <t>2025-08-04 16:16:34</t>
  </si>
  <si>
    <t>4347002586202508042872791452</t>
  </si>
  <si>
    <t>73660008557044</t>
  </si>
  <si>
    <t>【老板周】法式定制 夏季复古圆领慵懒风肌理感设计衬衫</t>
  </si>
  <si>
    <t>10000268428409</t>
  </si>
  <si>
    <t>Z2137</t>
  </si>
  <si>
    <t>Z2137-白色-S</t>
  </si>
  <si>
    <t>颜色分类: 白色;尺码大小: S（80-100斤）</t>
  </si>
  <si>
    <t>3729964278480773632</t>
  </si>
  <si>
    <t>2025-08-04 16:05:31</t>
  </si>
  <si>
    <t>2025-08-04 17:39:01</t>
  </si>
  <si>
    <t>2025-08-10 16:48:58</t>
  </si>
  <si>
    <t>2025-08-17 16:50:32</t>
  </si>
  <si>
    <t>江苏省无锡市锡山区****</t>
  </si>
  <si>
    <t>无锡市</t>
  </si>
  <si>
    <t>锡山区</t>
  </si>
  <si>
    <t>138****6663</t>
  </si>
  <si>
    <t>2025-08-04 16:05:39</t>
  </si>
  <si>
    <t>4200002739202508103831382768</t>
  </si>
  <si>
    <t>73619792465984</t>
  </si>
  <si>
    <t>Z2233-黄绿色-S</t>
  </si>
  <si>
    <t>颜色: 黄绿色;尺码: S（80-100斤）</t>
  </si>
  <si>
    <t>3729962836581816832</t>
  </si>
  <si>
    <t>2025-08-04 14:33:50</t>
  </si>
  <si>
    <t>2025-08-14 00:00:03</t>
  </si>
  <si>
    <t>2025-08-18 11:09:14</t>
  </si>
  <si>
    <t>2025-08-25 11:10:48</t>
  </si>
  <si>
    <t>2025-08-04 14:33:57</t>
  </si>
  <si>
    <t>4343202576202508043457682892</t>
  </si>
  <si>
    <t>73619987543557</t>
  </si>
  <si>
    <t>【老板周】小众慵懒 新品松弛感休闲松紧腰廓形休闲裤</t>
  </si>
  <si>
    <t>10000279999282</t>
  </si>
  <si>
    <t>Z2330</t>
  </si>
  <si>
    <t>Z2330-蓝色-S</t>
  </si>
  <si>
    <t>颜色: 蓝色;尺码: S（80-100斤）</t>
  </si>
  <si>
    <t>3729959257420733696</t>
  </si>
  <si>
    <t>2025-08-04 10:46:16</t>
  </si>
  <si>
    <t>2025-08-17 22:40:34</t>
  </si>
  <si>
    <t>2025-08-22 16:19:19</t>
  </si>
  <si>
    <t>2025-08-29 16:19:55</t>
  </si>
  <si>
    <t>136****1119</t>
  </si>
  <si>
    <t>2025-08-04 10:46:24</t>
  </si>
  <si>
    <t>4350902579202508042393396869</t>
  </si>
  <si>
    <t>73660076254662</t>
  </si>
  <si>
    <t>【老板周】法式复古 秋冬新品不规则纹理白天鹅针织上衣</t>
  </si>
  <si>
    <t>10000281199563</t>
  </si>
  <si>
    <t>Z2333</t>
  </si>
  <si>
    <t>Z2333-米白色-M</t>
  </si>
  <si>
    <t>颜色: 米白色;尺码: M（100-120斤）</t>
  </si>
  <si>
    <t>3729951614640200960</t>
  </si>
  <si>
    <t>2025-08-04 02:40:20</t>
  </si>
  <si>
    <t>2025-08-04 16:05:46</t>
  </si>
  <si>
    <t>2025-08-08 19:23:42</t>
  </si>
  <si>
    <t>2025-08-15 19:24:17</t>
  </si>
  <si>
    <t>麦**</t>
  </si>
  <si>
    <t>135****1932</t>
  </si>
  <si>
    <t>2025-08-04 02:40:28</t>
  </si>
  <si>
    <t>4325502290202508041944454739</t>
  </si>
  <si>
    <t>73619789302528</t>
  </si>
  <si>
    <t>【老板周】小众定制 经典复古简约日系百搭托特小方包</t>
  </si>
  <si>
    <t>10000268212919</t>
  </si>
  <si>
    <t>P103</t>
  </si>
  <si>
    <t>P103-黑色</t>
  </si>
  <si>
    <t>颜色分类: 黑色;尺寸大小: 小包</t>
  </si>
  <si>
    <t>3729949215751021312</t>
  </si>
  <si>
    <t>2025-08-04 00:07:58</t>
  </si>
  <si>
    <t>2025-08-04 16:04:38</t>
  </si>
  <si>
    <t>2025-08-09 13:37:35</t>
  </si>
  <si>
    <t>2025-08-16 13:38:10</t>
  </si>
  <si>
    <t>广东省湛江市吴川市****</t>
  </si>
  <si>
    <t>吴川市</t>
  </si>
  <si>
    <t>159****9008</t>
  </si>
  <si>
    <t>2025-08-04 00:08:06</t>
  </si>
  <si>
    <t>4325602267202508049152116638</t>
  </si>
  <si>
    <t>73619789301790</t>
  </si>
  <si>
    <t>925银4.8g【老板周】简约精致 小众简约百搭立体精致蛇骨手链</t>
  </si>
  <si>
    <t>10000268686255</t>
  </si>
  <si>
    <t>P133</t>
  </si>
  <si>
    <t>P133-银色-AC015</t>
  </si>
  <si>
    <t>标称银重: 4.8 g</t>
  </si>
  <si>
    <t>3729948768964321536</t>
  </si>
  <si>
    <t>2025-08-03 23:39:24</t>
  </si>
  <si>
    <t>2025-08-10 20:14:14</t>
  </si>
  <si>
    <t>2025-08-15 18:59:24</t>
  </si>
  <si>
    <t>2025-08-22 19:00:59</t>
  </si>
  <si>
    <t>白**</t>
  </si>
  <si>
    <t>陕西省西安市雁塔区****</t>
  </si>
  <si>
    <t>雁塔区</t>
  </si>
  <si>
    <t>155****7437</t>
  </si>
  <si>
    <t>;JDX041995200246(收） Z1931-原麻色-S*1#</t>
  </si>
  <si>
    <t>2025-08-03 23:39:33</t>
  </si>
  <si>
    <t>4316402239202508036642130861</t>
  </si>
  <si>
    <t>73619923343682</t>
  </si>
  <si>
    <t>【老板周】小众时髦 夏季轻薄宽松水墨晕染烟雨上衣</t>
  </si>
  <si>
    <t>10000268297495</t>
  </si>
  <si>
    <t>Z2241</t>
  </si>
  <si>
    <t>Z2241-花色-S</t>
  </si>
  <si>
    <t>颜色: 花色;尺码: S（80-100斤）</t>
  </si>
  <si>
    <t>73619773824178</t>
  </si>
  <si>
    <t>【老板周】法式复古 夏季宽松休闲垂感气质直筒长裤</t>
  </si>
  <si>
    <t>10000267785885</t>
  </si>
  <si>
    <t>Z1931</t>
  </si>
  <si>
    <t>Z1931-原麻色-S</t>
  </si>
  <si>
    <t>颜色: 原麻色;尺码: S（80-100斤）</t>
  </si>
  <si>
    <t>3729948326128656640</t>
  </si>
  <si>
    <t>2025-08-03 23:11:14</t>
  </si>
  <si>
    <t>2025-08-04 17:50:08</t>
  </si>
  <si>
    <t>2025-08-09 20:08:13</t>
  </si>
  <si>
    <t>2025-08-16 20:08:49</t>
  </si>
  <si>
    <t>2025-08-03 23:19:29</t>
  </si>
  <si>
    <t>4304902460202508036294685695</t>
  </si>
  <si>
    <t>73619792465849</t>
  </si>
  <si>
    <t>73619773824137</t>
  </si>
  <si>
    <t>3729947903277540864</t>
  </si>
  <si>
    <t>2025-08-03 22:44:22</t>
  </si>
  <si>
    <t>2025-08-03 23:55:43</t>
  </si>
  <si>
    <t>2025-08-05 17:45:16</t>
  </si>
  <si>
    <t>2025-08-12 17:45:50</t>
  </si>
  <si>
    <t>2025-08-03 22:44:29</t>
  </si>
  <si>
    <t>4309102581202508037324741902</t>
  </si>
  <si>
    <t>73619773610701</t>
  </si>
  <si>
    <t>【老板周】时髦小众 复古混色条纹V字吊带连衣裙</t>
  </si>
  <si>
    <t>10000268032112</t>
  </si>
  <si>
    <t>Z784</t>
  </si>
  <si>
    <t>Z784-灰色-42</t>
  </si>
  <si>
    <t>颜色分类: 灰色;尺码大小: 42（120-135斤）</t>
  </si>
  <si>
    <t>3729947361623284224</t>
  </si>
  <si>
    <t>2025-08-03 22:09:58</t>
  </si>
  <si>
    <t>2025-08-15 17:22:30</t>
  </si>
  <si>
    <t>2025-08-21 19:54:13</t>
  </si>
  <si>
    <t>2025-08-28 19:54:48</t>
  </si>
  <si>
    <t>吉林省长春市宽城区****</t>
  </si>
  <si>
    <t>宽城区</t>
  </si>
  <si>
    <t>133****7818</t>
  </si>
  <si>
    <t>2025-08-03 22:10:05</t>
  </si>
  <si>
    <t>4314902265202508032016193902</t>
  </si>
  <si>
    <t>73660026308046</t>
  </si>
  <si>
    <t>3729947334438429952</t>
  </si>
  <si>
    <t>2025-08-03 22:08:15</t>
  </si>
  <si>
    <t>2025-08-12 19:48:13</t>
  </si>
  <si>
    <t>2025-08-17 20:45:50</t>
  </si>
  <si>
    <t>2025-08-24 20:46:24</t>
  </si>
  <si>
    <t>136****8160</t>
  </si>
  <si>
    <t>2025-08-03 22:08:23</t>
  </si>
  <si>
    <t>4316302283202508037693220694</t>
  </si>
  <si>
    <t>73619964466183</t>
  </si>
  <si>
    <t>3729947314594914560</t>
  </si>
  <si>
    <t>2025-08-03 22:07:12</t>
  </si>
  <si>
    <t>2025-08-11 00:08:36</t>
  </si>
  <si>
    <t>2025-08-14 17:08:15</t>
  </si>
  <si>
    <t>2025-08-21 17:08:49</t>
  </si>
  <si>
    <t>高**</t>
  </si>
  <si>
    <t>广东省深圳市福田区****</t>
  </si>
  <si>
    <t>福田区</t>
  </si>
  <si>
    <t>135****6849</t>
  </si>
  <si>
    <t>2025-08-03 22:07:20</t>
  </si>
  <si>
    <t>4337402572202508033844414390</t>
  </si>
  <si>
    <t>73619924796461</t>
  </si>
  <si>
    <t>3729947274138232320</t>
  </si>
  <si>
    <t>2025-08-03 22:04:23</t>
  </si>
  <si>
    <t>2025-08-03 23:46:32</t>
  </si>
  <si>
    <t>2025-08-07 10:43:57</t>
  </si>
  <si>
    <t>2025-08-14 10:44:32</t>
  </si>
  <si>
    <t>乔**</t>
  </si>
  <si>
    <t>甘肃省兰州市城关区****</t>
  </si>
  <si>
    <t>甘肃省</t>
  </si>
  <si>
    <t>兰州市</t>
  </si>
  <si>
    <t>城关区</t>
  </si>
  <si>
    <t>139****8879</t>
  </si>
  <si>
    <t>2025-08-03 22:04:30</t>
  </si>
  <si>
    <t>4318002581202508031177072266</t>
  </si>
  <si>
    <t>73619773367286</t>
  </si>
  <si>
    <t>3729947273667417088</t>
  </si>
  <si>
    <t>2025-08-03 22:04:22</t>
  </si>
  <si>
    <t>2025-08-11 20:55:45</t>
  </si>
  <si>
    <t>2025-08-16 11:58:37</t>
  </si>
  <si>
    <t>2025-08-23 11:59:11</t>
  </si>
  <si>
    <t>罗**</t>
  </si>
  <si>
    <t>133****3321</t>
  </si>
  <si>
    <t>2025-08-03 22:04:32</t>
  </si>
  <si>
    <t>4323002240202508035078797833</t>
  </si>
  <si>
    <t>73619943909576</t>
  </si>
  <si>
    <t>3729947159760090624</t>
  </si>
  <si>
    <t>2025-08-03 21:57:06</t>
  </si>
  <si>
    <t>2025-08-13 19:04:10</t>
  </si>
  <si>
    <t>2025-08-17 11:20:38</t>
  </si>
  <si>
    <t>2025-08-24 11:21:12</t>
  </si>
  <si>
    <t>湖南省常德市武陵区****</t>
  </si>
  <si>
    <t>常德市</t>
  </si>
  <si>
    <t>武陵区</t>
  </si>
  <si>
    <t>135****1158</t>
  </si>
  <si>
    <t>2025-08-03 21:57:15</t>
  </si>
  <si>
    <t>4305302480202508036877785978</t>
  </si>
  <si>
    <t>73619985188649</t>
  </si>
  <si>
    <t>【老板周】复古慵懒 秋冬新款小众撞色条纹廓形毛衣</t>
  </si>
  <si>
    <t>10000281150540</t>
  </si>
  <si>
    <t>Z2281</t>
  </si>
  <si>
    <t>Z2281-条纹-M</t>
  </si>
  <si>
    <t>颜色: 条纹;尺码: M（100-120斤）</t>
  </si>
  <si>
    <t>3729947008398405632</t>
  </si>
  <si>
    <t>2025-08-03 21:47:28</t>
  </si>
  <si>
    <t>2025-08-12 20:05:42</t>
  </si>
  <si>
    <t>2025-08-24 11:26:47</t>
  </si>
  <si>
    <t>徐</t>
  </si>
  <si>
    <t>138****8255</t>
  </si>
  <si>
    <t>;SF3233436761987(收） Z2281-条纹-L*1#</t>
  </si>
  <si>
    <t>2025-08-03 21:47:39</t>
  </si>
  <si>
    <t>4312002483202508034994148065</t>
  </si>
  <si>
    <t>73619964466130</t>
  </si>
  <si>
    <t>Z2281-条纹-L</t>
  </si>
  <si>
    <t>颜色: 条纹;尺码: L（120-135斤）</t>
  </si>
  <si>
    <t>3729946801783842048</t>
  </si>
  <si>
    <t>2025-08-03 21:34:22</t>
  </si>
  <si>
    <t>2025-08-09 20:14:00</t>
  </si>
  <si>
    <t>2025-08-14 19:27:18</t>
  </si>
  <si>
    <t>2025-08-21 19:27:54</t>
  </si>
  <si>
    <t>鄢**</t>
  </si>
  <si>
    <t>139****9789</t>
  </si>
  <si>
    <t>2025-08-03 21:34:30</t>
  </si>
  <si>
    <t>4348602255202508030857985494</t>
  </si>
  <si>
    <t>73619901711517</t>
  </si>
  <si>
    <t>3729946591347487488</t>
  </si>
  <si>
    <t>2025-08-03 21:20:59</t>
  </si>
  <si>
    <t>2025-08-14 23:31:49</t>
  </si>
  <si>
    <t>2025-08-19 17:36:54</t>
  </si>
  <si>
    <t>2025-08-26 17:37:29</t>
  </si>
  <si>
    <t>巩**</t>
  </si>
  <si>
    <t>上海市上海市黄浦区****</t>
  </si>
  <si>
    <t>黄浦区</t>
  </si>
  <si>
    <t>139****5207</t>
  </si>
  <si>
    <t>;SF3231542203808(收） Z2256-粉色-M*1  Z2281-条纹-S*1#</t>
  </si>
  <si>
    <t>2025-08-03 21:21:07</t>
  </si>
  <si>
    <t>4200002735202508198607492644</t>
  </si>
  <si>
    <t>73619858963017</t>
  </si>
  <si>
    <t>【老板周】法式气质 夏季新款重工斜裁开衩松紧腰半裙</t>
  </si>
  <si>
    <t>10000268337128</t>
  </si>
  <si>
    <t>Z2256</t>
  </si>
  <si>
    <t>Z2256-粉色-M</t>
  </si>
  <si>
    <t>颜色: 粉色;尺码: M（95-110斤）</t>
  </si>
  <si>
    <t>73660007115416</t>
  </si>
  <si>
    <t>Z2333-米白色-S</t>
  </si>
  <si>
    <t>颜色: 米白色;尺码: S（80-100斤）</t>
  </si>
  <si>
    <t>73660008621605</t>
  </si>
  <si>
    <t>Z2281-条纹-S</t>
  </si>
  <si>
    <t>3729946161450198528</t>
  </si>
  <si>
    <t>2025-08-03 20:53:40</t>
  </si>
  <si>
    <t>2025-08-14 20:06:45</t>
  </si>
  <si>
    <t>2025-08-21 15:09:35</t>
  </si>
  <si>
    <t>2025-08-28 15:10:10</t>
  </si>
  <si>
    <t>韩</t>
  </si>
  <si>
    <t>黑龙江省大庆市萨尔图区****</t>
  </si>
  <si>
    <t>大庆市</t>
  </si>
  <si>
    <t>萨尔图区</t>
  </si>
  <si>
    <t>158****1456</t>
  </si>
  <si>
    <t>2025-08-03 20:53:48</t>
  </si>
  <si>
    <t>4319802572202508034998359114</t>
  </si>
  <si>
    <t>73660007114953</t>
  </si>
  <si>
    <t>3729945912636218368</t>
  </si>
  <si>
    <t>2025-08-03 20:37:49</t>
  </si>
  <si>
    <t>2025-08-03 21:08:49</t>
  </si>
  <si>
    <t>2025-08-11 10:31:52</t>
  </si>
  <si>
    <t>2025-08-18 10:32:26</t>
  </si>
  <si>
    <t>周**</t>
  </si>
  <si>
    <t>安徽省黄山市歙县****</t>
  </si>
  <si>
    <t>黄山市</t>
  </si>
  <si>
    <t>歙县</t>
  </si>
  <si>
    <t>173****9833</t>
  </si>
  <si>
    <t>2025-08-03 20:37:59</t>
  </si>
  <si>
    <t>4309102239202508031503303597</t>
  </si>
  <si>
    <t>73619772527045</t>
  </si>
  <si>
    <t>3729945388315719168</t>
  </si>
  <si>
    <t>2025-08-03 20:04:33</t>
  </si>
  <si>
    <t>2025-08-03 21:03:16</t>
  </si>
  <si>
    <t>2025-08-09 13:04:21</t>
  </si>
  <si>
    <t>2025-08-16 13:04:56</t>
  </si>
  <si>
    <t>应**</t>
  </si>
  <si>
    <t>浙江省温州市瑞安市****</t>
  </si>
  <si>
    <t>瑞安市</t>
  </si>
  <si>
    <t>135****9911</t>
  </si>
  <si>
    <t>2025-08-03 20:04:42</t>
  </si>
  <si>
    <t>4200002743202508097883562374</t>
  </si>
  <si>
    <t>73619772527614</t>
  </si>
  <si>
    <t>【老板周】极简法式 夏季圆领镂空波浪边针织短袖上衣</t>
  </si>
  <si>
    <t>10000268352323</t>
  </si>
  <si>
    <t>Z2140</t>
  </si>
  <si>
    <t>Z2140-杏色-S</t>
  </si>
  <si>
    <t>颜色分类: 杏色;尺码大小: S（80-100斤）</t>
  </si>
  <si>
    <t>3729943977617666816</t>
  </si>
  <si>
    <t>2025-08-03 18:34:48</t>
  </si>
  <si>
    <t>2025-08-18 22:37:05</t>
  </si>
  <si>
    <t>2025-08-25 22:37:39</t>
  </si>
  <si>
    <t>189****3058</t>
  </si>
  <si>
    <t>2025-08-03 18:34:56</t>
  </si>
  <si>
    <t>4334202265202508037826140846</t>
  </si>
  <si>
    <t>73660030722142</t>
  </si>
  <si>
    <t>Z1640-黑色-S</t>
  </si>
  <si>
    <t>3729942923858289152</t>
  </si>
  <si>
    <t>2025-08-03 17:27:48</t>
  </si>
  <si>
    <t>2025-08-12 23:45:38</t>
  </si>
  <si>
    <t>2025-08-16 12:29:11</t>
  </si>
  <si>
    <t>2025-08-23 12:29:45</t>
  </si>
  <si>
    <t>孙*</t>
  </si>
  <si>
    <t>广东省东莞市长安镇****</t>
  </si>
  <si>
    <t>长安镇</t>
  </si>
  <si>
    <t>136****0093</t>
  </si>
  <si>
    <t>2025-08-03 17:27:55</t>
  </si>
  <si>
    <t>4200002734202508164356932238</t>
  </si>
  <si>
    <t>73619966267599</t>
  </si>
  <si>
    <t>Z2330-蓝色-L</t>
  </si>
  <si>
    <t>颜色: 蓝色;尺码: L（120-135斤）</t>
  </si>
  <si>
    <t>3729942738233859840</t>
  </si>
  <si>
    <t>2025-08-03 17:16:00</t>
  </si>
  <si>
    <t>2025-08-08 22:48:22</t>
  </si>
  <si>
    <t>2025-08-14 10:38:53</t>
  </si>
  <si>
    <t>2025-08-21 10:39:27</t>
  </si>
  <si>
    <t>韩*</t>
  </si>
  <si>
    <t>辽宁省大连市西岗区****</t>
  </si>
  <si>
    <t>大连市</t>
  </si>
  <si>
    <t>西岗区</t>
  </si>
  <si>
    <t>180****7030</t>
  </si>
  <si>
    <t>2025-08-03 17:16:12</t>
  </si>
  <si>
    <t>4200002763202508147397307892</t>
  </si>
  <si>
    <t>73619881434628</t>
  </si>
  <si>
    <t>3729942736621416448</t>
  </si>
  <si>
    <t>2025-08-03 17:15:56</t>
  </si>
  <si>
    <t>2025-08-14 19:31:36</t>
  </si>
  <si>
    <t>2025-08-19 19:04:18</t>
  </si>
  <si>
    <t>2025-08-26 19:04:51</t>
  </si>
  <si>
    <t>天津市天津市南开区****</t>
  </si>
  <si>
    <t>南开区</t>
  </si>
  <si>
    <t>139****7979</t>
  </si>
  <si>
    <t>2025-08-03 17:16:04</t>
  </si>
  <si>
    <t>4200002787202508194825102502</t>
  </si>
  <si>
    <t>73660007111408</t>
  </si>
  <si>
    <t>3729942722276369920</t>
  </si>
  <si>
    <t>2025-08-03 17:14:59</t>
  </si>
  <si>
    <t>2025-08-08 20:18:41</t>
  </si>
  <si>
    <t>2025-08-23 13:47:00</t>
  </si>
  <si>
    <t>蒋*</t>
  </si>
  <si>
    <t>四川省成都市都江堰市****</t>
  </si>
  <si>
    <t>都江堰市</t>
  </si>
  <si>
    <t>159****0662</t>
  </si>
  <si>
    <t>;SF3287423744585(收） Z2281-条纹-M*1#</t>
  </si>
  <si>
    <t>2025-08-03 17:15:06</t>
  </si>
  <si>
    <t>4336302242202508034140254693</t>
  </si>
  <si>
    <t>73619880594636</t>
  </si>
  <si>
    <t>3729942717344396544</t>
  </si>
  <si>
    <t>2025-08-03 17:14:52</t>
  </si>
  <si>
    <t>2025-08-08 16:54:32</t>
  </si>
  <si>
    <t>2025-08-17 20:08:57</t>
  </si>
  <si>
    <t>2025-08-24 20:09:32</t>
  </si>
  <si>
    <t>宁**</t>
  </si>
  <si>
    <t>河南省郑州市中原区****</t>
  </si>
  <si>
    <t>郑州市</t>
  </si>
  <si>
    <t>中原区</t>
  </si>
  <si>
    <t>186****9875</t>
  </si>
  <si>
    <t>2025-08-03 17:15:00</t>
  </si>
  <si>
    <t>4301302471202508036923837880</t>
  </si>
  <si>
    <t>73619877822300</t>
  </si>
  <si>
    <t>3729942294707714048</t>
  </si>
  <si>
    <t>2025-08-03 16:47:48</t>
  </si>
  <si>
    <t>2025-08-14 19:04:45</t>
  </si>
  <si>
    <t>2025-08-19 12:26:41</t>
  </si>
  <si>
    <t>2025-08-26 12:27:15</t>
  </si>
  <si>
    <t>严*</t>
  </si>
  <si>
    <t>139****1338</t>
  </si>
  <si>
    <t>2025-08-03 16:47:54</t>
  </si>
  <si>
    <t>4319102582202508039218299338</t>
  </si>
  <si>
    <t>73660005984563</t>
  </si>
  <si>
    <t>3729942293874088960</t>
  </si>
  <si>
    <t>2025-08-03 16:47:46</t>
  </si>
  <si>
    <t>2025-08-03 17:19:54</t>
  </si>
  <si>
    <t>2025-08-10 10:33:28</t>
  </si>
  <si>
    <t>2025-08-17 10:34:03</t>
  </si>
  <si>
    <t>新疆维吾尔自治区乌鲁木齐市水磨沟区****</t>
  </si>
  <si>
    <t>乌鲁木齐市</t>
  </si>
  <si>
    <t>水磨沟区</t>
  </si>
  <si>
    <t>136****8111</t>
  </si>
  <si>
    <t>;SF3230185223910(收） Z2281-条纹-M*1#</t>
  </si>
  <si>
    <t>2025-08-03 16:47:52</t>
  </si>
  <si>
    <t>4308402237202508032639685176</t>
  </si>
  <si>
    <t>73619769983763</t>
  </si>
  <si>
    <t>3729942294170051840</t>
  </si>
  <si>
    <t>2025-08-03 16:47:45</t>
  </si>
  <si>
    <t>2025-08-21 18:52:14</t>
  </si>
  <si>
    <t>2025-08-28 18:52:48</t>
  </si>
  <si>
    <t>魏*</t>
  </si>
  <si>
    <t>河南省安阳市安阳县****</t>
  </si>
  <si>
    <t>安阳市</t>
  </si>
  <si>
    <t>安阳县</t>
  </si>
  <si>
    <t>155****8338</t>
  </si>
  <si>
    <t>4338002291202508033738135206</t>
  </si>
  <si>
    <t>73660005984535</t>
  </si>
  <si>
    <t>3729942293988126976</t>
  </si>
  <si>
    <t>2025-08-03 16:47:44</t>
  </si>
  <si>
    <t>2025-08-13 17:19:54</t>
  </si>
  <si>
    <t>2025-08-20 17:20:28</t>
  </si>
  <si>
    <t>4343702587202508035942928185</t>
  </si>
  <si>
    <t>73619769983855</t>
  </si>
  <si>
    <t>3729942279227578880</t>
  </si>
  <si>
    <t>2025-08-03 16:46:48</t>
  </si>
  <si>
    <t>2025-08-11 14:56:09</t>
  </si>
  <si>
    <t>2025-08-18 14:56:43</t>
  </si>
  <si>
    <t>吉林省长春市二道区****</t>
  </si>
  <si>
    <t>二道区</t>
  </si>
  <si>
    <t>155****7799</t>
  </si>
  <si>
    <t>2025-08-03 16:46:57</t>
  </si>
  <si>
    <t>4200002765202508119681360397</t>
  </si>
  <si>
    <t>73619769983789</t>
  </si>
  <si>
    <t>3729942274209101312</t>
  </si>
  <si>
    <t>2025-08-03 16:46:30</t>
  </si>
  <si>
    <t>2025-08-08 20:32:59</t>
  </si>
  <si>
    <t>2025-08-11 19:04:02</t>
  </si>
  <si>
    <t>2025-08-18 19:04:37</t>
  </si>
  <si>
    <t>福建省福州市罗源县****</t>
  </si>
  <si>
    <t>罗源县</t>
  </si>
  <si>
    <t>188****5557</t>
  </si>
  <si>
    <t>;73569295696635(收） Z2281-条纹-S*1#</t>
  </si>
  <si>
    <t>2025-08-03 16:46:36</t>
  </si>
  <si>
    <t>4304302290202508030044614141</t>
  </si>
  <si>
    <t>73619880594531</t>
  </si>
  <si>
    <t>3729941964326580224</t>
  </si>
  <si>
    <t>2025-08-03 16:26:48</t>
  </si>
  <si>
    <t>2025-08-05 19:46:38</t>
  </si>
  <si>
    <t>2025-08-11 18:45:30</t>
  </si>
  <si>
    <t>2025-08-18 18:46:05</t>
  </si>
  <si>
    <t>妍*</t>
  </si>
  <si>
    <t>180****0566</t>
  </si>
  <si>
    <t>2025-08-03 16:26:55</t>
  </si>
  <si>
    <t>4344702245202508036692836431</t>
  </si>
  <si>
    <t>73619815137753</t>
  </si>
  <si>
    <t>Z1741-白色-M</t>
  </si>
  <si>
    <t>3729941529397441280</t>
  </si>
  <si>
    <t>2025-08-03 15:59:09</t>
  </si>
  <si>
    <t>2025-08-13 22:15:36</t>
  </si>
  <si>
    <t>2025-08-18 09:58:00</t>
  </si>
  <si>
    <t>2025-08-25 09:58:35</t>
  </si>
  <si>
    <t>上海市上海市金山区****</t>
  </si>
  <si>
    <t>金山区</t>
  </si>
  <si>
    <t>150****1808</t>
  </si>
  <si>
    <t>;73570334632006(收） Z2183-黑色-L*1#</t>
  </si>
  <si>
    <t>2025-08-03 15:59:17</t>
  </si>
  <si>
    <t>4200002793202508181919656058</t>
  </si>
  <si>
    <t>73619987137313</t>
  </si>
  <si>
    <t>3729941181558044416</t>
  </si>
  <si>
    <t>2025-08-03 15:37:05</t>
  </si>
  <si>
    <t>2025-08-10 23:35:26</t>
  </si>
  <si>
    <t>2025-08-25 16:08:53</t>
  </si>
  <si>
    <t>乔*</t>
  </si>
  <si>
    <t>137****5696</t>
  </si>
  <si>
    <t>;73568267964010(收） Z2183-黑色-XL*1#</t>
  </si>
  <si>
    <t>2025-08-03 15:37:12</t>
  </si>
  <si>
    <t>4323102459202508033445874033</t>
  </si>
  <si>
    <t>73619924696370</t>
  </si>
  <si>
    <t>3729940697152368896</t>
  </si>
  <si>
    <t>2025-08-03 15:06:13</t>
  </si>
  <si>
    <t>2025-08-10 23:14:18</t>
  </si>
  <si>
    <t>2025-08-15 17:36:17</t>
  </si>
  <si>
    <t>2025-08-22 17:36:52</t>
  </si>
  <si>
    <t>洪**</t>
  </si>
  <si>
    <t>云南省昆明市官渡区****</t>
  </si>
  <si>
    <t>官渡区</t>
  </si>
  <si>
    <t>131****2998</t>
  </si>
  <si>
    <t>2025-08-03 15:06:21</t>
  </si>
  <si>
    <t>4200002741202508150551717106</t>
  </si>
  <si>
    <t>73619924424623</t>
  </si>
  <si>
    <t>3729935299174609664</t>
  </si>
  <si>
    <t>2025-08-03 09:23:03</t>
  </si>
  <si>
    <t>2025-08-09 23:50:07</t>
  </si>
  <si>
    <t>2025-08-19 23:50:08</t>
  </si>
  <si>
    <t>2025-08-26 23:50:43</t>
  </si>
  <si>
    <t>许**</t>
  </si>
  <si>
    <t>陕西省西安市长安区****</t>
  </si>
  <si>
    <t>长安区</t>
  </si>
  <si>
    <t>180****1590</t>
  </si>
  <si>
    <t>2025-08-03 09:23:13</t>
  </si>
  <si>
    <t>4338202285202508038880174023</t>
  </si>
  <si>
    <t>73619903357443</t>
  </si>
  <si>
    <t>3729934349774235136</t>
  </si>
  <si>
    <t>2025-08-03 08:22:48</t>
  </si>
  <si>
    <t>2025-08-10 15:07:57</t>
  </si>
  <si>
    <t>2025-08-15 19:25:39</t>
  </si>
  <si>
    <t>2025-08-22 19:27:14</t>
  </si>
  <si>
    <t>马*</t>
  </si>
  <si>
    <t>湖北省十堰市茅箭区****</t>
  </si>
  <si>
    <t>十堰市</t>
  </si>
  <si>
    <t>茅箭区</t>
  </si>
  <si>
    <t>186****4380</t>
  </si>
  <si>
    <t>2025-08-03 08:22:55</t>
  </si>
  <si>
    <t>4304202583202508038545412404</t>
  </si>
  <si>
    <t>73619903549541</t>
  </si>
  <si>
    <t>3729919719930214400</t>
  </si>
  <si>
    <t>2025-08-02 16:52:30</t>
  </si>
  <si>
    <t>2025-08-02 19:44:10</t>
  </si>
  <si>
    <t>2025-08-07 09:28:14</t>
  </si>
  <si>
    <t>2025-08-14 09:28:50</t>
  </si>
  <si>
    <t>严**</t>
  </si>
  <si>
    <t>135****8338</t>
  </si>
  <si>
    <t>2025-08-02 16:52:43</t>
  </si>
  <si>
    <t>4316102473202508027650973839</t>
  </si>
  <si>
    <t>73619748945157</t>
  </si>
  <si>
    <t>【老板周】柔软舒适 春夏百搭自带胸垫弹力内搭吊带背心</t>
  </si>
  <si>
    <t>10000267854374</t>
  </si>
  <si>
    <t>Z1763</t>
  </si>
  <si>
    <t>Z1763-白色-S</t>
  </si>
  <si>
    <t>3729916805788611584</t>
  </si>
  <si>
    <t>2025-08-02 13:47:19</t>
  </si>
  <si>
    <t>2025-08-11 23:14:23</t>
  </si>
  <si>
    <t>2025-08-16 15:59:23</t>
  </si>
  <si>
    <t>2025-08-23 15:59:58</t>
  </si>
  <si>
    <t>上海市上海市静安区****</t>
  </si>
  <si>
    <t>静安区</t>
  </si>
  <si>
    <t>136****3777</t>
  </si>
  <si>
    <t>2025-08-02 13:47:27</t>
  </si>
  <si>
    <t>4332702475202508026531756225</t>
  </si>
  <si>
    <t>73619945230658</t>
  </si>
  <si>
    <t>【老板周】小众时髦 秋冬新款圆领花苞褶设计休闲上衣</t>
  </si>
  <si>
    <t>10000279925981</t>
  </si>
  <si>
    <t>Z2313</t>
  </si>
  <si>
    <t>Z2313-黑色-L</t>
  </si>
  <si>
    <t>颜色: 黑色;尺码: L（120-135斤）</t>
  </si>
  <si>
    <t>3729916145090311936</t>
  </si>
  <si>
    <t>2025-08-02 13:05:20</t>
  </si>
  <si>
    <t>2025-08-10 22:42:49</t>
  </si>
  <si>
    <t>2025-08-12 18:46:46</t>
  </si>
  <si>
    <t>2025-08-19 18:47:21</t>
  </si>
  <si>
    <t>135****3936</t>
  </si>
  <si>
    <t>2025-08-02 13:05:27</t>
  </si>
  <si>
    <t>4337902578202508027439487233</t>
  </si>
  <si>
    <t>73619924424585</t>
  </si>
  <si>
    <t>3729914995070081536</t>
  </si>
  <si>
    <t>2025-08-02 11:52:09</t>
  </si>
  <si>
    <t>2025-08-10 21:50:26</t>
  </si>
  <si>
    <t>2025-08-19 17:12:03</t>
  </si>
  <si>
    <t>2025-08-26 17:12:37</t>
  </si>
  <si>
    <t>永**</t>
  </si>
  <si>
    <t>云南省迪庆藏族自治州香格里拉市****</t>
  </si>
  <si>
    <t>迪庆藏族自治州</t>
  </si>
  <si>
    <t>香格里拉市</t>
  </si>
  <si>
    <t>139****7519</t>
  </si>
  <si>
    <t>2025-08-02 11:52:22</t>
  </si>
  <si>
    <t>4200002787202508190345168978</t>
  </si>
  <si>
    <t>73619923935250</t>
  </si>
  <si>
    <t>Z2278-黑色-L</t>
  </si>
  <si>
    <t>3729913425211043840</t>
  </si>
  <si>
    <t>2025-08-02 10:12:49</t>
  </si>
  <si>
    <t>2025-08-14 16:56:27</t>
  </si>
  <si>
    <t>2025-08-18 19:07:24</t>
  </si>
  <si>
    <t>2025-08-25 19:07:57</t>
  </si>
  <si>
    <t>邮**</t>
  </si>
  <si>
    <t>139****5046</t>
  </si>
  <si>
    <t>2025-08-02 10:12:59</t>
  </si>
  <si>
    <t>4315402471202508027525098608</t>
  </si>
  <si>
    <t>73660004818538</t>
  </si>
  <si>
    <t>【老板周】慵懒复古 经典撞色条纹圆领廓形短款上衣</t>
  </si>
  <si>
    <t>10000267757543</t>
  </si>
  <si>
    <t>Z944</t>
  </si>
  <si>
    <t>Z944-藏青条纹-M</t>
  </si>
  <si>
    <t>颜色分类: 藏青条纹;尺码大小: M（100-120斤）</t>
  </si>
  <si>
    <t>3729903899116975361</t>
  </si>
  <si>
    <t>2025-08-02 00:06:42</t>
  </si>
  <si>
    <t>2025-08-02 16:00:22</t>
  </si>
  <si>
    <t>2025-08-04 17:13:04</t>
  </si>
  <si>
    <t>2025-08-11 17:13:39</t>
  </si>
  <si>
    <t>云南省玉溪市红塔区****</t>
  </si>
  <si>
    <t>玉溪市</t>
  </si>
  <si>
    <t>红塔区</t>
  </si>
  <si>
    <t>136****7287</t>
  </si>
  <si>
    <t>2025-08-02 00:06:51</t>
  </si>
  <si>
    <t>4348802475202508022457865804</t>
  </si>
  <si>
    <t>73619729479793</t>
  </si>
  <si>
    <t>【老板周】小众慵懒 大容量简约水桶尼龙单肩斜挎包</t>
  </si>
  <si>
    <t>10000267787425</t>
  </si>
  <si>
    <t>P085</t>
  </si>
  <si>
    <t>P085-黑色</t>
  </si>
  <si>
    <t>颜色分类: 黑色;尺寸大小: 中包</t>
  </si>
  <si>
    <t>3729903415298504192</t>
  </si>
  <si>
    <t>2025-08-01 23:35:55</t>
  </si>
  <si>
    <t>2025-08-02 20:52:49</t>
  </si>
  <si>
    <t>2025-08-05 21:59:56</t>
  </si>
  <si>
    <t>2025-08-12 22:00:31</t>
  </si>
  <si>
    <t>正*</t>
  </si>
  <si>
    <t>北京市北京市大兴区****</t>
  </si>
  <si>
    <t>大兴区</t>
  </si>
  <si>
    <t>137****7880</t>
  </si>
  <si>
    <t>2025-08-01 23:36:02</t>
  </si>
  <si>
    <t>4200002731202508059347577756</t>
  </si>
  <si>
    <t>73619749689896</t>
  </si>
  <si>
    <t>Z2183-米白色-XL</t>
  </si>
  <si>
    <t>颜色分类: 米白色;尺码大小: XL（120-135斤）</t>
  </si>
  <si>
    <t>3729902571115912448</t>
  </si>
  <si>
    <t>2025-08-01 22:42:22</t>
  </si>
  <si>
    <t>2025-08-11 22:07:04</t>
  </si>
  <si>
    <t>2025-08-17 11:47:13</t>
  </si>
  <si>
    <t>2025-08-24 11:47:47</t>
  </si>
  <si>
    <t>宣*</t>
  </si>
  <si>
    <t>138****4130</t>
  </si>
  <si>
    <t>2025-08-01 22:42:30</t>
  </si>
  <si>
    <t>4200002794202508173977035324</t>
  </si>
  <si>
    <t>73619944882019</t>
  </si>
  <si>
    <t>3729902459771034624</t>
  </si>
  <si>
    <t>2025-08-01 22:35:12</t>
  </si>
  <si>
    <t>2025-08-02 20:51:02</t>
  </si>
  <si>
    <t>2025-08-07 12:58:48</t>
  </si>
  <si>
    <t>2025-08-14 12:59:22</t>
  </si>
  <si>
    <t>C**</t>
  </si>
  <si>
    <t>138****5813</t>
  </si>
  <si>
    <t>2025-08-01 22:35:20</t>
  </si>
  <si>
    <t>4200002787202508075973814965</t>
  </si>
  <si>
    <t>73619749689701</t>
  </si>
  <si>
    <t>3729902081434328576</t>
  </si>
  <si>
    <t>2025-08-01 22:11:13</t>
  </si>
  <si>
    <t>2025-08-01 22:34:30</t>
  </si>
  <si>
    <t>2025-08-07 19:25:49</t>
  </si>
  <si>
    <t>2025-08-14 19:26:23</t>
  </si>
  <si>
    <t>古**</t>
  </si>
  <si>
    <t>广东省东莞市凤岗镇****</t>
  </si>
  <si>
    <t>凤岗镇</t>
  </si>
  <si>
    <t>135****9525</t>
  </si>
  <si>
    <t>2025-08-01 22:11:25</t>
  </si>
  <si>
    <t>4313202469202508012417618859</t>
  </si>
  <si>
    <t>73619728914716</t>
  </si>
  <si>
    <t>3729901984588373760</t>
  </si>
  <si>
    <t>2025-08-01 22:04:59</t>
  </si>
  <si>
    <t>2025-08-01 22:56:29</t>
  </si>
  <si>
    <t>2025-08-06 18:13:38</t>
  </si>
  <si>
    <t>2025-08-13 18:14:12</t>
  </si>
  <si>
    <t>131****7777</t>
  </si>
  <si>
    <t>2025-08-01 22:05:07</t>
  </si>
  <si>
    <t>4200002735202508069539147563</t>
  </si>
  <si>
    <t>73619728914652</t>
  </si>
  <si>
    <t>平台处理完成，售后关闭</t>
  </si>
  <si>
    <t>3729901981564806400</t>
  </si>
  <si>
    <t>2025-08-01 22:04:46</t>
  </si>
  <si>
    <t>2025-08-05 17:18:49</t>
  </si>
  <si>
    <t>2025-08-12 17:19:23</t>
  </si>
  <si>
    <t>郭**</t>
  </si>
  <si>
    <t>广东省佛山市顺德区****</t>
  </si>
  <si>
    <t>顺德区</t>
  </si>
  <si>
    <t>176****2212</t>
  </si>
  <si>
    <t>2025-08-01 22:04:53</t>
  </si>
  <si>
    <t>4200002741202508059389277708</t>
  </si>
  <si>
    <t>73619728914586</t>
  </si>
  <si>
    <t>3729901979596890880</t>
  </si>
  <si>
    <t>2025-08-01 22:04:37</t>
  </si>
  <si>
    <t>2025-08-02 16:53:04</t>
  </si>
  <si>
    <t>2025-08-07 20:04:07</t>
  </si>
  <si>
    <t>2025-08-14 20:04:42</t>
  </si>
  <si>
    <t>郑**</t>
  </si>
  <si>
    <t>135****9950</t>
  </si>
  <si>
    <t>2025-08-01 22:04:45</t>
  </si>
  <si>
    <t>4200002777202508077295835718</t>
  </si>
  <si>
    <t>73619746680996</t>
  </si>
  <si>
    <t>3729901976356002304</t>
  </si>
  <si>
    <t>2025-08-01 22:04:31</t>
  </si>
  <si>
    <t>2025-08-04 17:23:38</t>
  </si>
  <si>
    <t>2025-08-11 17:24:12</t>
  </si>
  <si>
    <t>159****8771</t>
  </si>
  <si>
    <t>2025-08-01 22:04:38</t>
  </si>
  <si>
    <t>4343502574202508019148546961</t>
  </si>
  <si>
    <t>73619728914545</t>
  </si>
  <si>
    <t>3729901969316385792</t>
  </si>
  <si>
    <t>2025-08-01 22:04:03</t>
  </si>
  <si>
    <t>2025-08-04 18:39:20</t>
  </si>
  <si>
    <t>2025-08-11 18:39:55</t>
  </si>
  <si>
    <t>宋**</t>
  </si>
  <si>
    <t>重庆市重庆市万州区****</t>
  </si>
  <si>
    <t>万州区</t>
  </si>
  <si>
    <t>186****2516</t>
  </si>
  <si>
    <t>2025-08-01 22:04:16</t>
  </si>
  <si>
    <t>4200002789202508042963549262</t>
  </si>
  <si>
    <t>73619728914390</t>
  </si>
  <si>
    <t>3729901966173288448</t>
  </si>
  <si>
    <t>2025-08-01 22:03:47</t>
  </si>
  <si>
    <t>2025-08-06 12:07:49</t>
  </si>
  <si>
    <t>2025-08-13 12:08:24</t>
  </si>
  <si>
    <t>186****1127</t>
  </si>
  <si>
    <t>2025-08-01 22:03:56</t>
  </si>
  <si>
    <t>4200002781202508069184791674</t>
  </si>
  <si>
    <t>73619728913883</t>
  </si>
  <si>
    <t>3729901954651790848</t>
  </si>
  <si>
    <t>2025-08-01 22:03:03</t>
  </si>
  <si>
    <t>2025-08-06 09:21:25</t>
  </si>
  <si>
    <t>2025-08-13 09:23:00</t>
  </si>
  <si>
    <t>辽宁省鞍山市海城市****</t>
  </si>
  <si>
    <t>鞍山市</t>
  </si>
  <si>
    <t>海城市</t>
  </si>
  <si>
    <t>150****5399</t>
  </si>
  <si>
    <t>2025-08-01 22:03:10</t>
  </si>
  <si>
    <t>4200002771202508067505415435</t>
  </si>
  <si>
    <t>73619728913906</t>
  </si>
  <si>
    <t>3729901952848244992</t>
  </si>
  <si>
    <t>2025-08-01 22:03:00</t>
  </si>
  <si>
    <t>2025-08-06 16:43:40</t>
  </si>
  <si>
    <t>2025-08-13 16:44:15</t>
  </si>
  <si>
    <t>138****1717</t>
  </si>
  <si>
    <t>2025-08-01 22:03:06</t>
  </si>
  <si>
    <t>4200002775202508061375200479</t>
  </si>
  <si>
    <t>73619728913636</t>
  </si>
  <si>
    <t>3729901950332181760</t>
  </si>
  <si>
    <t>2025-08-01 22:02:46</t>
  </si>
  <si>
    <t>2025-08-01 23:06:21</t>
  </si>
  <si>
    <t>2025-08-05 22:31:20</t>
  </si>
  <si>
    <t>2025-08-12 22:31:55</t>
  </si>
  <si>
    <t>木*</t>
  </si>
  <si>
    <t>广东省惠州市惠城区****</t>
  </si>
  <si>
    <t>惠州市</t>
  </si>
  <si>
    <t>惠城区</t>
  </si>
  <si>
    <t>150****8578</t>
  </si>
  <si>
    <t>2025-08-01 22:02:53</t>
  </si>
  <si>
    <t>4329002248202508015944896040</t>
  </si>
  <si>
    <t>73619728913258</t>
  </si>
  <si>
    <t>3729901944907113984</t>
  </si>
  <si>
    <t>2025-08-01 22:02:33</t>
  </si>
  <si>
    <t>2025-08-08 21:14:25</t>
  </si>
  <si>
    <t>2025-08-14 19:44:08</t>
  </si>
  <si>
    <t>2025-08-21 19:44:44</t>
  </si>
  <si>
    <t>甘肃省兰州市七里河区****</t>
  </si>
  <si>
    <t>七里河区</t>
  </si>
  <si>
    <t>136****7326</t>
  </si>
  <si>
    <t>2025-08-01 22:02:41</t>
  </si>
  <si>
    <t>4302502472202508017425681067</t>
  </si>
  <si>
    <t>73619881130635</t>
  </si>
  <si>
    <t>3729901932383450368</t>
  </si>
  <si>
    <t>2025-08-01 22:01:43</t>
  </si>
  <si>
    <t>2025-08-08 22:09:49</t>
  </si>
  <si>
    <t>2025-08-20 19:58:26</t>
  </si>
  <si>
    <t>2025-08-27 19:59:00</t>
  </si>
  <si>
    <t>黑龙江省哈尔滨市南岗区****</t>
  </si>
  <si>
    <t>南岗区</t>
  </si>
  <si>
    <t>156****3966</t>
  </si>
  <si>
    <t>2025-08-01 22:01:51</t>
  </si>
  <si>
    <t>4314602572202508015873292167</t>
  </si>
  <si>
    <t>73619881434536</t>
  </si>
  <si>
    <t>3729901903981720320</t>
  </si>
  <si>
    <t>2025-08-01 21:59:55</t>
  </si>
  <si>
    <t>2025-08-11 22:05:14</t>
  </si>
  <si>
    <t>2025-08-15 22:43:15</t>
  </si>
  <si>
    <t>2025-08-22 22:43:49</t>
  </si>
  <si>
    <t>小*</t>
  </si>
  <si>
    <t>189****9781</t>
  </si>
  <si>
    <t>2025-08-01 22:00:02</t>
  </si>
  <si>
    <t>4200002773202508157869806695</t>
  </si>
  <si>
    <t>73619944881939</t>
  </si>
  <si>
    <t>3729901903200002561</t>
  </si>
  <si>
    <t>2025-08-01 21:59:46</t>
  </si>
  <si>
    <t>2025-08-11 20:39:15</t>
  </si>
  <si>
    <t>2025-08-16 13:50:09</t>
  </si>
  <si>
    <t>2025-08-23 13:50:43</t>
  </si>
  <si>
    <t>丽*</t>
  </si>
  <si>
    <t>广西壮族自治区柳州市柳江区****</t>
  </si>
  <si>
    <t>柳州市</t>
  </si>
  <si>
    <t>柳江区</t>
  </si>
  <si>
    <t>139****5003</t>
  </si>
  <si>
    <t>2025-08-01 21:59:52</t>
  </si>
  <si>
    <t>4200002739202508162644136635</t>
  </si>
  <si>
    <t>73619944233168</t>
  </si>
  <si>
    <t>3729901812206146560</t>
  </si>
  <si>
    <t>2025-08-01 21:54:00</t>
  </si>
  <si>
    <t>2025-08-07 21:04:59</t>
  </si>
  <si>
    <t>2025-08-14 16:50:18</t>
  </si>
  <si>
    <t>2025-08-21 16:50:53</t>
  </si>
  <si>
    <t>安徽省滁州市凤阳县****</t>
  </si>
  <si>
    <t>滁州市</t>
  </si>
  <si>
    <t>凤阳县</t>
  </si>
  <si>
    <t>156****7661</t>
  </si>
  <si>
    <t>2025-08-01 21:54:07</t>
  </si>
  <si>
    <t>4200002718202508140756942208</t>
  </si>
  <si>
    <t>73619859624060</t>
  </si>
  <si>
    <t>3729901744785601792</t>
  </si>
  <si>
    <t>2025-08-01 21:49:57</t>
  </si>
  <si>
    <t>2025-08-12 18:27:30</t>
  </si>
  <si>
    <t>2025-08-19 18:28:04</t>
  </si>
  <si>
    <t>135****2939</t>
  </si>
  <si>
    <t>2025-08-01 21:50:05</t>
  </si>
  <si>
    <t>4200002742202508127611880784</t>
  </si>
  <si>
    <t>73619881130209</t>
  </si>
  <si>
    <t>3729901704963301120</t>
  </si>
  <si>
    <t>2025-08-01 21:47:10</t>
  </si>
  <si>
    <t>2025-08-06 10:32:08</t>
  </si>
  <si>
    <t>2025-08-13 10:32:41</t>
  </si>
  <si>
    <t>2025-08-01 21:47:18</t>
  </si>
  <si>
    <t>4200002720202508067452133482</t>
  </si>
  <si>
    <t>73619728913592</t>
  </si>
  <si>
    <t>3729901638778229760</t>
  </si>
  <si>
    <t>2025-08-01 21:42:58</t>
  </si>
  <si>
    <t>2025-08-11 20:55:24</t>
  </si>
  <si>
    <t>2025-08-16 16:24:35</t>
  </si>
  <si>
    <t>2025-08-23 16:25:09</t>
  </si>
  <si>
    <t>湖北省武汉市青山区****</t>
  </si>
  <si>
    <t>青山区</t>
  </si>
  <si>
    <t>136****3418</t>
  </si>
  <si>
    <t>2025-08-01 21:43:07</t>
  </si>
  <si>
    <t>4325802483202508019141511752</t>
  </si>
  <si>
    <t>73619943908732</t>
  </si>
  <si>
    <t>3729900552611046656</t>
  </si>
  <si>
    <t>2025-08-01 20:33:54</t>
  </si>
  <si>
    <t>2025-08-16 10:33:54</t>
  </si>
  <si>
    <t>2025-08-21 15:38:26</t>
  </si>
  <si>
    <t>2025-08-28 15:39:01</t>
  </si>
  <si>
    <t>江苏省苏州市苏州工业园区****</t>
  </si>
  <si>
    <t>苏州工业园区</t>
  </si>
  <si>
    <t>159****2693</t>
  </si>
  <si>
    <t>2025-08-01 20:34:01</t>
  </si>
  <si>
    <t>4200002731202508212951814649</t>
  </si>
  <si>
    <t>73660038841466</t>
  </si>
  <si>
    <t>Z1581-白色-S</t>
  </si>
  <si>
    <t>3729899157906922752</t>
  </si>
  <si>
    <t>2025-08-01 19:05:15</t>
  </si>
  <si>
    <t>2025-08-05 23:24:41</t>
  </si>
  <si>
    <t>2025-08-10 10:52:50</t>
  </si>
  <si>
    <t>2025-08-17 10:53:24</t>
  </si>
  <si>
    <t>湖北省武汉市武昌区****</t>
  </si>
  <si>
    <t>武昌区</t>
  </si>
  <si>
    <t>138****2528</t>
  </si>
  <si>
    <t>2025-08-01 19:05:22</t>
  </si>
  <si>
    <t>4200002786202508102684525386</t>
  </si>
  <si>
    <t>73619817417235</t>
  </si>
  <si>
    <t>【老板周】秋冬新款 复古多口袋中长款休闲廓形牛仔外套</t>
  </si>
  <si>
    <t>10000279975232</t>
  </si>
  <si>
    <t>Z2318</t>
  </si>
  <si>
    <t>Z2318-深蓝色-S</t>
  </si>
  <si>
    <t>颜色: 深蓝色;尺码: S（80-100斤）</t>
  </si>
  <si>
    <t>3729899145040901376</t>
  </si>
  <si>
    <t>2025-08-01 19:04:28</t>
  </si>
  <si>
    <t>2025-08-04 23:35:56</t>
  </si>
  <si>
    <t>2025-08-09 11:03:30</t>
  </si>
  <si>
    <t>2025-08-16 11:04:05</t>
  </si>
  <si>
    <t>2025-08-01 19:04:35</t>
  </si>
  <si>
    <t>4200002759202508099691415438</t>
  </si>
  <si>
    <t>73619795930515</t>
  </si>
  <si>
    <t>【老板周】经典白牛 春夏休闲简约百搭直筒牛仔裤</t>
  </si>
  <si>
    <t>10000268627268</t>
  </si>
  <si>
    <t>Z028</t>
  </si>
  <si>
    <t>Z028-白色-M</t>
  </si>
  <si>
    <t>颜色分类: 白色;尺码大小: M（95-110斤）</t>
  </si>
  <si>
    <t>3729897627453370368</t>
  </si>
  <si>
    <t>2025-08-01 17:27:56</t>
  </si>
  <si>
    <t>2025-08-01 19:21:14</t>
  </si>
  <si>
    <t>2025-08-12 20:49:12</t>
  </si>
  <si>
    <t>2025-08-19 20:49:47</t>
  </si>
  <si>
    <t>2025-08-01 17:28:02</t>
  </si>
  <si>
    <t>4301902458202508015115798949</t>
  </si>
  <si>
    <t>73619726603541</t>
  </si>
  <si>
    <t>3729897462091096320</t>
  </si>
  <si>
    <t>2025-08-01 17:17:30</t>
  </si>
  <si>
    <t>2025-08-11 20:47:29</t>
  </si>
  <si>
    <t>2025-08-19 12:09:09</t>
  </si>
  <si>
    <t>2025-08-26 12:09:44</t>
  </si>
  <si>
    <t>郭</t>
  </si>
  <si>
    <t>黑龙江省大兴安岭地区加格达奇区****</t>
  </si>
  <si>
    <t>大兴安岭地区</t>
  </si>
  <si>
    <t>加格达奇区</t>
  </si>
  <si>
    <t>138****9902</t>
  </si>
  <si>
    <t>2025-08-01 17:18:02</t>
  </si>
  <si>
    <t>4305502571202508018943618811</t>
  </si>
  <si>
    <t>73619943909568</t>
  </si>
  <si>
    <t>3729896624556217344</t>
  </si>
  <si>
    <t>2025-08-01 16:24:16</t>
  </si>
  <si>
    <t>2025-08-05 23:26:47</t>
  </si>
  <si>
    <t>2025-08-09 12:41:24</t>
  </si>
  <si>
    <t>2025-08-16 12:41:59</t>
  </si>
  <si>
    <t>山东省聊城市东昌府区****</t>
  </si>
  <si>
    <t>聊城市</t>
  </si>
  <si>
    <t>东昌府区</t>
  </si>
  <si>
    <t>138****9878</t>
  </si>
  <si>
    <t>2025-08-01 16:26:23</t>
  </si>
  <si>
    <t>4345002247202508014006223233</t>
  </si>
  <si>
    <t>73619817439249</t>
  </si>
  <si>
    <t>Z2318-深蓝色-M</t>
  </si>
  <si>
    <t>颜色: 深蓝色;尺码: M（100-135斤）</t>
  </si>
  <si>
    <t>3729896160265910016</t>
  </si>
  <si>
    <t>2025-08-01 15:54:47</t>
  </si>
  <si>
    <t>2025-08-13 23:48:14</t>
  </si>
  <si>
    <t>2025-08-23 23:48:14</t>
  </si>
  <si>
    <t>2025-08-30 23:48:49</t>
  </si>
  <si>
    <t>橙*</t>
  </si>
  <si>
    <t>山东省淄博市桓台县****</t>
  </si>
  <si>
    <t>桓台县</t>
  </si>
  <si>
    <t>185****3962</t>
  </si>
  <si>
    <t>2025-08-01 16:01:07</t>
  </si>
  <si>
    <t>4313002272202508012446268589</t>
  </si>
  <si>
    <t>73619987539569</t>
  </si>
  <si>
    <t>Z028-白色-XL</t>
  </si>
  <si>
    <t>颜色分类: 白色;尺码大小: XL（125-140斤）</t>
  </si>
  <si>
    <t>3729895499058525952</t>
  </si>
  <si>
    <t>2025-08-01 15:12:38</t>
  </si>
  <si>
    <t>2025-08-03 21:15:17</t>
  </si>
  <si>
    <t>2025-08-08 18:36:52</t>
  </si>
  <si>
    <t>2025-08-15 18:37:27</t>
  </si>
  <si>
    <t>潇*</t>
  </si>
  <si>
    <t>广东省中山市三角镇****</t>
  </si>
  <si>
    <t>中山市</t>
  </si>
  <si>
    <t>三角镇</t>
  </si>
  <si>
    <t>186****3320</t>
  </si>
  <si>
    <t>2025-08-01 15:12:46</t>
  </si>
  <si>
    <t>4335202269202508014906156748</t>
  </si>
  <si>
    <t>73619772526886</t>
  </si>
  <si>
    <t>3729895463566582528</t>
  </si>
  <si>
    <t>2025-08-01 15:10:25</t>
  </si>
  <si>
    <t>2025-08-14 15:00:07</t>
  </si>
  <si>
    <t>2025-08-21 15:00:41</t>
  </si>
  <si>
    <t>沈*</t>
  </si>
  <si>
    <t>189****2109</t>
  </si>
  <si>
    <t>2025-08-01 15:10:31</t>
  </si>
  <si>
    <t>4200002739202508145341868080</t>
  </si>
  <si>
    <t>73619903357124</t>
  </si>
  <si>
    <t>Z2278-黑色-M</t>
  </si>
  <si>
    <t>颜色: 黑色;尺码: M（100-120斤）</t>
  </si>
  <si>
    <t>3729893862215923712</t>
  </si>
  <si>
    <t>2025-08-01 13:28:35</t>
  </si>
  <si>
    <t>2025-08-04 22:07:36</t>
  </si>
  <si>
    <t>2025-08-09 16:49:48</t>
  </si>
  <si>
    <t>2025-08-16 16:50:21</t>
  </si>
  <si>
    <t>覃**</t>
  </si>
  <si>
    <t>广西壮族自治区南宁市良庆区****</t>
  </si>
  <si>
    <t>南宁市</t>
  </si>
  <si>
    <t>良庆区</t>
  </si>
  <si>
    <t>188****6049</t>
  </si>
  <si>
    <t>加急发</t>
  </si>
  <si>
    <t>2025-08-01 13:28:44</t>
  </si>
  <si>
    <t>4200002779202508093303451346</t>
  </si>
  <si>
    <t>73619795216862</t>
  </si>
  <si>
    <t>【老板周】法式浪漫 夏季立体剪裁开衩垂感中长半裙</t>
  </si>
  <si>
    <t>10000268347656</t>
  </si>
  <si>
    <t>Z858</t>
  </si>
  <si>
    <t>Z858-黑色-S</t>
  </si>
  <si>
    <t>颜色分类: 黑色;尺码大小: S（80-100斤）</t>
  </si>
  <si>
    <t>3729886510314558464</t>
  </si>
  <si>
    <t>2025-08-01 05:41:10</t>
  </si>
  <si>
    <t>2025-08-13 09:16:46</t>
  </si>
  <si>
    <t>2025-08-20 09:17:20</t>
  </si>
  <si>
    <t>冯**</t>
  </si>
  <si>
    <t>139****3122</t>
  </si>
  <si>
    <t>2025-08-01 05:41:18</t>
  </si>
  <si>
    <t>4330802584202508013071548295</t>
  </si>
  <si>
    <t>73619881129725</t>
  </si>
  <si>
    <t>3729877485016458496</t>
  </si>
  <si>
    <t>2025-07-31 20:07:22</t>
  </si>
  <si>
    <t>2025-08-05 00:07:43</t>
  </si>
  <si>
    <t>2025-08-10 10:06:57</t>
  </si>
  <si>
    <t>2025-08-17 10:07:31</t>
  </si>
  <si>
    <t>2025-07-31 20:07:30</t>
  </si>
  <si>
    <t>4200002788202508100889113226</t>
  </si>
  <si>
    <t>73619796130116</t>
  </si>
  <si>
    <t>3729858810435220480</t>
  </si>
  <si>
    <t>2025-07-31 00:20:02</t>
  </si>
  <si>
    <t>2025-08-05 17:44:51</t>
  </si>
  <si>
    <t>2025-08-10 18:06:54</t>
  </si>
  <si>
    <t>2025-08-17 18:08:28</t>
  </si>
  <si>
    <t>陕西省商洛市商州区****</t>
  </si>
  <si>
    <t>商洛市</t>
  </si>
  <si>
    <t>商州区</t>
  </si>
  <si>
    <t>186****0882</t>
  </si>
  <si>
    <t>2025-07-31 00:20:10</t>
  </si>
  <si>
    <t>4200002739202508105733706858</t>
  </si>
  <si>
    <t>73619813264554</t>
  </si>
  <si>
    <t>【老板周】日系波点 夏季新款复古撞色波点褶皱半身裙</t>
  </si>
  <si>
    <t>10000268307352</t>
  </si>
  <si>
    <t>Z2261</t>
  </si>
  <si>
    <t>Z2261-波点-S</t>
  </si>
  <si>
    <t>颜色: 波点;尺码: S（80-100斤）</t>
  </si>
  <si>
    <t>3729857762936624128</t>
  </si>
  <si>
    <t>2025-07-30 23:13:26</t>
  </si>
  <si>
    <t>2025-08-09 00:01:10</t>
  </si>
  <si>
    <t>2025-08-14 10:03:26</t>
  </si>
  <si>
    <t>2025-08-21 10:03:59</t>
  </si>
  <si>
    <t>2025-07-30 23:13:34</t>
  </si>
  <si>
    <t>4200002741202508145893580511</t>
  </si>
  <si>
    <t>73619882014050</t>
  </si>
  <si>
    <t>3729857742089626880</t>
  </si>
  <si>
    <t>2025-07-30 23:12:25</t>
  </si>
  <si>
    <t>2025-08-07 23:34:58</t>
  </si>
  <si>
    <t>2025-08-13 11:43:55</t>
  </si>
  <si>
    <t>2025-08-20 11:44:28</t>
  </si>
  <si>
    <t>青海省西宁市湟中区****</t>
  </si>
  <si>
    <t>青海省</t>
  </si>
  <si>
    <t>西宁市</t>
  </si>
  <si>
    <t>湟中区</t>
  </si>
  <si>
    <t>139****5291</t>
  </si>
  <si>
    <t>2025-07-30 23:12:33</t>
  </si>
  <si>
    <t>4200002776202508131989982723</t>
  </si>
  <si>
    <t>73619860517596</t>
  </si>
  <si>
    <t>【老板周】法式优雅 夏季气质重工立体压褶流光半身裙</t>
  </si>
  <si>
    <t>10000268371227</t>
  </si>
  <si>
    <t>Z1943</t>
  </si>
  <si>
    <t>Z1943-杏色-L</t>
  </si>
  <si>
    <t>颜色: 杏色;尺码: L（120-135斤）</t>
  </si>
  <si>
    <t>3729852161051992576</t>
  </si>
  <si>
    <t>2025-07-30 17:17:17</t>
  </si>
  <si>
    <t>2025-08-05 00:11:28</t>
  </si>
  <si>
    <t>2025-08-12 12:22:07</t>
  </si>
  <si>
    <t>2025-08-19 12:22:42</t>
  </si>
  <si>
    <t>2025-07-30 17:17:27</t>
  </si>
  <si>
    <t>4200002786202508121537812560</t>
  </si>
  <si>
    <t>73619796130078</t>
  </si>
  <si>
    <t>3729851868183409408</t>
  </si>
  <si>
    <t>2025-07-30 16:58:42</t>
  </si>
  <si>
    <t>2025-08-06 20:15:46</t>
  </si>
  <si>
    <t>2025-08-11 16:14:29</t>
  </si>
  <si>
    <t>2025-08-18 16:15:03</t>
  </si>
  <si>
    <t>福建省龙岩市新罗区****</t>
  </si>
  <si>
    <t>龙岩市</t>
  </si>
  <si>
    <t>新罗区</t>
  </si>
  <si>
    <t>138****6667</t>
  </si>
  <si>
    <t>2025-07-30 16:58:50</t>
  </si>
  <si>
    <t>4331902270202507308356212007</t>
  </si>
  <si>
    <t>73619837966623</t>
  </si>
  <si>
    <t>925银 7g【老板周】日系小众 简约设计复古百搭精致项链 饰品</t>
  </si>
  <si>
    <t>10000268686249</t>
  </si>
  <si>
    <t>P110</t>
  </si>
  <si>
    <t>P110-项链</t>
  </si>
  <si>
    <t>标称银重: 7 g</t>
  </si>
  <si>
    <t>3729848322072125184</t>
  </si>
  <si>
    <t>2025-07-30 13:13:14</t>
  </si>
  <si>
    <t>2025-07-30 14:58:57</t>
  </si>
  <si>
    <t>2025-08-04 11:27:40</t>
  </si>
  <si>
    <t>2025-08-11 11:28:14</t>
  </si>
  <si>
    <t>董*</t>
  </si>
  <si>
    <t>河南省周口市川汇区****</t>
  </si>
  <si>
    <t>周口市</t>
  </si>
  <si>
    <t>川汇区</t>
  </si>
  <si>
    <t>186****0026</t>
  </si>
  <si>
    <t>2025-07-30 13:13:24</t>
  </si>
  <si>
    <t>4349102237202507305442227471</t>
  </si>
  <si>
    <t>73619676447702</t>
  </si>
  <si>
    <t>【老板周】基础通勤 夏季通勤休闲西装腰头显瘦质感中裤</t>
  </si>
  <si>
    <t>10000268356838</t>
  </si>
  <si>
    <t>Z2144</t>
  </si>
  <si>
    <t>Z2144-黑色-L</t>
  </si>
  <si>
    <t>3729836993088463104</t>
  </si>
  <si>
    <t>2025-07-30 01:13:19</t>
  </si>
  <si>
    <t>2025-08-04 20:45:35</t>
  </si>
  <si>
    <t>2025-08-21 11:08:34</t>
  </si>
  <si>
    <t>;SF3236834956537(收） Z2207-杏色-S*1#</t>
  </si>
  <si>
    <t>2025-07-30 01:13:26</t>
  </si>
  <si>
    <t>4323102270202507307891099602</t>
  </si>
  <si>
    <t>73619794458025</t>
  </si>
  <si>
    <t>【老板周】法式复古 夏季气质假两件设计植绒提花云端上衣</t>
  </si>
  <si>
    <t>10000268287429</t>
  </si>
  <si>
    <t>Z2207</t>
  </si>
  <si>
    <t>Z2207-杏色-S</t>
  </si>
  <si>
    <t>3729836454006371072</t>
  </si>
  <si>
    <t>2025-07-30 00:38:38</t>
  </si>
  <si>
    <t>2025-08-08 21:31:11</t>
  </si>
  <si>
    <t>2025-08-13 21:07:13</t>
  </si>
  <si>
    <t>2025-08-20 21:07:46</t>
  </si>
  <si>
    <t>河北省石家庄市长安区****</t>
  </si>
  <si>
    <t>石家庄市</t>
  </si>
  <si>
    <t>177****5678</t>
  </si>
  <si>
    <t>2025-07-30 00:38:45</t>
  </si>
  <si>
    <t>4200002736202508130799243293</t>
  </si>
  <si>
    <t>73619881129156</t>
  </si>
  <si>
    <t>【老板周】优雅法式 夏季新款丝滑垂感显瘦缎面半身裙</t>
  </si>
  <si>
    <t>10000271526764</t>
  </si>
  <si>
    <t>Z2291</t>
  </si>
  <si>
    <t>Z2291-紫色-L</t>
  </si>
  <si>
    <t>颜色: 紫色;尺码: L（120-135斤）</t>
  </si>
  <si>
    <t>3729833497799570688</t>
  </si>
  <si>
    <t>2025-07-29 21:30:50</t>
  </si>
  <si>
    <t>2025-08-03 20:59:38</t>
  </si>
  <si>
    <t>2025-08-08 19:08:14</t>
  </si>
  <si>
    <t>2025-08-15 19:08:49</t>
  </si>
  <si>
    <t>湖南省怀化市芷江侗族自治县****</t>
  </si>
  <si>
    <t>怀化市</t>
  </si>
  <si>
    <t>芷江侗族自治县</t>
  </si>
  <si>
    <t>187****0169</t>
  </si>
  <si>
    <t>2025-07-29 21:30:59</t>
  </si>
  <si>
    <t>4322602241202507291347456320</t>
  </si>
  <si>
    <t>73619772526595</t>
  </si>
  <si>
    <t>【老板周】法式气质 夏季极简圆领肌理感显瘦针织背心</t>
  </si>
  <si>
    <t>10000267836758</t>
  </si>
  <si>
    <t>Z1954</t>
  </si>
  <si>
    <t>Z1954-灰色-M</t>
  </si>
  <si>
    <t>颜色分类: 灰色;尺码大小: M（100-135斤）</t>
  </si>
  <si>
    <t>3729828597500615168</t>
  </si>
  <si>
    <t>2025-07-29 16:19:07</t>
  </si>
  <si>
    <t>2025-08-05 23:23:16</t>
  </si>
  <si>
    <t>2025-08-14 17:35:31</t>
  </si>
  <si>
    <t>2025-08-21 17:36:06</t>
  </si>
  <si>
    <t>钟**</t>
  </si>
  <si>
    <t>陕西省西安市碑林区****</t>
  </si>
  <si>
    <t>碑林区</t>
  </si>
  <si>
    <t>136****9398</t>
  </si>
  <si>
    <t>2025-07-29 16:19:18</t>
  </si>
  <si>
    <t>4348002584202507294415205662</t>
  </si>
  <si>
    <t>73619817417845</t>
  </si>
  <si>
    <t>3729828159421816320</t>
  </si>
  <si>
    <t>2025-07-29 15:51:25</t>
  </si>
  <si>
    <t>2025-07-29 16:58:48</t>
  </si>
  <si>
    <t>2025-08-03 13:53:05</t>
  </si>
  <si>
    <t>2025-08-10 13:53:46</t>
  </si>
  <si>
    <t>2025-07-29 15:51:32</t>
  </si>
  <si>
    <t>4305202246202507293444175518</t>
  </si>
  <si>
    <t>73619657232523</t>
  </si>
  <si>
    <t>【老板周】法式复古 夏季新款简约POLO领编织镂空针织背心马甲</t>
  </si>
  <si>
    <t>10000267752878</t>
  </si>
  <si>
    <t>Z2067</t>
  </si>
  <si>
    <t>Z2067-杏色-S</t>
  </si>
  <si>
    <t>颜色: 杏色;尺码: S（80-100斤）</t>
  </si>
  <si>
    <t>3729825881837941504</t>
  </si>
  <si>
    <t>2025-07-29 13:26:32</t>
  </si>
  <si>
    <t>2025-08-07 19:37:24</t>
  </si>
  <si>
    <t>2025-08-10 10:31:37</t>
  </si>
  <si>
    <t>2025-08-17 10:32:12</t>
  </si>
  <si>
    <t>山西省晋城市城区****</t>
  </si>
  <si>
    <t>晋城市</t>
  </si>
  <si>
    <t>城区</t>
  </si>
  <si>
    <t>182****0288</t>
  </si>
  <si>
    <t>2025-07-29 13:26:39</t>
  </si>
  <si>
    <t>4200002718202508107853178806</t>
  </si>
  <si>
    <t>73619858960146</t>
  </si>
  <si>
    <t>3729824115800546304</t>
  </si>
  <si>
    <t>2025-07-29 11:34:11</t>
  </si>
  <si>
    <t>2025-07-30 19:55:51</t>
  </si>
  <si>
    <t>2025-08-08 19:16:53</t>
  </si>
  <si>
    <t>2025-08-15 19:17:28</t>
  </si>
  <si>
    <t>土*</t>
  </si>
  <si>
    <t>138****2811</t>
  </si>
  <si>
    <t>2025-07-29 11:34:17</t>
  </si>
  <si>
    <t>4336902477202507293178536909</t>
  </si>
  <si>
    <t>73619683355270</t>
  </si>
  <si>
    <t>【老板周】925银小众百搭 简约精致小银蛋百搭复古耳钉 饰品</t>
  </si>
  <si>
    <t>10000271019384</t>
  </si>
  <si>
    <t>P105</t>
  </si>
  <si>
    <t>P105-银色</t>
  </si>
  <si>
    <t>标称银重: 3.46 g</t>
  </si>
  <si>
    <t>3729812606633784576</t>
  </si>
  <si>
    <t>2025-07-28 23:22:33</t>
  </si>
  <si>
    <t>2025-08-01 20:36:24</t>
  </si>
  <si>
    <t>2025-08-07 11:32:07</t>
  </si>
  <si>
    <t>2025-08-14 11:32:41</t>
  </si>
  <si>
    <t>辽宁省葫芦岛市绥中县****</t>
  </si>
  <si>
    <t>葫芦岛市</t>
  </si>
  <si>
    <t>绥中县</t>
  </si>
  <si>
    <t>138****6833</t>
  </si>
  <si>
    <t>2025-07-28 23:22:41</t>
  </si>
  <si>
    <t>4316702263202507289166872697</t>
  </si>
  <si>
    <t>73619727920353</t>
  </si>
  <si>
    <t>3729811119409078016</t>
  </si>
  <si>
    <t>2025-07-28 21:47:57</t>
  </si>
  <si>
    <t>2025-07-28 23:00:28</t>
  </si>
  <si>
    <t>2025-08-02 18:51:08</t>
  </si>
  <si>
    <t>2025-08-09 18:51:42</t>
  </si>
  <si>
    <t>湖南省邵阳市新宁县****</t>
  </si>
  <si>
    <t>邵阳市</t>
  </si>
  <si>
    <t>新宁县</t>
  </si>
  <si>
    <t>139****0988</t>
  </si>
  <si>
    <t>2025-07-28 21:48:05</t>
  </si>
  <si>
    <t>4200002782202508025816158125</t>
  </si>
  <si>
    <t>73619639228277</t>
  </si>
  <si>
    <t>【老板周】松弛感 新款压褶休闲设计感山本阔腿裤</t>
  </si>
  <si>
    <t>10000267777022</t>
  </si>
  <si>
    <t>Z1175</t>
  </si>
  <si>
    <t>Z1175-黑色-M</t>
  </si>
  <si>
    <t>3729802001155502848</t>
  </si>
  <si>
    <t>2025-07-28 12:08:10</t>
  </si>
  <si>
    <t>2025-07-28 15:39:22</t>
  </si>
  <si>
    <t>2025-07-29 23:33:47</t>
  </si>
  <si>
    <t>2025-08-05 23:34:21</t>
  </si>
  <si>
    <t>2025-07-28 12:08:18</t>
  </si>
  <si>
    <t>4328402291202507283517203305</t>
  </si>
  <si>
    <t>73619633135152</t>
  </si>
  <si>
    <t>【老板周】基础单品 夏季呼吸感圆领薄款细腻短袖上衣</t>
  </si>
  <si>
    <t>10000269597400</t>
  </si>
  <si>
    <t>Z2265</t>
  </si>
  <si>
    <t>Z2265-紫色-XL</t>
  </si>
  <si>
    <t>颜色: 紫色;尺码: XL（120-135斤）</t>
  </si>
  <si>
    <t>3729790653618332416</t>
  </si>
  <si>
    <t>2025-07-28 00:06:42</t>
  </si>
  <si>
    <t>2025-08-07 23:41:53</t>
  </si>
  <si>
    <t>2025-08-12 11:37:20</t>
  </si>
  <si>
    <t>2025-08-19 11:37:55</t>
  </si>
  <si>
    <t>131****6568</t>
  </si>
  <si>
    <t>2025-07-28 00:06:48</t>
  </si>
  <si>
    <t>4311202472202507284307777320</t>
  </si>
  <si>
    <t>73619860517072</t>
  </si>
  <si>
    <t>【老板周】简约设计 夏季拼接层次感不规则德芙上衣</t>
  </si>
  <si>
    <t>10000269093560</t>
  </si>
  <si>
    <t>Z2285</t>
  </si>
  <si>
    <t>Z2285-灰色-S</t>
  </si>
  <si>
    <t>颜色: 灰色;规格: S（80-100斤）</t>
  </si>
  <si>
    <t>3729790408344608000</t>
  </si>
  <si>
    <t>2025-07-27 23:51:12</t>
  </si>
  <si>
    <t>2025-08-13 16:08:25</t>
  </si>
  <si>
    <t>2025-08-20 16:08:59</t>
  </si>
  <si>
    <t>潘*</t>
  </si>
  <si>
    <t>136****0402</t>
  </si>
  <si>
    <t>2025-07-27 23:51:18</t>
  </si>
  <si>
    <t>4200002778202508132632762657</t>
  </si>
  <si>
    <t>73619903351473</t>
  </si>
  <si>
    <t>3729788155064624640</t>
  </si>
  <si>
    <t>2025-07-27 21:27:52</t>
  </si>
  <si>
    <t>2025-08-06 22:40:29</t>
  </si>
  <si>
    <t>2025-08-11 16:08:44</t>
  </si>
  <si>
    <t>2025-08-18 16:09:18</t>
  </si>
  <si>
    <t>岳**</t>
  </si>
  <si>
    <t>131****1391</t>
  </si>
  <si>
    <t>2025-07-27 21:28:01</t>
  </si>
  <si>
    <t>4200002786202508111155290116</t>
  </si>
  <si>
    <t>73619838710274</t>
  </si>
  <si>
    <t>Z925-人字纹-L</t>
  </si>
  <si>
    <t>颜色分类: 人字纹;尺码大小: L（120-135斤）</t>
  </si>
  <si>
    <t>3729785197246428160</t>
  </si>
  <si>
    <t>2025-07-27 18:19:51</t>
  </si>
  <si>
    <t>2025-07-31 21:58:20</t>
  </si>
  <si>
    <t>2025-08-08 13:33:08</t>
  </si>
  <si>
    <t>2025-08-15 13:33:42</t>
  </si>
  <si>
    <t>2025-07-27 18:19:57</t>
  </si>
  <si>
    <t>4313502260202507274148419265</t>
  </si>
  <si>
    <t>73619706610522</t>
  </si>
  <si>
    <t>3729783307628059904</t>
  </si>
  <si>
    <t>2025-07-27 16:19:41</t>
  </si>
  <si>
    <t>2025-08-07 22:41:37</t>
  </si>
  <si>
    <t>2025-08-10 22:05:19</t>
  </si>
  <si>
    <t>2025-08-17 22:05:55</t>
  </si>
  <si>
    <t>山东省菏泽市郓城县****</t>
  </si>
  <si>
    <t>菏泽市</t>
  </si>
  <si>
    <t>郓城县</t>
  </si>
  <si>
    <t>134****7786</t>
  </si>
  <si>
    <t>2025-07-27 16:19:49</t>
  </si>
  <si>
    <t>4350702455202507276570923383</t>
  </si>
  <si>
    <t>73619860203315</t>
  </si>
  <si>
    <t>3729777887306987264</t>
  </si>
  <si>
    <t>2025-07-27 10:35:03</t>
  </si>
  <si>
    <t>2025-08-10 22:05:28</t>
  </si>
  <si>
    <t>2025-08-17 22:06:03</t>
  </si>
  <si>
    <t>2025-07-27 10:35:11</t>
  </si>
  <si>
    <t>4337302467202507278577768800</t>
  </si>
  <si>
    <t>73619881996406</t>
  </si>
  <si>
    <t>Z2299-蓝色-S</t>
  </si>
  <si>
    <t>3729765717157748224</t>
  </si>
  <si>
    <t>2025-07-26 21:41:17</t>
  </si>
  <si>
    <t>2025-07-31 21:45:13</t>
  </si>
  <si>
    <t>2025-08-05 12:33:15</t>
  </si>
  <si>
    <t>2025-08-12 12:33:49</t>
  </si>
  <si>
    <t>左**</t>
  </si>
  <si>
    <t>江苏省淮安市金湖县****</t>
  </si>
  <si>
    <t>淮安市</t>
  </si>
  <si>
    <t>金湖县</t>
  </si>
  <si>
    <t>139****2337</t>
  </si>
  <si>
    <t>2025-07-26 21:41:27</t>
  </si>
  <si>
    <t>4200002770202508053080150328</t>
  </si>
  <si>
    <t>73619706610323</t>
  </si>
  <si>
    <t>【老板周】复古老钱 夏季轻盈呼吸感镂空开叉针织上衣</t>
  </si>
  <si>
    <t>10000268389194</t>
  </si>
  <si>
    <t>Z2259</t>
  </si>
  <si>
    <t>Z2259-浅卡其色-M</t>
  </si>
  <si>
    <t>颜色: 浅卡其色;尺码: M（100-120斤）</t>
  </si>
  <si>
    <t>3729764279205109248</t>
  </si>
  <si>
    <t>2025-07-26 20:09:56</t>
  </si>
  <si>
    <t>2025-08-14 10:22:05</t>
  </si>
  <si>
    <t>2025-08-21 10:22:40</t>
  </si>
  <si>
    <t>孟**</t>
  </si>
  <si>
    <t>138****6852</t>
  </si>
  <si>
    <t>2025-07-26 20:10:04</t>
  </si>
  <si>
    <t>4200002773202508143003571912</t>
  </si>
  <si>
    <t>73619903351366</t>
  </si>
  <si>
    <t>3729755023133777408</t>
  </si>
  <si>
    <t>2025-07-26 10:21:26</t>
  </si>
  <si>
    <t>2025-08-09 10:55:34</t>
  </si>
  <si>
    <t>2025-08-15 15:57:22</t>
  </si>
  <si>
    <t>2025-08-22 15:57:56</t>
  </si>
  <si>
    <t>施*</t>
  </si>
  <si>
    <t>139****1200</t>
  </si>
  <si>
    <t>2025-07-26 10:21:33</t>
  </si>
  <si>
    <t>4200002744202508158132582852</t>
  </si>
  <si>
    <t>73619890394809</t>
  </si>
  <si>
    <t>Z2006-白色-M</t>
  </si>
  <si>
    <t>颜色分类: 白色;尺码大小: M（100-120斤）</t>
  </si>
  <si>
    <t>3729754046128600064</t>
  </si>
  <si>
    <t>2025-07-26 09:19:23</t>
  </si>
  <si>
    <t>2025-07-26 14:30:33</t>
  </si>
  <si>
    <t>2025-08-04 15:47:52</t>
  </si>
  <si>
    <t>2025-08-11 15:48:26</t>
  </si>
  <si>
    <t>2025-07-26 09:19:31</t>
  </si>
  <si>
    <t>4200002731202508048082296007</t>
  </si>
  <si>
    <t>73619587278296</t>
  </si>
  <si>
    <t>Z2140-灰色-S</t>
  </si>
  <si>
    <t>3729752756756296704</t>
  </si>
  <si>
    <t>2025-07-26 07:58:09</t>
  </si>
  <si>
    <t>2025-08-01 18:08:12</t>
  </si>
  <si>
    <t>2025-08-09 20:11:57</t>
  </si>
  <si>
    <t>2025-08-16 20:12:30</t>
  </si>
  <si>
    <t>139****6697</t>
  </si>
  <si>
    <t>2025-07-26 07:58:15</t>
  </si>
  <si>
    <t>4343402571202507264665568550</t>
  </si>
  <si>
    <t>73619726602969</t>
  </si>
  <si>
    <t>Z2006-黑色-S</t>
  </si>
  <si>
    <t>3729738730228560128</t>
  </si>
  <si>
    <t>2025-07-25 17:06:02</t>
  </si>
  <si>
    <t>2025-07-25 19:06:07</t>
  </si>
  <si>
    <t>2025-07-29 22:39:16</t>
  </si>
  <si>
    <t>2025-08-05 22:39:50</t>
  </si>
  <si>
    <t>黎**</t>
  </si>
  <si>
    <t>135****8930</t>
  </si>
  <si>
    <t>2025-07-25 17:06:12</t>
  </si>
  <si>
    <t>4318302283202507250241576036</t>
  </si>
  <si>
    <t>73619571275611</t>
  </si>
  <si>
    <t>【老板周】老钱感 夏季新款特种纱时髦花灰镂空马甲</t>
  </si>
  <si>
    <t>10000267878572</t>
  </si>
  <si>
    <t>Z914</t>
  </si>
  <si>
    <t>Z914-花灰色-S</t>
  </si>
  <si>
    <t>颜色分类: 花灰色;尺码大小: S（80-100斤）</t>
  </si>
  <si>
    <t>3729732993855922432</t>
  </si>
  <si>
    <t>2025-07-25 11:00:58</t>
  </si>
  <si>
    <t>2025-07-29 22:11:35</t>
  </si>
  <si>
    <t>2025-08-03 13:15:23</t>
  </si>
  <si>
    <t>2025-08-10 13:15:58</t>
  </si>
  <si>
    <t>137****4931</t>
  </si>
  <si>
    <t>2025-07-25 11:01:07</t>
  </si>
  <si>
    <t>4303702590202507257082251540</t>
  </si>
  <si>
    <t>73619661187278</t>
  </si>
  <si>
    <t>925银 8.7g【老板周】设计师款 法式极简百搭款精致项链 饰品</t>
  </si>
  <si>
    <t>10000271019380</t>
  </si>
  <si>
    <t>P124</t>
  </si>
  <si>
    <t>P124-银色-AC006</t>
  </si>
  <si>
    <t>标称银重: 8.7 g</t>
  </si>
  <si>
    <t>3729732889460220160</t>
  </si>
  <si>
    <t>2025-07-25 10:54:14</t>
  </si>
  <si>
    <t>2025-08-11 12:14:16</t>
  </si>
  <si>
    <t>2025-08-18 12:14:50</t>
  </si>
  <si>
    <t>2025-07-25 10:54:24</t>
  </si>
  <si>
    <t>4307302240202507256441131676</t>
  </si>
  <si>
    <t>73619837961315</t>
  </si>
  <si>
    <t>3729699814871798784</t>
  </si>
  <si>
    <t>2025-07-23 23:51:19</t>
  </si>
  <si>
    <t>2025-08-12 19:20:13</t>
  </si>
  <si>
    <t>2025-08-19 19:20:46</t>
  </si>
  <si>
    <t>136****6478</t>
  </si>
  <si>
    <t>2025-07-23 23:51:30</t>
  </si>
  <si>
    <t>4303602270202507232341594055</t>
  </si>
  <si>
    <t>73619837961277</t>
  </si>
  <si>
    <t>3729699592856279552</t>
  </si>
  <si>
    <t>2025-07-23 23:37:16</t>
  </si>
  <si>
    <t>2025-08-06 17:59:22</t>
  </si>
  <si>
    <t>2025-08-12 12:22:48</t>
  </si>
  <si>
    <t>2025-08-19 12:23:22</t>
  </si>
  <si>
    <t>王</t>
  </si>
  <si>
    <t>青海省西宁市城西区****</t>
  </si>
  <si>
    <t>城西区</t>
  </si>
  <si>
    <t>133****8837</t>
  </si>
  <si>
    <t>2025-07-23 23:37:23</t>
  </si>
  <si>
    <t>4200002739202508124085392883</t>
  </si>
  <si>
    <t>73619836087871</t>
  </si>
  <si>
    <t>3729699087731269376</t>
  </si>
  <si>
    <t>2025-07-23 23:05:09</t>
  </si>
  <si>
    <t>2025-08-04 22:54:39</t>
  </si>
  <si>
    <t>2025-08-09 18:24:31</t>
  </si>
  <si>
    <t>2025-08-16 18:25:05</t>
  </si>
  <si>
    <t>四川省内江市东兴区****</t>
  </si>
  <si>
    <t>内江市</t>
  </si>
  <si>
    <t>东兴区</t>
  </si>
  <si>
    <t>135****6633</t>
  </si>
  <si>
    <t>2025-07-23 23:05:17</t>
  </si>
  <si>
    <t>4200002791202508097820961006</t>
  </si>
  <si>
    <t>73619795633116</t>
  </si>
  <si>
    <t>【老板周】法式浪漫 夏季镂空钩花慵懒设计感蝴蝶梦针织上衣</t>
  </si>
  <si>
    <t>10000271257691</t>
  </si>
  <si>
    <t>Z2295</t>
  </si>
  <si>
    <t>Z2295-黑色-M</t>
  </si>
  <si>
    <t>颜色分类: 黑色;尺码大小: M（100-135斤）</t>
  </si>
  <si>
    <t>3729698933378004736</t>
  </si>
  <si>
    <t>2025-07-23 22:55:19</t>
  </si>
  <si>
    <t>2025-07-23 23:30:24</t>
  </si>
  <si>
    <t>2025-07-26 15:49:19</t>
  </si>
  <si>
    <t>2025-08-02 15:49:54</t>
  </si>
  <si>
    <t>孙**</t>
  </si>
  <si>
    <t>海南省省直辖县级行政区划五指山市****</t>
  </si>
  <si>
    <t>海南省</t>
  </si>
  <si>
    <t>省直辖县级行政区划</t>
  </si>
  <si>
    <t>五指山市</t>
  </si>
  <si>
    <t>136****5164</t>
  </si>
  <si>
    <t>2025-07-23 22:55:34</t>
  </si>
  <si>
    <t>4304002475202507232981988819</t>
  </si>
  <si>
    <t>73619530012798</t>
  </si>
  <si>
    <t>3729698766060393472</t>
  </si>
  <si>
    <t>2025-07-23 22:44:42</t>
  </si>
  <si>
    <t>2025-08-07 10:50:00</t>
  </si>
  <si>
    <t>2025-08-12 12:59:56</t>
  </si>
  <si>
    <t>2025-08-19 13:00:31</t>
  </si>
  <si>
    <t>135****1477</t>
  </si>
  <si>
    <t>2025-07-23 22:44:51</t>
  </si>
  <si>
    <t>4327502589202507236766292134</t>
  </si>
  <si>
    <t>73619847674116</t>
  </si>
  <si>
    <t>3729698672448774912</t>
  </si>
  <si>
    <t>2025-07-23 22:38:44</t>
  </si>
  <si>
    <t>2025-08-14 14:37:22</t>
  </si>
  <si>
    <t>2025-08-21 14:37:55</t>
  </si>
  <si>
    <t>北京市北京市石景山区****</t>
  </si>
  <si>
    <t>石景山区</t>
  </si>
  <si>
    <t>150****0776</t>
  </si>
  <si>
    <t>2025-07-23 22:38:54</t>
  </si>
  <si>
    <t>4200002741202508140059324007</t>
  </si>
  <si>
    <t>73619847673321</t>
  </si>
  <si>
    <t>3729698419785998080</t>
  </si>
  <si>
    <t>2025-07-23 22:22:43</t>
  </si>
  <si>
    <t>2025-08-07 10:50:01</t>
  </si>
  <si>
    <t>2025-08-15 09:38:55</t>
  </si>
  <si>
    <t>2025-08-22 09:39:29</t>
  </si>
  <si>
    <t>崔**</t>
  </si>
  <si>
    <t>137****9793</t>
  </si>
  <si>
    <t>2025-07-23 22:22:51</t>
  </si>
  <si>
    <t>4304202282202507233062933134</t>
  </si>
  <si>
    <t>73619847672764</t>
  </si>
  <si>
    <t>3729698304711866112</t>
  </si>
  <si>
    <t>2025-07-23 22:15:20</t>
  </si>
  <si>
    <t>2025-08-14 20:28:43</t>
  </si>
  <si>
    <t>2025-08-21 20:29:18</t>
  </si>
  <si>
    <t>136****3611</t>
  </si>
  <si>
    <t>2025-07-23 22:15:28</t>
  </si>
  <si>
    <t>4200002730202508147463956214</t>
  </si>
  <si>
    <t>73619847672047</t>
  </si>
  <si>
    <t>3729698179772458496</t>
  </si>
  <si>
    <t>2025-07-23 22:07:25</t>
  </si>
  <si>
    <t>2025-08-02 22:17:13</t>
  </si>
  <si>
    <t>2025-08-07 12:21:28</t>
  </si>
  <si>
    <t>2025-08-14 12:22:03</t>
  </si>
  <si>
    <t>雲*</t>
  </si>
  <si>
    <t>浙江省温州市乐清市****</t>
  </si>
  <si>
    <t>乐清市</t>
  </si>
  <si>
    <t>188****7711</t>
  </si>
  <si>
    <t>2025-07-23 22:07:34</t>
  </si>
  <si>
    <t>4200002787202508070183306210</t>
  </si>
  <si>
    <t>73619750175074</t>
  </si>
  <si>
    <t>3729698179774822400</t>
  </si>
  <si>
    <t>2025-07-31 19:15:01</t>
  </si>
  <si>
    <t>2025-08-02 23:18:49</t>
  </si>
  <si>
    <t>2025-08-09 23:19:23</t>
  </si>
  <si>
    <t>138****7699</t>
  </si>
  <si>
    <t>2025-07-23 22:07:33</t>
  </si>
  <si>
    <t>4319202233202507237154786698</t>
  </si>
  <si>
    <t>73619704928843</t>
  </si>
  <si>
    <t>3729697808871461888</t>
  </si>
  <si>
    <t>2025-07-23 21:43:52</t>
  </si>
  <si>
    <t>2025-07-31 17:52:48</t>
  </si>
  <si>
    <t>2025-08-05 17:12:00</t>
  </si>
  <si>
    <t>2025-08-12 17:12:34</t>
  </si>
  <si>
    <t>四川省成都市温江区****</t>
  </si>
  <si>
    <t>温江区</t>
  </si>
  <si>
    <t>186****0376</t>
  </si>
  <si>
    <t>2025-07-23 21:44:02</t>
  </si>
  <si>
    <t>4200002787202508054367962038</t>
  </si>
  <si>
    <t>73619703577843</t>
  </si>
  <si>
    <t>3729697616546115584</t>
  </si>
  <si>
    <t>2025-07-23 21:31:35</t>
  </si>
  <si>
    <t>2025-08-03 22:37:40</t>
  </si>
  <si>
    <t>2025-08-09 20:40:31</t>
  </si>
  <si>
    <t>2025-08-16 20:41:05</t>
  </si>
  <si>
    <t>文**</t>
  </si>
  <si>
    <t>135****6252</t>
  </si>
  <si>
    <t>2025-07-23 21:31:42</t>
  </si>
  <si>
    <t>4200002717202508097301512486</t>
  </si>
  <si>
    <t>73619773362766</t>
  </si>
  <si>
    <t>Z2285-灰色-M</t>
  </si>
  <si>
    <t>颜色: 灰色;规格: M（100-120斤）</t>
  </si>
  <si>
    <t>3729697582289132544</t>
  </si>
  <si>
    <t>2025-07-23 21:29:26</t>
  </si>
  <si>
    <t>2025-08-01 18:08:37</t>
  </si>
  <si>
    <t>2025-08-07 20:55:08</t>
  </si>
  <si>
    <t>2025-08-14 20:55:41</t>
  </si>
  <si>
    <t>辽宁省大连市甘井子区****</t>
  </si>
  <si>
    <t>甘井子区</t>
  </si>
  <si>
    <t>135****1831</t>
  </si>
  <si>
    <t>2025-07-23 21:29:35</t>
  </si>
  <si>
    <t>4316402474202507231339868179</t>
  </si>
  <si>
    <t>73619726603513</t>
  </si>
  <si>
    <t>Z1581-白色-L</t>
  </si>
  <si>
    <t>3729697486900961792</t>
  </si>
  <si>
    <t>2025-07-23 21:23:21</t>
  </si>
  <si>
    <t>2025-08-05 21:56:53</t>
  </si>
  <si>
    <t>2025-08-09 17:36:21</t>
  </si>
  <si>
    <t>2025-08-16 17:36:54</t>
  </si>
  <si>
    <t>153****5732</t>
  </si>
  <si>
    <t>2025-07-23 21:24:21</t>
  </si>
  <si>
    <t>4309702589202507237595300720</t>
  </si>
  <si>
    <t>73619816728124</t>
  </si>
  <si>
    <t>3729697458149798912</t>
  </si>
  <si>
    <t>2025-07-23 21:21:33</t>
  </si>
  <si>
    <t>2025-08-02 00:54:13</t>
  </si>
  <si>
    <t>2025-08-06 17:26:42</t>
  </si>
  <si>
    <t>2025-08-13 17:27:16</t>
  </si>
  <si>
    <t>倪*</t>
  </si>
  <si>
    <t>135****3025</t>
  </si>
  <si>
    <t>2025-07-23 21:21:47</t>
  </si>
  <si>
    <t>4335202234202507239404674933</t>
  </si>
  <si>
    <t>73619729605102</t>
  </si>
  <si>
    <t>3729697125094267904</t>
  </si>
  <si>
    <t>2025-07-23 21:00:20</t>
  </si>
  <si>
    <t>2025-07-26 17:04:59</t>
  </si>
  <si>
    <t>2025-08-01 22:15:11</t>
  </si>
  <si>
    <t>2025-08-08 22:15:44</t>
  </si>
  <si>
    <t>山东省济南市市中区****</t>
  </si>
  <si>
    <t>济南市</t>
  </si>
  <si>
    <t>市中区</t>
  </si>
  <si>
    <t>150****6506</t>
  </si>
  <si>
    <t>2025-07-23 21:00:28</t>
  </si>
  <si>
    <t>4200002766202508010124009291</t>
  </si>
  <si>
    <t>73619591345488</t>
  </si>
  <si>
    <t>3729696893391217920</t>
  </si>
  <si>
    <t>2025-07-23 20:45:38</t>
  </si>
  <si>
    <t>2025-08-13 18:07:15</t>
  </si>
  <si>
    <t>2025-08-20 18:07:50</t>
  </si>
  <si>
    <t>王宁</t>
  </si>
  <si>
    <t>广东省东莞市南城街道天景居金丰花园12栋</t>
  </si>
  <si>
    <t>南城街道</t>
  </si>
  <si>
    <t>15992883550</t>
  </si>
  <si>
    <t>Z2215小礼物;补发(6068210)#;补发73619924687870</t>
  </si>
  <si>
    <t>2025-07-23 20:45:50</t>
  </si>
  <si>
    <t>4350102249202507239625756773</t>
  </si>
  <si>
    <t>73619847668842</t>
  </si>
  <si>
    <t>3729696838867624704</t>
  </si>
  <si>
    <t>2025-07-23 20:42:08</t>
  </si>
  <si>
    <t>2025-08-18 17:36:44</t>
  </si>
  <si>
    <t>2025-08-25 17:37:18</t>
  </si>
  <si>
    <t>邱小姐</t>
  </si>
  <si>
    <t>广东省广州市荔湾区桥中街道凯德双桥八号3栋503房</t>
  </si>
  <si>
    <t>荔湾区</t>
  </si>
  <si>
    <t>15920344660</t>
  </si>
  <si>
    <t>Z2215小礼物;补发(6068211)#;补发73619924687882</t>
  </si>
  <si>
    <t>2025-07-23 20:42:17</t>
  </si>
  <si>
    <t>4200002738202508189737739375</t>
  </si>
  <si>
    <t>73619847672205</t>
  </si>
  <si>
    <t>3729696704338735104</t>
  </si>
  <si>
    <t>2025-07-23 20:33:37</t>
  </si>
  <si>
    <t>2025-08-14 10:32:12</t>
  </si>
  <si>
    <t>2025-08-21 10:32:46</t>
  </si>
  <si>
    <t>孙红霞</t>
  </si>
  <si>
    <t>山东省淄博市桓台县海圣春天</t>
  </si>
  <si>
    <t>13953339623</t>
  </si>
  <si>
    <t>Z2215小礼物;补发(6068212)#;补发73619941952361</t>
  </si>
  <si>
    <t>2025-07-23 20:33:46</t>
  </si>
  <si>
    <t>4200002774202508146026271126</t>
  </si>
  <si>
    <t>73619847671896</t>
  </si>
  <si>
    <t>3729696522492065536</t>
  </si>
  <si>
    <t>2025-07-23 20:22:03</t>
  </si>
  <si>
    <t>2025-07-29 22:21:11</t>
  </si>
  <si>
    <t>2025-07-31 21:02:18</t>
  </si>
  <si>
    <t>2025-08-07 21:02:53</t>
  </si>
  <si>
    <t>湖北省荆州市监利市****</t>
  </si>
  <si>
    <t>荆州市</t>
  </si>
  <si>
    <t>监利市</t>
  </si>
  <si>
    <t>159****2369</t>
  </si>
  <si>
    <t>2025-07-23 20:22:13</t>
  </si>
  <si>
    <t>4200002787202507312303936093</t>
  </si>
  <si>
    <t>73619661187186</t>
  </si>
  <si>
    <t>3729696483134547200</t>
  </si>
  <si>
    <t>2025-07-23 20:19:38</t>
  </si>
  <si>
    <t>2025-08-02 22:27:16</t>
  </si>
  <si>
    <t>2025-08-09 11:37:30</t>
  </si>
  <si>
    <t>2025-08-16 11:38:05</t>
  </si>
  <si>
    <t>洪</t>
  </si>
  <si>
    <t>福建省厦门市湖里区****</t>
  </si>
  <si>
    <t>湖里区</t>
  </si>
  <si>
    <t>139****0979</t>
  </si>
  <si>
    <t>2025-07-23 20:19:46</t>
  </si>
  <si>
    <t>4324602266202507234652960045</t>
  </si>
  <si>
    <t>73619750390027</t>
  </si>
  <si>
    <t>Z2295-黑色-S</t>
  </si>
  <si>
    <t>3729696392460510464</t>
  </si>
  <si>
    <t>2025-07-23 20:13:50</t>
  </si>
  <si>
    <t>2025-07-25 22:42:49</t>
  </si>
  <si>
    <t>2025-08-04 22:42:49</t>
  </si>
  <si>
    <t>2025-08-11 22:43:23</t>
  </si>
  <si>
    <t>新疆维吾尔自治区乌鲁木齐市沙依巴克区****</t>
  </si>
  <si>
    <t>沙依巴克区</t>
  </si>
  <si>
    <t>139****2876</t>
  </si>
  <si>
    <t>2025-07-23 20:13:58</t>
  </si>
  <si>
    <t>4324302575202507239321377008</t>
  </si>
  <si>
    <t>73619573514144</t>
  </si>
  <si>
    <t>3729696157218779392</t>
  </si>
  <si>
    <t>2025-07-23 19:58:54</t>
  </si>
  <si>
    <t>2025-08-15 12:26:12</t>
  </si>
  <si>
    <t>2025-08-22 12:26:44</t>
  </si>
  <si>
    <t>刘闪闪</t>
  </si>
  <si>
    <t>内蒙古自治区呼和浩特市赛罕区人民路街道附中东巷水文一号楼</t>
  </si>
  <si>
    <t>呼和浩特市</t>
  </si>
  <si>
    <t>赛罕区</t>
  </si>
  <si>
    <t>13948530344</t>
  </si>
  <si>
    <t>Z2215小礼物;补发(6068213)#;补发73619962233916</t>
  </si>
  <si>
    <t>2025-07-23 19:59:04</t>
  </si>
  <si>
    <t>4325002581202507237245756480</t>
  </si>
  <si>
    <t>73619847671186</t>
  </si>
  <si>
    <t>3729695897547321600</t>
  </si>
  <si>
    <t>2025-07-23 19:42:20</t>
  </si>
  <si>
    <t>2025-07-26 23:47:27</t>
  </si>
  <si>
    <t>2025-08-01 20:33:50</t>
  </si>
  <si>
    <t>2025-08-08 20:34:25</t>
  </si>
  <si>
    <t>河北省廊坊市大厂回族自治县****</t>
  </si>
  <si>
    <t>廊坊市</t>
  </si>
  <si>
    <t>大厂回族自治县</t>
  </si>
  <si>
    <t>176****4994</t>
  </si>
  <si>
    <t>2025-07-23 19:42:29</t>
  </si>
  <si>
    <t>4200002767202508018836318968</t>
  </si>
  <si>
    <t>73619596031116</t>
  </si>
  <si>
    <t>Z1581-黑色-L</t>
  </si>
  <si>
    <t>3729695360950608640</t>
  </si>
  <si>
    <t>2025-07-23 19:08:12</t>
  </si>
  <si>
    <t>2025-07-24 21:10:57</t>
  </si>
  <si>
    <t>2025-07-30 16:47:20</t>
  </si>
  <si>
    <t>2025-08-06 16:47:55</t>
  </si>
  <si>
    <t>辽宁省铁岭市西丰县****</t>
  </si>
  <si>
    <t>铁岭市</t>
  </si>
  <si>
    <t>西丰县</t>
  </si>
  <si>
    <t>159****1798</t>
  </si>
  <si>
    <t>2025-07-23 19:08:38</t>
  </si>
  <si>
    <t>4351102267202507233520724199</t>
  </si>
  <si>
    <t>73619550721873</t>
  </si>
  <si>
    <t>3729695222672530944</t>
  </si>
  <si>
    <t>2025-07-23 18:59:34</t>
  </si>
  <si>
    <t>2025-07-29 16:42:17</t>
  </si>
  <si>
    <t>2025-08-05 16:42:51</t>
  </si>
  <si>
    <t>云南省昆明市盘龙区****</t>
  </si>
  <si>
    <t>盘龙区</t>
  </si>
  <si>
    <t>137****1162</t>
  </si>
  <si>
    <t>2025-07-23 18:59:44</t>
  </si>
  <si>
    <t>4200002760202507291267918346</t>
  </si>
  <si>
    <t>73619530012611</t>
  </si>
  <si>
    <t>3729694626251677440</t>
  </si>
  <si>
    <t>2025-07-23 18:21:28</t>
  </si>
  <si>
    <t>2025-08-13 21:06:46</t>
  </si>
  <si>
    <t>2025-08-20 21:07:21</t>
  </si>
  <si>
    <t>一**</t>
  </si>
  <si>
    <t>广东省佛山市禅城区****</t>
  </si>
  <si>
    <t>禅城区</t>
  </si>
  <si>
    <t>134****8688</t>
  </si>
  <si>
    <t>2025-07-23 18:21:47</t>
  </si>
  <si>
    <t>4349102580202507239565769949</t>
  </si>
  <si>
    <t>73619847670838</t>
  </si>
  <si>
    <t>3729694379063260672</t>
  </si>
  <si>
    <t>2025-07-23 18:05:45</t>
  </si>
  <si>
    <t>2025-08-05 23:19:22</t>
  </si>
  <si>
    <t>2025-08-07 07:48:28</t>
  </si>
  <si>
    <t>2025-08-14 07:49:02</t>
  </si>
  <si>
    <t>广东省深圳市南山区****</t>
  </si>
  <si>
    <t>南山区</t>
  </si>
  <si>
    <t>136****5086</t>
  </si>
  <si>
    <t>2025-07-23 18:05:52</t>
  </si>
  <si>
    <t>4316402250202507232568523820</t>
  </si>
  <si>
    <t>73619817408166</t>
  </si>
  <si>
    <t>Z2285-灰色-L</t>
  </si>
  <si>
    <t>颜色: 灰色;规格: L（120-135斤）</t>
  </si>
  <si>
    <t>3729694056102113536</t>
  </si>
  <si>
    <t>2025-07-23 17:45:12</t>
  </si>
  <si>
    <t>2025-08-13 17:16:46</t>
  </si>
  <si>
    <t>2025-08-20 17:17:19</t>
  </si>
  <si>
    <t>成**</t>
  </si>
  <si>
    <t>136****2660</t>
  </si>
  <si>
    <t>2025-07-23 17:45:19</t>
  </si>
  <si>
    <t>4324702252202507235663423448</t>
  </si>
  <si>
    <t>73619837961302</t>
  </si>
  <si>
    <t>3729694036738578944</t>
  </si>
  <si>
    <t>2025-07-23 17:44:09</t>
  </si>
  <si>
    <t>2025-08-01 23:37:00</t>
  </si>
  <si>
    <t>2025-08-06 17:36:54</t>
  </si>
  <si>
    <t>2025-08-13 17:37:28</t>
  </si>
  <si>
    <t>138****6816</t>
  </si>
  <si>
    <t>2025-07-23 17:44:17</t>
  </si>
  <si>
    <t>4320302248202507235610383406</t>
  </si>
  <si>
    <t>73619729299789</t>
  </si>
  <si>
    <t>3729694030213813248</t>
  </si>
  <si>
    <t>2025-07-23 17:43:33</t>
  </si>
  <si>
    <t>2025-08-02 23:31:04</t>
  </si>
  <si>
    <t>2025-08-07 17:32:48</t>
  </si>
  <si>
    <t>2025-08-14 17:33:22</t>
  </si>
  <si>
    <t>北京市北京市海淀区****</t>
  </si>
  <si>
    <t>海淀区</t>
  </si>
  <si>
    <t>136****2693</t>
  </si>
  <si>
    <t>2025-07-23 17:43:40</t>
  </si>
  <si>
    <t>4335802590202507234827341852</t>
  </si>
  <si>
    <t>73619750831920</t>
  </si>
  <si>
    <t>Z2285-黑色-M</t>
  </si>
  <si>
    <t>3729694024292507392</t>
  </si>
  <si>
    <t>2025-07-23 17:43:11</t>
  </si>
  <si>
    <t>2025-08-02 22:53:50</t>
  </si>
  <si>
    <t>2025-08-04 06:52:08</t>
  </si>
  <si>
    <t>2025-08-11 06:52:42</t>
  </si>
  <si>
    <t>137****5395</t>
  </si>
  <si>
    <t>2025-07-23 17:43:20</t>
  </si>
  <si>
    <t>4322702464202507239791951269</t>
  </si>
  <si>
    <t>73619750609142</t>
  </si>
  <si>
    <t>【老板周】极简复古 夏季新款小众日系松紧腰廓形灯笼裤</t>
  </si>
  <si>
    <t>10000273160854</t>
  </si>
  <si>
    <t>Z2309</t>
  </si>
  <si>
    <t>Z2309-白色-M</t>
  </si>
  <si>
    <t>颜色: 白色;尺码: M（100-120斤）</t>
  </si>
  <si>
    <t>3729693963369454080</t>
  </si>
  <si>
    <t>2025-07-23 17:39:24</t>
  </si>
  <si>
    <t>2025-08-06 19:58:53</t>
  </si>
  <si>
    <t>2025-08-10 20:08:44</t>
  </si>
  <si>
    <t>2025-08-17 20:09:17</t>
  </si>
  <si>
    <t>简**</t>
  </si>
  <si>
    <t>134****1339</t>
  </si>
  <si>
    <t>2025-07-23 17:39:31</t>
  </si>
  <si>
    <t>4200002727202508108567280820</t>
  </si>
  <si>
    <t>73619837389207</t>
  </si>
  <si>
    <t>3729693939776500480</t>
  </si>
  <si>
    <t>2025-07-23 17:37:54</t>
  </si>
  <si>
    <t>2025-08-06 18:18:57</t>
  </si>
  <si>
    <t>2025-08-13 18:19:32</t>
  </si>
  <si>
    <t>静*</t>
  </si>
  <si>
    <t>上海市上海市奉贤区****</t>
  </si>
  <si>
    <t>奉贤区</t>
  </si>
  <si>
    <t>133****1018</t>
  </si>
  <si>
    <t>2025-07-23 17:38:06</t>
  </si>
  <si>
    <t>4312202236202507233947914398</t>
  </si>
  <si>
    <t>73619729299628</t>
  </si>
  <si>
    <t>3729693940703703040</t>
  </si>
  <si>
    <t>2025-07-23 17:37:53</t>
  </si>
  <si>
    <t>2025-08-03 22:20:44</t>
  </si>
  <si>
    <t>2025-08-09 09:28:39</t>
  </si>
  <si>
    <t>2025-08-16 09:29:12</t>
  </si>
  <si>
    <t>河北省廊坊市广阳区****</t>
  </si>
  <si>
    <t>广阳区</t>
  </si>
  <si>
    <t>199****3960</t>
  </si>
  <si>
    <t>2025-07-23 17:38:01</t>
  </si>
  <si>
    <t>4347702281202507234687809675</t>
  </si>
  <si>
    <t>73619773123858</t>
  </si>
  <si>
    <t>3729693877837635072</t>
  </si>
  <si>
    <t>2025-07-23 17:33:53</t>
  </si>
  <si>
    <t>2025-08-05 20:32:22</t>
  </si>
  <si>
    <t>2025-08-12 20:32:58</t>
  </si>
  <si>
    <t>广东省东莞市黄江镇****</t>
  </si>
  <si>
    <t>黄江镇</t>
  </si>
  <si>
    <t>159****6366</t>
  </si>
  <si>
    <t>;SF3231078545383(收） Z2285-灰色-M*1#</t>
  </si>
  <si>
    <t>2025-07-23 17:34:00</t>
  </si>
  <si>
    <t>4332502243202507236661464762</t>
  </si>
  <si>
    <t>73619729300047</t>
  </si>
  <si>
    <t>3729693847235206400</t>
  </si>
  <si>
    <t>2025-07-23 17:31:57</t>
  </si>
  <si>
    <t>2025-08-15 13:10:15</t>
  </si>
  <si>
    <t>2025-08-22 13:10:49</t>
  </si>
  <si>
    <t>2025-07-23 17:32:03</t>
  </si>
  <si>
    <t>4324702483202507238721455551</t>
  </si>
  <si>
    <t>73619847670136</t>
  </si>
  <si>
    <t>3729693841424528128</t>
  </si>
  <si>
    <t>2025-07-23 17:31:33</t>
  </si>
  <si>
    <t>2025-08-08 17:21:43</t>
  </si>
  <si>
    <t>2025-08-15 17:22:17</t>
  </si>
  <si>
    <t>138****9021</t>
  </si>
  <si>
    <t>2025-07-23 17:31:45</t>
  </si>
  <si>
    <t>4319902263202507236379627800</t>
  </si>
  <si>
    <t>73619773123817</t>
  </si>
  <si>
    <t>3729693836020423680</t>
  </si>
  <si>
    <t>2025-07-23 17:31:15</t>
  </si>
  <si>
    <t>2025-08-14 15:57:55</t>
  </si>
  <si>
    <t>2025-08-21 15:58:29</t>
  </si>
  <si>
    <t>137****8895</t>
  </si>
  <si>
    <t>2025-07-23 17:31:24</t>
  </si>
  <si>
    <t>4200002780202508141711613821</t>
  </si>
  <si>
    <t>73619847668876</t>
  </si>
  <si>
    <t>3729693826485200128</t>
  </si>
  <si>
    <t>2025-07-23 17:30:36</t>
  </si>
  <si>
    <t>2025-08-08 17:21:36</t>
  </si>
  <si>
    <t>2025-08-15 17:22:11</t>
  </si>
  <si>
    <t>2025-07-23 17:30:43</t>
  </si>
  <si>
    <t>4322402276202507233893191692</t>
  </si>
  <si>
    <t>73619773123832</t>
  </si>
  <si>
    <t>3729693798884581888</t>
  </si>
  <si>
    <t>2025-07-23 17:28:53</t>
  </si>
  <si>
    <t>2025-08-08 20:33:44</t>
  </si>
  <si>
    <t>2025-08-15 20:34:19</t>
  </si>
  <si>
    <t>浙江省嘉兴市南湖区****</t>
  </si>
  <si>
    <t>南湖区</t>
  </si>
  <si>
    <t>139****8370</t>
  </si>
  <si>
    <t>2025-07-23 17:29:00</t>
  </si>
  <si>
    <t>4200002791202508085664037087</t>
  </si>
  <si>
    <t>73619773123804</t>
  </si>
  <si>
    <t>3729693750768317184</t>
  </si>
  <si>
    <t>2025-07-23 17:25:55</t>
  </si>
  <si>
    <t>2025-08-06 22:25:00</t>
  </si>
  <si>
    <t>2025-08-12 19:13:44</t>
  </si>
  <si>
    <t>2025-08-19 19:14:19</t>
  </si>
  <si>
    <t>2025-07-23 17:26:03</t>
  </si>
  <si>
    <t>4323802478202507232463317581</t>
  </si>
  <si>
    <t>73619838704347</t>
  </si>
  <si>
    <t>3729693748852825344</t>
  </si>
  <si>
    <t>2025-07-23 17:25:48</t>
  </si>
  <si>
    <t>2025-08-06 16:44:02</t>
  </si>
  <si>
    <t>2025-08-11 18:32:20</t>
  </si>
  <si>
    <t>2025-08-18 18:32:55</t>
  </si>
  <si>
    <t>180****3188</t>
  </si>
  <si>
    <t>2025-07-23 17:25:57</t>
  </si>
  <si>
    <t>4200002759202508119857969833</t>
  </si>
  <si>
    <t>73619834129290</t>
  </si>
  <si>
    <t>3729693603415071232</t>
  </si>
  <si>
    <t>2025-07-23 17:16:26</t>
  </si>
  <si>
    <t>2025-08-06 21:16:44</t>
  </si>
  <si>
    <t>2025-08-12 15:36:51</t>
  </si>
  <si>
    <t>2025-08-19 15:37:25</t>
  </si>
  <si>
    <t>辽宁省沈阳市于洪区****</t>
  </si>
  <si>
    <t>于洪区</t>
  </si>
  <si>
    <t>186****7755</t>
  </si>
  <si>
    <t>2025-07-23 17:16:35</t>
  </si>
  <si>
    <t>4200002787202508124348252008</t>
  </si>
  <si>
    <t>73619838186115</t>
  </si>
  <si>
    <t>3729693598862160640</t>
  </si>
  <si>
    <t>2025-07-23 17:16:17</t>
  </si>
  <si>
    <t>2025-08-06 21:07:32</t>
  </si>
  <si>
    <t>2025-08-11 21:59:27</t>
  </si>
  <si>
    <t>2025-08-18 22:00:00</t>
  </si>
  <si>
    <t>浙江省衢州市柯城区****</t>
  </si>
  <si>
    <t>衢州市</t>
  </si>
  <si>
    <t>柯城区</t>
  </si>
  <si>
    <t>153****9677</t>
  </si>
  <si>
    <t>2025-07-23 17:16:24</t>
  </si>
  <si>
    <t>4200002760202508119414896027</t>
  </si>
  <si>
    <t>73619838186092</t>
  </si>
  <si>
    <t>3729693594109746176</t>
  </si>
  <si>
    <t>2025-07-23 17:15:54</t>
  </si>
  <si>
    <t>2025-08-06 21:41:51</t>
  </si>
  <si>
    <t>2025-08-12 17:56:53</t>
  </si>
  <si>
    <t>2025-08-19 17:57:28</t>
  </si>
  <si>
    <t>2025-07-23 17:16:02</t>
  </si>
  <si>
    <t>4200002792202508124193037188</t>
  </si>
  <si>
    <t>73619838186169</t>
  </si>
  <si>
    <t>3729693574839540224</t>
  </si>
  <si>
    <t>2025-07-23 17:14:37</t>
  </si>
  <si>
    <t>2025-08-06 19:57:26</t>
  </si>
  <si>
    <t>2025-08-12 18:41:23</t>
  </si>
  <si>
    <t>2025-08-19 18:41:57</t>
  </si>
  <si>
    <t>黑龙江省哈尔滨市道外区****</t>
  </si>
  <si>
    <t>道外区</t>
  </si>
  <si>
    <t>139****0401</t>
  </si>
  <si>
    <t>2025-07-23 17:14:45</t>
  </si>
  <si>
    <t>4341902465202507232986669552</t>
  </si>
  <si>
    <t>73619837389235</t>
  </si>
  <si>
    <t>3729693506838343936</t>
  </si>
  <si>
    <t>2025-07-23 17:10:18</t>
  </si>
  <si>
    <t>2025-08-11 23:03:57</t>
  </si>
  <si>
    <t>2025-08-18 23:04:31</t>
  </si>
  <si>
    <t>181****2512</t>
  </si>
  <si>
    <t>2025-07-23 17:10:27</t>
  </si>
  <si>
    <t>4200002782202508119539778829</t>
  </si>
  <si>
    <t>73619847671293</t>
  </si>
  <si>
    <t>Z2215-蓝色-S</t>
  </si>
  <si>
    <t>3729693503773619200</t>
  </si>
  <si>
    <t>2025-07-23 17:10:10</t>
  </si>
  <si>
    <t>2025-08-13 21:30:51</t>
  </si>
  <si>
    <t>2025-08-20 21:31:25</t>
  </si>
  <si>
    <t>139****7978</t>
  </si>
  <si>
    <t>4200002725202508130734539546</t>
  </si>
  <si>
    <t>73619847670879</t>
  </si>
  <si>
    <t>3729693503834174464</t>
  </si>
  <si>
    <t>2025-07-23 17:10:05</t>
  </si>
  <si>
    <t>2025-08-15 11:51:47</t>
  </si>
  <si>
    <t>2025-08-22 11:52:20</t>
  </si>
  <si>
    <t>鲍*</t>
  </si>
  <si>
    <t>江苏省无锡市滨湖区****</t>
  </si>
  <si>
    <t>滨湖区</t>
  </si>
  <si>
    <t>137****8084</t>
  </si>
  <si>
    <t>2025-07-23 17:10:15</t>
  </si>
  <si>
    <t>4306602252202507237329376797</t>
  </si>
  <si>
    <t>73619847670149</t>
  </si>
  <si>
    <t>3729693228678918912</t>
  </si>
  <si>
    <t>2025-07-23 16:52:37</t>
  </si>
  <si>
    <t>2025-08-02 22:55:17</t>
  </si>
  <si>
    <t>2025-08-08 15:31:05</t>
  </si>
  <si>
    <t>2025-08-15 15:31:40</t>
  </si>
  <si>
    <t>湖北省恩施土家族苗族自治州建始县****</t>
  </si>
  <si>
    <t>恩施土家族苗族自治州</t>
  </si>
  <si>
    <t>建始县</t>
  </si>
  <si>
    <t>133****4567</t>
  </si>
  <si>
    <t>2025-07-23 16:52:49</t>
  </si>
  <si>
    <t>4324402464202507232879799572</t>
  </si>
  <si>
    <t>73619750609234</t>
  </si>
  <si>
    <t>Z2309-白色-L</t>
  </si>
  <si>
    <t>颜色: 白色;尺码: L（120-135斤）</t>
  </si>
  <si>
    <t>3729693228750743552</t>
  </si>
  <si>
    <t>2025-08-07 14:37:41</t>
  </si>
  <si>
    <t>2025-08-14 14:38:15</t>
  </si>
  <si>
    <t>彭*</t>
  </si>
  <si>
    <t>湖南省娄底市新化县****</t>
  </si>
  <si>
    <t>娄底市</t>
  </si>
  <si>
    <t>新化县</t>
  </si>
  <si>
    <t>137****1377</t>
  </si>
  <si>
    <t>2025-07-23 16:52:44</t>
  </si>
  <si>
    <t>4200002743202508079971728804</t>
  </si>
  <si>
    <t>73619750609433</t>
  </si>
  <si>
    <t>3729693201135449088</t>
  </si>
  <si>
    <t>2025-07-23 16:50:55</t>
  </si>
  <si>
    <t>2025-08-02 22:56:00</t>
  </si>
  <si>
    <t>2025-08-08 11:15:04</t>
  </si>
  <si>
    <t>2025-08-15 11:15:39</t>
  </si>
  <si>
    <t>廖**</t>
  </si>
  <si>
    <t>重庆市重庆市渝中区****</t>
  </si>
  <si>
    <t>渝中区</t>
  </si>
  <si>
    <t>133****6717</t>
  </si>
  <si>
    <t>2025-07-23 16:51:01</t>
  </si>
  <si>
    <t>4312102243202507236310145482</t>
  </si>
  <si>
    <t>73619750609127</t>
  </si>
  <si>
    <t>3729693200991008000</t>
  </si>
  <si>
    <t>2025-07-23 16:50:50</t>
  </si>
  <si>
    <t>2025-08-07 16:21:39</t>
  </si>
  <si>
    <t>2025-08-14 16:22:12</t>
  </si>
  <si>
    <t>138****8892</t>
  </si>
  <si>
    <t>2025-07-23 16:50:58</t>
  </si>
  <si>
    <t>4323502261202507235007328022</t>
  </si>
  <si>
    <t>73619750609645</t>
  </si>
  <si>
    <t>Z2309-白色-S</t>
  </si>
  <si>
    <t>颜色: 白色;尺码: S（80-100斤）</t>
  </si>
  <si>
    <t>3729693199682902528</t>
  </si>
  <si>
    <t>2025-07-23 16:50:45</t>
  </si>
  <si>
    <t>2025-08-07 19:49:28</t>
  </si>
  <si>
    <t>2025-08-14 19:50:02</t>
  </si>
  <si>
    <t>戴*</t>
  </si>
  <si>
    <t>138****5367</t>
  </si>
  <si>
    <t>2025-07-23 16:50:52</t>
  </si>
  <si>
    <t>4309202580202507234881573555</t>
  </si>
  <si>
    <t>73619750609221</t>
  </si>
  <si>
    <t>3729693197381806080</t>
  </si>
  <si>
    <t>2025-07-23 16:50:36</t>
  </si>
  <si>
    <t>2025-08-07 19:24:47</t>
  </si>
  <si>
    <t>2025-08-14 19:25:21</t>
  </si>
  <si>
    <t>朴**</t>
  </si>
  <si>
    <t>139****1270</t>
  </si>
  <si>
    <t>2025-07-23 16:50:44</t>
  </si>
  <si>
    <t>4307902470202507234875386028</t>
  </si>
  <si>
    <t>73619750609686</t>
  </si>
  <si>
    <t>3729693195619934976</t>
  </si>
  <si>
    <t>2025-07-23 16:50:29</t>
  </si>
  <si>
    <t>2025-08-07 10:09:17</t>
  </si>
  <si>
    <t>2025-08-14 10:10:52</t>
  </si>
  <si>
    <t>叶*</t>
  </si>
  <si>
    <t>133****4433</t>
  </si>
  <si>
    <t>2025-07-23 16:50:42</t>
  </si>
  <si>
    <t>4331602468202507234129533709</t>
  </si>
  <si>
    <t>73619750609155</t>
  </si>
  <si>
    <t>3729693194257570304</t>
  </si>
  <si>
    <t>2025-07-23 16:50:25</t>
  </si>
  <si>
    <t>2025-08-07 17:32:49</t>
  </si>
  <si>
    <t>2025-08-14 17:33:23</t>
  </si>
  <si>
    <t>2025-07-23 16:50:32</t>
  </si>
  <si>
    <t>4323502480202507233593293026</t>
  </si>
  <si>
    <t>73619750609063</t>
  </si>
  <si>
    <t>3729692699548594944</t>
  </si>
  <si>
    <t>2025-07-23 16:20:01</t>
  </si>
  <si>
    <t>2025-08-11 18:50:27</t>
  </si>
  <si>
    <t>2025-08-18 18:51:02</t>
  </si>
  <si>
    <t>浙江省嘉兴市海宁市****</t>
  </si>
  <si>
    <t>海宁市</t>
  </si>
  <si>
    <t>153****7103</t>
  </si>
  <si>
    <t>2025-07-23 16:20:17</t>
  </si>
  <si>
    <t>4300502464202507235906397628</t>
  </si>
  <si>
    <t>73619837961264</t>
  </si>
  <si>
    <t>3729692661844155648</t>
  </si>
  <si>
    <t>2025-07-23 16:16:40</t>
  </si>
  <si>
    <t>2025-08-07 20:41:17</t>
  </si>
  <si>
    <t>2025-08-14 20:41:51</t>
  </si>
  <si>
    <t>北京市北京市怀柔区****</t>
  </si>
  <si>
    <t>怀柔区</t>
  </si>
  <si>
    <t>137****9392</t>
  </si>
  <si>
    <t>2025-07-23 16:17:06</t>
  </si>
  <si>
    <t>4314202263202507234524305112</t>
  </si>
  <si>
    <t>73619729605080</t>
  </si>
  <si>
    <t>3729692614952887808</t>
  </si>
  <si>
    <t>2025-07-23 16:13:36</t>
  </si>
  <si>
    <t>2025-08-03 13:49:30</t>
  </si>
  <si>
    <t>2025-08-10 13:51:06</t>
  </si>
  <si>
    <t>156****8982</t>
  </si>
  <si>
    <t>2025-07-23 16:13:41</t>
  </si>
  <si>
    <t>4310402279202507239410592747</t>
  </si>
  <si>
    <t>73619729299763</t>
  </si>
  <si>
    <t>3729692246143284480</t>
  </si>
  <si>
    <t>2025-07-23 15:50:08</t>
  </si>
  <si>
    <t>2025-07-28 17:29:02</t>
  </si>
  <si>
    <t>2025-08-02 18:30:03</t>
  </si>
  <si>
    <t>2025-08-09 18:30:37</t>
  </si>
  <si>
    <t>180****3599</t>
  </si>
  <si>
    <t>2025-07-23 15:50:14</t>
  </si>
  <si>
    <t>4200002724202508020509680530</t>
  </si>
  <si>
    <t>73619635407314</t>
  </si>
  <si>
    <t>3729692238332175872</t>
  </si>
  <si>
    <t>2025-07-23 15:49:40</t>
  </si>
  <si>
    <t>2025-08-09 16:55:09</t>
  </si>
  <si>
    <t>2025-08-16 16:55:43</t>
  </si>
  <si>
    <t>广东省茂名市电白县****</t>
  </si>
  <si>
    <t>茂名市</t>
  </si>
  <si>
    <t>电白县</t>
  </si>
  <si>
    <t>136****8235</t>
  </si>
  <si>
    <t>2025-07-23 15:49:47</t>
  </si>
  <si>
    <t>4200002781202508092603257231</t>
  </si>
  <si>
    <t>73619729604971</t>
  </si>
  <si>
    <t>3729692228116165888</t>
  </si>
  <si>
    <t>2025-07-23 15:48:59</t>
  </si>
  <si>
    <t>2025-07-30 22:01:52</t>
  </si>
  <si>
    <t>2025-08-18 16:09:59</t>
  </si>
  <si>
    <t>139****4982</t>
  </si>
  <si>
    <t>;JDX042003103840(收） Z2183-黑色-XL*1#</t>
  </si>
  <si>
    <t>2025-07-23 15:49:09</t>
  </si>
  <si>
    <t>4200002760202508116638705841</t>
  </si>
  <si>
    <t>73619684279257</t>
  </si>
  <si>
    <t>3729692189174674176</t>
  </si>
  <si>
    <t>2025-07-23 15:46:31</t>
  </si>
  <si>
    <t>2025-07-30 23:27:02</t>
  </si>
  <si>
    <t>2025-08-04 15:37:04</t>
  </si>
  <si>
    <t>2025-08-11 15:37:39</t>
  </si>
  <si>
    <t>上海市上海市徐汇区****</t>
  </si>
  <si>
    <t>徐汇区</t>
  </si>
  <si>
    <t>139****1799</t>
  </si>
  <si>
    <t>2025-07-23 15:46:40</t>
  </si>
  <si>
    <t>4200002779202508043353958155</t>
  </si>
  <si>
    <t>73619684567426</t>
  </si>
  <si>
    <t>3729692101540460032</t>
  </si>
  <si>
    <t>2025-07-23 15:40:58</t>
  </si>
  <si>
    <t>2025-07-26 23:48:41</t>
  </si>
  <si>
    <t>2025-07-28 19:09:25</t>
  </si>
  <si>
    <t>2025-08-04 19:10:00</t>
  </si>
  <si>
    <t>186****2252</t>
  </si>
  <si>
    <t>2025-07-23 15:41:06</t>
  </si>
  <si>
    <t>4200002721202507289869502238</t>
  </si>
  <si>
    <t>73619596031696</t>
  </si>
  <si>
    <t>3729692056802964993</t>
  </si>
  <si>
    <t>2025-07-23 15:38:07</t>
  </si>
  <si>
    <t>2025-07-23 22:25:17</t>
  </si>
  <si>
    <t>2025-07-28 00:26:28</t>
  </si>
  <si>
    <t>2025-08-04 00:28:02</t>
  </si>
  <si>
    <t>广东省阳江市江城区****</t>
  </si>
  <si>
    <t>阳江市</t>
  </si>
  <si>
    <t>江城区</t>
  </si>
  <si>
    <t>134****4355</t>
  </si>
  <si>
    <t>2025-07-23 15:38:14</t>
  </si>
  <si>
    <t>4307802461202507230445624394</t>
  </si>
  <si>
    <t>73619529636324</t>
  </si>
  <si>
    <t>3729692049973590016</t>
  </si>
  <si>
    <t>2025-07-23 15:37:43</t>
  </si>
  <si>
    <t>2025-07-31 17:52:21</t>
  </si>
  <si>
    <t>2025-08-07 17:52:56</t>
  </si>
  <si>
    <t>135****1133</t>
  </si>
  <si>
    <t>2025-07-23 15:37:52</t>
  </si>
  <si>
    <t>4348302255202507231599401524</t>
  </si>
  <si>
    <t>73619529635688</t>
  </si>
  <si>
    <t>3729692014807758080</t>
  </si>
  <si>
    <t>2025-07-23 15:35:26</t>
  </si>
  <si>
    <t>2025-07-30 00:27:14</t>
  </si>
  <si>
    <t>2025-08-02 17:01:49</t>
  </si>
  <si>
    <t>2025-08-09 17:03:23</t>
  </si>
  <si>
    <t>2025-07-23 15:35:32</t>
  </si>
  <si>
    <t>4200002717202508027587177322</t>
  </si>
  <si>
    <t>73619662279396</t>
  </si>
  <si>
    <t>3729691913532879105</t>
  </si>
  <si>
    <t>2025-07-23 15:29:00</t>
  </si>
  <si>
    <t>2025-07-26 17:08:36</t>
  </si>
  <si>
    <t>2025-08-02 17:09:10</t>
  </si>
  <si>
    <t>邹**</t>
  </si>
  <si>
    <t>重庆市重庆市渝北区****</t>
  </si>
  <si>
    <t>渝北区</t>
  </si>
  <si>
    <t>138****7866</t>
  </si>
  <si>
    <t>2025-07-23 15:29:06</t>
  </si>
  <si>
    <t>4348502254202507237365402980</t>
  </si>
  <si>
    <t>73619529637716</t>
  </si>
  <si>
    <t>3729691887002072064</t>
  </si>
  <si>
    <t>2025-07-23 15:27:18</t>
  </si>
  <si>
    <t>2025-08-02 17:13:31</t>
  </si>
  <si>
    <t>2025-08-19 13:06:24</t>
  </si>
  <si>
    <t>新疆维吾尔自治区博尔塔拉蒙古自治州博乐市****</t>
  </si>
  <si>
    <t>博尔塔拉蒙古自治州</t>
  </si>
  <si>
    <t>博乐市</t>
  </si>
  <si>
    <t>158****7800</t>
  </si>
  <si>
    <t>;JDX041997818325(收） Z2183-黑色-M*1#</t>
  </si>
  <si>
    <t>2025-07-23 15:27:27</t>
  </si>
  <si>
    <t>4302002575202507232422560954</t>
  </si>
  <si>
    <t>73619746680684</t>
  </si>
  <si>
    <t>3729691861707796736</t>
  </si>
  <si>
    <t>2025-07-23 15:25:42</t>
  </si>
  <si>
    <t>2025-08-14 21:41:58</t>
  </si>
  <si>
    <t>2025-08-21 21:42:32</t>
  </si>
  <si>
    <t>毛*</t>
  </si>
  <si>
    <t>湖南省长沙市芙蓉区****</t>
  </si>
  <si>
    <t>芙蓉区</t>
  </si>
  <si>
    <t>182****3355</t>
  </si>
  <si>
    <t>2025-07-23 15:25:49</t>
  </si>
  <si>
    <t>4305102273202507233169177295</t>
  </si>
  <si>
    <t>73619847672088</t>
  </si>
  <si>
    <t>3729691855052481024</t>
  </si>
  <si>
    <t>2025-07-23 15:25:22</t>
  </si>
  <si>
    <t>2025-08-06 21:32:06</t>
  </si>
  <si>
    <t>2025-08-13 18:58:28</t>
  </si>
  <si>
    <t>2025-08-20 18:59:03</t>
  </si>
  <si>
    <t>格*</t>
  </si>
  <si>
    <t>186****9158</t>
  </si>
  <si>
    <t>2025-07-23 15:25:29</t>
  </si>
  <si>
    <t>4200002791202508138042370159</t>
  </si>
  <si>
    <t>73619838186080</t>
  </si>
  <si>
    <t>3729691852541929472</t>
  </si>
  <si>
    <t>2025-07-23 15:25:07</t>
  </si>
  <si>
    <t>2025-08-03 23:19:20</t>
  </si>
  <si>
    <t>2025-08-09 18:31:55</t>
  </si>
  <si>
    <t>2025-08-16 18:32:28</t>
  </si>
  <si>
    <t>辽宁省丹东市元宝区****</t>
  </si>
  <si>
    <t>丹东市</t>
  </si>
  <si>
    <t>元宝区</t>
  </si>
  <si>
    <t>139****9033</t>
  </si>
  <si>
    <t>2025-07-23 15:25:12</t>
  </si>
  <si>
    <t>4304102575202507238449167894</t>
  </si>
  <si>
    <t>73619773610569</t>
  </si>
  <si>
    <t>3729691852203498752</t>
  </si>
  <si>
    <t>2025-07-23 15:25:05</t>
  </si>
  <si>
    <t>2025-08-24 19:09:38</t>
  </si>
  <si>
    <t>山西省忻州市岢岚县****</t>
  </si>
  <si>
    <t>忻州市</t>
  </si>
  <si>
    <t>岢岚县</t>
  </si>
  <si>
    <t>;JDX042169322121(收） Z2215-蓝色-L*1#</t>
  </si>
  <si>
    <t>2025-07-23 15:25:13</t>
  </si>
  <si>
    <t>4341002574202507236607210594</t>
  </si>
  <si>
    <t>73619847672218</t>
  </si>
  <si>
    <t>Z2215-蓝色-L</t>
  </si>
  <si>
    <t>3729691732001037824</t>
  </si>
  <si>
    <t>2025-07-23 15:17:28</t>
  </si>
  <si>
    <t>2025-08-04 22:12:12</t>
  </si>
  <si>
    <t>2025-08-11 22:12:44</t>
  </si>
  <si>
    <t>内蒙古自治区呼和浩特市新城区****</t>
  </si>
  <si>
    <t>新城区</t>
  </si>
  <si>
    <t>180****8777</t>
  </si>
  <si>
    <t>2025-07-23 15:17:39</t>
  </si>
  <si>
    <t>4346802289202507238539741803</t>
  </si>
  <si>
    <t>73619662279561</t>
  </si>
  <si>
    <t>Z858-黑色-L</t>
  </si>
  <si>
    <t>3729691714018223360</t>
  </si>
  <si>
    <t>2025-07-23 15:16:19</t>
  </si>
  <si>
    <t>2025-08-03 22:26:18</t>
  </si>
  <si>
    <t>2025-08-19 20:28:07</t>
  </si>
  <si>
    <t>山东省滨州市滨城区****</t>
  </si>
  <si>
    <t>滨城区</t>
  </si>
  <si>
    <t>158****1657</t>
  </si>
  <si>
    <t>2025-07-23 15:16:26</t>
  </si>
  <si>
    <t>4200002731202508036870561944</t>
  </si>
  <si>
    <t>73619662279406</t>
  </si>
  <si>
    <t>3729691709498597632</t>
  </si>
  <si>
    <t>2025-07-23 15:16:01</t>
  </si>
  <si>
    <t>2025-07-31 01:09:11</t>
  </si>
  <si>
    <t>2025-08-07 18:59:05</t>
  </si>
  <si>
    <t>2025-08-14 18:59:39</t>
  </si>
  <si>
    <t>斯*</t>
  </si>
  <si>
    <t>新疆维吾尔自治区塔城地区乌苏市****</t>
  </si>
  <si>
    <t>塔城地区</t>
  </si>
  <si>
    <t>乌苏市</t>
  </si>
  <si>
    <t>153****7171</t>
  </si>
  <si>
    <t>2025-07-23 15:16:11</t>
  </si>
  <si>
    <t>4200002720202508078394902821</t>
  </si>
  <si>
    <t>73619685126198</t>
  </si>
  <si>
    <t>Z858-黑色-M</t>
  </si>
  <si>
    <t>3729691708976403456</t>
  </si>
  <si>
    <t>2025-07-23 15:15:59</t>
  </si>
  <si>
    <t>2025-08-04 15:15:19</t>
  </si>
  <si>
    <t>2025-08-11 15:15:53</t>
  </si>
  <si>
    <t>陕西省榆林市横山区****</t>
  </si>
  <si>
    <t>榆林市</t>
  </si>
  <si>
    <t>横山区</t>
  </si>
  <si>
    <t>180****1515</t>
  </si>
  <si>
    <t>2025-07-23 15:16:09</t>
  </si>
  <si>
    <t>4200002766202508044364771064</t>
  </si>
  <si>
    <t>73619662279559</t>
  </si>
  <si>
    <t>3729691709137893376</t>
  </si>
  <si>
    <t>2025-07-31 17:59:32</t>
  </si>
  <si>
    <t>2025-08-07 18:00:07</t>
  </si>
  <si>
    <t>2025-07-23 15:16:06</t>
  </si>
  <si>
    <t>4200002723202507313651685914</t>
  </si>
  <si>
    <t>73619662279495</t>
  </si>
  <si>
    <t>3729691707352686336</t>
  </si>
  <si>
    <t>2025-07-23 15:15:52</t>
  </si>
  <si>
    <t>2025-07-26 23:45:05</t>
  </si>
  <si>
    <t>2025-07-28 15:34:10</t>
  </si>
  <si>
    <t>2025-08-04 15:34:43</t>
  </si>
  <si>
    <t>黎*</t>
  </si>
  <si>
    <t>137****8733</t>
  </si>
  <si>
    <t>4200002786202507285699919943</t>
  </si>
  <si>
    <t>73619596309028</t>
  </si>
  <si>
    <t>3729691645016155648</t>
  </si>
  <si>
    <t>2025-07-23 15:11:56</t>
  </si>
  <si>
    <t>2025-07-30 22:01:16</t>
  </si>
  <si>
    <t>2025-08-04 11:09:26</t>
  </si>
  <si>
    <t>2025-08-11 11:10:00</t>
  </si>
  <si>
    <t>浙江省金华市义乌市****</t>
  </si>
  <si>
    <t>义乌市</t>
  </si>
  <si>
    <t>130****8033</t>
  </si>
  <si>
    <t>2025-07-23 15:12:04</t>
  </si>
  <si>
    <t>4330202459202507231982062057</t>
  </si>
  <si>
    <t>73619684278475</t>
  </si>
  <si>
    <t>3729672710346651136</t>
  </si>
  <si>
    <t>2025-07-22 19:08:11</t>
  </si>
  <si>
    <t>2025-08-01 20:35:41</t>
  </si>
  <si>
    <t>2025-08-06 14:41:26</t>
  </si>
  <si>
    <t>2025-08-13 14:41:59</t>
  </si>
  <si>
    <t>詹**</t>
  </si>
  <si>
    <t>浙江省台州市路桥区****</t>
  </si>
  <si>
    <t>路桥区</t>
  </si>
  <si>
    <t>136****2426</t>
  </si>
  <si>
    <t>2025-07-22 19:08:20</t>
  </si>
  <si>
    <t>4306202266202507224357452934</t>
  </si>
  <si>
    <t>73619727920139</t>
  </si>
  <si>
    <t>Z2291-紫色-M</t>
  </si>
  <si>
    <t>颜色: 紫色;尺码: M（100-120斤）</t>
  </si>
  <si>
    <t>3729664490453218560</t>
  </si>
  <si>
    <t>2025-07-22 10:25:30</t>
  </si>
  <si>
    <t>2025-07-28 22:11:09</t>
  </si>
  <si>
    <t>2025-08-02 17:59:22</t>
  </si>
  <si>
    <t>2025-08-09 17:59:56</t>
  </si>
  <si>
    <t>2025-07-22 10:25:38</t>
  </si>
  <si>
    <t>4324102483202507222533501142</t>
  </si>
  <si>
    <t>73619638765553</t>
  </si>
  <si>
    <t>3729653286825244416</t>
  </si>
  <si>
    <t>2025-07-21 22:33:10</t>
  </si>
  <si>
    <t>2025-07-30 22:01:17</t>
  </si>
  <si>
    <t>2025-08-09 18:10:54</t>
  </si>
  <si>
    <t>2025-08-16 18:11:29</t>
  </si>
  <si>
    <t>何*</t>
  </si>
  <si>
    <t>137****7118</t>
  </si>
  <si>
    <t>2025-07-21 22:33:23</t>
  </si>
  <si>
    <t>4336002277202507216520745936</t>
  </si>
  <si>
    <t>73619684279987</t>
  </si>
  <si>
    <t>3729652941304246528</t>
  </si>
  <si>
    <t>2025-07-21 22:11:11</t>
  </si>
  <si>
    <t>2025-07-31 17:21:18</t>
  </si>
  <si>
    <t>2025-08-05 16:01:40</t>
  </si>
  <si>
    <t>2025-08-12 16:02:14</t>
  </si>
  <si>
    <t>136****5111</t>
  </si>
  <si>
    <t>2025-07-21 22:11:19</t>
  </si>
  <si>
    <t>4200002787202508059904204564</t>
  </si>
  <si>
    <t>73619703578388</t>
  </si>
  <si>
    <t>3729652916360197888</t>
  </si>
  <si>
    <t>2025-07-21 22:09:42</t>
  </si>
  <si>
    <t>2025-07-24 21:02:48</t>
  </si>
  <si>
    <t>2025-07-30 13:16:53</t>
  </si>
  <si>
    <t>2025-08-06 13:17:27</t>
  </si>
  <si>
    <t>方**</t>
  </si>
  <si>
    <t>139****2280</t>
  </si>
  <si>
    <t>2025-07-21 22:09:51</t>
  </si>
  <si>
    <t>4200002788202507307123362973</t>
  </si>
  <si>
    <t>73619550721781</t>
  </si>
  <si>
    <t>3729652185272296960</t>
  </si>
  <si>
    <t>2025-07-21 21:23:07</t>
  </si>
  <si>
    <t>2025-07-31 17:45:42</t>
  </si>
  <si>
    <t>2025-08-05 11:28:24</t>
  </si>
  <si>
    <t>2025-08-12 11:28:58</t>
  </si>
  <si>
    <t>2025-07-21 21:23:15</t>
  </si>
  <si>
    <t>4312302261202507215513778606</t>
  </si>
  <si>
    <t>73619703578189</t>
  </si>
  <si>
    <t>3729652177334836224</t>
  </si>
  <si>
    <t>2025-07-21 21:22:39</t>
  </si>
  <si>
    <t>2025-07-31 17:45:02</t>
  </si>
  <si>
    <t>2025-08-05 10:36:52</t>
  </si>
  <si>
    <t>2025-08-12 10:37:26</t>
  </si>
  <si>
    <t>浙江省宁波市海曙区****</t>
  </si>
  <si>
    <t>海曙区</t>
  </si>
  <si>
    <t>134****2524</t>
  </si>
  <si>
    <t>2025-07-21 21:22:47</t>
  </si>
  <si>
    <t>4200002732202508056260308521</t>
  </si>
  <si>
    <t>73619703577910</t>
  </si>
  <si>
    <t>3729651751414275840</t>
  </si>
  <si>
    <t>2025-07-21 20:55:36</t>
  </si>
  <si>
    <t>2025-07-30 23:37:42</t>
  </si>
  <si>
    <t>2025-08-09 23:37:42</t>
  </si>
  <si>
    <t>2025-08-16 23:38:17</t>
  </si>
  <si>
    <t>安徽省宣城市绩溪县****</t>
  </si>
  <si>
    <t>宣城市</t>
  </si>
  <si>
    <t>绩溪县</t>
  </si>
  <si>
    <t>153****8018</t>
  </si>
  <si>
    <t>2025-07-21 20:55:44</t>
  </si>
  <si>
    <t>4200002743202508090791094432</t>
  </si>
  <si>
    <t>73619684566586</t>
  </si>
  <si>
    <t>3729650748287760128</t>
  </si>
  <si>
    <t>2025-07-21 19:51:47</t>
  </si>
  <si>
    <t>2025-07-24 21:25:47</t>
  </si>
  <si>
    <t>2025-07-29 19:13:36</t>
  </si>
  <si>
    <t>2025-08-05 19:14:10</t>
  </si>
  <si>
    <t>2025-07-21 19:51:54</t>
  </si>
  <si>
    <t>4200002729202507293239354409</t>
  </si>
  <si>
    <t>73619550721626</t>
  </si>
  <si>
    <t>3729649988081685504</t>
  </si>
  <si>
    <t>2025-07-21 19:03:31</t>
  </si>
  <si>
    <t>2025-07-25 23:10:22</t>
  </si>
  <si>
    <t>2025-07-30 10:18:55</t>
  </si>
  <si>
    <t>2025-08-06 10:19:29</t>
  </si>
  <si>
    <t>B**</t>
  </si>
  <si>
    <t>136****4361</t>
  </si>
  <si>
    <t>2025-07-21 19:03:38</t>
  </si>
  <si>
    <t>4200002717202507300612389389</t>
  </si>
  <si>
    <t>73619573514093</t>
  </si>
  <si>
    <t>3729648941385784832</t>
  </si>
  <si>
    <t>2025-07-21 17:56:54</t>
  </si>
  <si>
    <t>2025-07-30 22:10:50</t>
  </si>
  <si>
    <t>2025-08-05 13:18:52</t>
  </si>
  <si>
    <t>2025-08-12 13:19:26</t>
  </si>
  <si>
    <t>177****0250</t>
  </si>
  <si>
    <t>2025-07-21 17:57:00</t>
  </si>
  <si>
    <t>4200002771202508054032678561</t>
  </si>
  <si>
    <t>73619684279216</t>
  </si>
  <si>
    <t>3729648631274681856</t>
  </si>
  <si>
    <t>2025-07-21 17:37:11</t>
  </si>
  <si>
    <t>2025-07-25 15:33:58</t>
  </si>
  <si>
    <t>2025-07-28 13:26:43</t>
  </si>
  <si>
    <t>2025-08-04 13:27:18</t>
  </si>
  <si>
    <t>山东省临沂市费县****</t>
  </si>
  <si>
    <t>临沂市</t>
  </si>
  <si>
    <t>费县</t>
  </si>
  <si>
    <t>186****1313</t>
  </si>
  <si>
    <t>2025-07-21 17:37:21</t>
  </si>
  <si>
    <t>4340002474202507212152534394</t>
  </si>
  <si>
    <t>73619566440195</t>
  </si>
  <si>
    <t>3729648547897419264</t>
  </si>
  <si>
    <t>2025-07-21 17:31:54</t>
  </si>
  <si>
    <t>2025-07-30 15:25:27</t>
  </si>
  <si>
    <t>2025-08-04 11:18:51</t>
  </si>
  <si>
    <t>2025-08-11 11:19:26</t>
  </si>
  <si>
    <t>蓝*</t>
  </si>
  <si>
    <t>广东省东莞市东城街道****</t>
  </si>
  <si>
    <t>东城街道</t>
  </si>
  <si>
    <t>135****3082</t>
  </si>
  <si>
    <t>2025-07-21 17:32:01</t>
  </si>
  <si>
    <t>4200002779202508048318257086</t>
  </si>
  <si>
    <t>73619676447190</t>
  </si>
  <si>
    <t>3729648489842488064</t>
  </si>
  <si>
    <t>2025-07-21 17:28:10</t>
  </si>
  <si>
    <t>2025-07-30 20:10:43</t>
  </si>
  <si>
    <t>2025-08-05 10:15:10</t>
  </si>
  <si>
    <t>2025-08-12 10:15:43</t>
  </si>
  <si>
    <t>湖北省武汉市汉阳区****</t>
  </si>
  <si>
    <t>汉阳区</t>
  </si>
  <si>
    <t>159****2269</t>
  </si>
  <si>
    <t>2025-07-21 17:28:17</t>
  </si>
  <si>
    <t>4300302484202507212877099439</t>
  </si>
  <si>
    <t>73619683471706</t>
  </si>
  <si>
    <t>3729648485923169792</t>
  </si>
  <si>
    <t>2025-07-21 17:27:57</t>
  </si>
  <si>
    <t>2025-07-25 19:18:04</t>
  </si>
  <si>
    <t>2025-07-30 13:39:15</t>
  </si>
  <si>
    <t>2025-08-06 13:39:49</t>
  </si>
  <si>
    <t>138****6691</t>
  </si>
  <si>
    <t>2025-07-21 17:28:04</t>
  </si>
  <si>
    <t>4310102582202507218523002418</t>
  </si>
  <si>
    <t>73619571275466</t>
  </si>
  <si>
    <t>3729648475627199488</t>
  </si>
  <si>
    <t>2025-07-21 17:27:24</t>
  </si>
  <si>
    <t>2025-08-04 08:58:38</t>
  </si>
  <si>
    <t>2025-08-11 08:59:12</t>
  </si>
  <si>
    <t>晏**</t>
  </si>
  <si>
    <t>湖北省孝感市汉川市****</t>
  </si>
  <si>
    <t>孝感市</t>
  </si>
  <si>
    <t>汉川市</t>
  </si>
  <si>
    <t>137****2518</t>
  </si>
  <si>
    <t>2025-07-21 17:27:31</t>
  </si>
  <si>
    <t>4200002725202508049105528659</t>
  </si>
  <si>
    <t>73619684278978</t>
  </si>
  <si>
    <t>3729648467964475136</t>
  </si>
  <si>
    <t>2025-07-21 17:26:47</t>
  </si>
  <si>
    <t>2025-07-24 00:01:50</t>
  </si>
  <si>
    <t>2025-07-28 16:29:38</t>
  </si>
  <si>
    <t>2025-08-04 16:30:14</t>
  </si>
  <si>
    <t>2025-07-21 17:26:55</t>
  </si>
  <si>
    <t>4200002718202507280670574790</t>
  </si>
  <si>
    <t>73619530075710</t>
  </si>
  <si>
    <t>3729648372632139776</t>
  </si>
  <si>
    <t>2025-07-21 17:20:44</t>
  </si>
  <si>
    <t>2025-07-29 22:59:51</t>
  </si>
  <si>
    <t>2025-08-03 20:09:18</t>
  </si>
  <si>
    <t>2025-08-10 20:09:53</t>
  </si>
  <si>
    <t>山西省太原市万柏林区****</t>
  </si>
  <si>
    <t>万柏林区</t>
  </si>
  <si>
    <t>159****0301</t>
  </si>
  <si>
    <t>2025-07-21 17:20:50</t>
  </si>
  <si>
    <t>4200002735202508031568378742</t>
  </si>
  <si>
    <t>73619661817366</t>
  </si>
  <si>
    <t>3729648148605973504</t>
  </si>
  <si>
    <t>2025-07-21 17:06:32</t>
  </si>
  <si>
    <t>2025-08-03 14:08:43</t>
  </si>
  <si>
    <t>2025-08-10 14:09:17</t>
  </si>
  <si>
    <t>湖北省襄阳市襄城区****</t>
  </si>
  <si>
    <t>襄阳市</t>
  </si>
  <si>
    <t>襄城区</t>
  </si>
  <si>
    <t>139****8333</t>
  </si>
  <si>
    <t>2025-07-21 17:06:42</t>
  </si>
  <si>
    <t>4200002777202508039054421628</t>
  </si>
  <si>
    <t>73619661817325</t>
  </si>
  <si>
    <t>3729648124879844352</t>
  </si>
  <si>
    <t>2025-07-21 17:05:24</t>
  </si>
  <si>
    <t>2025-07-24 20:52:02</t>
  </si>
  <si>
    <t>2025-08-03 08:36:31</t>
  </si>
  <si>
    <t>2025-08-10 08:37:05</t>
  </si>
  <si>
    <t>189****1698</t>
  </si>
  <si>
    <t>2025-07-21 17:05:33</t>
  </si>
  <si>
    <t>4200002770202508037407898752</t>
  </si>
  <si>
    <t>73619550721582</t>
  </si>
  <si>
    <t>3729648086901993728</t>
  </si>
  <si>
    <t>2025-07-21 17:02:33</t>
  </si>
  <si>
    <t>2025-08-04 18:52:21</t>
  </si>
  <si>
    <t>2025-08-11 18:52:55</t>
  </si>
  <si>
    <t>2025-07-21 17:02:40</t>
  </si>
  <si>
    <t>4200002762202508048976921965</t>
  </si>
  <si>
    <t>73619684278396</t>
  </si>
  <si>
    <t>3729648050896516608</t>
  </si>
  <si>
    <t>2025-07-21 17:00:16</t>
  </si>
  <si>
    <t>2025-07-24 21:06:39</t>
  </si>
  <si>
    <t>2025-07-30 22:07:26</t>
  </si>
  <si>
    <t>2025-08-06 22:08:01</t>
  </si>
  <si>
    <t>189****9565</t>
  </si>
  <si>
    <t>2025-07-21 17:00:23</t>
  </si>
  <si>
    <t>4200002778202507302848104075</t>
  </si>
  <si>
    <t>73619550721570</t>
  </si>
  <si>
    <t>3729648042884866560</t>
  </si>
  <si>
    <t>2025-07-21 16:59:45</t>
  </si>
  <si>
    <t>2025-08-06 11:40:58</t>
  </si>
  <si>
    <t>2025-08-13 11:41:32</t>
  </si>
  <si>
    <t>2025-07-21 16:59:53</t>
  </si>
  <si>
    <t>4200002764202508060793111801</t>
  </si>
  <si>
    <t>73619661817290</t>
  </si>
  <si>
    <t>3729648020890726400</t>
  </si>
  <si>
    <t>2025-07-21 16:58:29</t>
  </si>
  <si>
    <t>2025-08-04 15:39:23</t>
  </si>
  <si>
    <t>2025-08-11 15:39:57</t>
  </si>
  <si>
    <t>137****0028</t>
  </si>
  <si>
    <t>2025-07-21 16:58:37</t>
  </si>
  <si>
    <t>4317802245202507214291071808</t>
  </si>
  <si>
    <t>73619684279926</t>
  </si>
  <si>
    <t>3729648013355654656</t>
  </si>
  <si>
    <t>2025-07-21 16:57:55</t>
  </si>
  <si>
    <t>2025-08-08 11:41:29</t>
  </si>
  <si>
    <t>2025-08-15 11:42:04</t>
  </si>
  <si>
    <t>浙江省湖州市长兴县****</t>
  </si>
  <si>
    <t>湖州市</t>
  </si>
  <si>
    <t>长兴县</t>
  </si>
  <si>
    <t>135****8266</t>
  </si>
  <si>
    <t>2025-07-21 16:58:03</t>
  </si>
  <si>
    <t>4200002762202508086193518797</t>
  </si>
  <si>
    <t>73619661817379</t>
  </si>
  <si>
    <t>3729648007877106944</t>
  </si>
  <si>
    <t>2025-07-21 16:57:33</t>
  </si>
  <si>
    <t>2025-08-01 07:05:02</t>
  </si>
  <si>
    <t>2025-08-08 07:05:35</t>
  </si>
  <si>
    <t>134****3451</t>
  </si>
  <si>
    <t>2025-07-21 16:59:07</t>
  </si>
  <si>
    <t>4307802473202507217781037724</t>
  </si>
  <si>
    <t>73619661817524</t>
  </si>
  <si>
    <t>3729647936437630464</t>
  </si>
  <si>
    <t>2025-07-21 16:53:04</t>
  </si>
  <si>
    <t>2025-08-02 22:17:11</t>
  </si>
  <si>
    <t>2025-08-09 22:17:46</t>
  </si>
  <si>
    <t>满**</t>
  </si>
  <si>
    <t>137****2206</t>
  </si>
  <si>
    <t>2025-07-21 16:53:09</t>
  </si>
  <si>
    <t>4200002731202508021759814938</t>
  </si>
  <si>
    <t>73619683470794</t>
  </si>
  <si>
    <t>3729647882995381504</t>
  </si>
  <si>
    <t>2025-07-21 16:49:37</t>
  </si>
  <si>
    <t>2025-08-04 15:19:47</t>
  </si>
  <si>
    <t>2025-08-11 15:20:22</t>
  </si>
  <si>
    <t>辽宁省沈阳市大东区****</t>
  </si>
  <si>
    <t>大东区</t>
  </si>
  <si>
    <t>131****8410</t>
  </si>
  <si>
    <t>2025-07-21 16:49:52</t>
  </si>
  <si>
    <t>4200002766202508049225912216</t>
  </si>
  <si>
    <t>73619661817300</t>
  </si>
  <si>
    <t>3729647843413729536</t>
  </si>
  <si>
    <t>2025-07-21 16:47:05</t>
  </si>
  <si>
    <t>2025-08-07 00:57:51</t>
  </si>
  <si>
    <t>2025-08-14 00:58:25</t>
  </si>
  <si>
    <t>山东省烟台市芝罘区****</t>
  </si>
  <si>
    <t>烟台市</t>
  </si>
  <si>
    <t>芝罘区</t>
  </si>
  <si>
    <t>171****0888</t>
  </si>
  <si>
    <t>2025-07-21 16:47:12</t>
  </si>
  <si>
    <t>4200002721202508077433925864</t>
  </si>
  <si>
    <t>73619683470396</t>
  </si>
  <si>
    <t>3729608136654988032</t>
  </si>
  <si>
    <t>2025-07-19 22:42:35</t>
  </si>
  <si>
    <t>2025-07-26 00:08:42</t>
  </si>
  <si>
    <t>2025-07-28 09:09:10</t>
  </si>
  <si>
    <t>2025-08-04 09:09:44</t>
  </si>
  <si>
    <t>潘</t>
  </si>
  <si>
    <t>贵州省安顺市西秀区****</t>
  </si>
  <si>
    <t>安顺市</t>
  </si>
  <si>
    <t>西秀区</t>
  </si>
  <si>
    <t>189****3661</t>
  </si>
  <si>
    <t>2025-07-19 22:42:44</t>
  </si>
  <si>
    <t>4200002728202507282206537095</t>
  </si>
  <si>
    <t>73619573893756</t>
  </si>
  <si>
    <t>Z2265-紫色-L</t>
  </si>
  <si>
    <t>颜色: 紫色;尺码: L（100-120斤）</t>
  </si>
  <si>
    <t>3729607083605768192</t>
  </si>
  <si>
    <t>2025-07-19 21:35:38</t>
  </si>
  <si>
    <t>2025-08-02 17:35:14</t>
  </si>
  <si>
    <t>2025-08-09 17:35:47</t>
  </si>
  <si>
    <t>贺*</t>
  </si>
  <si>
    <t>山东省济南市天桥区****</t>
  </si>
  <si>
    <t>天桥区</t>
  </si>
  <si>
    <t>186****3322</t>
  </si>
  <si>
    <t>2025-07-19 21:35:45</t>
  </si>
  <si>
    <t>4200002731202508022070508255</t>
  </si>
  <si>
    <t>73619573893707</t>
  </si>
  <si>
    <t>Z2265-紫色-M</t>
  </si>
  <si>
    <t>颜色: 紫色;尺码: M（80-100斤）</t>
  </si>
  <si>
    <t>3729606756991900672</t>
  </si>
  <si>
    <t>2025-07-19 21:14:57</t>
  </si>
  <si>
    <t>2025-08-01 09:43:40</t>
  </si>
  <si>
    <t>2025-08-08 09:44:14</t>
  </si>
  <si>
    <t>白</t>
  </si>
  <si>
    <t>山西省大同市平城区****</t>
  </si>
  <si>
    <t>大同市</t>
  </si>
  <si>
    <t>平城区</t>
  </si>
  <si>
    <t>139****1314</t>
  </si>
  <si>
    <t>2025-07-19 21:15:14</t>
  </si>
  <si>
    <t>4306602480202507194433627267</t>
  </si>
  <si>
    <t>73619573893671</t>
  </si>
  <si>
    <t>3729604074592410880</t>
  </si>
  <si>
    <t>2025-07-19 18:24:21</t>
  </si>
  <si>
    <t>2025-07-30 13:36:15</t>
  </si>
  <si>
    <t>2025-08-06 13:36:50</t>
  </si>
  <si>
    <t>江苏省无锡市江阴市****</t>
  </si>
  <si>
    <t>江阴市</t>
  </si>
  <si>
    <t>132****6999</t>
  </si>
  <si>
    <t>2025-07-19 18:24:27</t>
  </si>
  <si>
    <t>4330302274202507193552930806</t>
  </si>
  <si>
    <t>73619573893429</t>
  </si>
  <si>
    <t>3729604045462445568</t>
  </si>
  <si>
    <t>2025-07-19 18:22:30</t>
  </si>
  <si>
    <t>2025-07-27 17:06:26</t>
  </si>
  <si>
    <t>2025-08-03 17:07:00</t>
  </si>
  <si>
    <t>2025-07-19 18:22:38</t>
  </si>
  <si>
    <t>4335502469202507197424252776</t>
  </si>
  <si>
    <t>73619573893416</t>
  </si>
  <si>
    <t>3729604045741892096</t>
  </si>
  <si>
    <t>2025-07-29 18:36:11</t>
  </si>
  <si>
    <t>2025-08-05 18:36:45</t>
  </si>
  <si>
    <t>138****6231</t>
  </si>
  <si>
    <t>2025-07-19 18:22:37</t>
  </si>
  <si>
    <t>4317502472202507199011956271</t>
  </si>
  <si>
    <t>73619573893592</t>
  </si>
  <si>
    <t>3729604044008338432</t>
  </si>
  <si>
    <t>2025-07-19 18:22:29</t>
  </si>
  <si>
    <t>2025-07-28 23:07:10</t>
  </si>
  <si>
    <t>2025-08-04 23:07:44</t>
  </si>
  <si>
    <t>龙**</t>
  </si>
  <si>
    <t>136****5803</t>
  </si>
  <si>
    <t>4306802457202507193235610029</t>
  </si>
  <si>
    <t>73619573893337</t>
  </si>
  <si>
    <t>3729602905717744384</t>
  </si>
  <si>
    <t>2025-07-19 17:10:02</t>
  </si>
  <si>
    <t>2025-07-24 22:39:23</t>
  </si>
  <si>
    <t>2025-07-28 20:06:15</t>
  </si>
  <si>
    <t>2025-08-04 20:06:49</t>
  </si>
  <si>
    <t>谭**</t>
  </si>
  <si>
    <t>广东省汕尾市陆丰市****</t>
  </si>
  <si>
    <t>汕尾市</t>
  </si>
  <si>
    <t>陆丰市</t>
  </si>
  <si>
    <t>136****7871</t>
  </si>
  <si>
    <t>2025-07-19 17:10:10</t>
  </si>
  <si>
    <t>4200002744202507287773179210</t>
  </si>
  <si>
    <t>73619551274665</t>
  </si>
  <si>
    <t>绳艺【老板周】随性复古 极简小众设计圆环配件挂绳毛衣链</t>
  </si>
  <si>
    <t>10000268764310</t>
  </si>
  <si>
    <t>P121</t>
  </si>
  <si>
    <t>P121-黑色-AC001</t>
  </si>
  <si>
    <t>3729601867248972544</t>
  </si>
  <si>
    <t>2025-07-19 16:04:01</t>
  </si>
  <si>
    <t>2025-07-23 23:05:53</t>
  </si>
  <si>
    <t>2025-07-28 17:05:09</t>
  </si>
  <si>
    <t>2025-08-04 17:05:44</t>
  </si>
  <si>
    <t>159****8765</t>
  </si>
  <si>
    <t>2025-07-19 16:04:07</t>
  </si>
  <si>
    <t>4333702252202507190995766885</t>
  </si>
  <si>
    <t>73619529636906</t>
  </si>
  <si>
    <t>3729601854727136000</t>
  </si>
  <si>
    <t>2025-07-19 16:03:17</t>
  </si>
  <si>
    <t>2025-07-20 22:57:48</t>
  </si>
  <si>
    <t>2025-07-25 21:10:25</t>
  </si>
  <si>
    <t>2025-08-01 21:11:59</t>
  </si>
  <si>
    <t>西**</t>
  </si>
  <si>
    <t>江苏省徐州市鼓楼区****</t>
  </si>
  <si>
    <t>徐州市</t>
  </si>
  <si>
    <t>鼓楼区</t>
  </si>
  <si>
    <t>189****3375</t>
  </si>
  <si>
    <t>2025-07-19 16:03:27</t>
  </si>
  <si>
    <t>4200002792202507258006717654</t>
  </si>
  <si>
    <t>73619462846648</t>
  </si>
  <si>
    <t>3729601850834031616</t>
  </si>
  <si>
    <t>2025-07-19 16:03:00</t>
  </si>
  <si>
    <t>2025-07-20 22:59:29</t>
  </si>
  <si>
    <t>2025-07-27 18:37:39</t>
  </si>
  <si>
    <t>2025-08-03 18:38:14</t>
  </si>
  <si>
    <t>四川省德阳市旌阳区****</t>
  </si>
  <si>
    <t>德阳市</t>
  </si>
  <si>
    <t>旌阳区</t>
  </si>
  <si>
    <t>139****3526</t>
  </si>
  <si>
    <t>2025-07-19 16:03:09</t>
  </si>
  <si>
    <t>4200002728202507273302468868</t>
  </si>
  <si>
    <t>73619462846663</t>
  </si>
  <si>
    <t>3729601851007316224</t>
  </si>
  <si>
    <t>2025-07-19 16:02:59</t>
  </si>
  <si>
    <t>2025-07-20 22:59:05</t>
  </si>
  <si>
    <t>2025-07-25 20:26:29</t>
  </si>
  <si>
    <t>2025-08-01 20:28:04</t>
  </si>
  <si>
    <t>福建省漳州市龙文区****</t>
  </si>
  <si>
    <t>漳州市</t>
  </si>
  <si>
    <t>龙文区</t>
  </si>
  <si>
    <t>136****2136</t>
  </si>
  <si>
    <t>2025-07-19 16:03:06</t>
  </si>
  <si>
    <t>4200002772202507259840839226</t>
  </si>
  <si>
    <t>73619462846742</t>
  </si>
  <si>
    <t>3729601837708226816</t>
  </si>
  <si>
    <t>2025-07-19 16:02:17</t>
  </si>
  <si>
    <t>2025-07-20 23:00:15</t>
  </si>
  <si>
    <t>2025-07-26 19:57:45</t>
  </si>
  <si>
    <t>2025-08-02 19:58:18</t>
  </si>
  <si>
    <t>红*</t>
  </si>
  <si>
    <t>139****0657</t>
  </si>
  <si>
    <t>2025-07-19 16:02:32</t>
  </si>
  <si>
    <t>4302602263202507193767257959</t>
  </si>
  <si>
    <t>73619462846676</t>
  </si>
  <si>
    <t>3729601833074571264</t>
  </si>
  <si>
    <t>2025-07-19 16:01:49</t>
  </si>
  <si>
    <t>2025-07-19 16:23:52</t>
  </si>
  <si>
    <t>2025-07-27 09:57:21</t>
  </si>
  <si>
    <t>2025-08-03 09:57:55</t>
  </si>
  <si>
    <t>四川省成都市武侯区****</t>
  </si>
  <si>
    <t>武侯区</t>
  </si>
  <si>
    <t>138****9762</t>
  </si>
  <si>
    <t>2025-07-19 16:02:01</t>
  </si>
  <si>
    <t>4321502475202507198266754836</t>
  </si>
  <si>
    <t>73619435307504</t>
  </si>
  <si>
    <t>3729601831613373952</t>
  </si>
  <si>
    <t>2025-07-19 16:01:46</t>
  </si>
  <si>
    <t>2025-07-29 16:23:53</t>
  </si>
  <si>
    <t>2025-08-05 16:24:27</t>
  </si>
  <si>
    <t>广西壮族自治区柳州市城中区****</t>
  </si>
  <si>
    <t>城中区</t>
  </si>
  <si>
    <t>139****8252</t>
  </si>
  <si>
    <t>2025-07-19 16:01:54</t>
  </si>
  <si>
    <t>4200002744202507295589761905</t>
  </si>
  <si>
    <t>73619435307226</t>
  </si>
  <si>
    <t>3729601831048978689</t>
  </si>
  <si>
    <t>2025-07-19 16:01:42</t>
  </si>
  <si>
    <t>2025-07-25 08:35:18</t>
  </si>
  <si>
    <t>2025-08-01 08:35:53</t>
  </si>
  <si>
    <t>江苏省镇江市润州区****</t>
  </si>
  <si>
    <t>润州区</t>
  </si>
  <si>
    <t>186****5353</t>
  </si>
  <si>
    <t>4331302243202507197526902773</t>
  </si>
  <si>
    <t>73619435306921</t>
  </si>
  <si>
    <t>3729601535239661056</t>
  </si>
  <si>
    <t>2025-07-19 15:42:53</t>
  </si>
  <si>
    <t>2025-07-27 20:05:22</t>
  </si>
  <si>
    <t>2025-08-02 18:50:10</t>
  </si>
  <si>
    <t>2025-08-09 18:50:44</t>
  </si>
  <si>
    <t>李</t>
  </si>
  <si>
    <t>134****2889</t>
  </si>
  <si>
    <t>2025-07-19 15:43:00</t>
  </si>
  <si>
    <t>4313402277202507190534834389</t>
  </si>
  <si>
    <t>73619616594050</t>
  </si>
  <si>
    <t>3729601413498681344</t>
  </si>
  <si>
    <t>2025-07-19 15:35:14</t>
  </si>
  <si>
    <t>2025-07-28 00:50:32</t>
  </si>
  <si>
    <t>2025-08-01 10:50:06</t>
  </si>
  <si>
    <t>2025-08-08 10:50:41</t>
  </si>
  <si>
    <t>j**</t>
  </si>
  <si>
    <t>137****4182</t>
  </si>
  <si>
    <t>2025-07-19 15:35:21</t>
  </si>
  <si>
    <t>4200002743202508014570624720</t>
  </si>
  <si>
    <t>73619618608738</t>
  </si>
  <si>
    <t>3729601410545627136</t>
  </si>
  <si>
    <t>2025-07-19 15:34:58</t>
  </si>
  <si>
    <t>2025-07-28 00:52:30</t>
  </si>
  <si>
    <t>2025-07-29 20:35:12</t>
  </si>
  <si>
    <t>2025-08-05 20:35:46</t>
  </si>
  <si>
    <t>奥*</t>
  </si>
  <si>
    <t>安徽省六安市裕安区****</t>
  </si>
  <si>
    <t>六安市</t>
  </si>
  <si>
    <t>裕安区</t>
  </si>
  <si>
    <t>180****8778</t>
  </si>
  <si>
    <t>2025-07-19 15:35:04</t>
  </si>
  <si>
    <t>4328202459202507193285487931</t>
  </si>
  <si>
    <t>73619618608687</t>
  </si>
  <si>
    <t>Z2291-紫色-S</t>
  </si>
  <si>
    <t>颜色: 紫色;尺码: S（80-100斤）</t>
  </si>
  <si>
    <t>3729601405762549760</t>
  </si>
  <si>
    <t>2025-07-19 15:34:43</t>
  </si>
  <si>
    <t>2025-08-03 19:57:31</t>
  </si>
  <si>
    <t>2025-08-10 19:58:06</t>
  </si>
  <si>
    <t>云南省西双版纳傣族自治州景洪市****</t>
  </si>
  <si>
    <t>西双版纳傣族自治州</t>
  </si>
  <si>
    <t>景洪市</t>
  </si>
  <si>
    <t>180****8900</t>
  </si>
  <si>
    <t>2025-07-19 15:34:52</t>
  </si>
  <si>
    <t>4200002721202508038504642810</t>
  </si>
  <si>
    <t>73619618608804</t>
  </si>
  <si>
    <t>3729601400074017792</t>
  </si>
  <si>
    <t>2025-07-19 15:34:18</t>
  </si>
  <si>
    <t>2025-07-26 20:04:39</t>
  </si>
  <si>
    <t>2025-07-28 23:00:34</t>
  </si>
  <si>
    <t>2025-08-04 23:01:08</t>
  </si>
  <si>
    <t>广东省广州市天河区****</t>
  </si>
  <si>
    <t>天河区</t>
  </si>
  <si>
    <t>136****8032</t>
  </si>
  <si>
    <t>2025-07-19 15:34:26</t>
  </si>
  <si>
    <t>4200002723202507281554580508</t>
  </si>
  <si>
    <t>73619594572483</t>
  </si>
  <si>
    <t>3729601399657740032</t>
  </si>
  <si>
    <t>2025-07-19 15:34:17</t>
  </si>
  <si>
    <t>2025-07-25 00:12:20</t>
  </si>
  <si>
    <t>2025-07-29 16:24:37</t>
  </si>
  <si>
    <t>2025-08-05 16:25:11</t>
  </si>
  <si>
    <t>力*</t>
  </si>
  <si>
    <t>山东省济南市历城区****</t>
  </si>
  <si>
    <t>历城区</t>
  </si>
  <si>
    <t>183****0928</t>
  </si>
  <si>
    <t>2025-07-19 15:34:30</t>
  </si>
  <si>
    <t>4350002252202507192187671930</t>
  </si>
  <si>
    <t>73619552033753</t>
  </si>
  <si>
    <t>3729601399191384832</t>
  </si>
  <si>
    <t>2025-07-19 15:34:14</t>
  </si>
  <si>
    <t>2025-08-01 11:40:27</t>
  </si>
  <si>
    <t>2025-08-08 11:41:02</t>
  </si>
  <si>
    <t>138****5217</t>
  </si>
  <si>
    <t>2025-07-19 15:34:28</t>
  </si>
  <si>
    <t>4314702279202507199269875252</t>
  </si>
  <si>
    <t>73619618608674</t>
  </si>
  <si>
    <t>3729601397301583616</t>
  </si>
  <si>
    <t>2025-07-19 15:34:08</t>
  </si>
  <si>
    <t>2025-07-26 18:25:08</t>
  </si>
  <si>
    <t>2025-07-31 19:09:54</t>
  </si>
  <si>
    <t>2025-08-07 19:10:28</t>
  </si>
  <si>
    <t>苏*</t>
  </si>
  <si>
    <t>河北省石家庄市桥西区****</t>
  </si>
  <si>
    <t>桥西区</t>
  </si>
  <si>
    <t>138****6680</t>
  </si>
  <si>
    <t>4316502272202507196923354760</t>
  </si>
  <si>
    <t>73619593449479</t>
  </si>
  <si>
    <t>3729601396270046720</t>
  </si>
  <si>
    <t>2025-07-19 15:34:03</t>
  </si>
  <si>
    <t>2025-07-29 13:14:01</t>
  </si>
  <si>
    <t>2025-08-05 13:14:35</t>
  </si>
  <si>
    <t>唐*</t>
  </si>
  <si>
    <t>上海市上海市普陀区****</t>
  </si>
  <si>
    <t>普陀区</t>
  </si>
  <si>
    <t>136****2750</t>
  </si>
  <si>
    <t>2025-07-19 15:34:11</t>
  </si>
  <si>
    <t>4200002744202507292641134763</t>
  </si>
  <si>
    <t>73619593449267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</si>
</sst>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9"/>
      <color rgb="FFFF0000"/>
      <name val="Microsoft YaHei"/>
      <charset val="134"/>
    </font>
    <font>
      <b/>
      <sz val="12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43" fontId="5" fillId="0" borderId="0" xfId="0" applyNumberFormat="1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5" borderId="2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Fill="1" applyAlignment="1"/>
    <xf numFmtId="0" fontId="0" fillId="6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快手账单_5" displayName="快手账单_5" ref="A1:P374" totalsRowShown="0">
  <autoFilter xmlns:etc="http://www.wps.cn/officeDocument/2017/etCustomData" ref="A1:P374" etc:filterBottomFollowUsedRange="0"/>
  <tableColumns count="16">
    <tableColumn id="1" name="年" dataDxfId="0">
      <calculatedColumnFormula>IFERROR(YEAR(#REF!),"")</calculatedColumnFormula>
    </tableColumn>
    <tableColumn id="2" name="月" dataDxfId="1">
      <calculatedColumnFormula>IFERROR(MONTH(#REF!),"")</calculatedColumnFormula>
    </tableColumn>
    <tableColumn id="3" name="订单号">
      <calculatedColumnFormula>#REF!</calculatedColumnFormula>
    </tableColumn>
    <tableColumn id="4" name="订单行数">
      <calculatedColumnFormula array="1">SUMPRODUCT(($R$2:$R$374=#REF!)*1)</calculatedColumnFormula>
    </tableColumn>
    <tableColumn id="5" name="订单序位">
      <calculatedColumnFormula array="1">SUMPRODUCT((#REF!=#REF!)*1)</calculatedColumnFormula>
    </tableColumn>
    <tableColumn id="6" name="平台商品编码" dataDxfId="2">
      <calculatedColumnFormula>#REF!</calculatedColumnFormula>
    </tableColumn>
    <tableColumn id="15" name="财务核算编码" dataDxfId="3">
      <calculatedColumnFormula>LEFT(#REF!,FIND("-",#REF!)-1)</calculatedColumnFormula>
    </tableColumn>
    <tableColumn id="7" name="销售数量">
      <calculatedColumnFormula>IF(AND(#REF!="已发货",#REF!&lt;#REF!,#REF!="已完成"),#REF!,0)</calculatedColumnFormula>
    </tableColumn>
    <tableColumn id="8" name="应收客户">
      <calculatedColumnFormula>IF(#REF!=0,#REF!-#REF!,#REF!*#REF!-#REF!)</calculatedColumnFormula>
    </tableColumn>
    <tableColumn id="9" name="应收平台">
      <calculatedColumnFormula>IF(AND(#REF!&gt;0,#REF!=1),SUM(#REF!),-SUM(#REF!))</calculatedColumnFormula>
    </tableColumn>
    <tableColumn id="10" name="收：价外收费">
      <calculatedColumnFormula>#REF!</calculatedColumnFormula>
    </tableColumn>
    <tableColumn id="11" name="扣：平台佣金用">
      <calculatedColumnFormula>IF(#REF!=1,-SUM(#REF!),0)</calculatedColumnFormula>
    </tableColumn>
    <tableColumn id="12" name="扣：分销佣金">
      <calculatedColumnFormula>IF(AND(#REF!=1,#REF!&gt;0),-SUM(#REF!),0)</calculatedColumnFormula>
    </tableColumn>
    <tableColumn id="13" name="扣其它费用">
      <calculatedColumnFormula>IF(AND(#REF!=1,#REF!&gt;0),-SUM(#REF!),0)</calculatedColumnFormula>
    </tableColumn>
    <tableColumn id="14" name="应到账金额">
      <calculatedColumnFormula>SUM(#REF!)</calculatedColumnFormula>
    </tableColumn>
    <tableColumn id="16" name="备注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374"/>
  <sheetViews>
    <sheetView tabSelected="1" zoomScale="70" zoomScaleNormal="70" workbookViewId="0">
      <selection activeCell="F45" sqref="F45"/>
    </sheetView>
  </sheetViews>
  <sheetFormatPr defaultColWidth="9" defaultRowHeight="16.8"/>
  <cols>
    <col min="1" max="1" width="10.2596153846154" style="2" customWidth="1"/>
    <col min="2" max="2" width="11.1442307692308" style="2" customWidth="1"/>
    <col min="3" max="3" width="22" style="2" customWidth="1"/>
    <col min="4" max="5" width="10.9807692307692" style="2" customWidth="1"/>
    <col min="6" max="6" width="16.75" style="3" customWidth="1"/>
    <col min="7" max="7" width="13.3365384615385" style="2" customWidth="1"/>
    <col min="8" max="8" width="21.5" style="3" customWidth="1"/>
    <col min="9" max="9" width="25.4134615384615" style="2" customWidth="1"/>
    <col min="10" max="15" width="25.4134615384615" style="3" customWidth="1"/>
    <col min="18" max="18" width="20" style="3" customWidth="1"/>
    <col min="19" max="19" width="19.3461538461538" style="3" customWidth="1"/>
    <col min="20" max="20" width="22" style="3" customWidth="1"/>
    <col min="21" max="21" width="22.2788461538462" style="3" customWidth="1"/>
    <col min="22" max="22" width="23.0673076923077" style="4" customWidth="1"/>
    <col min="23" max="29" width="9" style="3"/>
    <col min="30" max="30" width="12.8846153846154" style="3"/>
    <col min="31" max="32" width="9" style="3"/>
    <col min="33" max="33" width="12.4230769230769" style="3" customWidth="1"/>
    <col min="34" max="34" width="16.9326923076923" style="3" customWidth="1"/>
    <col min="35" max="35" width="14.0576923076923" style="3" customWidth="1"/>
    <col min="36" max="40" width="9" style="3"/>
    <col min="41" max="41" width="9" style="3" customWidth="1"/>
    <col min="42" max="42" width="15.9903846153846" style="3" customWidth="1"/>
    <col min="43" max="43" width="9.26923076923077" style="3" customWidth="1"/>
    <col min="44" max="44" width="9" style="3" customWidth="1"/>
    <col min="45" max="45" width="12.8846153846154" style="3" customWidth="1"/>
    <col min="46" max="47" width="9" style="3" customWidth="1"/>
    <col min="48" max="48" width="11.2307692307692" style="3" customWidth="1"/>
    <col min="49" max="50" width="9" style="3" customWidth="1"/>
    <col min="51" max="51" width="20.5288461538462" style="3" customWidth="1"/>
    <col min="52" max="56" width="9" style="3" customWidth="1"/>
    <col min="57" max="57" width="51.6634615384615" style="5" customWidth="1"/>
    <col min="58" max="58" width="8.92307692307692" style="3" customWidth="1"/>
    <col min="59" max="59" width="16.7884615384615" style="3" customWidth="1"/>
    <col min="60" max="60" width="24.6826923076923" style="4" customWidth="1"/>
    <col min="61" max="61" width="59.7884615384615" style="3" customWidth="1"/>
    <col min="62" max="62" width="9.52884615384615" style="3"/>
    <col min="63" max="64" width="11.6634615384615" style="3" customWidth="1"/>
    <col min="65" max="65" width="9" style="3"/>
    <col min="66" max="67" width="9" style="2"/>
    <col min="68" max="68" width="9" style="3"/>
    <col min="69" max="69" width="11.375" style="3" customWidth="1"/>
    <col min="70" max="70" width="9" style="3"/>
    <col min="71" max="71" width="10.6538461538462" style="3" customWidth="1"/>
    <col min="72" max="72" width="18.0576923076923" style="2" customWidth="1"/>
    <col min="73" max="16382" width="9" style="1"/>
  </cols>
  <sheetData>
    <row r="1" s="1" customFormat="1" ht="21" customHeight="1" spans="1:7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9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0" t="s">
        <v>15</v>
      </c>
      <c r="Q1" s="10" t="s">
        <v>16</v>
      </c>
      <c r="R1" s="11" t="s">
        <v>2</v>
      </c>
      <c r="S1" s="11" t="s">
        <v>17</v>
      </c>
      <c r="T1" s="11" t="s">
        <v>18</v>
      </c>
      <c r="U1" s="11" t="s">
        <v>19</v>
      </c>
      <c r="V1" s="12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2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3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</row>
    <row r="2" s="1" customFormat="1" ht="16" customHeight="1" spans="1:72">
      <c r="A2" s="14">
        <f t="shared" ref="A2:A37" si="0">IFERROR(YEAR(V2),"")</f>
        <v>2025</v>
      </c>
      <c r="B2" s="14">
        <f t="shared" ref="B2:B37" si="1">IFERROR(MONTH(V2),"")</f>
        <v>8</v>
      </c>
      <c r="C2" s="14" t="str">
        <f t="shared" ref="C2:C37" si="2">R2</f>
        <v>3730307475717108736</v>
      </c>
      <c r="D2" s="14" cm="1">
        <f t="array" ref="D2">SUMPRODUCT(($R$2:$R$374=C2)*1)</f>
        <v>1</v>
      </c>
      <c r="E2" s="14" cm="1">
        <f t="array" ref="E2">SUMPRODUCT(($R$2:R2=C2)*1)</f>
        <v>1</v>
      </c>
      <c r="F2" s="15" t="str">
        <f t="shared" ref="F2:F37" si="3">BH2</f>
        <v>Z1999-灰色-S</v>
      </c>
      <c r="G2" s="14" t="str">
        <f t="shared" ref="G2:G37" si="4">LEFT(F2,FIND("-",F2)-1)</f>
        <v>Z1999</v>
      </c>
      <c r="H2" s="15">
        <f t="shared" ref="H2:H37" si="5">IF(AND(BR2="已发货",BT2&lt;BL2,W2="已完成"),BN2,0)</f>
        <v>1</v>
      </c>
      <c r="I2" s="14">
        <f t="shared" ref="I2:I37" si="6">IF(H2=0,BJ2-BT2,H2*BJ2-BT2)</f>
        <v>189</v>
      </c>
      <c r="J2" s="15">
        <f t="shared" ref="J2:J37" si="7">IF(AND(H2&gt;0,E2=1),SUM(AK2:AN2),-SUM(AK2:AN2))</f>
        <v>0</v>
      </c>
      <c r="K2" s="15">
        <f t="shared" ref="K2:K37" si="8">AJ2</f>
        <v>0</v>
      </c>
      <c r="L2" s="15">
        <f t="shared" ref="L2:L37" si="9">IF(E2=1,-SUM(AT2:AU2),0)</f>
        <v>-1.89</v>
      </c>
      <c r="M2" s="15">
        <f t="shared" ref="M2:M37" si="10">IF(AND(E2=1,H2&gt;0),-SUM(BB2),0)</f>
        <v>0</v>
      </c>
      <c r="N2" s="15">
        <f t="shared" ref="N2:N37" si="11">IF(AND(E2=1,H2&gt;0),-SUM(AV2),0)</f>
        <v>-2.75</v>
      </c>
      <c r="O2" s="15">
        <f t="shared" ref="O2:O37" si="12">SUM(I2:N2)</f>
        <v>184.36</v>
      </c>
      <c r="R2" s="16" t="s">
        <v>71</v>
      </c>
      <c r="S2" s="16" t="s">
        <v>72</v>
      </c>
      <c r="T2" s="16" t="s">
        <v>73</v>
      </c>
      <c r="U2" s="16" t="s">
        <v>74</v>
      </c>
      <c r="V2" s="16" t="s">
        <v>75</v>
      </c>
      <c r="W2" s="16" t="s">
        <v>76</v>
      </c>
      <c r="X2" s="16" t="s">
        <v>77</v>
      </c>
      <c r="Y2" s="16" t="s">
        <v>78</v>
      </c>
      <c r="Z2" s="16" t="s">
        <v>79</v>
      </c>
      <c r="AA2" s="16" t="s">
        <v>80</v>
      </c>
      <c r="AB2" s="16" t="s">
        <v>81</v>
      </c>
      <c r="AC2" s="16" t="s">
        <v>82</v>
      </c>
      <c r="AD2" s="16" t="s">
        <v>83</v>
      </c>
      <c r="AE2" s="16" t="s">
        <v>84</v>
      </c>
      <c r="AF2" s="16" t="s">
        <v>84</v>
      </c>
      <c r="AG2" s="16">
        <v>189</v>
      </c>
      <c r="AH2" s="16">
        <v>189</v>
      </c>
      <c r="AI2" s="17">
        <v>189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 t="s">
        <v>85</v>
      </c>
      <c r="AP2" s="16" t="s">
        <v>86</v>
      </c>
      <c r="AQ2" s="16" t="s">
        <v>87</v>
      </c>
      <c r="AR2" s="16" t="s">
        <v>88</v>
      </c>
      <c r="AS2" s="16" t="s">
        <v>89</v>
      </c>
      <c r="AT2" s="16">
        <v>1.89</v>
      </c>
      <c r="AU2" s="16" t="s">
        <v>90</v>
      </c>
      <c r="AV2" s="16">
        <v>2.75</v>
      </c>
      <c r="AW2" s="16" t="s">
        <v>90</v>
      </c>
      <c r="AX2" s="16" t="s">
        <v>90</v>
      </c>
      <c r="AY2" s="16" t="s">
        <v>90</v>
      </c>
      <c r="AZ2" s="16" t="s">
        <v>90</v>
      </c>
      <c r="BA2" s="16" t="s">
        <v>90</v>
      </c>
      <c r="BB2" s="16">
        <v>0</v>
      </c>
      <c r="BC2" s="16"/>
      <c r="BD2" s="16" t="s">
        <v>90</v>
      </c>
      <c r="BE2" s="16" t="s">
        <v>91</v>
      </c>
      <c r="BF2" s="16" t="s">
        <v>92</v>
      </c>
      <c r="BG2" s="16" t="s">
        <v>93</v>
      </c>
      <c r="BH2" s="16" t="s">
        <v>94</v>
      </c>
      <c r="BI2" s="16" t="s">
        <v>95</v>
      </c>
      <c r="BJ2" s="16">
        <v>189</v>
      </c>
      <c r="BK2" s="16">
        <v>189</v>
      </c>
      <c r="BL2" s="16">
        <v>189</v>
      </c>
      <c r="BM2" s="16" t="s">
        <v>96</v>
      </c>
      <c r="BN2" s="16">
        <v>1</v>
      </c>
      <c r="BO2" s="16" t="s">
        <v>84</v>
      </c>
      <c r="BP2" s="16" t="s">
        <v>84</v>
      </c>
      <c r="BQ2" s="16" t="s">
        <v>84</v>
      </c>
      <c r="BR2" s="16" t="s">
        <v>97</v>
      </c>
      <c r="BS2" s="16" t="s">
        <v>98</v>
      </c>
      <c r="BT2" s="16">
        <v>0</v>
      </c>
    </row>
    <row r="3" s="1" customFormat="1" ht="16" customHeight="1" spans="1:72">
      <c r="A3" s="14">
        <f t="shared" si="0"/>
        <v>2025</v>
      </c>
      <c r="B3" s="14">
        <f t="shared" si="1"/>
        <v>8</v>
      </c>
      <c r="C3" s="14" t="str">
        <f t="shared" si="2"/>
        <v>3730288769804150016</v>
      </c>
      <c r="D3" s="14" cm="1">
        <f t="array" ref="D3">SUMPRODUCT(($R$2:$R$374=C3)*1)</f>
        <v>1</v>
      </c>
      <c r="E3" s="14" cm="1">
        <f t="array" ref="E3">SUMPRODUCT(($R$2:R3=C3)*1)</f>
        <v>1</v>
      </c>
      <c r="F3" s="15" t="str">
        <f t="shared" si="3"/>
        <v>P136-黑色</v>
      </c>
      <c r="G3" s="14" t="str">
        <f t="shared" si="4"/>
        <v>P136</v>
      </c>
      <c r="H3" s="15">
        <f t="shared" si="5"/>
        <v>0</v>
      </c>
      <c r="I3" s="14">
        <f t="shared" si="6"/>
        <v>0</v>
      </c>
      <c r="J3" s="15">
        <f t="shared" si="7"/>
        <v>0</v>
      </c>
      <c r="K3" s="15">
        <f t="shared" si="8"/>
        <v>0</v>
      </c>
      <c r="L3" s="15">
        <f t="shared" si="9"/>
        <v>0</v>
      </c>
      <c r="M3" s="15">
        <f t="shared" si="10"/>
        <v>0</v>
      </c>
      <c r="N3" s="15">
        <f t="shared" si="11"/>
        <v>0</v>
      </c>
      <c r="O3" s="15">
        <f t="shared" si="12"/>
        <v>0</v>
      </c>
      <c r="R3" s="16" t="s">
        <v>99</v>
      </c>
      <c r="S3" s="16" t="s">
        <v>100</v>
      </c>
      <c r="T3" s="16" t="s">
        <v>101</v>
      </c>
      <c r="U3" s="16" t="s">
        <v>102</v>
      </c>
      <c r="V3" s="16" t="s">
        <v>103</v>
      </c>
      <c r="W3" s="16" t="s">
        <v>104</v>
      </c>
      <c r="X3" s="16" t="s">
        <v>77</v>
      </c>
      <c r="Y3" s="16" t="s">
        <v>105</v>
      </c>
      <c r="Z3" s="16" t="s">
        <v>106</v>
      </c>
      <c r="AA3" s="16" t="s">
        <v>107</v>
      </c>
      <c r="AB3" s="16" t="s">
        <v>108</v>
      </c>
      <c r="AC3" s="16" t="s">
        <v>109</v>
      </c>
      <c r="AD3" s="16" t="s">
        <v>110</v>
      </c>
      <c r="AE3" s="16" t="s">
        <v>84</v>
      </c>
      <c r="AF3" s="16" t="s">
        <v>111</v>
      </c>
      <c r="AG3" s="16">
        <v>439</v>
      </c>
      <c r="AH3" s="16">
        <v>439</v>
      </c>
      <c r="AI3" s="17">
        <v>439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 t="s">
        <v>85</v>
      </c>
      <c r="AP3" s="16" t="s">
        <v>112</v>
      </c>
      <c r="AQ3" s="16" t="s">
        <v>113</v>
      </c>
      <c r="AR3" s="16" t="s">
        <v>88</v>
      </c>
      <c r="AS3" s="16" t="s">
        <v>114</v>
      </c>
      <c r="AT3" s="16">
        <v>0</v>
      </c>
      <c r="AU3" s="16" t="s">
        <v>90</v>
      </c>
      <c r="AV3" s="16">
        <v>2.8</v>
      </c>
      <c r="AW3" s="16" t="s">
        <v>115</v>
      </c>
      <c r="AX3" s="16" t="s">
        <v>116</v>
      </c>
      <c r="AY3" s="16" t="s">
        <v>117</v>
      </c>
      <c r="AZ3" s="16" t="s">
        <v>118</v>
      </c>
      <c r="BA3" s="16" t="s">
        <v>119</v>
      </c>
      <c r="BB3" s="16">
        <v>0</v>
      </c>
      <c r="BC3" s="16" t="s">
        <v>84</v>
      </c>
      <c r="BD3" s="16" t="s">
        <v>90</v>
      </c>
      <c r="BE3" s="16" t="s">
        <v>120</v>
      </c>
      <c r="BF3" s="16" t="s">
        <v>121</v>
      </c>
      <c r="BG3" s="16" t="s">
        <v>122</v>
      </c>
      <c r="BH3" s="16" t="s">
        <v>123</v>
      </c>
      <c r="BI3" s="16" t="s">
        <v>124</v>
      </c>
      <c r="BJ3" s="16">
        <v>439</v>
      </c>
      <c r="BK3" s="16">
        <v>439</v>
      </c>
      <c r="BL3" s="16">
        <v>439</v>
      </c>
      <c r="BM3" s="16" t="s">
        <v>96</v>
      </c>
      <c r="BN3" s="16">
        <v>1</v>
      </c>
      <c r="BO3" s="16" t="s">
        <v>84</v>
      </c>
      <c r="BP3" s="16" t="s">
        <v>84</v>
      </c>
      <c r="BQ3" s="16" t="s">
        <v>84</v>
      </c>
      <c r="BR3" s="16" t="s">
        <v>97</v>
      </c>
      <c r="BS3" s="16" t="s">
        <v>125</v>
      </c>
      <c r="BT3" s="16">
        <v>439</v>
      </c>
    </row>
    <row r="4" s="1" customFormat="1" ht="16" customHeight="1" spans="1:72">
      <c r="A4" s="14">
        <f t="shared" si="0"/>
        <v>2025</v>
      </c>
      <c r="B4" s="14">
        <f t="shared" si="1"/>
        <v>8</v>
      </c>
      <c r="C4" s="14" t="str">
        <f t="shared" si="2"/>
        <v>3730281331099316480</v>
      </c>
      <c r="D4" s="14" cm="1">
        <f t="array" ref="D4">SUMPRODUCT(($R$2:$R$374=C4)*1)</f>
        <v>1</v>
      </c>
      <c r="E4" s="14" cm="1">
        <f t="array" ref="E4">SUMPRODUCT(($R$2:R4=C4)*1)</f>
        <v>1</v>
      </c>
      <c r="F4" s="15" t="str">
        <f t="shared" si="3"/>
        <v>Z2278-黑色-S</v>
      </c>
      <c r="G4" s="14" t="str">
        <f t="shared" si="4"/>
        <v>Z2278</v>
      </c>
      <c r="H4" s="15">
        <f t="shared" si="5"/>
        <v>1</v>
      </c>
      <c r="I4" s="14">
        <f t="shared" si="6"/>
        <v>229</v>
      </c>
      <c r="J4" s="15">
        <f t="shared" si="7"/>
        <v>0</v>
      </c>
      <c r="K4" s="15">
        <f t="shared" si="8"/>
        <v>0</v>
      </c>
      <c r="L4" s="15">
        <f t="shared" si="9"/>
        <v>-11.45</v>
      </c>
      <c r="M4" s="15">
        <f t="shared" si="10"/>
        <v>0</v>
      </c>
      <c r="N4" s="15">
        <f t="shared" si="11"/>
        <v>-2.8</v>
      </c>
      <c r="O4" s="15">
        <f t="shared" si="12"/>
        <v>214.75</v>
      </c>
      <c r="R4" s="16" t="s">
        <v>126</v>
      </c>
      <c r="S4" s="16" t="s">
        <v>127</v>
      </c>
      <c r="T4" s="16" t="s">
        <v>128</v>
      </c>
      <c r="U4" s="16" t="s">
        <v>129</v>
      </c>
      <c r="V4" s="16" t="s">
        <v>130</v>
      </c>
      <c r="W4" s="16" t="s">
        <v>76</v>
      </c>
      <c r="X4" s="16" t="s">
        <v>77</v>
      </c>
      <c r="Y4" s="16" t="s">
        <v>131</v>
      </c>
      <c r="Z4" s="16" t="s">
        <v>132</v>
      </c>
      <c r="AA4" s="16" t="s">
        <v>133</v>
      </c>
      <c r="AB4" s="16" t="s">
        <v>134</v>
      </c>
      <c r="AC4" s="16" t="s">
        <v>135</v>
      </c>
      <c r="AD4" s="16" t="s">
        <v>136</v>
      </c>
      <c r="AE4" s="16" t="s">
        <v>84</v>
      </c>
      <c r="AF4" s="16" t="s">
        <v>84</v>
      </c>
      <c r="AG4" s="16">
        <v>229</v>
      </c>
      <c r="AH4" s="16">
        <v>229</v>
      </c>
      <c r="AI4" s="17">
        <v>229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 t="s">
        <v>137</v>
      </c>
      <c r="AP4" s="16" t="s">
        <v>138</v>
      </c>
      <c r="AQ4" s="16" t="s">
        <v>139</v>
      </c>
      <c r="AR4" s="16" t="s">
        <v>88</v>
      </c>
      <c r="AS4" s="16" t="s">
        <v>140</v>
      </c>
      <c r="AT4" s="16">
        <v>11.45</v>
      </c>
      <c r="AU4" s="16" t="s">
        <v>90</v>
      </c>
      <c r="AV4" s="16">
        <v>2.8</v>
      </c>
      <c r="AW4" s="16" t="s">
        <v>115</v>
      </c>
      <c r="AX4" s="16" t="s">
        <v>116</v>
      </c>
      <c r="AY4" s="16" t="s">
        <v>117</v>
      </c>
      <c r="AZ4" s="16" t="s">
        <v>118</v>
      </c>
      <c r="BA4" s="16" t="s">
        <v>119</v>
      </c>
      <c r="BB4" s="16">
        <v>0</v>
      </c>
      <c r="BC4" s="16" t="s">
        <v>84</v>
      </c>
      <c r="BD4" s="16" t="s">
        <v>90</v>
      </c>
      <c r="BE4" s="16" t="s">
        <v>141</v>
      </c>
      <c r="BF4" s="16" t="s">
        <v>142</v>
      </c>
      <c r="BG4" s="16" t="s">
        <v>143</v>
      </c>
      <c r="BH4" s="16" t="s">
        <v>144</v>
      </c>
      <c r="BI4" s="16" t="s">
        <v>145</v>
      </c>
      <c r="BJ4" s="16">
        <v>229</v>
      </c>
      <c r="BK4" s="16">
        <v>229</v>
      </c>
      <c r="BL4" s="16">
        <v>229</v>
      </c>
      <c r="BM4" s="16" t="s">
        <v>96</v>
      </c>
      <c r="BN4" s="16">
        <v>1</v>
      </c>
      <c r="BO4" s="16" t="s">
        <v>84</v>
      </c>
      <c r="BP4" s="16" t="s">
        <v>84</v>
      </c>
      <c r="BQ4" s="16" t="s">
        <v>84</v>
      </c>
      <c r="BR4" s="16" t="s">
        <v>97</v>
      </c>
      <c r="BS4" s="16" t="s">
        <v>98</v>
      </c>
      <c r="BT4" s="16">
        <v>0</v>
      </c>
    </row>
    <row r="5" s="1" customFormat="1" ht="16" customHeight="1" spans="1:72">
      <c r="A5" s="14">
        <f t="shared" si="0"/>
        <v>2025</v>
      </c>
      <c r="B5" s="14">
        <f t="shared" si="1"/>
        <v>8</v>
      </c>
      <c r="C5" s="14" t="str">
        <f t="shared" si="2"/>
        <v>3730273990505276928</v>
      </c>
      <c r="D5" s="14" cm="1">
        <f t="array" ref="D5">SUMPRODUCT(($R$2:$R$374=C5)*1)</f>
        <v>1</v>
      </c>
      <c r="E5" s="14" cm="1">
        <f t="array" ref="E5">SUMPRODUCT(($R$2:R5=C5)*1)</f>
        <v>1</v>
      </c>
      <c r="F5" s="15" t="str">
        <f t="shared" si="3"/>
        <v>Z1628-灰色-S</v>
      </c>
      <c r="G5" s="14" t="str">
        <f t="shared" si="4"/>
        <v>Z1628</v>
      </c>
      <c r="H5" s="15">
        <f t="shared" si="5"/>
        <v>1</v>
      </c>
      <c r="I5" s="14">
        <f t="shared" si="6"/>
        <v>199</v>
      </c>
      <c r="J5" s="15">
        <f t="shared" si="7"/>
        <v>0</v>
      </c>
      <c r="K5" s="15">
        <f t="shared" si="8"/>
        <v>0</v>
      </c>
      <c r="L5" s="15">
        <f t="shared" si="9"/>
        <v>-9.95</v>
      </c>
      <c r="M5" s="15">
        <f t="shared" si="10"/>
        <v>0</v>
      </c>
      <c r="N5" s="15">
        <f t="shared" si="11"/>
        <v>-2.8</v>
      </c>
      <c r="O5" s="15">
        <f t="shared" si="12"/>
        <v>186.25</v>
      </c>
      <c r="R5" s="16" t="s">
        <v>146</v>
      </c>
      <c r="S5" s="16" t="s">
        <v>147</v>
      </c>
      <c r="T5" s="16" t="s">
        <v>148</v>
      </c>
      <c r="U5" s="16" t="s">
        <v>149</v>
      </c>
      <c r="V5" s="16" t="s">
        <v>150</v>
      </c>
      <c r="W5" s="16" t="s">
        <v>76</v>
      </c>
      <c r="X5" s="16" t="s">
        <v>77</v>
      </c>
      <c r="Y5" s="16" t="s">
        <v>151</v>
      </c>
      <c r="Z5" s="16" t="s">
        <v>152</v>
      </c>
      <c r="AA5" s="16" t="s">
        <v>153</v>
      </c>
      <c r="AB5" s="16" t="s">
        <v>153</v>
      </c>
      <c r="AC5" s="16" t="s">
        <v>154</v>
      </c>
      <c r="AD5" s="16" t="s">
        <v>155</v>
      </c>
      <c r="AE5" s="16" t="s">
        <v>84</v>
      </c>
      <c r="AF5" s="16" t="s">
        <v>84</v>
      </c>
      <c r="AG5" s="16">
        <v>199</v>
      </c>
      <c r="AH5" s="16">
        <v>199</v>
      </c>
      <c r="AI5" s="17">
        <v>199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 t="s">
        <v>85</v>
      </c>
      <c r="AP5" s="16" t="s">
        <v>156</v>
      </c>
      <c r="AQ5" s="16" t="s">
        <v>157</v>
      </c>
      <c r="AR5" s="16" t="s">
        <v>88</v>
      </c>
      <c r="AS5" s="16" t="s">
        <v>158</v>
      </c>
      <c r="AT5" s="16">
        <v>9.95</v>
      </c>
      <c r="AU5" s="16" t="s">
        <v>90</v>
      </c>
      <c r="AV5" s="16">
        <v>2.8</v>
      </c>
      <c r="AW5" s="16" t="s">
        <v>115</v>
      </c>
      <c r="AX5" s="16" t="s">
        <v>116</v>
      </c>
      <c r="AY5" s="16" t="s">
        <v>117</v>
      </c>
      <c r="AZ5" s="16" t="s">
        <v>118</v>
      </c>
      <c r="BA5" s="16" t="s">
        <v>119</v>
      </c>
      <c r="BB5" s="16">
        <v>0</v>
      </c>
      <c r="BC5" s="16" t="s">
        <v>84</v>
      </c>
      <c r="BD5" s="16" t="s">
        <v>90</v>
      </c>
      <c r="BE5" s="16" t="s">
        <v>159</v>
      </c>
      <c r="BF5" s="16" t="s">
        <v>160</v>
      </c>
      <c r="BG5" s="16" t="s">
        <v>161</v>
      </c>
      <c r="BH5" s="16" t="s">
        <v>162</v>
      </c>
      <c r="BI5" s="16" t="s">
        <v>163</v>
      </c>
      <c r="BJ5" s="16">
        <v>199</v>
      </c>
      <c r="BK5" s="16">
        <v>199</v>
      </c>
      <c r="BL5" s="16">
        <v>199</v>
      </c>
      <c r="BM5" s="16" t="s">
        <v>96</v>
      </c>
      <c r="BN5" s="16">
        <v>1</v>
      </c>
      <c r="BO5" s="16" t="s">
        <v>84</v>
      </c>
      <c r="BP5" s="16" t="s">
        <v>84</v>
      </c>
      <c r="BQ5" s="16" t="s">
        <v>84</v>
      </c>
      <c r="BR5" s="16" t="s">
        <v>97</v>
      </c>
      <c r="BS5" s="16" t="s">
        <v>98</v>
      </c>
      <c r="BT5" s="16">
        <v>0</v>
      </c>
    </row>
    <row r="6" s="1" customFormat="1" ht="16" customHeight="1" spans="1:72">
      <c r="A6" s="14">
        <f t="shared" si="0"/>
        <v>2025</v>
      </c>
      <c r="B6" s="14">
        <f t="shared" si="1"/>
        <v>8</v>
      </c>
      <c r="C6" s="14" t="str">
        <f t="shared" si="2"/>
        <v>3730254008134022656</v>
      </c>
      <c r="D6" s="14" cm="1">
        <f t="array" ref="D6">SUMPRODUCT(($R$2:$R$374=C6)*1)</f>
        <v>1</v>
      </c>
      <c r="E6" s="14" cm="1">
        <f t="array" ref="E6">SUMPRODUCT(($R$2:R6=C6)*1)</f>
        <v>1</v>
      </c>
      <c r="F6" s="15" t="str">
        <f t="shared" si="3"/>
        <v>Z2233-黄绿色-M</v>
      </c>
      <c r="G6" s="14" t="str">
        <f t="shared" si="4"/>
        <v>Z2233</v>
      </c>
      <c r="H6" s="15">
        <f t="shared" si="5"/>
        <v>1</v>
      </c>
      <c r="I6" s="14">
        <f t="shared" si="6"/>
        <v>269</v>
      </c>
      <c r="J6" s="15">
        <f t="shared" si="7"/>
        <v>0</v>
      </c>
      <c r="K6" s="15">
        <f t="shared" si="8"/>
        <v>0</v>
      </c>
      <c r="L6" s="15">
        <f t="shared" si="9"/>
        <v>-13.45</v>
      </c>
      <c r="M6" s="15">
        <f t="shared" si="10"/>
        <v>0</v>
      </c>
      <c r="N6" s="15">
        <f t="shared" si="11"/>
        <v>-1.5</v>
      </c>
      <c r="O6" s="15">
        <f t="shared" si="12"/>
        <v>254.05</v>
      </c>
      <c r="R6" s="16" t="s">
        <v>164</v>
      </c>
      <c r="S6" s="16" t="s">
        <v>165</v>
      </c>
      <c r="T6" s="16" t="s">
        <v>166</v>
      </c>
      <c r="U6" s="16" t="s">
        <v>167</v>
      </c>
      <c r="V6" s="16" t="s">
        <v>168</v>
      </c>
      <c r="W6" s="16" t="s">
        <v>76</v>
      </c>
      <c r="X6" s="16" t="s">
        <v>77</v>
      </c>
      <c r="Y6" s="16" t="s">
        <v>169</v>
      </c>
      <c r="Z6" s="16" t="s">
        <v>170</v>
      </c>
      <c r="AA6" s="16" t="s">
        <v>171</v>
      </c>
      <c r="AB6" s="16" t="s">
        <v>172</v>
      </c>
      <c r="AC6" s="16" t="s">
        <v>173</v>
      </c>
      <c r="AD6" s="16" t="s">
        <v>174</v>
      </c>
      <c r="AE6" s="16" t="s">
        <v>84</v>
      </c>
      <c r="AF6" s="16" t="s">
        <v>84</v>
      </c>
      <c r="AG6" s="16">
        <v>269</v>
      </c>
      <c r="AH6" s="16">
        <v>269</v>
      </c>
      <c r="AI6" s="17">
        <v>269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 t="s">
        <v>137</v>
      </c>
      <c r="AP6" s="16" t="s">
        <v>175</v>
      </c>
      <c r="AQ6" s="16" t="s">
        <v>176</v>
      </c>
      <c r="AR6" s="16" t="s">
        <v>88</v>
      </c>
      <c r="AS6" s="16" t="s">
        <v>177</v>
      </c>
      <c r="AT6" s="16">
        <v>13.45</v>
      </c>
      <c r="AU6" s="16" t="s">
        <v>90</v>
      </c>
      <c r="AV6" s="16">
        <v>1.5</v>
      </c>
      <c r="AW6" s="16" t="s">
        <v>115</v>
      </c>
      <c r="AX6" s="16" t="s">
        <v>116</v>
      </c>
      <c r="AY6" s="16" t="s">
        <v>117</v>
      </c>
      <c r="AZ6" s="16" t="s">
        <v>118</v>
      </c>
      <c r="BA6" s="16" t="s">
        <v>119</v>
      </c>
      <c r="BB6" s="16">
        <v>0</v>
      </c>
      <c r="BC6" s="16" t="s">
        <v>84</v>
      </c>
      <c r="BD6" s="16" t="s">
        <v>90</v>
      </c>
      <c r="BE6" s="16" t="s">
        <v>178</v>
      </c>
      <c r="BF6" s="16" t="s">
        <v>179</v>
      </c>
      <c r="BG6" s="16" t="s">
        <v>180</v>
      </c>
      <c r="BH6" s="16" t="s">
        <v>181</v>
      </c>
      <c r="BI6" s="16" t="s">
        <v>182</v>
      </c>
      <c r="BJ6" s="16">
        <v>269</v>
      </c>
      <c r="BK6" s="16">
        <v>269</v>
      </c>
      <c r="BL6" s="16">
        <v>269</v>
      </c>
      <c r="BM6" s="16" t="s">
        <v>96</v>
      </c>
      <c r="BN6" s="16">
        <v>1</v>
      </c>
      <c r="BO6" s="16" t="s">
        <v>84</v>
      </c>
      <c r="BP6" s="16" t="s">
        <v>84</v>
      </c>
      <c r="BQ6" s="16" t="s">
        <v>84</v>
      </c>
      <c r="BR6" s="16" t="s">
        <v>97</v>
      </c>
      <c r="BS6" s="16" t="s">
        <v>98</v>
      </c>
      <c r="BT6" s="16">
        <v>0</v>
      </c>
    </row>
    <row r="7" s="1" customFormat="1" ht="16" customHeight="1" spans="1:72">
      <c r="A7" s="14">
        <f t="shared" si="0"/>
        <v>2025</v>
      </c>
      <c r="B7" s="14">
        <f t="shared" si="1"/>
        <v>8</v>
      </c>
      <c r="C7" s="14" t="str">
        <f t="shared" si="2"/>
        <v>3730235547935972864</v>
      </c>
      <c r="D7" s="14" cm="1">
        <f t="array" ref="D7">SUMPRODUCT(($R$2:$R$374=C7)*1)</f>
        <v>1</v>
      </c>
      <c r="E7" s="14" cm="1">
        <f t="array" ref="E7">SUMPRODUCT(($R$2:R7=C7)*1)</f>
        <v>1</v>
      </c>
      <c r="F7" s="15" t="str">
        <f t="shared" si="3"/>
        <v>P132-黑色</v>
      </c>
      <c r="G7" s="14" t="str">
        <f t="shared" si="4"/>
        <v>P132</v>
      </c>
      <c r="H7" s="15">
        <f t="shared" si="5"/>
        <v>1</v>
      </c>
      <c r="I7" s="14">
        <f t="shared" si="6"/>
        <v>399</v>
      </c>
      <c r="J7" s="15">
        <f t="shared" si="7"/>
        <v>0</v>
      </c>
      <c r="K7" s="15">
        <f t="shared" si="8"/>
        <v>0</v>
      </c>
      <c r="L7" s="15">
        <f t="shared" si="9"/>
        <v>-3.99</v>
      </c>
      <c r="M7" s="15">
        <f t="shared" si="10"/>
        <v>0</v>
      </c>
      <c r="N7" s="15">
        <f t="shared" si="11"/>
        <v>-0.93</v>
      </c>
      <c r="O7" s="15">
        <f t="shared" si="12"/>
        <v>394.08</v>
      </c>
      <c r="R7" s="16" t="s">
        <v>183</v>
      </c>
      <c r="S7" s="16" t="s">
        <v>184</v>
      </c>
      <c r="T7" s="16" t="s">
        <v>185</v>
      </c>
      <c r="U7" s="16" t="s">
        <v>186</v>
      </c>
      <c r="V7" s="16" t="s">
        <v>187</v>
      </c>
      <c r="W7" s="16" t="s">
        <v>76</v>
      </c>
      <c r="X7" s="16" t="s">
        <v>77</v>
      </c>
      <c r="Y7" s="16" t="s">
        <v>188</v>
      </c>
      <c r="Z7" s="16" t="s">
        <v>189</v>
      </c>
      <c r="AA7" s="16" t="s">
        <v>107</v>
      </c>
      <c r="AB7" s="16" t="s">
        <v>190</v>
      </c>
      <c r="AC7" s="16" t="s">
        <v>191</v>
      </c>
      <c r="AD7" s="16" t="s">
        <v>192</v>
      </c>
      <c r="AE7" s="16" t="s">
        <v>84</v>
      </c>
      <c r="AF7" s="16" t="s">
        <v>84</v>
      </c>
      <c r="AG7" s="16">
        <v>399</v>
      </c>
      <c r="AH7" s="16">
        <v>399</v>
      </c>
      <c r="AI7" s="17">
        <v>399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 t="s">
        <v>85</v>
      </c>
      <c r="AP7" s="16" t="s">
        <v>193</v>
      </c>
      <c r="AQ7" s="16" t="s">
        <v>194</v>
      </c>
      <c r="AR7" s="16" t="s">
        <v>88</v>
      </c>
      <c r="AS7" s="16" t="s">
        <v>195</v>
      </c>
      <c r="AT7" s="16">
        <v>3.99</v>
      </c>
      <c r="AU7" s="16" t="s">
        <v>90</v>
      </c>
      <c r="AV7" s="16">
        <v>0.93</v>
      </c>
      <c r="AW7" s="16" t="s">
        <v>90</v>
      </c>
      <c r="AX7" s="16" t="s">
        <v>90</v>
      </c>
      <c r="AY7" s="16" t="s">
        <v>90</v>
      </c>
      <c r="AZ7" s="16" t="s">
        <v>90</v>
      </c>
      <c r="BA7" s="16" t="s">
        <v>90</v>
      </c>
      <c r="BB7" s="16">
        <v>0</v>
      </c>
      <c r="BC7" s="16"/>
      <c r="BD7" s="16" t="s">
        <v>90</v>
      </c>
      <c r="BE7" s="16" t="s">
        <v>196</v>
      </c>
      <c r="BF7" s="16" t="s">
        <v>197</v>
      </c>
      <c r="BG7" s="16" t="s">
        <v>198</v>
      </c>
      <c r="BH7" s="16" t="s">
        <v>199</v>
      </c>
      <c r="BI7" s="16" t="s">
        <v>124</v>
      </c>
      <c r="BJ7" s="16">
        <v>399</v>
      </c>
      <c r="BK7" s="16">
        <v>399</v>
      </c>
      <c r="BL7" s="16">
        <v>399</v>
      </c>
      <c r="BM7" s="16" t="s">
        <v>96</v>
      </c>
      <c r="BN7" s="16">
        <v>1</v>
      </c>
      <c r="BO7" s="16" t="s">
        <v>84</v>
      </c>
      <c r="BP7" s="16" t="s">
        <v>84</v>
      </c>
      <c r="BQ7" s="16" t="s">
        <v>84</v>
      </c>
      <c r="BR7" s="16" t="s">
        <v>97</v>
      </c>
      <c r="BS7" s="16" t="s">
        <v>98</v>
      </c>
      <c r="BT7" s="16">
        <v>0</v>
      </c>
    </row>
    <row r="8" s="1" customFormat="1" ht="16" customHeight="1" spans="1:72">
      <c r="A8" s="14">
        <f t="shared" si="0"/>
        <v>2025</v>
      </c>
      <c r="B8" s="14">
        <f t="shared" si="1"/>
        <v>8</v>
      </c>
      <c r="C8" s="14" t="str">
        <f t="shared" si="2"/>
        <v>3730231575967047936</v>
      </c>
      <c r="D8" s="14" cm="1">
        <f t="array" ref="D8">SUMPRODUCT(($R$2:$R$374=C8)*1)</f>
        <v>1</v>
      </c>
      <c r="E8" s="14" cm="1">
        <f t="array" ref="E8">SUMPRODUCT(($R$2:R8=C8)*1)</f>
        <v>1</v>
      </c>
      <c r="F8" s="15" t="str">
        <f t="shared" si="3"/>
        <v>Z2079-粉色-S</v>
      </c>
      <c r="G8" s="14" t="str">
        <f t="shared" si="4"/>
        <v>Z2079</v>
      </c>
      <c r="H8" s="15">
        <f t="shared" si="5"/>
        <v>1</v>
      </c>
      <c r="I8" s="14">
        <f t="shared" si="6"/>
        <v>299</v>
      </c>
      <c r="J8" s="15">
        <f t="shared" si="7"/>
        <v>0</v>
      </c>
      <c r="K8" s="15">
        <f t="shared" si="8"/>
        <v>10</v>
      </c>
      <c r="L8" s="15">
        <f t="shared" si="9"/>
        <v>-2.99</v>
      </c>
      <c r="M8" s="15">
        <f t="shared" si="10"/>
        <v>0</v>
      </c>
      <c r="N8" s="15">
        <f t="shared" si="11"/>
        <v>-1.5</v>
      </c>
      <c r="O8" s="15">
        <f t="shared" si="12"/>
        <v>304.51</v>
      </c>
      <c r="R8" s="16" t="s">
        <v>200</v>
      </c>
      <c r="S8" s="16" t="s">
        <v>201</v>
      </c>
      <c r="T8" s="16" t="s">
        <v>202</v>
      </c>
      <c r="U8" s="16" t="s">
        <v>203</v>
      </c>
      <c r="V8" s="16" t="s">
        <v>204</v>
      </c>
      <c r="W8" s="16" t="s">
        <v>76</v>
      </c>
      <c r="X8" s="16" t="s">
        <v>77</v>
      </c>
      <c r="Y8" s="16" t="s">
        <v>205</v>
      </c>
      <c r="Z8" s="16" t="s">
        <v>206</v>
      </c>
      <c r="AA8" s="16" t="s">
        <v>207</v>
      </c>
      <c r="AB8" s="16" t="s">
        <v>208</v>
      </c>
      <c r="AC8" s="16" t="s">
        <v>209</v>
      </c>
      <c r="AD8" s="16" t="s">
        <v>210</v>
      </c>
      <c r="AE8" s="16" t="s">
        <v>84</v>
      </c>
      <c r="AF8" s="16" t="s">
        <v>84</v>
      </c>
      <c r="AG8" s="16">
        <v>299</v>
      </c>
      <c r="AH8" s="16">
        <v>309</v>
      </c>
      <c r="AI8" s="17">
        <v>309</v>
      </c>
      <c r="AJ8" s="16">
        <v>10</v>
      </c>
      <c r="AK8" s="16">
        <v>0</v>
      </c>
      <c r="AL8" s="16">
        <v>0</v>
      </c>
      <c r="AM8" s="16">
        <v>0</v>
      </c>
      <c r="AN8" s="16">
        <v>0</v>
      </c>
      <c r="AO8" s="16" t="s">
        <v>85</v>
      </c>
      <c r="AP8" s="16" t="s">
        <v>211</v>
      </c>
      <c r="AQ8" s="16" t="s">
        <v>212</v>
      </c>
      <c r="AR8" s="16" t="s">
        <v>88</v>
      </c>
      <c r="AS8" s="16" t="s">
        <v>213</v>
      </c>
      <c r="AT8" s="16">
        <v>2.99</v>
      </c>
      <c r="AU8" s="16" t="s">
        <v>90</v>
      </c>
      <c r="AV8" s="16">
        <v>1.5</v>
      </c>
      <c r="AW8" s="16" t="s">
        <v>90</v>
      </c>
      <c r="AX8" s="16" t="s">
        <v>90</v>
      </c>
      <c r="AY8" s="16" t="s">
        <v>90</v>
      </c>
      <c r="AZ8" s="16" t="s">
        <v>90</v>
      </c>
      <c r="BA8" s="16" t="s">
        <v>90</v>
      </c>
      <c r="BB8" s="16">
        <v>0</v>
      </c>
      <c r="BC8" s="16"/>
      <c r="BD8" s="16" t="s">
        <v>90</v>
      </c>
      <c r="BE8" s="16" t="s">
        <v>214</v>
      </c>
      <c r="BF8" s="16" t="s">
        <v>215</v>
      </c>
      <c r="BG8" s="16" t="s">
        <v>216</v>
      </c>
      <c r="BH8" s="16" t="s">
        <v>217</v>
      </c>
      <c r="BI8" s="16" t="s">
        <v>218</v>
      </c>
      <c r="BJ8" s="16">
        <v>299</v>
      </c>
      <c r="BK8" s="16">
        <v>299</v>
      </c>
      <c r="BL8" s="16">
        <v>299</v>
      </c>
      <c r="BM8" s="16" t="s">
        <v>96</v>
      </c>
      <c r="BN8" s="16">
        <v>1</v>
      </c>
      <c r="BO8" s="16" t="s">
        <v>84</v>
      </c>
      <c r="BP8" s="16" t="s">
        <v>84</v>
      </c>
      <c r="BQ8" s="16" t="s">
        <v>84</v>
      </c>
      <c r="BR8" s="16" t="s">
        <v>97</v>
      </c>
      <c r="BS8" s="16" t="s">
        <v>98</v>
      </c>
      <c r="BT8" s="16">
        <v>0</v>
      </c>
    </row>
    <row r="9" s="1" customFormat="1" ht="16" customHeight="1" spans="1:72">
      <c r="A9" s="14">
        <f t="shared" si="0"/>
        <v>2025</v>
      </c>
      <c r="B9" s="14">
        <f t="shared" si="1"/>
        <v>8</v>
      </c>
      <c r="C9" s="14" t="str">
        <f t="shared" si="2"/>
        <v>3730211654560522496</v>
      </c>
      <c r="D9" s="14" cm="1">
        <f t="array" ref="D9">SUMPRODUCT(($R$2:$R$374=C9)*1)</f>
        <v>1</v>
      </c>
      <c r="E9" s="14" cm="1">
        <f t="array" ref="E9">SUMPRODUCT(($R$2:R9=C9)*1)</f>
        <v>1</v>
      </c>
      <c r="F9" s="15" t="str">
        <f t="shared" si="3"/>
        <v>Z2274-花色-L</v>
      </c>
      <c r="G9" s="14" t="str">
        <f t="shared" si="4"/>
        <v>Z2274</v>
      </c>
      <c r="H9" s="15">
        <f t="shared" si="5"/>
        <v>1</v>
      </c>
      <c r="I9" s="14">
        <f t="shared" si="6"/>
        <v>369</v>
      </c>
      <c r="J9" s="15">
        <f t="shared" si="7"/>
        <v>0</v>
      </c>
      <c r="K9" s="15">
        <f t="shared" si="8"/>
        <v>0</v>
      </c>
      <c r="L9" s="15">
        <f t="shared" si="9"/>
        <v>-18.45</v>
      </c>
      <c r="M9" s="15">
        <f t="shared" si="10"/>
        <v>0</v>
      </c>
      <c r="N9" s="15">
        <f t="shared" si="11"/>
        <v>-1.5</v>
      </c>
      <c r="O9" s="15">
        <f t="shared" si="12"/>
        <v>349.05</v>
      </c>
      <c r="R9" s="16" t="s">
        <v>219</v>
      </c>
      <c r="S9" s="16" t="s">
        <v>220</v>
      </c>
      <c r="T9" s="16" t="s">
        <v>221</v>
      </c>
      <c r="U9" s="16" t="s">
        <v>222</v>
      </c>
      <c r="V9" s="16" t="s">
        <v>223</v>
      </c>
      <c r="W9" s="16" t="s">
        <v>76</v>
      </c>
      <c r="X9" s="16" t="s">
        <v>77</v>
      </c>
      <c r="Y9" s="16" t="s">
        <v>224</v>
      </c>
      <c r="Z9" s="16" t="s">
        <v>225</v>
      </c>
      <c r="AA9" s="16" t="s">
        <v>153</v>
      </c>
      <c r="AB9" s="16" t="s">
        <v>153</v>
      </c>
      <c r="AC9" s="16" t="s">
        <v>226</v>
      </c>
      <c r="AD9" s="16" t="s">
        <v>227</v>
      </c>
      <c r="AE9" s="16" t="s">
        <v>84</v>
      </c>
      <c r="AF9" s="16" t="s">
        <v>84</v>
      </c>
      <c r="AG9" s="16">
        <v>369</v>
      </c>
      <c r="AH9" s="16">
        <v>369</v>
      </c>
      <c r="AI9" s="17">
        <v>369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 t="s">
        <v>85</v>
      </c>
      <c r="AP9" s="16" t="s">
        <v>228</v>
      </c>
      <c r="AQ9" s="16" t="s">
        <v>229</v>
      </c>
      <c r="AR9" s="16" t="s">
        <v>88</v>
      </c>
      <c r="AS9" s="16" t="s">
        <v>230</v>
      </c>
      <c r="AT9" s="16">
        <v>18.45</v>
      </c>
      <c r="AU9" s="16" t="s">
        <v>90</v>
      </c>
      <c r="AV9" s="16">
        <v>1.5</v>
      </c>
      <c r="AW9" s="16" t="s">
        <v>115</v>
      </c>
      <c r="AX9" s="16" t="s">
        <v>116</v>
      </c>
      <c r="AY9" s="16" t="s">
        <v>117</v>
      </c>
      <c r="AZ9" s="16" t="s">
        <v>118</v>
      </c>
      <c r="BA9" s="16" t="s">
        <v>119</v>
      </c>
      <c r="BB9" s="16">
        <v>0</v>
      </c>
      <c r="BC9" s="16" t="s">
        <v>84</v>
      </c>
      <c r="BD9" s="16" t="s">
        <v>90</v>
      </c>
      <c r="BE9" s="16" t="s">
        <v>231</v>
      </c>
      <c r="BF9" s="16" t="s">
        <v>232</v>
      </c>
      <c r="BG9" s="16" t="s">
        <v>233</v>
      </c>
      <c r="BH9" s="16" t="s">
        <v>234</v>
      </c>
      <c r="BI9" s="16" t="s">
        <v>235</v>
      </c>
      <c r="BJ9" s="16">
        <v>369</v>
      </c>
      <c r="BK9" s="16">
        <v>369</v>
      </c>
      <c r="BL9" s="16">
        <v>369</v>
      </c>
      <c r="BM9" s="16" t="s">
        <v>96</v>
      </c>
      <c r="BN9" s="16">
        <v>1</v>
      </c>
      <c r="BO9" s="16" t="s">
        <v>84</v>
      </c>
      <c r="BP9" s="16" t="s">
        <v>84</v>
      </c>
      <c r="BQ9" s="16" t="s">
        <v>84</v>
      </c>
      <c r="BR9" s="16" t="s">
        <v>97</v>
      </c>
      <c r="BS9" s="16" t="s">
        <v>98</v>
      </c>
      <c r="BT9" s="16">
        <v>0</v>
      </c>
    </row>
    <row r="10" s="1" customFormat="1" ht="16" customHeight="1" spans="1:72">
      <c r="A10" s="14">
        <f t="shared" si="0"/>
        <v>2025</v>
      </c>
      <c r="B10" s="14">
        <f t="shared" si="1"/>
        <v>8</v>
      </c>
      <c r="C10" s="14" t="str">
        <f t="shared" si="2"/>
        <v>3730207965308395264</v>
      </c>
      <c r="D10" s="14" cm="1">
        <f t="array" ref="D10">SUMPRODUCT(($R$2:$R$374=C10)*1)</f>
        <v>1</v>
      </c>
      <c r="E10" s="14" cm="1">
        <f t="array" ref="E10">SUMPRODUCT(($R$2:R10=C10)*1)</f>
        <v>1</v>
      </c>
      <c r="F10" s="15" t="str">
        <f t="shared" si="3"/>
        <v>Z657-灰色-M</v>
      </c>
      <c r="G10" s="14" t="str">
        <f t="shared" si="4"/>
        <v>Z657</v>
      </c>
      <c r="H10" s="15">
        <f t="shared" si="5"/>
        <v>1</v>
      </c>
      <c r="I10" s="14">
        <f t="shared" si="6"/>
        <v>119</v>
      </c>
      <c r="J10" s="15">
        <f t="shared" si="7"/>
        <v>0</v>
      </c>
      <c r="K10" s="15">
        <f t="shared" si="8"/>
        <v>0</v>
      </c>
      <c r="L10" s="15">
        <f t="shared" si="9"/>
        <v>-5.95</v>
      </c>
      <c r="M10" s="15">
        <f t="shared" si="10"/>
        <v>0</v>
      </c>
      <c r="N10" s="15">
        <f t="shared" si="11"/>
        <v>-1.5</v>
      </c>
      <c r="O10" s="15">
        <f t="shared" si="12"/>
        <v>111.55</v>
      </c>
      <c r="R10" s="16" t="s">
        <v>236</v>
      </c>
      <c r="S10" s="16" t="s">
        <v>237</v>
      </c>
      <c r="T10" s="16" t="s">
        <v>238</v>
      </c>
      <c r="U10" s="16" t="s">
        <v>239</v>
      </c>
      <c r="V10" s="16" t="s">
        <v>240</v>
      </c>
      <c r="W10" s="16" t="s">
        <v>76</v>
      </c>
      <c r="X10" s="16" t="s">
        <v>77</v>
      </c>
      <c r="Y10" s="16" t="s">
        <v>241</v>
      </c>
      <c r="Z10" s="16" t="s">
        <v>242</v>
      </c>
      <c r="AA10" s="16" t="s">
        <v>243</v>
      </c>
      <c r="AB10" s="16" t="s">
        <v>244</v>
      </c>
      <c r="AC10" s="16" t="s">
        <v>245</v>
      </c>
      <c r="AD10" s="16" t="s">
        <v>246</v>
      </c>
      <c r="AE10" s="16" t="s">
        <v>84</v>
      </c>
      <c r="AF10" s="16" t="s">
        <v>84</v>
      </c>
      <c r="AG10" s="16">
        <v>119</v>
      </c>
      <c r="AH10" s="16">
        <v>119</v>
      </c>
      <c r="AI10" s="17">
        <v>119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 t="s">
        <v>85</v>
      </c>
      <c r="AP10" s="16" t="s">
        <v>247</v>
      </c>
      <c r="AQ10" s="16" t="s">
        <v>248</v>
      </c>
      <c r="AR10" s="16" t="s">
        <v>88</v>
      </c>
      <c r="AS10" s="16" t="s">
        <v>249</v>
      </c>
      <c r="AT10" s="16">
        <v>5.95</v>
      </c>
      <c r="AU10" s="16" t="s">
        <v>90</v>
      </c>
      <c r="AV10" s="16">
        <v>1.5</v>
      </c>
      <c r="AW10" s="16" t="s">
        <v>115</v>
      </c>
      <c r="AX10" s="16" t="s">
        <v>116</v>
      </c>
      <c r="AY10" s="16" t="s">
        <v>117</v>
      </c>
      <c r="AZ10" s="16" t="s">
        <v>118</v>
      </c>
      <c r="BA10" s="16" t="s">
        <v>119</v>
      </c>
      <c r="BB10" s="16">
        <v>0</v>
      </c>
      <c r="BC10" s="16" t="s">
        <v>84</v>
      </c>
      <c r="BD10" s="16" t="s">
        <v>90</v>
      </c>
      <c r="BE10" s="16" t="s">
        <v>250</v>
      </c>
      <c r="BF10" s="16" t="s">
        <v>251</v>
      </c>
      <c r="BG10" s="16" t="s">
        <v>252</v>
      </c>
      <c r="BH10" s="16" t="s">
        <v>253</v>
      </c>
      <c r="BI10" s="16" t="s">
        <v>254</v>
      </c>
      <c r="BJ10" s="16">
        <v>119</v>
      </c>
      <c r="BK10" s="16">
        <v>119</v>
      </c>
      <c r="BL10" s="16">
        <v>119</v>
      </c>
      <c r="BM10" s="16" t="s">
        <v>96</v>
      </c>
      <c r="BN10" s="16">
        <v>1</v>
      </c>
      <c r="BO10" s="16" t="s">
        <v>84</v>
      </c>
      <c r="BP10" s="16" t="s">
        <v>84</v>
      </c>
      <c r="BQ10" s="16" t="s">
        <v>84</v>
      </c>
      <c r="BR10" s="16" t="s">
        <v>97</v>
      </c>
      <c r="BS10" s="16" t="s">
        <v>98</v>
      </c>
      <c r="BT10" s="16">
        <v>0</v>
      </c>
    </row>
    <row r="11" s="1" customFormat="1" ht="16" customHeight="1" spans="1:72">
      <c r="A11" s="14">
        <f t="shared" si="0"/>
        <v>2025</v>
      </c>
      <c r="B11" s="14">
        <f t="shared" si="1"/>
        <v>8</v>
      </c>
      <c r="C11" s="14" t="str">
        <f t="shared" si="2"/>
        <v>3730196197338651648</v>
      </c>
      <c r="D11" s="14" cm="1">
        <f t="array" ref="D11">SUMPRODUCT(($R$2:$R$374=C11)*1)</f>
        <v>1</v>
      </c>
      <c r="E11" s="14" cm="1">
        <f t="array" ref="E11">SUMPRODUCT(($R$2:R11=C11)*1)</f>
        <v>1</v>
      </c>
      <c r="F11" s="15" t="str">
        <f t="shared" si="3"/>
        <v>Z579-黑色-M</v>
      </c>
      <c r="G11" s="14" t="str">
        <f t="shared" si="4"/>
        <v>Z579</v>
      </c>
      <c r="H11" s="15">
        <f t="shared" si="5"/>
        <v>1</v>
      </c>
      <c r="I11" s="14">
        <f t="shared" si="6"/>
        <v>339</v>
      </c>
      <c r="J11" s="15">
        <f t="shared" si="7"/>
        <v>0</v>
      </c>
      <c r="K11" s="15">
        <f t="shared" si="8"/>
        <v>0</v>
      </c>
      <c r="L11" s="15">
        <f t="shared" si="9"/>
        <v>-16.95</v>
      </c>
      <c r="M11" s="15">
        <f t="shared" si="10"/>
        <v>0</v>
      </c>
      <c r="N11" s="15">
        <f t="shared" si="11"/>
        <v>-1.5</v>
      </c>
      <c r="O11" s="15">
        <f t="shared" si="12"/>
        <v>320.55</v>
      </c>
      <c r="R11" s="16" t="s">
        <v>255</v>
      </c>
      <c r="S11" s="16" t="s">
        <v>256</v>
      </c>
      <c r="T11" s="16" t="s">
        <v>257</v>
      </c>
      <c r="U11" s="16" t="s">
        <v>258</v>
      </c>
      <c r="V11" s="16" t="s">
        <v>259</v>
      </c>
      <c r="W11" s="16" t="s">
        <v>76</v>
      </c>
      <c r="X11" s="16" t="s">
        <v>77</v>
      </c>
      <c r="Y11" s="16" t="s">
        <v>260</v>
      </c>
      <c r="Z11" s="16" t="s">
        <v>261</v>
      </c>
      <c r="AA11" s="16" t="s">
        <v>262</v>
      </c>
      <c r="AB11" s="16" t="s">
        <v>263</v>
      </c>
      <c r="AC11" s="16" t="s">
        <v>264</v>
      </c>
      <c r="AD11" s="16" t="s">
        <v>265</v>
      </c>
      <c r="AE11" s="16" t="s">
        <v>84</v>
      </c>
      <c r="AF11" s="16" t="s">
        <v>84</v>
      </c>
      <c r="AG11" s="16">
        <v>339</v>
      </c>
      <c r="AH11" s="16">
        <v>339</v>
      </c>
      <c r="AI11" s="17">
        <v>339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 t="s">
        <v>137</v>
      </c>
      <c r="AP11" s="16" t="s">
        <v>266</v>
      </c>
      <c r="AQ11" s="16" t="s">
        <v>267</v>
      </c>
      <c r="AR11" s="16" t="s">
        <v>88</v>
      </c>
      <c r="AS11" s="16" t="s">
        <v>268</v>
      </c>
      <c r="AT11" s="16">
        <v>16.95</v>
      </c>
      <c r="AU11" s="16" t="s">
        <v>90</v>
      </c>
      <c r="AV11" s="16">
        <v>1.5</v>
      </c>
      <c r="AW11" s="16" t="s">
        <v>115</v>
      </c>
      <c r="AX11" s="16" t="s">
        <v>116</v>
      </c>
      <c r="AY11" s="16" t="s">
        <v>117</v>
      </c>
      <c r="AZ11" s="16" t="s">
        <v>118</v>
      </c>
      <c r="BA11" s="16" t="s">
        <v>119</v>
      </c>
      <c r="BB11" s="16">
        <v>0</v>
      </c>
      <c r="BC11" s="16" t="s">
        <v>84</v>
      </c>
      <c r="BD11" s="16" t="s">
        <v>90</v>
      </c>
      <c r="BE11" s="16" t="s">
        <v>269</v>
      </c>
      <c r="BF11" s="16" t="s">
        <v>270</v>
      </c>
      <c r="BG11" s="16" t="s">
        <v>271</v>
      </c>
      <c r="BH11" s="16" t="s">
        <v>272</v>
      </c>
      <c r="BI11" s="16" t="s">
        <v>273</v>
      </c>
      <c r="BJ11" s="16">
        <v>339</v>
      </c>
      <c r="BK11" s="16">
        <v>339</v>
      </c>
      <c r="BL11" s="16">
        <v>339</v>
      </c>
      <c r="BM11" s="16" t="s">
        <v>96</v>
      </c>
      <c r="BN11" s="16">
        <v>1</v>
      </c>
      <c r="BO11" s="16" t="s">
        <v>84</v>
      </c>
      <c r="BP11" s="16" t="s">
        <v>84</v>
      </c>
      <c r="BQ11" s="16" t="s">
        <v>84</v>
      </c>
      <c r="BR11" s="16" t="s">
        <v>97</v>
      </c>
      <c r="BS11" s="16" t="s">
        <v>98</v>
      </c>
      <c r="BT11" s="16">
        <v>0</v>
      </c>
    </row>
    <row r="12" s="1" customFormat="1" ht="16" customHeight="1" spans="1:72">
      <c r="A12" s="14">
        <f t="shared" si="0"/>
        <v>2025</v>
      </c>
      <c r="B12" s="14">
        <f t="shared" si="1"/>
        <v>8</v>
      </c>
      <c r="C12" s="14" t="str">
        <f t="shared" si="2"/>
        <v>3730191124416312832</v>
      </c>
      <c r="D12" s="14" cm="1">
        <f t="array" ref="D12">SUMPRODUCT(($R$2:$R$374=C12)*1)</f>
        <v>1</v>
      </c>
      <c r="E12" s="14" cm="1">
        <f t="array" ref="E12">SUMPRODUCT(($R$2:R12=C12)*1)</f>
        <v>1</v>
      </c>
      <c r="F12" s="15" t="str">
        <f t="shared" si="3"/>
        <v>Z2209-黑色-M</v>
      </c>
      <c r="G12" s="14" t="str">
        <f t="shared" si="4"/>
        <v>Z2209</v>
      </c>
      <c r="H12" s="15">
        <f t="shared" si="5"/>
        <v>0</v>
      </c>
      <c r="I12" s="14">
        <f t="shared" si="6"/>
        <v>0</v>
      </c>
      <c r="J12" s="15">
        <f t="shared" si="7"/>
        <v>0</v>
      </c>
      <c r="K12" s="15">
        <f t="shared" si="8"/>
        <v>0</v>
      </c>
      <c r="L12" s="15">
        <f t="shared" si="9"/>
        <v>0</v>
      </c>
      <c r="M12" s="15">
        <f t="shared" si="10"/>
        <v>0</v>
      </c>
      <c r="N12" s="15">
        <f t="shared" si="11"/>
        <v>0</v>
      </c>
      <c r="O12" s="15">
        <f t="shared" si="12"/>
        <v>0</v>
      </c>
      <c r="R12" s="16" t="s">
        <v>274</v>
      </c>
      <c r="S12" s="16" t="s">
        <v>275</v>
      </c>
      <c r="T12" s="16" t="s">
        <v>276</v>
      </c>
      <c r="U12" s="16" t="s">
        <v>90</v>
      </c>
      <c r="V12" s="16" t="s">
        <v>277</v>
      </c>
      <c r="W12" s="16" t="s">
        <v>104</v>
      </c>
      <c r="X12" s="16" t="s">
        <v>77</v>
      </c>
      <c r="Y12" s="16" t="s">
        <v>278</v>
      </c>
      <c r="Z12" s="16" t="s">
        <v>279</v>
      </c>
      <c r="AA12" s="16" t="s">
        <v>280</v>
      </c>
      <c r="AB12" s="16" t="s">
        <v>281</v>
      </c>
      <c r="AC12" s="16" t="s">
        <v>282</v>
      </c>
      <c r="AD12" s="16" t="s">
        <v>283</v>
      </c>
      <c r="AE12" s="16" t="s">
        <v>84</v>
      </c>
      <c r="AF12" s="16" t="s">
        <v>284</v>
      </c>
      <c r="AG12" s="16">
        <v>189</v>
      </c>
      <c r="AH12" s="16">
        <v>189</v>
      </c>
      <c r="AI12" s="17">
        <v>189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 t="s">
        <v>85</v>
      </c>
      <c r="AP12" s="16" t="s">
        <v>285</v>
      </c>
      <c r="AQ12" s="16" t="s">
        <v>286</v>
      </c>
      <c r="AR12" s="16" t="s">
        <v>88</v>
      </c>
      <c r="AS12" s="16" t="s">
        <v>287</v>
      </c>
      <c r="AT12" s="16">
        <v>0</v>
      </c>
      <c r="AU12" s="16" t="s">
        <v>90</v>
      </c>
      <c r="AV12" s="16">
        <v>1.5</v>
      </c>
      <c r="AW12" s="16" t="s">
        <v>90</v>
      </c>
      <c r="AX12" s="16" t="s">
        <v>90</v>
      </c>
      <c r="AY12" s="16" t="s">
        <v>90</v>
      </c>
      <c r="AZ12" s="16" t="s">
        <v>90</v>
      </c>
      <c r="BA12" s="16" t="s">
        <v>90</v>
      </c>
      <c r="BB12" s="16">
        <v>0</v>
      </c>
      <c r="BC12" s="16"/>
      <c r="BD12" s="16" t="s">
        <v>90</v>
      </c>
      <c r="BE12" s="16" t="s">
        <v>288</v>
      </c>
      <c r="BF12" s="16" t="s">
        <v>289</v>
      </c>
      <c r="BG12" s="16" t="s">
        <v>290</v>
      </c>
      <c r="BH12" s="16" t="s">
        <v>291</v>
      </c>
      <c r="BI12" s="16" t="s">
        <v>273</v>
      </c>
      <c r="BJ12" s="16">
        <v>189</v>
      </c>
      <c r="BK12" s="16">
        <v>189</v>
      </c>
      <c r="BL12" s="16">
        <v>189</v>
      </c>
      <c r="BM12" s="16" t="s">
        <v>96</v>
      </c>
      <c r="BN12" s="16">
        <v>1</v>
      </c>
      <c r="BO12" s="16" t="s">
        <v>84</v>
      </c>
      <c r="BP12" s="16" t="s">
        <v>84</v>
      </c>
      <c r="BQ12" s="16" t="s">
        <v>84</v>
      </c>
      <c r="BR12" s="16" t="s">
        <v>97</v>
      </c>
      <c r="BS12" s="16" t="s">
        <v>125</v>
      </c>
      <c r="BT12" s="16">
        <v>189</v>
      </c>
    </row>
    <row r="13" s="1" customFormat="1" ht="16" customHeight="1" spans="1:72">
      <c r="A13" s="14">
        <f t="shared" si="0"/>
        <v>2025</v>
      </c>
      <c r="B13" s="14">
        <f t="shared" si="1"/>
        <v>8</v>
      </c>
      <c r="C13" s="14" t="str">
        <f t="shared" si="2"/>
        <v>3730189196379961344</v>
      </c>
      <c r="D13" s="14" cm="1">
        <f t="array" ref="D13">SUMPRODUCT(($R$2:$R$374=C13)*1)</f>
        <v>1</v>
      </c>
      <c r="E13" s="14" cm="1">
        <f t="array" ref="E13">SUMPRODUCT(($R$2:R13=C13)*1)</f>
        <v>1</v>
      </c>
      <c r="F13" s="15" t="str">
        <f t="shared" si="3"/>
        <v>Z1645-黑色-M</v>
      </c>
      <c r="G13" s="14" t="str">
        <f t="shared" si="4"/>
        <v>Z1645</v>
      </c>
      <c r="H13" s="15">
        <f t="shared" si="5"/>
        <v>1</v>
      </c>
      <c r="I13" s="14">
        <f t="shared" si="6"/>
        <v>189</v>
      </c>
      <c r="J13" s="15">
        <f t="shared" si="7"/>
        <v>0</v>
      </c>
      <c r="K13" s="15">
        <f t="shared" si="8"/>
        <v>0</v>
      </c>
      <c r="L13" s="15">
        <f t="shared" si="9"/>
        <v>-9.45</v>
      </c>
      <c r="M13" s="15">
        <f t="shared" si="10"/>
        <v>0</v>
      </c>
      <c r="N13" s="15">
        <f t="shared" si="11"/>
        <v>-1.5</v>
      </c>
      <c r="O13" s="15">
        <f t="shared" si="12"/>
        <v>178.05</v>
      </c>
      <c r="R13" s="16" t="s">
        <v>292</v>
      </c>
      <c r="S13" s="16" t="s">
        <v>293</v>
      </c>
      <c r="T13" s="16" t="s">
        <v>294</v>
      </c>
      <c r="U13" s="16" t="s">
        <v>295</v>
      </c>
      <c r="V13" s="16" t="s">
        <v>296</v>
      </c>
      <c r="W13" s="16" t="s">
        <v>76</v>
      </c>
      <c r="X13" s="16" t="s">
        <v>77</v>
      </c>
      <c r="Y13" s="16" t="s">
        <v>297</v>
      </c>
      <c r="Z13" s="16" t="s">
        <v>298</v>
      </c>
      <c r="AA13" s="16" t="s">
        <v>153</v>
      </c>
      <c r="AB13" s="16" t="s">
        <v>153</v>
      </c>
      <c r="AC13" s="16" t="s">
        <v>299</v>
      </c>
      <c r="AD13" s="16" t="s">
        <v>300</v>
      </c>
      <c r="AE13" s="16" t="s">
        <v>84</v>
      </c>
      <c r="AF13" s="16" t="s">
        <v>84</v>
      </c>
      <c r="AG13" s="16">
        <v>189</v>
      </c>
      <c r="AH13" s="16">
        <v>189</v>
      </c>
      <c r="AI13" s="17">
        <v>189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 t="s">
        <v>85</v>
      </c>
      <c r="AP13" s="16" t="s">
        <v>301</v>
      </c>
      <c r="AQ13" s="16" t="s">
        <v>302</v>
      </c>
      <c r="AR13" s="16" t="s">
        <v>88</v>
      </c>
      <c r="AS13" s="16" t="s">
        <v>303</v>
      </c>
      <c r="AT13" s="16">
        <v>9.45</v>
      </c>
      <c r="AU13" s="16" t="s">
        <v>90</v>
      </c>
      <c r="AV13" s="16">
        <v>1.5</v>
      </c>
      <c r="AW13" s="16" t="s">
        <v>115</v>
      </c>
      <c r="AX13" s="16" t="s">
        <v>116</v>
      </c>
      <c r="AY13" s="16" t="s">
        <v>117</v>
      </c>
      <c r="AZ13" s="16" t="s">
        <v>118</v>
      </c>
      <c r="BA13" s="16" t="s">
        <v>119</v>
      </c>
      <c r="BB13" s="16">
        <v>0</v>
      </c>
      <c r="BC13" s="16" t="s">
        <v>84</v>
      </c>
      <c r="BD13" s="16" t="s">
        <v>90</v>
      </c>
      <c r="BE13" s="16" t="s">
        <v>304</v>
      </c>
      <c r="BF13" s="16" t="s">
        <v>305</v>
      </c>
      <c r="BG13" s="16" t="s">
        <v>306</v>
      </c>
      <c r="BH13" s="16" t="s">
        <v>307</v>
      </c>
      <c r="BI13" s="16" t="s">
        <v>308</v>
      </c>
      <c r="BJ13" s="16">
        <v>189</v>
      </c>
      <c r="BK13" s="16">
        <v>189</v>
      </c>
      <c r="BL13" s="16">
        <v>189</v>
      </c>
      <c r="BM13" s="16" t="s">
        <v>96</v>
      </c>
      <c r="BN13" s="16">
        <v>1</v>
      </c>
      <c r="BO13" s="16" t="s">
        <v>84</v>
      </c>
      <c r="BP13" s="16" t="s">
        <v>84</v>
      </c>
      <c r="BQ13" s="16" t="s">
        <v>84</v>
      </c>
      <c r="BR13" s="16" t="s">
        <v>97</v>
      </c>
      <c r="BS13" s="16" t="s">
        <v>98</v>
      </c>
      <c r="BT13" s="16">
        <v>0</v>
      </c>
    </row>
    <row r="14" s="1" customFormat="1" ht="16" customHeight="1" spans="1:72">
      <c r="A14" s="14">
        <f t="shared" si="0"/>
        <v>2025</v>
      </c>
      <c r="B14" s="14">
        <f t="shared" si="1"/>
        <v>8</v>
      </c>
      <c r="C14" s="14" t="str">
        <f t="shared" si="2"/>
        <v>3730175097836805888</v>
      </c>
      <c r="D14" s="14" cm="1">
        <f t="array" ref="D14">SUMPRODUCT(($R$2:$R$374=C14)*1)</f>
        <v>1</v>
      </c>
      <c r="E14" s="14" cm="1">
        <f t="array" ref="E14">SUMPRODUCT(($R$2:R14=C14)*1)</f>
        <v>1</v>
      </c>
      <c r="F14" s="15" t="str">
        <f t="shared" si="3"/>
        <v>Z507-黑色-L</v>
      </c>
      <c r="G14" s="14" t="str">
        <f t="shared" si="4"/>
        <v>Z507</v>
      </c>
      <c r="H14" s="15">
        <f t="shared" si="5"/>
        <v>1</v>
      </c>
      <c r="I14" s="14">
        <f t="shared" si="6"/>
        <v>89.9</v>
      </c>
      <c r="J14" s="15">
        <f t="shared" si="7"/>
        <v>0</v>
      </c>
      <c r="K14" s="15">
        <f t="shared" si="8"/>
        <v>0</v>
      </c>
      <c r="L14" s="15">
        <f t="shared" si="9"/>
        <v>-4.49</v>
      </c>
      <c r="M14" s="15">
        <f t="shared" si="10"/>
        <v>0</v>
      </c>
      <c r="N14" s="15">
        <f t="shared" si="11"/>
        <v>-1.5</v>
      </c>
      <c r="O14" s="15">
        <f t="shared" si="12"/>
        <v>83.91</v>
      </c>
      <c r="R14" s="16" t="s">
        <v>309</v>
      </c>
      <c r="S14" s="16" t="s">
        <v>310</v>
      </c>
      <c r="T14" s="16" t="s">
        <v>311</v>
      </c>
      <c r="U14" s="16" t="s">
        <v>312</v>
      </c>
      <c r="V14" s="16" t="s">
        <v>313</v>
      </c>
      <c r="W14" s="16" t="s">
        <v>76</v>
      </c>
      <c r="X14" s="16" t="s">
        <v>77</v>
      </c>
      <c r="Y14" s="16" t="s">
        <v>241</v>
      </c>
      <c r="Z14" s="16" t="s">
        <v>314</v>
      </c>
      <c r="AA14" s="16" t="s">
        <v>107</v>
      </c>
      <c r="AB14" s="16" t="s">
        <v>190</v>
      </c>
      <c r="AC14" s="16" t="s">
        <v>315</v>
      </c>
      <c r="AD14" s="16" t="s">
        <v>316</v>
      </c>
      <c r="AE14" s="16" t="s">
        <v>84</v>
      </c>
      <c r="AF14" s="16" t="s">
        <v>84</v>
      </c>
      <c r="AG14" s="16">
        <v>89.9</v>
      </c>
      <c r="AH14" s="16">
        <v>89.9</v>
      </c>
      <c r="AI14" s="17">
        <v>89.9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 t="s">
        <v>85</v>
      </c>
      <c r="AP14" s="16" t="s">
        <v>317</v>
      </c>
      <c r="AQ14" s="16" t="s">
        <v>318</v>
      </c>
      <c r="AR14" s="16" t="s">
        <v>88</v>
      </c>
      <c r="AS14" s="16" t="s">
        <v>319</v>
      </c>
      <c r="AT14" s="16">
        <v>4.49</v>
      </c>
      <c r="AU14" s="16" t="s">
        <v>90</v>
      </c>
      <c r="AV14" s="16">
        <v>1.5</v>
      </c>
      <c r="AW14" s="16" t="s">
        <v>115</v>
      </c>
      <c r="AX14" s="16" t="s">
        <v>116</v>
      </c>
      <c r="AY14" s="16" t="s">
        <v>117</v>
      </c>
      <c r="AZ14" s="16" t="s">
        <v>118</v>
      </c>
      <c r="BA14" s="16" t="s">
        <v>119</v>
      </c>
      <c r="BB14" s="16">
        <v>0</v>
      </c>
      <c r="BC14" s="16" t="s">
        <v>84</v>
      </c>
      <c r="BD14" s="16" t="s">
        <v>90</v>
      </c>
      <c r="BE14" s="16" t="s">
        <v>320</v>
      </c>
      <c r="BF14" s="16" t="s">
        <v>321</v>
      </c>
      <c r="BG14" s="16" t="s">
        <v>322</v>
      </c>
      <c r="BH14" s="16" t="s">
        <v>323</v>
      </c>
      <c r="BI14" s="16" t="s">
        <v>324</v>
      </c>
      <c r="BJ14" s="16">
        <v>89.9</v>
      </c>
      <c r="BK14" s="16">
        <v>89.9</v>
      </c>
      <c r="BL14" s="16">
        <v>89.9</v>
      </c>
      <c r="BM14" s="16" t="s">
        <v>96</v>
      </c>
      <c r="BN14" s="16">
        <v>1</v>
      </c>
      <c r="BO14" s="16" t="s">
        <v>84</v>
      </c>
      <c r="BP14" s="16" t="s">
        <v>84</v>
      </c>
      <c r="BQ14" s="16" t="s">
        <v>84</v>
      </c>
      <c r="BR14" s="16" t="s">
        <v>97</v>
      </c>
      <c r="BS14" s="16" t="s">
        <v>98</v>
      </c>
      <c r="BT14" s="16">
        <v>0</v>
      </c>
    </row>
    <row r="15" s="1" customFormat="1" ht="16" customHeight="1" spans="1:72">
      <c r="A15" s="14">
        <f t="shared" si="0"/>
        <v>2025</v>
      </c>
      <c r="B15" s="14">
        <f t="shared" si="1"/>
        <v>8</v>
      </c>
      <c r="C15" s="14" t="str">
        <f t="shared" si="2"/>
        <v>3730175088769246464</v>
      </c>
      <c r="D15" s="14" cm="1">
        <f t="array" ref="D15">SUMPRODUCT(($R$2:$R$374=C15)*1)</f>
        <v>1</v>
      </c>
      <c r="E15" s="14" cm="1">
        <f t="array" ref="E15">SUMPRODUCT(($R$2:R15=C15)*1)</f>
        <v>1</v>
      </c>
      <c r="F15" s="15" t="str">
        <f t="shared" si="3"/>
        <v>Z507-黑色-M</v>
      </c>
      <c r="G15" s="14" t="str">
        <f t="shared" si="4"/>
        <v>Z507</v>
      </c>
      <c r="H15" s="15">
        <f t="shared" si="5"/>
        <v>1</v>
      </c>
      <c r="I15" s="14">
        <f t="shared" si="6"/>
        <v>89.9</v>
      </c>
      <c r="J15" s="15">
        <f t="shared" si="7"/>
        <v>0</v>
      </c>
      <c r="K15" s="15">
        <f t="shared" si="8"/>
        <v>0</v>
      </c>
      <c r="L15" s="15">
        <f t="shared" si="9"/>
        <v>-4.49</v>
      </c>
      <c r="M15" s="15">
        <f t="shared" si="10"/>
        <v>0</v>
      </c>
      <c r="N15" s="15">
        <f t="shared" si="11"/>
        <v>-1.5</v>
      </c>
      <c r="O15" s="15">
        <f t="shared" si="12"/>
        <v>83.91</v>
      </c>
      <c r="R15" s="16" t="s">
        <v>325</v>
      </c>
      <c r="S15" s="16" t="s">
        <v>326</v>
      </c>
      <c r="T15" s="16" t="s">
        <v>327</v>
      </c>
      <c r="U15" s="16" t="s">
        <v>328</v>
      </c>
      <c r="V15" s="16" t="s">
        <v>329</v>
      </c>
      <c r="W15" s="16" t="s">
        <v>76</v>
      </c>
      <c r="X15" s="16" t="s">
        <v>77</v>
      </c>
      <c r="Y15" s="16" t="s">
        <v>330</v>
      </c>
      <c r="Z15" s="16" t="s">
        <v>331</v>
      </c>
      <c r="AA15" s="16" t="s">
        <v>332</v>
      </c>
      <c r="AB15" s="16" t="s">
        <v>333</v>
      </c>
      <c r="AC15" s="16" t="s">
        <v>334</v>
      </c>
      <c r="AD15" s="16" t="s">
        <v>335</v>
      </c>
      <c r="AE15" s="16" t="s">
        <v>84</v>
      </c>
      <c r="AF15" s="16" t="s">
        <v>84</v>
      </c>
      <c r="AG15" s="16">
        <v>89.9</v>
      </c>
      <c r="AH15" s="16">
        <v>89.9</v>
      </c>
      <c r="AI15" s="17">
        <v>89.9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 t="s">
        <v>85</v>
      </c>
      <c r="AP15" s="16" t="s">
        <v>336</v>
      </c>
      <c r="AQ15" s="16" t="s">
        <v>337</v>
      </c>
      <c r="AR15" s="16" t="s">
        <v>88</v>
      </c>
      <c r="AS15" s="16" t="s">
        <v>338</v>
      </c>
      <c r="AT15" s="16">
        <v>4.49</v>
      </c>
      <c r="AU15" s="16" t="s">
        <v>90</v>
      </c>
      <c r="AV15" s="16">
        <v>1.5</v>
      </c>
      <c r="AW15" s="16" t="s">
        <v>115</v>
      </c>
      <c r="AX15" s="16" t="s">
        <v>116</v>
      </c>
      <c r="AY15" s="16" t="s">
        <v>117</v>
      </c>
      <c r="AZ15" s="16" t="s">
        <v>118</v>
      </c>
      <c r="BA15" s="16" t="s">
        <v>119</v>
      </c>
      <c r="BB15" s="16">
        <v>0</v>
      </c>
      <c r="BC15" s="16" t="s">
        <v>84</v>
      </c>
      <c r="BD15" s="16" t="s">
        <v>90</v>
      </c>
      <c r="BE15" s="16" t="s">
        <v>320</v>
      </c>
      <c r="BF15" s="16" t="s">
        <v>321</v>
      </c>
      <c r="BG15" s="16" t="s">
        <v>322</v>
      </c>
      <c r="BH15" s="16" t="s">
        <v>339</v>
      </c>
      <c r="BI15" s="16" t="s">
        <v>273</v>
      </c>
      <c r="BJ15" s="16">
        <v>89.9</v>
      </c>
      <c r="BK15" s="16">
        <v>89.9</v>
      </c>
      <c r="BL15" s="16">
        <v>89.9</v>
      </c>
      <c r="BM15" s="16" t="s">
        <v>96</v>
      </c>
      <c r="BN15" s="16">
        <v>1</v>
      </c>
      <c r="BO15" s="16" t="s">
        <v>84</v>
      </c>
      <c r="BP15" s="16" t="s">
        <v>84</v>
      </c>
      <c r="BQ15" s="16" t="s">
        <v>84</v>
      </c>
      <c r="BR15" s="16" t="s">
        <v>97</v>
      </c>
      <c r="BS15" s="16" t="s">
        <v>98</v>
      </c>
      <c r="BT15" s="16">
        <v>0</v>
      </c>
    </row>
    <row r="16" s="1" customFormat="1" ht="16" customHeight="1" spans="1:72">
      <c r="A16" s="14">
        <f t="shared" si="0"/>
        <v>2025</v>
      </c>
      <c r="B16" s="14">
        <f t="shared" si="1"/>
        <v>8</v>
      </c>
      <c r="C16" s="14" t="str">
        <f t="shared" si="2"/>
        <v>3730175082753832192</v>
      </c>
      <c r="D16" s="14" cm="1">
        <f t="array" ref="D16">SUMPRODUCT(($R$2:$R$374=C16)*1)</f>
        <v>1</v>
      </c>
      <c r="E16" s="14" cm="1">
        <f t="array" ref="E16">SUMPRODUCT(($R$2:R16=C16)*1)</f>
        <v>1</v>
      </c>
      <c r="F16" s="15" t="str">
        <f t="shared" si="3"/>
        <v>Z507-黑色-L</v>
      </c>
      <c r="G16" s="14" t="str">
        <f t="shared" si="4"/>
        <v>Z507</v>
      </c>
      <c r="H16" s="15">
        <f t="shared" si="5"/>
        <v>1</v>
      </c>
      <c r="I16" s="14">
        <f t="shared" si="6"/>
        <v>89.9</v>
      </c>
      <c r="J16" s="15">
        <f t="shared" si="7"/>
        <v>0</v>
      </c>
      <c r="K16" s="15">
        <f t="shared" si="8"/>
        <v>0</v>
      </c>
      <c r="L16" s="15">
        <f t="shared" si="9"/>
        <v>-4.49</v>
      </c>
      <c r="M16" s="15">
        <f t="shared" si="10"/>
        <v>0</v>
      </c>
      <c r="N16" s="15">
        <f t="shared" si="11"/>
        <v>-1.5</v>
      </c>
      <c r="O16" s="15">
        <f t="shared" si="12"/>
        <v>83.91</v>
      </c>
      <c r="R16" s="16" t="s">
        <v>340</v>
      </c>
      <c r="S16" s="16" t="s">
        <v>341</v>
      </c>
      <c r="T16" s="16" t="s">
        <v>342</v>
      </c>
      <c r="U16" s="16" t="s">
        <v>343</v>
      </c>
      <c r="V16" s="16" t="s">
        <v>344</v>
      </c>
      <c r="W16" s="16" t="s">
        <v>76</v>
      </c>
      <c r="X16" s="16" t="s">
        <v>77</v>
      </c>
      <c r="Y16" s="16" t="s">
        <v>345</v>
      </c>
      <c r="Z16" s="16" t="s">
        <v>79</v>
      </c>
      <c r="AA16" s="16" t="s">
        <v>80</v>
      </c>
      <c r="AB16" s="16" t="s">
        <v>81</v>
      </c>
      <c r="AC16" s="16" t="s">
        <v>82</v>
      </c>
      <c r="AD16" s="16" t="s">
        <v>346</v>
      </c>
      <c r="AE16" s="16" t="s">
        <v>84</v>
      </c>
      <c r="AF16" s="16" t="s">
        <v>84</v>
      </c>
      <c r="AG16" s="16">
        <v>89.9</v>
      </c>
      <c r="AH16" s="16">
        <v>89.9</v>
      </c>
      <c r="AI16" s="17">
        <v>89.9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 t="s">
        <v>85</v>
      </c>
      <c r="AP16" s="16" t="s">
        <v>347</v>
      </c>
      <c r="AQ16" s="16" t="s">
        <v>348</v>
      </c>
      <c r="AR16" s="16" t="s">
        <v>88</v>
      </c>
      <c r="AS16" s="16" t="s">
        <v>349</v>
      </c>
      <c r="AT16" s="16">
        <v>4.49</v>
      </c>
      <c r="AU16" s="16" t="s">
        <v>90</v>
      </c>
      <c r="AV16" s="16">
        <v>1.5</v>
      </c>
      <c r="AW16" s="16" t="s">
        <v>115</v>
      </c>
      <c r="AX16" s="16" t="s">
        <v>116</v>
      </c>
      <c r="AY16" s="16" t="s">
        <v>117</v>
      </c>
      <c r="AZ16" s="16" t="s">
        <v>118</v>
      </c>
      <c r="BA16" s="16" t="s">
        <v>119</v>
      </c>
      <c r="BB16" s="16">
        <v>0</v>
      </c>
      <c r="BC16" s="16" t="s">
        <v>84</v>
      </c>
      <c r="BD16" s="16" t="s">
        <v>90</v>
      </c>
      <c r="BE16" s="16" t="s">
        <v>320</v>
      </c>
      <c r="BF16" s="16" t="s">
        <v>321</v>
      </c>
      <c r="BG16" s="16" t="s">
        <v>322</v>
      </c>
      <c r="BH16" s="16" t="s">
        <v>323</v>
      </c>
      <c r="BI16" s="16" t="s">
        <v>324</v>
      </c>
      <c r="BJ16" s="16">
        <v>89.9</v>
      </c>
      <c r="BK16" s="16">
        <v>89.9</v>
      </c>
      <c r="BL16" s="16">
        <v>89.9</v>
      </c>
      <c r="BM16" s="16" t="s">
        <v>96</v>
      </c>
      <c r="BN16" s="16">
        <v>1</v>
      </c>
      <c r="BO16" s="16" t="s">
        <v>84</v>
      </c>
      <c r="BP16" s="16" t="s">
        <v>84</v>
      </c>
      <c r="BQ16" s="16" t="s">
        <v>84</v>
      </c>
      <c r="BR16" s="16" t="s">
        <v>97</v>
      </c>
      <c r="BS16" s="16" t="s">
        <v>98</v>
      </c>
      <c r="BT16" s="16">
        <v>0</v>
      </c>
    </row>
    <row r="17" s="1" customFormat="1" ht="16" customHeight="1" spans="1:72">
      <c r="A17" s="14">
        <f t="shared" si="0"/>
        <v>2025</v>
      </c>
      <c r="B17" s="14">
        <f t="shared" si="1"/>
        <v>8</v>
      </c>
      <c r="C17" s="14" t="str">
        <f t="shared" si="2"/>
        <v>3730174667981463808</v>
      </c>
      <c r="D17" s="14" cm="1">
        <f t="array" ref="D17">SUMPRODUCT(($R$2:$R$374=C17)*1)</f>
        <v>1</v>
      </c>
      <c r="E17" s="14" cm="1">
        <f t="array" ref="E17">SUMPRODUCT(($R$2:R17=C17)*1)</f>
        <v>1</v>
      </c>
      <c r="F17" s="15" t="str">
        <f t="shared" si="3"/>
        <v>Z1645-黑色-M</v>
      </c>
      <c r="G17" s="14" t="str">
        <f t="shared" si="4"/>
        <v>Z1645</v>
      </c>
      <c r="H17" s="15">
        <f t="shared" si="5"/>
        <v>1</v>
      </c>
      <c r="I17" s="14">
        <f t="shared" si="6"/>
        <v>189</v>
      </c>
      <c r="J17" s="15">
        <f t="shared" si="7"/>
        <v>0</v>
      </c>
      <c r="K17" s="15">
        <f t="shared" si="8"/>
        <v>0</v>
      </c>
      <c r="L17" s="15">
        <f t="shared" si="9"/>
        <v>-9.45</v>
      </c>
      <c r="M17" s="15">
        <f t="shared" si="10"/>
        <v>0</v>
      </c>
      <c r="N17" s="15">
        <f t="shared" si="11"/>
        <v>-1.5</v>
      </c>
      <c r="O17" s="15">
        <f t="shared" si="12"/>
        <v>178.05</v>
      </c>
      <c r="R17" s="16" t="s">
        <v>350</v>
      </c>
      <c r="S17" s="16" t="s">
        <v>351</v>
      </c>
      <c r="T17" s="16" t="s">
        <v>294</v>
      </c>
      <c r="U17" s="16" t="s">
        <v>352</v>
      </c>
      <c r="V17" s="16" t="s">
        <v>353</v>
      </c>
      <c r="W17" s="16" t="s">
        <v>76</v>
      </c>
      <c r="X17" s="16" t="s">
        <v>77</v>
      </c>
      <c r="Y17" s="16" t="s">
        <v>354</v>
      </c>
      <c r="Z17" s="16" t="s">
        <v>355</v>
      </c>
      <c r="AA17" s="16" t="s">
        <v>107</v>
      </c>
      <c r="AB17" s="16" t="s">
        <v>356</v>
      </c>
      <c r="AC17" s="16" t="s">
        <v>357</v>
      </c>
      <c r="AD17" s="16" t="s">
        <v>358</v>
      </c>
      <c r="AE17" s="16" t="s">
        <v>84</v>
      </c>
      <c r="AF17" s="16" t="s">
        <v>84</v>
      </c>
      <c r="AG17" s="16">
        <v>189</v>
      </c>
      <c r="AH17" s="16">
        <v>189</v>
      </c>
      <c r="AI17" s="17">
        <v>189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 t="s">
        <v>137</v>
      </c>
      <c r="AP17" s="16" t="s">
        <v>359</v>
      </c>
      <c r="AQ17" s="16" t="s">
        <v>360</v>
      </c>
      <c r="AR17" s="16" t="s">
        <v>88</v>
      </c>
      <c r="AS17" s="16" t="s">
        <v>361</v>
      </c>
      <c r="AT17" s="16">
        <v>9.45</v>
      </c>
      <c r="AU17" s="16" t="s">
        <v>90</v>
      </c>
      <c r="AV17" s="16">
        <v>1.5</v>
      </c>
      <c r="AW17" s="16" t="s">
        <v>115</v>
      </c>
      <c r="AX17" s="16" t="s">
        <v>116</v>
      </c>
      <c r="AY17" s="16" t="s">
        <v>117</v>
      </c>
      <c r="AZ17" s="16" t="s">
        <v>118</v>
      </c>
      <c r="BA17" s="16" t="s">
        <v>119</v>
      </c>
      <c r="BB17" s="16">
        <v>0</v>
      </c>
      <c r="BC17" s="16" t="s">
        <v>84</v>
      </c>
      <c r="BD17" s="16" t="s">
        <v>90</v>
      </c>
      <c r="BE17" s="16" t="s">
        <v>304</v>
      </c>
      <c r="BF17" s="16" t="s">
        <v>305</v>
      </c>
      <c r="BG17" s="16" t="s">
        <v>306</v>
      </c>
      <c r="BH17" s="16" t="s">
        <v>307</v>
      </c>
      <c r="BI17" s="16" t="s">
        <v>308</v>
      </c>
      <c r="BJ17" s="16">
        <v>189</v>
      </c>
      <c r="BK17" s="16">
        <v>189</v>
      </c>
      <c r="BL17" s="16">
        <v>189</v>
      </c>
      <c r="BM17" s="16" t="s">
        <v>96</v>
      </c>
      <c r="BN17" s="16">
        <v>1</v>
      </c>
      <c r="BO17" s="16" t="s">
        <v>84</v>
      </c>
      <c r="BP17" s="16" t="s">
        <v>84</v>
      </c>
      <c r="BQ17" s="16" t="s">
        <v>84</v>
      </c>
      <c r="BR17" s="16" t="s">
        <v>97</v>
      </c>
      <c r="BS17" s="16" t="s">
        <v>98</v>
      </c>
      <c r="BT17" s="16">
        <v>0</v>
      </c>
    </row>
    <row r="18" s="1" customFormat="1" ht="16" customHeight="1" spans="1:72">
      <c r="A18" s="14">
        <f t="shared" si="0"/>
        <v>2025</v>
      </c>
      <c r="B18" s="14">
        <f t="shared" si="1"/>
        <v>8</v>
      </c>
      <c r="C18" s="14" t="str">
        <f t="shared" si="2"/>
        <v>3730173914101456640</v>
      </c>
      <c r="D18" s="14" cm="1">
        <f t="array" ref="D18">SUMPRODUCT(($R$2:$R$374=C18)*1)</f>
        <v>1</v>
      </c>
      <c r="E18" s="14" cm="1">
        <f t="array" ref="E18">SUMPRODUCT(($R$2:R18=C18)*1)</f>
        <v>1</v>
      </c>
      <c r="F18" s="15" t="str">
        <f t="shared" si="3"/>
        <v>Z1645-黑色-S</v>
      </c>
      <c r="G18" s="14" t="str">
        <f t="shared" si="4"/>
        <v>Z1645</v>
      </c>
      <c r="H18" s="15">
        <f t="shared" si="5"/>
        <v>1</v>
      </c>
      <c r="I18" s="14">
        <f t="shared" si="6"/>
        <v>189</v>
      </c>
      <c r="J18" s="15">
        <f t="shared" si="7"/>
        <v>0</v>
      </c>
      <c r="K18" s="15">
        <f t="shared" si="8"/>
        <v>0</v>
      </c>
      <c r="L18" s="15">
        <f t="shared" si="9"/>
        <v>-9.45</v>
      </c>
      <c r="M18" s="15">
        <f t="shared" si="10"/>
        <v>0</v>
      </c>
      <c r="N18" s="15">
        <f t="shared" si="11"/>
        <v>-1.5</v>
      </c>
      <c r="O18" s="15">
        <f t="shared" si="12"/>
        <v>178.05</v>
      </c>
      <c r="R18" s="16" t="s">
        <v>362</v>
      </c>
      <c r="S18" s="16" t="s">
        <v>363</v>
      </c>
      <c r="T18" s="16" t="s">
        <v>364</v>
      </c>
      <c r="U18" s="16" t="s">
        <v>365</v>
      </c>
      <c r="V18" s="16" t="s">
        <v>366</v>
      </c>
      <c r="W18" s="16" t="s">
        <v>76</v>
      </c>
      <c r="X18" s="16" t="s">
        <v>77</v>
      </c>
      <c r="Y18" s="16" t="s">
        <v>367</v>
      </c>
      <c r="Z18" s="16" t="s">
        <v>368</v>
      </c>
      <c r="AA18" s="16" t="s">
        <v>369</v>
      </c>
      <c r="AB18" s="16" t="s">
        <v>370</v>
      </c>
      <c r="AC18" s="16" t="s">
        <v>371</v>
      </c>
      <c r="AD18" s="16" t="s">
        <v>372</v>
      </c>
      <c r="AE18" s="16" t="s">
        <v>84</v>
      </c>
      <c r="AF18" s="16" t="s">
        <v>84</v>
      </c>
      <c r="AG18" s="16">
        <v>189</v>
      </c>
      <c r="AH18" s="16">
        <v>189</v>
      </c>
      <c r="AI18" s="17">
        <v>189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 t="s">
        <v>85</v>
      </c>
      <c r="AP18" s="16" t="s">
        <v>373</v>
      </c>
      <c r="AQ18" s="16" t="s">
        <v>374</v>
      </c>
      <c r="AR18" s="16" t="s">
        <v>88</v>
      </c>
      <c r="AS18" s="16" t="s">
        <v>375</v>
      </c>
      <c r="AT18" s="16">
        <v>9.45</v>
      </c>
      <c r="AU18" s="16" t="s">
        <v>90</v>
      </c>
      <c r="AV18" s="16">
        <v>1.5</v>
      </c>
      <c r="AW18" s="16" t="s">
        <v>115</v>
      </c>
      <c r="AX18" s="16" t="s">
        <v>116</v>
      </c>
      <c r="AY18" s="16" t="s">
        <v>117</v>
      </c>
      <c r="AZ18" s="16" t="s">
        <v>118</v>
      </c>
      <c r="BA18" s="16" t="s">
        <v>119</v>
      </c>
      <c r="BB18" s="16">
        <v>0</v>
      </c>
      <c r="BC18" s="16" t="s">
        <v>84</v>
      </c>
      <c r="BD18" s="16" t="s">
        <v>90</v>
      </c>
      <c r="BE18" s="16" t="s">
        <v>304</v>
      </c>
      <c r="BF18" s="16" t="s">
        <v>305</v>
      </c>
      <c r="BG18" s="16" t="s">
        <v>306</v>
      </c>
      <c r="BH18" s="16" t="s">
        <v>376</v>
      </c>
      <c r="BI18" s="16" t="s">
        <v>377</v>
      </c>
      <c r="BJ18" s="16">
        <v>189</v>
      </c>
      <c r="BK18" s="16">
        <v>189</v>
      </c>
      <c r="BL18" s="16">
        <v>189</v>
      </c>
      <c r="BM18" s="16" t="s">
        <v>96</v>
      </c>
      <c r="BN18" s="16">
        <v>1</v>
      </c>
      <c r="BO18" s="16" t="s">
        <v>84</v>
      </c>
      <c r="BP18" s="16" t="s">
        <v>84</v>
      </c>
      <c r="BQ18" s="16" t="s">
        <v>84</v>
      </c>
      <c r="BR18" s="16" t="s">
        <v>97</v>
      </c>
      <c r="BS18" s="16" t="s">
        <v>98</v>
      </c>
      <c r="BT18" s="16">
        <v>0</v>
      </c>
    </row>
    <row r="19" s="1" customFormat="1" ht="16" customHeight="1" spans="1:72">
      <c r="A19" s="14">
        <f t="shared" si="0"/>
        <v>2025</v>
      </c>
      <c r="B19" s="14">
        <f t="shared" si="1"/>
        <v>8</v>
      </c>
      <c r="C19" s="14" t="str">
        <f t="shared" si="2"/>
        <v>3730173860373734912</v>
      </c>
      <c r="D19" s="14" cm="1">
        <f t="array" ref="D19">SUMPRODUCT(($R$2:$R$374=C19)*1)</f>
        <v>1</v>
      </c>
      <c r="E19" s="14" cm="1">
        <f t="array" ref="E19">SUMPRODUCT(($R$2:R19=C19)*1)</f>
        <v>1</v>
      </c>
      <c r="F19" s="15" t="str">
        <f t="shared" si="3"/>
        <v>Z1645-黑色-M</v>
      </c>
      <c r="G19" s="14" t="str">
        <f t="shared" si="4"/>
        <v>Z1645</v>
      </c>
      <c r="H19" s="15">
        <f t="shared" si="5"/>
        <v>1</v>
      </c>
      <c r="I19" s="14">
        <f t="shared" si="6"/>
        <v>189</v>
      </c>
      <c r="J19" s="15">
        <f t="shared" si="7"/>
        <v>0</v>
      </c>
      <c r="K19" s="15">
        <f t="shared" si="8"/>
        <v>0</v>
      </c>
      <c r="L19" s="15">
        <f t="shared" si="9"/>
        <v>-9.45</v>
      </c>
      <c r="M19" s="15">
        <f t="shared" si="10"/>
        <v>0</v>
      </c>
      <c r="N19" s="15">
        <f t="shared" si="11"/>
        <v>-1.5</v>
      </c>
      <c r="O19" s="15">
        <f t="shared" si="12"/>
        <v>178.05</v>
      </c>
      <c r="R19" s="16" t="s">
        <v>378</v>
      </c>
      <c r="S19" s="16" t="s">
        <v>379</v>
      </c>
      <c r="T19" s="16" t="s">
        <v>294</v>
      </c>
      <c r="U19" s="16" t="s">
        <v>380</v>
      </c>
      <c r="V19" s="16" t="s">
        <v>381</v>
      </c>
      <c r="W19" s="16" t="s">
        <v>76</v>
      </c>
      <c r="X19" s="16" t="s">
        <v>77</v>
      </c>
      <c r="Y19" s="16" t="s">
        <v>382</v>
      </c>
      <c r="Z19" s="16" t="s">
        <v>383</v>
      </c>
      <c r="AA19" s="16" t="s">
        <v>384</v>
      </c>
      <c r="AB19" s="16" t="s">
        <v>385</v>
      </c>
      <c r="AC19" s="16" t="s">
        <v>386</v>
      </c>
      <c r="AD19" s="16" t="s">
        <v>387</v>
      </c>
      <c r="AE19" s="16" t="s">
        <v>84</v>
      </c>
      <c r="AF19" s="16" t="s">
        <v>84</v>
      </c>
      <c r="AG19" s="16">
        <v>189</v>
      </c>
      <c r="AH19" s="16">
        <v>189</v>
      </c>
      <c r="AI19" s="17">
        <v>189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 t="s">
        <v>85</v>
      </c>
      <c r="AP19" s="16" t="s">
        <v>388</v>
      </c>
      <c r="AQ19" s="16" t="s">
        <v>389</v>
      </c>
      <c r="AR19" s="16" t="s">
        <v>88</v>
      </c>
      <c r="AS19" s="16" t="s">
        <v>390</v>
      </c>
      <c r="AT19" s="16">
        <v>9.45</v>
      </c>
      <c r="AU19" s="16" t="s">
        <v>90</v>
      </c>
      <c r="AV19" s="16">
        <v>1.5</v>
      </c>
      <c r="AW19" s="16" t="s">
        <v>115</v>
      </c>
      <c r="AX19" s="16" t="s">
        <v>116</v>
      </c>
      <c r="AY19" s="16" t="s">
        <v>117</v>
      </c>
      <c r="AZ19" s="16" t="s">
        <v>118</v>
      </c>
      <c r="BA19" s="16" t="s">
        <v>119</v>
      </c>
      <c r="BB19" s="16">
        <v>0</v>
      </c>
      <c r="BC19" s="16" t="s">
        <v>84</v>
      </c>
      <c r="BD19" s="16" t="s">
        <v>90</v>
      </c>
      <c r="BE19" s="16" t="s">
        <v>304</v>
      </c>
      <c r="BF19" s="16" t="s">
        <v>305</v>
      </c>
      <c r="BG19" s="16" t="s">
        <v>306</v>
      </c>
      <c r="BH19" s="16" t="s">
        <v>307</v>
      </c>
      <c r="BI19" s="16" t="s">
        <v>308</v>
      </c>
      <c r="BJ19" s="16">
        <v>189</v>
      </c>
      <c r="BK19" s="16">
        <v>189</v>
      </c>
      <c r="BL19" s="16">
        <v>189</v>
      </c>
      <c r="BM19" s="16" t="s">
        <v>96</v>
      </c>
      <c r="BN19" s="16">
        <v>1</v>
      </c>
      <c r="BO19" s="16" t="s">
        <v>84</v>
      </c>
      <c r="BP19" s="16" t="s">
        <v>84</v>
      </c>
      <c r="BQ19" s="16" t="s">
        <v>84</v>
      </c>
      <c r="BR19" s="16" t="s">
        <v>97</v>
      </c>
      <c r="BS19" s="16" t="s">
        <v>98</v>
      </c>
      <c r="BT19" s="16">
        <v>0</v>
      </c>
    </row>
    <row r="20" s="1" customFormat="1" ht="16" customHeight="1" spans="1:72">
      <c r="A20" s="14">
        <f t="shared" si="0"/>
        <v>2025</v>
      </c>
      <c r="B20" s="14">
        <f t="shared" si="1"/>
        <v>8</v>
      </c>
      <c r="C20" s="14" t="str">
        <f t="shared" si="2"/>
        <v>3730173002979096064</v>
      </c>
      <c r="D20" s="14" cm="1">
        <f t="array" ref="D20">SUMPRODUCT(($R$2:$R$374=C20)*1)</f>
        <v>1</v>
      </c>
      <c r="E20" s="14" cm="1">
        <f t="array" ref="E20">SUMPRODUCT(($R$2:R20=C20)*1)</f>
        <v>1</v>
      </c>
      <c r="F20" s="15" t="str">
        <f t="shared" si="3"/>
        <v>Z1576-黑色-L</v>
      </c>
      <c r="G20" s="14" t="str">
        <f t="shared" si="4"/>
        <v>Z1576</v>
      </c>
      <c r="H20" s="15">
        <f t="shared" si="5"/>
        <v>1</v>
      </c>
      <c r="I20" s="14">
        <f t="shared" si="6"/>
        <v>199</v>
      </c>
      <c r="J20" s="15">
        <f t="shared" si="7"/>
        <v>0</v>
      </c>
      <c r="K20" s="15">
        <f t="shared" si="8"/>
        <v>0</v>
      </c>
      <c r="L20" s="15">
        <f t="shared" si="9"/>
        <v>-9.95</v>
      </c>
      <c r="M20" s="15">
        <f t="shared" si="10"/>
        <v>0</v>
      </c>
      <c r="N20" s="15">
        <f t="shared" si="11"/>
        <v>-1.5</v>
      </c>
      <c r="O20" s="15">
        <f t="shared" si="12"/>
        <v>187.55</v>
      </c>
      <c r="R20" s="16" t="s">
        <v>391</v>
      </c>
      <c r="S20" s="16" t="s">
        <v>392</v>
      </c>
      <c r="T20" s="16" t="s">
        <v>393</v>
      </c>
      <c r="U20" s="16" t="s">
        <v>394</v>
      </c>
      <c r="V20" s="16" t="s">
        <v>395</v>
      </c>
      <c r="W20" s="16" t="s">
        <v>76</v>
      </c>
      <c r="X20" s="16" t="s">
        <v>77</v>
      </c>
      <c r="Y20" s="16" t="s">
        <v>188</v>
      </c>
      <c r="Z20" s="16" t="s">
        <v>396</v>
      </c>
      <c r="AA20" s="16" t="s">
        <v>80</v>
      </c>
      <c r="AB20" s="16" t="s">
        <v>81</v>
      </c>
      <c r="AC20" s="16" t="s">
        <v>397</v>
      </c>
      <c r="AD20" s="16" t="s">
        <v>398</v>
      </c>
      <c r="AE20" s="16" t="s">
        <v>84</v>
      </c>
      <c r="AF20" s="16" t="s">
        <v>84</v>
      </c>
      <c r="AG20" s="16">
        <v>199</v>
      </c>
      <c r="AH20" s="16">
        <v>199</v>
      </c>
      <c r="AI20" s="17">
        <v>199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 t="s">
        <v>137</v>
      </c>
      <c r="AP20" s="16" t="s">
        <v>399</v>
      </c>
      <c r="AQ20" s="16" t="s">
        <v>400</v>
      </c>
      <c r="AR20" s="16" t="s">
        <v>88</v>
      </c>
      <c r="AS20" s="16" t="s">
        <v>401</v>
      </c>
      <c r="AT20" s="16">
        <v>9.95</v>
      </c>
      <c r="AU20" s="16" t="s">
        <v>90</v>
      </c>
      <c r="AV20" s="16">
        <v>1.5</v>
      </c>
      <c r="AW20" s="16" t="s">
        <v>115</v>
      </c>
      <c r="AX20" s="16" t="s">
        <v>116</v>
      </c>
      <c r="AY20" s="16" t="s">
        <v>117</v>
      </c>
      <c r="AZ20" s="16" t="s">
        <v>118</v>
      </c>
      <c r="BA20" s="16" t="s">
        <v>119</v>
      </c>
      <c r="BB20" s="16">
        <v>0</v>
      </c>
      <c r="BC20" s="16" t="s">
        <v>84</v>
      </c>
      <c r="BD20" s="16" t="s">
        <v>90</v>
      </c>
      <c r="BE20" s="16" t="s">
        <v>402</v>
      </c>
      <c r="BF20" s="16" t="s">
        <v>403</v>
      </c>
      <c r="BG20" s="16" t="s">
        <v>404</v>
      </c>
      <c r="BH20" s="16" t="s">
        <v>405</v>
      </c>
      <c r="BI20" s="16" t="s">
        <v>406</v>
      </c>
      <c r="BJ20" s="16">
        <v>199</v>
      </c>
      <c r="BK20" s="16">
        <v>199</v>
      </c>
      <c r="BL20" s="16">
        <v>199</v>
      </c>
      <c r="BM20" s="16" t="s">
        <v>96</v>
      </c>
      <c r="BN20" s="16">
        <v>1</v>
      </c>
      <c r="BO20" s="16" t="s">
        <v>84</v>
      </c>
      <c r="BP20" s="16" t="s">
        <v>84</v>
      </c>
      <c r="BQ20" s="16" t="s">
        <v>84</v>
      </c>
      <c r="BR20" s="16" t="s">
        <v>97</v>
      </c>
      <c r="BS20" s="16" t="s">
        <v>98</v>
      </c>
      <c r="BT20" s="16">
        <v>0</v>
      </c>
    </row>
    <row r="21" s="1" customFormat="1" ht="16" customHeight="1" spans="1:72">
      <c r="A21" s="14">
        <f t="shared" si="0"/>
        <v>2025</v>
      </c>
      <c r="B21" s="14">
        <f t="shared" si="1"/>
        <v>8</v>
      </c>
      <c r="C21" s="14" t="str">
        <f t="shared" si="2"/>
        <v>3730171810942688256</v>
      </c>
      <c r="D21" s="14" cm="1">
        <f t="array" ref="D21">SUMPRODUCT(($R$2:$R$374=C21)*1)</f>
        <v>1</v>
      </c>
      <c r="E21" s="14" cm="1">
        <f t="array" ref="E21">SUMPRODUCT(($R$2:R21=C21)*1)</f>
        <v>1</v>
      </c>
      <c r="F21" s="15" t="str">
        <f t="shared" si="3"/>
        <v>Z1581-黑色-M</v>
      </c>
      <c r="G21" s="14" t="str">
        <f t="shared" si="4"/>
        <v>Z1581</v>
      </c>
      <c r="H21" s="15">
        <f t="shared" si="5"/>
        <v>1</v>
      </c>
      <c r="I21" s="14">
        <f t="shared" si="6"/>
        <v>289</v>
      </c>
      <c r="J21" s="15">
        <f t="shared" si="7"/>
        <v>0</v>
      </c>
      <c r="K21" s="15">
        <f t="shared" si="8"/>
        <v>0</v>
      </c>
      <c r="L21" s="15">
        <f t="shared" si="9"/>
        <v>-14.45</v>
      </c>
      <c r="M21" s="15">
        <f t="shared" si="10"/>
        <v>0</v>
      </c>
      <c r="N21" s="15">
        <f t="shared" si="11"/>
        <v>-1.5</v>
      </c>
      <c r="O21" s="15">
        <f t="shared" si="12"/>
        <v>273.05</v>
      </c>
      <c r="R21" s="16" t="s">
        <v>407</v>
      </c>
      <c r="S21" s="16" t="s">
        <v>408</v>
      </c>
      <c r="T21" s="16" t="s">
        <v>409</v>
      </c>
      <c r="U21" s="16" t="s">
        <v>410</v>
      </c>
      <c r="V21" s="16" t="s">
        <v>411</v>
      </c>
      <c r="W21" s="16" t="s">
        <v>76</v>
      </c>
      <c r="X21" s="16" t="s">
        <v>77</v>
      </c>
      <c r="Y21" s="16" t="s">
        <v>412</v>
      </c>
      <c r="Z21" s="16" t="s">
        <v>413</v>
      </c>
      <c r="AA21" s="16" t="s">
        <v>243</v>
      </c>
      <c r="AB21" s="16" t="s">
        <v>244</v>
      </c>
      <c r="AC21" s="16" t="s">
        <v>414</v>
      </c>
      <c r="AD21" s="16" t="s">
        <v>415</v>
      </c>
      <c r="AE21" s="16" t="s">
        <v>84</v>
      </c>
      <c r="AF21" s="16" t="s">
        <v>84</v>
      </c>
      <c r="AG21" s="16">
        <v>289</v>
      </c>
      <c r="AH21" s="16">
        <v>289</v>
      </c>
      <c r="AI21" s="17">
        <v>289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 t="s">
        <v>85</v>
      </c>
      <c r="AP21" s="16" t="s">
        <v>416</v>
      </c>
      <c r="AQ21" s="16" t="s">
        <v>417</v>
      </c>
      <c r="AR21" s="16" t="s">
        <v>88</v>
      </c>
      <c r="AS21" s="16" t="s">
        <v>418</v>
      </c>
      <c r="AT21" s="16">
        <v>14.45</v>
      </c>
      <c r="AU21" s="16" t="s">
        <v>90</v>
      </c>
      <c r="AV21" s="16">
        <v>1.5</v>
      </c>
      <c r="AW21" s="16" t="s">
        <v>115</v>
      </c>
      <c r="AX21" s="16" t="s">
        <v>116</v>
      </c>
      <c r="AY21" s="16" t="s">
        <v>117</v>
      </c>
      <c r="AZ21" s="16" t="s">
        <v>118</v>
      </c>
      <c r="BA21" s="16" t="s">
        <v>119</v>
      </c>
      <c r="BB21" s="16">
        <v>0</v>
      </c>
      <c r="BC21" s="16" t="s">
        <v>84</v>
      </c>
      <c r="BD21" s="16" t="s">
        <v>90</v>
      </c>
      <c r="BE21" s="16" t="s">
        <v>419</v>
      </c>
      <c r="BF21" s="16" t="s">
        <v>420</v>
      </c>
      <c r="BG21" s="16" t="s">
        <v>421</v>
      </c>
      <c r="BH21" s="16" t="s">
        <v>422</v>
      </c>
      <c r="BI21" s="16" t="s">
        <v>308</v>
      </c>
      <c r="BJ21" s="16">
        <v>289</v>
      </c>
      <c r="BK21" s="16">
        <v>289</v>
      </c>
      <c r="BL21" s="16">
        <v>289</v>
      </c>
      <c r="BM21" s="16" t="s">
        <v>96</v>
      </c>
      <c r="BN21" s="16">
        <v>1</v>
      </c>
      <c r="BO21" s="16" t="s">
        <v>84</v>
      </c>
      <c r="BP21" s="16" t="s">
        <v>84</v>
      </c>
      <c r="BQ21" s="16" t="s">
        <v>84</v>
      </c>
      <c r="BR21" s="16" t="s">
        <v>97</v>
      </c>
      <c r="BS21" s="16" t="s">
        <v>98</v>
      </c>
      <c r="BT21" s="16">
        <v>0</v>
      </c>
    </row>
    <row r="22" s="1" customFormat="1" ht="16" customHeight="1" spans="1:72">
      <c r="A22" s="14">
        <f t="shared" si="0"/>
        <v>2025</v>
      </c>
      <c r="B22" s="14">
        <f t="shared" si="1"/>
        <v>8</v>
      </c>
      <c r="C22" s="14" t="str">
        <f t="shared" si="2"/>
        <v>3730170939485856512</v>
      </c>
      <c r="D22" s="14" cm="1">
        <f t="array" ref="D22">SUMPRODUCT(($R$2:$R$374=C22)*1)</f>
        <v>1</v>
      </c>
      <c r="E22" s="14" cm="1">
        <f t="array" ref="E22">SUMPRODUCT(($R$2:R22=C22)*1)</f>
        <v>1</v>
      </c>
      <c r="F22" s="15" t="str">
        <f t="shared" si="3"/>
        <v>Z1581-黑色-M</v>
      </c>
      <c r="G22" s="14" t="str">
        <f t="shared" si="4"/>
        <v>Z1581</v>
      </c>
      <c r="H22" s="15">
        <f t="shared" si="5"/>
        <v>1</v>
      </c>
      <c r="I22" s="14">
        <f t="shared" si="6"/>
        <v>289</v>
      </c>
      <c r="J22" s="15">
        <f t="shared" si="7"/>
        <v>0</v>
      </c>
      <c r="K22" s="15">
        <f t="shared" si="8"/>
        <v>0</v>
      </c>
      <c r="L22" s="15">
        <f t="shared" si="9"/>
        <v>-14.45</v>
      </c>
      <c r="M22" s="15">
        <f t="shared" si="10"/>
        <v>0</v>
      </c>
      <c r="N22" s="15">
        <f t="shared" si="11"/>
        <v>-1.5</v>
      </c>
      <c r="O22" s="15">
        <f t="shared" si="12"/>
        <v>273.05</v>
      </c>
      <c r="R22" s="16" t="s">
        <v>423</v>
      </c>
      <c r="S22" s="16" t="s">
        <v>424</v>
      </c>
      <c r="T22" s="16" t="s">
        <v>425</v>
      </c>
      <c r="U22" s="16" t="s">
        <v>426</v>
      </c>
      <c r="V22" s="16" t="s">
        <v>427</v>
      </c>
      <c r="W22" s="16" t="s">
        <v>76</v>
      </c>
      <c r="X22" s="16" t="s">
        <v>77</v>
      </c>
      <c r="Y22" s="16" t="s">
        <v>428</v>
      </c>
      <c r="Z22" s="16" t="s">
        <v>429</v>
      </c>
      <c r="AA22" s="16" t="s">
        <v>430</v>
      </c>
      <c r="AB22" s="16" t="s">
        <v>430</v>
      </c>
      <c r="AC22" s="16" t="s">
        <v>431</v>
      </c>
      <c r="AD22" s="16" t="s">
        <v>432</v>
      </c>
      <c r="AE22" s="16" t="s">
        <v>84</v>
      </c>
      <c r="AF22" s="16" t="s">
        <v>84</v>
      </c>
      <c r="AG22" s="16">
        <v>289</v>
      </c>
      <c r="AH22" s="16">
        <v>289</v>
      </c>
      <c r="AI22" s="17">
        <v>289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 t="s">
        <v>85</v>
      </c>
      <c r="AP22" s="16" t="s">
        <v>433</v>
      </c>
      <c r="AQ22" s="16" t="s">
        <v>434</v>
      </c>
      <c r="AR22" s="16" t="s">
        <v>88</v>
      </c>
      <c r="AS22" s="16" t="s">
        <v>435</v>
      </c>
      <c r="AT22" s="16">
        <v>14.45</v>
      </c>
      <c r="AU22" s="16" t="s">
        <v>90</v>
      </c>
      <c r="AV22" s="16">
        <v>1.5</v>
      </c>
      <c r="AW22" s="16" t="s">
        <v>115</v>
      </c>
      <c r="AX22" s="16" t="s">
        <v>116</v>
      </c>
      <c r="AY22" s="16" t="s">
        <v>117</v>
      </c>
      <c r="AZ22" s="16" t="s">
        <v>118</v>
      </c>
      <c r="BA22" s="16" t="s">
        <v>119</v>
      </c>
      <c r="BB22" s="16">
        <v>0</v>
      </c>
      <c r="BC22" s="16" t="s">
        <v>84</v>
      </c>
      <c r="BD22" s="16" t="s">
        <v>90</v>
      </c>
      <c r="BE22" s="16" t="s">
        <v>419</v>
      </c>
      <c r="BF22" s="16" t="s">
        <v>420</v>
      </c>
      <c r="BG22" s="16" t="s">
        <v>421</v>
      </c>
      <c r="BH22" s="16" t="s">
        <v>422</v>
      </c>
      <c r="BI22" s="16" t="s">
        <v>308</v>
      </c>
      <c r="BJ22" s="16">
        <v>289</v>
      </c>
      <c r="BK22" s="16">
        <v>289</v>
      </c>
      <c r="BL22" s="16">
        <v>289</v>
      </c>
      <c r="BM22" s="16" t="s">
        <v>96</v>
      </c>
      <c r="BN22" s="16">
        <v>1</v>
      </c>
      <c r="BO22" s="16" t="s">
        <v>84</v>
      </c>
      <c r="BP22" s="16" t="s">
        <v>84</v>
      </c>
      <c r="BQ22" s="16" t="s">
        <v>84</v>
      </c>
      <c r="BR22" s="16" t="s">
        <v>97</v>
      </c>
      <c r="BS22" s="16" t="s">
        <v>98</v>
      </c>
      <c r="BT22" s="16">
        <v>0</v>
      </c>
    </row>
    <row r="23" s="1" customFormat="1" ht="16" customHeight="1" spans="1:72">
      <c r="A23" s="14">
        <f t="shared" si="0"/>
        <v>2025</v>
      </c>
      <c r="B23" s="14">
        <f t="shared" si="1"/>
        <v>8</v>
      </c>
      <c r="C23" s="14" t="str">
        <f t="shared" si="2"/>
        <v>3730170301391184128</v>
      </c>
      <c r="D23" s="14" cm="1">
        <f t="array" ref="D23">SUMPRODUCT(($R$2:$R$374=C23)*1)</f>
        <v>1</v>
      </c>
      <c r="E23" s="14" cm="1">
        <f t="array" ref="E23">SUMPRODUCT(($R$2:R23=C23)*1)</f>
        <v>1</v>
      </c>
      <c r="F23" s="15" t="str">
        <f t="shared" si="3"/>
        <v>Z1581-黑色-S</v>
      </c>
      <c r="G23" s="14" t="str">
        <f t="shared" si="4"/>
        <v>Z1581</v>
      </c>
      <c r="H23" s="15">
        <f t="shared" si="5"/>
        <v>1</v>
      </c>
      <c r="I23" s="14">
        <f t="shared" si="6"/>
        <v>289</v>
      </c>
      <c r="J23" s="15">
        <f t="shared" si="7"/>
        <v>0</v>
      </c>
      <c r="K23" s="15">
        <f t="shared" si="8"/>
        <v>0</v>
      </c>
      <c r="L23" s="15">
        <f t="shared" si="9"/>
        <v>-14.45</v>
      </c>
      <c r="M23" s="15">
        <f t="shared" si="10"/>
        <v>0</v>
      </c>
      <c r="N23" s="15">
        <f t="shared" si="11"/>
        <v>-1.5</v>
      </c>
      <c r="O23" s="15">
        <f t="shared" si="12"/>
        <v>273.05</v>
      </c>
      <c r="R23" s="16" t="s">
        <v>436</v>
      </c>
      <c r="S23" s="16" t="s">
        <v>437</v>
      </c>
      <c r="T23" s="16" t="s">
        <v>438</v>
      </c>
      <c r="U23" s="16" t="s">
        <v>439</v>
      </c>
      <c r="V23" s="16" t="s">
        <v>440</v>
      </c>
      <c r="W23" s="16" t="s">
        <v>76</v>
      </c>
      <c r="X23" s="16" t="s">
        <v>77</v>
      </c>
      <c r="Y23" s="16" t="s">
        <v>260</v>
      </c>
      <c r="Z23" s="16" t="s">
        <v>441</v>
      </c>
      <c r="AA23" s="16" t="s">
        <v>80</v>
      </c>
      <c r="AB23" s="16" t="s">
        <v>442</v>
      </c>
      <c r="AC23" s="16" t="s">
        <v>443</v>
      </c>
      <c r="AD23" s="16" t="s">
        <v>444</v>
      </c>
      <c r="AE23" s="16" t="s">
        <v>84</v>
      </c>
      <c r="AF23" s="16" t="s">
        <v>84</v>
      </c>
      <c r="AG23" s="16">
        <v>289</v>
      </c>
      <c r="AH23" s="16">
        <v>289</v>
      </c>
      <c r="AI23" s="17">
        <v>289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 t="s">
        <v>85</v>
      </c>
      <c r="AP23" s="16" t="s">
        <v>445</v>
      </c>
      <c r="AQ23" s="16" t="s">
        <v>446</v>
      </c>
      <c r="AR23" s="16" t="s">
        <v>88</v>
      </c>
      <c r="AS23" s="16" t="s">
        <v>447</v>
      </c>
      <c r="AT23" s="16">
        <v>14.45</v>
      </c>
      <c r="AU23" s="16" t="s">
        <v>90</v>
      </c>
      <c r="AV23" s="16">
        <v>1.5</v>
      </c>
      <c r="AW23" s="16" t="s">
        <v>115</v>
      </c>
      <c r="AX23" s="16" t="s">
        <v>116</v>
      </c>
      <c r="AY23" s="16" t="s">
        <v>117</v>
      </c>
      <c r="AZ23" s="16" t="s">
        <v>118</v>
      </c>
      <c r="BA23" s="16" t="s">
        <v>119</v>
      </c>
      <c r="BB23" s="16">
        <v>0</v>
      </c>
      <c r="BC23" s="16" t="s">
        <v>84</v>
      </c>
      <c r="BD23" s="16" t="s">
        <v>90</v>
      </c>
      <c r="BE23" s="16" t="s">
        <v>419</v>
      </c>
      <c r="BF23" s="16" t="s">
        <v>420</v>
      </c>
      <c r="BG23" s="16" t="s">
        <v>421</v>
      </c>
      <c r="BH23" s="16" t="s">
        <v>448</v>
      </c>
      <c r="BI23" s="16" t="s">
        <v>377</v>
      </c>
      <c r="BJ23" s="16">
        <v>289</v>
      </c>
      <c r="BK23" s="16">
        <v>289</v>
      </c>
      <c r="BL23" s="16">
        <v>289</v>
      </c>
      <c r="BM23" s="16" t="s">
        <v>96</v>
      </c>
      <c r="BN23" s="16">
        <v>1</v>
      </c>
      <c r="BO23" s="16" t="s">
        <v>84</v>
      </c>
      <c r="BP23" s="16" t="s">
        <v>84</v>
      </c>
      <c r="BQ23" s="16" t="s">
        <v>84</v>
      </c>
      <c r="BR23" s="16" t="s">
        <v>97</v>
      </c>
      <c r="BS23" s="16" t="s">
        <v>98</v>
      </c>
      <c r="BT23" s="16">
        <v>0</v>
      </c>
    </row>
    <row r="24" s="1" customFormat="1" ht="16" customHeight="1" spans="1:72">
      <c r="A24" s="14">
        <f t="shared" si="0"/>
        <v>2025</v>
      </c>
      <c r="B24" s="14">
        <f t="shared" si="1"/>
        <v>8</v>
      </c>
      <c r="C24" s="14" t="str">
        <f t="shared" si="2"/>
        <v>3730169680180688896</v>
      </c>
      <c r="D24" s="14" cm="1">
        <f t="array" ref="D24">SUMPRODUCT(($R$2:$R$374=C24)*1)</f>
        <v>1</v>
      </c>
      <c r="E24" s="14" cm="1">
        <f t="array" ref="E24">SUMPRODUCT(($R$2:R24=C24)*1)</f>
        <v>1</v>
      </c>
      <c r="F24" s="15" t="str">
        <f t="shared" si="3"/>
        <v>Z1645-黑色-M</v>
      </c>
      <c r="G24" s="14" t="str">
        <f t="shared" si="4"/>
        <v>Z1645</v>
      </c>
      <c r="H24" s="15">
        <f t="shared" si="5"/>
        <v>1</v>
      </c>
      <c r="I24" s="14">
        <f t="shared" si="6"/>
        <v>189</v>
      </c>
      <c r="J24" s="15">
        <f t="shared" si="7"/>
        <v>0</v>
      </c>
      <c r="K24" s="15">
        <f t="shared" si="8"/>
        <v>0</v>
      </c>
      <c r="L24" s="15">
        <f t="shared" si="9"/>
        <v>-9.45</v>
      </c>
      <c r="M24" s="15">
        <f t="shared" si="10"/>
        <v>0</v>
      </c>
      <c r="N24" s="15">
        <f t="shared" si="11"/>
        <v>-1.5</v>
      </c>
      <c r="O24" s="15">
        <f t="shared" si="12"/>
        <v>178.05</v>
      </c>
      <c r="R24" s="16" t="s">
        <v>449</v>
      </c>
      <c r="S24" s="16" t="s">
        <v>450</v>
      </c>
      <c r="T24" s="16" t="s">
        <v>451</v>
      </c>
      <c r="U24" s="16" t="s">
        <v>452</v>
      </c>
      <c r="V24" s="16" t="s">
        <v>453</v>
      </c>
      <c r="W24" s="16" t="s">
        <v>76</v>
      </c>
      <c r="X24" s="16" t="s">
        <v>77</v>
      </c>
      <c r="Y24" s="16" t="s">
        <v>454</v>
      </c>
      <c r="Z24" s="16" t="s">
        <v>455</v>
      </c>
      <c r="AA24" s="16" t="s">
        <v>107</v>
      </c>
      <c r="AB24" s="16" t="s">
        <v>456</v>
      </c>
      <c r="AC24" s="16" t="s">
        <v>457</v>
      </c>
      <c r="AD24" s="16" t="s">
        <v>458</v>
      </c>
      <c r="AE24" s="16" t="s">
        <v>84</v>
      </c>
      <c r="AF24" s="16" t="s">
        <v>84</v>
      </c>
      <c r="AG24" s="16">
        <v>189</v>
      </c>
      <c r="AH24" s="16">
        <v>189</v>
      </c>
      <c r="AI24" s="17">
        <v>189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 t="s">
        <v>137</v>
      </c>
      <c r="AP24" s="16" t="s">
        <v>459</v>
      </c>
      <c r="AQ24" s="16" t="s">
        <v>460</v>
      </c>
      <c r="AR24" s="16" t="s">
        <v>88</v>
      </c>
      <c r="AS24" s="16" t="s">
        <v>461</v>
      </c>
      <c r="AT24" s="16">
        <v>9.45</v>
      </c>
      <c r="AU24" s="16" t="s">
        <v>90</v>
      </c>
      <c r="AV24" s="16">
        <v>1.5</v>
      </c>
      <c r="AW24" s="16" t="s">
        <v>115</v>
      </c>
      <c r="AX24" s="16" t="s">
        <v>116</v>
      </c>
      <c r="AY24" s="16" t="s">
        <v>117</v>
      </c>
      <c r="AZ24" s="16" t="s">
        <v>118</v>
      </c>
      <c r="BA24" s="16" t="s">
        <v>119</v>
      </c>
      <c r="BB24" s="16">
        <v>0</v>
      </c>
      <c r="BC24" s="16" t="s">
        <v>84</v>
      </c>
      <c r="BD24" s="16" t="s">
        <v>90</v>
      </c>
      <c r="BE24" s="16" t="s">
        <v>304</v>
      </c>
      <c r="BF24" s="16" t="s">
        <v>305</v>
      </c>
      <c r="BG24" s="16" t="s">
        <v>306</v>
      </c>
      <c r="BH24" s="16" t="s">
        <v>307</v>
      </c>
      <c r="BI24" s="16" t="s">
        <v>308</v>
      </c>
      <c r="BJ24" s="16">
        <v>189</v>
      </c>
      <c r="BK24" s="16">
        <v>189</v>
      </c>
      <c r="BL24" s="16">
        <v>189</v>
      </c>
      <c r="BM24" s="16" t="s">
        <v>96</v>
      </c>
      <c r="BN24" s="16">
        <v>1</v>
      </c>
      <c r="BO24" s="16" t="s">
        <v>84</v>
      </c>
      <c r="BP24" s="16" t="s">
        <v>84</v>
      </c>
      <c r="BQ24" s="16" t="s">
        <v>84</v>
      </c>
      <c r="BR24" s="16" t="s">
        <v>97</v>
      </c>
      <c r="BS24" s="16" t="s">
        <v>98</v>
      </c>
      <c r="BT24" s="16">
        <v>0</v>
      </c>
    </row>
    <row r="25" s="1" customFormat="1" ht="16" customHeight="1" spans="1:72">
      <c r="A25" s="14">
        <f t="shared" si="0"/>
        <v>2025</v>
      </c>
      <c r="B25" s="14">
        <f t="shared" si="1"/>
        <v>8</v>
      </c>
      <c r="C25" s="14" t="str">
        <f t="shared" si="2"/>
        <v>3730169659386639104</v>
      </c>
      <c r="D25" s="14" cm="1">
        <f t="array" ref="D25">SUMPRODUCT(($R$2:$R$374=C25)*1)</f>
        <v>1</v>
      </c>
      <c r="E25" s="14" cm="1">
        <f t="array" ref="E25">SUMPRODUCT(($R$2:R25=C25)*1)</f>
        <v>1</v>
      </c>
      <c r="F25" s="15" t="str">
        <f t="shared" si="3"/>
        <v>Z1576-黑色-M</v>
      </c>
      <c r="G25" s="14" t="str">
        <f t="shared" si="4"/>
        <v>Z1576</v>
      </c>
      <c r="H25" s="15">
        <f t="shared" si="5"/>
        <v>1</v>
      </c>
      <c r="I25" s="14">
        <f t="shared" si="6"/>
        <v>199</v>
      </c>
      <c r="J25" s="15">
        <f t="shared" si="7"/>
        <v>0</v>
      </c>
      <c r="K25" s="15">
        <f t="shared" si="8"/>
        <v>0</v>
      </c>
      <c r="L25" s="15">
        <f t="shared" si="9"/>
        <v>-9.95</v>
      </c>
      <c r="M25" s="15">
        <f t="shared" si="10"/>
        <v>0</v>
      </c>
      <c r="N25" s="15">
        <f t="shared" si="11"/>
        <v>-1.5</v>
      </c>
      <c r="O25" s="15">
        <f t="shared" si="12"/>
        <v>187.55</v>
      </c>
      <c r="R25" s="16" t="s">
        <v>462</v>
      </c>
      <c r="S25" s="16" t="s">
        <v>463</v>
      </c>
      <c r="T25" s="16" t="s">
        <v>464</v>
      </c>
      <c r="U25" s="16" t="s">
        <v>465</v>
      </c>
      <c r="V25" s="16" t="s">
        <v>466</v>
      </c>
      <c r="W25" s="16" t="s">
        <v>76</v>
      </c>
      <c r="X25" s="16" t="s">
        <v>77</v>
      </c>
      <c r="Y25" s="16" t="s">
        <v>467</v>
      </c>
      <c r="Z25" s="16" t="s">
        <v>468</v>
      </c>
      <c r="AA25" s="16" t="s">
        <v>107</v>
      </c>
      <c r="AB25" s="16" t="s">
        <v>108</v>
      </c>
      <c r="AC25" s="16" t="s">
        <v>469</v>
      </c>
      <c r="AD25" s="16" t="s">
        <v>470</v>
      </c>
      <c r="AE25" s="16" t="s">
        <v>84</v>
      </c>
      <c r="AF25" s="16" t="s">
        <v>84</v>
      </c>
      <c r="AG25" s="16">
        <v>199</v>
      </c>
      <c r="AH25" s="16">
        <v>199</v>
      </c>
      <c r="AI25" s="17">
        <v>199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 t="s">
        <v>85</v>
      </c>
      <c r="AP25" s="16" t="s">
        <v>471</v>
      </c>
      <c r="AQ25" s="16" t="s">
        <v>472</v>
      </c>
      <c r="AR25" s="16" t="s">
        <v>88</v>
      </c>
      <c r="AS25" s="16" t="s">
        <v>473</v>
      </c>
      <c r="AT25" s="16">
        <v>9.95</v>
      </c>
      <c r="AU25" s="16" t="s">
        <v>90</v>
      </c>
      <c r="AV25" s="16">
        <v>1.5</v>
      </c>
      <c r="AW25" s="16" t="s">
        <v>115</v>
      </c>
      <c r="AX25" s="16" t="s">
        <v>116</v>
      </c>
      <c r="AY25" s="16" t="s">
        <v>117</v>
      </c>
      <c r="AZ25" s="16" t="s">
        <v>118</v>
      </c>
      <c r="BA25" s="16" t="s">
        <v>119</v>
      </c>
      <c r="BB25" s="16">
        <v>0</v>
      </c>
      <c r="BC25" s="16" t="s">
        <v>84</v>
      </c>
      <c r="BD25" s="16" t="s">
        <v>90</v>
      </c>
      <c r="BE25" s="16" t="s">
        <v>402</v>
      </c>
      <c r="BF25" s="16" t="s">
        <v>403</v>
      </c>
      <c r="BG25" s="16" t="s">
        <v>404</v>
      </c>
      <c r="BH25" s="16" t="s">
        <v>474</v>
      </c>
      <c r="BI25" s="16" t="s">
        <v>308</v>
      </c>
      <c r="BJ25" s="16">
        <v>199</v>
      </c>
      <c r="BK25" s="16">
        <v>199</v>
      </c>
      <c r="BL25" s="16">
        <v>199</v>
      </c>
      <c r="BM25" s="16" t="s">
        <v>96</v>
      </c>
      <c r="BN25" s="16">
        <v>1</v>
      </c>
      <c r="BO25" s="16" t="s">
        <v>84</v>
      </c>
      <c r="BP25" s="16" t="s">
        <v>84</v>
      </c>
      <c r="BQ25" s="16" t="s">
        <v>84</v>
      </c>
      <c r="BR25" s="16" t="s">
        <v>97</v>
      </c>
      <c r="BS25" s="16" t="s">
        <v>98</v>
      </c>
      <c r="BT25" s="16">
        <v>0</v>
      </c>
    </row>
    <row r="26" s="1" customFormat="1" ht="16" customHeight="1" spans="1:72">
      <c r="A26" s="14">
        <f t="shared" si="0"/>
        <v>2025</v>
      </c>
      <c r="B26" s="14">
        <f t="shared" si="1"/>
        <v>8</v>
      </c>
      <c r="C26" s="14" t="str">
        <f t="shared" si="2"/>
        <v>3730169073287181056</v>
      </c>
      <c r="D26" s="14" cm="1">
        <f t="array" ref="D26">SUMPRODUCT(($R$2:$R$374=C26)*1)</f>
        <v>1</v>
      </c>
      <c r="E26" s="14" cm="1">
        <f t="array" ref="E26">SUMPRODUCT(($R$2:R26=C26)*1)</f>
        <v>1</v>
      </c>
      <c r="F26" s="15" t="str">
        <f t="shared" si="3"/>
        <v>Z925-人字纹-M</v>
      </c>
      <c r="G26" s="14" t="str">
        <f t="shared" si="4"/>
        <v>Z925</v>
      </c>
      <c r="H26" s="15">
        <f t="shared" si="5"/>
        <v>1</v>
      </c>
      <c r="I26" s="14">
        <f t="shared" si="6"/>
        <v>169</v>
      </c>
      <c r="J26" s="15">
        <f t="shared" si="7"/>
        <v>0</v>
      </c>
      <c r="K26" s="15">
        <f t="shared" si="8"/>
        <v>0</v>
      </c>
      <c r="L26" s="15">
        <f t="shared" si="9"/>
        <v>-1.69</v>
      </c>
      <c r="M26" s="15">
        <f t="shared" si="10"/>
        <v>0</v>
      </c>
      <c r="N26" s="15">
        <f t="shared" si="11"/>
        <v>-1.5</v>
      </c>
      <c r="O26" s="15">
        <f t="shared" si="12"/>
        <v>165.81</v>
      </c>
      <c r="R26" s="16" t="s">
        <v>475</v>
      </c>
      <c r="S26" s="16" t="s">
        <v>476</v>
      </c>
      <c r="T26" s="16" t="s">
        <v>477</v>
      </c>
      <c r="U26" s="16" t="s">
        <v>478</v>
      </c>
      <c r="V26" s="16" t="s">
        <v>479</v>
      </c>
      <c r="W26" s="16" t="s">
        <v>76</v>
      </c>
      <c r="X26" s="16" t="s">
        <v>77</v>
      </c>
      <c r="Y26" s="16" t="s">
        <v>480</v>
      </c>
      <c r="Z26" s="16" t="s">
        <v>481</v>
      </c>
      <c r="AA26" s="16" t="s">
        <v>482</v>
      </c>
      <c r="AB26" s="16" t="s">
        <v>483</v>
      </c>
      <c r="AC26" s="16" t="s">
        <v>484</v>
      </c>
      <c r="AD26" s="16" t="s">
        <v>485</v>
      </c>
      <c r="AE26" s="16" t="s">
        <v>84</v>
      </c>
      <c r="AF26" s="16" t="s">
        <v>84</v>
      </c>
      <c r="AG26" s="16">
        <v>169</v>
      </c>
      <c r="AH26" s="16">
        <v>169</v>
      </c>
      <c r="AI26" s="17">
        <v>169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 t="s">
        <v>137</v>
      </c>
      <c r="AP26" s="16" t="s">
        <v>486</v>
      </c>
      <c r="AQ26" s="16" t="s">
        <v>487</v>
      </c>
      <c r="AR26" s="16" t="s">
        <v>88</v>
      </c>
      <c r="AS26" s="16" t="s">
        <v>488</v>
      </c>
      <c r="AT26" s="16">
        <v>1.69</v>
      </c>
      <c r="AU26" s="16" t="s">
        <v>90</v>
      </c>
      <c r="AV26" s="16">
        <v>1.5</v>
      </c>
      <c r="AW26" s="16" t="s">
        <v>90</v>
      </c>
      <c r="AX26" s="16" t="s">
        <v>90</v>
      </c>
      <c r="AY26" s="16" t="s">
        <v>90</v>
      </c>
      <c r="AZ26" s="16" t="s">
        <v>90</v>
      </c>
      <c r="BA26" s="16" t="s">
        <v>90</v>
      </c>
      <c r="BB26" s="16">
        <v>0</v>
      </c>
      <c r="BC26" s="16"/>
      <c r="BD26" s="16" t="s">
        <v>90</v>
      </c>
      <c r="BE26" s="16" t="s">
        <v>489</v>
      </c>
      <c r="BF26" s="16" t="s">
        <v>490</v>
      </c>
      <c r="BG26" s="16" t="s">
        <v>491</v>
      </c>
      <c r="BH26" s="16" t="s">
        <v>492</v>
      </c>
      <c r="BI26" s="16" t="s">
        <v>493</v>
      </c>
      <c r="BJ26" s="16">
        <v>169</v>
      </c>
      <c r="BK26" s="16">
        <v>169</v>
      </c>
      <c r="BL26" s="16">
        <v>169</v>
      </c>
      <c r="BM26" s="16" t="s">
        <v>96</v>
      </c>
      <c r="BN26" s="16">
        <v>1</v>
      </c>
      <c r="BO26" s="16" t="s">
        <v>84</v>
      </c>
      <c r="BP26" s="16" t="s">
        <v>84</v>
      </c>
      <c r="BQ26" s="16" t="s">
        <v>84</v>
      </c>
      <c r="BR26" s="16" t="s">
        <v>97</v>
      </c>
      <c r="BS26" s="16" t="s">
        <v>98</v>
      </c>
      <c r="BT26" s="16">
        <v>0</v>
      </c>
    </row>
    <row r="27" s="1" customFormat="1" ht="16" customHeight="1" spans="1:72">
      <c r="A27" s="14">
        <f t="shared" si="0"/>
        <v>2025</v>
      </c>
      <c r="B27" s="14">
        <f t="shared" si="1"/>
        <v>8</v>
      </c>
      <c r="C27" s="14" t="str">
        <f t="shared" si="2"/>
        <v>3730168822346430464</v>
      </c>
      <c r="D27" s="14" cm="1">
        <f t="array" ref="D27">SUMPRODUCT(($R$2:$R$374=C27)*1)</f>
        <v>1</v>
      </c>
      <c r="E27" s="14" cm="1">
        <f t="array" ref="E27">SUMPRODUCT(($R$2:R27=C27)*1)</f>
        <v>1</v>
      </c>
      <c r="F27" s="15" t="str">
        <f t="shared" si="3"/>
        <v>Z1581-黑色-M</v>
      </c>
      <c r="G27" s="14" t="str">
        <f t="shared" si="4"/>
        <v>Z1581</v>
      </c>
      <c r="H27" s="15">
        <f t="shared" si="5"/>
        <v>1</v>
      </c>
      <c r="I27" s="14">
        <f t="shared" si="6"/>
        <v>289</v>
      </c>
      <c r="J27" s="15">
        <f t="shared" si="7"/>
        <v>0</v>
      </c>
      <c r="K27" s="15">
        <f t="shared" si="8"/>
        <v>0</v>
      </c>
      <c r="L27" s="15">
        <f t="shared" si="9"/>
        <v>-14.45</v>
      </c>
      <c r="M27" s="15">
        <f t="shared" si="10"/>
        <v>0</v>
      </c>
      <c r="N27" s="15">
        <f t="shared" si="11"/>
        <v>-1.5</v>
      </c>
      <c r="O27" s="15">
        <f t="shared" si="12"/>
        <v>273.05</v>
      </c>
      <c r="R27" s="16" t="s">
        <v>494</v>
      </c>
      <c r="S27" s="16" t="s">
        <v>495</v>
      </c>
      <c r="T27" s="16" t="s">
        <v>496</v>
      </c>
      <c r="U27" s="16" t="s">
        <v>497</v>
      </c>
      <c r="V27" s="16" t="s">
        <v>498</v>
      </c>
      <c r="W27" s="16" t="s">
        <v>76</v>
      </c>
      <c r="X27" s="16" t="s">
        <v>77</v>
      </c>
      <c r="Y27" s="16" t="s">
        <v>188</v>
      </c>
      <c r="Z27" s="16" t="s">
        <v>499</v>
      </c>
      <c r="AA27" s="16" t="s">
        <v>430</v>
      </c>
      <c r="AB27" s="16" t="s">
        <v>430</v>
      </c>
      <c r="AC27" s="16" t="s">
        <v>500</v>
      </c>
      <c r="AD27" s="16" t="s">
        <v>501</v>
      </c>
      <c r="AE27" s="16" t="s">
        <v>84</v>
      </c>
      <c r="AF27" s="16" t="s">
        <v>84</v>
      </c>
      <c r="AG27" s="16">
        <v>289</v>
      </c>
      <c r="AH27" s="16">
        <v>289</v>
      </c>
      <c r="AI27" s="17">
        <v>289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 t="s">
        <v>85</v>
      </c>
      <c r="AP27" s="16" t="s">
        <v>502</v>
      </c>
      <c r="AQ27" s="16" t="s">
        <v>503</v>
      </c>
      <c r="AR27" s="16" t="s">
        <v>88</v>
      </c>
      <c r="AS27" s="16" t="s">
        <v>504</v>
      </c>
      <c r="AT27" s="16">
        <v>14.45</v>
      </c>
      <c r="AU27" s="16" t="s">
        <v>90</v>
      </c>
      <c r="AV27" s="16">
        <v>1.5</v>
      </c>
      <c r="AW27" s="16" t="s">
        <v>115</v>
      </c>
      <c r="AX27" s="16" t="s">
        <v>116</v>
      </c>
      <c r="AY27" s="16" t="s">
        <v>117</v>
      </c>
      <c r="AZ27" s="16" t="s">
        <v>118</v>
      </c>
      <c r="BA27" s="16" t="s">
        <v>119</v>
      </c>
      <c r="BB27" s="16">
        <v>0</v>
      </c>
      <c r="BC27" s="16" t="s">
        <v>84</v>
      </c>
      <c r="BD27" s="16" t="s">
        <v>90</v>
      </c>
      <c r="BE27" s="16" t="s">
        <v>419</v>
      </c>
      <c r="BF27" s="16" t="s">
        <v>420</v>
      </c>
      <c r="BG27" s="16" t="s">
        <v>421</v>
      </c>
      <c r="BH27" s="16" t="s">
        <v>422</v>
      </c>
      <c r="BI27" s="16" t="s">
        <v>308</v>
      </c>
      <c r="BJ27" s="16">
        <v>289</v>
      </c>
      <c r="BK27" s="16">
        <v>289</v>
      </c>
      <c r="BL27" s="16">
        <v>289</v>
      </c>
      <c r="BM27" s="16" t="s">
        <v>96</v>
      </c>
      <c r="BN27" s="16">
        <v>1</v>
      </c>
      <c r="BO27" s="16" t="s">
        <v>84</v>
      </c>
      <c r="BP27" s="16" t="s">
        <v>84</v>
      </c>
      <c r="BQ27" s="16" t="s">
        <v>84</v>
      </c>
      <c r="BR27" s="16" t="s">
        <v>97</v>
      </c>
      <c r="BS27" s="16" t="s">
        <v>98</v>
      </c>
      <c r="BT27" s="16">
        <v>0</v>
      </c>
    </row>
    <row r="28" s="1" customFormat="1" ht="16" customHeight="1" spans="1:72">
      <c r="A28" s="14">
        <f t="shared" si="0"/>
        <v>2025</v>
      </c>
      <c r="B28" s="14">
        <f t="shared" si="1"/>
        <v>8</v>
      </c>
      <c r="C28" s="14" t="str">
        <f t="shared" si="2"/>
        <v>3730165534436501504</v>
      </c>
      <c r="D28" s="14" cm="1">
        <f t="array" ref="D28">SUMPRODUCT(($R$2:$R$374=C28)*1)</f>
        <v>1</v>
      </c>
      <c r="E28" s="14" cm="1">
        <f t="array" ref="E28">SUMPRODUCT(($R$2:R28=C28)*1)</f>
        <v>1</v>
      </c>
      <c r="F28" s="15" t="str">
        <f t="shared" si="3"/>
        <v>Z2271-条纹-S</v>
      </c>
      <c r="G28" s="14" t="str">
        <f t="shared" si="4"/>
        <v>Z2271</v>
      </c>
      <c r="H28" s="15">
        <f t="shared" si="5"/>
        <v>1</v>
      </c>
      <c r="I28" s="14">
        <f t="shared" si="6"/>
        <v>289</v>
      </c>
      <c r="J28" s="15">
        <f t="shared" si="7"/>
        <v>0</v>
      </c>
      <c r="K28" s="15">
        <f t="shared" si="8"/>
        <v>0</v>
      </c>
      <c r="L28" s="15">
        <f t="shared" si="9"/>
        <v>-14.45</v>
      </c>
      <c r="M28" s="15">
        <f t="shared" si="10"/>
        <v>0</v>
      </c>
      <c r="N28" s="15">
        <f t="shared" si="11"/>
        <v>-1.5</v>
      </c>
      <c r="O28" s="15">
        <f t="shared" si="12"/>
        <v>273.05</v>
      </c>
      <c r="R28" s="16" t="s">
        <v>505</v>
      </c>
      <c r="S28" s="16" t="s">
        <v>506</v>
      </c>
      <c r="T28" s="16" t="s">
        <v>507</v>
      </c>
      <c r="U28" s="16" t="s">
        <v>508</v>
      </c>
      <c r="V28" s="16" t="s">
        <v>509</v>
      </c>
      <c r="W28" s="16" t="s">
        <v>76</v>
      </c>
      <c r="X28" s="16" t="s">
        <v>77</v>
      </c>
      <c r="Y28" s="16" t="s">
        <v>510</v>
      </c>
      <c r="Z28" s="16" t="s">
        <v>511</v>
      </c>
      <c r="AA28" s="16" t="s">
        <v>512</v>
      </c>
      <c r="AB28" s="16" t="s">
        <v>513</v>
      </c>
      <c r="AC28" s="16" t="s">
        <v>514</v>
      </c>
      <c r="AD28" s="16" t="s">
        <v>515</v>
      </c>
      <c r="AE28" s="16" t="s">
        <v>84</v>
      </c>
      <c r="AF28" s="16" t="s">
        <v>84</v>
      </c>
      <c r="AG28" s="16">
        <v>289</v>
      </c>
      <c r="AH28" s="16">
        <v>289</v>
      </c>
      <c r="AI28" s="17">
        <v>289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 t="s">
        <v>85</v>
      </c>
      <c r="AP28" s="16" t="s">
        <v>516</v>
      </c>
      <c r="AQ28" s="16" t="s">
        <v>517</v>
      </c>
      <c r="AR28" s="16" t="s">
        <v>88</v>
      </c>
      <c r="AS28" s="16" t="s">
        <v>518</v>
      </c>
      <c r="AT28" s="16">
        <v>14.45</v>
      </c>
      <c r="AU28" s="16" t="s">
        <v>90</v>
      </c>
      <c r="AV28" s="16">
        <v>1.5</v>
      </c>
      <c r="AW28" s="16" t="s">
        <v>115</v>
      </c>
      <c r="AX28" s="16" t="s">
        <v>116</v>
      </c>
      <c r="AY28" s="16" t="s">
        <v>117</v>
      </c>
      <c r="AZ28" s="16" t="s">
        <v>118</v>
      </c>
      <c r="BA28" s="16" t="s">
        <v>119</v>
      </c>
      <c r="BB28" s="16">
        <v>0</v>
      </c>
      <c r="BC28" s="16" t="s">
        <v>84</v>
      </c>
      <c r="BD28" s="16" t="s">
        <v>90</v>
      </c>
      <c r="BE28" s="16" t="s">
        <v>519</v>
      </c>
      <c r="BF28" s="16" t="s">
        <v>520</v>
      </c>
      <c r="BG28" s="16" t="s">
        <v>521</v>
      </c>
      <c r="BH28" s="16" t="s">
        <v>522</v>
      </c>
      <c r="BI28" s="16" t="s">
        <v>523</v>
      </c>
      <c r="BJ28" s="16">
        <v>289</v>
      </c>
      <c r="BK28" s="16">
        <v>289</v>
      </c>
      <c r="BL28" s="16">
        <v>289</v>
      </c>
      <c r="BM28" s="16" t="s">
        <v>96</v>
      </c>
      <c r="BN28" s="16">
        <v>1</v>
      </c>
      <c r="BO28" s="16" t="s">
        <v>84</v>
      </c>
      <c r="BP28" s="16" t="s">
        <v>84</v>
      </c>
      <c r="BQ28" s="16" t="s">
        <v>84</v>
      </c>
      <c r="BR28" s="16" t="s">
        <v>97</v>
      </c>
      <c r="BS28" s="16" t="s">
        <v>98</v>
      </c>
      <c r="BT28" s="16">
        <v>0</v>
      </c>
    </row>
    <row r="29" s="1" customFormat="1" ht="16" customHeight="1" spans="1:72">
      <c r="A29" s="14">
        <f t="shared" si="0"/>
        <v>2025</v>
      </c>
      <c r="B29" s="14">
        <f t="shared" si="1"/>
        <v>8</v>
      </c>
      <c r="C29" s="14" t="str">
        <f t="shared" si="2"/>
        <v>3730164457694176000</v>
      </c>
      <c r="D29" s="14" cm="1">
        <f t="array" ref="D29">SUMPRODUCT(($R$2:$R$374=C29)*1)</f>
        <v>1</v>
      </c>
      <c r="E29" s="14" cm="1">
        <f t="array" ref="E29">SUMPRODUCT(($R$2:R29=C29)*1)</f>
        <v>1</v>
      </c>
      <c r="F29" s="15" t="str">
        <f t="shared" si="3"/>
        <v>Z657-黑色-M</v>
      </c>
      <c r="G29" s="14" t="str">
        <f t="shared" si="4"/>
        <v>Z657</v>
      </c>
      <c r="H29" s="15">
        <f t="shared" si="5"/>
        <v>1</v>
      </c>
      <c r="I29" s="14">
        <f t="shared" si="6"/>
        <v>119</v>
      </c>
      <c r="J29" s="15">
        <f t="shared" si="7"/>
        <v>0</v>
      </c>
      <c r="K29" s="15">
        <f t="shared" si="8"/>
        <v>0</v>
      </c>
      <c r="L29" s="15">
        <f t="shared" si="9"/>
        <v>-1.19</v>
      </c>
      <c r="M29" s="15">
        <f t="shared" si="10"/>
        <v>0</v>
      </c>
      <c r="N29" s="15">
        <f t="shared" si="11"/>
        <v>-1.5</v>
      </c>
      <c r="O29" s="15">
        <f t="shared" si="12"/>
        <v>116.31</v>
      </c>
      <c r="R29" s="16" t="s">
        <v>524</v>
      </c>
      <c r="S29" s="16" t="s">
        <v>525</v>
      </c>
      <c r="T29" s="16" t="s">
        <v>526</v>
      </c>
      <c r="U29" s="16" t="s">
        <v>527</v>
      </c>
      <c r="V29" s="16" t="s">
        <v>528</v>
      </c>
      <c r="W29" s="16" t="s">
        <v>76</v>
      </c>
      <c r="X29" s="16" t="s">
        <v>77</v>
      </c>
      <c r="Y29" s="16" t="s">
        <v>529</v>
      </c>
      <c r="Z29" s="16" t="s">
        <v>530</v>
      </c>
      <c r="AA29" s="16" t="s">
        <v>482</v>
      </c>
      <c r="AB29" s="16" t="s">
        <v>483</v>
      </c>
      <c r="AC29" s="16" t="s">
        <v>531</v>
      </c>
      <c r="AD29" s="16" t="s">
        <v>532</v>
      </c>
      <c r="AE29" s="16" t="s">
        <v>84</v>
      </c>
      <c r="AF29" s="16" t="s">
        <v>84</v>
      </c>
      <c r="AG29" s="16">
        <v>119</v>
      </c>
      <c r="AH29" s="16">
        <v>119</v>
      </c>
      <c r="AI29" s="17">
        <v>119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 t="s">
        <v>85</v>
      </c>
      <c r="AP29" s="16" t="s">
        <v>533</v>
      </c>
      <c r="AQ29" s="16" t="s">
        <v>534</v>
      </c>
      <c r="AR29" s="16" t="s">
        <v>88</v>
      </c>
      <c r="AS29" s="16" t="s">
        <v>535</v>
      </c>
      <c r="AT29" s="16">
        <v>1.19</v>
      </c>
      <c r="AU29" s="16" t="s">
        <v>90</v>
      </c>
      <c r="AV29" s="16">
        <v>1.5</v>
      </c>
      <c r="AW29" s="16" t="s">
        <v>90</v>
      </c>
      <c r="AX29" s="16" t="s">
        <v>90</v>
      </c>
      <c r="AY29" s="16" t="s">
        <v>90</v>
      </c>
      <c r="AZ29" s="16" t="s">
        <v>90</v>
      </c>
      <c r="BA29" s="16" t="s">
        <v>90</v>
      </c>
      <c r="BB29" s="16">
        <v>0</v>
      </c>
      <c r="BC29" s="16"/>
      <c r="BD29" s="16" t="s">
        <v>90</v>
      </c>
      <c r="BE29" s="16" t="s">
        <v>250</v>
      </c>
      <c r="BF29" s="16" t="s">
        <v>251</v>
      </c>
      <c r="BG29" s="16" t="s">
        <v>252</v>
      </c>
      <c r="BH29" s="16" t="s">
        <v>536</v>
      </c>
      <c r="BI29" s="16" t="s">
        <v>537</v>
      </c>
      <c r="BJ29" s="16">
        <v>119</v>
      </c>
      <c r="BK29" s="16">
        <v>119</v>
      </c>
      <c r="BL29" s="16">
        <v>119</v>
      </c>
      <c r="BM29" s="16" t="s">
        <v>96</v>
      </c>
      <c r="BN29" s="16">
        <v>1</v>
      </c>
      <c r="BO29" s="16" t="s">
        <v>84</v>
      </c>
      <c r="BP29" s="16" t="s">
        <v>84</v>
      </c>
      <c r="BQ29" s="16" t="s">
        <v>84</v>
      </c>
      <c r="BR29" s="16" t="s">
        <v>97</v>
      </c>
      <c r="BS29" s="16" t="s">
        <v>98</v>
      </c>
      <c r="BT29" s="16">
        <v>0</v>
      </c>
    </row>
    <row r="30" s="1" customFormat="1" ht="16" customHeight="1" spans="1:72">
      <c r="A30" s="14">
        <f t="shared" si="0"/>
        <v>2025</v>
      </c>
      <c r="B30" s="14">
        <f t="shared" si="1"/>
        <v>8</v>
      </c>
      <c r="C30" s="14" t="str">
        <f t="shared" si="2"/>
        <v>3730130842699576576</v>
      </c>
      <c r="D30" s="14" cm="1">
        <f t="array" ref="D30">SUMPRODUCT(($R$2:$R$374=C30)*1)</f>
        <v>1</v>
      </c>
      <c r="E30" s="14" cm="1">
        <f t="array" ref="E30">SUMPRODUCT(($R$2:R30=C30)*1)</f>
        <v>1</v>
      </c>
      <c r="F30" s="15" t="str">
        <f t="shared" si="3"/>
        <v>Z1682-浅卡其色-M</v>
      </c>
      <c r="G30" s="14" t="str">
        <f t="shared" si="4"/>
        <v>Z1682</v>
      </c>
      <c r="H30" s="15">
        <f t="shared" si="5"/>
        <v>1</v>
      </c>
      <c r="I30" s="14">
        <f t="shared" si="6"/>
        <v>599</v>
      </c>
      <c r="J30" s="15">
        <f t="shared" si="7"/>
        <v>0</v>
      </c>
      <c r="K30" s="15">
        <f t="shared" si="8"/>
        <v>10</v>
      </c>
      <c r="L30" s="15">
        <f t="shared" si="9"/>
        <v>-29.95</v>
      </c>
      <c r="M30" s="15">
        <f t="shared" si="10"/>
        <v>0</v>
      </c>
      <c r="N30" s="15">
        <f t="shared" si="11"/>
        <v>-1.5</v>
      </c>
      <c r="O30" s="15">
        <f t="shared" si="12"/>
        <v>577.55</v>
      </c>
      <c r="R30" s="16" t="s">
        <v>538</v>
      </c>
      <c r="S30" s="16" t="s">
        <v>539</v>
      </c>
      <c r="T30" s="16" t="s">
        <v>540</v>
      </c>
      <c r="U30" s="16" t="s">
        <v>541</v>
      </c>
      <c r="V30" s="16" t="s">
        <v>542</v>
      </c>
      <c r="W30" s="16" t="s">
        <v>76</v>
      </c>
      <c r="X30" s="16" t="s">
        <v>77</v>
      </c>
      <c r="Y30" s="16" t="s">
        <v>543</v>
      </c>
      <c r="Z30" s="16" t="s">
        <v>544</v>
      </c>
      <c r="AA30" s="16" t="s">
        <v>207</v>
      </c>
      <c r="AB30" s="16" t="s">
        <v>545</v>
      </c>
      <c r="AC30" s="16" t="s">
        <v>546</v>
      </c>
      <c r="AD30" s="16" t="s">
        <v>547</v>
      </c>
      <c r="AE30" s="16" t="s">
        <v>84</v>
      </c>
      <c r="AF30" s="16" t="s">
        <v>84</v>
      </c>
      <c r="AG30" s="16">
        <v>599</v>
      </c>
      <c r="AH30" s="16">
        <v>609</v>
      </c>
      <c r="AI30" s="17">
        <v>609</v>
      </c>
      <c r="AJ30" s="16">
        <v>10</v>
      </c>
      <c r="AK30" s="16">
        <v>0</v>
      </c>
      <c r="AL30" s="16">
        <v>0</v>
      </c>
      <c r="AM30" s="16">
        <v>0</v>
      </c>
      <c r="AN30" s="16">
        <v>0</v>
      </c>
      <c r="AO30" s="16" t="s">
        <v>137</v>
      </c>
      <c r="AP30" s="16" t="s">
        <v>548</v>
      </c>
      <c r="AQ30" s="16" t="s">
        <v>549</v>
      </c>
      <c r="AR30" s="16" t="s">
        <v>88</v>
      </c>
      <c r="AS30" s="16" t="s">
        <v>550</v>
      </c>
      <c r="AT30" s="16">
        <v>29.95</v>
      </c>
      <c r="AU30" s="16" t="s">
        <v>90</v>
      </c>
      <c r="AV30" s="16">
        <v>1.5</v>
      </c>
      <c r="AW30" s="16" t="s">
        <v>115</v>
      </c>
      <c r="AX30" s="16" t="s">
        <v>116</v>
      </c>
      <c r="AY30" s="16" t="s">
        <v>117</v>
      </c>
      <c r="AZ30" s="16" t="s">
        <v>118</v>
      </c>
      <c r="BA30" s="16" t="s">
        <v>119</v>
      </c>
      <c r="BB30" s="16">
        <v>0</v>
      </c>
      <c r="BC30" s="16" t="s">
        <v>84</v>
      </c>
      <c r="BD30" s="16" t="s">
        <v>90</v>
      </c>
      <c r="BE30" s="16" t="s">
        <v>551</v>
      </c>
      <c r="BF30" s="16" t="s">
        <v>552</v>
      </c>
      <c r="BG30" s="16" t="s">
        <v>553</v>
      </c>
      <c r="BH30" s="16" t="s">
        <v>554</v>
      </c>
      <c r="BI30" s="16" t="s">
        <v>555</v>
      </c>
      <c r="BJ30" s="16">
        <v>599</v>
      </c>
      <c r="BK30" s="16">
        <v>599</v>
      </c>
      <c r="BL30" s="16">
        <v>599</v>
      </c>
      <c r="BM30" s="16" t="s">
        <v>96</v>
      </c>
      <c r="BN30" s="16">
        <v>1</v>
      </c>
      <c r="BO30" s="16" t="s">
        <v>84</v>
      </c>
      <c r="BP30" s="16" t="s">
        <v>84</v>
      </c>
      <c r="BQ30" s="16" t="s">
        <v>84</v>
      </c>
      <c r="BR30" s="16" t="s">
        <v>97</v>
      </c>
      <c r="BS30" s="16" t="s">
        <v>98</v>
      </c>
      <c r="BT30" s="16">
        <v>0</v>
      </c>
    </row>
    <row r="31" s="1" customFormat="1" ht="16" customHeight="1" spans="1:72">
      <c r="A31" s="14">
        <f t="shared" si="0"/>
        <v>2025</v>
      </c>
      <c r="B31" s="14">
        <f t="shared" si="1"/>
        <v>8</v>
      </c>
      <c r="C31" s="14" t="str">
        <f t="shared" si="2"/>
        <v>3730123218604137728</v>
      </c>
      <c r="D31" s="14" cm="1">
        <f t="array" ref="D31">SUMPRODUCT(($R$2:$R$374=C31)*1)</f>
        <v>1</v>
      </c>
      <c r="E31" s="14" cm="1">
        <f t="array" ref="E31">SUMPRODUCT(($R$2:R31=C31)*1)</f>
        <v>1</v>
      </c>
      <c r="F31" s="15" t="str">
        <f t="shared" si="3"/>
        <v>P127-银色</v>
      </c>
      <c r="G31" s="14" t="str">
        <f t="shared" si="4"/>
        <v>P127</v>
      </c>
      <c r="H31" s="15">
        <f t="shared" si="5"/>
        <v>1</v>
      </c>
      <c r="I31" s="14">
        <f t="shared" si="6"/>
        <v>179</v>
      </c>
      <c r="J31" s="15">
        <f t="shared" si="7"/>
        <v>0</v>
      </c>
      <c r="K31" s="15">
        <f t="shared" si="8"/>
        <v>10</v>
      </c>
      <c r="L31" s="15">
        <f t="shared" si="9"/>
        <v>-1.79</v>
      </c>
      <c r="M31" s="15">
        <f t="shared" si="10"/>
        <v>0</v>
      </c>
      <c r="N31" s="15">
        <f t="shared" si="11"/>
        <v>-1.98</v>
      </c>
      <c r="O31" s="15">
        <f t="shared" si="12"/>
        <v>185.23</v>
      </c>
      <c r="R31" s="16" t="s">
        <v>556</v>
      </c>
      <c r="S31" s="16" t="s">
        <v>557</v>
      </c>
      <c r="T31" s="16" t="s">
        <v>558</v>
      </c>
      <c r="U31" s="16" t="s">
        <v>559</v>
      </c>
      <c r="V31" s="16" t="s">
        <v>560</v>
      </c>
      <c r="W31" s="16" t="s">
        <v>76</v>
      </c>
      <c r="X31" s="16" t="s">
        <v>77</v>
      </c>
      <c r="Y31" s="16" t="s">
        <v>205</v>
      </c>
      <c r="Z31" s="16" t="s">
        <v>206</v>
      </c>
      <c r="AA31" s="16" t="s">
        <v>207</v>
      </c>
      <c r="AB31" s="16" t="s">
        <v>208</v>
      </c>
      <c r="AC31" s="16" t="s">
        <v>209</v>
      </c>
      <c r="AD31" s="16" t="s">
        <v>210</v>
      </c>
      <c r="AE31" s="16" t="s">
        <v>84</v>
      </c>
      <c r="AF31" s="16" t="s">
        <v>84</v>
      </c>
      <c r="AG31" s="16">
        <v>179</v>
      </c>
      <c r="AH31" s="16">
        <v>189</v>
      </c>
      <c r="AI31" s="17">
        <v>189</v>
      </c>
      <c r="AJ31" s="16">
        <v>10</v>
      </c>
      <c r="AK31" s="16">
        <v>0</v>
      </c>
      <c r="AL31" s="16">
        <v>0</v>
      </c>
      <c r="AM31" s="16">
        <v>0</v>
      </c>
      <c r="AN31" s="16">
        <v>0</v>
      </c>
      <c r="AO31" s="16" t="s">
        <v>85</v>
      </c>
      <c r="AP31" s="16" t="s">
        <v>561</v>
      </c>
      <c r="AQ31" s="16" t="s">
        <v>562</v>
      </c>
      <c r="AR31" s="16" t="s">
        <v>88</v>
      </c>
      <c r="AS31" s="16" t="s">
        <v>563</v>
      </c>
      <c r="AT31" s="16">
        <v>1.79</v>
      </c>
      <c r="AU31" s="16" t="s">
        <v>90</v>
      </c>
      <c r="AV31" s="16">
        <v>1.98</v>
      </c>
      <c r="AW31" s="16" t="s">
        <v>90</v>
      </c>
      <c r="AX31" s="16" t="s">
        <v>90</v>
      </c>
      <c r="AY31" s="16" t="s">
        <v>90</v>
      </c>
      <c r="AZ31" s="16" t="s">
        <v>90</v>
      </c>
      <c r="BA31" s="16" t="s">
        <v>90</v>
      </c>
      <c r="BB31" s="16">
        <v>0</v>
      </c>
      <c r="BC31" s="16"/>
      <c r="BD31" s="16" t="s">
        <v>90</v>
      </c>
      <c r="BE31" s="16" t="s">
        <v>564</v>
      </c>
      <c r="BF31" s="16" t="s">
        <v>565</v>
      </c>
      <c r="BG31" s="16" t="s">
        <v>566</v>
      </c>
      <c r="BH31" s="16" t="s">
        <v>567</v>
      </c>
      <c r="BI31" s="16" t="s">
        <v>568</v>
      </c>
      <c r="BJ31" s="16">
        <v>179</v>
      </c>
      <c r="BK31" s="16">
        <v>179</v>
      </c>
      <c r="BL31" s="16">
        <v>179</v>
      </c>
      <c r="BM31" s="16" t="s">
        <v>96</v>
      </c>
      <c r="BN31" s="16">
        <v>1</v>
      </c>
      <c r="BO31" s="16" t="s">
        <v>84</v>
      </c>
      <c r="BP31" s="16" t="s">
        <v>84</v>
      </c>
      <c r="BQ31" s="16" t="s">
        <v>84</v>
      </c>
      <c r="BR31" s="16" t="s">
        <v>97</v>
      </c>
      <c r="BS31" s="16" t="s">
        <v>98</v>
      </c>
      <c r="BT31" s="16">
        <v>0</v>
      </c>
    </row>
    <row r="32" s="1" customFormat="1" ht="16" customHeight="1" spans="1:72">
      <c r="A32" s="14">
        <f t="shared" si="0"/>
        <v>2025</v>
      </c>
      <c r="B32" s="14">
        <f t="shared" si="1"/>
        <v>8</v>
      </c>
      <c r="C32" s="14" t="str">
        <f t="shared" si="2"/>
        <v>3730107174167911936</v>
      </c>
      <c r="D32" s="14" cm="1">
        <f t="array" ref="D32">SUMPRODUCT(($R$2:$R$374=C32)*1)</f>
        <v>1</v>
      </c>
      <c r="E32" s="14" cm="1">
        <f t="array" ref="E32">SUMPRODUCT(($R$2:R32=C32)*1)</f>
        <v>1</v>
      </c>
      <c r="F32" s="15" t="str">
        <f t="shared" si="3"/>
        <v>Z1578-黑色-M</v>
      </c>
      <c r="G32" s="14" t="str">
        <f t="shared" si="4"/>
        <v>Z1578</v>
      </c>
      <c r="H32" s="15">
        <f t="shared" si="5"/>
        <v>1</v>
      </c>
      <c r="I32" s="14">
        <f t="shared" si="6"/>
        <v>289</v>
      </c>
      <c r="J32" s="15">
        <f t="shared" si="7"/>
        <v>0</v>
      </c>
      <c r="K32" s="15">
        <f t="shared" si="8"/>
        <v>0</v>
      </c>
      <c r="L32" s="15">
        <f t="shared" si="9"/>
        <v>-14.45</v>
      </c>
      <c r="M32" s="15">
        <f t="shared" si="10"/>
        <v>0</v>
      </c>
      <c r="N32" s="15">
        <f t="shared" si="11"/>
        <v>-1.5</v>
      </c>
      <c r="O32" s="15">
        <f t="shared" si="12"/>
        <v>273.05</v>
      </c>
      <c r="R32" s="16" t="s">
        <v>569</v>
      </c>
      <c r="S32" s="16" t="s">
        <v>570</v>
      </c>
      <c r="T32" s="16" t="s">
        <v>571</v>
      </c>
      <c r="U32" s="16" t="s">
        <v>572</v>
      </c>
      <c r="V32" s="16" t="s">
        <v>573</v>
      </c>
      <c r="W32" s="16" t="s">
        <v>76</v>
      </c>
      <c r="X32" s="16" t="s">
        <v>77</v>
      </c>
      <c r="Y32" s="16" t="s">
        <v>297</v>
      </c>
      <c r="Z32" s="16" t="s">
        <v>574</v>
      </c>
      <c r="AA32" s="16" t="s">
        <v>107</v>
      </c>
      <c r="AB32" s="16" t="s">
        <v>190</v>
      </c>
      <c r="AC32" s="16" t="s">
        <v>575</v>
      </c>
      <c r="AD32" s="16" t="s">
        <v>576</v>
      </c>
      <c r="AE32" s="16" t="s">
        <v>84</v>
      </c>
      <c r="AF32" s="16" t="s">
        <v>84</v>
      </c>
      <c r="AG32" s="16">
        <v>289</v>
      </c>
      <c r="AH32" s="16">
        <v>289</v>
      </c>
      <c r="AI32" s="17">
        <v>289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 t="s">
        <v>85</v>
      </c>
      <c r="AP32" s="16" t="s">
        <v>577</v>
      </c>
      <c r="AQ32" s="16" t="s">
        <v>578</v>
      </c>
      <c r="AR32" s="16" t="s">
        <v>88</v>
      </c>
      <c r="AS32" s="16" t="s">
        <v>579</v>
      </c>
      <c r="AT32" s="16">
        <v>14.45</v>
      </c>
      <c r="AU32" s="16" t="s">
        <v>90</v>
      </c>
      <c r="AV32" s="16">
        <v>1.5</v>
      </c>
      <c r="AW32" s="16" t="s">
        <v>115</v>
      </c>
      <c r="AX32" s="16" t="s">
        <v>116</v>
      </c>
      <c r="AY32" s="16" t="s">
        <v>117</v>
      </c>
      <c r="AZ32" s="16" t="s">
        <v>118</v>
      </c>
      <c r="BA32" s="16" t="s">
        <v>119</v>
      </c>
      <c r="BB32" s="16">
        <v>0</v>
      </c>
      <c r="BC32" s="16" t="s">
        <v>84</v>
      </c>
      <c r="BD32" s="16" t="s">
        <v>90</v>
      </c>
      <c r="BE32" s="16" t="s">
        <v>580</v>
      </c>
      <c r="BF32" s="16" t="s">
        <v>581</v>
      </c>
      <c r="BG32" s="16" t="s">
        <v>582</v>
      </c>
      <c r="BH32" s="16" t="s">
        <v>583</v>
      </c>
      <c r="BI32" s="16" t="s">
        <v>308</v>
      </c>
      <c r="BJ32" s="16">
        <v>289</v>
      </c>
      <c r="BK32" s="16">
        <v>289</v>
      </c>
      <c r="BL32" s="16">
        <v>289</v>
      </c>
      <c r="BM32" s="16" t="s">
        <v>96</v>
      </c>
      <c r="BN32" s="16">
        <v>1</v>
      </c>
      <c r="BO32" s="16" t="s">
        <v>84</v>
      </c>
      <c r="BP32" s="16" t="s">
        <v>84</v>
      </c>
      <c r="BQ32" s="16" t="s">
        <v>84</v>
      </c>
      <c r="BR32" s="16" t="s">
        <v>97</v>
      </c>
      <c r="BS32" s="16" t="s">
        <v>98</v>
      </c>
      <c r="BT32" s="16">
        <v>0</v>
      </c>
    </row>
    <row r="33" s="1" customFormat="1" ht="16" customHeight="1" spans="1:72">
      <c r="A33" s="14">
        <f t="shared" si="0"/>
        <v>2025</v>
      </c>
      <c r="B33" s="14">
        <f t="shared" si="1"/>
        <v>8</v>
      </c>
      <c r="C33" s="14" t="str">
        <f t="shared" si="2"/>
        <v>3730105709203170816</v>
      </c>
      <c r="D33" s="14" cm="1">
        <f t="array" ref="D33">SUMPRODUCT(($R$2:$R$374=C33)*1)</f>
        <v>1</v>
      </c>
      <c r="E33" s="14" cm="1">
        <f t="array" ref="E33">SUMPRODUCT(($R$2:R33=C33)*1)</f>
        <v>1</v>
      </c>
      <c r="F33" s="15" t="str">
        <f t="shared" si="3"/>
        <v>Z1581-黑色-M</v>
      </c>
      <c r="G33" s="14" t="str">
        <f t="shared" si="4"/>
        <v>Z1581</v>
      </c>
      <c r="H33" s="15">
        <f t="shared" si="5"/>
        <v>1</v>
      </c>
      <c r="I33" s="14">
        <f t="shared" si="6"/>
        <v>289</v>
      </c>
      <c r="J33" s="15">
        <f t="shared" si="7"/>
        <v>0</v>
      </c>
      <c r="K33" s="15">
        <f t="shared" si="8"/>
        <v>0</v>
      </c>
      <c r="L33" s="15">
        <f t="shared" si="9"/>
        <v>-14.45</v>
      </c>
      <c r="M33" s="15">
        <f t="shared" si="10"/>
        <v>0</v>
      </c>
      <c r="N33" s="15">
        <f t="shared" si="11"/>
        <v>-1.5</v>
      </c>
      <c r="O33" s="15">
        <f t="shared" si="12"/>
        <v>273.05</v>
      </c>
      <c r="R33" s="16" t="s">
        <v>584</v>
      </c>
      <c r="S33" s="16" t="s">
        <v>585</v>
      </c>
      <c r="T33" s="16" t="s">
        <v>586</v>
      </c>
      <c r="U33" s="16" t="s">
        <v>587</v>
      </c>
      <c r="V33" s="16" t="s">
        <v>588</v>
      </c>
      <c r="W33" s="16" t="s">
        <v>76</v>
      </c>
      <c r="X33" s="16" t="s">
        <v>77</v>
      </c>
      <c r="Y33" s="16" t="s">
        <v>589</v>
      </c>
      <c r="Z33" s="16" t="s">
        <v>590</v>
      </c>
      <c r="AA33" s="16" t="s">
        <v>171</v>
      </c>
      <c r="AB33" s="16" t="s">
        <v>591</v>
      </c>
      <c r="AC33" s="16" t="s">
        <v>592</v>
      </c>
      <c r="AD33" s="16" t="s">
        <v>593</v>
      </c>
      <c r="AE33" s="16" t="s">
        <v>84</v>
      </c>
      <c r="AF33" s="16" t="s">
        <v>84</v>
      </c>
      <c r="AG33" s="16">
        <v>289</v>
      </c>
      <c r="AH33" s="16">
        <v>289</v>
      </c>
      <c r="AI33" s="17">
        <v>289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 t="s">
        <v>85</v>
      </c>
      <c r="AP33" s="16" t="s">
        <v>594</v>
      </c>
      <c r="AQ33" s="16" t="s">
        <v>595</v>
      </c>
      <c r="AR33" s="16" t="s">
        <v>88</v>
      </c>
      <c r="AS33" s="16" t="s">
        <v>596</v>
      </c>
      <c r="AT33" s="16">
        <v>14.45</v>
      </c>
      <c r="AU33" s="16" t="s">
        <v>90</v>
      </c>
      <c r="AV33" s="16">
        <v>1.5</v>
      </c>
      <c r="AW33" s="16" t="s">
        <v>115</v>
      </c>
      <c r="AX33" s="16" t="s">
        <v>116</v>
      </c>
      <c r="AY33" s="16" t="s">
        <v>117</v>
      </c>
      <c r="AZ33" s="16" t="s">
        <v>118</v>
      </c>
      <c r="BA33" s="16" t="s">
        <v>119</v>
      </c>
      <c r="BB33" s="16">
        <v>0</v>
      </c>
      <c r="BC33" s="16" t="s">
        <v>84</v>
      </c>
      <c r="BD33" s="16" t="s">
        <v>90</v>
      </c>
      <c r="BE33" s="16" t="s">
        <v>419</v>
      </c>
      <c r="BF33" s="16" t="s">
        <v>420</v>
      </c>
      <c r="BG33" s="16" t="s">
        <v>421</v>
      </c>
      <c r="BH33" s="16" t="s">
        <v>422</v>
      </c>
      <c r="BI33" s="16" t="s">
        <v>308</v>
      </c>
      <c r="BJ33" s="16">
        <v>289</v>
      </c>
      <c r="BK33" s="16">
        <v>289</v>
      </c>
      <c r="BL33" s="16">
        <v>289</v>
      </c>
      <c r="BM33" s="16" t="s">
        <v>96</v>
      </c>
      <c r="BN33" s="16">
        <v>1</v>
      </c>
      <c r="BO33" s="16" t="s">
        <v>84</v>
      </c>
      <c r="BP33" s="16" t="s">
        <v>84</v>
      </c>
      <c r="BQ33" s="16" t="s">
        <v>84</v>
      </c>
      <c r="BR33" s="16" t="s">
        <v>97</v>
      </c>
      <c r="BS33" s="16" t="s">
        <v>98</v>
      </c>
      <c r="BT33" s="16">
        <v>0</v>
      </c>
    </row>
    <row r="34" s="1" customFormat="1" ht="16" customHeight="1" spans="1:72">
      <c r="A34" s="14">
        <f t="shared" si="0"/>
        <v>2025</v>
      </c>
      <c r="B34" s="14">
        <f t="shared" si="1"/>
        <v>8</v>
      </c>
      <c r="C34" s="14" t="str">
        <f t="shared" si="2"/>
        <v>3730105715613119232</v>
      </c>
      <c r="D34" s="14" cm="1">
        <f t="array" ref="D34">SUMPRODUCT(($R$2:$R$374=C34)*1)</f>
        <v>1</v>
      </c>
      <c r="E34" s="14" cm="1">
        <f t="array" ref="E34">SUMPRODUCT(($R$2:R34=C34)*1)</f>
        <v>1</v>
      </c>
      <c r="F34" s="15" t="str">
        <f t="shared" si="3"/>
        <v>Z2183-黑色-XL</v>
      </c>
      <c r="G34" s="14" t="str">
        <f t="shared" si="4"/>
        <v>Z2183</v>
      </c>
      <c r="H34" s="15">
        <f t="shared" si="5"/>
        <v>1</v>
      </c>
      <c r="I34" s="14">
        <f t="shared" si="6"/>
        <v>129</v>
      </c>
      <c r="J34" s="15">
        <f t="shared" si="7"/>
        <v>0</v>
      </c>
      <c r="K34" s="15">
        <f t="shared" si="8"/>
        <v>0</v>
      </c>
      <c r="L34" s="15">
        <f t="shared" si="9"/>
        <v>-6.45</v>
      </c>
      <c r="M34" s="15">
        <f t="shared" si="10"/>
        <v>0</v>
      </c>
      <c r="N34" s="15">
        <f t="shared" si="11"/>
        <v>-1.5</v>
      </c>
      <c r="O34" s="15">
        <f t="shared" si="12"/>
        <v>121.05</v>
      </c>
      <c r="R34" s="16" t="s">
        <v>597</v>
      </c>
      <c r="S34" s="16" t="s">
        <v>598</v>
      </c>
      <c r="T34" s="16" t="s">
        <v>599</v>
      </c>
      <c r="U34" s="16" t="s">
        <v>600</v>
      </c>
      <c r="V34" s="16" t="s">
        <v>601</v>
      </c>
      <c r="W34" s="16" t="s">
        <v>76</v>
      </c>
      <c r="X34" s="16" t="s">
        <v>77</v>
      </c>
      <c r="Y34" s="16" t="s">
        <v>345</v>
      </c>
      <c r="Z34" s="16" t="s">
        <v>602</v>
      </c>
      <c r="AA34" s="16" t="s">
        <v>262</v>
      </c>
      <c r="AB34" s="16" t="s">
        <v>603</v>
      </c>
      <c r="AC34" s="16" t="s">
        <v>604</v>
      </c>
      <c r="AD34" s="16" t="s">
        <v>605</v>
      </c>
      <c r="AE34" s="16" t="s">
        <v>84</v>
      </c>
      <c r="AF34" s="16" t="s">
        <v>606</v>
      </c>
      <c r="AG34" s="16">
        <v>129</v>
      </c>
      <c r="AH34" s="16">
        <v>129</v>
      </c>
      <c r="AI34" s="17">
        <v>129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 t="s">
        <v>137</v>
      </c>
      <c r="AP34" s="16" t="s">
        <v>607</v>
      </c>
      <c r="AQ34" s="16" t="s">
        <v>608</v>
      </c>
      <c r="AR34" s="16" t="s">
        <v>88</v>
      </c>
      <c r="AS34" s="16" t="s">
        <v>609</v>
      </c>
      <c r="AT34" s="16">
        <v>6.45</v>
      </c>
      <c r="AU34" s="16" t="s">
        <v>90</v>
      </c>
      <c r="AV34" s="16">
        <v>1.5</v>
      </c>
      <c r="AW34" s="16" t="s">
        <v>115</v>
      </c>
      <c r="AX34" s="16" t="s">
        <v>116</v>
      </c>
      <c r="AY34" s="16" t="s">
        <v>117</v>
      </c>
      <c r="AZ34" s="16" t="s">
        <v>118</v>
      </c>
      <c r="BA34" s="16" t="s">
        <v>119</v>
      </c>
      <c r="BB34" s="16">
        <v>0</v>
      </c>
      <c r="BC34" s="16" t="s">
        <v>84</v>
      </c>
      <c r="BD34" s="16" t="s">
        <v>90</v>
      </c>
      <c r="BE34" s="16" t="s">
        <v>610</v>
      </c>
      <c r="BF34" s="16" t="s">
        <v>611</v>
      </c>
      <c r="BG34" s="16" t="s">
        <v>612</v>
      </c>
      <c r="BH34" s="16" t="s">
        <v>613</v>
      </c>
      <c r="BI34" s="16" t="s">
        <v>614</v>
      </c>
      <c r="BJ34" s="16">
        <v>129</v>
      </c>
      <c r="BK34" s="16">
        <v>129</v>
      </c>
      <c r="BL34" s="16">
        <v>129</v>
      </c>
      <c r="BM34" s="16" t="s">
        <v>96</v>
      </c>
      <c r="BN34" s="16">
        <v>1</v>
      </c>
      <c r="BO34" s="16" t="s">
        <v>84</v>
      </c>
      <c r="BP34" s="16" t="s">
        <v>84</v>
      </c>
      <c r="BQ34" s="16" t="s">
        <v>84</v>
      </c>
      <c r="BR34" s="16" t="s">
        <v>97</v>
      </c>
      <c r="BS34" s="16" t="s">
        <v>98</v>
      </c>
      <c r="BT34" s="16">
        <v>0</v>
      </c>
    </row>
    <row r="35" s="1" customFormat="1" ht="16" customHeight="1" spans="1:72">
      <c r="A35" s="14">
        <f t="shared" si="0"/>
        <v>2025</v>
      </c>
      <c r="B35" s="14">
        <f t="shared" si="1"/>
        <v>8</v>
      </c>
      <c r="C35" s="14" t="str">
        <f t="shared" si="2"/>
        <v>3730103354326398720</v>
      </c>
      <c r="D35" s="14" cm="1">
        <f t="array" ref="D35">SUMPRODUCT(($R$2:$R$374=C35)*1)</f>
        <v>1</v>
      </c>
      <c r="E35" s="14" cm="1">
        <f t="array" ref="E35">SUMPRODUCT(($R$2:R35=C35)*1)</f>
        <v>1</v>
      </c>
      <c r="F35" s="15" t="str">
        <f t="shared" si="3"/>
        <v>Z2347-深灰色-L</v>
      </c>
      <c r="G35" s="14" t="str">
        <f t="shared" si="4"/>
        <v>Z2347</v>
      </c>
      <c r="H35" s="15">
        <f t="shared" si="5"/>
        <v>1</v>
      </c>
      <c r="I35" s="14">
        <f t="shared" si="6"/>
        <v>359</v>
      </c>
      <c r="J35" s="15">
        <f t="shared" si="7"/>
        <v>0</v>
      </c>
      <c r="K35" s="15">
        <f t="shared" si="8"/>
        <v>0</v>
      </c>
      <c r="L35" s="15">
        <f t="shared" si="9"/>
        <v>-17.95</v>
      </c>
      <c r="M35" s="15">
        <f t="shared" si="10"/>
        <v>0</v>
      </c>
      <c r="N35" s="15">
        <f t="shared" si="11"/>
        <v>-1.5</v>
      </c>
      <c r="O35" s="15">
        <f t="shared" si="12"/>
        <v>339.55</v>
      </c>
      <c r="R35" s="16" t="s">
        <v>615</v>
      </c>
      <c r="S35" s="16" t="s">
        <v>616</v>
      </c>
      <c r="T35" s="16" t="s">
        <v>617</v>
      </c>
      <c r="U35" s="16" t="s">
        <v>618</v>
      </c>
      <c r="V35" s="16" t="s">
        <v>619</v>
      </c>
      <c r="W35" s="16" t="s">
        <v>76</v>
      </c>
      <c r="X35" s="16" t="s">
        <v>77</v>
      </c>
      <c r="Y35" s="16" t="s">
        <v>412</v>
      </c>
      <c r="Z35" s="16" t="s">
        <v>620</v>
      </c>
      <c r="AA35" s="16" t="s">
        <v>384</v>
      </c>
      <c r="AB35" s="16" t="s">
        <v>621</v>
      </c>
      <c r="AC35" s="16" t="s">
        <v>622</v>
      </c>
      <c r="AD35" s="16" t="s">
        <v>623</v>
      </c>
      <c r="AE35" s="16" t="s">
        <v>84</v>
      </c>
      <c r="AF35" s="16" t="s">
        <v>84</v>
      </c>
      <c r="AG35" s="16">
        <v>359</v>
      </c>
      <c r="AH35" s="16">
        <v>359</v>
      </c>
      <c r="AI35" s="17">
        <v>359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 t="s">
        <v>85</v>
      </c>
      <c r="AP35" s="16" t="s">
        <v>624</v>
      </c>
      <c r="AQ35" s="16" t="s">
        <v>625</v>
      </c>
      <c r="AR35" s="16" t="s">
        <v>88</v>
      </c>
      <c r="AS35" s="16" t="s">
        <v>626</v>
      </c>
      <c r="AT35" s="16">
        <v>17.95</v>
      </c>
      <c r="AU35" s="16" t="s">
        <v>90</v>
      </c>
      <c r="AV35" s="16">
        <v>1.5</v>
      </c>
      <c r="AW35" s="16" t="s">
        <v>115</v>
      </c>
      <c r="AX35" s="16" t="s">
        <v>116</v>
      </c>
      <c r="AY35" s="16" t="s">
        <v>117</v>
      </c>
      <c r="AZ35" s="16" t="s">
        <v>118</v>
      </c>
      <c r="BA35" s="16" t="s">
        <v>119</v>
      </c>
      <c r="BB35" s="16">
        <v>0</v>
      </c>
      <c r="BC35" s="16" t="s">
        <v>84</v>
      </c>
      <c r="BD35" s="16" t="s">
        <v>90</v>
      </c>
      <c r="BE35" s="16" t="s">
        <v>627</v>
      </c>
      <c r="BF35" s="16" t="s">
        <v>628</v>
      </c>
      <c r="BG35" s="16" t="s">
        <v>629</v>
      </c>
      <c r="BH35" s="16" t="s">
        <v>630</v>
      </c>
      <c r="BI35" s="16" t="s">
        <v>631</v>
      </c>
      <c r="BJ35" s="16">
        <v>359</v>
      </c>
      <c r="BK35" s="16">
        <v>359</v>
      </c>
      <c r="BL35" s="16">
        <v>359</v>
      </c>
      <c r="BM35" s="16" t="s">
        <v>96</v>
      </c>
      <c r="BN35" s="16">
        <v>1</v>
      </c>
      <c r="BO35" s="16" t="s">
        <v>84</v>
      </c>
      <c r="BP35" s="16" t="s">
        <v>84</v>
      </c>
      <c r="BQ35" s="16" t="s">
        <v>84</v>
      </c>
      <c r="BR35" s="16" t="s">
        <v>97</v>
      </c>
      <c r="BS35" s="16" t="s">
        <v>98</v>
      </c>
      <c r="BT35" s="16">
        <v>0</v>
      </c>
    </row>
    <row r="36" s="1" customFormat="1" ht="16" customHeight="1" spans="1:72">
      <c r="A36" s="14">
        <f t="shared" si="0"/>
        <v>2025</v>
      </c>
      <c r="B36" s="14">
        <f t="shared" si="1"/>
        <v>8</v>
      </c>
      <c r="C36" s="14" t="str">
        <f t="shared" si="2"/>
        <v>3730103306058609920</v>
      </c>
      <c r="D36" s="14" cm="1">
        <f t="array" ref="D36">SUMPRODUCT(($R$2:$R$374=C36)*1)</f>
        <v>1</v>
      </c>
      <c r="E36" s="14" cm="1">
        <f t="array" ref="E36">SUMPRODUCT(($R$2:R36=C36)*1)</f>
        <v>1</v>
      </c>
      <c r="F36" s="15" t="str">
        <f t="shared" si="3"/>
        <v>Z1555-红色-S</v>
      </c>
      <c r="G36" s="14" t="str">
        <f t="shared" si="4"/>
        <v>Z1555</v>
      </c>
      <c r="H36" s="15">
        <f t="shared" si="5"/>
        <v>1</v>
      </c>
      <c r="I36" s="14">
        <f t="shared" si="6"/>
        <v>339</v>
      </c>
      <c r="J36" s="15">
        <f t="shared" si="7"/>
        <v>0</v>
      </c>
      <c r="K36" s="15">
        <f t="shared" si="8"/>
        <v>0</v>
      </c>
      <c r="L36" s="15">
        <f t="shared" si="9"/>
        <v>-16.95</v>
      </c>
      <c r="M36" s="15">
        <f t="shared" si="10"/>
        <v>0</v>
      </c>
      <c r="N36" s="15">
        <f t="shared" si="11"/>
        <v>-1.5</v>
      </c>
      <c r="O36" s="15">
        <f t="shared" si="12"/>
        <v>320.55</v>
      </c>
      <c r="R36" s="16" t="s">
        <v>632</v>
      </c>
      <c r="S36" s="16" t="s">
        <v>633</v>
      </c>
      <c r="T36" s="16" t="s">
        <v>634</v>
      </c>
      <c r="U36" s="16" t="s">
        <v>635</v>
      </c>
      <c r="V36" s="16" t="s">
        <v>636</v>
      </c>
      <c r="W36" s="16" t="s">
        <v>76</v>
      </c>
      <c r="X36" s="16" t="s">
        <v>77</v>
      </c>
      <c r="Y36" s="16" t="s">
        <v>637</v>
      </c>
      <c r="Z36" s="16" t="s">
        <v>638</v>
      </c>
      <c r="AA36" s="16" t="s">
        <v>430</v>
      </c>
      <c r="AB36" s="16" t="s">
        <v>430</v>
      </c>
      <c r="AC36" s="16" t="s">
        <v>639</v>
      </c>
      <c r="AD36" s="16" t="s">
        <v>640</v>
      </c>
      <c r="AE36" s="16" t="s">
        <v>84</v>
      </c>
      <c r="AF36" s="16" t="s">
        <v>84</v>
      </c>
      <c r="AG36" s="16">
        <v>339</v>
      </c>
      <c r="AH36" s="16">
        <v>339</v>
      </c>
      <c r="AI36" s="17">
        <v>339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 t="s">
        <v>85</v>
      </c>
      <c r="AP36" s="16" t="s">
        <v>641</v>
      </c>
      <c r="AQ36" s="16" t="s">
        <v>642</v>
      </c>
      <c r="AR36" s="16" t="s">
        <v>643</v>
      </c>
      <c r="AS36" s="16" t="s">
        <v>644</v>
      </c>
      <c r="AT36" s="16">
        <v>16.95</v>
      </c>
      <c r="AU36" s="16" t="s">
        <v>90</v>
      </c>
      <c r="AV36" s="16">
        <v>1.5</v>
      </c>
      <c r="AW36" s="16" t="s">
        <v>115</v>
      </c>
      <c r="AX36" s="16" t="s">
        <v>116</v>
      </c>
      <c r="AY36" s="16" t="s">
        <v>117</v>
      </c>
      <c r="AZ36" s="16" t="s">
        <v>118</v>
      </c>
      <c r="BA36" s="16" t="s">
        <v>119</v>
      </c>
      <c r="BB36" s="16">
        <v>0</v>
      </c>
      <c r="BC36" s="16" t="s">
        <v>84</v>
      </c>
      <c r="BD36" s="16" t="s">
        <v>90</v>
      </c>
      <c r="BE36" s="16" t="s">
        <v>645</v>
      </c>
      <c r="BF36" s="16" t="s">
        <v>646</v>
      </c>
      <c r="BG36" s="16" t="s">
        <v>647</v>
      </c>
      <c r="BH36" s="16" t="s">
        <v>648</v>
      </c>
      <c r="BI36" s="16" t="s">
        <v>649</v>
      </c>
      <c r="BJ36" s="16">
        <v>339</v>
      </c>
      <c r="BK36" s="16">
        <v>339</v>
      </c>
      <c r="BL36" s="16">
        <v>339</v>
      </c>
      <c r="BM36" s="16" t="s">
        <v>96</v>
      </c>
      <c r="BN36" s="16">
        <v>1</v>
      </c>
      <c r="BO36" s="16" t="s">
        <v>84</v>
      </c>
      <c r="BP36" s="16" t="s">
        <v>84</v>
      </c>
      <c r="BQ36" s="16" t="s">
        <v>84</v>
      </c>
      <c r="BR36" s="16" t="s">
        <v>97</v>
      </c>
      <c r="BS36" s="16" t="s">
        <v>98</v>
      </c>
      <c r="BT36" s="16">
        <v>0</v>
      </c>
    </row>
    <row r="37" s="1" customFormat="1" ht="16" customHeight="1" spans="1:72">
      <c r="A37" s="14">
        <f t="shared" si="0"/>
        <v>2025</v>
      </c>
      <c r="B37" s="14">
        <f t="shared" si="1"/>
        <v>8</v>
      </c>
      <c r="C37" s="14" t="str">
        <f t="shared" si="2"/>
        <v>3730103285990170880</v>
      </c>
      <c r="D37" s="14" cm="1">
        <f t="array" ref="D37">SUMPRODUCT(($R$2:$R$374=C37)*1)</f>
        <v>1</v>
      </c>
      <c r="E37" s="14" cm="1">
        <f t="array" ref="E37">SUMPRODUCT(($R$2:R37=C37)*1)</f>
        <v>1</v>
      </c>
      <c r="F37" s="15" t="str">
        <f t="shared" si="3"/>
        <v>Z1576-黑色-L</v>
      </c>
      <c r="G37" s="14" t="str">
        <f t="shared" si="4"/>
        <v>Z1576</v>
      </c>
      <c r="H37" s="15">
        <f t="shared" si="5"/>
        <v>1</v>
      </c>
      <c r="I37" s="14">
        <f t="shared" si="6"/>
        <v>199</v>
      </c>
      <c r="J37" s="15">
        <f t="shared" si="7"/>
        <v>0</v>
      </c>
      <c r="K37" s="15">
        <f t="shared" si="8"/>
        <v>0</v>
      </c>
      <c r="L37" s="15">
        <f t="shared" si="9"/>
        <v>-9.95</v>
      </c>
      <c r="M37" s="15">
        <f t="shared" si="10"/>
        <v>0</v>
      </c>
      <c r="N37" s="15">
        <f t="shared" si="11"/>
        <v>-1.5</v>
      </c>
      <c r="O37" s="15">
        <f t="shared" si="12"/>
        <v>187.55</v>
      </c>
      <c r="R37" s="16" t="s">
        <v>650</v>
      </c>
      <c r="S37" s="16" t="s">
        <v>651</v>
      </c>
      <c r="T37" s="16" t="s">
        <v>393</v>
      </c>
      <c r="U37" s="16" t="s">
        <v>652</v>
      </c>
      <c r="V37" s="16" t="s">
        <v>653</v>
      </c>
      <c r="W37" s="16" t="s">
        <v>76</v>
      </c>
      <c r="X37" s="16" t="s">
        <v>77</v>
      </c>
      <c r="Y37" s="16" t="s">
        <v>480</v>
      </c>
      <c r="Z37" s="16" t="s">
        <v>654</v>
      </c>
      <c r="AA37" s="16" t="s">
        <v>80</v>
      </c>
      <c r="AB37" s="16" t="s">
        <v>655</v>
      </c>
      <c r="AC37" s="16" t="s">
        <v>656</v>
      </c>
      <c r="AD37" s="16" t="s">
        <v>657</v>
      </c>
      <c r="AE37" s="16" t="s">
        <v>84</v>
      </c>
      <c r="AF37" s="16" t="s">
        <v>84</v>
      </c>
      <c r="AG37" s="16">
        <v>199</v>
      </c>
      <c r="AH37" s="16">
        <v>199</v>
      </c>
      <c r="AI37" s="17">
        <v>199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 t="s">
        <v>85</v>
      </c>
      <c r="AP37" s="16" t="s">
        <v>658</v>
      </c>
      <c r="AQ37" s="16" t="s">
        <v>659</v>
      </c>
      <c r="AR37" s="16" t="s">
        <v>88</v>
      </c>
      <c r="AS37" s="16" t="s">
        <v>660</v>
      </c>
      <c r="AT37" s="16">
        <v>9.95</v>
      </c>
      <c r="AU37" s="16" t="s">
        <v>90</v>
      </c>
      <c r="AV37" s="16">
        <v>1.5</v>
      </c>
      <c r="AW37" s="16" t="s">
        <v>115</v>
      </c>
      <c r="AX37" s="16" t="s">
        <v>116</v>
      </c>
      <c r="AY37" s="16" t="s">
        <v>117</v>
      </c>
      <c r="AZ37" s="16" t="s">
        <v>118</v>
      </c>
      <c r="BA37" s="16" t="s">
        <v>119</v>
      </c>
      <c r="BB37" s="16">
        <v>0</v>
      </c>
      <c r="BC37" s="16" t="s">
        <v>84</v>
      </c>
      <c r="BD37" s="16" t="s">
        <v>90</v>
      </c>
      <c r="BE37" s="16" t="s">
        <v>402</v>
      </c>
      <c r="BF37" s="16" t="s">
        <v>403</v>
      </c>
      <c r="BG37" s="16" t="s">
        <v>404</v>
      </c>
      <c r="BH37" s="16" t="s">
        <v>405</v>
      </c>
      <c r="BI37" s="16" t="s">
        <v>406</v>
      </c>
      <c r="BJ37" s="16">
        <v>199</v>
      </c>
      <c r="BK37" s="16">
        <v>199</v>
      </c>
      <c r="BL37" s="16">
        <v>199</v>
      </c>
      <c r="BM37" s="16" t="s">
        <v>96</v>
      </c>
      <c r="BN37" s="16">
        <v>1</v>
      </c>
      <c r="BO37" s="16" t="s">
        <v>84</v>
      </c>
      <c r="BP37" s="16" t="s">
        <v>84</v>
      </c>
      <c r="BQ37" s="16" t="s">
        <v>84</v>
      </c>
      <c r="BR37" s="16" t="s">
        <v>97</v>
      </c>
      <c r="BS37" s="16" t="s">
        <v>98</v>
      </c>
      <c r="BT37" s="16">
        <v>0</v>
      </c>
    </row>
    <row r="38" s="1" customFormat="1" ht="16" customHeight="1" spans="1:72">
      <c r="A38" s="14">
        <f t="shared" ref="A38:A101" si="13">IFERROR(YEAR(V38),"")</f>
        <v>2025</v>
      </c>
      <c r="B38" s="14">
        <f t="shared" ref="B38:B101" si="14">IFERROR(MONTH(V38),"")</f>
        <v>8</v>
      </c>
      <c r="C38" s="14" t="str">
        <f t="shared" ref="C38:C101" si="15">R38</f>
        <v>3730103194157194752</v>
      </c>
      <c r="D38" s="14" cm="1">
        <f t="array" ref="D38">SUMPRODUCT(($R$2:$R$374=C38)*1)</f>
        <v>1</v>
      </c>
      <c r="E38" s="14" cm="1">
        <f t="array" ref="E38">SUMPRODUCT(($R$2:R38=C38)*1)</f>
        <v>1</v>
      </c>
      <c r="F38" s="15" t="str">
        <f t="shared" ref="F38:F101" si="16">BH38</f>
        <v>Z1576-黑色-L</v>
      </c>
      <c r="G38" s="14" t="str">
        <f t="shared" ref="G38:G101" si="17">LEFT(F38,FIND("-",F38)-1)</f>
        <v>Z1576</v>
      </c>
      <c r="H38" s="15">
        <f t="shared" ref="H38:H101" si="18">IF(AND(BR38="已发货",BT38&lt;BL38,W38="已完成"),BN38,0)</f>
        <v>1</v>
      </c>
      <c r="I38" s="14">
        <f t="shared" ref="I38:I101" si="19">IF(H38=0,BJ38-BT38,H38*BJ38-BT38)</f>
        <v>199</v>
      </c>
      <c r="J38" s="15">
        <f t="shared" ref="J38:J101" si="20">IF(AND(H38&gt;0,E38=1),SUM(AK38:AN38),-SUM(AK38:AN38))</f>
        <v>0</v>
      </c>
      <c r="K38" s="15">
        <f t="shared" ref="K38:K101" si="21">AJ38</f>
        <v>0</v>
      </c>
      <c r="L38" s="15">
        <f t="shared" ref="L38:L101" si="22">IF(E38=1,-SUM(AT38:AU38),0)</f>
        <v>-9.95</v>
      </c>
      <c r="M38" s="15">
        <f t="shared" ref="M38:M101" si="23">IF(AND(E38=1,H38&gt;0),-SUM(BB38),0)</f>
        <v>0</v>
      </c>
      <c r="N38" s="15">
        <f t="shared" ref="N38:N101" si="24">IF(AND(E38=1,H38&gt;0),-SUM(AV38),0)</f>
        <v>-1.5</v>
      </c>
      <c r="O38" s="15">
        <f t="shared" ref="O38:O101" si="25">SUM(I38:N38)</f>
        <v>187.55</v>
      </c>
      <c r="R38" s="16" t="s">
        <v>661</v>
      </c>
      <c r="S38" s="16" t="s">
        <v>662</v>
      </c>
      <c r="T38" s="16" t="s">
        <v>393</v>
      </c>
      <c r="U38" s="16" t="s">
        <v>663</v>
      </c>
      <c r="V38" s="16" t="s">
        <v>664</v>
      </c>
      <c r="W38" s="16" t="s">
        <v>76</v>
      </c>
      <c r="X38" s="16" t="s">
        <v>77</v>
      </c>
      <c r="Y38" s="16" t="s">
        <v>665</v>
      </c>
      <c r="Z38" s="16" t="s">
        <v>666</v>
      </c>
      <c r="AA38" s="16" t="s">
        <v>107</v>
      </c>
      <c r="AB38" s="16" t="s">
        <v>667</v>
      </c>
      <c r="AC38" s="16" t="s">
        <v>668</v>
      </c>
      <c r="AD38" s="16" t="s">
        <v>669</v>
      </c>
      <c r="AE38" s="16" t="s">
        <v>84</v>
      </c>
      <c r="AF38" s="16" t="s">
        <v>84</v>
      </c>
      <c r="AG38" s="16">
        <v>199</v>
      </c>
      <c r="AH38" s="16">
        <v>199</v>
      </c>
      <c r="AI38" s="17">
        <v>199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 t="s">
        <v>85</v>
      </c>
      <c r="AP38" s="16" t="s">
        <v>670</v>
      </c>
      <c r="AQ38" s="16" t="s">
        <v>671</v>
      </c>
      <c r="AR38" s="16" t="s">
        <v>88</v>
      </c>
      <c r="AS38" s="16" t="s">
        <v>672</v>
      </c>
      <c r="AT38" s="16">
        <v>9.95</v>
      </c>
      <c r="AU38" s="16" t="s">
        <v>90</v>
      </c>
      <c r="AV38" s="16">
        <v>1.5</v>
      </c>
      <c r="AW38" s="16" t="s">
        <v>115</v>
      </c>
      <c r="AX38" s="16" t="s">
        <v>116</v>
      </c>
      <c r="AY38" s="16" t="s">
        <v>117</v>
      </c>
      <c r="AZ38" s="16" t="s">
        <v>118</v>
      </c>
      <c r="BA38" s="16" t="s">
        <v>119</v>
      </c>
      <c r="BB38" s="16">
        <v>0</v>
      </c>
      <c r="BC38" s="16" t="s">
        <v>84</v>
      </c>
      <c r="BD38" s="16" t="s">
        <v>90</v>
      </c>
      <c r="BE38" s="16" t="s">
        <v>402</v>
      </c>
      <c r="BF38" s="16" t="s">
        <v>403</v>
      </c>
      <c r="BG38" s="16" t="s">
        <v>404</v>
      </c>
      <c r="BH38" s="16" t="s">
        <v>405</v>
      </c>
      <c r="BI38" s="16" t="s">
        <v>406</v>
      </c>
      <c r="BJ38" s="16">
        <v>199</v>
      </c>
      <c r="BK38" s="16">
        <v>199</v>
      </c>
      <c r="BL38" s="16">
        <v>199</v>
      </c>
      <c r="BM38" s="16" t="s">
        <v>96</v>
      </c>
      <c r="BN38" s="16">
        <v>1</v>
      </c>
      <c r="BO38" s="16" t="s">
        <v>84</v>
      </c>
      <c r="BP38" s="16" t="s">
        <v>84</v>
      </c>
      <c r="BQ38" s="16" t="s">
        <v>84</v>
      </c>
      <c r="BR38" s="16" t="s">
        <v>97</v>
      </c>
      <c r="BS38" s="16" t="s">
        <v>98</v>
      </c>
      <c r="BT38" s="16">
        <v>0</v>
      </c>
    </row>
    <row r="39" s="1" customFormat="1" ht="16" customHeight="1" spans="1:72">
      <c r="A39" s="14">
        <f t="shared" si="13"/>
        <v>2025</v>
      </c>
      <c r="B39" s="14">
        <f t="shared" si="14"/>
        <v>8</v>
      </c>
      <c r="C39" s="14" t="str">
        <f t="shared" si="15"/>
        <v>3730103129233822720</v>
      </c>
      <c r="D39" s="14" cm="1">
        <f t="array" ref="D39">SUMPRODUCT(($R$2:$R$374=C39)*1)</f>
        <v>1</v>
      </c>
      <c r="E39" s="14" cm="1">
        <f t="array" ref="E39">SUMPRODUCT(($R$2:R39=C39)*1)</f>
        <v>1</v>
      </c>
      <c r="F39" s="15" t="str">
        <f t="shared" si="16"/>
        <v>Z2183-黑色-M</v>
      </c>
      <c r="G39" s="14" t="str">
        <f t="shared" si="17"/>
        <v>Z2183</v>
      </c>
      <c r="H39" s="15">
        <f t="shared" si="18"/>
        <v>0</v>
      </c>
      <c r="I39" s="14">
        <f t="shared" si="19"/>
        <v>0</v>
      </c>
      <c r="J39" s="15">
        <f t="shared" si="20"/>
        <v>0</v>
      </c>
      <c r="K39" s="15">
        <f t="shared" si="21"/>
        <v>0</v>
      </c>
      <c r="L39" s="15">
        <f t="shared" si="22"/>
        <v>0</v>
      </c>
      <c r="M39" s="15">
        <f t="shared" si="23"/>
        <v>0</v>
      </c>
      <c r="N39" s="15">
        <f t="shared" si="24"/>
        <v>0</v>
      </c>
      <c r="O39" s="15">
        <f t="shared" si="25"/>
        <v>0</v>
      </c>
      <c r="R39" s="16" t="s">
        <v>673</v>
      </c>
      <c r="S39" s="16" t="s">
        <v>674</v>
      </c>
      <c r="T39" s="16" t="s">
        <v>675</v>
      </c>
      <c r="U39" s="16" t="s">
        <v>90</v>
      </c>
      <c r="V39" s="16" t="s">
        <v>676</v>
      </c>
      <c r="W39" s="16" t="s">
        <v>104</v>
      </c>
      <c r="X39" s="16" t="s">
        <v>77</v>
      </c>
      <c r="Y39" s="16" t="s">
        <v>677</v>
      </c>
      <c r="Z39" s="16" t="s">
        <v>678</v>
      </c>
      <c r="AA39" s="16" t="s">
        <v>107</v>
      </c>
      <c r="AB39" s="16" t="s">
        <v>108</v>
      </c>
      <c r="AC39" s="16" t="s">
        <v>679</v>
      </c>
      <c r="AD39" s="16" t="s">
        <v>680</v>
      </c>
      <c r="AE39" s="16" t="s">
        <v>84</v>
      </c>
      <c r="AF39" s="16" t="s">
        <v>681</v>
      </c>
      <c r="AG39" s="16">
        <v>129</v>
      </c>
      <c r="AH39" s="16">
        <v>129</v>
      </c>
      <c r="AI39" s="17">
        <v>129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 t="s">
        <v>85</v>
      </c>
      <c r="AP39" s="16" t="s">
        <v>682</v>
      </c>
      <c r="AQ39" s="16" t="s">
        <v>683</v>
      </c>
      <c r="AR39" s="16" t="s">
        <v>88</v>
      </c>
      <c r="AS39" s="16" t="s">
        <v>684</v>
      </c>
      <c r="AT39" s="16">
        <v>0</v>
      </c>
      <c r="AU39" s="16" t="s">
        <v>90</v>
      </c>
      <c r="AV39" s="16">
        <v>1.5</v>
      </c>
      <c r="AW39" s="16" t="s">
        <v>115</v>
      </c>
      <c r="AX39" s="16" t="s">
        <v>116</v>
      </c>
      <c r="AY39" s="16" t="s">
        <v>117</v>
      </c>
      <c r="AZ39" s="16" t="s">
        <v>118</v>
      </c>
      <c r="BA39" s="16" t="s">
        <v>119</v>
      </c>
      <c r="BB39" s="16">
        <v>0</v>
      </c>
      <c r="BC39" s="16" t="s">
        <v>84</v>
      </c>
      <c r="BD39" s="16" t="s">
        <v>90</v>
      </c>
      <c r="BE39" s="16" t="s">
        <v>610</v>
      </c>
      <c r="BF39" s="16" t="s">
        <v>611</v>
      </c>
      <c r="BG39" s="16" t="s">
        <v>612</v>
      </c>
      <c r="BH39" s="16" t="s">
        <v>685</v>
      </c>
      <c r="BI39" s="16" t="s">
        <v>686</v>
      </c>
      <c r="BJ39" s="16">
        <v>129</v>
      </c>
      <c r="BK39" s="16">
        <v>129</v>
      </c>
      <c r="BL39" s="16">
        <v>129</v>
      </c>
      <c r="BM39" s="16" t="s">
        <v>96</v>
      </c>
      <c r="BN39" s="16">
        <v>1</v>
      </c>
      <c r="BO39" s="16" t="s">
        <v>84</v>
      </c>
      <c r="BP39" s="16" t="s">
        <v>84</v>
      </c>
      <c r="BQ39" s="16" t="s">
        <v>84</v>
      </c>
      <c r="BR39" s="16" t="s">
        <v>97</v>
      </c>
      <c r="BS39" s="16" t="s">
        <v>125</v>
      </c>
      <c r="BT39" s="16">
        <v>129</v>
      </c>
    </row>
    <row r="40" s="1" customFormat="1" ht="16" customHeight="1" spans="1:72">
      <c r="A40" s="14">
        <f t="shared" si="13"/>
        <v>2025</v>
      </c>
      <c r="B40" s="14">
        <f t="shared" si="14"/>
        <v>8</v>
      </c>
      <c r="C40" s="14" t="str">
        <f t="shared" si="15"/>
        <v>3730101572153777408</v>
      </c>
      <c r="D40" s="14" cm="1">
        <f t="array" ref="D40">SUMPRODUCT(($R$2:$R$374=C40)*1)</f>
        <v>1</v>
      </c>
      <c r="E40" s="14" cm="1">
        <f t="array" ref="E40">SUMPRODUCT(($R$2:R40=C40)*1)</f>
        <v>1</v>
      </c>
      <c r="F40" s="15" t="str">
        <f t="shared" si="16"/>
        <v>P139-黑色-37</v>
      </c>
      <c r="G40" s="14" t="str">
        <f t="shared" si="17"/>
        <v>P139</v>
      </c>
      <c r="H40" s="15">
        <f t="shared" si="18"/>
        <v>1</v>
      </c>
      <c r="I40" s="14">
        <f t="shared" si="19"/>
        <v>519</v>
      </c>
      <c r="J40" s="15">
        <f t="shared" si="20"/>
        <v>0</v>
      </c>
      <c r="K40" s="15">
        <f t="shared" si="21"/>
        <v>0</v>
      </c>
      <c r="L40" s="15">
        <f t="shared" si="22"/>
        <v>-25.95</v>
      </c>
      <c r="M40" s="15">
        <f t="shared" si="23"/>
        <v>0</v>
      </c>
      <c r="N40" s="15">
        <f t="shared" si="24"/>
        <v>-1.64</v>
      </c>
      <c r="O40" s="15">
        <f t="shared" si="25"/>
        <v>491.41</v>
      </c>
      <c r="R40" s="16" t="s">
        <v>687</v>
      </c>
      <c r="S40" s="16" t="s">
        <v>688</v>
      </c>
      <c r="T40" s="16" t="s">
        <v>689</v>
      </c>
      <c r="U40" s="16" t="s">
        <v>690</v>
      </c>
      <c r="V40" s="16" t="s">
        <v>691</v>
      </c>
      <c r="W40" s="16" t="s">
        <v>76</v>
      </c>
      <c r="X40" s="16" t="s">
        <v>77</v>
      </c>
      <c r="Y40" s="16" t="s">
        <v>692</v>
      </c>
      <c r="Z40" s="16" t="s">
        <v>693</v>
      </c>
      <c r="AA40" s="16" t="s">
        <v>512</v>
      </c>
      <c r="AB40" s="16" t="s">
        <v>513</v>
      </c>
      <c r="AC40" s="16" t="s">
        <v>694</v>
      </c>
      <c r="AD40" s="16" t="s">
        <v>695</v>
      </c>
      <c r="AE40" s="16" t="s">
        <v>84</v>
      </c>
      <c r="AF40" s="16" t="s">
        <v>84</v>
      </c>
      <c r="AG40" s="16">
        <v>519</v>
      </c>
      <c r="AH40" s="16">
        <v>519</v>
      </c>
      <c r="AI40" s="17">
        <v>519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 t="s">
        <v>85</v>
      </c>
      <c r="AP40" s="16" t="s">
        <v>696</v>
      </c>
      <c r="AQ40" s="16" t="s">
        <v>697</v>
      </c>
      <c r="AR40" s="16" t="s">
        <v>88</v>
      </c>
      <c r="AS40" s="16" t="s">
        <v>698</v>
      </c>
      <c r="AT40" s="16">
        <v>25.95</v>
      </c>
      <c r="AU40" s="16" t="s">
        <v>90</v>
      </c>
      <c r="AV40" s="16">
        <v>1.64</v>
      </c>
      <c r="AW40" s="16" t="s">
        <v>115</v>
      </c>
      <c r="AX40" s="16" t="s">
        <v>116</v>
      </c>
      <c r="AY40" s="16" t="s">
        <v>117</v>
      </c>
      <c r="AZ40" s="16" t="s">
        <v>118</v>
      </c>
      <c r="BA40" s="16" t="s">
        <v>119</v>
      </c>
      <c r="BB40" s="16">
        <v>0</v>
      </c>
      <c r="BC40" s="16" t="s">
        <v>84</v>
      </c>
      <c r="BD40" s="16" t="s">
        <v>90</v>
      </c>
      <c r="BE40" s="16" t="s">
        <v>699</v>
      </c>
      <c r="BF40" s="16" t="s">
        <v>700</v>
      </c>
      <c r="BG40" s="16" t="s">
        <v>701</v>
      </c>
      <c r="BH40" s="16" t="s">
        <v>702</v>
      </c>
      <c r="BI40" s="16" t="s">
        <v>703</v>
      </c>
      <c r="BJ40" s="16">
        <v>519</v>
      </c>
      <c r="BK40" s="16">
        <v>519</v>
      </c>
      <c r="BL40" s="16">
        <v>519</v>
      </c>
      <c r="BM40" s="16" t="s">
        <v>96</v>
      </c>
      <c r="BN40" s="16">
        <v>1</v>
      </c>
      <c r="BO40" s="16" t="s">
        <v>84</v>
      </c>
      <c r="BP40" s="16" t="s">
        <v>84</v>
      </c>
      <c r="BQ40" s="16" t="s">
        <v>84</v>
      </c>
      <c r="BR40" s="16" t="s">
        <v>97</v>
      </c>
      <c r="BS40" s="16" t="s">
        <v>98</v>
      </c>
      <c r="BT40" s="16">
        <v>0</v>
      </c>
    </row>
    <row r="41" s="1" customFormat="1" ht="16" customHeight="1" spans="1:72">
      <c r="A41" s="14">
        <f t="shared" si="13"/>
        <v>2025</v>
      </c>
      <c r="B41" s="14">
        <f t="shared" si="14"/>
        <v>8</v>
      </c>
      <c r="C41" s="14" t="str">
        <f t="shared" si="15"/>
        <v>3730100686145068032</v>
      </c>
      <c r="D41" s="14" cm="1">
        <f t="array" ref="D41">SUMPRODUCT(($R$2:$R$374=C41)*1)</f>
        <v>1</v>
      </c>
      <c r="E41" s="14" cm="1">
        <f t="array" ref="E41">SUMPRODUCT(($R$2:R41=C41)*1)</f>
        <v>1</v>
      </c>
      <c r="F41" s="15" t="str">
        <f t="shared" si="16"/>
        <v>Z1581-白色-M</v>
      </c>
      <c r="G41" s="14" t="str">
        <f t="shared" si="17"/>
        <v>Z1581</v>
      </c>
      <c r="H41" s="15">
        <f t="shared" si="18"/>
        <v>1</v>
      </c>
      <c r="I41" s="14">
        <f t="shared" si="19"/>
        <v>289</v>
      </c>
      <c r="J41" s="15">
        <f t="shared" si="20"/>
        <v>0</v>
      </c>
      <c r="K41" s="15">
        <f t="shared" si="21"/>
        <v>0</v>
      </c>
      <c r="L41" s="15">
        <f t="shared" si="22"/>
        <v>-14.45</v>
      </c>
      <c r="M41" s="15">
        <f t="shared" si="23"/>
        <v>0</v>
      </c>
      <c r="N41" s="15">
        <f t="shared" si="24"/>
        <v>-1.5</v>
      </c>
      <c r="O41" s="15">
        <f t="shared" si="25"/>
        <v>273.05</v>
      </c>
      <c r="R41" s="16" t="s">
        <v>704</v>
      </c>
      <c r="S41" s="16" t="s">
        <v>705</v>
      </c>
      <c r="T41" s="16" t="s">
        <v>706</v>
      </c>
      <c r="U41" s="16" t="s">
        <v>707</v>
      </c>
      <c r="V41" s="16" t="s">
        <v>708</v>
      </c>
      <c r="W41" s="16" t="s">
        <v>76</v>
      </c>
      <c r="X41" s="16" t="s">
        <v>77</v>
      </c>
      <c r="Y41" s="16" t="s">
        <v>330</v>
      </c>
      <c r="Z41" s="16" t="s">
        <v>709</v>
      </c>
      <c r="AA41" s="16" t="s">
        <v>107</v>
      </c>
      <c r="AB41" s="16" t="s">
        <v>190</v>
      </c>
      <c r="AC41" s="16" t="s">
        <v>710</v>
      </c>
      <c r="AD41" s="16" t="s">
        <v>711</v>
      </c>
      <c r="AE41" s="16" t="s">
        <v>84</v>
      </c>
      <c r="AF41" s="16" t="s">
        <v>84</v>
      </c>
      <c r="AG41" s="16">
        <v>289</v>
      </c>
      <c r="AH41" s="16">
        <v>289</v>
      </c>
      <c r="AI41" s="17">
        <v>289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 t="s">
        <v>137</v>
      </c>
      <c r="AP41" s="16" t="s">
        <v>712</v>
      </c>
      <c r="AQ41" s="16" t="s">
        <v>713</v>
      </c>
      <c r="AR41" s="16" t="s">
        <v>88</v>
      </c>
      <c r="AS41" s="16" t="s">
        <v>714</v>
      </c>
      <c r="AT41" s="16">
        <v>14.45</v>
      </c>
      <c r="AU41" s="16" t="s">
        <v>90</v>
      </c>
      <c r="AV41" s="16">
        <v>1.5</v>
      </c>
      <c r="AW41" s="16" t="s">
        <v>115</v>
      </c>
      <c r="AX41" s="16" t="s">
        <v>116</v>
      </c>
      <c r="AY41" s="16" t="s">
        <v>117</v>
      </c>
      <c r="AZ41" s="16" t="s">
        <v>118</v>
      </c>
      <c r="BA41" s="16" t="s">
        <v>119</v>
      </c>
      <c r="BB41" s="16">
        <v>0</v>
      </c>
      <c r="BC41" s="16" t="s">
        <v>84</v>
      </c>
      <c r="BD41" s="16" t="s">
        <v>90</v>
      </c>
      <c r="BE41" s="16" t="s">
        <v>419</v>
      </c>
      <c r="BF41" s="16" t="s">
        <v>420</v>
      </c>
      <c r="BG41" s="16" t="s">
        <v>421</v>
      </c>
      <c r="BH41" s="16" t="s">
        <v>715</v>
      </c>
      <c r="BI41" s="16" t="s">
        <v>716</v>
      </c>
      <c r="BJ41" s="16">
        <v>289</v>
      </c>
      <c r="BK41" s="16">
        <v>289</v>
      </c>
      <c r="BL41" s="16">
        <v>289</v>
      </c>
      <c r="BM41" s="16" t="s">
        <v>96</v>
      </c>
      <c r="BN41" s="16">
        <v>1</v>
      </c>
      <c r="BO41" s="16" t="s">
        <v>84</v>
      </c>
      <c r="BP41" s="16" t="s">
        <v>84</v>
      </c>
      <c r="BQ41" s="16" t="s">
        <v>84</v>
      </c>
      <c r="BR41" s="16" t="s">
        <v>97</v>
      </c>
      <c r="BS41" s="16" t="s">
        <v>98</v>
      </c>
      <c r="BT41" s="16">
        <v>0</v>
      </c>
    </row>
    <row r="42" s="1" customFormat="1" ht="16" customHeight="1" spans="1:72">
      <c r="A42" s="14">
        <f t="shared" si="13"/>
        <v>2025</v>
      </c>
      <c r="B42" s="14">
        <f t="shared" si="14"/>
        <v>8</v>
      </c>
      <c r="C42" s="14" t="str">
        <f t="shared" si="15"/>
        <v>3730100611626966016</v>
      </c>
      <c r="D42" s="14" cm="1">
        <f t="array" ref="D42">SUMPRODUCT(($R$2:$R$374=C42)*1)</f>
        <v>1</v>
      </c>
      <c r="E42" s="14" cm="1">
        <f t="array" ref="E42">SUMPRODUCT(($R$2:R42=C42)*1)</f>
        <v>1</v>
      </c>
      <c r="F42" s="15" t="str">
        <f t="shared" si="16"/>
        <v>Z1576-黑色-L</v>
      </c>
      <c r="G42" s="14" t="str">
        <f t="shared" si="17"/>
        <v>Z1576</v>
      </c>
      <c r="H42" s="15">
        <f t="shared" si="18"/>
        <v>1</v>
      </c>
      <c r="I42" s="14">
        <f t="shared" si="19"/>
        <v>199</v>
      </c>
      <c r="J42" s="15">
        <f t="shared" si="20"/>
        <v>0</v>
      </c>
      <c r="K42" s="15">
        <f t="shared" si="21"/>
        <v>0</v>
      </c>
      <c r="L42" s="15">
        <f t="shared" si="22"/>
        <v>-9.95</v>
      </c>
      <c r="M42" s="15">
        <f t="shared" si="23"/>
        <v>0</v>
      </c>
      <c r="N42" s="15">
        <f t="shared" si="24"/>
        <v>-1.5</v>
      </c>
      <c r="O42" s="15">
        <f t="shared" si="25"/>
        <v>187.55</v>
      </c>
      <c r="R42" s="16" t="s">
        <v>717</v>
      </c>
      <c r="S42" s="16" t="s">
        <v>718</v>
      </c>
      <c r="T42" s="16" t="s">
        <v>393</v>
      </c>
      <c r="U42" s="16" t="s">
        <v>719</v>
      </c>
      <c r="V42" s="16" t="s">
        <v>720</v>
      </c>
      <c r="W42" s="16" t="s">
        <v>76</v>
      </c>
      <c r="X42" s="16" t="s">
        <v>77</v>
      </c>
      <c r="Y42" s="16" t="s">
        <v>205</v>
      </c>
      <c r="Z42" s="16" t="s">
        <v>721</v>
      </c>
      <c r="AA42" s="16" t="s">
        <v>107</v>
      </c>
      <c r="AB42" s="16" t="s">
        <v>722</v>
      </c>
      <c r="AC42" s="16" t="s">
        <v>723</v>
      </c>
      <c r="AD42" s="16" t="s">
        <v>724</v>
      </c>
      <c r="AE42" s="16" t="s">
        <v>84</v>
      </c>
      <c r="AF42" s="16" t="s">
        <v>84</v>
      </c>
      <c r="AG42" s="16">
        <v>199</v>
      </c>
      <c r="AH42" s="16">
        <v>199</v>
      </c>
      <c r="AI42" s="17">
        <v>199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 t="s">
        <v>85</v>
      </c>
      <c r="AP42" s="16" t="s">
        <v>725</v>
      </c>
      <c r="AQ42" s="16" t="s">
        <v>726</v>
      </c>
      <c r="AR42" s="16" t="s">
        <v>88</v>
      </c>
      <c r="AS42" s="16" t="s">
        <v>727</v>
      </c>
      <c r="AT42" s="16">
        <v>9.95</v>
      </c>
      <c r="AU42" s="16" t="s">
        <v>90</v>
      </c>
      <c r="AV42" s="16">
        <v>1.5</v>
      </c>
      <c r="AW42" s="16" t="s">
        <v>115</v>
      </c>
      <c r="AX42" s="16" t="s">
        <v>116</v>
      </c>
      <c r="AY42" s="16" t="s">
        <v>117</v>
      </c>
      <c r="AZ42" s="16" t="s">
        <v>118</v>
      </c>
      <c r="BA42" s="16" t="s">
        <v>119</v>
      </c>
      <c r="BB42" s="16">
        <v>0</v>
      </c>
      <c r="BC42" s="16" t="s">
        <v>84</v>
      </c>
      <c r="BD42" s="16" t="s">
        <v>90</v>
      </c>
      <c r="BE42" s="16" t="s">
        <v>402</v>
      </c>
      <c r="BF42" s="16" t="s">
        <v>403</v>
      </c>
      <c r="BG42" s="16" t="s">
        <v>404</v>
      </c>
      <c r="BH42" s="16" t="s">
        <v>405</v>
      </c>
      <c r="BI42" s="16" t="s">
        <v>406</v>
      </c>
      <c r="BJ42" s="16">
        <v>199</v>
      </c>
      <c r="BK42" s="16">
        <v>199</v>
      </c>
      <c r="BL42" s="16">
        <v>199</v>
      </c>
      <c r="BM42" s="16" t="s">
        <v>96</v>
      </c>
      <c r="BN42" s="16">
        <v>1</v>
      </c>
      <c r="BO42" s="16" t="s">
        <v>84</v>
      </c>
      <c r="BP42" s="16" t="s">
        <v>84</v>
      </c>
      <c r="BQ42" s="16" t="s">
        <v>84</v>
      </c>
      <c r="BR42" s="16" t="s">
        <v>97</v>
      </c>
      <c r="BS42" s="16" t="s">
        <v>98</v>
      </c>
      <c r="BT42" s="16">
        <v>0</v>
      </c>
    </row>
    <row r="43" s="1" customFormat="1" ht="16" customHeight="1" spans="1:72">
      <c r="A43" s="14">
        <f t="shared" si="13"/>
        <v>2025</v>
      </c>
      <c r="B43" s="14">
        <f t="shared" si="14"/>
        <v>8</v>
      </c>
      <c r="C43" s="14" t="str">
        <f t="shared" si="15"/>
        <v>3730099423499662080</v>
      </c>
      <c r="D43" s="14" cm="1">
        <f t="array" ref="D43">SUMPRODUCT(($R$2:$R$374=C43)*1)</f>
        <v>1</v>
      </c>
      <c r="E43" s="14" cm="1">
        <f t="array" ref="E43">SUMPRODUCT(($R$2:R43=C43)*1)</f>
        <v>1</v>
      </c>
      <c r="F43" s="15" t="str">
        <f t="shared" si="16"/>
        <v>Z1581-黑色-M</v>
      </c>
      <c r="G43" s="14" t="str">
        <f t="shared" si="17"/>
        <v>Z1581</v>
      </c>
      <c r="H43" s="15">
        <f t="shared" si="18"/>
        <v>2</v>
      </c>
      <c r="I43" s="14">
        <f t="shared" si="19"/>
        <v>578</v>
      </c>
      <c r="J43" s="15">
        <f t="shared" si="20"/>
        <v>0</v>
      </c>
      <c r="K43" s="15">
        <f t="shared" si="21"/>
        <v>0</v>
      </c>
      <c r="L43" s="15">
        <f t="shared" si="22"/>
        <v>-28.9</v>
      </c>
      <c r="M43" s="15">
        <f t="shared" si="23"/>
        <v>0</v>
      </c>
      <c r="N43" s="15">
        <f t="shared" si="24"/>
        <v>-1.5</v>
      </c>
      <c r="O43" s="15">
        <f t="shared" si="25"/>
        <v>547.6</v>
      </c>
      <c r="R43" s="16" t="s">
        <v>728</v>
      </c>
      <c r="S43" s="16" t="s">
        <v>729</v>
      </c>
      <c r="T43" s="16" t="s">
        <v>586</v>
      </c>
      <c r="U43" s="16" t="s">
        <v>730</v>
      </c>
      <c r="V43" s="16" t="s">
        <v>731</v>
      </c>
      <c r="W43" s="16" t="s">
        <v>76</v>
      </c>
      <c r="X43" s="16" t="s">
        <v>77</v>
      </c>
      <c r="Y43" s="16" t="s">
        <v>732</v>
      </c>
      <c r="Z43" s="16" t="s">
        <v>733</v>
      </c>
      <c r="AA43" s="16" t="s">
        <v>107</v>
      </c>
      <c r="AB43" s="16" t="s">
        <v>190</v>
      </c>
      <c r="AC43" s="16" t="s">
        <v>734</v>
      </c>
      <c r="AD43" s="16" t="s">
        <v>735</v>
      </c>
      <c r="AE43" s="16" t="s">
        <v>84</v>
      </c>
      <c r="AF43" s="16" t="s">
        <v>84</v>
      </c>
      <c r="AG43" s="16">
        <v>578</v>
      </c>
      <c r="AH43" s="16">
        <v>578</v>
      </c>
      <c r="AI43" s="17">
        <v>578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 t="s">
        <v>137</v>
      </c>
      <c r="AP43" s="16" t="s">
        <v>736</v>
      </c>
      <c r="AQ43" s="16" t="s">
        <v>737</v>
      </c>
      <c r="AR43" s="16" t="s">
        <v>88</v>
      </c>
      <c r="AS43" s="16" t="s">
        <v>738</v>
      </c>
      <c r="AT43" s="16">
        <v>28.9</v>
      </c>
      <c r="AU43" s="16" t="s">
        <v>90</v>
      </c>
      <c r="AV43" s="16">
        <v>1.5</v>
      </c>
      <c r="AW43" s="16" t="s">
        <v>115</v>
      </c>
      <c r="AX43" s="16" t="s">
        <v>116</v>
      </c>
      <c r="AY43" s="16" t="s">
        <v>117</v>
      </c>
      <c r="AZ43" s="16" t="s">
        <v>118</v>
      </c>
      <c r="BA43" s="16" t="s">
        <v>119</v>
      </c>
      <c r="BB43" s="16">
        <v>0</v>
      </c>
      <c r="BC43" s="16" t="s">
        <v>84</v>
      </c>
      <c r="BD43" s="16" t="s">
        <v>90</v>
      </c>
      <c r="BE43" s="16" t="s">
        <v>419</v>
      </c>
      <c r="BF43" s="16" t="s">
        <v>420</v>
      </c>
      <c r="BG43" s="16" t="s">
        <v>421</v>
      </c>
      <c r="BH43" s="16" t="s">
        <v>422</v>
      </c>
      <c r="BI43" s="16" t="s">
        <v>308</v>
      </c>
      <c r="BJ43" s="16">
        <v>289</v>
      </c>
      <c r="BK43" s="16">
        <v>289</v>
      </c>
      <c r="BL43" s="16">
        <v>578</v>
      </c>
      <c r="BM43" s="16" t="s">
        <v>96</v>
      </c>
      <c r="BN43" s="16">
        <v>2</v>
      </c>
      <c r="BO43" s="16" t="s">
        <v>84</v>
      </c>
      <c r="BP43" s="16" t="s">
        <v>84</v>
      </c>
      <c r="BQ43" s="16" t="s">
        <v>84</v>
      </c>
      <c r="BR43" s="16" t="s">
        <v>97</v>
      </c>
      <c r="BS43" s="16" t="s">
        <v>98</v>
      </c>
      <c r="BT43" s="16">
        <v>0</v>
      </c>
    </row>
    <row r="44" s="1" customFormat="1" ht="16" customHeight="1" spans="1:72">
      <c r="A44" s="14">
        <f t="shared" si="13"/>
        <v>2025</v>
      </c>
      <c r="B44" s="14">
        <f t="shared" si="14"/>
        <v>8</v>
      </c>
      <c r="C44" s="14" t="str">
        <f t="shared" si="15"/>
        <v>3730093396162389248</v>
      </c>
      <c r="D44" s="14" cm="1">
        <f t="array" ref="D44">SUMPRODUCT(($R$2:$R$374=C44)*1)</f>
        <v>1</v>
      </c>
      <c r="E44" s="14" cm="1">
        <f t="array" ref="E44">SUMPRODUCT(($R$2:R44=C44)*1)</f>
        <v>1</v>
      </c>
      <c r="F44" s="15" t="str">
        <f t="shared" si="16"/>
        <v>Z2290-藏青色-S</v>
      </c>
      <c r="G44" s="14" t="str">
        <f t="shared" si="17"/>
        <v>Z2290</v>
      </c>
      <c r="H44" s="15">
        <f t="shared" si="18"/>
        <v>1</v>
      </c>
      <c r="I44" s="14">
        <f t="shared" si="19"/>
        <v>339</v>
      </c>
      <c r="J44" s="15">
        <f t="shared" si="20"/>
        <v>0</v>
      </c>
      <c r="K44" s="15">
        <f t="shared" si="21"/>
        <v>0</v>
      </c>
      <c r="L44" s="15">
        <f t="shared" si="22"/>
        <v>-16.95</v>
      </c>
      <c r="M44" s="15">
        <f t="shared" si="23"/>
        <v>0</v>
      </c>
      <c r="N44" s="15">
        <f t="shared" si="24"/>
        <v>-1.5</v>
      </c>
      <c r="O44" s="15">
        <f t="shared" si="25"/>
        <v>320.55</v>
      </c>
      <c r="R44" s="16" t="s">
        <v>739</v>
      </c>
      <c r="S44" s="16" t="s">
        <v>740</v>
      </c>
      <c r="T44" s="16" t="s">
        <v>741</v>
      </c>
      <c r="U44" s="16" t="s">
        <v>742</v>
      </c>
      <c r="V44" s="16" t="s">
        <v>743</v>
      </c>
      <c r="W44" s="16" t="s">
        <v>76</v>
      </c>
      <c r="X44" s="16" t="s">
        <v>77</v>
      </c>
      <c r="Y44" s="16" t="s">
        <v>744</v>
      </c>
      <c r="Z44" s="16" t="s">
        <v>745</v>
      </c>
      <c r="AA44" s="16" t="s">
        <v>280</v>
      </c>
      <c r="AB44" s="16" t="s">
        <v>281</v>
      </c>
      <c r="AC44" s="16" t="s">
        <v>746</v>
      </c>
      <c r="AD44" s="16" t="s">
        <v>747</v>
      </c>
      <c r="AE44" s="16" t="s">
        <v>84</v>
      </c>
      <c r="AF44" s="16" t="s">
        <v>84</v>
      </c>
      <c r="AG44" s="16">
        <v>339</v>
      </c>
      <c r="AH44" s="16">
        <v>339</v>
      </c>
      <c r="AI44" s="17">
        <v>339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 t="s">
        <v>85</v>
      </c>
      <c r="AP44" s="16" t="s">
        <v>748</v>
      </c>
      <c r="AQ44" s="16" t="s">
        <v>749</v>
      </c>
      <c r="AR44" s="16" t="s">
        <v>88</v>
      </c>
      <c r="AS44" s="16" t="s">
        <v>750</v>
      </c>
      <c r="AT44" s="16">
        <v>16.95</v>
      </c>
      <c r="AU44" s="16" t="s">
        <v>90</v>
      </c>
      <c r="AV44" s="16">
        <v>1.5</v>
      </c>
      <c r="AW44" s="16" t="s">
        <v>115</v>
      </c>
      <c r="AX44" s="16" t="s">
        <v>116</v>
      </c>
      <c r="AY44" s="16" t="s">
        <v>117</v>
      </c>
      <c r="AZ44" s="16" t="s">
        <v>118</v>
      </c>
      <c r="BA44" s="16" t="s">
        <v>119</v>
      </c>
      <c r="BB44" s="16">
        <v>0</v>
      </c>
      <c r="BC44" s="16" t="s">
        <v>84</v>
      </c>
      <c r="BD44" s="16" t="s">
        <v>90</v>
      </c>
      <c r="BE44" s="16" t="s">
        <v>751</v>
      </c>
      <c r="BF44" s="16" t="s">
        <v>752</v>
      </c>
      <c r="BG44" s="16" t="s">
        <v>753</v>
      </c>
      <c r="BH44" s="16" t="s">
        <v>754</v>
      </c>
      <c r="BI44" s="16" t="s">
        <v>755</v>
      </c>
      <c r="BJ44" s="16">
        <v>339</v>
      </c>
      <c r="BK44" s="16">
        <v>339</v>
      </c>
      <c r="BL44" s="16">
        <v>339</v>
      </c>
      <c r="BM44" s="16" t="s">
        <v>96</v>
      </c>
      <c r="BN44" s="16">
        <v>1</v>
      </c>
      <c r="BO44" s="16" t="s">
        <v>84</v>
      </c>
      <c r="BP44" s="16" t="s">
        <v>84</v>
      </c>
      <c r="BQ44" s="16" t="s">
        <v>84</v>
      </c>
      <c r="BR44" s="16" t="s">
        <v>97</v>
      </c>
      <c r="BS44" s="16" t="s">
        <v>98</v>
      </c>
      <c r="BT44" s="16">
        <v>0</v>
      </c>
    </row>
    <row r="45" s="1" customFormat="1" ht="16" customHeight="1" spans="1:72">
      <c r="A45" s="14">
        <f t="shared" si="13"/>
        <v>2025</v>
      </c>
      <c r="B45" s="14">
        <f t="shared" si="14"/>
        <v>8</v>
      </c>
      <c r="C45" s="14" t="str">
        <f t="shared" si="15"/>
        <v>3730081942718785024</v>
      </c>
      <c r="D45" s="14" cm="1">
        <f t="array" ref="D45">SUMPRODUCT(($R$2:$R$374=C45)*1)</f>
        <v>1</v>
      </c>
      <c r="E45" s="14" cm="1">
        <f t="array" ref="E45">SUMPRODUCT(($R$2:R45=C45)*1)</f>
        <v>1</v>
      </c>
      <c r="F45" s="15" t="str">
        <f t="shared" si="16"/>
        <v>Z2006-黑色-L</v>
      </c>
      <c r="G45" s="14" t="str">
        <f t="shared" si="17"/>
        <v>Z2006</v>
      </c>
      <c r="H45" s="15">
        <f t="shared" si="18"/>
        <v>1</v>
      </c>
      <c r="I45" s="14">
        <f t="shared" si="19"/>
        <v>139</v>
      </c>
      <c r="J45" s="15">
        <f t="shared" si="20"/>
        <v>0</v>
      </c>
      <c r="K45" s="15">
        <f t="shared" si="21"/>
        <v>0</v>
      </c>
      <c r="L45" s="15">
        <f t="shared" si="22"/>
        <v>-1.39</v>
      </c>
      <c r="M45" s="15">
        <f t="shared" si="23"/>
        <v>0</v>
      </c>
      <c r="N45" s="15">
        <f t="shared" si="24"/>
        <v>-1.5</v>
      </c>
      <c r="O45" s="15">
        <f t="shared" si="25"/>
        <v>136.11</v>
      </c>
      <c r="R45" s="16" t="s">
        <v>756</v>
      </c>
      <c r="S45" s="16" t="s">
        <v>757</v>
      </c>
      <c r="T45" s="16" t="s">
        <v>758</v>
      </c>
      <c r="U45" s="16" t="s">
        <v>759</v>
      </c>
      <c r="V45" s="16" t="s">
        <v>760</v>
      </c>
      <c r="W45" s="16" t="s">
        <v>76</v>
      </c>
      <c r="X45" s="16" t="s">
        <v>77</v>
      </c>
      <c r="Y45" s="16" t="s">
        <v>761</v>
      </c>
      <c r="Z45" s="16" t="s">
        <v>762</v>
      </c>
      <c r="AA45" s="16" t="s">
        <v>763</v>
      </c>
      <c r="AB45" s="16" t="s">
        <v>763</v>
      </c>
      <c r="AC45" s="16" t="s">
        <v>764</v>
      </c>
      <c r="AD45" s="16" t="s">
        <v>765</v>
      </c>
      <c r="AE45" s="16" t="s">
        <v>84</v>
      </c>
      <c r="AF45" s="16" t="s">
        <v>84</v>
      </c>
      <c r="AG45" s="16">
        <v>139</v>
      </c>
      <c r="AH45" s="16">
        <v>139</v>
      </c>
      <c r="AI45" s="17">
        <v>139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 t="s">
        <v>137</v>
      </c>
      <c r="AP45" s="16" t="s">
        <v>766</v>
      </c>
      <c r="AQ45" s="16" t="s">
        <v>767</v>
      </c>
      <c r="AR45" s="16" t="s">
        <v>88</v>
      </c>
      <c r="AS45" s="16" t="s">
        <v>768</v>
      </c>
      <c r="AT45" s="16">
        <v>1.39</v>
      </c>
      <c r="AU45" s="16" t="s">
        <v>90</v>
      </c>
      <c r="AV45" s="16">
        <v>1.5</v>
      </c>
      <c r="AW45" s="16" t="s">
        <v>90</v>
      </c>
      <c r="AX45" s="16" t="s">
        <v>90</v>
      </c>
      <c r="AY45" s="16" t="s">
        <v>90</v>
      </c>
      <c r="AZ45" s="16" t="s">
        <v>90</v>
      </c>
      <c r="BA45" s="16" t="s">
        <v>90</v>
      </c>
      <c r="BB45" s="16">
        <v>0</v>
      </c>
      <c r="BC45" s="16"/>
      <c r="BD45" s="16" t="s">
        <v>90</v>
      </c>
      <c r="BE45" s="16" t="s">
        <v>769</v>
      </c>
      <c r="BF45" s="16" t="s">
        <v>770</v>
      </c>
      <c r="BG45" s="16" t="s">
        <v>771</v>
      </c>
      <c r="BH45" s="16" t="s">
        <v>772</v>
      </c>
      <c r="BI45" s="16" t="s">
        <v>324</v>
      </c>
      <c r="BJ45" s="16">
        <v>139</v>
      </c>
      <c r="BK45" s="16">
        <v>139</v>
      </c>
      <c r="BL45" s="16">
        <v>139</v>
      </c>
      <c r="BM45" s="16" t="s">
        <v>96</v>
      </c>
      <c r="BN45" s="16">
        <v>1</v>
      </c>
      <c r="BO45" s="16" t="s">
        <v>84</v>
      </c>
      <c r="BP45" s="16" t="s">
        <v>84</v>
      </c>
      <c r="BQ45" s="16" t="s">
        <v>84</v>
      </c>
      <c r="BR45" s="16" t="s">
        <v>97</v>
      </c>
      <c r="BS45" s="16" t="s">
        <v>98</v>
      </c>
      <c r="BT45" s="16">
        <v>0</v>
      </c>
    </row>
    <row r="46" s="1" customFormat="1" ht="16" customHeight="1" spans="1:72">
      <c r="A46" s="14">
        <f t="shared" si="13"/>
        <v>2025</v>
      </c>
      <c r="B46" s="14">
        <f t="shared" si="14"/>
        <v>8</v>
      </c>
      <c r="C46" s="14" t="str">
        <f t="shared" si="15"/>
        <v>3730069770365449472</v>
      </c>
      <c r="D46" s="14" cm="1">
        <f t="array" ref="D46">SUMPRODUCT(($R$2:$R$374=C46)*1)</f>
        <v>1</v>
      </c>
      <c r="E46" s="14" cm="1">
        <f t="array" ref="E46">SUMPRODUCT(($R$2:R46=C46)*1)</f>
        <v>1</v>
      </c>
      <c r="F46" s="15" t="str">
        <f t="shared" si="16"/>
        <v>Z2320-绿色-M</v>
      </c>
      <c r="G46" s="14" t="str">
        <f t="shared" si="17"/>
        <v>Z2320</v>
      </c>
      <c r="H46" s="15">
        <f t="shared" si="18"/>
        <v>1</v>
      </c>
      <c r="I46" s="14">
        <f t="shared" si="19"/>
        <v>299</v>
      </c>
      <c r="J46" s="15">
        <f t="shared" si="20"/>
        <v>0</v>
      </c>
      <c r="K46" s="15">
        <f t="shared" si="21"/>
        <v>0</v>
      </c>
      <c r="L46" s="15">
        <f t="shared" si="22"/>
        <v>-2.99</v>
      </c>
      <c r="M46" s="15">
        <f t="shared" si="23"/>
        <v>0</v>
      </c>
      <c r="N46" s="15">
        <f t="shared" si="24"/>
        <v>-1.5</v>
      </c>
      <c r="O46" s="15">
        <f t="shared" si="25"/>
        <v>294.51</v>
      </c>
      <c r="R46" s="16" t="s">
        <v>773</v>
      </c>
      <c r="S46" s="16" t="s">
        <v>774</v>
      </c>
      <c r="T46" s="16" t="s">
        <v>775</v>
      </c>
      <c r="U46" s="16" t="s">
        <v>776</v>
      </c>
      <c r="V46" s="16" t="s">
        <v>777</v>
      </c>
      <c r="W46" s="16" t="s">
        <v>76</v>
      </c>
      <c r="X46" s="16" t="s">
        <v>77</v>
      </c>
      <c r="Y46" s="16" t="s">
        <v>778</v>
      </c>
      <c r="Z46" s="16" t="s">
        <v>779</v>
      </c>
      <c r="AA46" s="16" t="s">
        <v>780</v>
      </c>
      <c r="AB46" s="16" t="s">
        <v>781</v>
      </c>
      <c r="AC46" s="16" t="s">
        <v>782</v>
      </c>
      <c r="AD46" s="16" t="s">
        <v>783</v>
      </c>
      <c r="AE46" s="16" t="s">
        <v>84</v>
      </c>
      <c r="AF46" s="16" t="s">
        <v>84</v>
      </c>
      <c r="AG46" s="16">
        <v>299</v>
      </c>
      <c r="AH46" s="16">
        <v>299</v>
      </c>
      <c r="AI46" s="17">
        <v>299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 t="s">
        <v>85</v>
      </c>
      <c r="AP46" s="16" t="s">
        <v>784</v>
      </c>
      <c r="AQ46" s="16" t="s">
        <v>785</v>
      </c>
      <c r="AR46" s="16" t="s">
        <v>88</v>
      </c>
      <c r="AS46" s="16" t="s">
        <v>786</v>
      </c>
      <c r="AT46" s="16">
        <v>2.99</v>
      </c>
      <c r="AU46" s="16" t="s">
        <v>90</v>
      </c>
      <c r="AV46" s="16">
        <v>1.5</v>
      </c>
      <c r="AW46" s="16" t="s">
        <v>90</v>
      </c>
      <c r="AX46" s="16" t="s">
        <v>90</v>
      </c>
      <c r="AY46" s="16" t="s">
        <v>90</v>
      </c>
      <c r="AZ46" s="16" t="s">
        <v>90</v>
      </c>
      <c r="BA46" s="16" t="s">
        <v>90</v>
      </c>
      <c r="BB46" s="16">
        <v>0</v>
      </c>
      <c r="BC46" s="16"/>
      <c r="BD46" s="16" t="s">
        <v>90</v>
      </c>
      <c r="BE46" s="16" t="s">
        <v>787</v>
      </c>
      <c r="BF46" s="16" t="s">
        <v>788</v>
      </c>
      <c r="BG46" s="16" t="s">
        <v>789</v>
      </c>
      <c r="BH46" s="16" t="s">
        <v>790</v>
      </c>
      <c r="BI46" s="16" t="s">
        <v>791</v>
      </c>
      <c r="BJ46" s="16">
        <v>299</v>
      </c>
      <c r="BK46" s="16">
        <v>299</v>
      </c>
      <c r="BL46" s="16">
        <v>299</v>
      </c>
      <c r="BM46" s="16" t="s">
        <v>96</v>
      </c>
      <c r="BN46" s="16">
        <v>1</v>
      </c>
      <c r="BO46" s="16" t="s">
        <v>84</v>
      </c>
      <c r="BP46" s="16" t="s">
        <v>84</v>
      </c>
      <c r="BQ46" s="16" t="s">
        <v>84</v>
      </c>
      <c r="BR46" s="16" t="s">
        <v>97</v>
      </c>
      <c r="BS46" s="16" t="s">
        <v>98</v>
      </c>
      <c r="BT46" s="16">
        <v>0</v>
      </c>
    </row>
    <row r="47" s="1" customFormat="1" ht="16" customHeight="1" spans="1:72">
      <c r="A47" s="14">
        <f t="shared" si="13"/>
        <v>2025</v>
      </c>
      <c r="B47" s="14">
        <f t="shared" si="14"/>
        <v>8</v>
      </c>
      <c r="C47" s="14" t="str">
        <f t="shared" si="15"/>
        <v>3730053825026728704</v>
      </c>
      <c r="D47" s="14" cm="1">
        <f t="array" ref="D47">SUMPRODUCT(($R$2:$R$374=C47)*1)</f>
        <v>2</v>
      </c>
      <c r="E47" s="14" cm="1">
        <f t="array" ref="E47">SUMPRODUCT(($R$2:R47=C47)*1)</f>
        <v>1</v>
      </c>
      <c r="F47" s="15" t="str">
        <f t="shared" si="16"/>
        <v>Z2299-蓝色-M</v>
      </c>
      <c r="G47" s="14" t="str">
        <f t="shared" si="17"/>
        <v>Z2299</v>
      </c>
      <c r="H47" s="15">
        <f t="shared" si="18"/>
        <v>0</v>
      </c>
      <c r="I47" s="14">
        <f t="shared" si="19"/>
        <v>0</v>
      </c>
      <c r="J47" s="15">
        <f t="shared" si="20"/>
        <v>0</v>
      </c>
      <c r="K47" s="15">
        <f t="shared" si="21"/>
        <v>0</v>
      </c>
      <c r="L47" s="15">
        <f t="shared" si="22"/>
        <v>-14.45</v>
      </c>
      <c r="M47" s="15">
        <f t="shared" si="23"/>
        <v>0</v>
      </c>
      <c r="N47" s="15">
        <f t="shared" si="24"/>
        <v>0</v>
      </c>
      <c r="O47" s="15">
        <f t="shared" si="25"/>
        <v>-14.45</v>
      </c>
      <c r="R47" s="16" t="s">
        <v>792</v>
      </c>
      <c r="S47" s="16" t="s">
        <v>793</v>
      </c>
      <c r="T47" s="16" t="s">
        <v>794</v>
      </c>
      <c r="U47" s="16" t="s">
        <v>795</v>
      </c>
      <c r="V47" s="16" t="s">
        <v>796</v>
      </c>
      <c r="W47" s="16" t="s">
        <v>76</v>
      </c>
      <c r="X47" s="16" t="s">
        <v>77</v>
      </c>
      <c r="Y47" s="16" t="s">
        <v>797</v>
      </c>
      <c r="Z47" s="16" t="s">
        <v>798</v>
      </c>
      <c r="AA47" s="16" t="s">
        <v>799</v>
      </c>
      <c r="AB47" s="16" t="s">
        <v>800</v>
      </c>
      <c r="AC47" s="16" t="s">
        <v>801</v>
      </c>
      <c r="AD47" s="16" t="s">
        <v>802</v>
      </c>
      <c r="AE47" s="16" t="s">
        <v>84</v>
      </c>
      <c r="AF47" s="16" t="s">
        <v>803</v>
      </c>
      <c r="AG47" s="16">
        <v>588</v>
      </c>
      <c r="AH47" s="16">
        <v>588</v>
      </c>
      <c r="AI47" s="17">
        <v>588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 t="s">
        <v>85</v>
      </c>
      <c r="AP47" s="16" t="s">
        <v>804</v>
      </c>
      <c r="AQ47" s="16" t="s">
        <v>805</v>
      </c>
      <c r="AR47" s="16" t="s">
        <v>88</v>
      </c>
      <c r="AS47" s="16" t="s">
        <v>806</v>
      </c>
      <c r="AT47" s="16">
        <v>14.45</v>
      </c>
      <c r="AU47" s="16" t="s">
        <v>90</v>
      </c>
      <c r="AV47" s="16">
        <v>1.5</v>
      </c>
      <c r="AW47" s="16" t="s">
        <v>115</v>
      </c>
      <c r="AX47" s="16" t="s">
        <v>116</v>
      </c>
      <c r="AY47" s="16" t="s">
        <v>117</v>
      </c>
      <c r="AZ47" s="16" t="s">
        <v>118</v>
      </c>
      <c r="BA47" s="16" t="s">
        <v>119</v>
      </c>
      <c r="BB47" s="16">
        <v>0</v>
      </c>
      <c r="BC47" s="16" t="s">
        <v>84</v>
      </c>
      <c r="BD47" s="16" t="s">
        <v>90</v>
      </c>
      <c r="BE47" s="16" t="s">
        <v>807</v>
      </c>
      <c r="BF47" s="16" t="s">
        <v>808</v>
      </c>
      <c r="BG47" s="16" t="s">
        <v>809</v>
      </c>
      <c r="BH47" s="16" t="s">
        <v>810</v>
      </c>
      <c r="BI47" s="16" t="s">
        <v>811</v>
      </c>
      <c r="BJ47" s="16">
        <v>299</v>
      </c>
      <c r="BK47" s="16">
        <v>299</v>
      </c>
      <c r="BL47" s="16">
        <v>299</v>
      </c>
      <c r="BM47" s="16" t="s">
        <v>96</v>
      </c>
      <c r="BN47" s="16">
        <v>1</v>
      </c>
      <c r="BO47" s="16" t="s">
        <v>84</v>
      </c>
      <c r="BP47" s="16" t="s">
        <v>84</v>
      </c>
      <c r="BQ47" s="16" t="s">
        <v>84</v>
      </c>
      <c r="BR47" s="16" t="s">
        <v>97</v>
      </c>
      <c r="BS47" s="16" t="s">
        <v>125</v>
      </c>
      <c r="BT47" s="16">
        <v>299</v>
      </c>
    </row>
    <row r="48" s="1" customFormat="1" ht="16" customHeight="1" spans="1:72">
      <c r="A48" s="14">
        <f t="shared" si="13"/>
        <v>2025</v>
      </c>
      <c r="B48" s="14">
        <f t="shared" si="14"/>
        <v>8</v>
      </c>
      <c r="C48" s="14" t="str">
        <f t="shared" si="15"/>
        <v>3730053825026728704</v>
      </c>
      <c r="D48" s="14" cm="1">
        <f t="array" ref="D48">SUMPRODUCT(($R$2:$R$374=C48)*1)</f>
        <v>2</v>
      </c>
      <c r="E48" s="14" cm="1">
        <f t="array" ref="E48">SUMPRODUCT(($R$2:R48=C48)*1)</f>
        <v>2</v>
      </c>
      <c r="F48" s="15" t="str">
        <f t="shared" si="16"/>
        <v>Z1581-白色-M</v>
      </c>
      <c r="G48" s="14" t="str">
        <f t="shared" si="17"/>
        <v>Z1581</v>
      </c>
      <c r="H48" s="15">
        <f t="shared" si="18"/>
        <v>1</v>
      </c>
      <c r="I48" s="14">
        <f t="shared" si="19"/>
        <v>289</v>
      </c>
      <c r="J48" s="15">
        <f t="shared" si="20"/>
        <v>0</v>
      </c>
      <c r="K48" s="15">
        <f t="shared" si="21"/>
        <v>0</v>
      </c>
      <c r="L48" s="15">
        <f t="shared" si="22"/>
        <v>0</v>
      </c>
      <c r="M48" s="15">
        <f t="shared" si="23"/>
        <v>0</v>
      </c>
      <c r="N48" s="15">
        <f t="shared" si="24"/>
        <v>0</v>
      </c>
      <c r="O48" s="15">
        <f t="shared" si="25"/>
        <v>289</v>
      </c>
      <c r="R48" s="16" t="s">
        <v>792</v>
      </c>
      <c r="S48" s="16" t="s">
        <v>793</v>
      </c>
      <c r="T48" s="16" t="s">
        <v>794</v>
      </c>
      <c r="U48" s="16" t="s">
        <v>795</v>
      </c>
      <c r="V48" s="16" t="s">
        <v>796</v>
      </c>
      <c r="W48" s="16" t="s">
        <v>76</v>
      </c>
      <c r="X48" s="16" t="s">
        <v>77</v>
      </c>
      <c r="Y48" s="16" t="s">
        <v>797</v>
      </c>
      <c r="Z48" s="16" t="s">
        <v>798</v>
      </c>
      <c r="AA48" s="16" t="s">
        <v>799</v>
      </c>
      <c r="AB48" s="16" t="s">
        <v>800</v>
      </c>
      <c r="AC48" s="16" t="s">
        <v>801</v>
      </c>
      <c r="AD48" s="16" t="s">
        <v>802</v>
      </c>
      <c r="AE48" s="16" t="s">
        <v>84</v>
      </c>
      <c r="AF48" s="16" t="s">
        <v>803</v>
      </c>
      <c r="AG48" s="16">
        <v>588</v>
      </c>
      <c r="AH48" s="16">
        <v>588</v>
      </c>
      <c r="AI48" s="17">
        <v>588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 t="s">
        <v>85</v>
      </c>
      <c r="AP48" s="16" t="s">
        <v>804</v>
      </c>
      <c r="AQ48" s="16" t="s">
        <v>805</v>
      </c>
      <c r="AR48" s="16" t="s">
        <v>88</v>
      </c>
      <c r="AS48" s="16" t="s">
        <v>812</v>
      </c>
      <c r="AT48" s="16">
        <v>14.45</v>
      </c>
      <c r="AU48" s="16" t="s">
        <v>90</v>
      </c>
      <c r="AV48" s="16">
        <v>1.5</v>
      </c>
      <c r="AW48" s="16" t="s">
        <v>115</v>
      </c>
      <c r="AX48" s="16" t="s">
        <v>116</v>
      </c>
      <c r="AY48" s="16" t="s">
        <v>117</v>
      </c>
      <c r="AZ48" s="16" t="s">
        <v>118</v>
      </c>
      <c r="BA48" s="16" t="s">
        <v>119</v>
      </c>
      <c r="BB48" s="16">
        <v>0</v>
      </c>
      <c r="BC48" s="16" t="s">
        <v>84</v>
      </c>
      <c r="BD48" s="16" t="s">
        <v>90</v>
      </c>
      <c r="BE48" s="16" t="s">
        <v>419</v>
      </c>
      <c r="BF48" s="16" t="s">
        <v>420</v>
      </c>
      <c r="BG48" s="16" t="s">
        <v>421</v>
      </c>
      <c r="BH48" s="16" t="s">
        <v>715</v>
      </c>
      <c r="BI48" s="16" t="s">
        <v>716</v>
      </c>
      <c r="BJ48" s="16">
        <v>289</v>
      </c>
      <c r="BK48" s="16">
        <v>289</v>
      </c>
      <c r="BL48" s="16">
        <v>289</v>
      </c>
      <c r="BM48" s="16" t="s">
        <v>96</v>
      </c>
      <c r="BN48" s="16">
        <v>1</v>
      </c>
      <c r="BO48" s="16" t="s">
        <v>84</v>
      </c>
      <c r="BP48" s="16" t="s">
        <v>84</v>
      </c>
      <c r="BQ48" s="16" t="s">
        <v>84</v>
      </c>
      <c r="BR48" s="16" t="s">
        <v>97</v>
      </c>
      <c r="BS48" s="16"/>
      <c r="BT48" s="16">
        <v>0</v>
      </c>
    </row>
    <row r="49" s="1" customFormat="1" ht="16" customHeight="1" spans="1:72">
      <c r="A49" s="14">
        <f t="shared" si="13"/>
        <v>2025</v>
      </c>
      <c r="B49" s="14">
        <f t="shared" si="14"/>
        <v>8</v>
      </c>
      <c r="C49" s="14" t="str">
        <f t="shared" si="15"/>
        <v>3730046305697406208</v>
      </c>
      <c r="D49" s="14" cm="1">
        <f t="array" ref="D49">SUMPRODUCT(($R$2:$R$374=C49)*1)</f>
        <v>1</v>
      </c>
      <c r="E49" s="14" cm="1">
        <f t="array" ref="E49">SUMPRODUCT(($R$2:R49=C49)*1)</f>
        <v>1</v>
      </c>
      <c r="F49" s="15" t="str">
        <f t="shared" si="16"/>
        <v>Z2183-黑色-XL</v>
      </c>
      <c r="G49" s="14" t="str">
        <f t="shared" si="17"/>
        <v>Z2183</v>
      </c>
      <c r="H49" s="15">
        <f t="shared" si="18"/>
        <v>1</v>
      </c>
      <c r="I49" s="14">
        <f t="shared" si="19"/>
        <v>129</v>
      </c>
      <c r="J49" s="15">
        <f t="shared" si="20"/>
        <v>0</v>
      </c>
      <c r="K49" s="15">
        <f t="shared" si="21"/>
        <v>0</v>
      </c>
      <c r="L49" s="15">
        <f t="shared" si="22"/>
        <v>-1.29</v>
      </c>
      <c r="M49" s="15">
        <f t="shared" si="23"/>
        <v>0</v>
      </c>
      <c r="N49" s="15">
        <f t="shared" si="24"/>
        <v>-1.5</v>
      </c>
      <c r="O49" s="15">
        <f t="shared" si="25"/>
        <v>126.21</v>
      </c>
      <c r="R49" s="16" t="s">
        <v>813</v>
      </c>
      <c r="S49" s="16" t="s">
        <v>814</v>
      </c>
      <c r="T49" s="16" t="s">
        <v>815</v>
      </c>
      <c r="U49" s="16" t="s">
        <v>816</v>
      </c>
      <c r="V49" s="16" t="s">
        <v>817</v>
      </c>
      <c r="W49" s="16" t="s">
        <v>76</v>
      </c>
      <c r="X49" s="16" t="s">
        <v>77</v>
      </c>
      <c r="Y49" s="16" t="s">
        <v>818</v>
      </c>
      <c r="Z49" s="16" t="s">
        <v>819</v>
      </c>
      <c r="AA49" s="16" t="s">
        <v>820</v>
      </c>
      <c r="AB49" s="16" t="s">
        <v>821</v>
      </c>
      <c r="AC49" s="16" t="s">
        <v>822</v>
      </c>
      <c r="AD49" s="16" t="s">
        <v>823</v>
      </c>
      <c r="AE49" s="16" t="s">
        <v>84</v>
      </c>
      <c r="AF49" s="16" t="s">
        <v>84</v>
      </c>
      <c r="AG49" s="16">
        <v>129</v>
      </c>
      <c r="AH49" s="16">
        <v>129</v>
      </c>
      <c r="AI49" s="17">
        <v>129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 t="s">
        <v>137</v>
      </c>
      <c r="AP49" s="16" t="s">
        <v>824</v>
      </c>
      <c r="AQ49" s="16" t="s">
        <v>825</v>
      </c>
      <c r="AR49" s="16" t="s">
        <v>88</v>
      </c>
      <c r="AS49" s="16" t="s">
        <v>826</v>
      </c>
      <c r="AT49" s="16">
        <v>1.29</v>
      </c>
      <c r="AU49" s="16" t="s">
        <v>90</v>
      </c>
      <c r="AV49" s="16">
        <v>1.5</v>
      </c>
      <c r="AW49" s="16" t="s">
        <v>90</v>
      </c>
      <c r="AX49" s="16" t="s">
        <v>90</v>
      </c>
      <c r="AY49" s="16" t="s">
        <v>90</v>
      </c>
      <c r="AZ49" s="16" t="s">
        <v>90</v>
      </c>
      <c r="BA49" s="16" t="s">
        <v>90</v>
      </c>
      <c r="BB49" s="16">
        <v>0</v>
      </c>
      <c r="BC49" s="16"/>
      <c r="BD49" s="16" t="s">
        <v>90</v>
      </c>
      <c r="BE49" s="16" t="s">
        <v>610</v>
      </c>
      <c r="BF49" s="16" t="s">
        <v>611</v>
      </c>
      <c r="BG49" s="16" t="s">
        <v>612</v>
      </c>
      <c r="BH49" s="16" t="s">
        <v>613</v>
      </c>
      <c r="BI49" s="16" t="s">
        <v>614</v>
      </c>
      <c r="BJ49" s="16">
        <v>129</v>
      </c>
      <c r="BK49" s="16">
        <v>129</v>
      </c>
      <c r="BL49" s="16">
        <v>129</v>
      </c>
      <c r="BM49" s="16" t="s">
        <v>96</v>
      </c>
      <c r="BN49" s="16">
        <v>1</v>
      </c>
      <c r="BO49" s="16" t="s">
        <v>84</v>
      </c>
      <c r="BP49" s="16" t="s">
        <v>84</v>
      </c>
      <c r="BQ49" s="16" t="s">
        <v>84</v>
      </c>
      <c r="BR49" s="16" t="s">
        <v>97</v>
      </c>
      <c r="BS49" s="16" t="s">
        <v>98</v>
      </c>
      <c r="BT49" s="16">
        <v>0</v>
      </c>
    </row>
    <row r="50" s="1" customFormat="1" ht="16" customHeight="1" spans="1:72">
      <c r="A50" s="14">
        <f t="shared" si="13"/>
        <v>2025</v>
      </c>
      <c r="B50" s="14">
        <f t="shared" si="14"/>
        <v>8</v>
      </c>
      <c r="C50" s="14" t="str">
        <f t="shared" si="15"/>
        <v>3730038407463837952</v>
      </c>
      <c r="D50" s="14" cm="1">
        <f t="array" ref="D50">SUMPRODUCT(($R$2:$R$374=C50)*1)</f>
        <v>1</v>
      </c>
      <c r="E50" s="14" cm="1">
        <f t="array" ref="E50">SUMPRODUCT(($R$2:R50=C50)*1)</f>
        <v>1</v>
      </c>
      <c r="F50" s="15" t="str">
        <f t="shared" si="16"/>
        <v>Z1913-黑色-S</v>
      </c>
      <c r="G50" s="14" t="str">
        <f t="shared" si="17"/>
        <v>Z1913</v>
      </c>
      <c r="H50" s="15">
        <f t="shared" si="18"/>
        <v>1</v>
      </c>
      <c r="I50" s="14">
        <f t="shared" si="19"/>
        <v>299</v>
      </c>
      <c r="J50" s="15">
        <f t="shared" si="20"/>
        <v>0</v>
      </c>
      <c r="K50" s="15">
        <f t="shared" si="21"/>
        <v>0</v>
      </c>
      <c r="L50" s="15">
        <f t="shared" si="22"/>
        <v>-14.95</v>
      </c>
      <c r="M50" s="15">
        <f t="shared" si="23"/>
        <v>0</v>
      </c>
      <c r="N50" s="15">
        <f t="shared" si="24"/>
        <v>-1.5</v>
      </c>
      <c r="O50" s="15">
        <f t="shared" si="25"/>
        <v>282.55</v>
      </c>
      <c r="R50" s="16" t="s">
        <v>827</v>
      </c>
      <c r="S50" s="16" t="s">
        <v>828</v>
      </c>
      <c r="T50" s="16" t="s">
        <v>829</v>
      </c>
      <c r="U50" s="16" t="s">
        <v>830</v>
      </c>
      <c r="V50" s="16" t="s">
        <v>831</v>
      </c>
      <c r="W50" s="16" t="s">
        <v>76</v>
      </c>
      <c r="X50" s="16" t="s">
        <v>77</v>
      </c>
      <c r="Y50" s="16" t="s">
        <v>832</v>
      </c>
      <c r="Z50" s="16" t="s">
        <v>833</v>
      </c>
      <c r="AA50" s="16" t="s">
        <v>799</v>
      </c>
      <c r="AB50" s="16" t="s">
        <v>834</v>
      </c>
      <c r="AC50" s="16" t="s">
        <v>835</v>
      </c>
      <c r="AD50" s="16" t="s">
        <v>836</v>
      </c>
      <c r="AE50" s="16" t="s">
        <v>84</v>
      </c>
      <c r="AF50" s="16" t="s">
        <v>84</v>
      </c>
      <c r="AG50" s="16">
        <v>299</v>
      </c>
      <c r="AH50" s="16">
        <v>299</v>
      </c>
      <c r="AI50" s="17">
        <v>299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 t="s">
        <v>85</v>
      </c>
      <c r="AP50" s="16" t="s">
        <v>837</v>
      </c>
      <c r="AQ50" s="16" t="s">
        <v>838</v>
      </c>
      <c r="AR50" s="16" t="s">
        <v>88</v>
      </c>
      <c r="AS50" s="16" t="s">
        <v>839</v>
      </c>
      <c r="AT50" s="16">
        <v>14.95</v>
      </c>
      <c r="AU50" s="16" t="s">
        <v>90</v>
      </c>
      <c r="AV50" s="16">
        <v>1.5</v>
      </c>
      <c r="AW50" s="16" t="s">
        <v>115</v>
      </c>
      <c r="AX50" s="16" t="s">
        <v>116</v>
      </c>
      <c r="AY50" s="16" t="s">
        <v>117</v>
      </c>
      <c r="AZ50" s="16" t="s">
        <v>118</v>
      </c>
      <c r="BA50" s="16" t="s">
        <v>119</v>
      </c>
      <c r="BB50" s="16">
        <v>0</v>
      </c>
      <c r="BC50" s="16" t="s">
        <v>84</v>
      </c>
      <c r="BD50" s="16" t="s">
        <v>90</v>
      </c>
      <c r="BE50" s="16" t="s">
        <v>840</v>
      </c>
      <c r="BF50" s="16" t="s">
        <v>841</v>
      </c>
      <c r="BG50" s="16" t="s">
        <v>842</v>
      </c>
      <c r="BH50" s="16" t="s">
        <v>843</v>
      </c>
      <c r="BI50" s="16" t="s">
        <v>844</v>
      </c>
      <c r="BJ50" s="16">
        <v>299</v>
      </c>
      <c r="BK50" s="16">
        <v>299</v>
      </c>
      <c r="BL50" s="16">
        <v>299</v>
      </c>
      <c r="BM50" s="16" t="s">
        <v>96</v>
      </c>
      <c r="BN50" s="16">
        <v>1</v>
      </c>
      <c r="BO50" s="16" t="s">
        <v>84</v>
      </c>
      <c r="BP50" s="16" t="s">
        <v>84</v>
      </c>
      <c r="BQ50" s="16" t="s">
        <v>84</v>
      </c>
      <c r="BR50" s="16" t="s">
        <v>97</v>
      </c>
      <c r="BS50" s="16" t="s">
        <v>98</v>
      </c>
      <c r="BT50" s="16">
        <v>0</v>
      </c>
    </row>
    <row r="51" s="1" customFormat="1" ht="16" customHeight="1" spans="1:72">
      <c r="A51" s="14">
        <f t="shared" si="13"/>
        <v>2025</v>
      </c>
      <c r="B51" s="14">
        <f t="shared" si="14"/>
        <v>8</v>
      </c>
      <c r="C51" s="14" t="str">
        <f t="shared" si="15"/>
        <v>3730033636431508992</v>
      </c>
      <c r="D51" s="14" cm="1">
        <f t="array" ref="D51">SUMPRODUCT(($R$2:$R$374=C51)*1)</f>
        <v>1</v>
      </c>
      <c r="E51" s="14" cm="1">
        <f t="array" ref="E51">SUMPRODUCT(($R$2:R51=C51)*1)</f>
        <v>1</v>
      </c>
      <c r="F51" s="15" t="str">
        <f t="shared" si="16"/>
        <v>Z1645-黑色-L</v>
      </c>
      <c r="G51" s="14" t="str">
        <f t="shared" si="17"/>
        <v>Z1645</v>
      </c>
      <c r="H51" s="15">
        <f t="shared" si="18"/>
        <v>1</v>
      </c>
      <c r="I51" s="14">
        <f t="shared" si="19"/>
        <v>189</v>
      </c>
      <c r="J51" s="15">
        <f t="shared" si="20"/>
        <v>0</v>
      </c>
      <c r="K51" s="15">
        <f t="shared" si="21"/>
        <v>0</v>
      </c>
      <c r="L51" s="15">
        <f t="shared" si="22"/>
        <v>-9.45</v>
      </c>
      <c r="M51" s="15">
        <f t="shared" si="23"/>
        <v>0</v>
      </c>
      <c r="N51" s="15">
        <f t="shared" si="24"/>
        <v>-1.5</v>
      </c>
      <c r="O51" s="15">
        <f t="shared" si="25"/>
        <v>178.05</v>
      </c>
      <c r="R51" s="16" t="s">
        <v>845</v>
      </c>
      <c r="S51" s="16" t="s">
        <v>846</v>
      </c>
      <c r="T51" s="16" t="s">
        <v>847</v>
      </c>
      <c r="U51" s="16" t="s">
        <v>848</v>
      </c>
      <c r="V51" s="16" t="s">
        <v>849</v>
      </c>
      <c r="W51" s="16" t="s">
        <v>76</v>
      </c>
      <c r="X51" s="16" t="s">
        <v>77</v>
      </c>
      <c r="Y51" s="16" t="s">
        <v>850</v>
      </c>
      <c r="Z51" s="16" t="s">
        <v>851</v>
      </c>
      <c r="AA51" s="16" t="s">
        <v>280</v>
      </c>
      <c r="AB51" s="16" t="s">
        <v>852</v>
      </c>
      <c r="AC51" s="16" t="s">
        <v>853</v>
      </c>
      <c r="AD51" s="16" t="s">
        <v>854</v>
      </c>
      <c r="AE51" s="16" t="s">
        <v>84</v>
      </c>
      <c r="AF51" s="16" t="s">
        <v>84</v>
      </c>
      <c r="AG51" s="16">
        <v>189</v>
      </c>
      <c r="AH51" s="16">
        <v>189</v>
      </c>
      <c r="AI51" s="17">
        <v>189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 t="s">
        <v>85</v>
      </c>
      <c r="AP51" s="16" t="s">
        <v>855</v>
      </c>
      <c r="AQ51" s="16" t="s">
        <v>856</v>
      </c>
      <c r="AR51" s="16" t="s">
        <v>88</v>
      </c>
      <c r="AS51" s="16" t="s">
        <v>857</v>
      </c>
      <c r="AT51" s="16">
        <v>9.45</v>
      </c>
      <c r="AU51" s="16" t="s">
        <v>90</v>
      </c>
      <c r="AV51" s="16">
        <v>1.5</v>
      </c>
      <c r="AW51" s="16" t="s">
        <v>115</v>
      </c>
      <c r="AX51" s="16" t="s">
        <v>116</v>
      </c>
      <c r="AY51" s="16" t="s">
        <v>117</v>
      </c>
      <c r="AZ51" s="16" t="s">
        <v>118</v>
      </c>
      <c r="BA51" s="16" t="s">
        <v>119</v>
      </c>
      <c r="BB51" s="16">
        <v>0</v>
      </c>
      <c r="BC51" s="16" t="s">
        <v>84</v>
      </c>
      <c r="BD51" s="16" t="s">
        <v>90</v>
      </c>
      <c r="BE51" s="16" t="s">
        <v>304</v>
      </c>
      <c r="BF51" s="16" t="s">
        <v>305</v>
      </c>
      <c r="BG51" s="16" t="s">
        <v>306</v>
      </c>
      <c r="BH51" s="16" t="s">
        <v>858</v>
      </c>
      <c r="BI51" s="16" t="s">
        <v>406</v>
      </c>
      <c r="BJ51" s="16">
        <v>189</v>
      </c>
      <c r="BK51" s="16">
        <v>189</v>
      </c>
      <c r="BL51" s="16">
        <v>189</v>
      </c>
      <c r="BM51" s="16" t="s">
        <v>96</v>
      </c>
      <c r="BN51" s="16">
        <v>1</v>
      </c>
      <c r="BO51" s="16" t="s">
        <v>84</v>
      </c>
      <c r="BP51" s="16" t="s">
        <v>84</v>
      </c>
      <c r="BQ51" s="16" t="s">
        <v>84</v>
      </c>
      <c r="BR51" s="16" t="s">
        <v>97</v>
      </c>
      <c r="BS51" s="16" t="s">
        <v>98</v>
      </c>
      <c r="BT51" s="16">
        <v>0</v>
      </c>
    </row>
    <row r="52" s="1" customFormat="1" ht="16" customHeight="1" spans="1:72">
      <c r="A52" s="14">
        <f t="shared" si="13"/>
        <v>2025</v>
      </c>
      <c r="B52" s="14">
        <f t="shared" si="14"/>
        <v>8</v>
      </c>
      <c r="C52" s="14" t="str">
        <f t="shared" si="15"/>
        <v>3730031473571011072</v>
      </c>
      <c r="D52" s="14" cm="1">
        <f t="array" ref="D52">SUMPRODUCT(($R$2:$R$374=C52)*1)</f>
        <v>1</v>
      </c>
      <c r="E52" s="14" cm="1">
        <f t="array" ref="E52">SUMPRODUCT(($R$2:R52=C52)*1)</f>
        <v>1</v>
      </c>
      <c r="F52" s="15" t="str">
        <f t="shared" si="16"/>
        <v>Z1645-黑色-S</v>
      </c>
      <c r="G52" s="14" t="str">
        <f t="shared" si="17"/>
        <v>Z1645</v>
      </c>
      <c r="H52" s="15">
        <f t="shared" si="18"/>
        <v>1</v>
      </c>
      <c r="I52" s="14">
        <f t="shared" si="19"/>
        <v>189</v>
      </c>
      <c r="J52" s="15">
        <f t="shared" si="20"/>
        <v>0</v>
      </c>
      <c r="K52" s="15">
        <f t="shared" si="21"/>
        <v>0</v>
      </c>
      <c r="L52" s="15">
        <f t="shared" si="22"/>
        <v>-1.89</v>
      </c>
      <c r="M52" s="15">
        <f t="shared" si="23"/>
        <v>0</v>
      </c>
      <c r="N52" s="15">
        <f t="shared" si="24"/>
        <v>-1.5</v>
      </c>
      <c r="O52" s="15">
        <f t="shared" si="25"/>
        <v>185.61</v>
      </c>
      <c r="R52" s="16" t="s">
        <v>859</v>
      </c>
      <c r="S52" s="16" t="s">
        <v>860</v>
      </c>
      <c r="T52" s="16" t="s">
        <v>861</v>
      </c>
      <c r="U52" s="16" t="s">
        <v>862</v>
      </c>
      <c r="V52" s="16" t="s">
        <v>863</v>
      </c>
      <c r="W52" s="16" t="s">
        <v>76</v>
      </c>
      <c r="X52" s="16" t="s">
        <v>77</v>
      </c>
      <c r="Y52" s="16" t="s">
        <v>864</v>
      </c>
      <c r="Z52" s="16" t="s">
        <v>455</v>
      </c>
      <c r="AA52" s="16" t="s">
        <v>107</v>
      </c>
      <c r="AB52" s="16" t="s">
        <v>456</v>
      </c>
      <c r="AC52" s="16" t="s">
        <v>457</v>
      </c>
      <c r="AD52" s="16" t="s">
        <v>865</v>
      </c>
      <c r="AE52" s="16" t="s">
        <v>84</v>
      </c>
      <c r="AF52" s="16" t="s">
        <v>84</v>
      </c>
      <c r="AG52" s="16">
        <v>189</v>
      </c>
      <c r="AH52" s="16">
        <v>189</v>
      </c>
      <c r="AI52" s="17">
        <v>189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 t="s">
        <v>85</v>
      </c>
      <c r="AP52" s="16" t="s">
        <v>866</v>
      </c>
      <c r="AQ52" s="16" t="s">
        <v>867</v>
      </c>
      <c r="AR52" s="16" t="s">
        <v>88</v>
      </c>
      <c r="AS52" s="16" t="s">
        <v>868</v>
      </c>
      <c r="AT52" s="16">
        <v>1.89</v>
      </c>
      <c r="AU52" s="16" t="s">
        <v>90</v>
      </c>
      <c r="AV52" s="16">
        <v>1.5</v>
      </c>
      <c r="AW52" s="16" t="s">
        <v>90</v>
      </c>
      <c r="AX52" s="16" t="s">
        <v>90</v>
      </c>
      <c r="AY52" s="16" t="s">
        <v>90</v>
      </c>
      <c r="AZ52" s="16" t="s">
        <v>90</v>
      </c>
      <c r="BA52" s="16" t="s">
        <v>90</v>
      </c>
      <c r="BB52" s="16">
        <v>0</v>
      </c>
      <c r="BC52" s="16"/>
      <c r="BD52" s="16" t="s">
        <v>90</v>
      </c>
      <c r="BE52" s="16" t="s">
        <v>304</v>
      </c>
      <c r="BF52" s="16" t="s">
        <v>305</v>
      </c>
      <c r="BG52" s="16" t="s">
        <v>306</v>
      </c>
      <c r="BH52" s="16" t="s">
        <v>376</v>
      </c>
      <c r="BI52" s="16" t="s">
        <v>377</v>
      </c>
      <c r="BJ52" s="16">
        <v>189</v>
      </c>
      <c r="BK52" s="16">
        <v>189</v>
      </c>
      <c r="BL52" s="16">
        <v>189</v>
      </c>
      <c r="BM52" s="16" t="s">
        <v>96</v>
      </c>
      <c r="BN52" s="16">
        <v>1</v>
      </c>
      <c r="BO52" s="16" t="s">
        <v>84</v>
      </c>
      <c r="BP52" s="16" t="s">
        <v>84</v>
      </c>
      <c r="BQ52" s="16" t="s">
        <v>84</v>
      </c>
      <c r="BR52" s="16" t="s">
        <v>97</v>
      </c>
      <c r="BS52" s="16" t="s">
        <v>98</v>
      </c>
      <c r="BT52" s="16">
        <v>0</v>
      </c>
    </row>
    <row r="53" s="1" customFormat="1" ht="16" customHeight="1" spans="1:72">
      <c r="A53" s="14">
        <f t="shared" si="13"/>
        <v>2025</v>
      </c>
      <c r="B53" s="14">
        <f t="shared" si="14"/>
        <v>8</v>
      </c>
      <c r="C53" s="14" t="str">
        <f t="shared" si="15"/>
        <v>3730031110743012864</v>
      </c>
      <c r="D53" s="14" cm="1">
        <f t="array" ref="D53">SUMPRODUCT(($R$2:$R$374=C53)*1)</f>
        <v>1</v>
      </c>
      <c r="E53" s="14" cm="1">
        <f t="array" ref="E53">SUMPRODUCT(($R$2:R53=C53)*1)</f>
        <v>1</v>
      </c>
      <c r="F53" s="15" t="str">
        <f t="shared" si="16"/>
        <v>Z1576-黑色-M</v>
      </c>
      <c r="G53" s="14" t="str">
        <f t="shared" si="17"/>
        <v>Z1576</v>
      </c>
      <c r="H53" s="15">
        <f t="shared" si="18"/>
        <v>1</v>
      </c>
      <c r="I53" s="14">
        <f t="shared" si="19"/>
        <v>199</v>
      </c>
      <c r="J53" s="15">
        <f t="shared" si="20"/>
        <v>0</v>
      </c>
      <c r="K53" s="15">
        <f t="shared" si="21"/>
        <v>0</v>
      </c>
      <c r="L53" s="15">
        <f t="shared" si="22"/>
        <v>-9.95</v>
      </c>
      <c r="M53" s="15">
        <f t="shared" si="23"/>
        <v>0</v>
      </c>
      <c r="N53" s="15">
        <f t="shared" si="24"/>
        <v>-1.5</v>
      </c>
      <c r="O53" s="15">
        <f t="shared" si="25"/>
        <v>187.55</v>
      </c>
      <c r="R53" s="16" t="s">
        <v>869</v>
      </c>
      <c r="S53" s="16" t="s">
        <v>870</v>
      </c>
      <c r="T53" s="16" t="s">
        <v>871</v>
      </c>
      <c r="U53" s="16" t="s">
        <v>872</v>
      </c>
      <c r="V53" s="16" t="s">
        <v>873</v>
      </c>
      <c r="W53" s="16" t="s">
        <v>76</v>
      </c>
      <c r="X53" s="16" t="s">
        <v>77</v>
      </c>
      <c r="Y53" s="16" t="s">
        <v>864</v>
      </c>
      <c r="Z53" s="16" t="s">
        <v>455</v>
      </c>
      <c r="AA53" s="16" t="s">
        <v>107</v>
      </c>
      <c r="AB53" s="16" t="s">
        <v>456</v>
      </c>
      <c r="AC53" s="16" t="s">
        <v>457</v>
      </c>
      <c r="AD53" s="16" t="s">
        <v>865</v>
      </c>
      <c r="AE53" s="16" t="s">
        <v>84</v>
      </c>
      <c r="AF53" s="16" t="s">
        <v>84</v>
      </c>
      <c r="AG53" s="16">
        <v>199</v>
      </c>
      <c r="AH53" s="16">
        <v>199</v>
      </c>
      <c r="AI53" s="17">
        <v>199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 t="s">
        <v>85</v>
      </c>
      <c r="AP53" s="16" t="s">
        <v>874</v>
      </c>
      <c r="AQ53" s="16" t="s">
        <v>875</v>
      </c>
      <c r="AR53" s="16" t="s">
        <v>88</v>
      </c>
      <c r="AS53" s="16" t="s">
        <v>876</v>
      </c>
      <c r="AT53" s="16">
        <v>9.95</v>
      </c>
      <c r="AU53" s="16" t="s">
        <v>90</v>
      </c>
      <c r="AV53" s="16">
        <v>1.5</v>
      </c>
      <c r="AW53" s="16" t="s">
        <v>115</v>
      </c>
      <c r="AX53" s="16" t="s">
        <v>116</v>
      </c>
      <c r="AY53" s="16" t="s">
        <v>117</v>
      </c>
      <c r="AZ53" s="16" t="s">
        <v>118</v>
      </c>
      <c r="BA53" s="16" t="s">
        <v>119</v>
      </c>
      <c r="BB53" s="16">
        <v>0</v>
      </c>
      <c r="BC53" s="16" t="s">
        <v>84</v>
      </c>
      <c r="BD53" s="16" t="s">
        <v>90</v>
      </c>
      <c r="BE53" s="16" t="s">
        <v>402</v>
      </c>
      <c r="BF53" s="16" t="s">
        <v>403</v>
      </c>
      <c r="BG53" s="16" t="s">
        <v>404</v>
      </c>
      <c r="BH53" s="16" t="s">
        <v>474</v>
      </c>
      <c r="BI53" s="16" t="s">
        <v>308</v>
      </c>
      <c r="BJ53" s="16">
        <v>199</v>
      </c>
      <c r="BK53" s="16">
        <v>199</v>
      </c>
      <c r="BL53" s="16">
        <v>199</v>
      </c>
      <c r="BM53" s="16" t="s">
        <v>96</v>
      </c>
      <c r="BN53" s="16">
        <v>1</v>
      </c>
      <c r="BO53" s="16" t="s">
        <v>84</v>
      </c>
      <c r="BP53" s="16" t="s">
        <v>84</v>
      </c>
      <c r="BQ53" s="16" t="s">
        <v>84</v>
      </c>
      <c r="BR53" s="16" t="s">
        <v>97</v>
      </c>
      <c r="BS53" s="16" t="s">
        <v>98</v>
      </c>
      <c r="BT53" s="16">
        <v>0</v>
      </c>
    </row>
    <row r="54" s="1" customFormat="1" ht="16" customHeight="1" spans="1:72">
      <c r="A54" s="14">
        <f t="shared" si="13"/>
        <v>2025</v>
      </c>
      <c r="B54" s="14">
        <f t="shared" si="14"/>
        <v>8</v>
      </c>
      <c r="C54" s="14" t="str">
        <f t="shared" si="15"/>
        <v>3730029474336093696</v>
      </c>
      <c r="D54" s="14" cm="1">
        <f t="array" ref="D54">SUMPRODUCT(($R$2:$R$374=C54)*1)</f>
        <v>1</v>
      </c>
      <c r="E54" s="14" cm="1">
        <f t="array" ref="E54">SUMPRODUCT(($R$2:R54=C54)*1)</f>
        <v>1</v>
      </c>
      <c r="F54" s="15" t="str">
        <f t="shared" si="16"/>
        <v>Z1645-黑色-M</v>
      </c>
      <c r="G54" s="14" t="str">
        <f t="shared" si="17"/>
        <v>Z1645</v>
      </c>
      <c r="H54" s="15">
        <f t="shared" si="18"/>
        <v>1</v>
      </c>
      <c r="I54" s="14">
        <f t="shared" si="19"/>
        <v>189</v>
      </c>
      <c r="J54" s="15">
        <f t="shared" si="20"/>
        <v>0</v>
      </c>
      <c r="K54" s="15">
        <f t="shared" si="21"/>
        <v>0</v>
      </c>
      <c r="L54" s="15">
        <f t="shared" si="22"/>
        <v>-1.89</v>
      </c>
      <c r="M54" s="15">
        <f t="shared" si="23"/>
        <v>0</v>
      </c>
      <c r="N54" s="15">
        <f t="shared" si="24"/>
        <v>-1.5</v>
      </c>
      <c r="O54" s="15">
        <f t="shared" si="25"/>
        <v>185.61</v>
      </c>
      <c r="R54" s="16" t="s">
        <v>877</v>
      </c>
      <c r="S54" s="16" t="s">
        <v>878</v>
      </c>
      <c r="T54" s="16" t="s">
        <v>879</v>
      </c>
      <c r="U54" s="16" t="s">
        <v>880</v>
      </c>
      <c r="V54" s="16" t="s">
        <v>881</v>
      </c>
      <c r="W54" s="16" t="s">
        <v>76</v>
      </c>
      <c r="X54" s="16" t="s">
        <v>77</v>
      </c>
      <c r="Y54" s="16" t="s">
        <v>882</v>
      </c>
      <c r="Z54" s="16" t="s">
        <v>883</v>
      </c>
      <c r="AA54" s="16" t="s">
        <v>884</v>
      </c>
      <c r="AB54" s="16" t="s">
        <v>885</v>
      </c>
      <c r="AC54" s="16" t="s">
        <v>886</v>
      </c>
      <c r="AD54" s="16" t="s">
        <v>887</v>
      </c>
      <c r="AE54" s="16" t="s">
        <v>84</v>
      </c>
      <c r="AF54" s="16" t="s">
        <v>84</v>
      </c>
      <c r="AG54" s="16">
        <v>189</v>
      </c>
      <c r="AH54" s="16">
        <v>189</v>
      </c>
      <c r="AI54" s="17">
        <v>189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 t="s">
        <v>85</v>
      </c>
      <c r="AP54" s="16" t="s">
        <v>888</v>
      </c>
      <c r="AQ54" s="16" t="s">
        <v>889</v>
      </c>
      <c r="AR54" s="16" t="s">
        <v>88</v>
      </c>
      <c r="AS54" s="16" t="s">
        <v>890</v>
      </c>
      <c r="AT54" s="16">
        <v>1.89</v>
      </c>
      <c r="AU54" s="16" t="s">
        <v>90</v>
      </c>
      <c r="AV54" s="16">
        <v>1.5</v>
      </c>
      <c r="AW54" s="16" t="s">
        <v>90</v>
      </c>
      <c r="AX54" s="16" t="s">
        <v>90</v>
      </c>
      <c r="AY54" s="16" t="s">
        <v>90</v>
      </c>
      <c r="AZ54" s="16" t="s">
        <v>90</v>
      </c>
      <c r="BA54" s="16" t="s">
        <v>90</v>
      </c>
      <c r="BB54" s="16">
        <v>0</v>
      </c>
      <c r="BC54" s="16"/>
      <c r="BD54" s="16" t="s">
        <v>90</v>
      </c>
      <c r="BE54" s="16" t="s">
        <v>304</v>
      </c>
      <c r="BF54" s="16" t="s">
        <v>305</v>
      </c>
      <c r="BG54" s="16" t="s">
        <v>306</v>
      </c>
      <c r="BH54" s="16" t="s">
        <v>307</v>
      </c>
      <c r="BI54" s="16" t="s">
        <v>308</v>
      </c>
      <c r="BJ54" s="16">
        <v>189</v>
      </c>
      <c r="BK54" s="16">
        <v>189</v>
      </c>
      <c r="BL54" s="16">
        <v>189</v>
      </c>
      <c r="BM54" s="16" t="s">
        <v>96</v>
      </c>
      <c r="BN54" s="16">
        <v>1</v>
      </c>
      <c r="BO54" s="16" t="s">
        <v>84</v>
      </c>
      <c r="BP54" s="16" t="s">
        <v>84</v>
      </c>
      <c r="BQ54" s="16" t="s">
        <v>84</v>
      </c>
      <c r="BR54" s="16" t="s">
        <v>97</v>
      </c>
      <c r="BS54" s="16" t="s">
        <v>98</v>
      </c>
      <c r="BT54" s="16">
        <v>0</v>
      </c>
    </row>
    <row r="55" s="1" customFormat="1" ht="16" customHeight="1" spans="1:72">
      <c r="A55" s="14">
        <f t="shared" si="13"/>
        <v>2025</v>
      </c>
      <c r="B55" s="14">
        <f t="shared" si="14"/>
        <v>8</v>
      </c>
      <c r="C55" s="14" t="str">
        <f t="shared" si="15"/>
        <v>3730028515566434304</v>
      </c>
      <c r="D55" s="14" cm="1">
        <f t="array" ref="D55">SUMPRODUCT(($R$2:$R$374=C55)*1)</f>
        <v>1</v>
      </c>
      <c r="E55" s="14" cm="1">
        <f t="array" ref="E55">SUMPRODUCT(($R$2:R55=C55)*1)</f>
        <v>1</v>
      </c>
      <c r="F55" s="15" t="str">
        <f t="shared" si="16"/>
        <v>Z1578-黑色-S</v>
      </c>
      <c r="G55" s="14" t="str">
        <f t="shared" si="17"/>
        <v>Z1578</v>
      </c>
      <c r="H55" s="15">
        <f t="shared" si="18"/>
        <v>1</v>
      </c>
      <c r="I55" s="14">
        <f t="shared" si="19"/>
        <v>289</v>
      </c>
      <c r="J55" s="15">
        <f t="shared" si="20"/>
        <v>0</v>
      </c>
      <c r="K55" s="15">
        <f t="shared" si="21"/>
        <v>0</v>
      </c>
      <c r="L55" s="15">
        <f t="shared" si="22"/>
        <v>-14.45</v>
      </c>
      <c r="M55" s="15">
        <f t="shared" si="23"/>
        <v>0</v>
      </c>
      <c r="N55" s="15">
        <f t="shared" si="24"/>
        <v>-1.5</v>
      </c>
      <c r="O55" s="15">
        <f t="shared" si="25"/>
        <v>273.05</v>
      </c>
      <c r="R55" s="16" t="s">
        <v>891</v>
      </c>
      <c r="S55" s="16" t="s">
        <v>892</v>
      </c>
      <c r="T55" s="16" t="s">
        <v>893</v>
      </c>
      <c r="U55" s="16" t="s">
        <v>894</v>
      </c>
      <c r="V55" s="16" t="s">
        <v>895</v>
      </c>
      <c r="W55" s="16" t="s">
        <v>76</v>
      </c>
      <c r="X55" s="16" t="s">
        <v>77</v>
      </c>
      <c r="Y55" s="16" t="s">
        <v>510</v>
      </c>
      <c r="Z55" s="16" t="s">
        <v>511</v>
      </c>
      <c r="AA55" s="16" t="s">
        <v>512</v>
      </c>
      <c r="AB55" s="16" t="s">
        <v>513</v>
      </c>
      <c r="AC55" s="16" t="s">
        <v>514</v>
      </c>
      <c r="AD55" s="16" t="s">
        <v>515</v>
      </c>
      <c r="AE55" s="16" t="s">
        <v>84</v>
      </c>
      <c r="AF55" s="16" t="s">
        <v>84</v>
      </c>
      <c r="AG55" s="16">
        <v>289</v>
      </c>
      <c r="AH55" s="16">
        <v>289</v>
      </c>
      <c r="AI55" s="17">
        <v>289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 t="s">
        <v>85</v>
      </c>
      <c r="AP55" s="16" t="s">
        <v>896</v>
      </c>
      <c r="AQ55" s="16" t="s">
        <v>897</v>
      </c>
      <c r="AR55" s="16" t="s">
        <v>88</v>
      </c>
      <c r="AS55" s="16" t="s">
        <v>898</v>
      </c>
      <c r="AT55" s="16">
        <v>14.45</v>
      </c>
      <c r="AU55" s="16" t="s">
        <v>90</v>
      </c>
      <c r="AV55" s="16">
        <v>1.5</v>
      </c>
      <c r="AW55" s="16" t="s">
        <v>115</v>
      </c>
      <c r="AX55" s="16" t="s">
        <v>116</v>
      </c>
      <c r="AY55" s="16" t="s">
        <v>117</v>
      </c>
      <c r="AZ55" s="16" t="s">
        <v>118</v>
      </c>
      <c r="BA55" s="16" t="s">
        <v>119</v>
      </c>
      <c r="BB55" s="16">
        <v>0</v>
      </c>
      <c r="BC55" s="16" t="s">
        <v>84</v>
      </c>
      <c r="BD55" s="16" t="s">
        <v>90</v>
      </c>
      <c r="BE55" s="16" t="s">
        <v>580</v>
      </c>
      <c r="BF55" s="16" t="s">
        <v>581</v>
      </c>
      <c r="BG55" s="16" t="s">
        <v>582</v>
      </c>
      <c r="BH55" s="16" t="s">
        <v>899</v>
      </c>
      <c r="BI55" s="16" t="s">
        <v>377</v>
      </c>
      <c r="BJ55" s="16">
        <v>289</v>
      </c>
      <c r="BK55" s="16">
        <v>289</v>
      </c>
      <c r="BL55" s="16">
        <v>289</v>
      </c>
      <c r="BM55" s="16" t="s">
        <v>96</v>
      </c>
      <c r="BN55" s="16">
        <v>1</v>
      </c>
      <c r="BO55" s="16" t="s">
        <v>84</v>
      </c>
      <c r="BP55" s="16" t="s">
        <v>84</v>
      </c>
      <c r="BQ55" s="16" t="s">
        <v>84</v>
      </c>
      <c r="BR55" s="16" t="s">
        <v>97</v>
      </c>
      <c r="BS55" s="16" t="s">
        <v>98</v>
      </c>
      <c r="BT55" s="16">
        <v>0</v>
      </c>
    </row>
    <row r="56" s="1" customFormat="1" ht="16" customHeight="1" spans="1:72">
      <c r="A56" s="14">
        <f t="shared" si="13"/>
        <v>2025</v>
      </c>
      <c r="B56" s="14">
        <f t="shared" si="14"/>
        <v>8</v>
      </c>
      <c r="C56" s="14" t="str">
        <f t="shared" si="15"/>
        <v>3730026656676329472</v>
      </c>
      <c r="D56" s="14" cm="1">
        <f t="array" ref="D56">SUMPRODUCT(($R$2:$R$374=C56)*1)</f>
        <v>1</v>
      </c>
      <c r="E56" s="14" cm="1">
        <f t="array" ref="E56">SUMPRODUCT(($R$2:R56=C56)*1)</f>
        <v>1</v>
      </c>
      <c r="F56" s="15" t="str">
        <f t="shared" si="16"/>
        <v>Z2271-条纹-S</v>
      </c>
      <c r="G56" s="14" t="str">
        <f t="shared" si="17"/>
        <v>Z2271</v>
      </c>
      <c r="H56" s="15">
        <f t="shared" si="18"/>
        <v>1</v>
      </c>
      <c r="I56" s="14">
        <f t="shared" si="19"/>
        <v>289</v>
      </c>
      <c r="J56" s="15">
        <f t="shared" si="20"/>
        <v>0</v>
      </c>
      <c r="K56" s="15">
        <f t="shared" si="21"/>
        <v>0</v>
      </c>
      <c r="L56" s="15">
        <f t="shared" si="22"/>
        <v>-14.45</v>
      </c>
      <c r="M56" s="15">
        <f t="shared" si="23"/>
        <v>0</v>
      </c>
      <c r="N56" s="15">
        <f t="shared" si="24"/>
        <v>-1.5</v>
      </c>
      <c r="O56" s="15">
        <f t="shared" si="25"/>
        <v>273.05</v>
      </c>
      <c r="R56" s="16" t="s">
        <v>900</v>
      </c>
      <c r="S56" s="16" t="s">
        <v>901</v>
      </c>
      <c r="T56" s="16" t="s">
        <v>902</v>
      </c>
      <c r="U56" s="16" t="s">
        <v>903</v>
      </c>
      <c r="V56" s="16" t="s">
        <v>904</v>
      </c>
      <c r="W56" s="16" t="s">
        <v>76</v>
      </c>
      <c r="X56" s="16" t="s">
        <v>77</v>
      </c>
      <c r="Y56" s="16" t="s">
        <v>905</v>
      </c>
      <c r="Z56" s="16" t="s">
        <v>906</v>
      </c>
      <c r="AA56" s="16" t="s">
        <v>262</v>
      </c>
      <c r="AB56" s="16" t="s">
        <v>907</v>
      </c>
      <c r="AC56" s="16" t="s">
        <v>908</v>
      </c>
      <c r="AD56" s="16" t="s">
        <v>909</v>
      </c>
      <c r="AE56" s="16" t="s">
        <v>84</v>
      </c>
      <c r="AF56" s="16" t="s">
        <v>84</v>
      </c>
      <c r="AG56" s="16">
        <v>289</v>
      </c>
      <c r="AH56" s="16">
        <v>289</v>
      </c>
      <c r="AI56" s="17">
        <v>289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 t="s">
        <v>137</v>
      </c>
      <c r="AP56" s="16" t="s">
        <v>910</v>
      </c>
      <c r="AQ56" s="16" t="s">
        <v>911</v>
      </c>
      <c r="AR56" s="16" t="s">
        <v>88</v>
      </c>
      <c r="AS56" s="16" t="s">
        <v>912</v>
      </c>
      <c r="AT56" s="16">
        <v>14.45</v>
      </c>
      <c r="AU56" s="16" t="s">
        <v>90</v>
      </c>
      <c r="AV56" s="16">
        <v>1.5</v>
      </c>
      <c r="AW56" s="16" t="s">
        <v>115</v>
      </c>
      <c r="AX56" s="16" t="s">
        <v>116</v>
      </c>
      <c r="AY56" s="16" t="s">
        <v>117</v>
      </c>
      <c r="AZ56" s="16" t="s">
        <v>118</v>
      </c>
      <c r="BA56" s="16" t="s">
        <v>119</v>
      </c>
      <c r="BB56" s="16">
        <v>0</v>
      </c>
      <c r="BC56" s="16" t="s">
        <v>84</v>
      </c>
      <c r="BD56" s="16" t="s">
        <v>90</v>
      </c>
      <c r="BE56" s="16" t="s">
        <v>519</v>
      </c>
      <c r="BF56" s="16" t="s">
        <v>520</v>
      </c>
      <c r="BG56" s="16" t="s">
        <v>521</v>
      </c>
      <c r="BH56" s="16" t="s">
        <v>522</v>
      </c>
      <c r="BI56" s="16" t="s">
        <v>523</v>
      </c>
      <c r="BJ56" s="16">
        <v>289</v>
      </c>
      <c r="BK56" s="16">
        <v>289</v>
      </c>
      <c r="BL56" s="16">
        <v>289</v>
      </c>
      <c r="BM56" s="16" t="s">
        <v>96</v>
      </c>
      <c r="BN56" s="16">
        <v>1</v>
      </c>
      <c r="BO56" s="16" t="s">
        <v>84</v>
      </c>
      <c r="BP56" s="16" t="s">
        <v>84</v>
      </c>
      <c r="BQ56" s="16" t="s">
        <v>84</v>
      </c>
      <c r="BR56" s="16" t="s">
        <v>97</v>
      </c>
      <c r="BS56" s="16" t="s">
        <v>98</v>
      </c>
      <c r="BT56" s="16">
        <v>0</v>
      </c>
    </row>
    <row r="57" s="1" customFormat="1" ht="16" customHeight="1" spans="1:72">
      <c r="A57" s="14">
        <f t="shared" si="13"/>
        <v>2025</v>
      </c>
      <c r="B57" s="14">
        <f t="shared" si="14"/>
        <v>8</v>
      </c>
      <c r="C57" s="14" t="str">
        <f t="shared" si="15"/>
        <v>3730026504921429504</v>
      </c>
      <c r="D57" s="14" cm="1">
        <f t="array" ref="D57">SUMPRODUCT(($R$2:$R$374=C57)*1)</f>
        <v>1</v>
      </c>
      <c r="E57" s="14" cm="1">
        <f t="array" ref="E57">SUMPRODUCT(($R$2:R57=C57)*1)</f>
        <v>1</v>
      </c>
      <c r="F57" s="15" t="str">
        <f t="shared" si="16"/>
        <v>Z1038-黑色-L</v>
      </c>
      <c r="G57" s="14" t="str">
        <f t="shared" si="17"/>
        <v>Z1038</v>
      </c>
      <c r="H57" s="15">
        <f t="shared" si="18"/>
        <v>1</v>
      </c>
      <c r="I57" s="14">
        <f t="shared" si="19"/>
        <v>289</v>
      </c>
      <c r="J57" s="15">
        <f t="shared" si="20"/>
        <v>0</v>
      </c>
      <c r="K57" s="15">
        <f t="shared" si="21"/>
        <v>0</v>
      </c>
      <c r="L57" s="15">
        <f t="shared" si="22"/>
        <v>-14.45</v>
      </c>
      <c r="M57" s="15">
        <f t="shared" si="23"/>
        <v>0</v>
      </c>
      <c r="N57" s="15">
        <f t="shared" si="24"/>
        <v>-1.5</v>
      </c>
      <c r="O57" s="15">
        <f t="shared" si="25"/>
        <v>273.05</v>
      </c>
      <c r="R57" s="16" t="s">
        <v>913</v>
      </c>
      <c r="S57" s="16" t="s">
        <v>914</v>
      </c>
      <c r="T57" s="16" t="s">
        <v>915</v>
      </c>
      <c r="U57" s="16" t="s">
        <v>916</v>
      </c>
      <c r="V57" s="16" t="s">
        <v>917</v>
      </c>
      <c r="W57" s="16" t="s">
        <v>76</v>
      </c>
      <c r="X57" s="16" t="s">
        <v>77</v>
      </c>
      <c r="Y57" s="16" t="s">
        <v>918</v>
      </c>
      <c r="Z57" s="16" t="s">
        <v>919</v>
      </c>
      <c r="AA57" s="16" t="s">
        <v>80</v>
      </c>
      <c r="AB57" s="16" t="s">
        <v>920</v>
      </c>
      <c r="AC57" s="16" t="s">
        <v>921</v>
      </c>
      <c r="AD57" s="16" t="s">
        <v>922</v>
      </c>
      <c r="AE57" s="16" t="s">
        <v>84</v>
      </c>
      <c r="AF57" s="16" t="s">
        <v>84</v>
      </c>
      <c r="AG57" s="16">
        <v>289</v>
      </c>
      <c r="AH57" s="16">
        <v>289</v>
      </c>
      <c r="AI57" s="17">
        <v>289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 t="s">
        <v>137</v>
      </c>
      <c r="AP57" s="16" t="s">
        <v>923</v>
      </c>
      <c r="AQ57" s="16" t="s">
        <v>924</v>
      </c>
      <c r="AR57" s="16" t="s">
        <v>88</v>
      </c>
      <c r="AS57" s="16" t="s">
        <v>925</v>
      </c>
      <c r="AT57" s="16">
        <v>14.45</v>
      </c>
      <c r="AU57" s="16" t="s">
        <v>90</v>
      </c>
      <c r="AV57" s="16">
        <v>1.5</v>
      </c>
      <c r="AW57" s="16" t="s">
        <v>115</v>
      </c>
      <c r="AX57" s="16" t="s">
        <v>116</v>
      </c>
      <c r="AY57" s="16" t="s">
        <v>117</v>
      </c>
      <c r="AZ57" s="16" t="s">
        <v>118</v>
      </c>
      <c r="BA57" s="16" t="s">
        <v>119</v>
      </c>
      <c r="BB57" s="16">
        <v>0</v>
      </c>
      <c r="BC57" s="16" t="s">
        <v>84</v>
      </c>
      <c r="BD57" s="16" t="s">
        <v>90</v>
      </c>
      <c r="BE57" s="16" t="s">
        <v>926</v>
      </c>
      <c r="BF57" s="16" t="s">
        <v>927</v>
      </c>
      <c r="BG57" s="16" t="s">
        <v>928</v>
      </c>
      <c r="BH57" s="16" t="s">
        <v>929</v>
      </c>
      <c r="BI57" s="16" t="s">
        <v>930</v>
      </c>
      <c r="BJ57" s="16">
        <v>289</v>
      </c>
      <c r="BK57" s="16">
        <v>289</v>
      </c>
      <c r="BL57" s="16">
        <v>289</v>
      </c>
      <c r="BM57" s="16" t="s">
        <v>96</v>
      </c>
      <c r="BN57" s="16">
        <v>1</v>
      </c>
      <c r="BO57" s="16" t="s">
        <v>84</v>
      </c>
      <c r="BP57" s="16" t="s">
        <v>84</v>
      </c>
      <c r="BQ57" s="16" t="s">
        <v>84</v>
      </c>
      <c r="BR57" s="16" t="s">
        <v>97</v>
      </c>
      <c r="BS57" s="16" t="s">
        <v>98</v>
      </c>
      <c r="BT57" s="16">
        <v>0</v>
      </c>
    </row>
    <row r="58" s="1" customFormat="1" ht="16" customHeight="1" spans="1:72">
      <c r="A58" s="14">
        <f t="shared" si="13"/>
        <v>2025</v>
      </c>
      <c r="B58" s="14">
        <f t="shared" si="14"/>
        <v>8</v>
      </c>
      <c r="C58" s="14" t="str">
        <f t="shared" si="15"/>
        <v>3730023142521707520</v>
      </c>
      <c r="D58" s="14" cm="1">
        <f t="array" ref="D58">SUMPRODUCT(($R$2:$R$374=C58)*1)</f>
        <v>1</v>
      </c>
      <c r="E58" s="14" cm="1">
        <f t="array" ref="E58">SUMPRODUCT(($R$2:R58=C58)*1)</f>
        <v>1</v>
      </c>
      <c r="F58" s="15" t="str">
        <f t="shared" si="16"/>
        <v>Z2290-深灰色-M</v>
      </c>
      <c r="G58" s="14" t="str">
        <f t="shared" si="17"/>
        <v>Z2290</v>
      </c>
      <c r="H58" s="15">
        <f t="shared" si="18"/>
        <v>1</v>
      </c>
      <c r="I58" s="14">
        <f t="shared" si="19"/>
        <v>339</v>
      </c>
      <c r="J58" s="15">
        <f t="shared" si="20"/>
        <v>0</v>
      </c>
      <c r="K58" s="15">
        <f t="shared" si="21"/>
        <v>0</v>
      </c>
      <c r="L58" s="15">
        <f t="shared" si="22"/>
        <v>-16.95</v>
      </c>
      <c r="M58" s="15">
        <f t="shared" si="23"/>
        <v>0</v>
      </c>
      <c r="N58" s="15">
        <f t="shared" si="24"/>
        <v>-1.5</v>
      </c>
      <c r="O58" s="15">
        <f t="shared" si="25"/>
        <v>320.55</v>
      </c>
      <c r="R58" s="16" t="s">
        <v>931</v>
      </c>
      <c r="S58" s="16" t="s">
        <v>932</v>
      </c>
      <c r="T58" s="16" t="s">
        <v>933</v>
      </c>
      <c r="U58" s="16" t="s">
        <v>934</v>
      </c>
      <c r="V58" s="16" t="s">
        <v>935</v>
      </c>
      <c r="W58" s="16" t="s">
        <v>76</v>
      </c>
      <c r="X58" s="16" t="s">
        <v>77</v>
      </c>
      <c r="Y58" s="16" t="s">
        <v>936</v>
      </c>
      <c r="Z58" s="16" t="s">
        <v>937</v>
      </c>
      <c r="AA58" s="16" t="s">
        <v>153</v>
      </c>
      <c r="AB58" s="16" t="s">
        <v>153</v>
      </c>
      <c r="AC58" s="16" t="s">
        <v>938</v>
      </c>
      <c r="AD58" s="16" t="s">
        <v>939</v>
      </c>
      <c r="AE58" s="16" t="s">
        <v>84</v>
      </c>
      <c r="AF58" s="16" t="s">
        <v>84</v>
      </c>
      <c r="AG58" s="16">
        <v>339</v>
      </c>
      <c r="AH58" s="16">
        <v>339</v>
      </c>
      <c r="AI58" s="17">
        <v>339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 t="s">
        <v>85</v>
      </c>
      <c r="AP58" s="16" t="s">
        <v>940</v>
      </c>
      <c r="AQ58" s="16" t="s">
        <v>941</v>
      </c>
      <c r="AR58" s="16" t="s">
        <v>88</v>
      </c>
      <c r="AS58" s="16" t="s">
        <v>942</v>
      </c>
      <c r="AT58" s="16">
        <v>16.95</v>
      </c>
      <c r="AU58" s="16" t="s">
        <v>90</v>
      </c>
      <c r="AV58" s="16">
        <v>1.5</v>
      </c>
      <c r="AW58" s="16" t="s">
        <v>115</v>
      </c>
      <c r="AX58" s="16" t="s">
        <v>116</v>
      </c>
      <c r="AY58" s="16" t="s">
        <v>117</v>
      </c>
      <c r="AZ58" s="16" t="s">
        <v>118</v>
      </c>
      <c r="BA58" s="16" t="s">
        <v>119</v>
      </c>
      <c r="BB58" s="16">
        <v>0</v>
      </c>
      <c r="BC58" s="16" t="s">
        <v>84</v>
      </c>
      <c r="BD58" s="16" t="s">
        <v>90</v>
      </c>
      <c r="BE58" s="16" t="s">
        <v>751</v>
      </c>
      <c r="BF58" s="16" t="s">
        <v>752</v>
      </c>
      <c r="BG58" s="16" t="s">
        <v>753</v>
      </c>
      <c r="BH58" s="16" t="s">
        <v>943</v>
      </c>
      <c r="BI58" s="16" t="s">
        <v>944</v>
      </c>
      <c r="BJ58" s="16">
        <v>339</v>
      </c>
      <c r="BK58" s="16">
        <v>339</v>
      </c>
      <c r="BL58" s="16">
        <v>339</v>
      </c>
      <c r="BM58" s="16" t="s">
        <v>96</v>
      </c>
      <c r="BN58" s="16">
        <v>1</v>
      </c>
      <c r="BO58" s="16" t="s">
        <v>84</v>
      </c>
      <c r="BP58" s="16" t="s">
        <v>84</v>
      </c>
      <c r="BQ58" s="16" t="s">
        <v>84</v>
      </c>
      <c r="BR58" s="16" t="s">
        <v>97</v>
      </c>
      <c r="BS58" s="16" t="s">
        <v>98</v>
      </c>
      <c r="BT58" s="16">
        <v>0</v>
      </c>
    </row>
    <row r="59" s="1" customFormat="1" ht="16" customHeight="1" spans="1:72">
      <c r="A59" s="14">
        <f t="shared" si="13"/>
        <v>2025</v>
      </c>
      <c r="B59" s="14">
        <f t="shared" si="14"/>
        <v>8</v>
      </c>
      <c r="C59" s="14" t="str">
        <f t="shared" si="15"/>
        <v>3730016977258159872</v>
      </c>
      <c r="D59" s="14" cm="1">
        <f t="array" ref="D59">SUMPRODUCT(($R$2:$R$374=C59)*1)</f>
        <v>1</v>
      </c>
      <c r="E59" s="14" cm="1">
        <f t="array" ref="E59">SUMPRODUCT(($R$2:R59=C59)*1)</f>
        <v>1</v>
      </c>
      <c r="F59" s="15" t="str">
        <f t="shared" si="16"/>
        <v>Z2079-粉色-M</v>
      </c>
      <c r="G59" s="14" t="str">
        <f t="shared" si="17"/>
        <v>Z2079</v>
      </c>
      <c r="H59" s="15">
        <f t="shared" si="18"/>
        <v>1</v>
      </c>
      <c r="I59" s="14">
        <f t="shared" si="19"/>
        <v>299</v>
      </c>
      <c r="J59" s="15">
        <f t="shared" si="20"/>
        <v>0</v>
      </c>
      <c r="K59" s="15">
        <f t="shared" si="21"/>
        <v>0</v>
      </c>
      <c r="L59" s="15">
        <f t="shared" si="22"/>
        <v>-14.95</v>
      </c>
      <c r="M59" s="15">
        <f t="shared" si="23"/>
        <v>0</v>
      </c>
      <c r="N59" s="15">
        <f t="shared" si="24"/>
        <v>-1.5</v>
      </c>
      <c r="O59" s="15">
        <f t="shared" si="25"/>
        <v>282.55</v>
      </c>
      <c r="R59" s="16" t="s">
        <v>945</v>
      </c>
      <c r="S59" s="16" t="s">
        <v>946</v>
      </c>
      <c r="T59" s="16" t="s">
        <v>947</v>
      </c>
      <c r="U59" s="16" t="s">
        <v>948</v>
      </c>
      <c r="V59" s="16" t="s">
        <v>949</v>
      </c>
      <c r="W59" s="16" t="s">
        <v>76</v>
      </c>
      <c r="X59" s="16" t="s">
        <v>77</v>
      </c>
      <c r="Y59" s="16" t="s">
        <v>950</v>
      </c>
      <c r="Z59" s="16" t="s">
        <v>951</v>
      </c>
      <c r="AA59" s="16" t="s">
        <v>280</v>
      </c>
      <c r="AB59" s="16" t="s">
        <v>852</v>
      </c>
      <c r="AC59" s="16" t="s">
        <v>952</v>
      </c>
      <c r="AD59" s="16" t="s">
        <v>953</v>
      </c>
      <c r="AE59" s="16" t="s">
        <v>84</v>
      </c>
      <c r="AF59" s="16" t="s">
        <v>84</v>
      </c>
      <c r="AG59" s="16">
        <v>299</v>
      </c>
      <c r="AH59" s="16">
        <v>299</v>
      </c>
      <c r="AI59" s="17">
        <v>299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 t="s">
        <v>85</v>
      </c>
      <c r="AP59" s="16" t="s">
        <v>954</v>
      </c>
      <c r="AQ59" s="16" t="s">
        <v>955</v>
      </c>
      <c r="AR59" s="16" t="s">
        <v>88</v>
      </c>
      <c r="AS59" s="16" t="s">
        <v>956</v>
      </c>
      <c r="AT59" s="16">
        <v>14.95</v>
      </c>
      <c r="AU59" s="16" t="s">
        <v>90</v>
      </c>
      <c r="AV59" s="16">
        <v>1.5</v>
      </c>
      <c r="AW59" s="16" t="s">
        <v>115</v>
      </c>
      <c r="AX59" s="16" t="s">
        <v>116</v>
      </c>
      <c r="AY59" s="16" t="s">
        <v>117</v>
      </c>
      <c r="AZ59" s="16" t="s">
        <v>118</v>
      </c>
      <c r="BA59" s="16" t="s">
        <v>119</v>
      </c>
      <c r="BB59" s="16">
        <v>0</v>
      </c>
      <c r="BC59" s="16" t="s">
        <v>84</v>
      </c>
      <c r="BD59" s="16" t="s">
        <v>90</v>
      </c>
      <c r="BE59" s="16" t="s">
        <v>214</v>
      </c>
      <c r="BF59" s="16" t="s">
        <v>215</v>
      </c>
      <c r="BG59" s="16" t="s">
        <v>216</v>
      </c>
      <c r="BH59" s="16" t="s">
        <v>957</v>
      </c>
      <c r="BI59" s="16" t="s">
        <v>958</v>
      </c>
      <c r="BJ59" s="16">
        <v>299</v>
      </c>
      <c r="BK59" s="16">
        <v>299</v>
      </c>
      <c r="BL59" s="16">
        <v>299</v>
      </c>
      <c r="BM59" s="16" t="s">
        <v>96</v>
      </c>
      <c r="BN59" s="16">
        <v>1</v>
      </c>
      <c r="BO59" s="16" t="s">
        <v>84</v>
      </c>
      <c r="BP59" s="16" t="s">
        <v>84</v>
      </c>
      <c r="BQ59" s="16" t="s">
        <v>84</v>
      </c>
      <c r="BR59" s="16" t="s">
        <v>97</v>
      </c>
      <c r="BS59" s="16" t="s">
        <v>98</v>
      </c>
      <c r="BT59" s="16">
        <v>0</v>
      </c>
    </row>
    <row r="60" s="1" customFormat="1" ht="16" customHeight="1" spans="1:72">
      <c r="A60" s="14">
        <f t="shared" si="13"/>
        <v>2025</v>
      </c>
      <c r="B60" s="14">
        <f t="shared" si="14"/>
        <v>8</v>
      </c>
      <c r="C60" s="14" t="str">
        <f t="shared" si="15"/>
        <v>3730015260880545792</v>
      </c>
      <c r="D60" s="14" cm="1">
        <f t="array" ref="D60">SUMPRODUCT(($R$2:$R$374=C60)*1)</f>
        <v>2</v>
      </c>
      <c r="E60" s="14" cm="1">
        <f t="array" ref="E60">SUMPRODUCT(($R$2:R60=C60)*1)</f>
        <v>1</v>
      </c>
      <c r="F60" s="15" t="str">
        <f t="shared" si="16"/>
        <v>Z2215-蓝色-M</v>
      </c>
      <c r="G60" s="14" t="str">
        <f t="shared" si="17"/>
        <v>Z2215</v>
      </c>
      <c r="H60" s="15">
        <f t="shared" si="18"/>
        <v>1</v>
      </c>
      <c r="I60" s="14">
        <f t="shared" si="19"/>
        <v>299</v>
      </c>
      <c r="J60" s="15">
        <f t="shared" si="20"/>
        <v>0</v>
      </c>
      <c r="K60" s="15">
        <f t="shared" si="21"/>
        <v>0</v>
      </c>
      <c r="L60" s="15">
        <f t="shared" si="22"/>
        <v>-5.98</v>
      </c>
      <c r="M60" s="15">
        <f t="shared" si="23"/>
        <v>0</v>
      </c>
      <c r="N60" s="15">
        <f t="shared" si="24"/>
        <v>-1.5</v>
      </c>
      <c r="O60" s="15">
        <f t="shared" si="25"/>
        <v>291.52</v>
      </c>
      <c r="R60" s="16" t="s">
        <v>959</v>
      </c>
      <c r="S60" s="16" t="s">
        <v>960</v>
      </c>
      <c r="T60" s="16" t="s">
        <v>961</v>
      </c>
      <c r="U60" s="16" t="s">
        <v>962</v>
      </c>
      <c r="V60" s="16" t="s">
        <v>963</v>
      </c>
      <c r="W60" s="16" t="s">
        <v>76</v>
      </c>
      <c r="X60" s="16" t="s">
        <v>77</v>
      </c>
      <c r="Y60" s="16" t="s">
        <v>964</v>
      </c>
      <c r="Z60" s="16" t="s">
        <v>965</v>
      </c>
      <c r="AA60" s="16" t="s">
        <v>107</v>
      </c>
      <c r="AB60" s="16" t="s">
        <v>190</v>
      </c>
      <c r="AC60" s="16" t="s">
        <v>966</v>
      </c>
      <c r="AD60" s="16" t="s">
        <v>967</v>
      </c>
      <c r="AE60" s="16" t="s">
        <v>84</v>
      </c>
      <c r="AF60" s="16" t="s">
        <v>84</v>
      </c>
      <c r="AG60" s="16">
        <v>598</v>
      </c>
      <c r="AH60" s="16">
        <v>598</v>
      </c>
      <c r="AI60" s="17">
        <v>598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 t="s">
        <v>85</v>
      </c>
      <c r="AP60" s="16" t="s">
        <v>968</v>
      </c>
      <c r="AQ60" s="16" t="s">
        <v>969</v>
      </c>
      <c r="AR60" s="16" t="s">
        <v>88</v>
      </c>
      <c r="AS60" s="16" t="s">
        <v>970</v>
      </c>
      <c r="AT60" s="16">
        <v>5.98</v>
      </c>
      <c r="AU60" s="16" t="s">
        <v>90</v>
      </c>
      <c r="AV60" s="16">
        <v>1.5</v>
      </c>
      <c r="AW60" s="16" t="s">
        <v>90</v>
      </c>
      <c r="AX60" s="16" t="s">
        <v>90</v>
      </c>
      <c r="AY60" s="16" t="s">
        <v>90</v>
      </c>
      <c r="AZ60" s="16" t="s">
        <v>90</v>
      </c>
      <c r="BA60" s="16" t="s">
        <v>90</v>
      </c>
      <c r="BB60" s="16">
        <v>0</v>
      </c>
      <c r="BC60" s="16"/>
      <c r="BD60" s="16" t="s">
        <v>90</v>
      </c>
      <c r="BE60" s="16" t="s">
        <v>971</v>
      </c>
      <c r="BF60" s="16" t="s">
        <v>972</v>
      </c>
      <c r="BG60" s="16" t="s">
        <v>973</v>
      </c>
      <c r="BH60" s="16" t="s">
        <v>974</v>
      </c>
      <c r="BI60" s="16" t="s">
        <v>811</v>
      </c>
      <c r="BJ60" s="16">
        <v>299</v>
      </c>
      <c r="BK60" s="16">
        <v>299</v>
      </c>
      <c r="BL60" s="16">
        <v>299</v>
      </c>
      <c r="BM60" s="16" t="s">
        <v>96</v>
      </c>
      <c r="BN60" s="16">
        <v>1</v>
      </c>
      <c r="BO60" s="16" t="s">
        <v>84</v>
      </c>
      <c r="BP60" s="16" t="s">
        <v>84</v>
      </c>
      <c r="BQ60" s="16" t="s">
        <v>84</v>
      </c>
      <c r="BR60" s="16" t="s">
        <v>97</v>
      </c>
      <c r="BS60" s="16" t="s">
        <v>98</v>
      </c>
      <c r="BT60" s="16">
        <v>0</v>
      </c>
    </row>
    <row r="61" s="1" customFormat="1" ht="16" customHeight="1" spans="1:72">
      <c r="A61" s="14">
        <f t="shared" si="13"/>
        <v>2025</v>
      </c>
      <c r="B61" s="14">
        <f t="shared" si="14"/>
        <v>8</v>
      </c>
      <c r="C61" s="14" t="str">
        <f t="shared" si="15"/>
        <v>3730015260880545792</v>
      </c>
      <c r="D61" s="14" cm="1">
        <f t="array" ref="D61">SUMPRODUCT(($R$2:$R$374=C61)*1)</f>
        <v>2</v>
      </c>
      <c r="E61" s="14" cm="1">
        <f t="array" ref="E61">SUMPRODUCT(($R$2:R61=C61)*1)</f>
        <v>2</v>
      </c>
      <c r="F61" s="15" t="str">
        <f t="shared" si="16"/>
        <v>Z1848-蓝色-M</v>
      </c>
      <c r="G61" s="14" t="str">
        <f t="shared" si="17"/>
        <v>Z1848</v>
      </c>
      <c r="H61" s="15">
        <f t="shared" si="18"/>
        <v>1</v>
      </c>
      <c r="I61" s="14">
        <f t="shared" si="19"/>
        <v>299</v>
      </c>
      <c r="J61" s="15">
        <f t="shared" si="20"/>
        <v>0</v>
      </c>
      <c r="K61" s="15">
        <f t="shared" si="21"/>
        <v>0</v>
      </c>
      <c r="L61" s="15">
        <f t="shared" si="22"/>
        <v>0</v>
      </c>
      <c r="M61" s="15">
        <f t="shared" si="23"/>
        <v>0</v>
      </c>
      <c r="N61" s="15">
        <f t="shared" si="24"/>
        <v>0</v>
      </c>
      <c r="O61" s="15">
        <f t="shared" si="25"/>
        <v>299</v>
      </c>
      <c r="R61" s="16" t="s">
        <v>959</v>
      </c>
      <c r="S61" s="16" t="s">
        <v>960</v>
      </c>
      <c r="T61" s="16" t="s">
        <v>961</v>
      </c>
      <c r="U61" s="16" t="s">
        <v>962</v>
      </c>
      <c r="V61" s="16" t="s">
        <v>963</v>
      </c>
      <c r="W61" s="16" t="s">
        <v>76</v>
      </c>
      <c r="X61" s="16" t="s">
        <v>77</v>
      </c>
      <c r="Y61" s="16" t="s">
        <v>964</v>
      </c>
      <c r="Z61" s="16" t="s">
        <v>965</v>
      </c>
      <c r="AA61" s="16" t="s">
        <v>107</v>
      </c>
      <c r="AB61" s="16" t="s">
        <v>190</v>
      </c>
      <c r="AC61" s="16" t="s">
        <v>966</v>
      </c>
      <c r="AD61" s="16" t="s">
        <v>967</v>
      </c>
      <c r="AE61" s="16" t="s">
        <v>84</v>
      </c>
      <c r="AF61" s="16" t="s">
        <v>84</v>
      </c>
      <c r="AG61" s="16">
        <v>598</v>
      </c>
      <c r="AH61" s="16">
        <v>598</v>
      </c>
      <c r="AI61" s="17">
        <v>598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 t="s">
        <v>85</v>
      </c>
      <c r="AP61" s="16" t="s">
        <v>968</v>
      </c>
      <c r="AQ61" s="16" t="s">
        <v>969</v>
      </c>
      <c r="AR61" s="16" t="s">
        <v>88</v>
      </c>
      <c r="AS61" s="16" t="s">
        <v>975</v>
      </c>
      <c r="AT61" s="16">
        <v>5.98</v>
      </c>
      <c r="AU61" s="16" t="s">
        <v>90</v>
      </c>
      <c r="AV61" s="16">
        <v>1.5</v>
      </c>
      <c r="AW61" s="16" t="s">
        <v>90</v>
      </c>
      <c r="AX61" s="16" t="s">
        <v>90</v>
      </c>
      <c r="AY61" s="16" t="s">
        <v>90</v>
      </c>
      <c r="AZ61" s="16" t="s">
        <v>90</v>
      </c>
      <c r="BA61" s="16" t="s">
        <v>90</v>
      </c>
      <c r="BB61" s="16">
        <v>0</v>
      </c>
      <c r="BC61" s="16"/>
      <c r="BD61" s="16" t="s">
        <v>90</v>
      </c>
      <c r="BE61" s="16" t="s">
        <v>976</v>
      </c>
      <c r="BF61" s="16" t="s">
        <v>977</v>
      </c>
      <c r="BG61" s="16" t="s">
        <v>978</v>
      </c>
      <c r="BH61" s="16" t="s">
        <v>979</v>
      </c>
      <c r="BI61" s="16" t="s">
        <v>980</v>
      </c>
      <c r="BJ61" s="16">
        <v>299</v>
      </c>
      <c r="BK61" s="16">
        <v>299</v>
      </c>
      <c r="BL61" s="16">
        <v>299</v>
      </c>
      <c r="BM61" s="16" t="s">
        <v>96</v>
      </c>
      <c r="BN61" s="16">
        <v>1</v>
      </c>
      <c r="BO61" s="16" t="s">
        <v>84</v>
      </c>
      <c r="BP61" s="16" t="s">
        <v>84</v>
      </c>
      <c r="BQ61" s="16" t="s">
        <v>84</v>
      </c>
      <c r="BR61" s="16" t="s">
        <v>97</v>
      </c>
      <c r="BS61" s="16" t="s">
        <v>98</v>
      </c>
      <c r="BT61" s="16">
        <v>0</v>
      </c>
    </row>
    <row r="62" s="1" customFormat="1" ht="16" customHeight="1" spans="1:72">
      <c r="A62" s="14">
        <f t="shared" si="13"/>
        <v>2025</v>
      </c>
      <c r="B62" s="14">
        <f t="shared" si="14"/>
        <v>8</v>
      </c>
      <c r="C62" s="14" t="str">
        <f t="shared" si="15"/>
        <v>3730004663504089344</v>
      </c>
      <c r="D62" s="14" cm="1">
        <f t="array" ref="D62">SUMPRODUCT(($R$2:$R$374=C62)*1)</f>
        <v>1</v>
      </c>
      <c r="E62" s="14" cm="1">
        <f t="array" ref="E62">SUMPRODUCT(($R$2:R62=C62)*1)</f>
        <v>1</v>
      </c>
      <c r="F62" s="15" t="str">
        <f t="shared" si="16"/>
        <v>Z574-深灰色-S</v>
      </c>
      <c r="G62" s="14" t="str">
        <f t="shared" si="17"/>
        <v>Z574</v>
      </c>
      <c r="H62" s="15">
        <f t="shared" si="18"/>
        <v>1</v>
      </c>
      <c r="I62" s="14">
        <f t="shared" si="19"/>
        <v>99</v>
      </c>
      <c r="J62" s="15">
        <f t="shared" si="20"/>
        <v>0</v>
      </c>
      <c r="K62" s="15">
        <f t="shared" si="21"/>
        <v>0</v>
      </c>
      <c r="L62" s="15">
        <f t="shared" si="22"/>
        <v>-0.99</v>
      </c>
      <c r="M62" s="15">
        <f t="shared" si="23"/>
        <v>0</v>
      </c>
      <c r="N62" s="15">
        <f t="shared" si="24"/>
        <v>-1.5</v>
      </c>
      <c r="O62" s="15">
        <f t="shared" si="25"/>
        <v>96.51</v>
      </c>
      <c r="R62" s="16" t="s">
        <v>981</v>
      </c>
      <c r="S62" s="16" t="s">
        <v>982</v>
      </c>
      <c r="T62" s="16" t="s">
        <v>983</v>
      </c>
      <c r="U62" s="16" t="s">
        <v>984</v>
      </c>
      <c r="V62" s="16" t="s">
        <v>985</v>
      </c>
      <c r="W62" s="16" t="s">
        <v>76</v>
      </c>
      <c r="X62" s="16" t="s">
        <v>77</v>
      </c>
      <c r="Y62" s="16" t="s">
        <v>510</v>
      </c>
      <c r="Z62" s="16" t="s">
        <v>986</v>
      </c>
      <c r="AA62" s="16" t="s">
        <v>171</v>
      </c>
      <c r="AB62" s="16" t="s">
        <v>172</v>
      </c>
      <c r="AC62" s="16" t="s">
        <v>987</v>
      </c>
      <c r="AD62" s="16" t="s">
        <v>988</v>
      </c>
      <c r="AE62" s="16" t="s">
        <v>84</v>
      </c>
      <c r="AF62" s="16" t="s">
        <v>84</v>
      </c>
      <c r="AG62" s="16">
        <v>99</v>
      </c>
      <c r="AH62" s="16">
        <v>99</v>
      </c>
      <c r="AI62" s="17">
        <v>99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 t="s">
        <v>137</v>
      </c>
      <c r="AP62" s="16" t="s">
        <v>989</v>
      </c>
      <c r="AQ62" s="16" t="s">
        <v>990</v>
      </c>
      <c r="AR62" s="16" t="s">
        <v>88</v>
      </c>
      <c r="AS62" s="16" t="s">
        <v>991</v>
      </c>
      <c r="AT62" s="16">
        <v>0.99</v>
      </c>
      <c r="AU62" s="16" t="s">
        <v>90</v>
      </c>
      <c r="AV62" s="16">
        <v>1.5</v>
      </c>
      <c r="AW62" s="16" t="s">
        <v>992</v>
      </c>
      <c r="AX62" s="16" t="s">
        <v>993</v>
      </c>
      <c r="AY62" s="16" t="s">
        <v>994</v>
      </c>
      <c r="AZ62" s="16" t="s">
        <v>90</v>
      </c>
      <c r="BA62" s="16" t="s">
        <v>90</v>
      </c>
      <c r="BB62" s="16">
        <v>0</v>
      </c>
      <c r="BC62" s="16" t="s">
        <v>84</v>
      </c>
      <c r="BD62" s="16" t="s">
        <v>90</v>
      </c>
      <c r="BE62" s="16" t="s">
        <v>995</v>
      </c>
      <c r="BF62" s="16" t="s">
        <v>996</v>
      </c>
      <c r="BG62" s="16" t="s">
        <v>997</v>
      </c>
      <c r="BH62" s="16" t="s">
        <v>998</v>
      </c>
      <c r="BI62" s="16" t="s">
        <v>999</v>
      </c>
      <c r="BJ62" s="16">
        <v>99</v>
      </c>
      <c r="BK62" s="16">
        <v>99</v>
      </c>
      <c r="BL62" s="16">
        <v>99</v>
      </c>
      <c r="BM62" s="16" t="s">
        <v>96</v>
      </c>
      <c r="BN62" s="16">
        <v>1</v>
      </c>
      <c r="BO62" s="16" t="s">
        <v>84</v>
      </c>
      <c r="BP62" s="16" t="s">
        <v>84</v>
      </c>
      <c r="BQ62" s="16" t="s">
        <v>84</v>
      </c>
      <c r="BR62" s="16" t="s">
        <v>97</v>
      </c>
      <c r="BS62" s="16" t="s">
        <v>98</v>
      </c>
      <c r="BT62" s="16">
        <v>0</v>
      </c>
    </row>
    <row r="63" s="1" customFormat="1" ht="16" customHeight="1" spans="1:72">
      <c r="A63" s="14">
        <f t="shared" si="13"/>
        <v>2025</v>
      </c>
      <c r="B63" s="14">
        <f t="shared" si="14"/>
        <v>8</v>
      </c>
      <c r="C63" s="14" t="str">
        <f t="shared" si="15"/>
        <v>3730002886317713408</v>
      </c>
      <c r="D63" s="14" cm="1">
        <f t="array" ref="D63">SUMPRODUCT(($R$2:$R$374=C63)*1)</f>
        <v>1</v>
      </c>
      <c r="E63" s="14" cm="1">
        <f t="array" ref="E63">SUMPRODUCT(($R$2:R63=C63)*1)</f>
        <v>1</v>
      </c>
      <c r="F63" s="15" t="str">
        <f t="shared" si="16"/>
        <v>Z2158-卡其色-L</v>
      </c>
      <c r="G63" s="14" t="str">
        <f t="shared" si="17"/>
        <v>Z2158</v>
      </c>
      <c r="H63" s="15">
        <f t="shared" si="18"/>
        <v>1</v>
      </c>
      <c r="I63" s="14">
        <f t="shared" si="19"/>
        <v>339</v>
      </c>
      <c r="J63" s="15">
        <f t="shared" si="20"/>
        <v>0</v>
      </c>
      <c r="K63" s="15">
        <f t="shared" si="21"/>
        <v>0</v>
      </c>
      <c r="L63" s="15">
        <f t="shared" si="22"/>
        <v>-3.39</v>
      </c>
      <c r="M63" s="15">
        <f t="shared" si="23"/>
        <v>0</v>
      </c>
      <c r="N63" s="15">
        <f t="shared" si="24"/>
        <v>-1.5</v>
      </c>
      <c r="O63" s="15">
        <f t="shared" si="25"/>
        <v>334.11</v>
      </c>
      <c r="R63" s="16" t="s">
        <v>1000</v>
      </c>
      <c r="S63" s="16" t="s">
        <v>1001</v>
      </c>
      <c r="T63" s="16" t="s">
        <v>1002</v>
      </c>
      <c r="U63" s="16" t="s">
        <v>1003</v>
      </c>
      <c r="V63" s="16" t="s">
        <v>1004</v>
      </c>
      <c r="W63" s="16" t="s">
        <v>76</v>
      </c>
      <c r="X63" s="16" t="s">
        <v>77</v>
      </c>
      <c r="Y63" s="16" t="s">
        <v>1005</v>
      </c>
      <c r="Z63" s="16" t="s">
        <v>1006</v>
      </c>
      <c r="AA63" s="16" t="s">
        <v>107</v>
      </c>
      <c r="AB63" s="16" t="s">
        <v>1007</v>
      </c>
      <c r="AC63" s="16" t="s">
        <v>1008</v>
      </c>
      <c r="AD63" s="16" t="s">
        <v>1009</v>
      </c>
      <c r="AE63" s="16" t="s">
        <v>84</v>
      </c>
      <c r="AF63" s="16" t="s">
        <v>84</v>
      </c>
      <c r="AG63" s="16">
        <v>339</v>
      </c>
      <c r="AH63" s="16">
        <v>339</v>
      </c>
      <c r="AI63" s="17">
        <v>339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 t="s">
        <v>85</v>
      </c>
      <c r="AP63" s="16" t="s">
        <v>1010</v>
      </c>
      <c r="AQ63" s="16" t="s">
        <v>1011</v>
      </c>
      <c r="AR63" s="16" t="s">
        <v>88</v>
      </c>
      <c r="AS63" s="16" t="s">
        <v>1012</v>
      </c>
      <c r="AT63" s="16">
        <v>3.39</v>
      </c>
      <c r="AU63" s="16" t="s">
        <v>90</v>
      </c>
      <c r="AV63" s="16">
        <v>1.5</v>
      </c>
      <c r="AW63" s="16" t="s">
        <v>90</v>
      </c>
      <c r="AX63" s="16" t="s">
        <v>90</v>
      </c>
      <c r="AY63" s="16" t="s">
        <v>90</v>
      </c>
      <c r="AZ63" s="16" t="s">
        <v>90</v>
      </c>
      <c r="BA63" s="16" t="s">
        <v>90</v>
      </c>
      <c r="BB63" s="16">
        <v>0</v>
      </c>
      <c r="BC63" s="16"/>
      <c r="BD63" s="16" t="s">
        <v>90</v>
      </c>
      <c r="BE63" s="16" t="s">
        <v>1013</v>
      </c>
      <c r="BF63" s="16" t="s">
        <v>1014</v>
      </c>
      <c r="BG63" s="16" t="s">
        <v>1015</v>
      </c>
      <c r="BH63" s="16" t="s">
        <v>1016</v>
      </c>
      <c r="BI63" s="16" t="s">
        <v>1017</v>
      </c>
      <c r="BJ63" s="16">
        <v>339</v>
      </c>
      <c r="BK63" s="16">
        <v>339</v>
      </c>
      <c r="BL63" s="16">
        <v>339</v>
      </c>
      <c r="BM63" s="16" t="s">
        <v>96</v>
      </c>
      <c r="BN63" s="16">
        <v>1</v>
      </c>
      <c r="BO63" s="16" t="s">
        <v>84</v>
      </c>
      <c r="BP63" s="16" t="s">
        <v>84</v>
      </c>
      <c r="BQ63" s="16" t="s">
        <v>84</v>
      </c>
      <c r="BR63" s="16" t="s">
        <v>97</v>
      </c>
      <c r="BS63" s="16" t="s">
        <v>1018</v>
      </c>
      <c r="BT63" s="16">
        <v>0</v>
      </c>
    </row>
    <row r="64" s="1" customFormat="1" ht="16" customHeight="1" spans="1:72">
      <c r="A64" s="14">
        <f t="shared" si="13"/>
        <v>2025</v>
      </c>
      <c r="B64" s="14">
        <f t="shared" si="14"/>
        <v>8</v>
      </c>
      <c r="C64" s="14" t="str">
        <f t="shared" si="15"/>
        <v>3729993879076611584</v>
      </c>
      <c r="D64" s="14" cm="1">
        <f t="array" ref="D64">SUMPRODUCT(($R$2:$R$374=C64)*1)</f>
        <v>1</v>
      </c>
      <c r="E64" s="14" cm="1">
        <f t="array" ref="E64">SUMPRODUCT(($R$2:R64=C64)*1)</f>
        <v>1</v>
      </c>
      <c r="F64" s="15" t="str">
        <f t="shared" si="16"/>
        <v>Z1645-黑色-S</v>
      </c>
      <c r="G64" s="14" t="str">
        <f t="shared" si="17"/>
        <v>Z1645</v>
      </c>
      <c r="H64" s="15">
        <f t="shared" si="18"/>
        <v>1</v>
      </c>
      <c r="I64" s="14">
        <f t="shared" si="19"/>
        <v>189</v>
      </c>
      <c r="J64" s="15">
        <f t="shared" si="20"/>
        <v>0</v>
      </c>
      <c r="K64" s="15">
        <f t="shared" si="21"/>
        <v>0</v>
      </c>
      <c r="L64" s="15">
        <f t="shared" si="22"/>
        <v>-9.45</v>
      </c>
      <c r="M64" s="15">
        <f t="shared" si="23"/>
        <v>0</v>
      </c>
      <c r="N64" s="15">
        <f t="shared" si="24"/>
        <v>-1.5</v>
      </c>
      <c r="O64" s="15">
        <f t="shared" si="25"/>
        <v>178.05</v>
      </c>
      <c r="R64" s="16" t="s">
        <v>1019</v>
      </c>
      <c r="S64" s="16" t="s">
        <v>1020</v>
      </c>
      <c r="T64" s="16" t="s">
        <v>861</v>
      </c>
      <c r="U64" s="16" t="s">
        <v>1021</v>
      </c>
      <c r="V64" s="16" t="s">
        <v>1022</v>
      </c>
      <c r="W64" s="16" t="s">
        <v>76</v>
      </c>
      <c r="X64" s="16" t="s">
        <v>77</v>
      </c>
      <c r="Y64" s="16" t="s">
        <v>1023</v>
      </c>
      <c r="Z64" s="16" t="s">
        <v>1024</v>
      </c>
      <c r="AA64" s="16" t="s">
        <v>107</v>
      </c>
      <c r="AB64" s="16" t="s">
        <v>1025</v>
      </c>
      <c r="AC64" s="16" t="s">
        <v>1026</v>
      </c>
      <c r="AD64" s="16" t="s">
        <v>1027</v>
      </c>
      <c r="AE64" s="16" t="s">
        <v>84</v>
      </c>
      <c r="AF64" s="16" t="s">
        <v>84</v>
      </c>
      <c r="AG64" s="16">
        <v>189</v>
      </c>
      <c r="AH64" s="16">
        <v>189</v>
      </c>
      <c r="AI64" s="17">
        <v>189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 t="s">
        <v>85</v>
      </c>
      <c r="AP64" s="16" t="s">
        <v>1028</v>
      </c>
      <c r="AQ64" s="16" t="s">
        <v>1029</v>
      </c>
      <c r="AR64" s="16" t="s">
        <v>88</v>
      </c>
      <c r="AS64" s="16" t="s">
        <v>1030</v>
      </c>
      <c r="AT64" s="16">
        <v>9.45</v>
      </c>
      <c r="AU64" s="16" t="s">
        <v>90</v>
      </c>
      <c r="AV64" s="16">
        <v>1.5</v>
      </c>
      <c r="AW64" s="16" t="s">
        <v>115</v>
      </c>
      <c r="AX64" s="16" t="s">
        <v>116</v>
      </c>
      <c r="AY64" s="16" t="s">
        <v>117</v>
      </c>
      <c r="AZ64" s="16" t="s">
        <v>118</v>
      </c>
      <c r="BA64" s="16" t="s">
        <v>119</v>
      </c>
      <c r="BB64" s="16">
        <v>0</v>
      </c>
      <c r="BC64" s="16" t="s">
        <v>84</v>
      </c>
      <c r="BD64" s="16" t="s">
        <v>90</v>
      </c>
      <c r="BE64" s="16" t="s">
        <v>304</v>
      </c>
      <c r="BF64" s="16" t="s">
        <v>305</v>
      </c>
      <c r="BG64" s="16" t="s">
        <v>306</v>
      </c>
      <c r="BH64" s="16" t="s">
        <v>376</v>
      </c>
      <c r="BI64" s="16" t="s">
        <v>377</v>
      </c>
      <c r="BJ64" s="16">
        <v>189</v>
      </c>
      <c r="BK64" s="16">
        <v>189</v>
      </c>
      <c r="BL64" s="16">
        <v>189</v>
      </c>
      <c r="BM64" s="16" t="s">
        <v>96</v>
      </c>
      <c r="BN64" s="16">
        <v>1</v>
      </c>
      <c r="BO64" s="16" t="s">
        <v>84</v>
      </c>
      <c r="BP64" s="16" t="s">
        <v>84</v>
      </c>
      <c r="BQ64" s="16" t="s">
        <v>84</v>
      </c>
      <c r="BR64" s="16" t="s">
        <v>97</v>
      </c>
      <c r="BS64" s="16" t="s">
        <v>98</v>
      </c>
      <c r="BT64" s="16">
        <v>0</v>
      </c>
    </row>
    <row r="65" s="1" customFormat="1" ht="16" customHeight="1" spans="1:72">
      <c r="A65" s="14">
        <f t="shared" si="13"/>
        <v>2025</v>
      </c>
      <c r="B65" s="14">
        <f t="shared" si="14"/>
        <v>8</v>
      </c>
      <c r="C65" s="14" t="str">
        <f t="shared" si="15"/>
        <v>3729993873023710464</v>
      </c>
      <c r="D65" s="14" cm="1">
        <f t="array" ref="D65">SUMPRODUCT(($R$2:$R$374=C65)*1)</f>
        <v>1</v>
      </c>
      <c r="E65" s="14" cm="1">
        <f t="array" ref="E65">SUMPRODUCT(($R$2:R65=C65)*1)</f>
        <v>1</v>
      </c>
      <c r="F65" s="15" t="str">
        <f t="shared" si="16"/>
        <v>Z1645-黑色-S</v>
      </c>
      <c r="G65" s="14" t="str">
        <f t="shared" si="17"/>
        <v>Z1645</v>
      </c>
      <c r="H65" s="15">
        <f t="shared" si="18"/>
        <v>1</v>
      </c>
      <c r="I65" s="14">
        <f t="shared" si="19"/>
        <v>189</v>
      </c>
      <c r="J65" s="15">
        <f t="shared" si="20"/>
        <v>0</v>
      </c>
      <c r="K65" s="15">
        <f t="shared" si="21"/>
        <v>0</v>
      </c>
      <c r="L65" s="15">
        <f t="shared" si="22"/>
        <v>-9.45</v>
      </c>
      <c r="M65" s="15">
        <f t="shared" si="23"/>
        <v>0</v>
      </c>
      <c r="N65" s="15">
        <f t="shared" si="24"/>
        <v>-1.5</v>
      </c>
      <c r="O65" s="15">
        <f t="shared" si="25"/>
        <v>178.05</v>
      </c>
      <c r="R65" s="16" t="s">
        <v>1031</v>
      </c>
      <c r="S65" s="16" t="s">
        <v>1032</v>
      </c>
      <c r="T65" s="16" t="s">
        <v>861</v>
      </c>
      <c r="U65" s="16" t="s">
        <v>1033</v>
      </c>
      <c r="V65" s="16" t="s">
        <v>1034</v>
      </c>
      <c r="W65" s="16" t="s">
        <v>76</v>
      </c>
      <c r="X65" s="16" t="s">
        <v>77</v>
      </c>
      <c r="Y65" s="16" t="s">
        <v>692</v>
      </c>
      <c r="Z65" s="16" t="s">
        <v>1035</v>
      </c>
      <c r="AA65" s="16" t="s">
        <v>153</v>
      </c>
      <c r="AB65" s="16" t="s">
        <v>153</v>
      </c>
      <c r="AC65" s="16" t="s">
        <v>1036</v>
      </c>
      <c r="AD65" s="16" t="s">
        <v>1037</v>
      </c>
      <c r="AE65" s="16" t="s">
        <v>84</v>
      </c>
      <c r="AF65" s="16" t="s">
        <v>84</v>
      </c>
      <c r="AG65" s="16">
        <v>189</v>
      </c>
      <c r="AH65" s="16">
        <v>189</v>
      </c>
      <c r="AI65" s="17">
        <v>189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 t="s">
        <v>85</v>
      </c>
      <c r="AP65" s="16" t="s">
        <v>1038</v>
      </c>
      <c r="AQ65" s="16" t="s">
        <v>1039</v>
      </c>
      <c r="AR65" s="16" t="s">
        <v>88</v>
      </c>
      <c r="AS65" s="16" t="s">
        <v>1040</v>
      </c>
      <c r="AT65" s="16">
        <v>9.45</v>
      </c>
      <c r="AU65" s="16" t="s">
        <v>90</v>
      </c>
      <c r="AV65" s="16">
        <v>1.5</v>
      </c>
      <c r="AW65" s="16" t="s">
        <v>115</v>
      </c>
      <c r="AX65" s="16" t="s">
        <v>116</v>
      </c>
      <c r="AY65" s="16" t="s">
        <v>117</v>
      </c>
      <c r="AZ65" s="16" t="s">
        <v>118</v>
      </c>
      <c r="BA65" s="16" t="s">
        <v>119</v>
      </c>
      <c r="BB65" s="16">
        <v>0</v>
      </c>
      <c r="BC65" s="16" t="s">
        <v>84</v>
      </c>
      <c r="BD65" s="16" t="s">
        <v>90</v>
      </c>
      <c r="BE65" s="16" t="s">
        <v>304</v>
      </c>
      <c r="BF65" s="16" t="s">
        <v>305</v>
      </c>
      <c r="BG65" s="16" t="s">
        <v>306</v>
      </c>
      <c r="BH65" s="16" t="s">
        <v>376</v>
      </c>
      <c r="BI65" s="16" t="s">
        <v>377</v>
      </c>
      <c r="BJ65" s="16">
        <v>189</v>
      </c>
      <c r="BK65" s="16">
        <v>189</v>
      </c>
      <c r="BL65" s="16">
        <v>189</v>
      </c>
      <c r="BM65" s="16" t="s">
        <v>96</v>
      </c>
      <c r="BN65" s="16">
        <v>1</v>
      </c>
      <c r="BO65" s="16" t="s">
        <v>84</v>
      </c>
      <c r="BP65" s="16" t="s">
        <v>84</v>
      </c>
      <c r="BQ65" s="16" t="s">
        <v>84</v>
      </c>
      <c r="BR65" s="16" t="s">
        <v>97</v>
      </c>
      <c r="BS65" s="16" t="s">
        <v>98</v>
      </c>
      <c r="BT65" s="16">
        <v>0</v>
      </c>
    </row>
    <row r="66" s="1" customFormat="1" ht="16" customHeight="1" spans="1:72">
      <c r="A66" s="14">
        <f t="shared" si="13"/>
        <v>2025</v>
      </c>
      <c r="B66" s="14">
        <f t="shared" si="14"/>
        <v>8</v>
      </c>
      <c r="C66" s="14" t="str">
        <f t="shared" si="15"/>
        <v>3729993832604505088</v>
      </c>
      <c r="D66" s="14" cm="1">
        <f t="array" ref="D66">SUMPRODUCT(($R$2:$R$374=C66)*1)</f>
        <v>1</v>
      </c>
      <c r="E66" s="14" cm="1">
        <f t="array" ref="E66">SUMPRODUCT(($R$2:R66=C66)*1)</f>
        <v>1</v>
      </c>
      <c r="F66" s="15" t="str">
        <f t="shared" si="16"/>
        <v>Z1576-黑色-L</v>
      </c>
      <c r="G66" s="14" t="str">
        <f t="shared" si="17"/>
        <v>Z1576</v>
      </c>
      <c r="H66" s="15">
        <f t="shared" si="18"/>
        <v>1</v>
      </c>
      <c r="I66" s="14">
        <f t="shared" si="19"/>
        <v>199</v>
      </c>
      <c r="J66" s="15">
        <f t="shared" si="20"/>
        <v>0</v>
      </c>
      <c r="K66" s="15">
        <f t="shared" si="21"/>
        <v>0</v>
      </c>
      <c r="L66" s="15">
        <f t="shared" si="22"/>
        <v>-9.95</v>
      </c>
      <c r="M66" s="15">
        <f t="shared" si="23"/>
        <v>0</v>
      </c>
      <c r="N66" s="15">
        <f t="shared" si="24"/>
        <v>-1.5</v>
      </c>
      <c r="O66" s="15">
        <f t="shared" si="25"/>
        <v>187.55</v>
      </c>
      <c r="R66" s="16" t="s">
        <v>1041</v>
      </c>
      <c r="S66" s="16" t="s">
        <v>1042</v>
      </c>
      <c r="T66" s="16" t="s">
        <v>1043</v>
      </c>
      <c r="U66" s="16" t="s">
        <v>1044</v>
      </c>
      <c r="V66" s="16" t="s">
        <v>1045</v>
      </c>
      <c r="W66" s="16" t="s">
        <v>76</v>
      </c>
      <c r="X66" s="16" t="s">
        <v>77</v>
      </c>
      <c r="Y66" s="16" t="s">
        <v>1046</v>
      </c>
      <c r="Z66" s="16" t="s">
        <v>429</v>
      </c>
      <c r="AA66" s="16" t="s">
        <v>430</v>
      </c>
      <c r="AB66" s="16" t="s">
        <v>430</v>
      </c>
      <c r="AC66" s="16" t="s">
        <v>431</v>
      </c>
      <c r="AD66" s="16" t="s">
        <v>1047</v>
      </c>
      <c r="AE66" s="16" t="s">
        <v>84</v>
      </c>
      <c r="AF66" s="16" t="s">
        <v>84</v>
      </c>
      <c r="AG66" s="16">
        <v>199</v>
      </c>
      <c r="AH66" s="16">
        <v>199</v>
      </c>
      <c r="AI66" s="17">
        <v>199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 t="s">
        <v>137</v>
      </c>
      <c r="AP66" s="16" t="s">
        <v>1048</v>
      </c>
      <c r="AQ66" s="16" t="s">
        <v>1049</v>
      </c>
      <c r="AR66" s="16" t="s">
        <v>88</v>
      </c>
      <c r="AS66" s="16" t="s">
        <v>1050</v>
      </c>
      <c r="AT66" s="16">
        <v>9.95</v>
      </c>
      <c r="AU66" s="16" t="s">
        <v>90</v>
      </c>
      <c r="AV66" s="16">
        <v>1.5</v>
      </c>
      <c r="AW66" s="16" t="s">
        <v>115</v>
      </c>
      <c r="AX66" s="16" t="s">
        <v>116</v>
      </c>
      <c r="AY66" s="16" t="s">
        <v>117</v>
      </c>
      <c r="AZ66" s="16" t="s">
        <v>118</v>
      </c>
      <c r="BA66" s="16" t="s">
        <v>119</v>
      </c>
      <c r="BB66" s="16">
        <v>0</v>
      </c>
      <c r="BC66" s="16" t="s">
        <v>84</v>
      </c>
      <c r="BD66" s="16" t="s">
        <v>90</v>
      </c>
      <c r="BE66" s="16" t="s">
        <v>402</v>
      </c>
      <c r="BF66" s="16" t="s">
        <v>403</v>
      </c>
      <c r="BG66" s="16" t="s">
        <v>404</v>
      </c>
      <c r="BH66" s="16" t="s">
        <v>405</v>
      </c>
      <c r="BI66" s="16" t="s">
        <v>406</v>
      </c>
      <c r="BJ66" s="16">
        <v>199</v>
      </c>
      <c r="BK66" s="16">
        <v>199</v>
      </c>
      <c r="BL66" s="16">
        <v>199</v>
      </c>
      <c r="BM66" s="16" t="s">
        <v>96</v>
      </c>
      <c r="BN66" s="16">
        <v>1</v>
      </c>
      <c r="BO66" s="16" t="s">
        <v>84</v>
      </c>
      <c r="BP66" s="16" t="s">
        <v>84</v>
      </c>
      <c r="BQ66" s="16" t="s">
        <v>84</v>
      </c>
      <c r="BR66" s="16" t="s">
        <v>97</v>
      </c>
      <c r="BS66" s="16" t="s">
        <v>98</v>
      </c>
      <c r="BT66" s="16">
        <v>0</v>
      </c>
    </row>
    <row r="67" s="1" customFormat="1" ht="16" customHeight="1" spans="1:72">
      <c r="A67" s="14">
        <f t="shared" si="13"/>
        <v>2025</v>
      </c>
      <c r="B67" s="14">
        <f t="shared" si="14"/>
        <v>8</v>
      </c>
      <c r="C67" s="14" t="str">
        <f t="shared" si="15"/>
        <v>3729993829610299136</v>
      </c>
      <c r="D67" s="14" cm="1">
        <f t="array" ref="D67">SUMPRODUCT(($R$2:$R$374=C67)*1)</f>
        <v>1</v>
      </c>
      <c r="E67" s="14" cm="1">
        <f t="array" ref="E67">SUMPRODUCT(($R$2:R67=C67)*1)</f>
        <v>1</v>
      </c>
      <c r="F67" s="15" t="str">
        <f t="shared" si="16"/>
        <v>Z1576-黑色-M</v>
      </c>
      <c r="G67" s="14" t="str">
        <f t="shared" si="17"/>
        <v>Z1576</v>
      </c>
      <c r="H67" s="15">
        <f t="shared" si="18"/>
        <v>1</v>
      </c>
      <c r="I67" s="14">
        <f t="shared" si="19"/>
        <v>199</v>
      </c>
      <c r="J67" s="15">
        <f t="shared" si="20"/>
        <v>0</v>
      </c>
      <c r="K67" s="15">
        <f t="shared" si="21"/>
        <v>0</v>
      </c>
      <c r="L67" s="15">
        <f t="shared" si="22"/>
        <v>-9.95</v>
      </c>
      <c r="M67" s="15">
        <f t="shared" si="23"/>
        <v>0</v>
      </c>
      <c r="N67" s="15">
        <f t="shared" si="24"/>
        <v>-1.5</v>
      </c>
      <c r="O67" s="15">
        <f t="shared" si="25"/>
        <v>187.55</v>
      </c>
      <c r="R67" s="16" t="s">
        <v>1051</v>
      </c>
      <c r="S67" s="16" t="s">
        <v>1052</v>
      </c>
      <c r="T67" s="16" t="s">
        <v>1053</v>
      </c>
      <c r="U67" s="16" t="s">
        <v>1054</v>
      </c>
      <c r="V67" s="16" t="s">
        <v>1055</v>
      </c>
      <c r="W67" s="16" t="s">
        <v>76</v>
      </c>
      <c r="X67" s="16" t="s">
        <v>77</v>
      </c>
      <c r="Y67" s="16" t="s">
        <v>241</v>
      </c>
      <c r="Z67" s="16" t="s">
        <v>1056</v>
      </c>
      <c r="AA67" s="16" t="s">
        <v>369</v>
      </c>
      <c r="AB67" s="16" t="s">
        <v>1057</v>
      </c>
      <c r="AC67" s="16" t="s">
        <v>1058</v>
      </c>
      <c r="AD67" s="16" t="s">
        <v>1059</v>
      </c>
      <c r="AE67" s="16" t="s">
        <v>84</v>
      </c>
      <c r="AF67" s="16" t="s">
        <v>84</v>
      </c>
      <c r="AG67" s="16">
        <v>199</v>
      </c>
      <c r="AH67" s="16">
        <v>199</v>
      </c>
      <c r="AI67" s="17">
        <v>199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 t="s">
        <v>85</v>
      </c>
      <c r="AP67" s="16" t="s">
        <v>1060</v>
      </c>
      <c r="AQ67" s="16" t="s">
        <v>1061</v>
      </c>
      <c r="AR67" s="16" t="s">
        <v>88</v>
      </c>
      <c r="AS67" s="16" t="s">
        <v>1062</v>
      </c>
      <c r="AT67" s="16">
        <v>9.95</v>
      </c>
      <c r="AU67" s="16" t="s">
        <v>90</v>
      </c>
      <c r="AV67" s="16">
        <v>1.5</v>
      </c>
      <c r="AW67" s="16" t="s">
        <v>115</v>
      </c>
      <c r="AX67" s="16" t="s">
        <v>116</v>
      </c>
      <c r="AY67" s="16" t="s">
        <v>117</v>
      </c>
      <c r="AZ67" s="16" t="s">
        <v>118</v>
      </c>
      <c r="BA67" s="16" t="s">
        <v>119</v>
      </c>
      <c r="BB67" s="16">
        <v>0</v>
      </c>
      <c r="BC67" s="16" t="s">
        <v>84</v>
      </c>
      <c r="BD67" s="16" t="s">
        <v>90</v>
      </c>
      <c r="BE67" s="16" t="s">
        <v>402</v>
      </c>
      <c r="BF67" s="16" t="s">
        <v>403</v>
      </c>
      <c r="BG67" s="16" t="s">
        <v>404</v>
      </c>
      <c r="BH67" s="16" t="s">
        <v>474</v>
      </c>
      <c r="BI67" s="16" t="s">
        <v>308</v>
      </c>
      <c r="BJ67" s="16">
        <v>199</v>
      </c>
      <c r="BK67" s="16">
        <v>199</v>
      </c>
      <c r="BL67" s="16">
        <v>199</v>
      </c>
      <c r="BM67" s="16" t="s">
        <v>96</v>
      </c>
      <c r="BN67" s="16">
        <v>1</v>
      </c>
      <c r="BO67" s="16" t="s">
        <v>84</v>
      </c>
      <c r="BP67" s="16" t="s">
        <v>84</v>
      </c>
      <c r="BQ67" s="16" t="s">
        <v>84</v>
      </c>
      <c r="BR67" s="16" t="s">
        <v>97</v>
      </c>
      <c r="BS67" s="16" t="s">
        <v>98</v>
      </c>
      <c r="BT67" s="16">
        <v>0</v>
      </c>
    </row>
    <row r="68" s="1" customFormat="1" ht="16" customHeight="1" spans="1:72">
      <c r="A68" s="14">
        <f t="shared" si="13"/>
        <v>2025</v>
      </c>
      <c r="B68" s="14">
        <f t="shared" si="14"/>
        <v>8</v>
      </c>
      <c r="C68" s="14" t="str">
        <f t="shared" si="15"/>
        <v>3729993787703177984</v>
      </c>
      <c r="D68" s="14" cm="1">
        <f t="array" ref="D68">SUMPRODUCT(($R$2:$R$374=C68)*1)</f>
        <v>1</v>
      </c>
      <c r="E68" s="14" cm="1">
        <f t="array" ref="E68">SUMPRODUCT(($R$2:R68=C68)*1)</f>
        <v>1</v>
      </c>
      <c r="F68" s="15" t="str">
        <f t="shared" si="16"/>
        <v>Z1576-黑色-M</v>
      </c>
      <c r="G68" s="14" t="str">
        <f t="shared" si="17"/>
        <v>Z1576</v>
      </c>
      <c r="H68" s="15">
        <f t="shared" si="18"/>
        <v>1</v>
      </c>
      <c r="I68" s="14">
        <f t="shared" si="19"/>
        <v>199</v>
      </c>
      <c r="J68" s="15">
        <f t="shared" si="20"/>
        <v>0</v>
      </c>
      <c r="K68" s="15">
        <f t="shared" si="21"/>
        <v>0</v>
      </c>
      <c r="L68" s="15">
        <f t="shared" si="22"/>
        <v>-9.95</v>
      </c>
      <c r="M68" s="15">
        <f t="shared" si="23"/>
        <v>0</v>
      </c>
      <c r="N68" s="15">
        <f t="shared" si="24"/>
        <v>-1.5</v>
      </c>
      <c r="O68" s="15">
        <f t="shared" si="25"/>
        <v>187.55</v>
      </c>
      <c r="R68" s="16" t="s">
        <v>1063</v>
      </c>
      <c r="S68" s="16" t="s">
        <v>1064</v>
      </c>
      <c r="T68" s="16" t="s">
        <v>1053</v>
      </c>
      <c r="U68" s="16" t="s">
        <v>1065</v>
      </c>
      <c r="V68" s="16" t="s">
        <v>1066</v>
      </c>
      <c r="W68" s="16" t="s">
        <v>76</v>
      </c>
      <c r="X68" s="16" t="s">
        <v>77</v>
      </c>
      <c r="Y68" s="16" t="s">
        <v>692</v>
      </c>
      <c r="Z68" s="16" t="s">
        <v>1067</v>
      </c>
      <c r="AA68" s="16" t="s">
        <v>107</v>
      </c>
      <c r="AB68" s="16" t="s">
        <v>108</v>
      </c>
      <c r="AC68" s="16" t="s">
        <v>1068</v>
      </c>
      <c r="AD68" s="16" t="s">
        <v>1069</v>
      </c>
      <c r="AE68" s="16" t="s">
        <v>84</v>
      </c>
      <c r="AF68" s="16" t="s">
        <v>84</v>
      </c>
      <c r="AG68" s="16">
        <v>199</v>
      </c>
      <c r="AH68" s="16">
        <v>199</v>
      </c>
      <c r="AI68" s="17">
        <v>199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 t="s">
        <v>85</v>
      </c>
      <c r="AP68" s="16" t="s">
        <v>1070</v>
      </c>
      <c r="AQ68" s="16" t="s">
        <v>1071</v>
      </c>
      <c r="AR68" s="16" t="s">
        <v>88</v>
      </c>
      <c r="AS68" s="16" t="s">
        <v>1072</v>
      </c>
      <c r="AT68" s="16">
        <v>9.95</v>
      </c>
      <c r="AU68" s="16" t="s">
        <v>90</v>
      </c>
      <c r="AV68" s="16">
        <v>1.5</v>
      </c>
      <c r="AW68" s="16" t="s">
        <v>115</v>
      </c>
      <c r="AX68" s="16" t="s">
        <v>116</v>
      </c>
      <c r="AY68" s="16" t="s">
        <v>117</v>
      </c>
      <c r="AZ68" s="16" t="s">
        <v>118</v>
      </c>
      <c r="BA68" s="16" t="s">
        <v>119</v>
      </c>
      <c r="BB68" s="16">
        <v>0</v>
      </c>
      <c r="BC68" s="16" t="s">
        <v>84</v>
      </c>
      <c r="BD68" s="16" t="s">
        <v>90</v>
      </c>
      <c r="BE68" s="16" t="s">
        <v>402</v>
      </c>
      <c r="BF68" s="16" t="s">
        <v>403</v>
      </c>
      <c r="BG68" s="16" t="s">
        <v>404</v>
      </c>
      <c r="BH68" s="16" t="s">
        <v>474</v>
      </c>
      <c r="BI68" s="16" t="s">
        <v>308</v>
      </c>
      <c r="BJ68" s="16">
        <v>199</v>
      </c>
      <c r="BK68" s="16">
        <v>199</v>
      </c>
      <c r="BL68" s="16">
        <v>199</v>
      </c>
      <c r="BM68" s="16" t="s">
        <v>96</v>
      </c>
      <c r="BN68" s="16">
        <v>1</v>
      </c>
      <c r="BO68" s="16" t="s">
        <v>84</v>
      </c>
      <c r="BP68" s="16" t="s">
        <v>84</v>
      </c>
      <c r="BQ68" s="16" t="s">
        <v>84</v>
      </c>
      <c r="BR68" s="16" t="s">
        <v>97</v>
      </c>
      <c r="BS68" s="16" t="s">
        <v>98</v>
      </c>
      <c r="BT68" s="16">
        <v>0</v>
      </c>
    </row>
    <row r="69" s="1" customFormat="1" ht="16" customHeight="1" spans="1:72">
      <c r="A69" s="14">
        <f t="shared" si="13"/>
        <v>2025</v>
      </c>
      <c r="B69" s="14">
        <f t="shared" si="14"/>
        <v>8</v>
      </c>
      <c r="C69" s="14" t="str">
        <f t="shared" si="15"/>
        <v>3729993785795028992</v>
      </c>
      <c r="D69" s="14" cm="1">
        <f t="array" ref="D69">SUMPRODUCT(($R$2:$R$374=C69)*1)</f>
        <v>1</v>
      </c>
      <c r="E69" s="14" cm="1">
        <f t="array" ref="E69">SUMPRODUCT(($R$2:R69=C69)*1)</f>
        <v>1</v>
      </c>
      <c r="F69" s="15" t="str">
        <f t="shared" si="16"/>
        <v>Z1576-黑色-L</v>
      </c>
      <c r="G69" s="14" t="str">
        <f t="shared" si="17"/>
        <v>Z1576</v>
      </c>
      <c r="H69" s="15">
        <f t="shared" si="18"/>
        <v>1</v>
      </c>
      <c r="I69" s="14">
        <f t="shared" si="19"/>
        <v>199</v>
      </c>
      <c r="J69" s="15">
        <f t="shared" si="20"/>
        <v>0</v>
      </c>
      <c r="K69" s="15">
        <f t="shared" si="21"/>
        <v>0</v>
      </c>
      <c r="L69" s="15">
        <f t="shared" si="22"/>
        <v>-9.95</v>
      </c>
      <c r="M69" s="15">
        <f t="shared" si="23"/>
        <v>0</v>
      </c>
      <c r="N69" s="15">
        <f t="shared" si="24"/>
        <v>-1.5</v>
      </c>
      <c r="O69" s="15">
        <f t="shared" si="25"/>
        <v>187.55</v>
      </c>
      <c r="R69" s="16" t="s">
        <v>1073</v>
      </c>
      <c r="S69" s="16" t="s">
        <v>1074</v>
      </c>
      <c r="T69" s="16" t="s">
        <v>1043</v>
      </c>
      <c r="U69" s="16" t="s">
        <v>1075</v>
      </c>
      <c r="V69" s="16" t="s">
        <v>1076</v>
      </c>
      <c r="W69" s="16" t="s">
        <v>76</v>
      </c>
      <c r="X69" s="16" t="s">
        <v>77</v>
      </c>
      <c r="Y69" s="16" t="s">
        <v>1077</v>
      </c>
      <c r="Z69" s="16" t="s">
        <v>937</v>
      </c>
      <c r="AA69" s="16" t="s">
        <v>153</v>
      </c>
      <c r="AB69" s="16" t="s">
        <v>153</v>
      </c>
      <c r="AC69" s="16" t="s">
        <v>938</v>
      </c>
      <c r="AD69" s="16" t="s">
        <v>1078</v>
      </c>
      <c r="AE69" s="16" t="s">
        <v>84</v>
      </c>
      <c r="AF69" s="16" t="s">
        <v>84</v>
      </c>
      <c r="AG69" s="16">
        <v>199</v>
      </c>
      <c r="AH69" s="16">
        <v>199</v>
      </c>
      <c r="AI69" s="17">
        <v>199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 t="s">
        <v>137</v>
      </c>
      <c r="AP69" s="16" t="s">
        <v>1079</v>
      </c>
      <c r="AQ69" s="16" t="s">
        <v>1080</v>
      </c>
      <c r="AR69" s="16" t="s">
        <v>88</v>
      </c>
      <c r="AS69" s="16" t="s">
        <v>1081</v>
      </c>
      <c r="AT69" s="16">
        <v>9.95</v>
      </c>
      <c r="AU69" s="16" t="s">
        <v>90</v>
      </c>
      <c r="AV69" s="16">
        <v>1.5</v>
      </c>
      <c r="AW69" s="16" t="s">
        <v>115</v>
      </c>
      <c r="AX69" s="16" t="s">
        <v>116</v>
      </c>
      <c r="AY69" s="16" t="s">
        <v>117</v>
      </c>
      <c r="AZ69" s="16" t="s">
        <v>118</v>
      </c>
      <c r="BA69" s="16" t="s">
        <v>119</v>
      </c>
      <c r="BB69" s="16">
        <v>0</v>
      </c>
      <c r="BC69" s="16" t="s">
        <v>84</v>
      </c>
      <c r="BD69" s="16" t="s">
        <v>90</v>
      </c>
      <c r="BE69" s="16" t="s">
        <v>402</v>
      </c>
      <c r="BF69" s="16" t="s">
        <v>403</v>
      </c>
      <c r="BG69" s="16" t="s">
        <v>404</v>
      </c>
      <c r="BH69" s="16" t="s">
        <v>405</v>
      </c>
      <c r="BI69" s="16" t="s">
        <v>406</v>
      </c>
      <c r="BJ69" s="16">
        <v>199</v>
      </c>
      <c r="BK69" s="16">
        <v>199</v>
      </c>
      <c r="BL69" s="16">
        <v>199</v>
      </c>
      <c r="BM69" s="16" t="s">
        <v>96</v>
      </c>
      <c r="BN69" s="16">
        <v>1</v>
      </c>
      <c r="BO69" s="16" t="s">
        <v>84</v>
      </c>
      <c r="BP69" s="16" t="s">
        <v>84</v>
      </c>
      <c r="BQ69" s="16" t="s">
        <v>84</v>
      </c>
      <c r="BR69" s="16" t="s">
        <v>97</v>
      </c>
      <c r="BS69" s="16" t="s">
        <v>98</v>
      </c>
      <c r="BT69" s="16">
        <v>0</v>
      </c>
    </row>
    <row r="70" s="1" customFormat="1" ht="16" customHeight="1" spans="1:72">
      <c r="A70" s="14">
        <f t="shared" si="13"/>
        <v>2025</v>
      </c>
      <c r="B70" s="14">
        <f t="shared" si="14"/>
        <v>8</v>
      </c>
      <c r="C70" s="14" t="str">
        <f t="shared" si="15"/>
        <v>3729993780212152320</v>
      </c>
      <c r="D70" s="14" cm="1">
        <f t="array" ref="D70">SUMPRODUCT(($R$2:$R$374=C70)*1)</f>
        <v>1</v>
      </c>
      <c r="E70" s="14" cm="1">
        <f t="array" ref="E70">SUMPRODUCT(($R$2:R70=C70)*1)</f>
        <v>1</v>
      </c>
      <c r="F70" s="15" t="str">
        <f t="shared" si="16"/>
        <v>Z1576-黑色-M</v>
      </c>
      <c r="G70" s="14" t="str">
        <f t="shared" si="17"/>
        <v>Z1576</v>
      </c>
      <c r="H70" s="15">
        <f t="shared" si="18"/>
        <v>1</v>
      </c>
      <c r="I70" s="14">
        <f t="shared" si="19"/>
        <v>199</v>
      </c>
      <c r="J70" s="15">
        <f t="shared" si="20"/>
        <v>0</v>
      </c>
      <c r="K70" s="15">
        <f t="shared" si="21"/>
        <v>0</v>
      </c>
      <c r="L70" s="15">
        <f t="shared" si="22"/>
        <v>-9.95</v>
      </c>
      <c r="M70" s="15">
        <f t="shared" si="23"/>
        <v>0</v>
      </c>
      <c r="N70" s="15">
        <f t="shared" si="24"/>
        <v>-1.5</v>
      </c>
      <c r="O70" s="15">
        <f t="shared" si="25"/>
        <v>187.55</v>
      </c>
      <c r="R70" s="16" t="s">
        <v>1082</v>
      </c>
      <c r="S70" s="16" t="s">
        <v>1083</v>
      </c>
      <c r="T70" s="16" t="s">
        <v>1053</v>
      </c>
      <c r="U70" s="16" t="s">
        <v>1084</v>
      </c>
      <c r="V70" s="16" t="s">
        <v>1085</v>
      </c>
      <c r="W70" s="16" t="s">
        <v>76</v>
      </c>
      <c r="X70" s="16" t="s">
        <v>77</v>
      </c>
      <c r="Y70" s="16" t="s">
        <v>412</v>
      </c>
      <c r="Z70" s="16" t="s">
        <v>1086</v>
      </c>
      <c r="AA70" s="16" t="s">
        <v>107</v>
      </c>
      <c r="AB70" s="16" t="s">
        <v>108</v>
      </c>
      <c r="AC70" s="16" t="s">
        <v>1087</v>
      </c>
      <c r="AD70" s="16" t="s">
        <v>1088</v>
      </c>
      <c r="AE70" s="16" t="s">
        <v>84</v>
      </c>
      <c r="AF70" s="16" t="s">
        <v>84</v>
      </c>
      <c r="AG70" s="16">
        <v>199</v>
      </c>
      <c r="AH70" s="16">
        <v>199</v>
      </c>
      <c r="AI70" s="17">
        <v>199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 t="s">
        <v>85</v>
      </c>
      <c r="AP70" s="16" t="s">
        <v>1089</v>
      </c>
      <c r="AQ70" s="16" t="s">
        <v>1090</v>
      </c>
      <c r="AR70" s="16" t="s">
        <v>88</v>
      </c>
      <c r="AS70" s="16" t="s">
        <v>1091</v>
      </c>
      <c r="AT70" s="16">
        <v>9.95</v>
      </c>
      <c r="AU70" s="16" t="s">
        <v>90</v>
      </c>
      <c r="AV70" s="16">
        <v>1.5</v>
      </c>
      <c r="AW70" s="16" t="s">
        <v>115</v>
      </c>
      <c r="AX70" s="16" t="s">
        <v>116</v>
      </c>
      <c r="AY70" s="16" t="s">
        <v>117</v>
      </c>
      <c r="AZ70" s="16" t="s">
        <v>118</v>
      </c>
      <c r="BA70" s="16" t="s">
        <v>119</v>
      </c>
      <c r="BB70" s="16">
        <v>0</v>
      </c>
      <c r="BC70" s="16" t="s">
        <v>84</v>
      </c>
      <c r="BD70" s="16" t="s">
        <v>90</v>
      </c>
      <c r="BE70" s="16" t="s">
        <v>402</v>
      </c>
      <c r="BF70" s="16" t="s">
        <v>403</v>
      </c>
      <c r="BG70" s="16" t="s">
        <v>404</v>
      </c>
      <c r="BH70" s="16" t="s">
        <v>474</v>
      </c>
      <c r="BI70" s="16" t="s">
        <v>308</v>
      </c>
      <c r="BJ70" s="16">
        <v>199</v>
      </c>
      <c r="BK70" s="16">
        <v>199</v>
      </c>
      <c r="BL70" s="16">
        <v>199</v>
      </c>
      <c r="BM70" s="16" t="s">
        <v>96</v>
      </c>
      <c r="BN70" s="16">
        <v>1</v>
      </c>
      <c r="BO70" s="16" t="s">
        <v>84</v>
      </c>
      <c r="BP70" s="16" t="s">
        <v>84</v>
      </c>
      <c r="BQ70" s="16" t="s">
        <v>84</v>
      </c>
      <c r="BR70" s="16" t="s">
        <v>97</v>
      </c>
      <c r="BS70" s="16" t="s">
        <v>98</v>
      </c>
      <c r="BT70" s="16">
        <v>0</v>
      </c>
    </row>
    <row r="71" s="1" customFormat="1" ht="16" customHeight="1" spans="1:72">
      <c r="A71" s="14">
        <f t="shared" si="13"/>
        <v>2025</v>
      </c>
      <c r="B71" s="14">
        <f t="shared" si="14"/>
        <v>8</v>
      </c>
      <c r="C71" s="14" t="str">
        <f t="shared" si="15"/>
        <v>3729993777319131136</v>
      </c>
      <c r="D71" s="14" cm="1">
        <f t="array" ref="D71">SUMPRODUCT(($R$2:$R$374=C71)*1)</f>
        <v>1</v>
      </c>
      <c r="E71" s="14" cm="1">
        <f t="array" ref="E71">SUMPRODUCT(($R$2:R71=C71)*1)</f>
        <v>1</v>
      </c>
      <c r="F71" s="15" t="str">
        <f t="shared" si="16"/>
        <v>Z1576-黑色-L</v>
      </c>
      <c r="G71" s="14" t="str">
        <f t="shared" si="17"/>
        <v>Z1576</v>
      </c>
      <c r="H71" s="15">
        <f t="shared" si="18"/>
        <v>1</v>
      </c>
      <c r="I71" s="14">
        <f t="shared" si="19"/>
        <v>199</v>
      </c>
      <c r="J71" s="15">
        <f t="shared" si="20"/>
        <v>0</v>
      </c>
      <c r="K71" s="15">
        <f t="shared" si="21"/>
        <v>0</v>
      </c>
      <c r="L71" s="15">
        <f t="shared" si="22"/>
        <v>-9.95</v>
      </c>
      <c r="M71" s="15">
        <f t="shared" si="23"/>
        <v>0</v>
      </c>
      <c r="N71" s="15">
        <f t="shared" si="24"/>
        <v>-1.5</v>
      </c>
      <c r="O71" s="15">
        <f t="shared" si="25"/>
        <v>187.55</v>
      </c>
      <c r="R71" s="16" t="s">
        <v>1092</v>
      </c>
      <c r="S71" s="16" t="s">
        <v>1093</v>
      </c>
      <c r="T71" s="16" t="s">
        <v>1043</v>
      </c>
      <c r="U71" s="16" t="s">
        <v>1094</v>
      </c>
      <c r="V71" s="16" t="s">
        <v>1095</v>
      </c>
      <c r="W71" s="16" t="s">
        <v>76</v>
      </c>
      <c r="X71" s="16" t="s">
        <v>77</v>
      </c>
      <c r="Y71" s="16" t="s">
        <v>692</v>
      </c>
      <c r="Z71" s="16" t="s">
        <v>1067</v>
      </c>
      <c r="AA71" s="16" t="s">
        <v>107</v>
      </c>
      <c r="AB71" s="16" t="s">
        <v>108</v>
      </c>
      <c r="AC71" s="16" t="s">
        <v>1068</v>
      </c>
      <c r="AD71" s="16" t="s">
        <v>1069</v>
      </c>
      <c r="AE71" s="16" t="s">
        <v>84</v>
      </c>
      <c r="AF71" s="16" t="s">
        <v>84</v>
      </c>
      <c r="AG71" s="16">
        <v>199</v>
      </c>
      <c r="AH71" s="16">
        <v>199</v>
      </c>
      <c r="AI71" s="17">
        <v>199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 t="s">
        <v>85</v>
      </c>
      <c r="AP71" s="16" t="s">
        <v>1096</v>
      </c>
      <c r="AQ71" s="16" t="s">
        <v>1097</v>
      </c>
      <c r="AR71" s="16" t="s">
        <v>88</v>
      </c>
      <c r="AS71" s="16" t="s">
        <v>1098</v>
      </c>
      <c r="AT71" s="16">
        <v>9.95</v>
      </c>
      <c r="AU71" s="16" t="s">
        <v>90</v>
      </c>
      <c r="AV71" s="16">
        <v>1.5</v>
      </c>
      <c r="AW71" s="16" t="s">
        <v>115</v>
      </c>
      <c r="AX71" s="16" t="s">
        <v>116</v>
      </c>
      <c r="AY71" s="16" t="s">
        <v>117</v>
      </c>
      <c r="AZ71" s="16" t="s">
        <v>118</v>
      </c>
      <c r="BA71" s="16" t="s">
        <v>119</v>
      </c>
      <c r="BB71" s="16">
        <v>0</v>
      </c>
      <c r="BC71" s="16" t="s">
        <v>84</v>
      </c>
      <c r="BD71" s="16" t="s">
        <v>90</v>
      </c>
      <c r="BE71" s="16" t="s">
        <v>402</v>
      </c>
      <c r="BF71" s="16" t="s">
        <v>403</v>
      </c>
      <c r="BG71" s="16" t="s">
        <v>404</v>
      </c>
      <c r="BH71" s="16" t="s">
        <v>405</v>
      </c>
      <c r="BI71" s="16" t="s">
        <v>406</v>
      </c>
      <c r="BJ71" s="16">
        <v>199</v>
      </c>
      <c r="BK71" s="16">
        <v>199</v>
      </c>
      <c r="BL71" s="16">
        <v>199</v>
      </c>
      <c r="BM71" s="16" t="s">
        <v>96</v>
      </c>
      <c r="BN71" s="16">
        <v>1</v>
      </c>
      <c r="BO71" s="16" t="s">
        <v>84</v>
      </c>
      <c r="BP71" s="16" t="s">
        <v>84</v>
      </c>
      <c r="BQ71" s="16" t="s">
        <v>84</v>
      </c>
      <c r="BR71" s="16" t="s">
        <v>97</v>
      </c>
      <c r="BS71" s="16" t="s">
        <v>98</v>
      </c>
      <c r="BT71" s="16">
        <v>0</v>
      </c>
    </row>
    <row r="72" s="1" customFormat="1" ht="16" customHeight="1" spans="1:72">
      <c r="A72" s="14">
        <f t="shared" si="13"/>
        <v>2025</v>
      </c>
      <c r="B72" s="14">
        <f t="shared" si="14"/>
        <v>8</v>
      </c>
      <c r="C72" s="14" t="str">
        <f t="shared" si="15"/>
        <v>3729993769676846592</v>
      </c>
      <c r="D72" s="14" cm="1">
        <f t="array" ref="D72">SUMPRODUCT(($R$2:$R$374=C72)*1)</f>
        <v>1</v>
      </c>
      <c r="E72" s="14" cm="1">
        <f t="array" ref="E72">SUMPRODUCT(($R$2:R72=C72)*1)</f>
        <v>1</v>
      </c>
      <c r="F72" s="15" t="str">
        <f t="shared" si="16"/>
        <v>Z1576-黑色-M</v>
      </c>
      <c r="G72" s="14" t="str">
        <f t="shared" si="17"/>
        <v>Z1576</v>
      </c>
      <c r="H72" s="15">
        <f t="shared" si="18"/>
        <v>1</v>
      </c>
      <c r="I72" s="14">
        <f t="shared" si="19"/>
        <v>199</v>
      </c>
      <c r="J72" s="15">
        <f t="shared" si="20"/>
        <v>0</v>
      </c>
      <c r="K72" s="15">
        <f t="shared" si="21"/>
        <v>0</v>
      </c>
      <c r="L72" s="15">
        <f t="shared" si="22"/>
        <v>-9.95</v>
      </c>
      <c r="M72" s="15">
        <f t="shared" si="23"/>
        <v>0</v>
      </c>
      <c r="N72" s="15">
        <f t="shared" si="24"/>
        <v>-1.5</v>
      </c>
      <c r="O72" s="15">
        <f t="shared" si="25"/>
        <v>187.55</v>
      </c>
      <c r="R72" s="16" t="s">
        <v>1099</v>
      </c>
      <c r="S72" s="16" t="s">
        <v>1100</v>
      </c>
      <c r="T72" s="16" t="s">
        <v>1101</v>
      </c>
      <c r="U72" s="16" t="s">
        <v>1102</v>
      </c>
      <c r="V72" s="16" t="s">
        <v>1103</v>
      </c>
      <c r="W72" s="16" t="s">
        <v>76</v>
      </c>
      <c r="X72" s="16" t="s">
        <v>77</v>
      </c>
      <c r="Y72" s="16" t="s">
        <v>260</v>
      </c>
      <c r="Z72" s="16" t="s">
        <v>441</v>
      </c>
      <c r="AA72" s="16" t="s">
        <v>80</v>
      </c>
      <c r="AB72" s="16" t="s">
        <v>442</v>
      </c>
      <c r="AC72" s="16" t="s">
        <v>443</v>
      </c>
      <c r="AD72" s="16" t="s">
        <v>444</v>
      </c>
      <c r="AE72" s="16" t="s">
        <v>84</v>
      </c>
      <c r="AF72" s="16" t="s">
        <v>84</v>
      </c>
      <c r="AG72" s="16">
        <v>199</v>
      </c>
      <c r="AH72" s="16">
        <v>199</v>
      </c>
      <c r="AI72" s="17">
        <v>199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 t="s">
        <v>85</v>
      </c>
      <c r="AP72" s="16" t="s">
        <v>1104</v>
      </c>
      <c r="AQ72" s="16" t="s">
        <v>1105</v>
      </c>
      <c r="AR72" s="16" t="s">
        <v>88</v>
      </c>
      <c r="AS72" s="16" t="s">
        <v>1106</v>
      </c>
      <c r="AT72" s="16">
        <v>9.95</v>
      </c>
      <c r="AU72" s="16" t="s">
        <v>90</v>
      </c>
      <c r="AV72" s="16">
        <v>1.5</v>
      </c>
      <c r="AW72" s="16" t="s">
        <v>115</v>
      </c>
      <c r="AX72" s="16" t="s">
        <v>116</v>
      </c>
      <c r="AY72" s="16" t="s">
        <v>117</v>
      </c>
      <c r="AZ72" s="16" t="s">
        <v>118</v>
      </c>
      <c r="BA72" s="16" t="s">
        <v>119</v>
      </c>
      <c r="BB72" s="16">
        <v>0</v>
      </c>
      <c r="BC72" s="16" t="s">
        <v>84</v>
      </c>
      <c r="BD72" s="16" t="s">
        <v>90</v>
      </c>
      <c r="BE72" s="16" t="s">
        <v>402</v>
      </c>
      <c r="BF72" s="16" t="s">
        <v>403</v>
      </c>
      <c r="BG72" s="16" t="s">
        <v>404</v>
      </c>
      <c r="BH72" s="16" t="s">
        <v>474</v>
      </c>
      <c r="BI72" s="16" t="s">
        <v>308</v>
      </c>
      <c r="BJ72" s="16">
        <v>199</v>
      </c>
      <c r="BK72" s="16">
        <v>199</v>
      </c>
      <c r="BL72" s="16">
        <v>199</v>
      </c>
      <c r="BM72" s="16" t="s">
        <v>96</v>
      </c>
      <c r="BN72" s="16">
        <v>1</v>
      </c>
      <c r="BO72" s="16" t="s">
        <v>84</v>
      </c>
      <c r="BP72" s="16" t="s">
        <v>84</v>
      </c>
      <c r="BQ72" s="16" t="s">
        <v>84</v>
      </c>
      <c r="BR72" s="16" t="s">
        <v>97</v>
      </c>
      <c r="BS72" s="16" t="s">
        <v>98</v>
      </c>
      <c r="BT72" s="16">
        <v>0</v>
      </c>
    </row>
    <row r="73" s="1" customFormat="1" ht="16" customHeight="1" spans="1:72">
      <c r="A73" s="14">
        <f t="shared" si="13"/>
        <v>2025</v>
      </c>
      <c r="B73" s="14">
        <f t="shared" si="14"/>
        <v>8</v>
      </c>
      <c r="C73" s="14" t="str">
        <f t="shared" si="15"/>
        <v>3729993768515277824</v>
      </c>
      <c r="D73" s="14" cm="1">
        <f t="array" ref="D73">SUMPRODUCT(($R$2:$R$374=C73)*1)</f>
        <v>1</v>
      </c>
      <c r="E73" s="14" cm="1">
        <f t="array" ref="E73">SUMPRODUCT(($R$2:R73=C73)*1)</f>
        <v>1</v>
      </c>
      <c r="F73" s="15" t="str">
        <f t="shared" si="16"/>
        <v>Z1576-黑色-M</v>
      </c>
      <c r="G73" s="14" t="str">
        <f t="shared" si="17"/>
        <v>Z1576</v>
      </c>
      <c r="H73" s="15">
        <f t="shared" si="18"/>
        <v>1</v>
      </c>
      <c r="I73" s="14">
        <f t="shared" si="19"/>
        <v>199</v>
      </c>
      <c r="J73" s="15">
        <f t="shared" si="20"/>
        <v>0</v>
      </c>
      <c r="K73" s="15">
        <f t="shared" si="21"/>
        <v>0</v>
      </c>
      <c r="L73" s="15">
        <f t="shared" si="22"/>
        <v>-9.95</v>
      </c>
      <c r="M73" s="15">
        <f t="shared" si="23"/>
        <v>0</v>
      </c>
      <c r="N73" s="15">
        <f t="shared" si="24"/>
        <v>-1.5</v>
      </c>
      <c r="O73" s="15">
        <f t="shared" si="25"/>
        <v>187.55</v>
      </c>
      <c r="R73" s="16" t="s">
        <v>1107</v>
      </c>
      <c r="S73" s="16" t="s">
        <v>1108</v>
      </c>
      <c r="T73" s="16" t="s">
        <v>1109</v>
      </c>
      <c r="U73" s="16" t="s">
        <v>1110</v>
      </c>
      <c r="V73" s="16" t="s">
        <v>1111</v>
      </c>
      <c r="W73" s="16" t="s">
        <v>76</v>
      </c>
      <c r="X73" s="16" t="s">
        <v>77</v>
      </c>
      <c r="Y73" s="16" t="s">
        <v>1112</v>
      </c>
      <c r="Z73" s="16" t="s">
        <v>1113</v>
      </c>
      <c r="AA73" s="16" t="s">
        <v>799</v>
      </c>
      <c r="AB73" s="16" t="s">
        <v>1114</v>
      </c>
      <c r="AC73" s="16" t="s">
        <v>1115</v>
      </c>
      <c r="AD73" s="16" t="s">
        <v>1116</v>
      </c>
      <c r="AE73" s="16" t="s">
        <v>84</v>
      </c>
      <c r="AF73" s="16" t="s">
        <v>84</v>
      </c>
      <c r="AG73" s="16">
        <v>199</v>
      </c>
      <c r="AH73" s="16">
        <v>199</v>
      </c>
      <c r="AI73" s="17">
        <v>199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 t="s">
        <v>85</v>
      </c>
      <c r="AP73" s="16" t="s">
        <v>1117</v>
      </c>
      <c r="AQ73" s="16" t="s">
        <v>1118</v>
      </c>
      <c r="AR73" s="16" t="s">
        <v>88</v>
      </c>
      <c r="AS73" s="16" t="s">
        <v>1119</v>
      </c>
      <c r="AT73" s="16">
        <v>9.95</v>
      </c>
      <c r="AU73" s="16" t="s">
        <v>90</v>
      </c>
      <c r="AV73" s="16">
        <v>1.5</v>
      </c>
      <c r="AW73" s="16" t="s">
        <v>115</v>
      </c>
      <c r="AX73" s="16" t="s">
        <v>116</v>
      </c>
      <c r="AY73" s="16" t="s">
        <v>117</v>
      </c>
      <c r="AZ73" s="16" t="s">
        <v>118</v>
      </c>
      <c r="BA73" s="16" t="s">
        <v>119</v>
      </c>
      <c r="BB73" s="16">
        <v>0</v>
      </c>
      <c r="BC73" s="16" t="s">
        <v>84</v>
      </c>
      <c r="BD73" s="16" t="s">
        <v>90</v>
      </c>
      <c r="BE73" s="16" t="s">
        <v>402</v>
      </c>
      <c r="BF73" s="16" t="s">
        <v>403</v>
      </c>
      <c r="BG73" s="16" t="s">
        <v>404</v>
      </c>
      <c r="BH73" s="16" t="s">
        <v>474</v>
      </c>
      <c r="BI73" s="16" t="s">
        <v>308</v>
      </c>
      <c r="BJ73" s="16">
        <v>199</v>
      </c>
      <c r="BK73" s="16">
        <v>199</v>
      </c>
      <c r="BL73" s="16">
        <v>199</v>
      </c>
      <c r="BM73" s="16" t="s">
        <v>96</v>
      </c>
      <c r="BN73" s="16">
        <v>1</v>
      </c>
      <c r="BO73" s="16" t="s">
        <v>84</v>
      </c>
      <c r="BP73" s="16" t="s">
        <v>84</v>
      </c>
      <c r="BQ73" s="16" t="s">
        <v>84</v>
      </c>
      <c r="BR73" s="16" t="s">
        <v>97</v>
      </c>
      <c r="BS73" s="16" t="s">
        <v>98</v>
      </c>
      <c r="BT73" s="16">
        <v>0</v>
      </c>
    </row>
    <row r="74" s="1" customFormat="1" ht="16" customHeight="1" spans="1:72">
      <c r="A74" s="14">
        <f t="shared" si="13"/>
        <v>2025</v>
      </c>
      <c r="B74" s="14">
        <f t="shared" si="14"/>
        <v>8</v>
      </c>
      <c r="C74" s="14" t="str">
        <f t="shared" si="15"/>
        <v>3729993755695125504</v>
      </c>
      <c r="D74" s="14" cm="1">
        <f t="array" ref="D74">SUMPRODUCT(($R$2:$R$374=C74)*1)</f>
        <v>1</v>
      </c>
      <c r="E74" s="14" cm="1">
        <f t="array" ref="E74">SUMPRODUCT(($R$2:R74=C74)*1)</f>
        <v>1</v>
      </c>
      <c r="F74" s="15" t="str">
        <f t="shared" si="16"/>
        <v>Z1640-黑色-L</v>
      </c>
      <c r="G74" s="14" t="str">
        <f t="shared" si="17"/>
        <v>Z1640</v>
      </c>
      <c r="H74" s="15">
        <f t="shared" si="18"/>
        <v>1</v>
      </c>
      <c r="I74" s="14">
        <f t="shared" si="19"/>
        <v>289</v>
      </c>
      <c r="J74" s="15">
        <f t="shared" si="20"/>
        <v>0</v>
      </c>
      <c r="K74" s="15">
        <f t="shared" si="21"/>
        <v>0</v>
      </c>
      <c r="L74" s="15">
        <f t="shared" si="22"/>
        <v>-14.45</v>
      </c>
      <c r="M74" s="15">
        <f t="shared" si="23"/>
        <v>0</v>
      </c>
      <c r="N74" s="15">
        <f t="shared" si="24"/>
        <v>-1.5</v>
      </c>
      <c r="O74" s="15">
        <f t="shared" si="25"/>
        <v>273.05</v>
      </c>
      <c r="R74" s="16" t="s">
        <v>1120</v>
      </c>
      <c r="S74" s="16" t="s">
        <v>1121</v>
      </c>
      <c r="T74" s="16" t="s">
        <v>1122</v>
      </c>
      <c r="U74" s="16" t="s">
        <v>1123</v>
      </c>
      <c r="V74" s="16" t="s">
        <v>1124</v>
      </c>
      <c r="W74" s="16" t="s">
        <v>76</v>
      </c>
      <c r="X74" s="16" t="s">
        <v>77</v>
      </c>
      <c r="Y74" s="16" t="s">
        <v>1077</v>
      </c>
      <c r="Z74" s="16" t="s">
        <v>937</v>
      </c>
      <c r="AA74" s="16" t="s">
        <v>153</v>
      </c>
      <c r="AB74" s="16" t="s">
        <v>153</v>
      </c>
      <c r="AC74" s="16" t="s">
        <v>938</v>
      </c>
      <c r="AD74" s="16" t="s">
        <v>1078</v>
      </c>
      <c r="AE74" s="16" t="s">
        <v>84</v>
      </c>
      <c r="AF74" s="16" t="s">
        <v>84</v>
      </c>
      <c r="AG74" s="16">
        <v>289</v>
      </c>
      <c r="AH74" s="16">
        <v>289</v>
      </c>
      <c r="AI74" s="17">
        <v>289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 t="s">
        <v>137</v>
      </c>
      <c r="AP74" s="16" t="s">
        <v>1125</v>
      </c>
      <c r="AQ74" s="16" t="s">
        <v>1126</v>
      </c>
      <c r="AR74" s="16" t="s">
        <v>88</v>
      </c>
      <c r="AS74" s="16" t="s">
        <v>1127</v>
      </c>
      <c r="AT74" s="16">
        <v>14.45</v>
      </c>
      <c r="AU74" s="16" t="s">
        <v>90</v>
      </c>
      <c r="AV74" s="16">
        <v>1.5</v>
      </c>
      <c r="AW74" s="16" t="s">
        <v>115</v>
      </c>
      <c r="AX74" s="16" t="s">
        <v>116</v>
      </c>
      <c r="AY74" s="16" t="s">
        <v>117</v>
      </c>
      <c r="AZ74" s="16" t="s">
        <v>118</v>
      </c>
      <c r="BA74" s="16" t="s">
        <v>119</v>
      </c>
      <c r="BB74" s="16">
        <v>0</v>
      </c>
      <c r="BC74" s="16" t="s">
        <v>84</v>
      </c>
      <c r="BD74" s="16" t="s">
        <v>90</v>
      </c>
      <c r="BE74" s="16" t="s">
        <v>1128</v>
      </c>
      <c r="BF74" s="16" t="s">
        <v>1129</v>
      </c>
      <c r="BG74" s="16" t="s">
        <v>1130</v>
      </c>
      <c r="BH74" s="16" t="s">
        <v>1131</v>
      </c>
      <c r="BI74" s="16" t="s">
        <v>406</v>
      </c>
      <c r="BJ74" s="16">
        <v>289</v>
      </c>
      <c r="BK74" s="16">
        <v>289</v>
      </c>
      <c r="BL74" s="16">
        <v>289</v>
      </c>
      <c r="BM74" s="16" t="s">
        <v>96</v>
      </c>
      <c r="BN74" s="16">
        <v>1</v>
      </c>
      <c r="BO74" s="16" t="s">
        <v>84</v>
      </c>
      <c r="BP74" s="16" t="s">
        <v>84</v>
      </c>
      <c r="BQ74" s="16" t="s">
        <v>84</v>
      </c>
      <c r="BR74" s="16" t="s">
        <v>97</v>
      </c>
      <c r="BS74" s="16" t="s">
        <v>98</v>
      </c>
      <c r="BT74" s="16">
        <v>0</v>
      </c>
    </row>
    <row r="75" s="1" customFormat="1" ht="16" customHeight="1" spans="1:72">
      <c r="A75" s="14">
        <f t="shared" si="13"/>
        <v>2025</v>
      </c>
      <c r="B75" s="14">
        <f t="shared" si="14"/>
        <v>8</v>
      </c>
      <c r="C75" s="14" t="str">
        <f t="shared" si="15"/>
        <v>3729993609132250112</v>
      </c>
      <c r="D75" s="14" cm="1">
        <f t="array" ref="D75">SUMPRODUCT(($R$2:$R$374=C75)*1)</f>
        <v>1</v>
      </c>
      <c r="E75" s="14" cm="1">
        <f t="array" ref="E75">SUMPRODUCT(($R$2:R75=C75)*1)</f>
        <v>1</v>
      </c>
      <c r="F75" s="15" t="str">
        <f t="shared" si="16"/>
        <v>Z2183-米白色-M</v>
      </c>
      <c r="G75" s="14" t="str">
        <f t="shared" si="17"/>
        <v>Z2183</v>
      </c>
      <c r="H75" s="15">
        <f t="shared" si="18"/>
        <v>1</v>
      </c>
      <c r="I75" s="14">
        <f t="shared" si="19"/>
        <v>129</v>
      </c>
      <c r="J75" s="15">
        <f t="shared" si="20"/>
        <v>0</v>
      </c>
      <c r="K75" s="15">
        <f t="shared" si="21"/>
        <v>0</v>
      </c>
      <c r="L75" s="15">
        <f t="shared" si="22"/>
        <v>-6.45</v>
      </c>
      <c r="M75" s="15">
        <f t="shared" si="23"/>
        <v>0</v>
      </c>
      <c r="N75" s="15">
        <f t="shared" si="24"/>
        <v>-1.5</v>
      </c>
      <c r="O75" s="15">
        <f t="shared" si="25"/>
        <v>121.05</v>
      </c>
      <c r="R75" s="16" t="s">
        <v>1132</v>
      </c>
      <c r="S75" s="16" t="s">
        <v>1133</v>
      </c>
      <c r="T75" s="16" t="s">
        <v>1134</v>
      </c>
      <c r="U75" s="16" t="s">
        <v>1135</v>
      </c>
      <c r="V75" s="16" t="s">
        <v>1136</v>
      </c>
      <c r="W75" s="16" t="s">
        <v>76</v>
      </c>
      <c r="X75" s="16" t="s">
        <v>77</v>
      </c>
      <c r="Y75" s="16" t="s">
        <v>241</v>
      </c>
      <c r="Z75" s="16" t="s">
        <v>79</v>
      </c>
      <c r="AA75" s="16" t="s">
        <v>80</v>
      </c>
      <c r="AB75" s="16" t="s">
        <v>81</v>
      </c>
      <c r="AC75" s="16" t="s">
        <v>82</v>
      </c>
      <c r="AD75" s="16" t="s">
        <v>1137</v>
      </c>
      <c r="AE75" s="16" t="s">
        <v>84</v>
      </c>
      <c r="AF75" s="16" t="s">
        <v>84</v>
      </c>
      <c r="AG75" s="16">
        <v>129</v>
      </c>
      <c r="AH75" s="16">
        <v>129</v>
      </c>
      <c r="AI75" s="17">
        <v>129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 t="s">
        <v>137</v>
      </c>
      <c r="AP75" s="16" t="s">
        <v>1138</v>
      </c>
      <c r="AQ75" s="16" t="s">
        <v>1139</v>
      </c>
      <c r="AR75" s="16" t="s">
        <v>88</v>
      </c>
      <c r="AS75" s="16" t="s">
        <v>1140</v>
      </c>
      <c r="AT75" s="16">
        <v>6.45</v>
      </c>
      <c r="AU75" s="16" t="s">
        <v>90</v>
      </c>
      <c r="AV75" s="16">
        <v>1.5</v>
      </c>
      <c r="AW75" s="16" t="s">
        <v>115</v>
      </c>
      <c r="AX75" s="16" t="s">
        <v>116</v>
      </c>
      <c r="AY75" s="16" t="s">
        <v>117</v>
      </c>
      <c r="AZ75" s="16" t="s">
        <v>118</v>
      </c>
      <c r="BA75" s="16" t="s">
        <v>119</v>
      </c>
      <c r="BB75" s="16">
        <v>0</v>
      </c>
      <c r="BC75" s="16" t="s">
        <v>84</v>
      </c>
      <c r="BD75" s="16" t="s">
        <v>90</v>
      </c>
      <c r="BE75" s="16" t="s">
        <v>610</v>
      </c>
      <c r="BF75" s="16" t="s">
        <v>611</v>
      </c>
      <c r="BG75" s="16" t="s">
        <v>612</v>
      </c>
      <c r="BH75" s="16" t="s">
        <v>1141</v>
      </c>
      <c r="BI75" s="16" t="s">
        <v>1142</v>
      </c>
      <c r="BJ75" s="16">
        <v>129</v>
      </c>
      <c r="BK75" s="16">
        <v>129</v>
      </c>
      <c r="BL75" s="16">
        <v>129</v>
      </c>
      <c r="BM75" s="16" t="s">
        <v>96</v>
      </c>
      <c r="BN75" s="16">
        <v>1</v>
      </c>
      <c r="BO75" s="16" t="s">
        <v>84</v>
      </c>
      <c r="BP75" s="16" t="s">
        <v>84</v>
      </c>
      <c r="BQ75" s="16" t="s">
        <v>84</v>
      </c>
      <c r="BR75" s="16" t="s">
        <v>97</v>
      </c>
      <c r="BS75" s="16" t="s">
        <v>98</v>
      </c>
      <c r="BT75" s="16">
        <v>0</v>
      </c>
    </row>
    <row r="76" s="1" customFormat="1" ht="16" customHeight="1" spans="1:72">
      <c r="A76" s="14">
        <f t="shared" si="13"/>
        <v>2025</v>
      </c>
      <c r="B76" s="14">
        <f t="shared" si="14"/>
        <v>8</v>
      </c>
      <c r="C76" s="14" t="str">
        <f t="shared" si="15"/>
        <v>3729993485694145536</v>
      </c>
      <c r="D76" s="14" cm="1">
        <f t="array" ref="D76">SUMPRODUCT(($R$2:$R$374=C76)*1)</f>
        <v>1</v>
      </c>
      <c r="E76" s="14" cm="1">
        <f t="array" ref="E76">SUMPRODUCT(($R$2:R76=C76)*1)</f>
        <v>1</v>
      </c>
      <c r="F76" s="15" t="str">
        <f t="shared" si="16"/>
        <v>Z1576-黑色-M</v>
      </c>
      <c r="G76" s="14" t="str">
        <f t="shared" si="17"/>
        <v>Z1576</v>
      </c>
      <c r="H76" s="15">
        <f t="shared" si="18"/>
        <v>1</v>
      </c>
      <c r="I76" s="14">
        <f t="shared" si="19"/>
        <v>199</v>
      </c>
      <c r="J76" s="15">
        <f t="shared" si="20"/>
        <v>0</v>
      </c>
      <c r="K76" s="15">
        <f t="shared" si="21"/>
        <v>0</v>
      </c>
      <c r="L76" s="15">
        <f t="shared" si="22"/>
        <v>-9.95</v>
      </c>
      <c r="M76" s="15">
        <f t="shared" si="23"/>
        <v>0</v>
      </c>
      <c r="N76" s="15">
        <f t="shared" si="24"/>
        <v>-1.5</v>
      </c>
      <c r="O76" s="15">
        <f t="shared" si="25"/>
        <v>187.55</v>
      </c>
      <c r="R76" s="16" t="s">
        <v>1143</v>
      </c>
      <c r="S76" s="16" t="s">
        <v>1144</v>
      </c>
      <c r="T76" s="16" t="s">
        <v>1145</v>
      </c>
      <c r="U76" s="16" t="s">
        <v>1146</v>
      </c>
      <c r="V76" s="16" t="s">
        <v>1147</v>
      </c>
      <c r="W76" s="16" t="s">
        <v>76</v>
      </c>
      <c r="X76" s="16" t="s">
        <v>77</v>
      </c>
      <c r="Y76" s="16" t="s">
        <v>1148</v>
      </c>
      <c r="Z76" s="16" t="s">
        <v>1149</v>
      </c>
      <c r="AA76" s="16" t="s">
        <v>80</v>
      </c>
      <c r="AB76" s="16" t="s">
        <v>81</v>
      </c>
      <c r="AC76" s="16" t="s">
        <v>1150</v>
      </c>
      <c r="AD76" s="16" t="s">
        <v>1151</v>
      </c>
      <c r="AE76" s="16" t="s">
        <v>84</v>
      </c>
      <c r="AF76" s="16" t="s">
        <v>84</v>
      </c>
      <c r="AG76" s="16">
        <v>199</v>
      </c>
      <c r="AH76" s="16">
        <v>199</v>
      </c>
      <c r="AI76" s="17">
        <v>199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 t="s">
        <v>85</v>
      </c>
      <c r="AP76" s="16" t="s">
        <v>1152</v>
      </c>
      <c r="AQ76" s="16" t="s">
        <v>1153</v>
      </c>
      <c r="AR76" s="16" t="s">
        <v>88</v>
      </c>
      <c r="AS76" s="16" t="s">
        <v>1154</v>
      </c>
      <c r="AT76" s="16">
        <v>9.95</v>
      </c>
      <c r="AU76" s="16" t="s">
        <v>90</v>
      </c>
      <c r="AV76" s="16">
        <v>1.5</v>
      </c>
      <c r="AW76" s="16" t="s">
        <v>115</v>
      </c>
      <c r="AX76" s="16" t="s">
        <v>116</v>
      </c>
      <c r="AY76" s="16" t="s">
        <v>117</v>
      </c>
      <c r="AZ76" s="16" t="s">
        <v>118</v>
      </c>
      <c r="BA76" s="16" t="s">
        <v>119</v>
      </c>
      <c r="BB76" s="16">
        <v>0</v>
      </c>
      <c r="BC76" s="16" t="s">
        <v>84</v>
      </c>
      <c r="BD76" s="16" t="s">
        <v>90</v>
      </c>
      <c r="BE76" s="16" t="s">
        <v>402</v>
      </c>
      <c r="BF76" s="16" t="s">
        <v>403</v>
      </c>
      <c r="BG76" s="16" t="s">
        <v>404</v>
      </c>
      <c r="BH76" s="16" t="s">
        <v>474</v>
      </c>
      <c r="BI76" s="16" t="s">
        <v>308</v>
      </c>
      <c r="BJ76" s="16">
        <v>199</v>
      </c>
      <c r="BK76" s="16">
        <v>199</v>
      </c>
      <c r="BL76" s="16">
        <v>199</v>
      </c>
      <c r="BM76" s="16" t="s">
        <v>96</v>
      </c>
      <c r="BN76" s="16">
        <v>1</v>
      </c>
      <c r="BO76" s="16" t="s">
        <v>84</v>
      </c>
      <c r="BP76" s="16" t="s">
        <v>84</v>
      </c>
      <c r="BQ76" s="16" t="s">
        <v>84</v>
      </c>
      <c r="BR76" s="16" t="s">
        <v>97</v>
      </c>
      <c r="BS76" s="16" t="s">
        <v>98</v>
      </c>
      <c r="BT76" s="16">
        <v>0</v>
      </c>
    </row>
    <row r="77" s="1" customFormat="1" ht="16" customHeight="1" spans="1:72">
      <c r="A77" s="14">
        <f t="shared" si="13"/>
        <v>2025</v>
      </c>
      <c r="B77" s="14">
        <f t="shared" si="14"/>
        <v>8</v>
      </c>
      <c r="C77" s="14" t="str">
        <f t="shared" si="15"/>
        <v>3729992993487593216</v>
      </c>
      <c r="D77" s="14" cm="1">
        <f t="array" ref="D77">SUMPRODUCT(($R$2:$R$374=C77)*1)</f>
        <v>1</v>
      </c>
      <c r="E77" s="14" cm="1">
        <f t="array" ref="E77">SUMPRODUCT(($R$2:R77=C77)*1)</f>
        <v>1</v>
      </c>
      <c r="F77" s="15" t="str">
        <f t="shared" si="16"/>
        <v>Z2183-黑色-M</v>
      </c>
      <c r="G77" s="14" t="str">
        <f t="shared" si="17"/>
        <v>Z2183</v>
      </c>
      <c r="H77" s="15">
        <f t="shared" si="18"/>
        <v>1</v>
      </c>
      <c r="I77" s="14">
        <f t="shared" si="19"/>
        <v>129</v>
      </c>
      <c r="J77" s="15">
        <f t="shared" si="20"/>
        <v>0</v>
      </c>
      <c r="K77" s="15">
        <f t="shared" si="21"/>
        <v>0</v>
      </c>
      <c r="L77" s="15">
        <f t="shared" si="22"/>
        <v>-6.45</v>
      </c>
      <c r="M77" s="15">
        <f t="shared" si="23"/>
        <v>0</v>
      </c>
      <c r="N77" s="15">
        <f t="shared" si="24"/>
        <v>-1.5</v>
      </c>
      <c r="O77" s="15">
        <f t="shared" si="25"/>
        <v>121.05</v>
      </c>
      <c r="R77" s="16" t="s">
        <v>1155</v>
      </c>
      <c r="S77" s="16" t="s">
        <v>1156</v>
      </c>
      <c r="T77" s="16" t="s">
        <v>675</v>
      </c>
      <c r="U77" s="16" t="s">
        <v>1157</v>
      </c>
      <c r="V77" s="16" t="s">
        <v>1158</v>
      </c>
      <c r="W77" s="16" t="s">
        <v>76</v>
      </c>
      <c r="X77" s="16" t="s">
        <v>77</v>
      </c>
      <c r="Y77" s="16" t="s">
        <v>1159</v>
      </c>
      <c r="Z77" s="16" t="s">
        <v>1160</v>
      </c>
      <c r="AA77" s="16" t="s">
        <v>430</v>
      </c>
      <c r="AB77" s="16" t="s">
        <v>430</v>
      </c>
      <c r="AC77" s="16" t="s">
        <v>1161</v>
      </c>
      <c r="AD77" s="16" t="s">
        <v>1162</v>
      </c>
      <c r="AE77" s="16" t="s">
        <v>84</v>
      </c>
      <c r="AF77" s="16" t="s">
        <v>84</v>
      </c>
      <c r="AG77" s="16">
        <v>129</v>
      </c>
      <c r="AH77" s="16">
        <v>129</v>
      </c>
      <c r="AI77" s="17">
        <v>129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 t="s">
        <v>137</v>
      </c>
      <c r="AP77" s="16" t="s">
        <v>1163</v>
      </c>
      <c r="AQ77" s="16" t="s">
        <v>1164</v>
      </c>
      <c r="AR77" s="16" t="s">
        <v>88</v>
      </c>
      <c r="AS77" s="16" t="s">
        <v>1165</v>
      </c>
      <c r="AT77" s="16">
        <v>6.45</v>
      </c>
      <c r="AU77" s="16" t="s">
        <v>90</v>
      </c>
      <c r="AV77" s="16">
        <v>1.5</v>
      </c>
      <c r="AW77" s="16" t="s">
        <v>115</v>
      </c>
      <c r="AX77" s="16" t="s">
        <v>116</v>
      </c>
      <c r="AY77" s="16" t="s">
        <v>117</v>
      </c>
      <c r="AZ77" s="16" t="s">
        <v>118</v>
      </c>
      <c r="BA77" s="16" t="s">
        <v>119</v>
      </c>
      <c r="BB77" s="16">
        <v>0</v>
      </c>
      <c r="BC77" s="16" t="s">
        <v>84</v>
      </c>
      <c r="BD77" s="16" t="s">
        <v>90</v>
      </c>
      <c r="BE77" s="16" t="s">
        <v>610</v>
      </c>
      <c r="BF77" s="16" t="s">
        <v>611</v>
      </c>
      <c r="BG77" s="16" t="s">
        <v>612</v>
      </c>
      <c r="BH77" s="16" t="s">
        <v>685</v>
      </c>
      <c r="BI77" s="16" t="s">
        <v>686</v>
      </c>
      <c r="BJ77" s="16">
        <v>129</v>
      </c>
      <c r="BK77" s="16">
        <v>129</v>
      </c>
      <c r="BL77" s="16">
        <v>129</v>
      </c>
      <c r="BM77" s="16" t="s">
        <v>96</v>
      </c>
      <c r="BN77" s="16">
        <v>1</v>
      </c>
      <c r="BO77" s="16" t="s">
        <v>84</v>
      </c>
      <c r="BP77" s="16" t="s">
        <v>84</v>
      </c>
      <c r="BQ77" s="16" t="s">
        <v>84</v>
      </c>
      <c r="BR77" s="16" t="s">
        <v>97</v>
      </c>
      <c r="BS77" s="16" t="s">
        <v>98</v>
      </c>
      <c r="BT77" s="16">
        <v>0</v>
      </c>
    </row>
    <row r="78" s="1" customFormat="1" ht="16" customHeight="1" spans="1:72">
      <c r="A78" s="14">
        <f t="shared" si="13"/>
        <v>2025</v>
      </c>
      <c r="B78" s="14">
        <f t="shared" si="14"/>
        <v>8</v>
      </c>
      <c r="C78" s="14" t="str">
        <f t="shared" si="15"/>
        <v>3729992973983555328</v>
      </c>
      <c r="D78" s="14" cm="1">
        <f t="array" ref="D78">SUMPRODUCT(($R$2:$R$374=C78)*1)</f>
        <v>1</v>
      </c>
      <c r="E78" s="14" cm="1">
        <f t="array" ref="E78">SUMPRODUCT(($R$2:R78=C78)*1)</f>
        <v>1</v>
      </c>
      <c r="F78" s="15" t="str">
        <f t="shared" si="16"/>
        <v>Z2183-黑色-L</v>
      </c>
      <c r="G78" s="14" t="str">
        <f t="shared" si="17"/>
        <v>Z2183</v>
      </c>
      <c r="H78" s="15">
        <f t="shared" si="18"/>
        <v>1</v>
      </c>
      <c r="I78" s="14">
        <f t="shared" si="19"/>
        <v>129</v>
      </c>
      <c r="J78" s="15">
        <f t="shared" si="20"/>
        <v>0</v>
      </c>
      <c r="K78" s="15">
        <f t="shared" si="21"/>
        <v>0</v>
      </c>
      <c r="L78" s="15">
        <f t="shared" si="22"/>
        <v>-6.45</v>
      </c>
      <c r="M78" s="15">
        <f t="shared" si="23"/>
        <v>0</v>
      </c>
      <c r="N78" s="15">
        <f t="shared" si="24"/>
        <v>-1.5</v>
      </c>
      <c r="O78" s="15">
        <f t="shared" si="25"/>
        <v>121.05</v>
      </c>
      <c r="R78" s="16" t="s">
        <v>1166</v>
      </c>
      <c r="S78" s="16" t="s">
        <v>1167</v>
      </c>
      <c r="T78" s="16" t="s">
        <v>1168</v>
      </c>
      <c r="U78" s="16" t="s">
        <v>1169</v>
      </c>
      <c r="V78" s="16" t="s">
        <v>1170</v>
      </c>
      <c r="W78" s="16" t="s">
        <v>76</v>
      </c>
      <c r="X78" s="16" t="s">
        <v>77</v>
      </c>
      <c r="Y78" s="16" t="s">
        <v>241</v>
      </c>
      <c r="Z78" s="16" t="s">
        <v>314</v>
      </c>
      <c r="AA78" s="16" t="s">
        <v>107</v>
      </c>
      <c r="AB78" s="16" t="s">
        <v>190</v>
      </c>
      <c r="AC78" s="16" t="s">
        <v>315</v>
      </c>
      <c r="AD78" s="16" t="s">
        <v>316</v>
      </c>
      <c r="AE78" s="16" t="s">
        <v>84</v>
      </c>
      <c r="AF78" s="16" t="s">
        <v>84</v>
      </c>
      <c r="AG78" s="16">
        <v>129</v>
      </c>
      <c r="AH78" s="16">
        <v>129</v>
      </c>
      <c r="AI78" s="17">
        <v>129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 t="s">
        <v>85</v>
      </c>
      <c r="AP78" s="16" t="s">
        <v>1171</v>
      </c>
      <c r="AQ78" s="16" t="s">
        <v>1172</v>
      </c>
      <c r="AR78" s="16" t="s">
        <v>88</v>
      </c>
      <c r="AS78" s="16" t="s">
        <v>1173</v>
      </c>
      <c r="AT78" s="16">
        <v>6.45</v>
      </c>
      <c r="AU78" s="16" t="s">
        <v>90</v>
      </c>
      <c r="AV78" s="16">
        <v>1.5</v>
      </c>
      <c r="AW78" s="16" t="s">
        <v>115</v>
      </c>
      <c r="AX78" s="16" t="s">
        <v>116</v>
      </c>
      <c r="AY78" s="16" t="s">
        <v>117</v>
      </c>
      <c r="AZ78" s="16" t="s">
        <v>118</v>
      </c>
      <c r="BA78" s="16" t="s">
        <v>119</v>
      </c>
      <c r="BB78" s="16">
        <v>0</v>
      </c>
      <c r="BC78" s="16" t="s">
        <v>84</v>
      </c>
      <c r="BD78" s="16" t="s">
        <v>90</v>
      </c>
      <c r="BE78" s="16" t="s">
        <v>610</v>
      </c>
      <c r="BF78" s="16" t="s">
        <v>611</v>
      </c>
      <c r="BG78" s="16" t="s">
        <v>612</v>
      </c>
      <c r="BH78" s="16" t="s">
        <v>1174</v>
      </c>
      <c r="BI78" s="16" t="s">
        <v>1175</v>
      </c>
      <c r="BJ78" s="16">
        <v>129</v>
      </c>
      <c r="BK78" s="16">
        <v>129</v>
      </c>
      <c r="BL78" s="16">
        <v>129</v>
      </c>
      <c r="BM78" s="16" t="s">
        <v>96</v>
      </c>
      <c r="BN78" s="16">
        <v>1</v>
      </c>
      <c r="BO78" s="16" t="s">
        <v>84</v>
      </c>
      <c r="BP78" s="16" t="s">
        <v>84</v>
      </c>
      <c r="BQ78" s="16" t="s">
        <v>84</v>
      </c>
      <c r="BR78" s="16" t="s">
        <v>97</v>
      </c>
      <c r="BS78" s="16" t="s">
        <v>98</v>
      </c>
      <c r="BT78" s="16">
        <v>0</v>
      </c>
    </row>
    <row r="79" s="1" customFormat="1" ht="16" customHeight="1" spans="1:72">
      <c r="A79" s="14">
        <f t="shared" si="13"/>
        <v>2025</v>
      </c>
      <c r="B79" s="14">
        <f t="shared" si="14"/>
        <v>8</v>
      </c>
      <c r="C79" s="14" t="str">
        <f t="shared" si="15"/>
        <v>3729992972891462912</v>
      </c>
      <c r="D79" s="14" cm="1">
        <f t="array" ref="D79">SUMPRODUCT(($R$2:$R$374=C79)*1)</f>
        <v>1</v>
      </c>
      <c r="E79" s="14" cm="1">
        <f t="array" ref="E79">SUMPRODUCT(($R$2:R79=C79)*1)</f>
        <v>1</v>
      </c>
      <c r="F79" s="15" t="str">
        <f t="shared" si="16"/>
        <v>Z2183-黑色-XL</v>
      </c>
      <c r="G79" s="14" t="str">
        <f t="shared" si="17"/>
        <v>Z2183</v>
      </c>
      <c r="H79" s="15">
        <f t="shared" si="18"/>
        <v>0</v>
      </c>
      <c r="I79" s="14">
        <f t="shared" si="19"/>
        <v>0</v>
      </c>
      <c r="J79" s="15">
        <f t="shared" si="20"/>
        <v>0</v>
      </c>
      <c r="K79" s="15">
        <f t="shared" si="21"/>
        <v>0</v>
      </c>
      <c r="L79" s="15">
        <f t="shared" si="22"/>
        <v>0</v>
      </c>
      <c r="M79" s="15">
        <f t="shared" si="23"/>
        <v>0</v>
      </c>
      <c r="N79" s="15">
        <f t="shared" si="24"/>
        <v>0</v>
      </c>
      <c r="O79" s="15">
        <f t="shared" si="25"/>
        <v>0</v>
      </c>
      <c r="R79" s="16" t="s">
        <v>1176</v>
      </c>
      <c r="S79" s="16" t="s">
        <v>1177</v>
      </c>
      <c r="T79" s="16" t="s">
        <v>1178</v>
      </c>
      <c r="U79" s="16" t="s">
        <v>90</v>
      </c>
      <c r="V79" s="16" t="s">
        <v>1179</v>
      </c>
      <c r="W79" s="16" t="s">
        <v>104</v>
      </c>
      <c r="X79" s="16" t="s">
        <v>77</v>
      </c>
      <c r="Y79" s="16" t="s">
        <v>1180</v>
      </c>
      <c r="Z79" s="16" t="s">
        <v>1181</v>
      </c>
      <c r="AA79" s="16" t="s">
        <v>107</v>
      </c>
      <c r="AB79" s="16" t="s">
        <v>1025</v>
      </c>
      <c r="AC79" s="16" t="s">
        <v>1182</v>
      </c>
      <c r="AD79" s="16" t="s">
        <v>1183</v>
      </c>
      <c r="AE79" s="16" t="s">
        <v>84</v>
      </c>
      <c r="AF79" s="16" t="s">
        <v>1184</v>
      </c>
      <c r="AG79" s="16">
        <v>129</v>
      </c>
      <c r="AH79" s="16">
        <v>129</v>
      </c>
      <c r="AI79" s="17">
        <v>129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 t="s">
        <v>85</v>
      </c>
      <c r="AP79" s="16" t="s">
        <v>1185</v>
      </c>
      <c r="AQ79" s="16" t="s">
        <v>1186</v>
      </c>
      <c r="AR79" s="16" t="s">
        <v>88</v>
      </c>
      <c r="AS79" s="16" t="s">
        <v>1187</v>
      </c>
      <c r="AT79" s="16">
        <v>0</v>
      </c>
      <c r="AU79" s="16" t="s">
        <v>90</v>
      </c>
      <c r="AV79" s="16">
        <v>1.5</v>
      </c>
      <c r="AW79" s="16" t="s">
        <v>115</v>
      </c>
      <c r="AX79" s="16" t="s">
        <v>116</v>
      </c>
      <c r="AY79" s="16" t="s">
        <v>117</v>
      </c>
      <c r="AZ79" s="16" t="s">
        <v>118</v>
      </c>
      <c r="BA79" s="16" t="s">
        <v>119</v>
      </c>
      <c r="BB79" s="16">
        <v>0</v>
      </c>
      <c r="BC79" s="16" t="s">
        <v>84</v>
      </c>
      <c r="BD79" s="16" t="s">
        <v>90</v>
      </c>
      <c r="BE79" s="16" t="s">
        <v>610</v>
      </c>
      <c r="BF79" s="16" t="s">
        <v>611</v>
      </c>
      <c r="BG79" s="16" t="s">
        <v>612</v>
      </c>
      <c r="BH79" s="16" t="s">
        <v>613</v>
      </c>
      <c r="BI79" s="16" t="s">
        <v>614</v>
      </c>
      <c r="BJ79" s="16">
        <v>129</v>
      </c>
      <c r="BK79" s="16">
        <v>129</v>
      </c>
      <c r="BL79" s="16">
        <v>129</v>
      </c>
      <c r="BM79" s="16" t="s">
        <v>96</v>
      </c>
      <c r="BN79" s="16">
        <v>1</v>
      </c>
      <c r="BO79" s="16" t="s">
        <v>84</v>
      </c>
      <c r="BP79" s="16" t="s">
        <v>84</v>
      </c>
      <c r="BQ79" s="16" t="s">
        <v>84</v>
      </c>
      <c r="BR79" s="16" t="s">
        <v>97</v>
      </c>
      <c r="BS79" s="16" t="s">
        <v>125</v>
      </c>
      <c r="BT79" s="16">
        <v>129</v>
      </c>
    </row>
    <row r="80" s="1" customFormat="1" ht="16" customHeight="1" spans="1:72">
      <c r="A80" s="14">
        <f t="shared" si="13"/>
        <v>2025</v>
      </c>
      <c r="B80" s="14">
        <f t="shared" si="14"/>
        <v>8</v>
      </c>
      <c r="C80" s="14" t="str">
        <f t="shared" si="15"/>
        <v>3729992906953593856</v>
      </c>
      <c r="D80" s="14" cm="1">
        <f t="array" ref="D80">SUMPRODUCT(($R$2:$R$374=C80)*1)</f>
        <v>1</v>
      </c>
      <c r="E80" s="14" cm="1">
        <f t="array" ref="E80">SUMPRODUCT(($R$2:R80=C80)*1)</f>
        <v>1</v>
      </c>
      <c r="F80" s="15" t="str">
        <f t="shared" si="16"/>
        <v>Z2183-黑色-M</v>
      </c>
      <c r="G80" s="14" t="str">
        <f t="shared" si="17"/>
        <v>Z2183</v>
      </c>
      <c r="H80" s="15">
        <f t="shared" si="18"/>
        <v>1</v>
      </c>
      <c r="I80" s="14">
        <f t="shared" si="19"/>
        <v>129</v>
      </c>
      <c r="J80" s="15">
        <f t="shared" si="20"/>
        <v>0</v>
      </c>
      <c r="K80" s="15">
        <f t="shared" si="21"/>
        <v>0</v>
      </c>
      <c r="L80" s="15">
        <f t="shared" si="22"/>
        <v>-6.45</v>
      </c>
      <c r="M80" s="15">
        <f t="shared" si="23"/>
        <v>0</v>
      </c>
      <c r="N80" s="15">
        <f t="shared" si="24"/>
        <v>-1.5</v>
      </c>
      <c r="O80" s="15">
        <f t="shared" si="25"/>
        <v>121.05</v>
      </c>
      <c r="R80" s="16" t="s">
        <v>1188</v>
      </c>
      <c r="S80" s="16" t="s">
        <v>1189</v>
      </c>
      <c r="T80" s="16" t="s">
        <v>675</v>
      </c>
      <c r="U80" s="16" t="s">
        <v>1190</v>
      </c>
      <c r="V80" s="16" t="s">
        <v>1191</v>
      </c>
      <c r="W80" s="16" t="s">
        <v>76</v>
      </c>
      <c r="X80" s="16" t="s">
        <v>77</v>
      </c>
      <c r="Y80" s="16" t="s">
        <v>1192</v>
      </c>
      <c r="Z80" s="16" t="s">
        <v>1193</v>
      </c>
      <c r="AA80" s="16" t="s">
        <v>262</v>
      </c>
      <c r="AB80" s="16" t="s">
        <v>1194</v>
      </c>
      <c r="AC80" s="16" t="s">
        <v>1195</v>
      </c>
      <c r="AD80" s="16" t="s">
        <v>1196</v>
      </c>
      <c r="AE80" s="16" t="s">
        <v>84</v>
      </c>
      <c r="AF80" s="16" t="s">
        <v>84</v>
      </c>
      <c r="AG80" s="16">
        <v>129</v>
      </c>
      <c r="AH80" s="16">
        <v>129</v>
      </c>
      <c r="AI80" s="17">
        <v>129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 t="s">
        <v>85</v>
      </c>
      <c r="AP80" s="16" t="s">
        <v>1197</v>
      </c>
      <c r="AQ80" s="16" t="s">
        <v>1198</v>
      </c>
      <c r="AR80" s="16" t="s">
        <v>88</v>
      </c>
      <c r="AS80" s="16" t="s">
        <v>1199</v>
      </c>
      <c r="AT80" s="16">
        <v>6.45</v>
      </c>
      <c r="AU80" s="16" t="s">
        <v>90</v>
      </c>
      <c r="AV80" s="16">
        <v>1.5</v>
      </c>
      <c r="AW80" s="16" t="s">
        <v>115</v>
      </c>
      <c r="AX80" s="16" t="s">
        <v>116</v>
      </c>
      <c r="AY80" s="16" t="s">
        <v>117</v>
      </c>
      <c r="AZ80" s="16" t="s">
        <v>118</v>
      </c>
      <c r="BA80" s="16" t="s">
        <v>119</v>
      </c>
      <c r="BB80" s="16">
        <v>0</v>
      </c>
      <c r="BC80" s="16" t="s">
        <v>84</v>
      </c>
      <c r="BD80" s="16" t="s">
        <v>90</v>
      </c>
      <c r="BE80" s="16" t="s">
        <v>610</v>
      </c>
      <c r="BF80" s="16" t="s">
        <v>611</v>
      </c>
      <c r="BG80" s="16" t="s">
        <v>612</v>
      </c>
      <c r="BH80" s="16" t="s">
        <v>685</v>
      </c>
      <c r="BI80" s="16" t="s">
        <v>686</v>
      </c>
      <c r="BJ80" s="16">
        <v>129</v>
      </c>
      <c r="BK80" s="16">
        <v>129</v>
      </c>
      <c r="BL80" s="16">
        <v>129</v>
      </c>
      <c r="BM80" s="16" t="s">
        <v>96</v>
      </c>
      <c r="BN80" s="16">
        <v>1</v>
      </c>
      <c r="BO80" s="16" t="s">
        <v>84</v>
      </c>
      <c r="BP80" s="16" t="s">
        <v>84</v>
      </c>
      <c r="BQ80" s="16" t="s">
        <v>84</v>
      </c>
      <c r="BR80" s="16" t="s">
        <v>97</v>
      </c>
      <c r="BS80" s="16" t="s">
        <v>98</v>
      </c>
      <c r="BT80" s="16">
        <v>0</v>
      </c>
    </row>
    <row r="81" s="1" customFormat="1" ht="16" customHeight="1" spans="1:72">
      <c r="A81" s="14">
        <f t="shared" si="13"/>
        <v>2025</v>
      </c>
      <c r="B81" s="14">
        <f t="shared" si="14"/>
        <v>8</v>
      </c>
      <c r="C81" s="14" t="str">
        <f t="shared" si="15"/>
        <v>3729991851465127936</v>
      </c>
      <c r="D81" s="14" cm="1">
        <f t="array" ref="D81">SUMPRODUCT(($R$2:$R$374=C81)*1)</f>
        <v>1</v>
      </c>
      <c r="E81" s="14" cm="1">
        <f t="array" ref="E81">SUMPRODUCT(($R$2:R81=C81)*1)</f>
        <v>1</v>
      </c>
      <c r="F81" s="15" t="str">
        <f t="shared" si="16"/>
        <v>Z1741-白色-L</v>
      </c>
      <c r="G81" s="14" t="str">
        <f t="shared" si="17"/>
        <v>Z1741</v>
      </c>
      <c r="H81" s="15">
        <f t="shared" si="18"/>
        <v>1</v>
      </c>
      <c r="I81" s="14">
        <f t="shared" si="19"/>
        <v>269</v>
      </c>
      <c r="J81" s="15">
        <f t="shared" si="20"/>
        <v>0</v>
      </c>
      <c r="K81" s="15">
        <f t="shared" si="21"/>
        <v>0</v>
      </c>
      <c r="L81" s="15">
        <f t="shared" si="22"/>
        <v>-13.45</v>
      </c>
      <c r="M81" s="15">
        <f t="shared" si="23"/>
        <v>0</v>
      </c>
      <c r="N81" s="15">
        <f t="shared" si="24"/>
        <v>-1.5</v>
      </c>
      <c r="O81" s="15">
        <f t="shared" si="25"/>
        <v>254.05</v>
      </c>
      <c r="R81" s="16" t="s">
        <v>1200</v>
      </c>
      <c r="S81" s="16" t="s">
        <v>1201</v>
      </c>
      <c r="T81" s="16" t="s">
        <v>1202</v>
      </c>
      <c r="U81" s="16" t="s">
        <v>1203</v>
      </c>
      <c r="V81" s="16" t="s">
        <v>1204</v>
      </c>
      <c r="W81" s="16" t="s">
        <v>76</v>
      </c>
      <c r="X81" s="16" t="s">
        <v>77</v>
      </c>
      <c r="Y81" s="16" t="s">
        <v>692</v>
      </c>
      <c r="Z81" s="16" t="s">
        <v>1205</v>
      </c>
      <c r="AA81" s="16" t="s">
        <v>1206</v>
      </c>
      <c r="AB81" s="16" t="s">
        <v>1206</v>
      </c>
      <c r="AC81" s="16" t="s">
        <v>1207</v>
      </c>
      <c r="AD81" s="16" t="s">
        <v>1208</v>
      </c>
      <c r="AE81" s="16" t="s">
        <v>84</v>
      </c>
      <c r="AF81" s="16" t="s">
        <v>84</v>
      </c>
      <c r="AG81" s="16">
        <v>269</v>
      </c>
      <c r="AH81" s="16">
        <v>269</v>
      </c>
      <c r="AI81" s="17">
        <v>269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 t="s">
        <v>137</v>
      </c>
      <c r="AP81" s="16" t="s">
        <v>1209</v>
      </c>
      <c r="AQ81" s="16" t="s">
        <v>1210</v>
      </c>
      <c r="AR81" s="16" t="s">
        <v>88</v>
      </c>
      <c r="AS81" s="16" t="s">
        <v>1211</v>
      </c>
      <c r="AT81" s="16">
        <v>13.45</v>
      </c>
      <c r="AU81" s="16" t="s">
        <v>90</v>
      </c>
      <c r="AV81" s="16">
        <v>1.5</v>
      </c>
      <c r="AW81" s="16" t="s">
        <v>115</v>
      </c>
      <c r="AX81" s="16" t="s">
        <v>116</v>
      </c>
      <c r="AY81" s="16" t="s">
        <v>117</v>
      </c>
      <c r="AZ81" s="16" t="s">
        <v>118</v>
      </c>
      <c r="BA81" s="16" t="s">
        <v>119</v>
      </c>
      <c r="BB81" s="16">
        <v>0</v>
      </c>
      <c r="BC81" s="16" t="s">
        <v>84</v>
      </c>
      <c r="BD81" s="16" t="s">
        <v>90</v>
      </c>
      <c r="BE81" s="16" t="s">
        <v>1212</v>
      </c>
      <c r="BF81" s="16" t="s">
        <v>1213</v>
      </c>
      <c r="BG81" s="16" t="s">
        <v>1214</v>
      </c>
      <c r="BH81" s="16" t="s">
        <v>1215</v>
      </c>
      <c r="BI81" s="16" t="s">
        <v>1216</v>
      </c>
      <c r="BJ81" s="16">
        <v>269</v>
      </c>
      <c r="BK81" s="16">
        <v>269</v>
      </c>
      <c r="BL81" s="16">
        <v>269</v>
      </c>
      <c r="BM81" s="16" t="s">
        <v>96</v>
      </c>
      <c r="BN81" s="16">
        <v>1</v>
      </c>
      <c r="BO81" s="16" t="s">
        <v>84</v>
      </c>
      <c r="BP81" s="16" t="s">
        <v>84</v>
      </c>
      <c r="BQ81" s="16" t="s">
        <v>84</v>
      </c>
      <c r="BR81" s="16" t="s">
        <v>97</v>
      </c>
      <c r="BS81" s="16" t="s">
        <v>98</v>
      </c>
      <c r="BT81" s="16">
        <v>0</v>
      </c>
    </row>
    <row r="82" s="1" customFormat="1" ht="16" customHeight="1" spans="1:72">
      <c r="A82" s="14">
        <f t="shared" si="13"/>
        <v>2025</v>
      </c>
      <c r="B82" s="14">
        <f t="shared" si="14"/>
        <v>8</v>
      </c>
      <c r="C82" s="14" t="str">
        <f t="shared" si="15"/>
        <v>3729991740645319424</v>
      </c>
      <c r="D82" s="14" cm="1">
        <f t="array" ref="D82">SUMPRODUCT(($R$2:$R$374=C82)*1)</f>
        <v>2</v>
      </c>
      <c r="E82" s="14" cm="1">
        <f t="array" ref="E82">SUMPRODUCT(($R$2:R82=C82)*1)</f>
        <v>1</v>
      </c>
      <c r="F82" s="15" t="str">
        <f t="shared" si="16"/>
        <v>Z2183-米白色-M</v>
      </c>
      <c r="G82" s="14" t="str">
        <f t="shared" si="17"/>
        <v>Z2183</v>
      </c>
      <c r="H82" s="15">
        <f t="shared" si="18"/>
        <v>1</v>
      </c>
      <c r="I82" s="14">
        <f t="shared" si="19"/>
        <v>129</v>
      </c>
      <c r="J82" s="15">
        <f t="shared" si="20"/>
        <v>0</v>
      </c>
      <c r="K82" s="15">
        <f t="shared" si="21"/>
        <v>0</v>
      </c>
      <c r="L82" s="15">
        <f t="shared" si="22"/>
        <v>-12.9</v>
      </c>
      <c r="M82" s="15">
        <f t="shared" si="23"/>
        <v>0</v>
      </c>
      <c r="N82" s="15">
        <f t="shared" si="24"/>
        <v>-1.5</v>
      </c>
      <c r="O82" s="15">
        <f t="shared" si="25"/>
        <v>114.6</v>
      </c>
      <c r="R82" s="16" t="s">
        <v>1217</v>
      </c>
      <c r="S82" s="16" t="s">
        <v>1218</v>
      </c>
      <c r="T82" s="16" t="s">
        <v>675</v>
      </c>
      <c r="U82" s="16" t="s">
        <v>1219</v>
      </c>
      <c r="V82" s="16" t="s">
        <v>1220</v>
      </c>
      <c r="W82" s="16" t="s">
        <v>76</v>
      </c>
      <c r="X82" s="16" t="s">
        <v>77</v>
      </c>
      <c r="Y82" s="16" t="s">
        <v>1221</v>
      </c>
      <c r="Z82" s="16" t="s">
        <v>1222</v>
      </c>
      <c r="AA82" s="16" t="s">
        <v>133</v>
      </c>
      <c r="AB82" s="16" t="s">
        <v>1223</v>
      </c>
      <c r="AC82" s="16" t="s">
        <v>1224</v>
      </c>
      <c r="AD82" s="16" t="s">
        <v>1225</v>
      </c>
      <c r="AE82" s="16" t="s">
        <v>84</v>
      </c>
      <c r="AF82" s="16" t="s">
        <v>84</v>
      </c>
      <c r="AG82" s="16">
        <v>258</v>
      </c>
      <c r="AH82" s="16">
        <v>258</v>
      </c>
      <c r="AI82" s="17">
        <v>258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 t="s">
        <v>85</v>
      </c>
      <c r="AP82" s="16" t="s">
        <v>1226</v>
      </c>
      <c r="AQ82" s="16" t="s">
        <v>1227</v>
      </c>
      <c r="AR82" s="16" t="s">
        <v>88</v>
      </c>
      <c r="AS82" s="16" t="s">
        <v>1228</v>
      </c>
      <c r="AT82" s="16">
        <v>12.9</v>
      </c>
      <c r="AU82" s="16" t="s">
        <v>90</v>
      </c>
      <c r="AV82" s="16">
        <v>1.5</v>
      </c>
      <c r="AW82" s="16" t="s">
        <v>115</v>
      </c>
      <c r="AX82" s="16" t="s">
        <v>116</v>
      </c>
      <c r="AY82" s="16" t="s">
        <v>117</v>
      </c>
      <c r="AZ82" s="16" t="s">
        <v>118</v>
      </c>
      <c r="BA82" s="16" t="s">
        <v>119</v>
      </c>
      <c r="BB82" s="16">
        <v>0</v>
      </c>
      <c r="BC82" s="16" t="s">
        <v>84</v>
      </c>
      <c r="BD82" s="16" t="s">
        <v>90</v>
      </c>
      <c r="BE82" s="16" t="s">
        <v>610</v>
      </c>
      <c r="BF82" s="16" t="s">
        <v>611</v>
      </c>
      <c r="BG82" s="16" t="s">
        <v>612</v>
      </c>
      <c r="BH82" s="16" t="s">
        <v>1141</v>
      </c>
      <c r="BI82" s="16" t="s">
        <v>1142</v>
      </c>
      <c r="BJ82" s="16">
        <v>129</v>
      </c>
      <c r="BK82" s="16">
        <v>129</v>
      </c>
      <c r="BL82" s="16">
        <v>129</v>
      </c>
      <c r="BM82" s="16" t="s">
        <v>96</v>
      </c>
      <c r="BN82" s="16">
        <v>1</v>
      </c>
      <c r="BO82" s="16" t="s">
        <v>84</v>
      </c>
      <c r="BP82" s="16" t="s">
        <v>84</v>
      </c>
      <c r="BQ82" s="16" t="s">
        <v>84</v>
      </c>
      <c r="BR82" s="16" t="s">
        <v>97</v>
      </c>
      <c r="BS82" s="16" t="s">
        <v>98</v>
      </c>
      <c r="BT82" s="16">
        <v>0</v>
      </c>
    </row>
    <row r="83" s="1" customFormat="1" ht="16" customHeight="1" spans="1:72">
      <c r="A83" s="14">
        <f t="shared" si="13"/>
        <v>2025</v>
      </c>
      <c r="B83" s="14">
        <f t="shared" si="14"/>
        <v>8</v>
      </c>
      <c r="C83" s="14" t="str">
        <f t="shared" si="15"/>
        <v>3729991740645319424</v>
      </c>
      <c r="D83" s="14" cm="1">
        <f t="array" ref="D83">SUMPRODUCT(($R$2:$R$374=C83)*1)</f>
        <v>2</v>
      </c>
      <c r="E83" s="14" cm="1">
        <f t="array" ref="E83">SUMPRODUCT(($R$2:R83=C83)*1)</f>
        <v>2</v>
      </c>
      <c r="F83" s="15" t="str">
        <f t="shared" si="16"/>
        <v>Z2183-黑色-M</v>
      </c>
      <c r="G83" s="14" t="str">
        <f t="shared" si="17"/>
        <v>Z2183</v>
      </c>
      <c r="H83" s="15">
        <f t="shared" si="18"/>
        <v>1</v>
      </c>
      <c r="I83" s="14">
        <f t="shared" si="19"/>
        <v>129</v>
      </c>
      <c r="J83" s="15">
        <f t="shared" si="20"/>
        <v>0</v>
      </c>
      <c r="K83" s="15">
        <f t="shared" si="21"/>
        <v>0</v>
      </c>
      <c r="L83" s="15">
        <f t="shared" si="22"/>
        <v>0</v>
      </c>
      <c r="M83" s="15">
        <f t="shared" si="23"/>
        <v>0</v>
      </c>
      <c r="N83" s="15">
        <f t="shared" si="24"/>
        <v>0</v>
      </c>
      <c r="O83" s="15">
        <f t="shared" si="25"/>
        <v>129</v>
      </c>
      <c r="R83" s="16" t="s">
        <v>1217</v>
      </c>
      <c r="S83" s="16" t="s">
        <v>1218</v>
      </c>
      <c r="T83" s="16" t="s">
        <v>675</v>
      </c>
      <c r="U83" s="16" t="s">
        <v>1219</v>
      </c>
      <c r="V83" s="16" t="s">
        <v>1220</v>
      </c>
      <c r="W83" s="16" t="s">
        <v>76</v>
      </c>
      <c r="X83" s="16" t="s">
        <v>77</v>
      </c>
      <c r="Y83" s="16" t="s">
        <v>1221</v>
      </c>
      <c r="Z83" s="16" t="s">
        <v>1222</v>
      </c>
      <c r="AA83" s="16" t="s">
        <v>133</v>
      </c>
      <c r="AB83" s="16" t="s">
        <v>1223</v>
      </c>
      <c r="AC83" s="16" t="s">
        <v>1224</v>
      </c>
      <c r="AD83" s="16" t="s">
        <v>1225</v>
      </c>
      <c r="AE83" s="16" t="s">
        <v>84</v>
      </c>
      <c r="AF83" s="16" t="s">
        <v>84</v>
      </c>
      <c r="AG83" s="16">
        <v>258</v>
      </c>
      <c r="AH83" s="16">
        <v>258</v>
      </c>
      <c r="AI83" s="17">
        <v>258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 t="s">
        <v>85</v>
      </c>
      <c r="AP83" s="16" t="s">
        <v>1226</v>
      </c>
      <c r="AQ83" s="16" t="s">
        <v>1227</v>
      </c>
      <c r="AR83" s="16" t="s">
        <v>88</v>
      </c>
      <c r="AS83" s="16" t="s">
        <v>1229</v>
      </c>
      <c r="AT83" s="16">
        <v>12.9</v>
      </c>
      <c r="AU83" s="16" t="s">
        <v>90</v>
      </c>
      <c r="AV83" s="16">
        <v>1.5</v>
      </c>
      <c r="AW83" s="16" t="s">
        <v>115</v>
      </c>
      <c r="AX83" s="16" t="s">
        <v>116</v>
      </c>
      <c r="AY83" s="16" t="s">
        <v>117</v>
      </c>
      <c r="AZ83" s="16" t="s">
        <v>118</v>
      </c>
      <c r="BA83" s="16" t="s">
        <v>119</v>
      </c>
      <c r="BB83" s="16">
        <v>0</v>
      </c>
      <c r="BC83" s="16" t="s">
        <v>84</v>
      </c>
      <c r="BD83" s="16" t="s">
        <v>90</v>
      </c>
      <c r="BE83" s="16" t="s">
        <v>610</v>
      </c>
      <c r="BF83" s="16" t="s">
        <v>611</v>
      </c>
      <c r="BG83" s="16" t="s">
        <v>612</v>
      </c>
      <c r="BH83" s="16" t="s">
        <v>685</v>
      </c>
      <c r="BI83" s="16" t="s">
        <v>686</v>
      </c>
      <c r="BJ83" s="16">
        <v>129</v>
      </c>
      <c r="BK83" s="16">
        <v>129</v>
      </c>
      <c r="BL83" s="16">
        <v>129</v>
      </c>
      <c r="BM83" s="16" t="s">
        <v>96</v>
      </c>
      <c r="BN83" s="16">
        <v>1</v>
      </c>
      <c r="BO83" s="16" t="s">
        <v>84</v>
      </c>
      <c r="BP83" s="16" t="s">
        <v>84</v>
      </c>
      <c r="BQ83" s="16" t="s">
        <v>84</v>
      </c>
      <c r="BR83" s="16" t="s">
        <v>97</v>
      </c>
      <c r="BS83" s="16" t="s">
        <v>98</v>
      </c>
      <c r="BT83" s="16">
        <v>0</v>
      </c>
    </row>
    <row r="84" s="1" customFormat="1" ht="16" customHeight="1" spans="1:72">
      <c r="A84" s="14">
        <f t="shared" si="13"/>
        <v>2025</v>
      </c>
      <c r="B84" s="14">
        <f t="shared" si="14"/>
        <v>8</v>
      </c>
      <c r="C84" s="14" t="str">
        <f t="shared" si="15"/>
        <v>3729991040944449024</v>
      </c>
      <c r="D84" s="14" cm="1">
        <f t="array" ref="D84">SUMPRODUCT(($R$2:$R$374=C84)*1)</f>
        <v>1</v>
      </c>
      <c r="E84" s="14" cm="1">
        <f t="array" ref="E84">SUMPRODUCT(($R$2:R84=C84)*1)</f>
        <v>1</v>
      </c>
      <c r="F84" s="15" t="str">
        <f t="shared" si="16"/>
        <v>Z2183-米白色-L</v>
      </c>
      <c r="G84" s="14" t="str">
        <f t="shared" si="17"/>
        <v>Z2183</v>
      </c>
      <c r="H84" s="15">
        <f t="shared" si="18"/>
        <v>1</v>
      </c>
      <c r="I84" s="14">
        <f t="shared" si="19"/>
        <v>129</v>
      </c>
      <c r="J84" s="15">
        <f t="shared" si="20"/>
        <v>0</v>
      </c>
      <c r="K84" s="15">
        <f t="shared" si="21"/>
        <v>0</v>
      </c>
      <c r="L84" s="15">
        <f t="shared" si="22"/>
        <v>-6.45</v>
      </c>
      <c r="M84" s="15">
        <f t="shared" si="23"/>
        <v>0</v>
      </c>
      <c r="N84" s="15">
        <f t="shared" si="24"/>
        <v>-1.5</v>
      </c>
      <c r="O84" s="15">
        <f t="shared" si="25"/>
        <v>121.05</v>
      </c>
      <c r="R84" s="16" t="s">
        <v>1230</v>
      </c>
      <c r="S84" s="16" t="s">
        <v>1231</v>
      </c>
      <c r="T84" s="16" t="s">
        <v>1232</v>
      </c>
      <c r="U84" s="16" t="s">
        <v>1233</v>
      </c>
      <c r="V84" s="16" t="s">
        <v>1234</v>
      </c>
      <c r="W84" s="16" t="s">
        <v>76</v>
      </c>
      <c r="X84" s="16" t="s">
        <v>77</v>
      </c>
      <c r="Y84" s="16" t="s">
        <v>241</v>
      </c>
      <c r="Z84" s="16" t="s">
        <v>1235</v>
      </c>
      <c r="AA84" s="16" t="s">
        <v>80</v>
      </c>
      <c r="AB84" s="16" t="s">
        <v>655</v>
      </c>
      <c r="AC84" s="16" t="s">
        <v>1236</v>
      </c>
      <c r="AD84" s="16" t="s">
        <v>1237</v>
      </c>
      <c r="AE84" s="16" t="s">
        <v>84</v>
      </c>
      <c r="AF84" s="16" t="s">
        <v>84</v>
      </c>
      <c r="AG84" s="16">
        <v>129</v>
      </c>
      <c r="AH84" s="16">
        <v>129</v>
      </c>
      <c r="AI84" s="17">
        <v>129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 t="s">
        <v>85</v>
      </c>
      <c r="AP84" s="16" t="s">
        <v>1238</v>
      </c>
      <c r="AQ84" s="16" t="s">
        <v>1239</v>
      </c>
      <c r="AR84" s="16" t="s">
        <v>88</v>
      </c>
      <c r="AS84" s="16" t="s">
        <v>1240</v>
      </c>
      <c r="AT84" s="16">
        <v>6.45</v>
      </c>
      <c r="AU84" s="16" t="s">
        <v>90</v>
      </c>
      <c r="AV84" s="16">
        <v>1.5</v>
      </c>
      <c r="AW84" s="16" t="s">
        <v>115</v>
      </c>
      <c r="AX84" s="16" t="s">
        <v>116</v>
      </c>
      <c r="AY84" s="16" t="s">
        <v>117</v>
      </c>
      <c r="AZ84" s="16" t="s">
        <v>118</v>
      </c>
      <c r="BA84" s="16" t="s">
        <v>119</v>
      </c>
      <c r="BB84" s="16">
        <v>0</v>
      </c>
      <c r="BC84" s="16" t="s">
        <v>84</v>
      </c>
      <c r="BD84" s="16" t="s">
        <v>90</v>
      </c>
      <c r="BE84" s="16" t="s">
        <v>610</v>
      </c>
      <c r="BF84" s="16" t="s">
        <v>611</v>
      </c>
      <c r="BG84" s="16" t="s">
        <v>612</v>
      </c>
      <c r="BH84" s="16" t="s">
        <v>1241</v>
      </c>
      <c r="BI84" s="16" t="s">
        <v>1242</v>
      </c>
      <c r="BJ84" s="16">
        <v>129</v>
      </c>
      <c r="BK84" s="16">
        <v>129</v>
      </c>
      <c r="BL84" s="16">
        <v>129</v>
      </c>
      <c r="BM84" s="16" t="s">
        <v>96</v>
      </c>
      <c r="BN84" s="16">
        <v>1</v>
      </c>
      <c r="BO84" s="16" t="s">
        <v>84</v>
      </c>
      <c r="BP84" s="16" t="s">
        <v>84</v>
      </c>
      <c r="BQ84" s="16" t="s">
        <v>84</v>
      </c>
      <c r="BR84" s="16" t="s">
        <v>97</v>
      </c>
      <c r="BS84" s="16" t="s">
        <v>98</v>
      </c>
      <c r="BT84" s="16">
        <v>0</v>
      </c>
    </row>
    <row r="85" s="1" customFormat="1" ht="16" customHeight="1" spans="1:72">
      <c r="A85" s="14">
        <f t="shared" si="13"/>
        <v>2025</v>
      </c>
      <c r="B85" s="14">
        <f t="shared" si="14"/>
        <v>8</v>
      </c>
      <c r="C85" s="14" t="str">
        <f t="shared" si="15"/>
        <v>3729991033542024448</v>
      </c>
      <c r="D85" s="14" cm="1">
        <f t="array" ref="D85">SUMPRODUCT(($R$2:$R$374=C85)*1)</f>
        <v>1</v>
      </c>
      <c r="E85" s="14" cm="1">
        <f t="array" ref="E85">SUMPRODUCT(($R$2:R85=C85)*1)</f>
        <v>1</v>
      </c>
      <c r="F85" s="15" t="str">
        <f t="shared" si="16"/>
        <v>Z2183-米白色-M</v>
      </c>
      <c r="G85" s="14" t="str">
        <f t="shared" si="17"/>
        <v>Z2183</v>
      </c>
      <c r="H85" s="15">
        <f t="shared" si="18"/>
        <v>1</v>
      </c>
      <c r="I85" s="14">
        <f t="shared" si="19"/>
        <v>129</v>
      </c>
      <c r="J85" s="15">
        <f t="shared" si="20"/>
        <v>0</v>
      </c>
      <c r="K85" s="15">
        <f t="shared" si="21"/>
        <v>0</v>
      </c>
      <c r="L85" s="15">
        <f t="shared" si="22"/>
        <v>-6.45</v>
      </c>
      <c r="M85" s="15">
        <f t="shared" si="23"/>
        <v>0</v>
      </c>
      <c r="N85" s="15">
        <f t="shared" si="24"/>
        <v>-1.5</v>
      </c>
      <c r="O85" s="15">
        <f t="shared" si="25"/>
        <v>121.05</v>
      </c>
      <c r="R85" s="16" t="s">
        <v>1243</v>
      </c>
      <c r="S85" s="16" t="s">
        <v>1244</v>
      </c>
      <c r="T85" s="16" t="s">
        <v>1245</v>
      </c>
      <c r="U85" s="16" t="s">
        <v>1246</v>
      </c>
      <c r="V85" s="16" t="s">
        <v>1247</v>
      </c>
      <c r="W85" s="16" t="s">
        <v>76</v>
      </c>
      <c r="X85" s="16" t="s">
        <v>77</v>
      </c>
      <c r="Y85" s="16" t="s">
        <v>692</v>
      </c>
      <c r="Z85" s="16" t="s">
        <v>1035</v>
      </c>
      <c r="AA85" s="16" t="s">
        <v>153</v>
      </c>
      <c r="AB85" s="16" t="s">
        <v>153</v>
      </c>
      <c r="AC85" s="16" t="s">
        <v>1036</v>
      </c>
      <c r="AD85" s="16" t="s">
        <v>1037</v>
      </c>
      <c r="AE85" s="16" t="s">
        <v>84</v>
      </c>
      <c r="AF85" s="16" t="s">
        <v>84</v>
      </c>
      <c r="AG85" s="16">
        <v>129</v>
      </c>
      <c r="AH85" s="16">
        <v>129</v>
      </c>
      <c r="AI85" s="17">
        <v>129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 t="s">
        <v>85</v>
      </c>
      <c r="AP85" s="16" t="s">
        <v>1248</v>
      </c>
      <c r="AQ85" s="16" t="s">
        <v>1249</v>
      </c>
      <c r="AR85" s="16" t="s">
        <v>88</v>
      </c>
      <c r="AS85" s="16" t="s">
        <v>1250</v>
      </c>
      <c r="AT85" s="16">
        <v>6.45</v>
      </c>
      <c r="AU85" s="16" t="s">
        <v>90</v>
      </c>
      <c r="AV85" s="16">
        <v>1.5</v>
      </c>
      <c r="AW85" s="16" t="s">
        <v>115</v>
      </c>
      <c r="AX85" s="16" t="s">
        <v>116</v>
      </c>
      <c r="AY85" s="16" t="s">
        <v>117</v>
      </c>
      <c r="AZ85" s="16" t="s">
        <v>118</v>
      </c>
      <c r="BA85" s="16" t="s">
        <v>119</v>
      </c>
      <c r="BB85" s="16">
        <v>0</v>
      </c>
      <c r="BC85" s="16" t="s">
        <v>84</v>
      </c>
      <c r="BD85" s="16" t="s">
        <v>90</v>
      </c>
      <c r="BE85" s="16" t="s">
        <v>610</v>
      </c>
      <c r="BF85" s="16" t="s">
        <v>611</v>
      </c>
      <c r="BG85" s="16" t="s">
        <v>612</v>
      </c>
      <c r="BH85" s="16" t="s">
        <v>1141</v>
      </c>
      <c r="BI85" s="16" t="s">
        <v>1142</v>
      </c>
      <c r="BJ85" s="16">
        <v>129</v>
      </c>
      <c r="BK85" s="16">
        <v>129</v>
      </c>
      <c r="BL85" s="16">
        <v>129</v>
      </c>
      <c r="BM85" s="16" t="s">
        <v>96</v>
      </c>
      <c r="BN85" s="16">
        <v>1</v>
      </c>
      <c r="BO85" s="16" t="s">
        <v>84</v>
      </c>
      <c r="BP85" s="16" t="s">
        <v>84</v>
      </c>
      <c r="BQ85" s="16" t="s">
        <v>84</v>
      </c>
      <c r="BR85" s="16" t="s">
        <v>97</v>
      </c>
      <c r="BS85" s="16" t="s">
        <v>98</v>
      </c>
      <c r="BT85" s="16">
        <v>0</v>
      </c>
    </row>
    <row r="86" s="1" customFormat="1" ht="16" customHeight="1" spans="1:72">
      <c r="A86" s="14">
        <f t="shared" si="13"/>
        <v>2025</v>
      </c>
      <c r="B86" s="14">
        <f t="shared" si="14"/>
        <v>8</v>
      </c>
      <c r="C86" s="14" t="str">
        <f t="shared" si="15"/>
        <v>3729989295561645568</v>
      </c>
      <c r="D86" s="14" cm="1">
        <f t="array" ref="D86">SUMPRODUCT(($R$2:$R$374=C86)*1)</f>
        <v>1</v>
      </c>
      <c r="E86" s="14" cm="1">
        <f t="array" ref="E86">SUMPRODUCT(($R$2:R86=C86)*1)</f>
        <v>1</v>
      </c>
      <c r="F86" s="15" t="str">
        <f t="shared" si="16"/>
        <v>Z1576-黑色-S</v>
      </c>
      <c r="G86" s="14" t="str">
        <f t="shared" si="17"/>
        <v>Z1576</v>
      </c>
      <c r="H86" s="15">
        <f t="shared" si="18"/>
        <v>1</v>
      </c>
      <c r="I86" s="14">
        <f t="shared" si="19"/>
        <v>199</v>
      </c>
      <c r="J86" s="15">
        <f t="shared" si="20"/>
        <v>0</v>
      </c>
      <c r="K86" s="15">
        <f t="shared" si="21"/>
        <v>0</v>
      </c>
      <c r="L86" s="15">
        <f t="shared" si="22"/>
        <v>-9.95</v>
      </c>
      <c r="M86" s="15">
        <f t="shared" si="23"/>
        <v>0</v>
      </c>
      <c r="N86" s="15">
        <f t="shared" si="24"/>
        <v>-1.5</v>
      </c>
      <c r="O86" s="15">
        <f t="shared" si="25"/>
        <v>187.55</v>
      </c>
      <c r="R86" s="16" t="s">
        <v>1251</v>
      </c>
      <c r="S86" s="16" t="s">
        <v>1252</v>
      </c>
      <c r="T86" s="16" t="s">
        <v>1253</v>
      </c>
      <c r="U86" s="16" t="s">
        <v>1254</v>
      </c>
      <c r="V86" s="16" t="s">
        <v>1255</v>
      </c>
      <c r="W86" s="16" t="s">
        <v>76</v>
      </c>
      <c r="X86" s="16" t="s">
        <v>77</v>
      </c>
      <c r="Y86" s="16" t="s">
        <v>1256</v>
      </c>
      <c r="Z86" s="16" t="s">
        <v>1257</v>
      </c>
      <c r="AA86" s="16" t="s">
        <v>80</v>
      </c>
      <c r="AB86" s="16" t="s">
        <v>1258</v>
      </c>
      <c r="AC86" s="16" t="s">
        <v>1259</v>
      </c>
      <c r="AD86" s="16" t="s">
        <v>1260</v>
      </c>
      <c r="AE86" s="16" t="s">
        <v>84</v>
      </c>
      <c r="AF86" s="16" t="s">
        <v>84</v>
      </c>
      <c r="AG86" s="16">
        <v>199</v>
      </c>
      <c r="AH86" s="16">
        <v>199</v>
      </c>
      <c r="AI86" s="17">
        <v>199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 t="s">
        <v>85</v>
      </c>
      <c r="AP86" s="16" t="s">
        <v>1261</v>
      </c>
      <c r="AQ86" s="16" t="s">
        <v>1262</v>
      </c>
      <c r="AR86" s="16" t="s">
        <v>88</v>
      </c>
      <c r="AS86" s="16" t="s">
        <v>1263</v>
      </c>
      <c r="AT86" s="16">
        <v>9.95</v>
      </c>
      <c r="AU86" s="16" t="s">
        <v>90</v>
      </c>
      <c r="AV86" s="16">
        <v>1.5</v>
      </c>
      <c r="AW86" s="16" t="s">
        <v>115</v>
      </c>
      <c r="AX86" s="16" t="s">
        <v>116</v>
      </c>
      <c r="AY86" s="16" t="s">
        <v>117</v>
      </c>
      <c r="AZ86" s="16" t="s">
        <v>118</v>
      </c>
      <c r="BA86" s="16" t="s">
        <v>119</v>
      </c>
      <c r="BB86" s="16">
        <v>0</v>
      </c>
      <c r="BC86" s="16" t="s">
        <v>84</v>
      </c>
      <c r="BD86" s="16" t="s">
        <v>90</v>
      </c>
      <c r="BE86" s="16" t="s">
        <v>402</v>
      </c>
      <c r="BF86" s="16" t="s">
        <v>403</v>
      </c>
      <c r="BG86" s="16" t="s">
        <v>404</v>
      </c>
      <c r="BH86" s="16" t="s">
        <v>1264</v>
      </c>
      <c r="BI86" s="16" t="s">
        <v>377</v>
      </c>
      <c r="BJ86" s="16">
        <v>199</v>
      </c>
      <c r="BK86" s="16">
        <v>199</v>
      </c>
      <c r="BL86" s="16">
        <v>199</v>
      </c>
      <c r="BM86" s="16" t="s">
        <v>96</v>
      </c>
      <c r="BN86" s="16">
        <v>1</v>
      </c>
      <c r="BO86" s="16" t="s">
        <v>84</v>
      </c>
      <c r="BP86" s="16" t="s">
        <v>84</v>
      </c>
      <c r="BQ86" s="16" t="s">
        <v>84</v>
      </c>
      <c r="BR86" s="16" t="s">
        <v>97</v>
      </c>
      <c r="BS86" s="16" t="s">
        <v>98</v>
      </c>
      <c r="BT86" s="16">
        <v>0</v>
      </c>
    </row>
    <row r="87" s="1" customFormat="1" ht="16" customHeight="1" spans="1:72">
      <c r="A87" s="14">
        <f t="shared" si="13"/>
        <v>2025</v>
      </c>
      <c r="B87" s="14">
        <f t="shared" si="14"/>
        <v>8</v>
      </c>
      <c r="C87" s="14" t="str">
        <f t="shared" si="15"/>
        <v>3729988599348868352</v>
      </c>
      <c r="D87" s="14" cm="1">
        <f t="array" ref="D87">SUMPRODUCT(($R$2:$R$374=C87)*1)</f>
        <v>1</v>
      </c>
      <c r="E87" s="14" cm="1">
        <f t="array" ref="E87">SUMPRODUCT(($R$2:R87=C87)*1)</f>
        <v>1</v>
      </c>
      <c r="F87" s="15" t="str">
        <f t="shared" si="16"/>
        <v>Z1581-黑色-M</v>
      </c>
      <c r="G87" s="14" t="str">
        <f t="shared" si="17"/>
        <v>Z1581</v>
      </c>
      <c r="H87" s="15">
        <f t="shared" si="18"/>
        <v>1</v>
      </c>
      <c r="I87" s="14">
        <f t="shared" si="19"/>
        <v>289</v>
      </c>
      <c r="J87" s="15">
        <f t="shared" si="20"/>
        <v>0</v>
      </c>
      <c r="K87" s="15">
        <f t="shared" si="21"/>
        <v>0</v>
      </c>
      <c r="L87" s="15">
        <f t="shared" si="22"/>
        <v>-14.45</v>
      </c>
      <c r="M87" s="15">
        <f t="shared" si="23"/>
        <v>0</v>
      </c>
      <c r="N87" s="15">
        <f t="shared" si="24"/>
        <v>-1.5</v>
      </c>
      <c r="O87" s="15">
        <f t="shared" si="25"/>
        <v>273.05</v>
      </c>
      <c r="R87" s="16" t="s">
        <v>1265</v>
      </c>
      <c r="S87" s="16" t="s">
        <v>1266</v>
      </c>
      <c r="T87" s="16" t="s">
        <v>1267</v>
      </c>
      <c r="U87" s="16" t="s">
        <v>1268</v>
      </c>
      <c r="V87" s="16" t="s">
        <v>1269</v>
      </c>
      <c r="W87" s="16" t="s">
        <v>76</v>
      </c>
      <c r="X87" s="16" t="s">
        <v>77</v>
      </c>
      <c r="Y87" s="16" t="s">
        <v>1270</v>
      </c>
      <c r="Z87" s="16" t="s">
        <v>1271</v>
      </c>
      <c r="AA87" s="16" t="s">
        <v>780</v>
      </c>
      <c r="AB87" s="16" t="s">
        <v>781</v>
      </c>
      <c r="AC87" s="16" t="s">
        <v>154</v>
      </c>
      <c r="AD87" s="16" t="s">
        <v>1272</v>
      </c>
      <c r="AE87" s="16" t="s">
        <v>84</v>
      </c>
      <c r="AF87" s="16" t="s">
        <v>84</v>
      </c>
      <c r="AG87" s="16">
        <v>289</v>
      </c>
      <c r="AH87" s="16">
        <v>289</v>
      </c>
      <c r="AI87" s="17">
        <v>289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 t="s">
        <v>85</v>
      </c>
      <c r="AP87" s="16" t="s">
        <v>1273</v>
      </c>
      <c r="AQ87" s="16" t="s">
        <v>1274</v>
      </c>
      <c r="AR87" s="16" t="s">
        <v>88</v>
      </c>
      <c r="AS87" s="16" t="s">
        <v>1275</v>
      </c>
      <c r="AT87" s="16">
        <v>14.45</v>
      </c>
      <c r="AU87" s="16" t="s">
        <v>90</v>
      </c>
      <c r="AV87" s="16">
        <v>1.5</v>
      </c>
      <c r="AW87" s="16" t="s">
        <v>115</v>
      </c>
      <c r="AX87" s="16" t="s">
        <v>116</v>
      </c>
      <c r="AY87" s="16" t="s">
        <v>117</v>
      </c>
      <c r="AZ87" s="16" t="s">
        <v>118</v>
      </c>
      <c r="BA87" s="16" t="s">
        <v>119</v>
      </c>
      <c r="BB87" s="16">
        <v>0</v>
      </c>
      <c r="BC87" s="16" t="s">
        <v>84</v>
      </c>
      <c r="BD87" s="16" t="s">
        <v>90</v>
      </c>
      <c r="BE87" s="16" t="s">
        <v>419</v>
      </c>
      <c r="BF87" s="16" t="s">
        <v>420</v>
      </c>
      <c r="BG87" s="16" t="s">
        <v>421</v>
      </c>
      <c r="BH87" s="16" t="s">
        <v>422</v>
      </c>
      <c r="BI87" s="16" t="s">
        <v>308</v>
      </c>
      <c r="BJ87" s="16">
        <v>289</v>
      </c>
      <c r="BK87" s="16">
        <v>289</v>
      </c>
      <c r="BL87" s="16">
        <v>289</v>
      </c>
      <c r="BM87" s="16" t="s">
        <v>96</v>
      </c>
      <c r="BN87" s="16">
        <v>1</v>
      </c>
      <c r="BO87" s="16" t="s">
        <v>84</v>
      </c>
      <c r="BP87" s="16" t="s">
        <v>84</v>
      </c>
      <c r="BQ87" s="16" t="s">
        <v>84</v>
      </c>
      <c r="BR87" s="16" t="s">
        <v>97</v>
      </c>
      <c r="BS87" s="16" t="s">
        <v>98</v>
      </c>
      <c r="BT87" s="16">
        <v>0</v>
      </c>
    </row>
    <row r="88" s="1" customFormat="1" ht="16" customHeight="1" spans="1:72">
      <c r="A88" s="14">
        <f t="shared" si="13"/>
        <v>2025</v>
      </c>
      <c r="B88" s="14">
        <f t="shared" si="14"/>
        <v>8</v>
      </c>
      <c r="C88" s="14" t="str">
        <f t="shared" si="15"/>
        <v>3729988162114692352</v>
      </c>
      <c r="D88" s="14" cm="1">
        <f t="array" ref="D88">SUMPRODUCT(($R$2:$R$374=C88)*1)</f>
        <v>1</v>
      </c>
      <c r="E88" s="14" cm="1">
        <f t="array" ref="E88">SUMPRODUCT(($R$2:R88=C88)*1)</f>
        <v>1</v>
      </c>
      <c r="F88" s="15" t="str">
        <f t="shared" si="16"/>
        <v>Z2183-黑色-L</v>
      </c>
      <c r="G88" s="14" t="str">
        <f t="shared" si="17"/>
        <v>Z2183</v>
      </c>
      <c r="H88" s="15">
        <f t="shared" si="18"/>
        <v>1</v>
      </c>
      <c r="I88" s="14">
        <f t="shared" si="19"/>
        <v>129</v>
      </c>
      <c r="J88" s="15">
        <f t="shared" si="20"/>
        <v>0</v>
      </c>
      <c r="K88" s="15">
        <f t="shared" si="21"/>
        <v>0</v>
      </c>
      <c r="L88" s="15">
        <f t="shared" si="22"/>
        <v>-6.45</v>
      </c>
      <c r="M88" s="15">
        <f t="shared" si="23"/>
        <v>0</v>
      </c>
      <c r="N88" s="15">
        <f t="shared" si="24"/>
        <v>-1.5</v>
      </c>
      <c r="O88" s="15">
        <f t="shared" si="25"/>
        <v>121.05</v>
      </c>
      <c r="R88" s="16" t="s">
        <v>1276</v>
      </c>
      <c r="S88" s="16" t="s">
        <v>1277</v>
      </c>
      <c r="T88" s="16" t="s">
        <v>1278</v>
      </c>
      <c r="U88" s="16" t="s">
        <v>1279</v>
      </c>
      <c r="V88" s="16" t="s">
        <v>1280</v>
      </c>
      <c r="W88" s="16" t="s">
        <v>76</v>
      </c>
      <c r="X88" s="16" t="s">
        <v>77</v>
      </c>
      <c r="Y88" s="16" t="s">
        <v>1281</v>
      </c>
      <c r="Z88" s="16" t="s">
        <v>1282</v>
      </c>
      <c r="AA88" s="16" t="s">
        <v>1283</v>
      </c>
      <c r="AB88" s="16" t="s">
        <v>1284</v>
      </c>
      <c r="AC88" s="16" t="s">
        <v>1285</v>
      </c>
      <c r="AD88" s="16" t="s">
        <v>1286</v>
      </c>
      <c r="AE88" s="16" t="s">
        <v>84</v>
      </c>
      <c r="AF88" s="16" t="s">
        <v>84</v>
      </c>
      <c r="AG88" s="16">
        <v>129</v>
      </c>
      <c r="AH88" s="16">
        <v>129</v>
      </c>
      <c r="AI88" s="17">
        <v>129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 t="s">
        <v>85</v>
      </c>
      <c r="AP88" s="16" t="s">
        <v>1287</v>
      </c>
      <c r="AQ88" s="16" t="s">
        <v>1288</v>
      </c>
      <c r="AR88" s="16" t="s">
        <v>88</v>
      </c>
      <c r="AS88" s="16" t="s">
        <v>1289</v>
      </c>
      <c r="AT88" s="16">
        <v>6.45</v>
      </c>
      <c r="AU88" s="16" t="s">
        <v>90</v>
      </c>
      <c r="AV88" s="16">
        <v>1.5</v>
      </c>
      <c r="AW88" s="16" t="s">
        <v>115</v>
      </c>
      <c r="AX88" s="16" t="s">
        <v>116</v>
      </c>
      <c r="AY88" s="16" t="s">
        <v>117</v>
      </c>
      <c r="AZ88" s="16" t="s">
        <v>118</v>
      </c>
      <c r="BA88" s="16" t="s">
        <v>119</v>
      </c>
      <c r="BB88" s="16">
        <v>0</v>
      </c>
      <c r="BC88" s="16" t="s">
        <v>84</v>
      </c>
      <c r="BD88" s="16" t="s">
        <v>90</v>
      </c>
      <c r="BE88" s="16" t="s">
        <v>610</v>
      </c>
      <c r="BF88" s="16" t="s">
        <v>611</v>
      </c>
      <c r="BG88" s="16" t="s">
        <v>612</v>
      </c>
      <c r="BH88" s="16" t="s">
        <v>1174</v>
      </c>
      <c r="BI88" s="16" t="s">
        <v>1175</v>
      </c>
      <c r="BJ88" s="16">
        <v>129</v>
      </c>
      <c r="BK88" s="16">
        <v>129</v>
      </c>
      <c r="BL88" s="16">
        <v>129</v>
      </c>
      <c r="BM88" s="16" t="s">
        <v>96</v>
      </c>
      <c r="BN88" s="16">
        <v>1</v>
      </c>
      <c r="BO88" s="16" t="s">
        <v>84</v>
      </c>
      <c r="BP88" s="16" t="s">
        <v>84</v>
      </c>
      <c r="BQ88" s="16" t="s">
        <v>84</v>
      </c>
      <c r="BR88" s="16" t="s">
        <v>97</v>
      </c>
      <c r="BS88" s="16" t="s">
        <v>98</v>
      </c>
      <c r="BT88" s="16">
        <v>0</v>
      </c>
    </row>
    <row r="89" s="1" customFormat="1" ht="16" customHeight="1" spans="1:72">
      <c r="A89" s="14">
        <f t="shared" si="13"/>
        <v>2025</v>
      </c>
      <c r="B89" s="14">
        <f t="shared" si="14"/>
        <v>8</v>
      </c>
      <c r="C89" s="14" t="str">
        <f t="shared" si="15"/>
        <v>3729988057297205248</v>
      </c>
      <c r="D89" s="14" cm="1">
        <f t="array" ref="D89">SUMPRODUCT(($R$2:$R$374=C89)*1)</f>
        <v>1</v>
      </c>
      <c r="E89" s="14" cm="1">
        <f t="array" ref="E89">SUMPRODUCT(($R$2:R89=C89)*1)</f>
        <v>1</v>
      </c>
      <c r="F89" s="15" t="str">
        <f t="shared" si="16"/>
        <v>Z1576-黑色-S</v>
      </c>
      <c r="G89" s="14" t="str">
        <f t="shared" si="17"/>
        <v>Z1576</v>
      </c>
      <c r="H89" s="15">
        <f t="shared" si="18"/>
        <v>1</v>
      </c>
      <c r="I89" s="14">
        <f t="shared" si="19"/>
        <v>199</v>
      </c>
      <c r="J89" s="15">
        <f t="shared" si="20"/>
        <v>0</v>
      </c>
      <c r="K89" s="15">
        <f t="shared" si="21"/>
        <v>0</v>
      </c>
      <c r="L89" s="15">
        <f t="shared" si="22"/>
        <v>-1.99</v>
      </c>
      <c r="M89" s="15">
        <f t="shared" si="23"/>
        <v>0</v>
      </c>
      <c r="N89" s="15">
        <f t="shared" si="24"/>
        <v>-1.5</v>
      </c>
      <c r="O89" s="15">
        <f t="shared" si="25"/>
        <v>195.51</v>
      </c>
      <c r="R89" s="16" t="s">
        <v>1290</v>
      </c>
      <c r="S89" s="16" t="s">
        <v>1291</v>
      </c>
      <c r="T89" s="16" t="s">
        <v>1292</v>
      </c>
      <c r="U89" s="16" t="s">
        <v>1293</v>
      </c>
      <c r="V89" s="16" t="s">
        <v>1294</v>
      </c>
      <c r="W89" s="16" t="s">
        <v>76</v>
      </c>
      <c r="X89" s="16" t="s">
        <v>77</v>
      </c>
      <c r="Y89" s="16" t="s">
        <v>1295</v>
      </c>
      <c r="Z89" s="16" t="s">
        <v>1296</v>
      </c>
      <c r="AA89" s="16" t="s">
        <v>763</v>
      </c>
      <c r="AB89" s="16" t="s">
        <v>763</v>
      </c>
      <c r="AC89" s="16" t="s">
        <v>1297</v>
      </c>
      <c r="AD89" s="16" t="s">
        <v>1298</v>
      </c>
      <c r="AE89" s="16" t="s">
        <v>84</v>
      </c>
      <c r="AF89" s="16" t="s">
        <v>84</v>
      </c>
      <c r="AG89" s="16">
        <v>199</v>
      </c>
      <c r="AH89" s="16">
        <v>199</v>
      </c>
      <c r="AI89" s="17">
        <v>199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 t="s">
        <v>85</v>
      </c>
      <c r="AP89" s="16" t="s">
        <v>1299</v>
      </c>
      <c r="AQ89" s="16" t="s">
        <v>1300</v>
      </c>
      <c r="AR89" s="16" t="s">
        <v>88</v>
      </c>
      <c r="AS89" s="16" t="s">
        <v>1301</v>
      </c>
      <c r="AT89" s="16">
        <v>1.99</v>
      </c>
      <c r="AU89" s="16" t="s">
        <v>90</v>
      </c>
      <c r="AV89" s="16">
        <v>1.5</v>
      </c>
      <c r="AW89" s="16" t="s">
        <v>90</v>
      </c>
      <c r="AX89" s="16" t="s">
        <v>90</v>
      </c>
      <c r="AY89" s="16" t="s">
        <v>90</v>
      </c>
      <c r="AZ89" s="16" t="s">
        <v>90</v>
      </c>
      <c r="BA89" s="16" t="s">
        <v>90</v>
      </c>
      <c r="BB89" s="16">
        <v>0</v>
      </c>
      <c r="BC89" s="16"/>
      <c r="BD89" s="16" t="s">
        <v>90</v>
      </c>
      <c r="BE89" s="16" t="s">
        <v>402</v>
      </c>
      <c r="BF89" s="16" t="s">
        <v>403</v>
      </c>
      <c r="BG89" s="16" t="s">
        <v>404</v>
      </c>
      <c r="BH89" s="16" t="s">
        <v>1264</v>
      </c>
      <c r="BI89" s="16" t="s">
        <v>377</v>
      </c>
      <c r="BJ89" s="16">
        <v>199</v>
      </c>
      <c r="BK89" s="16">
        <v>199</v>
      </c>
      <c r="BL89" s="16">
        <v>199</v>
      </c>
      <c r="BM89" s="16" t="s">
        <v>96</v>
      </c>
      <c r="BN89" s="16">
        <v>1</v>
      </c>
      <c r="BO89" s="16" t="s">
        <v>84</v>
      </c>
      <c r="BP89" s="16" t="s">
        <v>84</v>
      </c>
      <c r="BQ89" s="16" t="s">
        <v>84</v>
      </c>
      <c r="BR89" s="16" t="s">
        <v>97</v>
      </c>
      <c r="BS89" s="16" t="s">
        <v>98</v>
      </c>
      <c r="BT89" s="16">
        <v>0</v>
      </c>
    </row>
    <row r="90" s="1" customFormat="1" ht="16" customHeight="1" spans="1:72">
      <c r="A90" s="14">
        <f t="shared" si="13"/>
        <v>2025</v>
      </c>
      <c r="B90" s="14">
        <f t="shared" si="14"/>
        <v>8</v>
      </c>
      <c r="C90" s="14" t="str">
        <f t="shared" si="15"/>
        <v>3729987215633555712</v>
      </c>
      <c r="D90" s="14" cm="1">
        <f t="array" ref="D90">SUMPRODUCT(($R$2:$R$374=C90)*1)</f>
        <v>1</v>
      </c>
      <c r="E90" s="14" cm="1">
        <f t="array" ref="E90">SUMPRODUCT(($R$2:R90=C90)*1)</f>
        <v>1</v>
      </c>
      <c r="F90" s="15" t="str">
        <f t="shared" si="16"/>
        <v>Z1640-黑色-M</v>
      </c>
      <c r="G90" s="14" t="str">
        <f t="shared" si="17"/>
        <v>Z1640</v>
      </c>
      <c r="H90" s="15">
        <f t="shared" si="18"/>
        <v>1</v>
      </c>
      <c r="I90" s="14">
        <f t="shared" si="19"/>
        <v>289</v>
      </c>
      <c r="J90" s="15">
        <f t="shared" si="20"/>
        <v>0</v>
      </c>
      <c r="K90" s="15">
        <f t="shared" si="21"/>
        <v>0</v>
      </c>
      <c r="L90" s="15">
        <f t="shared" si="22"/>
        <v>-14.45</v>
      </c>
      <c r="M90" s="15">
        <f t="shared" si="23"/>
        <v>0</v>
      </c>
      <c r="N90" s="15">
        <f t="shared" si="24"/>
        <v>-1.5</v>
      </c>
      <c r="O90" s="15">
        <f t="shared" si="25"/>
        <v>273.05</v>
      </c>
      <c r="R90" s="16" t="s">
        <v>1302</v>
      </c>
      <c r="S90" s="16" t="s">
        <v>1303</v>
      </c>
      <c r="T90" s="16" t="s">
        <v>1304</v>
      </c>
      <c r="U90" s="16" t="s">
        <v>1305</v>
      </c>
      <c r="V90" s="16" t="s">
        <v>1306</v>
      </c>
      <c r="W90" s="16" t="s">
        <v>76</v>
      </c>
      <c r="X90" s="16" t="s">
        <v>77</v>
      </c>
      <c r="Y90" s="16" t="s">
        <v>1307</v>
      </c>
      <c r="Z90" s="16" t="s">
        <v>1308</v>
      </c>
      <c r="AA90" s="16" t="s">
        <v>430</v>
      </c>
      <c r="AB90" s="16" t="s">
        <v>430</v>
      </c>
      <c r="AC90" s="16" t="s">
        <v>1309</v>
      </c>
      <c r="AD90" s="16" t="s">
        <v>1310</v>
      </c>
      <c r="AE90" s="16" t="s">
        <v>84</v>
      </c>
      <c r="AF90" s="16" t="s">
        <v>84</v>
      </c>
      <c r="AG90" s="16">
        <v>289</v>
      </c>
      <c r="AH90" s="16">
        <v>289</v>
      </c>
      <c r="AI90" s="17">
        <v>289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 t="s">
        <v>137</v>
      </c>
      <c r="AP90" s="16" t="s">
        <v>1311</v>
      </c>
      <c r="AQ90" s="16" t="s">
        <v>1312</v>
      </c>
      <c r="AR90" s="16" t="s">
        <v>88</v>
      </c>
      <c r="AS90" s="16" t="s">
        <v>1313</v>
      </c>
      <c r="AT90" s="16">
        <v>14.45</v>
      </c>
      <c r="AU90" s="16" t="s">
        <v>90</v>
      </c>
      <c r="AV90" s="16">
        <v>1.5</v>
      </c>
      <c r="AW90" s="16" t="s">
        <v>115</v>
      </c>
      <c r="AX90" s="16" t="s">
        <v>116</v>
      </c>
      <c r="AY90" s="16" t="s">
        <v>117</v>
      </c>
      <c r="AZ90" s="16" t="s">
        <v>118</v>
      </c>
      <c r="BA90" s="16" t="s">
        <v>119</v>
      </c>
      <c r="BB90" s="16">
        <v>0</v>
      </c>
      <c r="BC90" s="16" t="s">
        <v>84</v>
      </c>
      <c r="BD90" s="16" t="s">
        <v>90</v>
      </c>
      <c r="BE90" s="16" t="s">
        <v>1128</v>
      </c>
      <c r="BF90" s="16" t="s">
        <v>1129</v>
      </c>
      <c r="BG90" s="16" t="s">
        <v>1130</v>
      </c>
      <c r="BH90" s="16" t="s">
        <v>1314</v>
      </c>
      <c r="BI90" s="16" t="s">
        <v>308</v>
      </c>
      <c r="BJ90" s="16">
        <v>289</v>
      </c>
      <c r="BK90" s="16">
        <v>289</v>
      </c>
      <c r="BL90" s="16">
        <v>289</v>
      </c>
      <c r="BM90" s="16" t="s">
        <v>96</v>
      </c>
      <c r="BN90" s="16">
        <v>1</v>
      </c>
      <c r="BO90" s="16" t="s">
        <v>84</v>
      </c>
      <c r="BP90" s="16" t="s">
        <v>84</v>
      </c>
      <c r="BQ90" s="16" t="s">
        <v>84</v>
      </c>
      <c r="BR90" s="16" t="s">
        <v>97</v>
      </c>
      <c r="BS90" s="16" t="s">
        <v>98</v>
      </c>
      <c r="BT90" s="16">
        <v>0</v>
      </c>
    </row>
    <row r="91" s="1" customFormat="1" ht="16" customHeight="1" spans="1:72">
      <c r="A91" s="14">
        <f t="shared" si="13"/>
        <v>2025</v>
      </c>
      <c r="B91" s="14">
        <f t="shared" si="14"/>
        <v>8</v>
      </c>
      <c r="C91" s="14" t="str">
        <f t="shared" si="15"/>
        <v>3729987197862289920</v>
      </c>
      <c r="D91" s="14" cm="1">
        <f t="array" ref="D91">SUMPRODUCT(($R$2:$R$374=C91)*1)</f>
        <v>1</v>
      </c>
      <c r="E91" s="14" cm="1">
        <f t="array" ref="E91">SUMPRODUCT(($R$2:R91=C91)*1)</f>
        <v>1</v>
      </c>
      <c r="F91" s="15" t="str">
        <f t="shared" si="16"/>
        <v>Z1576-黑色-S</v>
      </c>
      <c r="G91" s="14" t="str">
        <f t="shared" si="17"/>
        <v>Z1576</v>
      </c>
      <c r="H91" s="15">
        <f t="shared" si="18"/>
        <v>1</v>
      </c>
      <c r="I91" s="14">
        <f t="shared" si="19"/>
        <v>199</v>
      </c>
      <c r="J91" s="15">
        <f t="shared" si="20"/>
        <v>0</v>
      </c>
      <c r="K91" s="15">
        <f t="shared" si="21"/>
        <v>0</v>
      </c>
      <c r="L91" s="15">
        <f t="shared" si="22"/>
        <v>-9.95</v>
      </c>
      <c r="M91" s="15">
        <f t="shared" si="23"/>
        <v>0</v>
      </c>
      <c r="N91" s="15">
        <f t="shared" si="24"/>
        <v>-1.5</v>
      </c>
      <c r="O91" s="15">
        <f t="shared" si="25"/>
        <v>187.55</v>
      </c>
      <c r="R91" s="16" t="s">
        <v>1315</v>
      </c>
      <c r="S91" s="16" t="s">
        <v>1316</v>
      </c>
      <c r="T91" s="16" t="s">
        <v>1317</v>
      </c>
      <c r="U91" s="16" t="s">
        <v>1318</v>
      </c>
      <c r="V91" s="16" t="s">
        <v>1319</v>
      </c>
      <c r="W91" s="16" t="s">
        <v>76</v>
      </c>
      <c r="X91" s="16" t="s">
        <v>77</v>
      </c>
      <c r="Y91" s="16" t="s">
        <v>1320</v>
      </c>
      <c r="Z91" s="16" t="s">
        <v>1321</v>
      </c>
      <c r="AA91" s="16" t="s">
        <v>763</v>
      </c>
      <c r="AB91" s="16" t="s">
        <v>763</v>
      </c>
      <c r="AC91" s="16" t="s">
        <v>1322</v>
      </c>
      <c r="AD91" s="16" t="s">
        <v>1323</v>
      </c>
      <c r="AE91" s="16" t="s">
        <v>84</v>
      </c>
      <c r="AF91" s="16" t="s">
        <v>84</v>
      </c>
      <c r="AG91" s="16">
        <v>199</v>
      </c>
      <c r="AH91" s="16">
        <v>199</v>
      </c>
      <c r="AI91" s="17">
        <v>199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 t="s">
        <v>137</v>
      </c>
      <c r="AP91" s="16" t="s">
        <v>1324</v>
      </c>
      <c r="AQ91" s="16" t="s">
        <v>1325</v>
      </c>
      <c r="AR91" s="16" t="s">
        <v>88</v>
      </c>
      <c r="AS91" s="16" t="s">
        <v>1326</v>
      </c>
      <c r="AT91" s="16">
        <v>9.95</v>
      </c>
      <c r="AU91" s="16" t="s">
        <v>90</v>
      </c>
      <c r="AV91" s="16">
        <v>1.5</v>
      </c>
      <c r="AW91" s="16" t="s">
        <v>115</v>
      </c>
      <c r="AX91" s="16" t="s">
        <v>116</v>
      </c>
      <c r="AY91" s="16" t="s">
        <v>117</v>
      </c>
      <c r="AZ91" s="16" t="s">
        <v>118</v>
      </c>
      <c r="BA91" s="16" t="s">
        <v>119</v>
      </c>
      <c r="BB91" s="16">
        <v>0</v>
      </c>
      <c r="BC91" s="16" t="s">
        <v>84</v>
      </c>
      <c r="BD91" s="16" t="s">
        <v>90</v>
      </c>
      <c r="BE91" s="16" t="s">
        <v>402</v>
      </c>
      <c r="BF91" s="16" t="s">
        <v>403</v>
      </c>
      <c r="BG91" s="16" t="s">
        <v>404</v>
      </c>
      <c r="BH91" s="16" t="s">
        <v>1264</v>
      </c>
      <c r="BI91" s="16" t="s">
        <v>377</v>
      </c>
      <c r="BJ91" s="16">
        <v>199</v>
      </c>
      <c r="BK91" s="16">
        <v>199</v>
      </c>
      <c r="BL91" s="16">
        <v>199</v>
      </c>
      <c r="BM91" s="16" t="s">
        <v>96</v>
      </c>
      <c r="BN91" s="16">
        <v>1</v>
      </c>
      <c r="BO91" s="16" t="s">
        <v>84</v>
      </c>
      <c r="BP91" s="16" t="s">
        <v>84</v>
      </c>
      <c r="BQ91" s="16" t="s">
        <v>84</v>
      </c>
      <c r="BR91" s="16" t="s">
        <v>97</v>
      </c>
      <c r="BS91" s="16" t="s">
        <v>98</v>
      </c>
      <c r="BT91" s="16">
        <v>0</v>
      </c>
    </row>
    <row r="92" s="1" customFormat="1" ht="16" customHeight="1" spans="1:72">
      <c r="A92" s="14">
        <f t="shared" si="13"/>
        <v>2025</v>
      </c>
      <c r="B92" s="14">
        <f t="shared" si="14"/>
        <v>8</v>
      </c>
      <c r="C92" s="14" t="str">
        <f t="shared" si="15"/>
        <v>3729987087858022400</v>
      </c>
      <c r="D92" s="14" cm="1">
        <f t="array" ref="D92">SUMPRODUCT(($R$2:$R$374=C92)*1)</f>
        <v>1</v>
      </c>
      <c r="E92" s="14" cm="1">
        <f t="array" ref="E92">SUMPRODUCT(($R$2:R92=C92)*1)</f>
        <v>1</v>
      </c>
      <c r="F92" s="15" t="str">
        <f t="shared" si="16"/>
        <v>Z1640-黑色-M</v>
      </c>
      <c r="G92" s="14" t="str">
        <f t="shared" si="17"/>
        <v>Z1640</v>
      </c>
      <c r="H92" s="15">
        <f t="shared" si="18"/>
        <v>1</v>
      </c>
      <c r="I92" s="14">
        <f t="shared" si="19"/>
        <v>289</v>
      </c>
      <c r="J92" s="15">
        <f t="shared" si="20"/>
        <v>0</v>
      </c>
      <c r="K92" s="15">
        <f t="shared" si="21"/>
        <v>0</v>
      </c>
      <c r="L92" s="15">
        <f t="shared" si="22"/>
        <v>-14.45</v>
      </c>
      <c r="M92" s="15">
        <f t="shared" si="23"/>
        <v>0</v>
      </c>
      <c r="N92" s="15">
        <f t="shared" si="24"/>
        <v>-1.5</v>
      </c>
      <c r="O92" s="15">
        <f t="shared" si="25"/>
        <v>273.05</v>
      </c>
      <c r="R92" s="16" t="s">
        <v>1327</v>
      </c>
      <c r="S92" s="16" t="s">
        <v>1328</v>
      </c>
      <c r="T92" s="16" t="s">
        <v>1329</v>
      </c>
      <c r="U92" s="16" t="s">
        <v>1330</v>
      </c>
      <c r="V92" s="16" t="s">
        <v>1331</v>
      </c>
      <c r="W92" s="16" t="s">
        <v>76</v>
      </c>
      <c r="X92" s="16" t="s">
        <v>77</v>
      </c>
      <c r="Y92" s="16" t="s">
        <v>205</v>
      </c>
      <c r="Z92" s="16" t="s">
        <v>1332</v>
      </c>
      <c r="AA92" s="16" t="s">
        <v>280</v>
      </c>
      <c r="AB92" s="16" t="s">
        <v>281</v>
      </c>
      <c r="AC92" s="16" t="s">
        <v>1333</v>
      </c>
      <c r="AD92" s="16" t="s">
        <v>1334</v>
      </c>
      <c r="AE92" s="16" t="s">
        <v>84</v>
      </c>
      <c r="AF92" s="16" t="s">
        <v>84</v>
      </c>
      <c r="AG92" s="16">
        <v>289</v>
      </c>
      <c r="AH92" s="16">
        <v>289</v>
      </c>
      <c r="AI92" s="17">
        <v>289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 t="s">
        <v>137</v>
      </c>
      <c r="AP92" s="16" t="s">
        <v>1335</v>
      </c>
      <c r="AQ92" s="16" t="s">
        <v>1336</v>
      </c>
      <c r="AR92" s="16" t="s">
        <v>88</v>
      </c>
      <c r="AS92" s="16" t="s">
        <v>1337</v>
      </c>
      <c r="AT92" s="16">
        <v>14.45</v>
      </c>
      <c r="AU92" s="16" t="s">
        <v>90</v>
      </c>
      <c r="AV92" s="16">
        <v>1.5</v>
      </c>
      <c r="AW92" s="16" t="s">
        <v>115</v>
      </c>
      <c r="AX92" s="16" t="s">
        <v>116</v>
      </c>
      <c r="AY92" s="16" t="s">
        <v>117</v>
      </c>
      <c r="AZ92" s="16" t="s">
        <v>118</v>
      </c>
      <c r="BA92" s="16" t="s">
        <v>119</v>
      </c>
      <c r="BB92" s="16">
        <v>0</v>
      </c>
      <c r="BC92" s="16" t="s">
        <v>84</v>
      </c>
      <c r="BD92" s="16" t="s">
        <v>90</v>
      </c>
      <c r="BE92" s="16" t="s">
        <v>1128</v>
      </c>
      <c r="BF92" s="16" t="s">
        <v>1129</v>
      </c>
      <c r="BG92" s="16" t="s">
        <v>1130</v>
      </c>
      <c r="BH92" s="16" t="s">
        <v>1314</v>
      </c>
      <c r="BI92" s="16" t="s">
        <v>308</v>
      </c>
      <c r="BJ92" s="16">
        <v>289</v>
      </c>
      <c r="BK92" s="16">
        <v>289</v>
      </c>
      <c r="BL92" s="16">
        <v>289</v>
      </c>
      <c r="BM92" s="16" t="s">
        <v>96</v>
      </c>
      <c r="BN92" s="16">
        <v>1</v>
      </c>
      <c r="BO92" s="16" t="s">
        <v>84</v>
      </c>
      <c r="BP92" s="16" t="s">
        <v>84</v>
      </c>
      <c r="BQ92" s="16" t="s">
        <v>84</v>
      </c>
      <c r="BR92" s="16" t="s">
        <v>97</v>
      </c>
      <c r="BS92" s="16" t="s">
        <v>98</v>
      </c>
      <c r="BT92" s="16">
        <v>0</v>
      </c>
    </row>
    <row r="93" s="1" customFormat="1" ht="16" customHeight="1" spans="1:72">
      <c r="A93" s="14">
        <f t="shared" si="13"/>
        <v>2025</v>
      </c>
      <c r="B93" s="14">
        <f t="shared" si="14"/>
        <v>8</v>
      </c>
      <c r="C93" s="14" t="str">
        <f t="shared" si="15"/>
        <v>3729987078858090496</v>
      </c>
      <c r="D93" s="14" cm="1">
        <f t="array" ref="D93">SUMPRODUCT(($R$2:$R$374=C93)*1)</f>
        <v>1</v>
      </c>
      <c r="E93" s="14" cm="1">
        <f t="array" ref="E93">SUMPRODUCT(($R$2:R93=C93)*1)</f>
        <v>1</v>
      </c>
      <c r="F93" s="15" t="str">
        <f t="shared" si="16"/>
        <v>Z1640-黑色-L</v>
      </c>
      <c r="G93" s="14" t="str">
        <f t="shared" si="17"/>
        <v>Z1640</v>
      </c>
      <c r="H93" s="15">
        <f t="shared" si="18"/>
        <v>1</v>
      </c>
      <c r="I93" s="14">
        <f t="shared" si="19"/>
        <v>289</v>
      </c>
      <c r="J93" s="15">
        <f t="shared" si="20"/>
        <v>0</v>
      </c>
      <c r="K93" s="15">
        <f t="shared" si="21"/>
        <v>0</v>
      </c>
      <c r="L93" s="15">
        <f t="shared" si="22"/>
        <v>-14.45</v>
      </c>
      <c r="M93" s="15">
        <f t="shared" si="23"/>
        <v>0</v>
      </c>
      <c r="N93" s="15">
        <f t="shared" si="24"/>
        <v>-1.5</v>
      </c>
      <c r="O93" s="15">
        <f t="shared" si="25"/>
        <v>273.05</v>
      </c>
      <c r="R93" s="16" t="s">
        <v>1338</v>
      </c>
      <c r="S93" s="16" t="s">
        <v>1339</v>
      </c>
      <c r="T93" s="16" t="s">
        <v>1340</v>
      </c>
      <c r="U93" s="16" t="s">
        <v>1341</v>
      </c>
      <c r="V93" s="16" t="s">
        <v>1342</v>
      </c>
      <c r="W93" s="16" t="s">
        <v>76</v>
      </c>
      <c r="X93" s="16" t="s">
        <v>77</v>
      </c>
      <c r="Y93" s="16" t="s">
        <v>241</v>
      </c>
      <c r="Z93" s="16" t="s">
        <v>189</v>
      </c>
      <c r="AA93" s="16" t="s">
        <v>107</v>
      </c>
      <c r="AB93" s="16" t="s">
        <v>190</v>
      </c>
      <c r="AC93" s="16" t="s">
        <v>191</v>
      </c>
      <c r="AD93" s="16" t="s">
        <v>1343</v>
      </c>
      <c r="AE93" s="16" t="s">
        <v>84</v>
      </c>
      <c r="AF93" s="16" t="s">
        <v>84</v>
      </c>
      <c r="AG93" s="16">
        <v>289</v>
      </c>
      <c r="AH93" s="16">
        <v>289</v>
      </c>
      <c r="AI93" s="17">
        <v>289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 t="s">
        <v>137</v>
      </c>
      <c r="AP93" s="16" t="s">
        <v>1344</v>
      </c>
      <c r="AQ93" s="16" t="s">
        <v>1345</v>
      </c>
      <c r="AR93" s="16" t="s">
        <v>88</v>
      </c>
      <c r="AS93" s="16" t="s">
        <v>1346</v>
      </c>
      <c r="AT93" s="16">
        <v>14.45</v>
      </c>
      <c r="AU93" s="16" t="s">
        <v>90</v>
      </c>
      <c r="AV93" s="16">
        <v>1.5</v>
      </c>
      <c r="AW93" s="16" t="s">
        <v>115</v>
      </c>
      <c r="AX93" s="16" t="s">
        <v>116</v>
      </c>
      <c r="AY93" s="16" t="s">
        <v>117</v>
      </c>
      <c r="AZ93" s="16" t="s">
        <v>118</v>
      </c>
      <c r="BA93" s="16" t="s">
        <v>119</v>
      </c>
      <c r="BB93" s="16">
        <v>0</v>
      </c>
      <c r="BC93" s="16" t="s">
        <v>84</v>
      </c>
      <c r="BD93" s="16" t="s">
        <v>90</v>
      </c>
      <c r="BE93" s="16" t="s">
        <v>1128</v>
      </c>
      <c r="BF93" s="16" t="s">
        <v>1129</v>
      </c>
      <c r="BG93" s="16" t="s">
        <v>1130</v>
      </c>
      <c r="BH93" s="16" t="s">
        <v>1131</v>
      </c>
      <c r="BI93" s="16" t="s">
        <v>406</v>
      </c>
      <c r="BJ93" s="16">
        <v>289</v>
      </c>
      <c r="BK93" s="16">
        <v>289</v>
      </c>
      <c r="BL93" s="16">
        <v>289</v>
      </c>
      <c r="BM93" s="16" t="s">
        <v>96</v>
      </c>
      <c r="BN93" s="16">
        <v>1</v>
      </c>
      <c r="BO93" s="16" t="s">
        <v>84</v>
      </c>
      <c r="BP93" s="16" t="s">
        <v>84</v>
      </c>
      <c r="BQ93" s="16" t="s">
        <v>84</v>
      </c>
      <c r="BR93" s="16" t="s">
        <v>97</v>
      </c>
      <c r="BS93" s="16" t="s">
        <v>98</v>
      </c>
      <c r="BT93" s="16">
        <v>0</v>
      </c>
    </row>
    <row r="94" s="1" customFormat="1" ht="16" customHeight="1" spans="1:72">
      <c r="A94" s="14">
        <f t="shared" si="13"/>
        <v>2025</v>
      </c>
      <c r="B94" s="14">
        <f t="shared" si="14"/>
        <v>8</v>
      </c>
      <c r="C94" s="14" t="str">
        <f t="shared" si="15"/>
        <v>3729987077234636544</v>
      </c>
      <c r="D94" s="14" cm="1">
        <f t="array" ref="D94">SUMPRODUCT(($R$2:$R$374=C94)*1)</f>
        <v>1</v>
      </c>
      <c r="E94" s="14" cm="1">
        <f t="array" ref="E94">SUMPRODUCT(($R$2:R94=C94)*1)</f>
        <v>1</v>
      </c>
      <c r="F94" s="15" t="str">
        <f t="shared" si="16"/>
        <v>Z1640-黑色-M</v>
      </c>
      <c r="G94" s="14" t="str">
        <f t="shared" si="17"/>
        <v>Z1640</v>
      </c>
      <c r="H94" s="15">
        <f t="shared" si="18"/>
        <v>1</v>
      </c>
      <c r="I94" s="14">
        <f t="shared" si="19"/>
        <v>289</v>
      </c>
      <c r="J94" s="15">
        <f t="shared" si="20"/>
        <v>0</v>
      </c>
      <c r="K94" s="15">
        <f t="shared" si="21"/>
        <v>0</v>
      </c>
      <c r="L94" s="15">
        <f t="shared" si="22"/>
        <v>-14.45</v>
      </c>
      <c r="M94" s="15">
        <f t="shared" si="23"/>
        <v>0</v>
      </c>
      <c r="N94" s="15">
        <f t="shared" si="24"/>
        <v>-1.5</v>
      </c>
      <c r="O94" s="15">
        <f t="shared" si="25"/>
        <v>273.05</v>
      </c>
      <c r="R94" s="16" t="s">
        <v>1347</v>
      </c>
      <c r="S94" s="16" t="s">
        <v>1348</v>
      </c>
      <c r="T94" s="16" t="s">
        <v>1329</v>
      </c>
      <c r="U94" s="16" t="s">
        <v>1349</v>
      </c>
      <c r="V94" s="16" t="s">
        <v>1350</v>
      </c>
      <c r="W94" s="16" t="s">
        <v>76</v>
      </c>
      <c r="X94" s="16" t="s">
        <v>77</v>
      </c>
      <c r="Y94" s="16" t="s">
        <v>1351</v>
      </c>
      <c r="Z94" s="16" t="s">
        <v>1352</v>
      </c>
      <c r="AA94" s="16" t="s">
        <v>369</v>
      </c>
      <c r="AB94" s="16" t="s">
        <v>1353</v>
      </c>
      <c r="AC94" s="16" t="s">
        <v>1354</v>
      </c>
      <c r="AD94" s="16" t="s">
        <v>1355</v>
      </c>
      <c r="AE94" s="16" t="s">
        <v>84</v>
      </c>
      <c r="AF94" s="16" t="s">
        <v>84</v>
      </c>
      <c r="AG94" s="16">
        <v>289</v>
      </c>
      <c r="AH94" s="16">
        <v>289</v>
      </c>
      <c r="AI94" s="17">
        <v>289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 t="s">
        <v>137</v>
      </c>
      <c r="AP94" s="16" t="s">
        <v>1356</v>
      </c>
      <c r="AQ94" s="16" t="s">
        <v>1357</v>
      </c>
      <c r="AR94" s="16" t="s">
        <v>88</v>
      </c>
      <c r="AS94" s="16" t="s">
        <v>1358</v>
      </c>
      <c r="AT94" s="16">
        <v>14.45</v>
      </c>
      <c r="AU94" s="16" t="s">
        <v>90</v>
      </c>
      <c r="AV94" s="16">
        <v>1.5</v>
      </c>
      <c r="AW94" s="16" t="s">
        <v>115</v>
      </c>
      <c r="AX94" s="16" t="s">
        <v>116</v>
      </c>
      <c r="AY94" s="16" t="s">
        <v>117</v>
      </c>
      <c r="AZ94" s="16" t="s">
        <v>118</v>
      </c>
      <c r="BA94" s="16" t="s">
        <v>119</v>
      </c>
      <c r="BB94" s="16">
        <v>0</v>
      </c>
      <c r="BC94" s="16" t="s">
        <v>84</v>
      </c>
      <c r="BD94" s="16" t="s">
        <v>90</v>
      </c>
      <c r="BE94" s="16" t="s">
        <v>1128</v>
      </c>
      <c r="BF94" s="16" t="s">
        <v>1129</v>
      </c>
      <c r="BG94" s="16" t="s">
        <v>1130</v>
      </c>
      <c r="BH94" s="16" t="s">
        <v>1314</v>
      </c>
      <c r="BI94" s="16" t="s">
        <v>308</v>
      </c>
      <c r="BJ94" s="16">
        <v>289</v>
      </c>
      <c r="BK94" s="16">
        <v>289</v>
      </c>
      <c r="BL94" s="16">
        <v>289</v>
      </c>
      <c r="BM94" s="16" t="s">
        <v>96</v>
      </c>
      <c r="BN94" s="16">
        <v>1</v>
      </c>
      <c r="BO94" s="16" t="s">
        <v>84</v>
      </c>
      <c r="BP94" s="16" t="s">
        <v>84</v>
      </c>
      <c r="BQ94" s="16" t="s">
        <v>84</v>
      </c>
      <c r="BR94" s="16" t="s">
        <v>97</v>
      </c>
      <c r="BS94" s="16" t="s">
        <v>98</v>
      </c>
      <c r="BT94" s="16">
        <v>0</v>
      </c>
    </row>
    <row r="95" s="1" customFormat="1" ht="16" customHeight="1" spans="1:72">
      <c r="A95" s="14">
        <f t="shared" si="13"/>
        <v>2025</v>
      </c>
      <c r="B95" s="14">
        <f t="shared" si="14"/>
        <v>8</v>
      </c>
      <c r="C95" s="14" t="str">
        <f t="shared" si="15"/>
        <v>3729987077409748737</v>
      </c>
      <c r="D95" s="14" cm="1">
        <f t="array" ref="D95">SUMPRODUCT(($R$2:$R$374=C95)*1)</f>
        <v>1</v>
      </c>
      <c r="E95" s="14" cm="1">
        <f t="array" ref="E95">SUMPRODUCT(($R$2:R95=C95)*1)</f>
        <v>1</v>
      </c>
      <c r="F95" s="15" t="str">
        <f t="shared" si="16"/>
        <v>Z1640-黑色-M</v>
      </c>
      <c r="G95" s="14" t="str">
        <f t="shared" si="17"/>
        <v>Z1640</v>
      </c>
      <c r="H95" s="15">
        <f t="shared" si="18"/>
        <v>1</v>
      </c>
      <c r="I95" s="14">
        <f t="shared" si="19"/>
        <v>289</v>
      </c>
      <c r="J95" s="15">
        <f t="shared" si="20"/>
        <v>0</v>
      </c>
      <c r="K95" s="15">
        <f t="shared" si="21"/>
        <v>0</v>
      </c>
      <c r="L95" s="15">
        <f t="shared" si="22"/>
        <v>-14.45</v>
      </c>
      <c r="M95" s="15">
        <f t="shared" si="23"/>
        <v>0</v>
      </c>
      <c r="N95" s="15">
        <f t="shared" si="24"/>
        <v>-1.5</v>
      </c>
      <c r="O95" s="15">
        <f t="shared" si="25"/>
        <v>273.05</v>
      </c>
      <c r="R95" s="16" t="s">
        <v>1359</v>
      </c>
      <c r="S95" s="16" t="s">
        <v>1360</v>
      </c>
      <c r="T95" s="16" t="s">
        <v>1329</v>
      </c>
      <c r="U95" s="16" t="s">
        <v>1361</v>
      </c>
      <c r="V95" s="16" t="s">
        <v>1362</v>
      </c>
      <c r="W95" s="16" t="s">
        <v>76</v>
      </c>
      <c r="X95" s="16" t="s">
        <v>77</v>
      </c>
      <c r="Y95" s="16" t="s">
        <v>1363</v>
      </c>
      <c r="Z95" s="16" t="s">
        <v>1364</v>
      </c>
      <c r="AA95" s="16" t="s">
        <v>1365</v>
      </c>
      <c r="AB95" s="16" t="s">
        <v>1366</v>
      </c>
      <c r="AC95" s="16" t="s">
        <v>1367</v>
      </c>
      <c r="AD95" s="16" t="s">
        <v>1368</v>
      </c>
      <c r="AE95" s="16" t="s">
        <v>84</v>
      </c>
      <c r="AF95" s="16" t="s">
        <v>84</v>
      </c>
      <c r="AG95" s="16">
        <v>289</v>
      </c>
      <c r="AH95" s="16">
        <v>289</v>
      </c>
      <c r="AI95" s="17">
        <v>289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 t="s">
        <v>85</v>
      </c>
      <c r="AP95" s="16" t="s">
        <v>1369</v>
      </c>
      <c r="AQ95" s="16" t="s">
        <v>1370</v>
      </c>
      <c r="AR95" s="16" t="s">
        <v>88</v>
      </c>
      <c r="AS95" s="16" t="s">
        <v>1371</v>
      </c>
      <c r="AT95" s="16">
        <v>14.45</v>
      </c>
      <c r="AU95" s="16" t="s">
        <v>90</v>
      </c>
      <c r="AV95" s="16">
        <v>1.5</v>
      </c>
      <c r="AW95" s="16" t="s">
        <v>115</v>
      </c>
      <c r="AX95" s="16" t="s">
        <v>116</v>
      </c>
      <c r="AY95" s="16" t="s">
        <v>117</v>
      </c>
      <c r="AZ95" s="16" t="s">
        <v>118</v>
      </c>
      <c r="BA95" s="16" t="s">
        <v>119</v>
      </c>
      <c r="BB95" s="16">
        <v>0</v>
      </c>
      <c r="BC95" s="16" t="s">
        <v>84</v>
      </c>
      <c r="BD95" s="16" t="s">
        <v>90</v>
      </c>
      <c r="BE95" s="16" t="s">
        <v>1128</v>
      </c>
      <c r="BF95" s="16" t="s">
        <v>1129</v>
      </c>
      <c r="BG95" s="16" t="s">
        <v>1130</v>
      </c>
      <c r="BH95" s="16" t="s">
        <v>1314</v>
      </c>
      <c r="BI95" s="16" t="s">
        <v>308</v>
      </c>
      <c r="BJ95" s="16">
        <v>289</v>
      </c>
      <c r="BK95" s="16">
        <v>289</v>
      </c>
      <c r="BL95" s="16">
        <v>289</v>
      </c>
      <c r="BM95" s="16" t="s">
        <v>96</v>
      </c>
      <c r="BN95" s="16">
        <v>1</v>
      </c>
      <c r="BO95" s="16" t="s">
        <v>84</v>
      </c>
      <c r="BP95" s="16" t="s">
        <v>84</v>
      </c>
      <c r="BQ95" s="16" t="s">
        <v>84</v>
      </c>
      <c r="BR95" s="16" t="s">
        <v>97</v>
      </c>
      <c r="BS95" s="16" t="s">
        <v>98</v>
      </c>
      <c r="BT95" s="16">
        <v>0</v>
      </c>
    </row>
    <row r="96" s="1" customFormat="1" ht="16" customHeight="1" spans="1:72">
      <c r="A96" s="14">
        <f t="shared" si="13"/>
        <v>2025</v>
      </c>
      <c r="B96" s="14">
        <f t="shared" si="14"/>
        <v>8</v>
      </c>
      <c r="C96" s="14" t="str">
        <f t="shared" si="15"/>
        <v>3729987055737254144</v>
      </c>
      <c r="D96" s="14" cm="1">
        <f t="array" ref="D96">SUMPRODUCT(($R$2:$R$374=C96)*1)</f>
        <v>1</v>
      </c>
      <c r="E96" s="14" cm="1">
        <f t="array" ref="E96">SUMPRODUCT(($R$2:R96=C96)*1)</f>
        <v>1</v>
      </c>
      <c r="F96" s="15" t="str">
        <f t="shared" si="16"/>
        <v>Z1576-黑色-M</v>
      </c>
      <c r="G96" s="14" t="str">
        <f t="shared" si="17"/>
        <v>Z1576</v>
      </c>
      <c r="H96" s="15">
        <f t="shared" si="18"/>
        <v>1</v>
      </c>
      <c r="I96" s="14">
        <f t="shared" si="19"/>
        <v>199</v>
      </c>
      <c r="J96" s="15">
        <f t="shared" si="20"/>
        <v>0</v>
      </c>
      <c r="K96" s="15">
        <f t="shared" si="21"/>
        <v>0</v>
      </c>
      <c r="L96" s="15">
        <f t="shared" si="22"/>
        <v>-9.95</v>
      </c>
      <c r="M96" s="15">
        <f t="shared" si="23"/>
        <v>0</v>
      </c>
      <c r="N96" s="15">
        <f t="shared" si="24"/>
        <v>-1.5</v>
      </c>
      <c r="O96" s="15">
        <f t="shared" si="25"/>
        <v>187.55</v>
      </c>
      <c r="R96" s="16" t="s">
        <v>1372</v>
      </c>
      <c r="S96" s="16" t="s">
        <v>1373</v>
      </c>
      <c r="T96" s="16" t="s">
        <v>1374</v>
      </c>
      <c r="U96" s="16" t="s">
        <v>1375</v>
      </c>
      <c r="V96" s="16" t="s">
        <v>1376</v>
      </c>
      <c r="W96" s="16" t="s">
        <v>76</v>
      </c>
      <c r="X96" s="16" t="s">
        <v>77</v>
      </c>
      <c r="Y96" s="16" t="s">
        <v>510</v>
      </c>
      <c r="Z96" s="16" t="s">
        <v>1377</v>
      </c>
      <c r="AA96" s="16" t="s">
        <v>80</v>
      </c>
      <c r="AB96" s="16" t="s">
        <v>1378</v>
      </c>
      <c r="AC96" s="16" t="s">
        <v>1379</v>
      </c>
      <c r="AD96" s="16" t="s">
        <v>1380</v>
      </c>
      <c r="AE96" s="16" t="s">
        <v>84</v>
      </c>
      <c r="AF96" s="16" t="s">
        <v>84</v>
      </c>
      <c r="AG96" s="16">
        <v>199</v>
      </c>
      <c r="AH96" s="16">
        <v>199</v>
      </c>
      <c r="AI96" s="17">
        <v>199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 t="s">
        <v>85</v>
      </c>
      <c r="AP96" s="16" t="s">
        <v>1381</v>
      </c>
      <c r="AQ96" s="16" t="s">
        <v>1382</v>
      </c>
      <c r="AR96" s="16" t="s">
        <v>88</v>
      </c>
      <c r="AS96" s="16" t="s">
        <v>1383</v>
      </c>
      <c r="AT96" s="16">
        <v>9.95</v>
      </c>
      <c r="AU96" s="16" t="s">
        <v>90</v>
      </c>
      <c r="AV96" s="16">
        <v>1.5</v>
      </c>
      <c r="AW96" s="16" t="s">
        <v>115</v>
      </c>
      <c r="AX96" s="16" t="s">
        <v>116</v>
      </c>
      <c r="AY96" s="16" t="s">
        <v>117</v>
      </c>
      <c r="AZ96" s="16" t="s">
        <v>118</v>
      </c>
      <c r="BA96" s="16" t="s">
        <v>119</v>
      </c>
      <c r="BB96" s="16">
        <v>0</v>
      </c>
      <c r="BC96" s="16" t="s">
        <v>84</v>
      </c>
      <c r="BD96" s="16" t="s">
        <v>90</v>
      </c>
      <c r="BE96" s="16" t="s">
        <v>402</v>
      </c>
      <c r="BF96" s="16" t="s">
        <v>403</v>
      </c>
      <c r="BG96" s="16" t="s">
        <v>404</v>
      </c>
      <c r="BH96" s="16" t="s">
        <v>474</v>
      </c>
      <c r="BI96" s="16" t="s">
        <v>308</v>
      </c>
      <c r="BJ96" s="16">
        <v>199</v>
      </c>
      <c r="BK96" s="16">
        <v>199</v>
      </c>
      <c r="BL96" s="16">
        <v>199</v>
      </c>
      <c r="BM96" s="16" t="s">
        <v>96</v>
      </c>
      <c r="BN96" s="16">
        <v>1</v>
      </c>
      <c r="BO96" s="16" t="s">
        <v>84</v>
      </c>
      <c r="BP96" s="16" t="s">
        <v>84</v>
      </c>
      <c r="BQ96" s="16" t="s">
        <v>84</v>
      </c>
      <c r="BR96" s="16" t="s">
        <v>97</v>
      </c>
      <c r="BS96" s="16" t="s">
        <v>98</v>
      </c>
      <c r="BT96" s="16">
        <v>0</v>
      </c>
    </row>
    <row r="97" s="1" customFormat="1" ht="16" customHeight="1" spans="1:72">
      <c r="A97" s="14">
        <f t="shared" si="13"/>
        <v>2025</v>
      </c>
      <c r="B97" s="14">
        <f t="shared" si="14"/>
        <v>8</v>
      </c>
      <c r="C97" s="14" t="str">
        <f t="shared" si="15"/>
        <v>3729987046644522496</v>
      </c>
      <c r="D97" s="14" cm="1">
        <f t="array" ref="D97">SUMPRODUCT(($R$2:$R$374=C97)*1)</f>
        <v>1</v>
      </c>
      <c r="E97" s="14" cm="1">
        <f t="array" ref="E97">SUMPRODUCT(($R$2:R97=C97)*1)</f>
        <v>1</v>
      </c>
      <c r="F97" s="15" t="str">
        <f t="shared" si="16"/>
        <v>Z1576-黑色-M</v>
      </c>
      <c r="G97" s="14" t="str">
        <f t="shared" si="17"/>
        <v>Z1576</v>
      </c>
      <c r="H97" s="15">
        <f t="shared" si="18"/>
        <v>1</v>
      </c>
      <c r="I97" s="14">
        <f t="shared" si="19"/>
        <v>199</v>
      </c>
      <c r="J97" s="15">
        <f t="shared" si="20"/>
        <v>0</v>
      </c>
      <c r="K97" s="15">
        <f t="shared" si="21"/>
        <v>0</v>
      </c>
      <c r="L97" s="15">
        <f t="shared" si="22"/>
        <v>-9.95</v>
      </c>
      <c r="M97" s="15">
        <f t="shared" si="23"/>
        <v>0</v>
      </c>
      <c r="N97" s="15">
        <f t="shared" si="24"/>
        <v>-1.5</v>
      </c>
      <c r="O97" s="15">
        <f t="shared" si="25"/>
        <v>187.55</v>
      </c>
      <c r="R97" s="16" t="s">
        <v>1384</v>
      </c>
      <c r="S97" s="16" t="s">
        <v>1385</v>
      </c>
      <c r="T97" s="16" t="s">
        <v>1386</v>
      </c>
      <c r="U97" s="16" t="s">
        <v>1387</v>
      </c>
      <c r="V97" s="16" t="s">
        <v>1388</v>
      </c>
      <c r="W97" s="16" t="s">
        <v>76</v>
      </c>
      <c r="X97" s="16" t="s">
        <v>77</v>
      </c>
      <c r="Y97" s="16" t="s">
        <v>1351</v>
      </c>
      <c r="Z97" s="16" t="s">
        <v>1352</v>
      </c>
      <c r="AA97" s="16" t="s">
        <v>369</v>
      </c>
      <c r="AB97" s="16" t="s">
        <v>1353</v>
      </c>
      <c r="AC97" s="16" t="s">
        <v>1354</v>
      </c>
      <c r="AD97" s="16" t="s">
        <v>1355</v>
      </c>
      <c r="AE97" s="16" t="s">
        <v>84</v>
      </c>
      <c r="AF97" s="16" t="s">
        <v>84</v>
      </c>
      <c r="AG97" s="16">
        <v>199</v>
      </c>
      <c r="AH97" s="16">
        <v>199</v>
      </c>
      <c r="AI97" s="17">
        <v>199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 t="s">
        <v>137</v>
      </c>
      <c r="AP97" s="16" t="s">
        <v>1389</v>
      </c>
      <c r="AQ97" s="16" t="s">
        <v>1390</v>
      </c>
      <c r="AR97" s="16" t="s">
        <v>88</v>
      </c>
      <c r="AS97" s="16" t="s">
        <v>1391</v>
      </c>
      <c r="AT97" s="16">
        <v>9.95</v>
      </c>
      <c r="AU97" s="16" t="s">
        <v>90</v>
      </c>
      <c r="AV97" s="16">
        <v>1.5</v>
      </c>
      <c r="AW97" s="16" t="s">
        <v>115</v>
      </c>
      <c r="AX97" s="16" t="s">
        <v>116</v>
      </c>
      <c r="AY97" s="16" t="s">
        <v>117</v>
      </c>
      <c r="AZ97" s="16" t="s">
        <v>118</v>
      </c>
      <c r="BA97" s="16" t="s">
        <v>119</v>
      </c>
      <c r="BB97" s="16">
        <v>0</v>
      </c>
      <c r="BC97" s="16" t="s">
        <v>84</v>
      </c>
      <c r="BD97" s="16" t="s">
        <v>90</v>
      </c>
      <c r="BE97" s="16" t="s">
        <v>402</v>
      </c>
      <c r="BF97" s="16" t="s">
        <v>403</v>
      </c>
      <c r="BG97" s="16" t="s">
        <v>404</v>
      </c>
      <c r="BH97" s="16" t="s">
        <v>474</v>
      </c>
      <c r="BI97" s="16" t="s">
        <v>308</v>
      </c>
      <c r="BJ97" s="16">
        <v>199</v>
      </c>
      <c r="BK97" s="16">
        <v>199</v>
      </c>
      <c r="BL97" s="16">
        <v>199</v>
      </c>
      <c r="BM97" s="16" t="s">
        <v>96</v>
      </c>
      <c r="BN97" s="16">
        <v>1</v>
      </c>
      <c r="BO97" s="16" t="s">
        <v>84</v>
      </c>
      <c r="BP97" s="16" t="s">
        <v>84</v>
      </c>
      <c r="BQ97" s="16" t="s">
        <v>84</v>
      </c>
      <c r="BR97" s="16" t="s">
        <v>97</v>
      </c>
      <c r="BS97" s="16" t="s">
        <v>98</v>
      </c>
      <c r="BT97" s="16">
        <v>0</v>
      </c>
    </row>
    <row r="98" s="1" customFormat="1" ht="16" customHeight="1" spans="1:72">
      <c r="A98" s="14">
        <f t="shared" si="13"/>
        <v>2025</v>
      </c>
      <c r="B98" s="14">
        <f t="shared" si="14"/>
        <v>8</v>
      </c>
      <c r="C98" s="14" t="str">
        <f t="shared" si="15"/>
        <v>3729987045830045696</v>
      </c>
      <c r="D98" s="14" cm="1">
        <f t="array" ref="D98">SUMPRODUCT(($R$2:$R$374=C98)*1)</f>
        <v>1</v>
      </c>
      <c r="E98" s="14" cm="1">
        <f t="array" ref="E98">SUMPRODUCT(($R$2:R98=C98)*1)</f>
        <v>1</v>
      </c>
      <c r="F98" s="15" t="str">
        <f t="shared" si="16"/>
        <v>Z1576-黑色-L</v>
      </c>
      <c r="G98" s="14" t="str">
        <f t="shared" si="17"/>
        <v>Z1576</v>
      </c>
      <c r="H98" s="15">
        <f t="shared" si="18"/>
        <v>1</v>
      </c>
      <c r="I98" s="14">
        <f t="shared" si="19"/>
        <v>199</v>
      </c>
      <c r="J98" s="15">
        <f t="shared" si="20"/>
        <v>0</v>
      </c>
      <c r="K98" s="15">
        <f t="shared" si="21"/>
        <v>0</v>
      </c>
      <c r="L98" s="15">
        <f t="shared" si="22"/>
        <v>-9.95</v>
      </c>
      <c r="M98" s="15">
        <f t="shared" si="23"/>
        <v>0</v>
      </c>
      <c r="N98" s="15">
        <f t="shared" si="24"/>
        <v>-1.5</v>
      </c>
      <c r="O98" s="15">
        <f t="shared" si="25"/>
        <v>187.55</v>
      </c>
      <c r="R98" s="16" t="s">
        <v>1392</v>
      </c>
      <c r="S98" s="16" t="s">
        <v>1393</v>
      </c>
      <c r="T98" s="16" t="s">
        <v>1043</v>
      </c>
      <c r="U98" s="16" t="s">
        <v>1394</v>
      </c>
      <c r="V98" s="16" t="s">
        <v>1395</v>
      </c>
      <c r="W98" s="16" t="s">
        <v>76</v>
      </c>
      <c r="X98" s="16" t="s">
        <v>77</v>
      </c>
      <c r="Y98" s="16" t="s">
        <v>1307</v>
      </c>
      <c r="Z98" s="16" t="s">
        <v>261</v>
      </c>
      <c r="AA98" s="16" t="s">
        <v>262</v>
      </c>
      <c r="AB98" s="16" t="s">
        <v>263</v>
      </c>
      <c r="AC98" s="16" t="s">
        <v>264</v>
      </c>
      <c r="AD98" s="16" t="s">
        <v>1396</v>
      </c>
      <c r="AE98" s="16" t="s">
        <v>84</v>
      </c>
      <c r="AF98" s="16" t="s">
        <v>84</v>
      </c>
      <c r="AG98" s="16">
        <v>199</v>
      </c>
      <c r="AH98" s="16">
        <v>199</v>
      </c>
      <c r="AI98" s="17">
        <v>199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 t="s">
        <v>85</v>
      </c>
      <c r="AP98" s="16" t="s">
        <v>1397</v>
      </c>
      <c r="AQ98" s="16" t="s">
        <v>1398</v>
      </c>
      <c r="AR98" s="16" t="s">
        <v>88</v>
      </c>
      <c r="AS98" s="16" t="s">
        <v>1399</v>
      </c>
      <c r="AT98" s="16">
        <v>9.95</v>
      </c>
      <c r="AU98" s="16" t="s">
        <v>90</v>
      </c>
      <c r="AV98" s="16">
        <v>1.5</v>
      </c>
      <c r="AW98" s="16" t="s">
        <v>115</v>
      </c>
      <c r="AX98" s="16" t="s">
        <v>116</v>
      </c>
      <c r="AY98" s="16" t="s">
        <v>117</v>
      </c>
      <c r="AZ98" s="16" t="s">
        <v>118</v>
      </c>
      <c r="BA98" s="16" t="s">
        <v>119</v>
      </c>
      <c r="BB98" s="16">
        <v>0</v>
      </c>
      <c r="BC98" s="16" t="s">
        <v>84</v>
      </c>
      <c r="BD98" s="16" t="s">
        <v>90</v>
      </c>
      <c r="BE98" s="16" t="s">
        <v>402</v>
      </c>
      <c r="BF98" s="16" t="s">
        <v>403</v>
      </c>
      <c r="BG98" s="16" t="s">
        <v>404</v>
      </c>
      <c r="BH98" s="16" t="s">
        <v>405</v>
      </c>
      <c r="BI98" s="16" t="s">
        <v>406</v>
      </c>
      <c r="BJ98" s="16">
        <v>199</v>
      </c>
      <c r="BK98" s="16">
        <v>199</v>
      </c>
      <c r="BL98" s="16">
        <v>199</v>
      </c>
      <c r="BM98" s="16" t="s">
        <v>96</v>
      </c>
      <c r="BN98" s="16">
        <v>1</v>
      </c>
      <c r="BO98" s="16" t="s">
        <v>84</v>
      </c>
      <c r="BP98" s="16" t="s">
        <v>84</v>
      </c>
      <c r="BQ98" s="16" t="s">
        <v>84</v>
      </c>
      <c r="BR98" s="16" t="s">
        <v>97</v>
      </c>
      <c r="BS98" s="16" t="s">
        <v>98</v>
      </c>
      <c r="BT98" s="16">
        <v>0</v>
      </c>
    </row>
    <row r="99" s="1" customFormat="1" ht="16" customHeight="1" spans="1:72">
      <c r="A99" s="14">
        <f t="shared" si="13"/>
        <v>2025</v>
      </c>
      <c r="B99" s="14">
        <f t="shared" si="14"/>
        <v>8</v>
      </c>
      <c r="C99" s="14" t="str">
        <f t="shared" si="15"/>
        <v>3729987046130726656</v>
      </c>
      <c r="D99" s="14" cm="1">
        <f t="array" ref="D99">SUMPRODUCT(($R$2:$R$374=C99)*1)</f>
        <v>1</v>
      </c>
      <c r="E99" s="14" cm="1">
        <f t="array" ref="E99">SUMPRODUCT(($R$2:R99=C99)*1)</f>
        <v>1</v>
      </c>
      <c r="F99" s="15" t="str">
        <f t="shared" si="16"/>
        <v>Z1576-黑色-M</v>
      </c>
      <c r="G99" s="14" t="str">
        <f t="shared" si="17"/>
        <v>Z1576</v>
      </c>
      <c r="H99" s="15">
        <f t="shared" si="18"/>
        <v>1</v>
      </c>
      <c r="I99" s="14">
        <f t="shared" si="19"/>
        <v>199</v>
      </c>
      <c r="J99" s="15">
        <f t="shared" si="20"/>
        <v>0</v>
      </c>
      <c r="K99" s="15">
        <f t="shared" si="21"/>
        <v>0</v>
      </c>
      <c r="L99" s="15">
        <f t="shared" si="22"/>
        <v>-9.95</v>
      </c>
      <c r="M99" s="15">
        <f t="shared" si="23"/>
        <v>0</v>
      </c>
      <c r="N99" s="15">
        <f t="shared" si="24"/>
        <v>-1.5</v>
      </c>
      <c r="O99" s="15">
        <f t="shared" si="25"/>
        <v>187.55</v>
      </c>
      <c r="R99" s="16" t="s">
        <v>1400</v>
      </c>
      <c r="S99" s="16" t="s">
        <v>1393</v>
      </c>
      <c r="T99" s="16" t="s">
        <v>1401</v>
      </c>
      <c r="U99" s="16" t="s">
        <v>1402</v>
      </c>
      <c r="V99" s="16" t="s">
        <v>1403</v>
      </c>
      <c r="W99" s="16" t="s">
        <v>76</v>
      </c>
      <c r="X99" s="16" t="s">
        <v>77</v>
      </c>
      <c r="Y99" s="16" t="s">
        <v>543</v>
      </c>
      <c r="Z99" s="16" t="s">
        <v>1404</v>
      </c>
      <c r="AA99" s="16" t="s">
        <v>1405</v>
      </c>
      <c r="AB99" s="16" t="s">
        <v>1406</v>
      </c>
      <c r="AC99" s="16" t="s">
        <v>1407</v>
      </c>
      <c r="AD99" s="16" t="s">
        <v>1408</v>
      </c>
      <c r="AE99" s="16" t="s">
        <v>84</v>
      </c>
      <c r="AF99" s="16" t="s">
        <v>84</v>
      </c>
      <c r="AG99" s="16">
        <v>199</v>
      </c>
      <c r="AH99" s="16">
        <v>199</v>
      </c>
      <c r="AI99" s="17">
        <v>199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 t="s">
        <v>85</v>
      </c>
      <c r="AP99" s="16" t="s">
        <v>1409</v>
      </c>
      <c r="AQ99" s="16" t="s">
        <v>1410</v>
      </c>
      <c r="AR99" s="16" t="s">
        <v>88</v>
      </c>
      <c r="AS99" s="16" t="s">
        <v>1411</v>
      </c>
      <c r="AT99" s="16">
        <v>9.95</v>
      </c>
      <c r="AU99" s="16" t="s">
        <v>90</v>
      </c>
      <c r="AV99" s="16">
        <v>1.5</v>
      </c>
      <c r="AW99" s="16" t="s">
        <v>115</v>
      </c>
      <c r="AX99" s="16" t="s">
        <v>116</v>
      </c>
      <c r="AY99" s="16" t="s">
        <v>117</v>
      </c>
      <c r="AZ99" s="16" t="s">
        <v>118</v>
      </c>
      <c r="BA99" s="16" t="s">
        <v>119</v>
      </c>
      <c r="BB99" s="16">
        <v>0</v>
      </c>
      <c r="BC99" s="16" t="s">
        <v>84</v>
      </c>
      <c r="BD99" s="16" t="s">
        <v>90</v>
      </c>
      <c r="BE99" s="16" t="s">
        <v>402</v>
      </c>
      <c r="BF99" s="16" t="s">
        <v>403</v>
      </c>
      <c r="BG99" s="16" t="s">
        <v>404</v>
      </c>
      <c r="BH99" s="16" t="s">
        <v>474</v>
      </c>
      <c r="BI99" s="16" t="s">
        <v>308</v>
      </c>
      <c r="BJ99" s="16">
        <v>199</v>
      </c>
      <c r="BK99" s="16">
        <v>199</v>
      </c>
      <c r="BL99" s="16">
        <v>199</v>
      </c>
      <c r="BM99" s="16" t="s">
        <v>96</v>
      </c>
      <c r="BN99" s="16">
        <v>1</v>
      </c>
      <c r="BO99" s="16" t="s">
        <v>84</v>
      </c>
      <c r="BP99" s="16" t="s">
        <v>84</v>
      </c>
      <c r="BQ99" s="16" t="s">
        <v>84</v>
      </c>
      <c r="BR99" s="16" t="s">
        <v>97</v>
      </c>
      <c r="BS99" s="16" t="s">
        <v>98</v>
      </c>
      <c r="BT99" s="16">
        <v>0</v>
      </c>
    </row>
    <row r="100" s="1" customFormat="1" ht="16" customHeight="1" spans="1:72">
      <c r="A100" s="14">
        <f t="shared" si="13"/>
        <v>2025</v>
      </c>
      <c r="B100" s="14">
        <f t="shared" si="14"/>
        <v>8</v>
      </c>
      <c r="C100" s="14" t="str">
        <f t="shared" si="15"/>
        <v>3729987044860369408</v>
      </c>
      <c r="D100" s="14" cm="1">
        <f t="array" ref="D100">SUMPRODUCT(($R$2:$R$374=C100)*1)</f>
        <v>1</v>
      </c>
      <c r="E100" s="14" cm="1">
        <f t="array" ref="E100">SUMPRODUCT(($R$2:R100=C100)*1)</f>
        <v>1</v>
      </c>
      <c r="F100" s="15" t="str">
        <f t="shared" si="16"/>
        <v>Z1576-黑色-M</v>
      </c>
      <c r="G100" s="14" t="str">
        <f t="shared" si="17"/>
        <v>Z1576</v>
      </c>
      <c r="H100" s="15">
        <f t="shared" si="18"/>
        <v>1</v>
      </c>
      <c r="I100" s="14">
        <f t="shared" si="19"/>
        <v>199</v>
      </c>
      <c r="J100" s="15">
        <f t="shared" si="20"/>
        <v>0</v>
      </c>
      <c r="K100" s="15">
        <f t="shared" si="21"/>
        <v>0</v>
      </c>
      <c r="L100" s="15">
        <f t="shared" si="22"/>
        <v>-9.95</v>
      </c>
      <c r="M100" s="15">
        <f t="shared" si="23"/>
        <v>0</v>
      </c>
      <c r="N100" s="15">
        <f t="shared" si="24"/>
        <v>-1.5</v>
      </c>
      <c r="O100" s="15">
        <f t="shared" si="25"/>
        <v>187.55</v>
      </c>
      <c r="R100" s="16" t="s">
        <v>1412</v>
      </c>
      <c r="S100" s="16" t="s">
        <v>1413</v>
      </c>
      <c r="T100" s="16" t="s">
        <v>1414</v>
      </c>
      <c r="U100" s="16" t="s">
        <v>1415</v>
      </c>
      <c r="V100" s="16" t="s">
        <v>1416</v>
      </c>
      <c r="W100" s="16" t="s">
        <v>76</v>
      </c>
      <c r="X100" s="16" t="s">
        <v>77</v>
      </c>
      <c r="Y100" s="16" t="s">
        <v>205</v>
      </c>
      <c r="Z100" s="16" t="s">
        <v>1332</v>
      </c>
      <c r="AA100" s="16" t="s">
        <v>280</v>
      </c>
      <c r="AB100" s="16" t="s">
        <v>281</v>
      </c>
      <c r="AC100" s="16" t="s">
        <v>1333</v>
      </c>
      <c r="AD100" s="16" t="s">
        <v>1334</v>
      </c>
      <c r="AE100" s="16" t="s">
        <v>84</v>
      </c>
      <c r="AF100" s="16" t="s">
        <v>84</v>
      </c>
      <c r="AG100" s="16">
        <v>199</v>
      </c>
      <c r="AH100" s="16">
        <v>199</v>
      </c>
      <c r="AI100" s="17">
        <v>199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 t="s">
        <v>137</v>
      </c>
      <c r="AP100" s="16" t="s">
        <v>1417</v>
      </c>
      <c r="AQ100" s="16" t="s">
        <v>1418</v>
      </c>
      <c r="AR100" s="16" t="s">
        <v>88</v>
      </c>
      <c r="AS100" s="16" t="s">
        <v>1419</v>
      </c>
      <c r="AT100" s="16">
        <v>9.95</v>
      </c>
      <c r="AU100" s="16" t="s">
        <v>90</v>
      </c>
      <c r="AV100" s="16">
        <v>1.5</v>
      </c>
      <c r="AW100" s="16" t="s">
        <v>115</v>
      </c>
      <c r="AX100" s="16" t="s">
        <v>116</v>
      </c>
      <c r="AY100" s="16" t="s">
        <v>117</v>
      </c>
      <c r="AZ100" s="16" t="s">
        <v>118</v>
      </c>
      <c r="BA100" s="16" t="s">
        <v>119</v>
      </c>
      <c r="BB100" s="16">
        <v>0</v>
      </c>
      <c r="BC100" s="16" t="s">
        <v>84</v>
      </c>
      <c r="BD100" s="16" t="s">
        <v>90</v>
      </c>
      <c r="BE100" s="16" t="s">
        <v>402</v>
      </c>
      <c r="BF100" s="16" t="s">
        <v>403</v>
      </c>
      <c r="BG100" s="16" t="s">
        <v>404</v>
      </c>
      <c r="BH100" s="16" t="s">
        <v>474</v>
      </c>
      <c r="BI100" s="16" t="s">
        <v>308</v>
      </c>
      <c r="BJ100" s="16">
        <v>199</v>
      </c>
      <c r="BK100" s="16">
        <v>199</v>
      </c>
      <c r="BL100" s="16">
        <v>199</v>
      </c>
      <c r="BM100" s="16" t="s">
        <v>96</v>
      </c>
      <c r="BN100" s="16">
        <v>1</v>
      </c>
      <c r="BO100" s="16" t="s">
        <v>84</v>
      </c>
      <c r="BP100" s="16" t="s">
        <v>84</v>
      </c>
      <c r="BQ100" s="16" t="s">
        <v>84</v>
      </c>
      <c r="BR100" s="16" t="s">
        <v>97</v>
      </c>
      <c r="BS100" s="16" t="s">
        <v>98</v>
      </c>
      <c r="BT100" s="16">
        <v>0</v>
      </c>
    </row>
    <row r="101" s="1" customFormat="1" ht="16" customHeight="1" spans="1:72">
      <c r="A101" s="14">
        <f t="shared" si="13"/>
        <v>2025</v>
      </c>
      <c r="B101" s="14">
        <f t="shared" si="14"/>
        <v>8</v>
      </c>
      <c r="C101" s="14" t="str">
        <f t="shared" si="15"/>
        <v>3729987045684026624</v>
      </c>
      <c r="D101" s="14" cm="1">
        <f t="array" ref="D101">SUMPRODUCT(($R$2:$R$374=C101)*1)</f>
        <v>1</v>
      </c>
      <c r="E101" s="14" cm="1">
        <f t="array" ref="E101">SUMPRODUCT(($R$2:R101=C101)*1)</f>
        <v>1</v>
      </c>
      <c r="F101" s="15" t="str">
        <f t="shared" si="16"/>
        <v>Z1576-黑色-M</v>
      </c>
      <c r="G101" s="14" t="str">
        <f t="shared" si="17"/>
        <v>Z1576</v>
      </c>
      <c r="H101" s="15">
        <f t="shared" si="18"/>
        <v>1</v>
      </c>
      <c r="I101" s="14">
        <f t="shared" si="19"/>
        <v>199</v>
      </c>
      <c r="J101" s="15">
        <f t="shared" si="20"/>
        <v>0</v>
      </c>
      <c r="K101" s="15">
        <f t="shared" si="21"/>
        <v>0</v>
      </c>
      <c r="L101" s="15">
        <f t="shared" si="22"/>
        <v>-9.95</v>
      </c>
      <c r="M101" s="15">
        <f t="shared" si="23"/>
        <v>0</v>
      </c>
      <c r="N101" s="15">
        <f t="shared" si="24"/>
        <v>-1.5</v>
      </c>
      <c r="O101" s="15">
        <f t="shared" si="25"/>
        <v>187.55</v>
      </c>
      <c r="R101" s="16" t="s">
        <v>1420</v>
      </c>
      <c r="S101" s="16" t="s">
        <v>1413</v>
      </c>
      <c r="T101" s="16" t="s">
        <v>1421</v>
      </c>
      <c r="U101" s="16" t="s">
        <v>1422</v>
      </c>
      <c r="V101" s="16" t="s">
        <v>1423</v>
      </c>
      <c r="W101" s="16" t="s">
        <v>76</v>
      </c>
      <c r="X101" s="16" t="s">
        <v>77</v>
      </c>
      <c r="Y101" s="16" t="s">
        <v>330</v>
      </c>
      <c r="Z101" s="16" t="s">
        <v>1424</v>
      </c>
      <c r="AA101" s="16" t="s">
        <v>799</v>
      </c>
      <c r="AB101" s="16" t="s">
        <v>800</v>
      </c>
      <c r="AC101" s="16" t="s">
        <v>1425</v>
      </c>
      <c r="AD101" s="16" t="s">
        <v>1426</v>
      </c>
      <c r="AE101" s="16" t="s">
        <v>84</v>
      </c>
      <c r="AF101" s="16" t="s">
        <v>84</v>
      </c>
      <c r="AG101" s="16">
        <v>199</v>
      </c>
      <c r="AH101" s="16">
        <v>199</v>
      </c>
      <c r="AI101" s="17">
        <v>199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 t="s">
        <v>137</v>
      </c>
      <c r="AP101" s="16" t="s">
        <v>1397</v>
      </c>
      <c r="AQ101" s="16" t="s">
        <v>1427</v>
      </c>
      <c r="AR101" s="16" t="s">
        <v>88</v>
      </c>
      <c r="AS101" s="16" t="s">
        <v>1428</v>
      </c>
      <c r="AT101" s="16">
        <v>9.95</v>
      </c>
      <c r="AU101" s="16" t="s">
        <v>90</v>
      </c>
      <c r="AV101" s="16">
        <v>1.5</v>
      </c>
      <c r="AW101" s="16" t="s">
        <v>115</v>
      </c>
      <c r="AX101" s="16" t="s">
        <v>116</v>
      </c>
      <c r="AY101" s="16" t="s">
        <v>117</v>
      </c>
      <c r="AZ101" s="16" t="s">
        <v>118</v>
      </c>
      <c r="BA101" s="16" t="s">
        <v>119</v>
      </c>
      <c r="BB101" s="16">
        <v>0</v>
      </c>
      <c r="BC101" s="16" t="s">
        <v>84</v>
      </c>
      <c r="BD101" s="16" t="s">
        <v>90</v>
      </c>
      <c r="BE101" s="16" t="s">
        <v>402</v>
      </c>
      <c r="BF101" s="16" t="s">
        <v>403</v>
      </c>
      <c r="BG101" s="16" t="s">
        <v>404</v>
      </c>
      <c r="BH101" s="16" t="s">
        <v>474</v>
      </c>
      <c r="BI101" s="16" t="s">
        <v>308</v>
      </c>
      <c r="BJ101" s="16">
        <v>199</v>
      </c>
      <c r="BK101" s="16">
        <v>199</v>
      </c>
      <c r="BL101" s="16">
        <v>199</v>
      </c>
      <c r="BM101" s="16" t="s">
        <v>96</v>
      </c>
      <c r="BN101" s="16">
        <v>1</v>
      </c>
      <c r="BO101" s="16" t="s">
        <v>84</v>
      </c>
      <c r="BP101" s="16" t="s">
        <v>84</v>
      </c>
      <c r="BQ101" s="16" t="s">
        <v>84</v>
      </c>
      <c r="BR101" s="16" t="s">
        <v>97</v>
      </c>
      <c r="BS101" s="16" t="s">
        <v>98</v>
      </c>
      <c r="BT101" s="16">
        <v>0</v>
      </c>
    </row>
    <row r="102" s="1" customFormat="1" ht="16" customHeight="1" spans="1:72">
      <c r="A102" s="14">
        <f t="shared" ref="A102:A165" si="26">IFERROR(YEAR(V102),"")</f>
        <v>2025</v>
      </c>
      <c r="B102" s="14">
        <f t="shared" ref="B102:B165" si="27">IFERROR(MONTH(V102),"")</f>
        <v>8</v>
      </c>
      <c r="C102" s="14" t="str">
        <f t="shared" ref="C102:C165" si="28">R102</f>
        <v>3729987042053863424</v>
      </c>
      <c r="D102" s="14" cm="1">
        <f t="array" ref="D102">SUMPRODUCT(($R$2:$R$374=C102)*1)</f>
        <v>1</v>
      </c>
      <c r="E102" s="14" cm="1">
        <f t="array" ref="E102">SUMPRODUCT(($R$2:R102=C102)*1)</f>
        <v>1</v>
      </c>
      <c r="F102" s="15" t="str">
        <f t="shared" ref="F102:F165" si="29">BH102</f>
        <v>Z1576-黑色-S</v>
      </c>
      <c r="G102" s="14" t="str">
        <f t="shared" ref="G102:G165" si="30">LEFT(F102,FIND("-",F102)-1)</f>
        <v>Z1576</v>
      </c>
      <c r="H102" s="15">
        <f t="shared" ref="H102:H165" si="31">IF(AND(BR102="已发货",BT102&lt;BL102,W102="已完成"),BN102,0)</f>
        <v>1</v>
      </c>
      <c r="I102" s="14">
        <f t="shared" ref="I102:I165" si="32">IF(H102=0,BJ102-BT102,H102*BJ102-BT102)</f>
        <v>199</v>
      </c>
      <c r="J102" s="15">
        <f t="shared" ref="J102:J165" si="33">IF(AND(H102&gt;0,E102=1),SUM(AK102:AN102),-SUM(AK102:AN102))</f>
        <v>0</v>
      </c>
      <c r="K102" s="15">
        <f t="shared" ref="K102:K165" si="34">AJ102</f>
        <v>0</v>
      </c>
      <c r="L102" s="15">
        <f t="shared" ref="L102:L165" si="35">IF(E102=1,-SUM(AT102:AU102),0)</f>
        <v>-9.95</v>
      </c>
      <c r="M102" s="15">
        <f t="shared" ref="M102:M165" si="36">IF(AND(E102=1,H102&gt;0),-SUM(BB102),0)</f>
        <v>0</v>
      </c>
      <c r="N102" s="15">
        <f t="shared" ref="N102:N165" si="37">IF(AND(E102=1,H102&gt;0),-SUM(AV102),0)</f>
        <v>-1.5</v>
      </c>
      <c r="O102" s="15">
        <f t="shared" ref="O102:O165" si="38">SUM(I102:N102)</f>
        <v>187.55</v>
      </c>
      <c r="R102" s="16" t="s">
        <v>1429</v>
      </c>
      <c r="S102" s="16" t="s">
        <v>1430</v>
      </c>
      <c r="T102" s="16" t="s">
        <v>1431</v>
      </c>
      <c r="U102" s="16" t="s">
        <v>1432</v>
      </c>
      <c r="V102" s="16" t="s">
        <v>1433</v>
      </c>
      <c r="W102" s="16" t="s">
        <v>76</v>
      </c>
      <c r="X102" s="16" t="s">
        <v>77</v>
      </c>
      <c r="Y102" s="16" t="s">
        <v>692</v>
      </c>
      <c r="Z102" s="16" t="s">
        <v>1434</v>
      </c>
      <c r="AA102" s="16" t="s">
        <v>107</v>
      </c>
      <c r="AB102" s="16" t="s">
        <v>1435</v>
      </c>
      <c r="AC102" s="16" t="s">
        <v>1436</v>
      </c>
      <c r="AD102" s="16" t="s">
        <v>1437</v>
      </c>
      <c r="AE102" s="16" t="s">
        <v>84</v>
      </c>
      <c r="AF102" s="16" t="s">
        <v>84</v>
      </c>
      <c r="AG102" s="16">
        <v>199</v>
      </c>
      <c r="AH102" s="16">
        <v>199</v>
      </c>
      <c r="AI102" s="17">
        <v>199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 t="s">
        <v>137</v>
      </c>
      <c r="AP102" s="16" t="s">
        <v>1397</v>
      </c>
      <c r="AQ102" s="16" t="s">
        <v>1438</v>
      </c>
      <c r="AR102" s="16" t="s">
        <v>88</v>
      </c>
      <c r="AS102" s="16" t="s">
        <v>1439</v>
      </c>
      <c r="AT102" s="16">
        <v>9.95</v>
      </c>
      <c r="AU102" s="16" t="s">
        <v>90</v>
      </c>
      <c r="AV102" s="16">
        <v>1.5</v>
      </c>
      <c r="AW102" s="16" t="s">
        <v>115</v>
      </c>
      <c r="AX102" s="16" t="s">
        <v>116</v>
      </c>
      <c r="AY102" s="16" t="s">
        <v>117</v>
      </c>
      <c r="AZ102" s="16" t="s">
        <v>118</v>
      </c>
      <c r="BA102" s="16" t="s">
        <v>119</v>
      </c>
      <c r="BB102" s="16">
        <v>0</v>
      </c>
      <c r="BC102" s="16" t="s">
        <v>84</v>
      </c>
      <c r="BD102" s="16" t="s">
        <v>90</v>
      </c>
      <c r="BE102" s="16" t="s">
        <v>402</v>
      </c>
      <c r="BF102" s="16" t="s">
        <v>403</v>
      </c>
      <c r="BG102" s="16" t="s">
        <v>404</v>
      </c>
      <c r="BH102" s="16" t="s">
        <v>1264</v>
      </c>
      <c r="BI102" s="16" t="s">
        <v>377</v>
      </c>
      <c r="BJ102" s="16">
        <v>199</v>
      </c>
      <c r="BK102" s="16">
        <v>199</v>
      </c>
      <c r="BL102" s="16">
        <v>199</v>
      </c>
      <c r="BM102" s="16" t="s">
        <v>96</v>
      </c>
      <c r="BN102" s="16">
        <v>1</v>
      </c>
      <c r="BO102" s="16" t="s">
        <v>84</v>
      </c>
      <c r="BP102" s="16" t="s">
        <v>84</v>
      </c>
      <c r="BQ102" s="16" t="s">
        <v>84</v>
      </c>
      <c r="BR102" s="16" t="s">
        <v>97</v>
      </c>
      <c r="BS102" s="16" t="s">
        <v>98</v>
      </c>
      <c r="BT102" s="16">
        <v>0</v>
      </c>
    </row>
    <row r="103" s="1" customFormat="1" ht="16" customHeight="1" spans="1:72">
      <c r="A103" s="14">
        <f t="shared" si="26"/>
        <v>2025</v>
      </c>
      <c r="B103" s="14">
        <f t="shared" si="27"/>
        <v>8</v>
      </c>
      <c r="C103" s="14" t="str">
        <f t="shared" si="28"/>
        <v>3729987043696456704</v>
      </c>
      <c r="D103" s="14" cm="1">
        <f t="array" ref="D103">SUMPRODUCT(($R$2:$R$374=C103)*1)</f>
        <v>1</v>
      </c>
      <c r="E103" s="14" cm="1">
        <f t="array" ref="E103">SUMPRODUCT(($R$2:R103=C103)*1)</f>
        <v>1</v>
      </c>
      <c r="F103" s="15" t="str">
        <f t="shared" si="29"/>
        <v>Z1576-黑色-M</v>
      </c>
      <c r="G103" s="14" t="str">
        <f t="shared" si="30"/>
        <v>Z1576</v>
      </c>
      <c r="H103" s="15">
        <f t="shared" si="31"/>
        <v>1</v>
      </c>
      <c r="I103" s="14">
        <f t="shared" si="32"/>
        <v>199</v>
      </c>
      <c r="J103" s="15">
        <f t="shared" si="33"/>
        <v>0</v>
      </c>
      <c r="K103" s="15">
        <f t="shared" si="34"/>
        <v>0</v>
      </c>
      <c r="L103" s="15">
        <f t="shared" si="35"/>
        <v>-9.95</v>
      </c>
      <c r="M103" s="15">
        <f t="shared" si="36"/>
        <v>0</v>
      </c>
      <c r="N103" s="15">
        <f t="shared" si="37"/>
        <v>-1.5</v>
      </c>
      <c r="O103" s="15">
        <f t="shared" si="38"/>
        <v>187.55</v>
      </c>
      <c r="R103" s="16" t="s">
        <v>1440</v>
      </c>
      <c r="S103" s="16" t="s">
        <v>1441</v>
      </c>
      <c r="T103" s="16" t="s">
        <v>1401</v>
      </c>
      <c r="U103" s="16" t="s">
        <v>1442</v>
      </c>
      <c r="V103" s="16" t="s">
        <v>1443</v>
      </c>
      <c r="W103" s="16" t="s">
        <v>76</v>
      </c>
      <c r="X103" s="16" t="s">
        <v>77</v>
      </c>
      <c r="Y103" s="16" t="s">
        <v>241</v>
      </c>
      <c r="Z103" s="16" t="s">
        <v>1444</v>
      </c>
      <c r="AA103" s="16" t="s">
        <v>482</v>
      </c>
      <c r="AB103" s="16" t="s">
        <v>1445</v>
      </c>
      <c r="AC103" s="16" t="s">
        <v>1446</v>
      </c>
      <c r="AD103" s="16" t="s">
        <v>1447</v>
      </c>
      <c r="AE103" s="16" t="s">
        <v>84</v>
      </c>
      <c r="AF103" s="16" t="s">
        <v>84</v>
      </c>
      <c r="AG103" s="16">
        <v>199</v>
      </c>
      <c r="AH103" s="16">
        <v>199</v>
      </c>
      <c r="AI103" s="17">
        <v>199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 t="s">
        <v>85</v>
      </c>
      <c r="AP103" s="16" t="s">
        <v>1448</v>
      </c>
      <c r="AQ103" s="16" t="s">
        <v>1449</v>
      </c>
      <c r="AR103" s="16" t="s">
        <v>88</v>
      </c>
      <c r="AS103" s="16" t="s">
        <v>1450</v>
      </c>
      <c r="AT103" s="16">
        <v>9.95</v>
      </c>
      <c r="AU103" s="16" t="s">
        <v>90</v>
      </c>
      <c r="AV103" s="16">
        <v>1.5</v>
      </c>
      <c r="AW103" s="16" t="s">
        <v>115</v>
      </c>
      <c r="AX103" s="16" t="s">
        <v>116</v>
      </c>
      <c r="AY103" s="16" t="s">
        <v>117</v>
      </c>
      <c r="AZ103" s="16" t="s">
        <v>118</v>
      </c>
      <c r="BA103" s="16" t="s">
        <v>119</v>
      </c>
      <c r="BB103" s="16">
        <v>0</v>
      </c>
      <c r="BC103" s="16" t="s">
        <v>84</v>
      </c>
      <c r="BD103" s="16" t="s">
        <v>90</v>
      </c>
      <c r="BE103" s="16" t="s">
        <v>402</v>
      </c>
      <c r="BF103" s="16" t="s">
        <v>403</v>
      </c>
      <c r="BG103" s="16" t="s">
        <v>404</v>
      </c>
      <c r="BH103" s="16" t="s">
        <v>474</v>
      </c>
      <c r="BI103" s="16" t="s">
        <v>308</v>
      </c>
      <c r="BJ103" s="16">
        <v>199</v>
      </c>
      <c r="BK103" s="16">
        <v>199</v>
      </c>
      <c r="BL103" s="16">
        <v>199</v>
      </c>
      <c r="BM103" s="16" t="s">
        <v>96</v>
      </c>
      <c r="BN103" s="16">
        <v>1</v>
      </c>
      <c r="BO103" s="16" t="s">
        <v>84</v>
      </c>
      <c r="BP103" s="16" t="s">
        <v>84</v>
      </c>
      <c r="BQ103" s="16" t="s">
        <v>84</v>
      </c>
      <c r="BR103" s="16" t="s">
        <v>97</v>
      </c>
      <c r="BS103" s="16" t="s">
        <v>98</v>
      </c>
      <c r="BT103" s="16">
        <v>0</v>
      </c>
    </row>
    <row r="104" s="1" customFormat="1" ht="16" customHeight="1" spans="1:72">
      <c r="A104" s="14">
        <f t="shared" si="26"/>
        <v>2025</v>
      </c>
      <c r="B104" s="14">
        <f t="shared" si="27"/>
        <v>8</v>
      </c>
      <c r="C104" s="14" t="str">
        <f t="shared" si="28"/>
        <v>3729987043485163264</v>
      </c>
      <c r="D104" s="14" cm="1">
        <f t="array" ref="D104">SUMPRODUCT(($R$2:$R$374=C104)*1)</f>
        <v>1</v>
      </c>
      <c r="E104" s="14" cm="1">
        <f t="array" ref="E104">SUMPRODUCT(($R$2:R104=C104)*1)</f>
        <v>1</v>
      </c>
      <c r="F104" s="15" t="str">
        <f t="shared" si="29"/>
        <v>Z1576-黑色-M</v>
      </c>
      <c r="G104" s="14" t="str">
        <f t="shared" si="30"/>
        <v>Z1576</v>
      </c>
      <c r="H104" s="15">
        <f t="shared" si="31"/>
        <v>1</v>
      </c>
      <c r="I104" s="14">
        <f t="shared" si="32"/>
        <v>199</v>
      </c>
      <c r="J104" s="15">
        <f t="shared" si="33"/>
        <v>0</v>
      </c>
      <c r="K104" s="15">
        <f t="shared" si="34"/>
        <v>0</v>
      </c>
      <c r="L104" s="15">
        <f t="shared" si="35"/>
        <v>-9.95</v>
      </c>
      <c r="M104" s="15">
        <f t="shared" si="36"/>
        <v>0</v>
      </c>
      <c r="N104" s="15">
        <f t="shared" si="37"/>
        <v>-1.5</v>
      </c>
      <c r="O104" s="15">
        <f t="shared" si="38"/>
        <v>187.55</v>
      </c>
      <c r="R104" s="16" t="s">
        <v>1451</v>
      </c>
      <c r="S104" s="16" t="s">
        <v>1452</v>
      </c>
      <c r="T104" s="16" t="s">
        <v>1401</v>
      </c>
      <c r="U104" s="16" t="s">
        <v>1453</v>
      </c>
      <c r="V104" s="16" t="s">
        <v>1454</v>
      </c>
      <c r="W104" s="16" t="s">
        <v>76</v>
      </c>
      <c r="X104" s="16" t="s">
        <v>77</v>
      </c>
      <c r="Y104" s="16" t="s">
        <v>480</v>
      </c>
      <c r="Z104" s="16" t="s">
        <v>1455</v>
      </c>
      <c r="AA104" s="16" t="s">
        <v>262</v>
      </c>
      <c r="AB104" s="16" t="s">
        <v>1194</v>
      </c>
      <c r="AC104" s="16" t="s">
        <v>1456</v>
      </c>
      <c r="AD104" s="16" t="s">
        <v>1457</v>
      </c>
      <c r="AE104" s="16" t="s">
        <v>84</v>
      </c>
      <c r="AF104" s="16" t="s">
        <v>84</v>
      </c>
      <c r="AG104" s="16">
        <v>199</v>
      </c>
      <c r="AH104" s="16">
        <v>199</v>
      </c>
      <c r="AI104" s="17">
        <v>199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 t="s">
        <v>137</v>
      </c>
      <c r="AP104" s="16" t="s">
        <v>1430</v>
      </c>
      <c r="AQ104" s="16" t="s">
        <v>1458</v>
      </c>
      <c r="AR104" s="16" t="s">
        <v>88</v>
      </c>
      <c r="AS104" s="16" t="s">
        <v>1459</v>
      </c>
      <c r="AT104" s="16">
        <v>9.95</v>
      </c>
      <c r="AU104" s="16" t="s">
        <v>90</v>
      </c>
      <c r="AV104" s="16">
        <v>1.5</v>
      </c>
      <c r="AW104" s="16" t="s">
        <v>115</v>
      </c>
      <c r="AX104" s="16" t="s">
        <v>116</v>
      </c>
      <c r="AY104" s="16" t="s">
        <v>117</v>
      </c>
      <c r="AZ104" s="16" t="s">
        <v>118</v>
      </c>
      <c r="BA104" s="16" t="s">
        <v>119</v>
      </c>
      <c r="BB104" s="16">
        <v>0</v>
      </c>
      <c r="BC104" s="16" t="s">
        <v>84</v>
      </c>
      <c r="BD104" s="16" t="s">
        <v>90</v>
      </c>
      <c r="BE104" s="16" t="s">
        <v>402</v>
      </c>
      <c r="BF104" s="16" t="s">
        <v>403</v>
      </c>
      <c r="BG104" s="16" t="s">
        <v>404</v>
      </c>
      <c r="BH104" s="16" t="s">
        <v>474</v>
      </c>
      <c r="BI104" s="16" t="s">
        <v>308</v>
      </c>
      <c r="BJ104" s="16">
        <v>199</v>
      </c>
      <c r="BK104" s="16">
        <v>199</v>
      </c>
      <c r="BL104" s="16">
        <v>199</v>
      </c>
      <c r="BM104" s="16" t="s">
        <v>96</v>
      </c>
      <c r="BN104" s="16">
        <v>1</v>
      </c>
      <c r="BO104" s="16" t="s">
        <v>84</v>
      </c>
      <c r="BP104" s="16" t="s">
        <v>84</v>
      </c>
      <c r="BQ104" s="16" t="s">
        <v>84</v>
      </c>
      <c r="BR104" s="16" t="s">
        <v>97</v>
      </c>
      <c r="BS104" s="16" t="s">
        <v>98</v>
      </c>
      <c r="BT104" s="16">
        <v>0</v>
      </c>
    </row>
    <row r="105" s="1" customFormat="1" ht="16" customHeight="1" spans="1:72">
      <c r="A105" s="14">
        <f t="shared" si="26"/>
        <v>2025</v>
      </c>
      <c r="B105" s="14">
        <f t="shared" si="27"/>
        <v>8</v>
      </c>
      <c r="C105" s="14" t="str">
        <f t="shared" si="28"/>
        <v>3729987040648771328</v>
      </c>
      <c r="D105" s="14" cm="1">
        <f t="array" ref="D105">SUMPRODUCT(($R$2:$R$374=C105)*1)</f>
        <v>1</v>
      </c>
      <c r="E105" s="14" cm="1">
        <f t="array" ref="E105">SUMPRODUCT(($R$2:R105=C105)*1)</f>
        <v>1</v>
      </c>
      <c r="F105" s="15" t="str">
        <f t="shared" si="29"/>
        <v>Z1576-黑色-M</v>
      </c>
      <c r="G105" s="14" t="str">
        <f t="shared" si="30"/>
        <v>Z1576</v>
      </c>
      <c r="H105" s="15">
        <f t="shared" si="31"/>
        <v>1</v>
      </c>
      <c r="I105" s="14">
        <f t="shared" si="32"/>
        <v>199</v>
      </c>
      <c r="J105" s="15">
        <f t="shared" si="33"/>
        <v>0</v>
      </c>
      <c r="K105" s="15">
        <f t="shared" si="34"/>
        <v>0</v>
      </c>
      <c r="L105" s="15">
        <f t="shared" si="35"/>
        <v>-9.95</v>
      </c>
      <c r="M105" s="15">
        <f t="shared" si="36"/>
        <v>0</v>
      </c>
      <c r="N105" s="15">
        <f t="shared" si="37"/>
        <v>0</v>
      </c>
      <c r="O105" s="15">
        <f t="shared" si="38"/>
        <v>189.05</v>
      </c>
      <c r="R105" s="16" t="s">
        <v>1460</v>
      </c>
      <c r="S105" s="16" t="s">
        <v>1461</v>
      </c>
      <c r="T105" s="16" t="s">
        <v>1401</v>
      </c>
      <c r="U105" s="16" t="s">
        <v>1462</v>
      </c>
      <c r="V105" s="16" t="s">
        <v>1463</v>
      </c>
      <c r="W105" s="16" t="s">
        <v>76</v>
      </c>
      <c r="X105" s="16" t="s">
        <v>77</v>
      </c>
      <c r="Y105" s="16" t="s">
        <v>1464</v>
      </c>
      <c r="Z105" s="16" t="s">
        <v>1308</v>
      </c>
      <c r="AA105" s="16" t="s">
        <v>430</v>
      </c>
      <c r="AB105" s="16" t="s">
        <v>430</v>
      </c>
      <c r="AC105" s="16" t="s">
        <v>1309</v>
      </c>
      <c r="AD105" s="16" t="s">
        <v>1465</v>
      </c>
      <c r="AE105" s="16" t="s">
        <v>84</v>
      </c>
      <c r="AF105" s="16" t="s">
        <v>84</v>
      </c>
      <c r="AG105" s="16">
        <v>199</v>
      </c>
      <c r="AH105" s="16">
        <v>199</v>
      </c>
      <c r="AI105" s="17">
        <v>199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 t="s">
        <v>137</v>
      </c>
      <c r="AP105" s="16" t="s">
        <v>1466</v>
      </c>
      <c r="AQ105" s="16" t="s">
        <v>1467</v>
      </c>
      <c r="AR105" s="16" t="s">
        <v>88</v>
      </c>
      <c r="AS105" s="16" t="s">
        <v>1468</v>
      </c>
      <c r="AT105" s="16">
        <v>9.95</v>
      </c>
      <c r="AU105" s="16" t="s">
        <v>90</v>
      </c>
      <c r="AV105" s="16" t="s">
        <v>90</v>
      </c>
      <c r="AW105" s="16" t="s">
        <v>115</v>
      </c>
      <c r="AX105" s="16" t="s">
        <v>116</v>
      </c>
      <c r="AY105" s="16" t="s">
        <v>117</v>
      </c>
      <c r="AZ105" s="16" t="s">
        <v>118</v>
      </c>
      <c r="BA105" s="16" t="s">
        <v>119</v>
      </c>
      <c r="BB105" s="16">
        <v>0</v>
      </c>
      <c r="BC105" s="16" t="s">
        <v>84</v>
      </c>
      <c r="BD105" s="16" t="s">
        <v>90</v>
      </c>
      <c r="BE105" s="16" t="s">
        <v>402</v>
      </c>
      <c r="BF105" s="16" t="s">
        <v>403</v>
      </c>
      <c r="BG105" s="16" t="s">
        <v>404</v>
      </c>
      <c r="BH105" s="16" t="s">
        <v>474</v>
      </c>
      <c r="BI105" s="16" t="s">
        <v>308</v>
      </c>
      <c r="BJ105" s="16">
        <v>199</v>
      </c>
      <c r="BK105" s="16">
        <v>199</v>
      </c>
      <c r="BL105" s="16">
        <v>199</v>
      </c>
      <c r="BM105" s="16" t="s">
        <v>96</v>
      </c>
      <c r="BN105" s="16">
        <v>1</v>
      </c>
      <c r="BO105" s="16" t="s">
        <v>84</v>
      </c>
      <c r="BP105" s="16" t="s">
        <v>84</v>
      </c>
      <c r="BQ105" s="16" t="s">
        <v>84</v>
      </c>
      <c r="BR105" s="16" t="s">
        <v>97</v>
      </c>
      <c r="BS105" s="16" t="s">
        <v>98</v>
      </c>
      <c r="BT105" s="16">
        <v>0</v>
      </c>
    </row>
    <row r="106" s="1" customFormat="1" ht="16" customHeight="1" spans="1:72">
      <c r="A106" s="14">
        <f t="shared" si="26"/>
        <v>2025</v>
      </c>
      <c r="B106" s="14">
        <f t="shared" si="27"/>
        <v>8</v>
      </c>
      <c r="C106" s="14" t="str">
        <f t="shared" si="28"/>
        <v>3729987021196631296</v>
      </c>
      <c r="D106" s="14" cm="1">
        <f t="array" ref="D106">SUMPRODUCT(($R$2:$R$374=C106)*1)</f>
        <v>1</v>
      </c>
      <c r="E106" s="14" cm="1">
        <f t="array" ref="E106">SUMPRODUCT(($R$2:R106=C106)*1)</f>
        <v>1</v>
      </c>
      <c r="F106" s="15" t="str">
        <f t="shared" si="29"/>
        <v>Z1576-黑色-M</v>
      </c>
      <c r="G106" s="14" t="str">
        <f t="shared" si="30"/>
        <v>Z1576</v>
      </c>
      <c r="H106" s="15">
        <f t="shared" si="31"/>
        <v>1</v>
      </c>
      <c r="I106" s="14">
        <f t="shared" si="32"/>
        <v>199</v>
      </c>
      <c r="J106" s="15">
        <f t="shared" si="33"/>
        <v>0</v>
      </c>
      <c r="K106" s="15">
        <f t="shared" si="34"/>
        <v>0</v>
      </c>
      <c r="L106" s="15">
        <f t="shared" si="35"/>
        <v>-9.95</v>
      </c>
      <c r="M106" s="15">
        <f t="shared" si="36"/>
        <v>0</v>
      </c>
      <c r="N106" s="15">
        <f t="shared" si="37"/>
        <v>-1.5</v>
      </c>
      <c r="O106" s="15">
        <f t="shared" si="38"/>
        <v>187.55</v>
      </c>
      <c r="R106" s="16" t="s">
        <v>1469</v>
      </c>
      <c r="S106" s="16" t="s">
        <v>1470</v>
      </c>
      <c r="T106" s="16" t="s">
        <v>1401</v>
      </c>
      <c r="U106" s="16" t="s">
        <v>1471</v>
      </c>
      <c r="V106" s="16" t="s">
        <v>1472</v>
      </c>
      <c r="W106" s="16" t="s">
        <v>76</v>
      </c>
      <c r="X106" s="16" t="s">
        <v>77</v>
      </c>
      <c r="Y106" s="16" t="s">
        <v>1473</v>
      </c>
      <c r="Z106" s="16" t="s">
        <v>1474</v>
      </c>
      <c r="AA106" s="16" t="s">
        <v>80</v>
      </c>
      <c r="AB106" s="16" t="s">
        <v>655</v>
      </c>
      <c r="AC106" s="16" t="s">
        <v>1475</v>
      </c>
      <c r="AD106" s="16" t="s">
        <v>1476</v>
      </c>
      <c r="AE106" s="16" t="s">
        <v>84</v>
      </c>
      <c r="AF106" s="16" t="s">
        <v>84</v>
      </c>
      <c r="AG106" s="16">
        <v>199</v>
      </c>
      <c r="AH106" s="16">
        <v>199</v>
      </c>
      <c r="AI106" s="17">
        <v>199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 t="s">
        <v>85</v>
      </c>
      <c r="AP106" s="16" t="s">
        <v>1477</v>
      </c>
      <c r="AQ106" s="16" t="s">
        <v>1478</v>
      </c>
      <c r="AR106" s="16" t="s">
        <v>88</v>
      </c>
      <c r="AS106" s="16" t="s">
        <v>1479</v>
      </c>
      <c r="AT106" s="16">
        <v>9.95</v>
      </c>
      <c r="AU106" s="16" t="s">
        <v>90</v>
      </c>
      <c r="AV106" s="16">
        <v>1.5</v>
      </c>
      <c r="AW106" s="16" t="s">
        <v>115</v>
      </c>
      <c r="AX106" s="16" t="s">
        <v>116</v>
      </c>
      <c r="AY106" s="16" t="s">
        <v>117</v>
      </c>
      <c r="AZ106" s="16" t="s">
        <v>118</v>
      </c>
      <c r="BA106" s="16" t="s">
        <v>119</v>
      </c>
      <c r="BB106" s="16">
        <v>0</v>
      </c>
      <c r="BC106" s="16" t="s">
        <v>84</v>
      </c>
      <c r="BD106" s="16" t="s">
        <v>90</v>
      </c>
      <c r="BE106" s="16" t="s">
        <v>402</v>
      </c>
      <c r="BF106" s="16" t="s">
        <v>403</v>
      </c>
      <c r="BG106" s="16" t="s">
        <v>404</v>
      </c>
      <c r="BH106" s="16" t="s">
        <v>474</v>
      </c>
      <c r="BI106" s="16" t="s">
        <v>308</v>
      </c>
      <c r="BJ106" s="16">
        <v>199</v>
      </c>
      <c r="BK106" s="16">
        <v>199</v>
      </c>
      <c r="BL106" s="16">
        <v>199</v>
      </c>
      <c r="BM106" s="16" t="s">
        <v>96</v>
      </c>
      <c r="BN106" s="16">
        <v>1</v>
      </c>
      <c r="BO106" s="16" t="s">
        <v>84</v>
      </c>
      <c r="BP106" s="16" t="s">
        <v>84</v>
      </c>
      <c r="BQ106" s="16" t="s">
        <v>84</v>
      </c>
      <c r="BR106" s="16" t="s">
        <v>97</v>
      </c>
      <c r="BS106" s="16" t="s">
        <v>98</v>
      </c>
      <c r="BT106" s="16">
        <v>0</v>
      </c>
    </row>
    <row r="107" s="1" customFormat="1" ht="16" customHeight="1" spans="1:72">
      <c r="A107" s="14">
        <f t="shared" si="26"/>
        <v>2025</v>
      </c>
      <c r="B107" s="14">
        <f t="shared" si="27"/>
        <v>8</v>
      </c>
      <c r="C107" s="14" t="str">
        <f t="shared" si="28"/>
        <v>3729987016751193088</v>
      </c>
      <c r="D107" s="14" cm="1">
        <f t="array" ref="D107">SUMPRODUCT(($R$2:$R$374=C107)*1)</f>
        <v>1</v>
      </c>
      <c r="E107" s="14" cm="1">
        <f t="array" ref="E107">SUMPRODUCT(($R$2:R107=C107)*1)</f>
        <v>1</v>
      </c>
      <c r="F107" s="15" t="str">
        <f t="shared" si="29"/>
        <v>Z1576-黑色-M</v>
      </c>
      <c r="G107" s="14" t="str">
        <f t="shared" si="30"/>
        <v>Z1576</v>
      </c>
      <c r="H107" s="15">
        <f t="shared" si="31"/>
        <v>1</v>
      </c>
      <c r="I107" s="14">
        <f t="shared" si="32"/>
        <v>199</v>
      </c>
      <c r="J107" s="15">
        <f t="shared" si="33"/>
        <v>0</v>
      </c>
      <c r="K107" s="15">
        <f t="shared" si="34"/>
        <v>0</v>
      </c>
      <c r="L107" s="15">
        <f t="shared" si="35"/>
        <v>-9.95</v>
      </c>
      <c r="M107" s="15">
        <f t="shared" si="36"/>
        <v>0</v>
      </c>
      <c r="N107" s="15">
        <f t="shared" si="37"/>
        <v>-1.5</v>
      </c>
      <c r="O107" s="15">
        <f t="shared" si="38"/>
        <v>187.55</v>
      </c>
      <c r="R107" s="16" t="s">
        <v>1480</v>
      </c>
      <c r="S107" s="16" t="s">
        <v>1481</v>
      </c>
      <c r="T107" s="16" t="s">
        <v>1401</v>
      </c>
      <c r="U107" s="16" t="s">
        <v>1482</v>
      </c>
      <c r="V107" s="16" t="s">
        <v>1483</v>
      </c>
      <c r="W107" s="16" t="s">
        <v>76</v>
      </c>
      <c r="X107" s="16" t="s">
        <v>77</v>
      </c>
      <c r="Y107" s="16" t="s">
        <v>882</v>
      </c>
      <c r="Z107" s="16" t="s">
        <v>883</v>
      </c>
      <c r="AA107" s="16" t="s">
        <v>884</v>
      </c>
      <c r="AB107" s="16" t="s">
        <v>885</v>
      </c>
      <c r="AC107" s="16" t="s">
        <v>886</v>
      </c>
      <c r="AD107" s="16" t="s">
        <v>887</v>
      </c>
      <c r="AE107" s="16" t="s">
        <v>84</v>
      </c>
      <c r="AF107" s="16" t="s">
        <v>84</v>
      </c>
      <c r="AG107" s="16">
        <v>199</v>
      </c>
      <c r="AH107" s="16">
        <v>199</v>
      </c>
      <c r="AI107" s="17">
        <v>199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 t="s">
        <v>85</v>
      </c>
      <c r="AP107" s="16" t="s">
        <v>1484</v>
      </c>
      <c r="AQ107" s="16" t="s">
        <v>1485</v>
      </c>
      <c r="AR107" s="16" t="s">
        <v>88</v>
      </c>
      <c r="AS107" s="16" t="s">
        <v>1486</v>
      </c>
      <c r="AT107" s="16">
        <v>9.95</v>
      </c>
      <c r="AU107" s="16" t="s">
        <v>90</v>
      </c>
      <c r="AV107" s="16">
        <v>1.5</v>
      </c>
      <c r="AW107" s="16" t="s">
        <v>115</v>
      </c>
      <c r="AX107" s="16" t="s">
        <v>116</v>
      </c>
      <c r="AY107" s="16" t="s">
        <v>117</v>
      </c>
      <c r="AZ107" s="16" t="s">
        <v>118</v>
      </c>
      <c r="BA107" s="16" t="s">
        <v>119</v>
      </c>
      <c r="BB107" s="16">
        <v>0</v>
      </c>
      <c r="BC107" s="16" t="s">
        <v>84</v>
      </c>
      <c r="BD107" s="16" t="s">
        <v>90</v>
      </c>
      <c r="BE107" s="16" t="s">
        <v>402</v>
      </c>
      <c r="BF107" s="16" t="s">
        <v>403</v>
      </c>
      <c r="BG107" s="16" t="s">
        <v>404</v>
      </c>
      <c r="BH107" s="16" t="s">
        <v>474</v>
      </c>
      <c r="BI107" s="16" t="s">
        <v>308</v>
      </c>
      <c r="BJ107" s="16">
        <v>199</v>
      </c>
      <c r="BK107" s="16">
        <v>199</v>
      </c>
      <c r="BL107" s="16">
        <v>199</v>
      </c>
      <c r="BM107" s="16" t="s">
        <v>96</v>
      </c>
      <c r="BN107" s="16">
        <v>1</v>
      </c>
      <c r="BO107" s="16" t="s">
        <v>84</v>
      </c>
      <c r="BP107" s="16" t="s">
        <v>84</v>
      </c>
      <c r="BQ107" s="16" t="s">
        <v>84</v>
      </c>
      <c r="BR107" s="16" t="s">
        <v>97</v>
      </c>
      <c r="BS107" s="16" t="s">
        <v>98</v>
      </c>
      <c r="BT107" s="16">
        <v>0</v>
      </c>
    </row>
    <row r="108" s="1" customFormat="1" ht="16" customHeight="1" spans="1:72">
      <c r="A108" s="14">
        <f t="shared" si="26"/>
        <v>2025</v>
      </c>
      <c r="B108" s="14">
        <f t="shared" si="27"/>
        <v>8</v>
      </c>
      <c r="C108" s="14" t="str">
        <f t="shared" si="28"/>
        <v>3729987014416545536</v>
      </c>
      <c r="D108" s="14" cm="1">
        <f t="array" ref="D108">SUMPRODUCT(($R$2:$R$374=C108)*1)</f>
        <v>1</v>
      </c>
      <c r="E108" s="14" cm="1">
        <f t="array" ref="E108">SUMPRODUCT(($R$2:R108=C108)*1)</f>
        <v>1</v>
      </c>
      <c r="F108" s="15" t="str">
        <f t="shared" si="29"/>
        <v>Z1576-黑色-L</v>
      </c>
      <c r="G108" s="14" t="str">
        <f t="shared" si="30"/>
        <v>Z1576</v>
      </c>
      <c r="H108" s="15">
        <f t="shared" si="31"/>
        <v>1</v>
      </c>
      <c r="I108" s="14">
        <f t="shared" si="32"/>
        <v>199</v>
      </c>
      <c r="J108" s="15">
        <f t="shared" si="33"/>
        <v>0</v>
      </c>
      <c r="K108" s="15">
        <f t="shared" si="34"/>
        <v>0</v>
      </c>
      <c r="L108" s="15">
        <f t="shared" si="35"/>
        <v>-9.95</v>
      </c>
      <c r="M108" s="15">
        <f t="shared" si="36"/>
        <v>0</v>
      </c>
      <c r="N108" s="15">
        <f t="shared" si="37"/>
        <v>-1.5</v>
      </c>
      <c r="O108" s="15">
        <f t="shared" si="38"/>
        <v>187.55</v>
      </c>
      <c r="R108" s="16" t="s">
        <v>1487</v>
      </c>
      <c r="S108" s="16" t="s">
        <v>1488</v>
      </c>
      <c r="T108" s="16" t="s">
        <v>1043</v>
      </c>
      <c r="U108" s="16" t="s">
        <v>1489</v>
      </c>
      <c r="V108" s="16" t="s">
        <v>1490</v>
      </c>
      <c r="W108" s="16" t="s">
        <v>76</v>
      </c>
      <c r="X108" s="16" t="s">
        <v>77</v>
      </c>
      <c r="Y108" s="16" t="s">
        <v>241</v>
      </c>
      <c r="Z108" s="16" t="s">
        <v>189</v>
      </c>
      <c r="AA108" s="16" t="s">
        <v>107</v>
      </c>
      <c r="AB108" s="16" t="s">
        <v>190</v>
      </c>
      <c r="AC108" s="16" t="s">
        <v>191</v>
      </c>
      <c r="AD108" s="16" t="s">
        <v>1343</v>
      </c>
      <c r="AE108" s="16" t="s">
        <v>84</v>
      </c>
      <c r="AF108" s="16" t="s">
        <v>84</v>
      </c>
      <c r="AG108" s="16">
        <v>199</v>
      </c>
      <c r="AH108" s="16">
        <v>199</v>
      </c>
      <c r="AI108" s="17">
        <v>199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 t="s">
        <v>137</v>
      </c>
      <c r="AP108" s="16" t="s">
        <v>1491</v>
      </c>
      <c r="AQ108" s="16" t="s">
        <v>1492</v>
      </c>
      <c r="AR108" s="16" t="s">
        <v>88</v>
      </c>
      <c r="AS108" s="16" t="s">
        <v>1493</v>
      </c>
      <c r="AT108" s="16">
        <v>9.95</v>
      </c>
      <c r="AU108" s="16" t="s">
        <v>90</v>
      </c>
      <c r="AV108" s="16">
        <v>1.5</v>
      </c>
      <c r="AW108" s="16" t="s">
        <v>115</v>
      </c>
      <c r="AX108" s="16" t="s">
        <v>116</v>
      </c>
      <c r="AY108" s="16" t="s">
        <v>117</v>
      </c>
      <c r="AZ108" s="16" t="s">
        <v>118</v>
      </c>
      <c r="BA108" s="16" t="s">
        <v>119</v>
      </c>
      <c r="BB108" s="16">
        <v>0</v>
      </c>
      <c r="BC108" s="16" t="s">
        <v>84</v>
      </c>
      <c r="BD108" s="16" t="s">
        <v>90</v>
      </c>
      <c r="BE108" s="16" t="s">
        <v>402</v>
      </c>
      <c r="BF108" s="16" t="s">
        <v>403</v>
      </c>
      <c r="BG108" s="16" t="s">
        <v>404</v>
      </c>
      <c r="BH108" s="16" t="s">
        <v>405</v>
      </c>
      <c r="BI108" s="16" t="s">
        <v>406</v>
      </c>
      <c r="BJ108" s="16">
        <v>199</v>
      </c>
      <c r="BK108" s="16">
        <v>199</v>
      </c>
      <c r="BL108" s="16">
        <v>199</v>
      </c>
      <c r="BM108" s="16" t="s">
        <v>96</v>
      </c>
      <c r="BN108" s="16">
        <v>1</v>
      </c>
      <c r="BO108" s="16" t="s">
        <v>84</v>
      </c>
      <c r="BP108" s="16" t="s">
        <v>84</v>
      </c>
      <c r="BQ108" s="16" t="s">
        <v>84</v>
      </c>
      <c r="BR108" s="16" t="s">
        <v>97</v>
      </c>
      <c r="BS108" s="16" t="s">
        <v>98</v>
      </c>
      <c r="BT108" s="16">
        <v>0</v>
      </c>
    </row>
    <row r="109" s="1" customFormat="1" ht="16" customHeight="1" spans="1:72">
      <c r="A109" s="14">
        <f t="shared" si="26"/>
        <v>2025</v>
      </c>
      <c r="B109" s="14">
        <f t="shared" si="27"/>
        <v>8</v>
      </c>
      <c r="C109" s="14" t="str">
        <f t="shared" si="28"/>
        <v>3729987010391317504</v>
      </c>
      <c r="D109" s="14" cm="1">
        <f t="array" ref="D109">SUMPRODUCT(($R$2:$R$374=C109)*1)</f>
        <v>1</v>
      </c>
      <c r="E109" s="14" cm="1">
        <f t="array" ref="E109">SUMPRODUCT(($R$2:R109=C109)*1)</f>
        <v>1</v>
      </c>
      <c r="F109" s="15" t="str">
        <f t="shared" si="29"/>
        <v>Z1576-黑色-L</v>
      </c>
      <c r="G109" s="14" t="str">
        <f t="shared" si="30"/>
        <v>Z1576</v>
      </c>
      <c r="H109" s="15">
        <f t="shared" si="31"/>
        <v>1</v>
      </c>
      <c r="I109" s="14">
        <f t="shared" si="32"/>
        <v>199</v>
      </c>
      <c r="J109" s="15">
        <f t="shared" si="33"/>
        <v>0</v>
      </c>
      <c r="K109" s="15">
        <f t="shared" si="34"/>
        <v>0</v>
      </c>
      <c r="L109" s="15">
        <f t="shared" si="35"/>
        <v>-9.95</v>
      </c>
      <c r="M109" s="15">
        <f t="shared" si="36"/>
        <v>0</v>
      </c>
      <c r="N109" s="15">
        <f t="shared" si="37"/>
        <v>-1.5</v>
      </c>
      <c r="O109" s="15">
        <f t="shared" si="38"/>
        <v>187.55</v>
      </c>
      <c r="R109" s="16" t="s">
        <v>1494</v>
      </c>
      <c r="S109" s="16" t="s">
        <v>1495</v>
      </c>
      <c r="T109" s="16" t="s">
        <v>1043</v>
      </c>
      <c r="U109" s="16" t="s">
        <v>1496</v>
      </c>
      <c r="V109" s="16" t="s">
        <v>1497</v>
      </c>
      <c r="W109" s="16" t="s">
        <v>76</v>
      </c>
      <c r="X109" s="16" t="s">
        <v>77</v>
      </c>
      <c r="Y109" s="16" t="s">
        <v>1498</v>
      </c>
      <c r="Z109" s="16" t="s">
        <v>1499</v>
      </c>
      <c r="AA109" s="16" t="s">
        <v>171</v>
      </c>
      <c r="AB109" s="16" t="s">
        <v>172</v>
      </c>
      <c r="AC109" s="16" t="s">
        <v>1500</v>
      </c>
      <c r="AD109" s="16" t="s">
        <v>1501</v>
      </c>
      <c r="AE109" s="16" t="s">
        <v>84</v>
      </c>
      <c r="AF109" s="16" t="s">
        <v>84</v>
      </c>
      <c r="AG109" s="16">
        <v>199</v>
      </c>
      <c r="AH109" s="16">
        <v>199</v>
      </c>
      <c r="AI109" s="17">
        <v>199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 t="s">
        <v>137</v>
      </c>
      <c r="AP109" s="16" t="s">
        <v>1502</v>
      </c>
      <c r="AQ109" s="16" t="s">
        <v>1503</v>
      </c>
      <c r="AR109" s="16" t="s">
        <v>88</v>
      </c>
      <c r="AS109" s="16" t="s">
        <v>1504</v>
      </c>
      <c r="AT109" s="16">
        <v>9.95</v>
      </c>
      <c r="AU109" s="16" t="s">
        <v>90</v>
      </c>
      <c r="AV109" s="16">
        <v>1.5</v>
      </c>
      <c r="AW109" s="16" t="s">
        <v>115</v>
      </c>
      <c r="AX109" s="16" t="s">
        <v>116</v>
      </c>
      <c r="AY109" s="16" t="s">
        <v>117</v>
      </c>
      <c r="AZ109" s="16" t="s">
        <v>118</v>
      </c>
      <c r="BA109" s="16" t="s">
        <v>119</v>
      </c>
      <c r="BB109" s="16">
        <v>0</v>
      </c>
      <c r="BC109" s="16" t="s">
        <v>84</v>
      </c>
      <c r="BD109" s="16" t="s">
        <v>90</v>
      </c>
      <c r="BE109" s="16" t="s">
        <v>402</v>
      </c>
      <c r="BF109" s="16" t="s">
        <v>403</v>
      </c>
      <c r="BG109" s="16" t="s">
        <v>404</v>
      </c>
      <c r="BH109" s="16" t="s">
        <v>405</v>
      </c>
      <c r="BI109" s="16" t="s">
        <v>406</v>
      </c>
      <c r="BJ109" s="16">
        <v>199</v>
      </c>
      <c r="BK109" s="16">
        <v>199</v>
      </c>
      <c r="BL109" s="16">
        <v>199</v>
      </c>
      <c r="BM109" s="16" t="s">
        <v>96</v>
      </c>
      <c r="BN109" s="16">
        <v>1</v>
      </c>
      <c r="BO109" s="16" t="s">
        <v>84</v>
      </c>
      <c r="BP109" s="16" t="s">
        <v>84</v>
      </c>
      <c r="BQ109" s="16" t="s">
        <v>84</v>
      </c>
      <c r="BR109" s="16" t="s">
        <v>97</v>
      </c>
      <c r="BS109" s="16" t="s">
        <v>98</v>
      </c>
      <c r="BT109" s="16">
        <v>0</v>
      </c>
    </row>
    <row r="110" s="1" customFormat="1" ht="16" customHeight="1" spans="1:72">
      <c r="A110" s="14">
        <f t="shared" si="26"/>
        <v>2025</v>
      </c>
      <c r="B110" s="14">
        <f t="shared" si="27"/>
        <v>8</v>
      </c>
      <c r="C110" s="14" t="str">
        <f t="shared" si="28"/>
        <v>3729987008773892096</v>
      </c>
      <c r="D110" s="14" cm="1">
        <f t="array" ref="D110">SUMPRODUCT(($R$2:$R$374=C110)*1)</f>
        <v>1</v>
      </c>
      <c r="E110" s="14" cm="1">
        <f t="array" ref="E110">SUMPRODUCT(($R$2:R110=C110)*1)</f>
        <v>1</v>
      </c>
      <c r="F110" s="15" t="str">
        <f t="shared" si="29"/>
        <v>Z1741-白色-S</v>
      </c>
      <c r="G110" s="14" t="str">
        <f t="shared" si="30"/>
        <v>Z1741</v>
      </c>
      <c r="H110" s="15">
        <f t="shared" si="31"/>
        <v>1</v>
      </c>
      <c r="I110" s="14">
        <f t="shared" si="32"/>
        <v>269</v>
      </c>
      <c r="J110" s="15">
        <f t="shared" si="33"/>
        <v>0</v>
      </c>
      <c r="K110" s="15">
        <f t="shared" si="34"/>
        <v>0</v>
      </c>
      <c r="L110" s="15">
        <f t="shared" si="35"/>
        <v>-2.69</v>
      </c>
      <c r="M110" s="15">
        <f t="shared" si="36"/>
        <v>0</v>
      </c>
      <c r="N110" s="15">
        <f t="shared" si="37"/>
        <v>-1.5</v>
      </c>
      <c r="O110" s="15">
        <f t="shared" si="38"/>
        <v>264.81</v>
      </c>
      <c r="R110" s="16" t="s">
        <v>1505</v>
      </c>
      <c r="S110" s="16" t="s">
        <v>1506</v>
      </c>
      <c r="T110" s="16" t="s">
        <v>1507</v>
      </c>
      <c r="U110" s="16" t="s">
        <v>1508</v>
      </c>
      <c r="V110" s="16" t="s">
        <v>1509</v>
      </c>
      <c r="W110" s="16" t="s">
        <v>76</v>
      </c>
      <c r="X110" s="16" t="s">
        <v>77</v>
      </c>
      <c r="Y110" s="16" t="s">
        <v>1510</v>
      </c>
      <c r="Z110" s="16" t="s">
        <v>1511</v>
      </c>
      <c r="AA110" s="16" t="s">
        <v>1283</v>
      </c>
      <c r="AB110" s="16" t="s">
        <v>1512</v>
      </c>
      <c r="AC110" s="16" t="s">
        <v>1513</v>
      </c>
      <c r="AD110" s="16" t="s">
        <v>1514</v>
      </c>
      <c r="AE110" s="16" t="s">
        <v>84</v>
      </c>
      <c r="AF110" s="16" t="s">
        <v>84</v>
      </c>
      <c r="AG110" s="16">
        <v>269</v>
      </c>
      <c r="AH110" s="16">
        <v>269</v>
      </c>
      <c r="AI110" s="17">
        <v>269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 t="s">
        <v>85</v>
      </c>
      <c r="AP110" s="16" t="s">
        <v>1515</v>
      </c>
      <c r="AQ110" s="16" t="s">
        <v>1516</v>
      </c>
      <c r="AR110" s="16" t="s">
        <v>88</v>
      </c>
      <c r="AS110" s="16" t="s">
        <v>1517</v>
      </c>
      <c r="AT110" s="16">
        <v>2.69</v>
      </c>
      <c r="AU110" s="16" t="s">
        <v>90</v>
      </c>
      <c r="AV110" s="16">
        <v>1.5</v>
      </c>
      <c r="AW110" s="16" t="s">
        <v>90</v>
      </c>
      <c r="AX110" s="16" t="s">
        <v>90</v>
      </c>
      <c r="AY110" s="16" t="s">
        <v>90</v>
      </c>
      <c r="AZ110" s="16" t="s">
        <v>90</v>
      </c>
      <c r="BA110" s="16" t="s">
        <v>90</v>
      </c>
      <c r="BB110" s="16">
        <v>0</v>
      </c>
      <c r="BC110" s="16"/>
      <c r="BD110" s="16" t="s">
        <v>90</v>
      </c>
      <c r="BE110" s="16" t="s">
        <v>1212</v>
      </c>
      <c r="BF110" s="16" t="s">
        <v>1213</v>
      </c>
      <c r="BG110" s="16" t="s">
        <v>1214</v>
      </c>
      <c r="BH110" s="16" t="s">
        <v>1518</v>
      </c>
      <c r="BI110" s="16" t="s">
        <v>1519</v>
      </c>
      <c r="BJ110" s="16">
        <v>269</v>
      </c>
      <c r="BK110" s="16">
        <v>269</v>
      </c>
      <c r="BL110" s="16">
        <v>269</v>
      </c>
      <c r="BM110" s="16" t="s">
        <v>96</v>
      </c>
      <c r="BN110" s="16">
        <v>1</v>
      </c>
      <c r="BO110" s="16" t="s">
        <v>84</v>
      </c>
      <c r="BP110" s="16" t="s">
        <v>84</v>
      </c>
      <c r="BQ110" s="16" t="s">
        <v>84</v>
      </c>
      <c r="BR110" s="16" t="s">
        <v>97</v>
      </c>
      <c r="BS110" s="16" t="s">
        <v>98</v>
      </c>
      <c r="BT110" s="16">
        <v>0</v>
      </c>
    </row>
    <row r="111" s="1" customFormat="1" ht="16" customHeight="1" spans="1:72">
      <c r="A111" s="14">
        <f t="shared" si="26"/>
        <v>2025</v>
      </c>
      <c r="B111" s="14">
        <f t="shared" si="27"/>
        <v>8</v>
      </c>
      <c r="C111" s="14" t="str">
        <f t="shared" si="28"/>
        <v>3729987001021242624</v>
      </c>
      <c r="D111" s="14" cm="1">
        <f t="array" ref="D111">SUMPRODUCT(($R$2:$R$374=C111)*1)</f>
        <v>1</v>
      </c>
      <c r="E111" s="14" cm="1">
        <f t="array" ref="E111">SUMPRODUCT(($R$2:R111=C111)*1)</f>
        <v>1</v>
      </c>
      <c r="F111" s="15" t="str">
        <f t="shared" si="29"/>
        <v>Z1576-黑色-M</v>
      </c>
      <c r="G111" s="14" t="str">
        <f t="shared" si="30"/>
        <v>Z1576</v>
      </c>
      <c r="H111" s="15">
        <f t="shared" si="31"/>
        <v>1</v>
      </c>
      <c r="I111" s="14">
        <f t="shared" si="32"/>
        <v>199</v>
      </c>
      <c r="J111" s="15">
        <f t="shared" si="33"/>
        <v>0</v>
      </c>
      <c r="K111" s="15">
        <f t="shared" si="34"/>
        <v>0</v>
      </c>
      <c r="L111" s="15">
        <f t="shared" si="35"/>
        <v>-9.95</v>
      </c>
      <c r="M111" s="15">
        <f t="shared" si="36"/>
        <v>0</v>
      </c>
      <c r="N111" s="15">
        <f t="shared" si="37"/>
        <v>-1.5</v>
      </c>
      <c r="O111" s="15">
        <f t="shared" si="38"/>
        <v>187.55</v>
      </c>
      <c r="R111" s="16" t="s">
        <v>1520</v>
      </c>
      <c r="S111" s="16" t="s">
        <v>1521</v>
      </c>
      <c r="T111" s="16" t="s">
        <v>1401</v>
      </c>
      <c r="U111" s="16" t="s">
        <v>1522</v>
      </c>
      <c r="V111" s="16" t="s">
        <v>1523</v>
      </c>
      <c r="W111" s="16" t="s">
        <v>76</v>
      </c>
      <c r="X111" s="16" t="s">
        <v>77</v>
      </c>
      <c r="Y111" s="16" t="s">
        <v>1524</v>
      </c>
      <c r="Z111" s="16" t="s">
        <v>1525</v>
      </c>
      <c r="AA111" s="16" t="s">
        <v>1365</v>
      </c>
      <c r="AB111" s="16" t="s">
        <v>1366</v>
      </c>
      <c r="AC111" s="16" t="s">
        <v>1526</v>
      </c>
      <c r="AD111" s="16" t="s">
        <v>1527</v>
      </c>
      <c r="AE111" s="16" t="s">
        <v>84</v>
      </c>
      <c r="AF111" s="16" t="s">
        <v>84</v>
      </c>
      <c r="AG111" s="16">
        <v>199</v>
      </c>
      <c r="AH111" s="16">
        <v>199</v>
      </c>
      <c r="AI111" s="17">
        <v>199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 t="s">
        <v>85</v>
      </c>
      <c r="AP111" s="16" t="s">
        <v>1528</v>
      </c>
      <c r="AQ111" s="16" t="s">
        <v>1529</v>
      </c>
      <c r="AR111" s="16" t="s">
        <v>88</v>
      </c>
      <c r="AS111" s="16" t="s">
        <v>1530</v>
      </c>
      <c r="AT111" s="16">
        <v>9.95</v>
      </c>
      <c r="AU111" s="16" t="s">
        <v>90</v>
      </c>
      <c r="AV111" s="16">
        <v>1.5</v>
      </c>
      <c r="AW111" s="16" t="s">
        <v>115</v>
      </c>
      <c r="AX111" s="16" t="s">
        <v>116</v>
      </c>
      <c r="AY111" s="16" t="s">
        <v>117</v>
      </c>
      <c r="AZ111" s="16" t="s">
        <v>118</v>
      </c>
      <c r="BA111" s="16" t="s">
        <v>119</v>
      </c>
      <c r="BB111" s="16">
        <v>0</v>
      </c>
      <c r="BC111" s="16" t="s">
        <v>84</v>
      </c>
      <c r="BD111" s="16" t="s">
        <v>90</v>
      </c>
      <c r="BE111" s="16" t="s">
        <v>402</v>
      </c>
      <c r="BF111" s="16" t="s">
        <v>403</v>
      </c>
      <c r="BG111" s="16" t="s">
        <v>404</v>
      </c>
      <c r="BH111" s="16" t="s">
        <v>474</v>
      </c>
      <c r="BI111" s="16" t="s">
        <v>308</v>
      </c>
      <c r="BJ111" s="16">
        <v>199</v>
      </c>
      <c r="BK111" s="16">
        <v>199</v>
      </c>
      <c r="BL111" s="16">
        <v>199</v>
      </c>
      <c r="BM111" s="16" t="s">
        <v>96</v>
      </c>
      <c r="BN111" s="16">
        <v>1</v>
      </c>
      <c r="BO111" s="16" t="s">
        <v>84</v>
      </c>
      <c r="BP111" s="16" t="s">
        <v>84</v>
      </c>
      <c r="BQ111" s="16" t="s">
        <v>84</v>
      </c>
      <c r="BR111" s="16" t="s">
        <v>97</v>
      </c>
      <c r="BS111" s="16" t="s">
        <v>98</v>
      </c>
      <c r="BT111" s="16">
        <v>0</v>
      </c>
    </row>
    <row r="112" s="1" customFormat="1" ht="16" customHeight="1" spans="1:72">
      <c r="A112" s="14">
        <f t="shared" si="26"/>
        <v>2025</v>
      </c>
      <c r="B112" s="14">
        <f t="shared" si="27"/>
        <v>8</v>
      </c>
      <c r="C112" s="14" t="str">
        <f t="shared" si="28"/>
        <v>3729986999867544576</v>
      </c>
      <c r="D112" s="14" cm="1">
        <f t="array" ref="D112">SUMPRODUCT(($R$2:$R$374=C112)*1)</f>
        <v>1</v>
      </c>
      <c r="E112" s="14" cm="1">
        <f t="array" ref="E112">SUMPRODUCT(($R$2:R112=C112)*1)</f>
        <v>1</v>
      </c>
      <c r="F112" s="15" t="str">
        <f t="shared" si="29"/>
        <v>Z1576-黑色-L</v>
      </c>
      <c r="G112" s="14" t="str">
        <f t="shared" si="30"/>
        <v>Z1576</v>
      </c>
      <c r="H112" s="15">
        <f t="shared" si="31"/>
        <v>1</v>
      </c>
      <c r="I112" s="14">
        <f t="shared" si="32"/>
        <v>199</v>
      </c>
      <c r="J112" s="15">
        <f t="shared" si="33"/>
        <v>0</v>
      </c>
      <c r="K112" s="15">
        <f t="shared" si="34"/>
        <v>0</v>
      </c>
      <c r="L112" s="15">
        <f t="shared" si="35"/>
        <v>-9.95</v>
      </c>
      <c r="M112" s="15">
        <f t="shared" si="36"/>
        <v>0</v>
      </c>
      <c r="N112" s="15">
        <f t="shared" si="37"/>
        <v>0</v>
      </c>
      <c r="O112" s="15">
        <f t="shared" si="38"/>
        <v>189.05</v>
      </c>
      <c r="R112" s="16" t="s">
        <v>1531</v>
      </c>
      <c r="S112" s="16" t="s">
        <v>1532</v>
      </c>
      <c r="T112" s="16" t="s">
        <v>1043</v>
      </c>
      <c r="U112" s="16" t="s">
        <v>1533</v>
      </c>
      <c r="V112" s="16" t="s">
        <v>1534</v>
      </c>
      <c r="W112" s="16" t="s">
        <v>76</v>
      </c>
      <c r="X112" s="16" t="s">
        <v>77</v>
      </c>
      <c r="Y112" s="16" t="s">
        <v>1535</v>
      </c>
      <c r="Z112" s="16" t="s">
        <v>1536</v>
      </c>
      <c r="AA112" s="16" t="s">
        <v>171</v>
      </c>
      <c r="AB112" s="16" t="s">
        <v>172</v>
      </c>
      <c r="AC112" s="16" t="s">
        <v>1537</v>
      </c>
      <c r="AD112" s="16" t="s">
        <v>1538</v>
      </c>
      <c r="AE112" s="16" t="s">
        <v>84</v>
      </c>
      <c r="AF112" s="16" t="s">
        <v>84</v>
      </c>
      <c r="AG112" s="16">
        <v>199</v>
      </c>
      <c r="AH112" s="16">
        <v>199</v>
      </c>
      <c r="AI112" s="17">
        <v>199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 t="s">
        <v>137</v>
      </c>
      <c r="AP112" s="16" t="s">
        <v>1539</v>
      </c>
      <c r="AQ112" s="16" t="s">
        <v>1540</v>
      </c>
      <c r="AR112" s="16" t="s">
        <v>88</v>
      </c>
      <c r="AS112" s="16" t="s">
        <v>1541</v>
      </c>
      <c r="AT112" s="16">
        <v>9.95</v>
      </c>
      <c r="AU112" s="16" t="s">
        <v>90</v>
      </c>
      <c r="AV112" s="16" t="s">
        <v>90</v>
      </c>
      <c r="AW112" s="16" t="s">
        <v>115</v>
      </c>
      <c r="AX112" s="16" t="s">
        <v>116</v>
      </c>
      <c r="AY112" s="16" t="s">
        <v>117</v>
      </c>
      <c r="AZ112" s="16" t="s">
        <v>118</v>
      </c>
      <c r="BA112" s="16" t="s">
        <v>119</v>
      </c>
      <c r="BB112" s="16">
        <v>0</v>
      </c>
      <c r="BC112" s="16" t="s">
        <v>84</v>
      </c>
      <c r="BD112" s="16" t="s">
        <v>90</v>
      </c>
      <c r="BE112" s="16" t="s">
        <v>402</v>
      </c>
      <c r="BF112" s="16" t="s">
        <v>403</v>
      </c>
      <c r="BG112" s="16" t="s">
        <v>404</v>
      </c>
      <c r="BH112" s="16" t="s">
        <v>405</v>
      </c>
      <c r="BI112" s="16" t="s">
        <v>406</v>
      </c>
      <c r="BJ112" s="16">
        <v>199</v>
      </c>
      <c r="BK112" s="16">
        <v>199</v>
      </c>
      <c r="BL112" s="16">
        <v>199</v>
      </c>
      <c r="BM112" s="16" t="s">
        <v>96</v>
      </c>
      <c r="BN112" s="16">
        <v>1</v>
      </c>
      <c r="BO112" s="16" t="s">
        <v>84</v>
      </c>
      <c r="BP112" s="16" t="s">
        <v>84</v>
      </c>
      <c r="BQ112" s="16" t="s">
        <v>84</v>
      </c>
      <c r="BR112" s="16" t="s">
        <v>97</v>
      </c>
      <c r="BS112" s="16" t="s">
        <v>98</v>
      </c>
      <c r="BT112" s="16">
        <v>0</v>
      </c>
    </row>
    <row r="113" s="1" customFormat="1" ht="16" customHeight="1" spans="1:72">
      <c r="A113" s="14">
        <f t="shared" si="26"/>
        <v>2025</v>
      </c>
      <c r="B113" s="14">
        <f t="shared" si="27"/>
        <v>8</v>
      </c>
      <c r="C113" s="14" t="str">
        <f t="shared" si="28"/>
        <v>3729986993208567040</v>
      </c>
      <c r="D113" s="14" cm="1">
        <f t="array" ref="D113">SUMPRODUCT(($R$2:$R$374=C113)*1)</f>
        <v>1</v>
      </c>
      <c r="E113" s="14" cm="1">
        <f t="array" ref="E113">SUMPRODUCT(($R$2:R113=C113)*1)</f>
        <v>1</v>
      </c>
      <c r="F113" s="15" t="str">
        <f t="shared" si="29"/>
        <v>Z1640-黑色-M</v>
      </c>
      <c r="G113" s="14" t="str">
        <f t="shared" si="30"/>
        <v>Z1640</v>
      </c>
      <c r="H113" s="15">
        <f t="shared" si="31"/>
        <v>1</v>
      </c>
      <c r="I113" s="14">
        <f t="shared" si="32"/>
        <v>289</v>
      </c>
      <c r="J113" s="15">
        <f t="shared" si="33"/>
        <v>0</v>
      </c>
      <c r="K113" s="15">
        <f t="shared" si="34"/>
        <v>0</v>
      </c>
      <c r="L113" s="15">
        <f t="shared" si="35"/>
        <v>-14.45</v>
      </c>
      <c r="M113" s="15">
        <f t="shared" si="36"/>
        <v>0</v>
      </c>
      <c r="N113" s="15">
        <f t="shared" si="37"/>
        <v>-1.5</v>
      </c>
      <c r="O113" s="15">
        <f t="shared" si="38"/>
        <v>273.05</v>
      </c>
      <c r="R113" s="16" t="s">
        <v>1542</v>
      </c>
      <c r="S113" s="16" t="s">
        <v>1543</v>
      </c>
      <c r="T113" s="16" t="s">
        <v>1329</v>
      </c>
      <c r="U113" s="16" t="s">
        <v>1544</v>
      </c>
      <c r="V113" s="16" t="s">
        <v>1545</v>
      </c>
      <c r="W113" s="16" t="s">
        <v>76</v>
      </c>
      <c r="X113" s="16" t="s">
        <v>77</v>
      </c>
      <c r="Y113" s="16" t="s">
        <v>882</v>
      </c>
      <c r="Z113" s="16" t="s">
        <v>1546</v>
      </c>
      <c r="AA113" s="16" t="s">
        <v>1547</v>
      </c>
      <c r="AB113" s="16" t="s">
        <v>1548</v>
      </c>
      <c r="AC113" s="16" t="s">
        <v>1549</v>
      </c>
      <c r="AD113" s="16" t="s">
        <v>887</v>
      </c>
      <c r="AE113" s="16" t="s">
        <v>84</v>
      </c>
      <c r="AF113" s="16" t="s">
        <v>84</v>
      </c>
      <c r="AG113" s="16">
        <v>289</v>
      </c>
      <c r="AH113" s="16">
        <v>289</v>
      </c>
      <c r="AI113" s="17">
        <v>289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 t="s">
        <v>85</v>
      </c>
      <c r="AP113" s="16" t="s">
        <v>1550</v>
      </c>
      <c r="AQ113" s="16" t="s">
        <v>1551</v>
      </c>
      <c r="AR113" s="16" t="s">
        <v>88</v>
      </c>
      <c r="AS113" s="16" t="s">
        <v>1552</v>
      </c>
      <c r="AT113" s="16">
        <v>14.45</v>
      </c>
      <c r="AU113" s="16" t="s">
        <v>90</v>
      </c>
      <c r="AV113" s="16">
        <v>1.5</v>
      </c>
      <c r="AW113" s="16" t="s">
        <v>115</v>
      </c>
      <c r="AX113" s="16" t="s">
        <v>116</v>
      </c>
      <c r="AY113" s="16" t="s">
        <v>117</v>
      </c>
      <c r="AZ113" s="16" t="s">
        <v>118</v>
      </c>
      <c r="BA113" s="16" t="s">
        <v>119</v>
      </c>
      <c r="BB113" s="16">
        <v>0</v>
      </c>
      <c r="BC113" s="16" t="s">
        <v>84</v>
      </c>
      <c r="BD113" s="16" t="s">
        <v>90</v>
      </c>
      <c r="BE113" s="16" t="s">
        <v>1128</v>
      </c>
      <c r="BF113" s="16" t="s">
        <v>1129</v>
      </c>
      <c r="BG113" s="16" t="s">
        <v>1130</v>
      </c>
      <c r="BH113" s="16" t="s">
        <v>1314</v>
      </c>
      <c r="BI113" s="16" t="s">
        <v>308</v>
      </c>
      <c r="BJ113" s="16">
        <v>289</v>
      </c>
      <c r="BK113" s="16">
        <v>289</v>
      </c>
      <c r="BL113" s="16">
        <v>289</v>
      </c>
      <c r="BM113" s="16" t="s">
        <v>96</v>
      </c>
      <c r="BN113" s="16">
        <v>1</v>
      </c>
      <c r="BO113" s="16" t="s">
        <v>84</v>
      </c>
      <c r="BP113" s="16" t="s">
        <v>84</v>
      </c>
      <c r="BQ113" s="16" t="s">
        <v>84</v>
      </c>
      <c r="BR113" s="16" t="s">
        <v>97</v>
      </c>
      <c r="BS113" s="16" t="s">
        <v>98</v>
      </c>
      <c r="BT113" s="16">
        <v>0</v>
      </c>
    </row>
    <row r="114" s="1" customFormat="1" ht="16" customHeight="1" spans="1:72">
      <c r="A114" s="14">
        <f t="shared" si="26"/>
        <v>2025</v>
      </c>
      <c r="B114" s="14">
        <f t="shared" si="27"/>
        <v>8</v>
      </c>
      <c r="C114" s="14" t="str">
        <f t="shared" si="28"/>
        <v>3729986980063618560</v>
      </c>
      <c r="D114" s="14" cm="1">
        <f t="array" ref="D114">SUMPRODUCT(($R$2:$R$374=C114)*1)</f>
        <v>1</v>
      </c>
      <c r="E114" s="14" cm="1">
        <f t="array" ref="E114">SUMPRODUCT(($R$2:R114=C114)*1)</f>
        <v>1</v>
      </c>
      <c r="F114" s="15" t="str">
        <f t="shared" si="29"/>
        <v>Z1640-黑色-L</v>
      </c>
      <c r="G114" s="14" t="str">
        <f t="shared" si="30"/>
        <v>Z1640</v>
      </c>
      <c r="H114" s="15">
        <f t="shared" si="31"/>
        <v>1</v>
      </c>
      <c r="I114" s="14">
        <f t="shared" si="32"/>
        <v>289</v>
      </c>
      <c r="J114" s="15">
        <f t="shared" si="33"/>
        <v>0</v>
      </c>
      <c r="K114" s="15">
        <f t="shared" si="34"/>
        <v>0</v>
      </c>
      <c r="L114" s="15">
        <f t="shared" si="35"/>
        <v>-14.45</v>
      </c>
      <c r="M114" s="15">
        <f t="shared" si="36"/>
        <v>0</v>
      </c>
      <c r="N114" s="15">
        <f t="shared" si="37"/>
        <v>-1.5</v>
      </c>
      <c r="O114" s="15">
        <f t="shared" si="38"/>
        <v>273.05</v>
      </c>
      <c r="R114" s="16" t="s">
        <v>1553</v>
      </c>
      <c r="S114" s="16" t="s">
        <v>1554</v>
      </c>
      <c r="T114" s="16" t="s">
        <v>1555</v>
      </c>
      <c r="U114" s="16" t="s">
        <v>1556</v>
      </c>
      <c r="V114" s="16" t="s">
        <v>1557</v>
      </c>
      <c r="W114" s="16" t="s">
        <v>76</v>
      </c>
      <c r="X114" s="16" t="s">
        <v>77</v>
      </c>
      <c r="Y114" s="16" t="s">
        <v>1498</v>
      </c>
      <c r="Z114" s="16" t="s">
        <v>1499</v>
      </c>
      <c r="AA114" s="16" t="s">
        <v>171</v>
      </c>
      <c r="AB114" s="16" t="s">
        <v>172</v>
      </c>
      <c r="AC114" s="16" t="s">
        <v>1500</v>
      </c>
      <c r="AD114" s="16" t="s">
        <v>1501</v>
      </c>
      <c r="AE114" s="16" t="s">
        <v>84</v>
      </c>
      <c r="AF114" s="16" t="s">
        <v>84</v>
      </c>
      <c r="AG114" s="16">
        <v>289</v>
      </c>
      <c r="AH114" s="16">
        <v>289</v>
      </c>
      <c r="AI114" s="17">
        <v>289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 t="s">
        <v>137</v>
      </c>
      <c r="AP114" s="16" t="s">
        <v>1558</v>
      </c>
      <c r="AQ114" s="16" t="s">
        <v>1559</v>
      </c>
      <c r="AR114" s="16" t="s">
        <v>88</v>
      </c>
      <c r="AS114" s="16" t="s">
        <v>1560</v>
      </c>
      <c r="AT114" s="16">
        <v>14.45</v>
      </c>
      <c r="AU114" s="16" t="s">
        <v>90</v>
      </c>
      <c r="AV114" s="16">
        <v>1.5</v>
      </c>
      <c r="AW114" s="16" t="s">
        <v>115</v>
      </c>
      <c r="AX114" s="16" t="s">
        <v>116</v>
      </c>
      <c r="AY114" s="16" t="s">
        <v>117</v>
      </c>
      <c r="AZ114" s="16" t="s">
        <v>118</v>
      </c>
      <c r="BA114" s="16" t="s">
        <v>119</v>
      </c>
      <c r="BB114" s="16">
        <v>0</v>
      </c>
      <c r="BC114" s="16" t="s">
        <v>84</v>
      </c>
      <c r="BD114" s="16" t="s">
        <v>90</v>
      </c>
      <c r="BE114" s="16" t="s">
        <v>1128</v>
      </c>
      <c r="BF114" s="16" t="s">
        <v>1129</v>
      </c>
      <c r="BG114" s="16" t="s">
        <v>1130</v>
      </c>
      <c r="BH114" s="16" t="s">
        <v>1131</v>
      </c>
      <c r="BI114" s="16" t="s">
        <v>406</v>
      </c>
      <c r="BJ114" s="16">
        <v>289</v>
      </c>
      <c r="BK114" s="16">
        <v>289</v>
      </c>
      <c r="BL114" s="16">
        <v>289</v>
      </c>
      <c r="BM114" s="16" t="s">
        <v>96</v>
      </c>
      <c r="BN114" s="16">
        <v>1</v>
      </c>
      <c r="BO114" s="16" t="s">
        <v>84</v>
      </c>
      <c r="BP114" s="16" t="s">
        <v>84</v>
      </c>
      <c r="BQ114" s="16" t="s">
        <v>84</v>
      </c>
      <c r="BR114" s="16" t="s">
        <v>97</v>
      </c>
      <c r="BS114" s="16" t="s">
        <v>98</v>
      </c>
      <c r="BT114" s="16">
        <v>0</v>
      </c>
    </row>
    <row r="115" s="1" customFormat="1" ht="16" customHeight="1" spans="1:72">
      <c r="A115" s="14">
        <f t="shared" si="26"/>
        <v>2025</v>
      </c>
      <c r="B115" s="14">
        <f t="shared" si="27"/>
        <v>8</v>
      </c>
      <c r="C115" s="14" t="str">
        <f t="shared" si="28"/>
        <v>3729986972954008832</v>
      </c>
      <c r="D115" s="14" cm="1">
        <f t="array" ref="D115">SUMPRODUCT(($R$2:$R$374=C115)*1)</f>
        <v>1</v>
      </c>
      <c r="E115" s="14" cm="1">
        <f t="array" ref="E115">SUMPRODUCT(($R$2:R115=C115)*1)</f>
        <v>1</v>
      </c>
      <c r="F115" s="15" t="str">
        <f t="shared" si="29"/>
        <v>Z1640-黑色-L</v>
      </c>
      <c r="G115" s="14" t="str">
        <f t="shared" si="30"/>
        <v>Z1640</v>
      </c>
      <c r="H115" s="15">
        <f t="shared" si="31"/>
        <v>1</v>
      </c>
      <c r="I115" s="14">
        <f t="shared" si="32"/>
        <v>289</v>
      </c>
      <c r="J115" s="15">
        <f t="shared" si="33"/>
        <v>0</v>
      </c>
      <c r="K115" s="15">
        <f t="shared" si="34"/>
        <v>0</v>
      </c>
      <c r="L115" s="15">
        <f t="shared" si="35"/>
        <v>-14.45</v>
      </c>
      <c r="M115" s="15">
        <f t="shared" si="36"/>
        <v>0</v>
      </c>
      <c r="N115" s="15">
        <f t="shared" si="37"/>
        <v>-1.5</v>
      </c>
      <c r="O115" s="15">
        <f t="shared" si="38"/>
        <v>273.05</v>
      </c>
      <c r="R115" s="16" t="s">
        <v>1561</v>
      </c>
      <c r="S115" s="16" t="s">
        <v>1562</v>
      </c>
      <c r="T115" s="16" t="s">
        <v>1555</v>
      </c>
      <c r="U115" s="16" t="s">
        <v>1563</v>
      </c>
      <c r="V115" s="16" t="s">
        <v>1564</v>
      </c>
      <c r="W115" s="16" t="s">
        <v>76</v>
      </c>
      <c r="X115" s="16" t="s">
        <v>77</v>
      </c>
      <c r="Y115" s="16" t="s">
        <v>1565</v>
      </c>
      <c r="Z115" s="16" t="s">
        <v>1566</v>
      </c>
      <c r="AA115" s="16" t="s">
        <v>430</v>
      </c>
      <c r="AB115" s="16" t="s">
        <v>430</v>
      </c>
      <c r="AC115" s="16" t="s">
        <v>1567</v>
      </c>
      <c r="AD115" s="16" t="s">
        <v>1568</v>
      </c>
      <c r="AE115" s="16" t="s">
        <v>84</v>
      </c>
      <c r="AF115" s="16" t="s">
        <v>84</v>
      </c>
      <c r="AG115" s="16">
        <v>289</v>
      </c>
      <c r="AH115" s="16">
        <v>289</v>
      </c>
      <c r="AI115" s="17">
        <v>289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 t="s">
        <v>85</v>
      </c>
      <c r="AP115" s="16" t="s">
        <v>1569</v>
      </c>
      <c r="AQ115" s="16" t="s">
        <v>1570</v>
      </c>
      <c r="AR115" s="16" t="s">
        <v>88</v>
      </c>
      <c r="AS115" s="16" t="s">
        <v>1571</v>
      </c>
      <c r="AT115" s="16">
        <v>14.45</v>
      </c>
      <c r="AU115" s="16" t="s">
        <v>90</v>
      </c>
      <c r="AV115" s="16">
        <v>1.5</v>
      </c>
      <c r="AW115" s="16" t="s">
        <v>115</v>
      </c>
      <c r="AX115" s="16" t="s">
        <v>116</v>
      </c>
      <c r="AY115" s="16" t="s">
        <v>117</v>
      </c>
      <c r="AZ115" s="16" t="s">
        <v>118</v>
      </c>
      <c r="BA115" s="16" t="s">
        <v>119</v>
      </c>
      <c r="BB115" s="16">
        <v>0</v>
      </c>
      <c r="BC115" s="16" t="s">
        <v>84</v>
      </c>
      <c r="BD115" s="16" t="s">
        <v>90</v>
      </c>
      <c r="BE115" s="16" t="s">
        <v>1128</v>
      </c>
      <c r="BF115" s="16" t="s">
        <v>1129</v>
      </c>
      <c r="BG115" s="16" t="s">
        <v>1130</v>
      </c>
      <c r="BH115" s="16" t="s">
        <v>1131</v>
      </c>
      <c r="BI115" s="16" t="s">
        <v>406</v>
      </c>
      <c r="BJ115" s="16">
        <v>289</v>
      </c>
      <c r="BK115" s="16">
        <v>289</v>
      </c>
      <c r="BL115" s="16">
        <v>289</v>
      </c>
      <c r="BM115" s="16" t="s">
        <v>96</v>
      </c>
      <c r="BN115" s="16">
        <v>1</v>
      </c>
      <c r="BO115" s="16" t="s">
        <v>84</v>
      </c>
      <c r="BP115" s="16" t="s">
        <v>84</v>
      </c>
      <c r="BQ115" s="16" t="s">
        <v>84</v>
      </c>
      <c r="BR115" s="16" t="s">
        <v>97</v>
      </c>
      <c r="BS115" s="16" t="s">
        <v>98</v>
      </c>
      <c r="BT115" s="16">
        <v>0</v>
      </c>
    </row>
    <row r="116" s="1" customFormat="1" ht="16" customHeight="1" spans="1:72">
      <c r="A116" s="14">
        <f t="shared" si="26"/>
        <v>2025</v>
      </c>
      <c r="B116" s="14">
        <f t="shared" si="27"/>
        <v>8</v>
      </c>
      <c r="C116" s="14" t="str">
        <f t="shared" si="28"/>
        <v>3729986971498850304</v>
      </c>
      <c r="D116" s="14" cm="1">
        <f t="array" ref="D116">SUMPRODUCT(($R$2:$R$374=C116)*1)</f>
        <v>1</v>
      </c>
      <c r="E116" s="14" cm="1">
        <f t="array" ref="E116">SUMPRODUCT(($R$2:R116=C116)*1)</f>
        <v>1</v>
      </c>
      <c r="F116" s="15" t="str">
        <f t="shared" si="29"/>
        <v>Z1576-黑色-S</v>
      </c>
      <c r="G116" s="14" t="str">
        <f t="shared" si="30"/>
        <v>Z1576</v>
      </c>
      <c r="H116" s="15">
        <f t="shared" si="31"/>
        <v>1</v>
      </c>
      <c r="I116" s="14">
        <f t="shared" si="32"/>
        <v>199</v>
      </c>
      <c r="J116" s="15">
        <f t="shared" si="33"/>
        <v>0</v>
      </c>
      <c r="K116" s="15">
        <f t="shared" si="34"/>
        <v>0</v>
      </c>
      <c r="L116" s="15">
        <f t="shared" si="35"/>
        <v>-9.95</v>
      </c>
      <c r="M116" s="15">
        <f t="shared" si="36"/>
        <v>0</v>
      </c>
      <c r="N116" s="15">
        <f t="shared" si="37"/>
        <v>-1.5</v>
      </c>
      <c r="O116" s="15">
        <f t="shared" si="38"/>
        <v>187.55</v>
      </c>
      <c r="R116" s="16" t="s">
        <v>1572</v>
      </c>
      <c r="S116" s="16" t="s">
        <v>1573</v>
      </c>
      <c r="T116" s="16" t="s">
        <v>1431</v>
      </c>
      <c r="U116" s="16" t="s">
        <v>1574</v>
      </c>
      <c r="V116" s="16" t="s">
        <v>1575</v>
      </c>
      <c r="W116" s="16" t="s">
        <v>76</v>
      </c>
      <c r="X116" s="16" t="s">
        <v>77</v>
      </c>
      <c r="Y116" s="16" t="s">
        <v>1576</v>
      </c>
      <c r="Z116" s="16" t="s">
        <v>1056</v>
      </c>
      <c r="AA116" s="16" t="s">
        <v>369</v>
      </c>
      <c r="AB116" s="16" t="s">
        <v>1057</v>
      </c>
      <c r="AC116" s="16" t="s">
        <v>1058</v>
      </c>
      <c r="AD116" s="16" t="s">
        <v>1577</v>
      </c>
      <c r="AE116" s="16" t="s">
        <v>84</v>
      </c>
      <c r="AF116" s="16" t="s">
        <v>84</v>
      </c>
      <c r="AG116" s="16">
        <v>199</v>
      </c>
      <c r="AH116" s="16">
        <v>199</v>
      </c>
      <c r="AI116" s="17">
        <v>199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 t="s">
        <v>85</v>
      </c>
      <c r="AP116" s="16" t="s">
        <v>1578</v>
      </c>
      <c r="AQ116" s="16" t="s">
        <v>1579</v>
      </c>
      <c r="AR116" s="16" t="s">
        <v>88</v>
      </c>
      <c r="AS116" s="16" t="s">
        <v>1580</v>
      </c>
      <c r="AT116" s="16">
        <v>9.95</v>
      </c>
      <c r="AU116" s="16" t="s">
        <v>90</v>
      </c>
      <c r="AV116" s="16">
        <v>1.5</v>
      </c>
      <c r="AW116" s="16" t="s">
        <v>115</v>
      </c>
      <c r="AX116" s="16" t="s">
        <v>116</v>
      </c>
      <c r="AY116" s="16" t="s">
        <v>117</v>
      </c>
      <c r="AZ116" s="16" t="s">
        <v>118</v>
      </c>
      <c r="BA116" s="16" t="s">
        <v>119</v>
      </c>
      <c r="BB116" s="16">
        <v>0</v>
      </c>
      <c r="BC116" s="16" t="s">
        <v>84</v>
      </c>
      <c r="BD116" s="16" t="s">
        <v>90</v>
      </c>
      <c r="BE116" s="16" t="s">
        <v>402</v>
      </c>
      <c r="BF116" s="16" t="s">
        <v>403</v>
      </c>
      <c r="BG116" s="16" t="s">
        <v>404</v>
      </c>
      <c r="BH116" s="16" t="s">
        <v>1264</v>
      </c>
      <c r="BI116" s="16" t="s">
        <v>377</v>
      </c>
      <c r="BJ116" s="16">
        <v>199</v>
      </c>
      <c r="BK116" s="16">
        <v>199</v>
      </c>
      <c r="BL116" s="16">
        <v>199</v>
      </c>
      <c r="BM116" s="16" t="s">
        <v>96</v>
      </c>
      <c r="BN116" s="16">
        <v>1</v>
      </c>
      <c r="BO116" s="16" t="s">
        <v>84</v>
      </c>
      <c r="BP116" s="16" t="s">
        <v>84</v>
      </c>
      <c r="BQ116" s="16" t="s">
        <v>84</v>
      </c>
      <c r="BR116" s="16" t="s">
        <v>97</v>
      </c>
      <c r="BS116" s="16" t="s">
        <v>98</v>
      </c>
      <c r="BT116" s="16">
        <v>0</v>
      </c>
    </row>
    <row r="117" s="1" customFormat="1" ht="16" customHeight="1" spans="1:72">
      <c r="A117" s="14">
        <f t="shared" si="26"/>
        <v>2025</v>
      </c>
      <c r="B117" s="14">
        <f t="shared" si="27"/>
        <v>8</v>
      </c>
      <c r="C117" s="14" t="str">
        <f t="shared" si="28"/>
        <v>3729986972593305344</v>
      </c>
      <c r="D117" s="14" cm="1">
        <f t="array" ref="D117">SUMPRODUCT(($R$2:$R$374=C117)*1)</f>
        <v>1</v>
      </c>
      <c r="E117" s="14" cm="1">
        <f t="array" ref="E117">SUMPRODUCT(($R$2:R117=C117)*1)</f>
        <v>1</v>
      </c>
      <c r="F117" s="15" t="str">
        <f t="shared" si="29"/>
        <v>Z1640-黑色-L</v>
      </c>
      <c r="G117" s="14" t="str">
        <f t="shared" si="30"/>
        <v>Z1640</v>
      </c>
      <c r="H117" s="15">
        <f t="shared" si="31"/>
        <v>1</v>
      </c>
      <c r="I117" s="14">
        <f t="shared" si="32"/>
        <v>289</v>
      </c>
      <c r="J117" s="15">
        <f t="shared" si="33"/>
        <v>0</v>
      </c>
      <c r="K117" s="15">
        <f t="shared" si="34"/>
        <v>0</v>
      </c>
      <c r="L117" s="15">
        <f t="shared" si="35"/>
        <v>-14.45</v>
      </c>
      <c r="M117" s="15">
        <f t="shared" si="36"/>
        <v>0</v>
      </c>
      <c r="N117" s="15">
        <f t="shared" si="37"/>
        <v>-1.5</v>
      </c>
      <c r="O117" s="15">
        <f t="shared" si="38"/>
        <v>273.05</v>
      </c>
      <c r="R117" s="16" t="s">
        <v>1581</v>
      </c>
      <c r="S117" s="16" t="s">
        <v>1582</v>
      </c>
      <c r="T117" s="16" t="s">
        <v>1555</v>
      </c>
      <c r="U117" s="16" t="s">
        <v>1583</v>
      </c>
      <c r="V117" s="16" t="s">
        <v>1584</v>
      </c>
      <c r="W117" s="16" t="s">
        <v>76</v>
      </c>
      <c r="X117" s="16" t="s">
        <v>77</v>
      </c>
      <c r="Y117" s="16" t="s">
        <v>1585</v>
      </c>
      <c r="Z117" s="16" t="s">
        <v>481</v>
      </c>
      <c r="AA117" s="16" t="s">
        <v>482</v>
      </c>
      <c r="AB117" s="16" t="s">
        <v>483</v>
      </c>
      <c r="AC117" s="16" t="s">
        <v>484</v>
      </c>
      <c r="AD117" s="16" t="s">
        <v>1586</v>
      </c>
      <c r="AE117" s="16" t="s">
        <v>84</v>
      </c>
      <c r="AF117" s="16" t="s">
        <v>84</v>
      </c>
      <c r="AG117" s="16">
        <v>289</v>
      </c>
      <c r="AH117" s="16">
        <v>289</v>
      </c>
      <c r="AI117" s="17">
        <v>289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 t="s">
        <v>137</v>
      </c>
      <c r="AP117" s="16" t="s">
        <v>1587</v>
      </c>
      <c r="AQ117" s="16" t="s">
        <v>1588</v>
      </c>
      <c r="AR117" s="16" t="s">
        <v>88</v>
      </c>
      <c r="AS117" s="16" t="s">
        <v>1589</v>
      </c>
      <c r="AT117" s="16">
        <v>14.45</v>
      </c>
      <c r="AU117" s="16" t="s">
        <v>90</v>
      </c>
      <c r="AV117" s="16">
        <v>1.5</v>
      </c>
      <c r="AW117" s="16" t="s">
        <v>115</v>
      </c>
      <c r="AX117" s="16" t="s">
        <v>116</v>
      </c>
      <c r="AY117" s="16" t="s">
        <v>117</v>
      </c>
      <c r="AZ117" s="16" t="s">
        <v>118</v>
      </c>
      <c r="BA117" s="16" t="s">
        <v>119</v>
      </c>
      <c r="BB117" s="16">
        <v>0</v>
      </c>
      <c r="BC117" s="16" t="s">
        <v>84</v>
      </c>
      <c r="BD117" s="16" t="s">
        <v>90</v>
      </c>
      <c r="BE117" s="16" t="s">
        <v>1128</v>
      </c>
      <c r="BF117" s="16" t="s">
        <v>1129</v>
      </c>
      <c r="BG117" s="16" t="s">
        <v>1130</v>
      </c>
      <c r="BH117" s="16" t="s">
        <v>1131</v>
      </c>
      <c r="BI117" s="16" t="s">
        <v>406</v>
      </c>
      <c r="BJ117" s="16">
        <v>289</v>
      </c>
      <c r="BK117" s="16">
        <v>289</v>
      </c>
      <c r="BL117" s="16">
        <v>289</v>
      </c>
      <c r="BM117" s="16" t="s">
        <v>96</v>
      </c>
      <c r="BN117" s="16">
        <v>1</v>
      </c>
      <c r="BO117" s="16" t="s">
        <v>84</v>
      </c>
      <c r="BP117" s="16" t="s">
        <v>84</v>
      </c>
      <c r="BQ117" s="16" t="s">
        <v>84</v>
      </c>
      <c r="BR117" s="16" t="s">
        <v>97</v>
      </c>
      <c r="BS117" s="16" t="s">
        <v>98</v>
      </c>
      <c r="BT117" s="16">
        <v>0</v>
      </c>
    </row>
    <row r="118" s="1" customFormat="1" ht="16" customHeight="1" spans="1:72">
      <c r="A118" s="14">
        <f t="shared" si="26"/>
        <v>2025</v>
      </c>
      <c r="B118" s="14">
        <f t="shared" si="27"/>
        <v>8</v>
      </c>
      <c r="C118" s="14" t="str">
        <f t="shared" si="28"/>
        <v>3729986971460843264</v>
      </c>
      <c r="D118" s="14" cm="1">
        <f t="array" ref="D118">SUMPRODUCT(($R$2:$R$374=C118)*1)</f>
        <v>1</v>
      </c>
      <c r="E118" s="14" cm="1">
        <f t="array" ref="E118">SUMPRODUCT(($R$2:R118=C118)*1)</f>
        <v>1</v>
      </c>
      <c r="F118" s="15" t="str">
        <f t="shared" si="29"/>
        <v>Z1576-黑色-L</v>
      </c>
      <c r="G118" s="14" t="str">
        <f t="shared" si="30"/>
        <v>Z1576</v>
      </c>
      <c r="H118" s="15">
        <f t="shared" si="31"/>
        <v>1</v>
      </c>
      <c r="I118" s="14">
        <f t="shared" si="32"/>
        <v>199</v>
      </c>
      <c r="J118" s="15">
        <f t="shared" si="33"/>
        <v>0</v>
      </c>
      <c r="K118" s="15">
        <f t="shared" si="34"/>
        <v>0</v>
      </c>
      <c r="L118" s="15">
        <f t="shared" si="35"/>
        <v>-9.95</v>
      </c>
      <c r="M118" s="15">
        <f t="shared" si="36"/>
        <v>0</v>
      </c>
      <c r="N118" s="15">
        <f t="shared" si="37"/>
        <v>-1.5</v>
      </c>
      <c r="O118" s="15">
        <f t="shared" si="38"/>
        <v>187.55</v>
      </c>
      <c r="R118" s="16" t="s">
        <v>1590</v>
      </c>
      <c r="S118" s="16" t="s">
        <v>1591</v>
      </c>
      <c r="T118" s="16" t="s">
        <v>1043</v>
      </c>
      <c r="U118" s="16" t="s">
        <v>1592</v>
      </c>
      <c r="V118" s="16" t="s">
        <v>1593</v>
      </c>
      <c r="W118" s="16" t="s">
        <v>76</v>
      </c>
      <c r="X118" s="16" t="s">
        <v>77</v>
      </c>
      <c r="Y118" s="16" t="s">
        <v>1594</v>
      </c>
      <c r="Z118" s="16" t="s">
        <v>1595</v>
      </c>
      <c r="AA118" s="16" t="s">
        <v>153</v>
      </c>
      <c r="AB118" s="16" t="s">
        <v>153</v>
      </c>
      <c r="AC118" s="16" t="s">
        <v>1596</v>
      </c>
      <c r="AD118" s="16" t="s">
        <v>1597</v>
      </c>
      <c r="AE118" s="16" t="s">
        <v>84</v>
      </c>
      <c r="AF118" s="16" t="s">
        <v>84</v>
      </c>
      <c r="AG118" s="16">
        <v>199</v>
      </c>
      <c r="AH118" s="16">
        <v>199</v>
      </c>
      <c r="AI118" s="17">
        <v>199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 t="s">
        <v>137</v>
      </c>
      <c r="AP118" s="16" t="s">
        <v>1598</v>
      </c>
      <c r="AQ118" s="16" t="s">
        <v>1599</v>
      </c>
      <c r="AR118" s="16" t="s">
        <v>88</v>
      </c>
      <c r="AS118" s="16" t="s">
        <v>1600</v>
      </c>
      <c r="AT118" s="16">
        <v>9.95</v>
      </c>
      <c r="AU118" s="16" t="s">
        <v>90</v>
      </c>
      <c r="AV118" s="16">
        <v>1.5</v>
      </c>
      <c r="AW118" s="16" t="s">
        <v>115</v>
      </c>
      <c r="AX118" s="16" t="s">
        <v>116</v>
      </c>
      <c r="AY118" s="16" t="s">
        <v>117</v>
      </c>
      <c r="AZ118" s="16" t="s">
        <v>118</v>
      </c>
      <c r="BA118" s="16" t="s">
        <v>119</v>
      </c>
      <c r="BB118" s="16">
        <v>0</v>
      </c>
      <c r="BC118" s="16" t="s">
        <v>84</v>
      </c>
      <c r="BD118" s="16" t="s">
        <v>90</v>
      </c>
      <c r="BE118" s="16" t="s">
        <v>402</v>
      </c>
      <c r="BF118" s="16" t="s">
        <v>403</v>
      </c>
      <c r="BG118" s="16" t="s">
        <v>404</v>
      </c>
      <c r="BH118" s="16" t="s">
        <v>405</v>
      </c>
      <c r="BI118" s="16" t="s">
        <v>406</v>
      </c>
      <c r="BJ118" s="16">
        <v>199</v>
      </c>
      <c r="BK118" s="16">
        <v>199</v>
      </c>
      <c r="BL118" s="16">
        <v>199</v>
      </c>
      <c r="BM118" s="16" t="s">
        <v>96</v>
      </c>
      <c r="BN118" s="16">
        <v>1</v>
      </c>
      <c r="BO118" s="16" t="s">
        <v>84</v>
      </c>
      <c r="BP118" s="16" t="s">
        <v>84</v>
      </c>
      <c r="BQ118" s="16" t="s">
        <v>84</v>
      </c>
      <c r="BR118" s="16" t="s">
        <v>97</v>
      </c>
      <c r="BS118" s="16" t="s">
        <v>98</v>
      </c>
      <c r="BT118" s="16">
        <v>0</v>
      </c>
    </row>
    <row r="119" s="1" customFormat="1" ht="16" customHeight="1" spans="1:72">
      <c r="A119" s="14">
        <f t="shared" si="26"/>
        <v>2025</v>
      </c>
      <c r="B119" s="14">
        <f t="shared" si="27"/>
        <v>8</v>
      </c>
      <c r="C119" s="14" t="str">
        <f t="shared" si="28"/>
        <v>3729986967111081728</v>
      </c>
      <c r="D119" s="14" cm="1">
        <f t="array" ref="D119">SUMPRODUCT(($R$2:$R$374=C119)*1)</f>
        <v>1</v>
      </c>
      <c r="E119" s="14" cm="1">
        <f t="array" ref="E119">SUMPRODUCT(($R$2:R119=C119)*1)</f>
        <v>1</v>
      </c>
      <c r="F119" s="15" t="str">
        <f t="shared" si="29"/>
        <v>Z1576-黑色-L</v>
      </c>
      <c r="G119" s="14" t="str">
        <f t="shared" si="30"/>
        <v>Z1576</v>
      </c>
      <c r="H119" s="15">
        <f t="shared" si="31"/>
        <v>1</v>
      </c>
      <c r="I119" s="14">
        <f t="shared" si="32"/>
        <v>199</v>
      </c>
      <c r="J119" s="15">
        <f t="shared" si="33"/>
        <v>0</v>
      </c>
      <c r="K119" s="15">
        <f t="shared" si="34"/>
        <v>0</v>
      </c>
      <c r="L119" s="15">
        <f t="shared" si="35"/>
        <v>-9.95</v>
      </c>
      <c r="M119" s="15">
        <f t="shared" si="36"/>
        <v>0</v>
      </c>
      <c r="N119" s="15">
        <f t="shared" si="37"/>
        <v>-1.5</v>
      </c>
      <c r="O119" s="15">
        <f t="shared" si="38"/>
        <v>187.55</v>
      </c>
      <c r="R119" s="16" t="s">
        <v>1601</v>
      </c>
      <c r="S119" s="16" t="s">
        <v>1602</v>
      </c>
      <c r="T119" s="16" t="s">
        <v>1043</v>
      </c>
      <c r="U119" s="16" t="s">
        <v>1603</v>
      </c>
      <c r="V119" s="16" t="s">
        <v>1604</v>
      </c>
      <c r="W119" s="16" t="s">
        <v>76</v>
      </c>
      <c r="X119" s="16" t="s">
        <v>77</v>
      </c>
      <c r="Y119" s="16" t="s">
        <v>1565</v>
      </c>
      <c r="Z119" s="16" t="s">
        <v>1566</v>
      </c>
      <c r="AA119" s="16" t="s">
        <v>430</v>
      </c>
      <c r="AB119" s="16" t="s">
        <v>430</v>
      </c>
      <c r="AC119" s="16" t="s">
        <v>1567</v>
      </c>
      <c r="AD119" s="16" t="s">
        <v>1568</v>
      </c>
      <c r="AE119" s="16" t="s">
        <v>84</v>
      </c>
      <c r="AF119" s="16" t="s">
        <v>84</v>
      </c>
      <c r="AG119" s="16">
        <v>199</v>
      </c>
      <c r="AH119" s="16">
        <v>199</v>
      </c>
      <c r="AI119" s="17">
        <v>199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 t="s">
        <v>137</v>
      </c>
      <c r="AP119" s="16" t="s">
        <v>1605</v>
      </c>
      <c r="AQ119" s="16" t="s">
        <v>1606</v>
      </c>
      <c r="AR119" s="16" t="s">
        <v>88</v>
      </c>
      <c r="AS119" s="16" t="s">
        <v>1607</v>
      </c>
      <c r="AT119" s="16">
        <v>9.95</v>
      </c>
      <c r="AU119" s="16" t="s">
        <v>90</v>
      </c>
      <c r="AV119" s="16">
        <v>1.5</v>
      </c>
      <c r="AW119" s="16" t="s">
        <v>115</v>
      </c>
      <c r="AX119" s="16" t="s">
        <v>116</v>
      </c>
      <c r="AY119" s="16" t="s">
        <v>117</v>
      </c>
      <c r="AZ119" s="16" t="s">
        <v>118</v>
      </c>
      <c r="BA119" s="16" t="s">
        <v>119</v>
      </c>
      <c r="BB119" s="16">
        <v>0</v>
      </c>
      <c r="BC119" s="16" t="s">
        <v>84</v>
      </c>
      <c r="BD119" s="16" t="s">
        <v>90</v>
      </c>
      <c r="BE119" s="16" t="s">
        <v>402</v>
      </c>
      <c r="BF119" s="16" t="s">
        <v>403</v>
      </c>
      <c r="BG119" s="16" t="s">
        <v>404</v>
      </c>
      <c r="BH119" s="16" t="s">
        <v>405</v>
      </c>
      <c r="BI119" s="16" t="s">
        <v>406</v>
      </c>
      <c r="BJ119" s="16">
        <v>199</v>
      </c>
      <c r="BK119" s="16">
        <v>199</v>
      </c>
      <c r="BL119" s="16">
        <v>199</v>
      </c>
      <c r="BM119" s="16" t="s">
        <v>96</v>
      </c>
      <c r="BN119" s="16">
        <v>1</v>
      </c>
      <c r="BO119" s="16" t="s">
        <v>84</v>
      </c>
      <c r="BP119" s="16" t="s">
        <v>84</v>
      </c>
      <c r="BQ119" s="16" t="s">
        <v>84</v>
      </c>
      <c r="BR119" s="16" t="s">
        <v>97</v>
      </c>
      <c r="BS119" s="16" t="s">
        <v>98</v>
      </c>
      <c r="BT119" s="16">
        <v>0</v>
      </c>
    </row>
    <row r="120" s="1" customFormat="1" ht="16" customHeight="1" spans="1:72">
      <c r="A120" s="14">
        <f t="shared" si="26"/>
        <v>2025</v>
      </c>
      <c r="B120" s="14">
        <f t="shared" si="27"/>
        <v>8</v>
      </c>
      <c r="C120" s="14" t="str">
        <f t="shared" si="28"/>
        <v>3729986446022286848</v>
      </c>
      <c r="D120" s="14" cm="1">
        <f t="array" ref="D120">SUMPRODUCT(($R$2:$R$374=C120)*1)</f>
        <v>1</v>
      </c>
      <c r="E120" s="14" cm="1">
        <f t="array" ref="E120">SUMPRODUCT(($R$2:R120=C120)*1)</f>
        <v>1</v>
      </c>
      <c r="F120" s="15" t="str">
        <f t="shared" si="29"/>
        <v>Z1741-白色-S</v>
      </c>
      <c r="G120" s="14" t="str">
        <f t="shared" si="30"/>
        <v>Z1741</v>
      </c>
      <c r="H120" s="15">
        <f t="shared" si="31"/>
        <v>1</v>
      </c>
      <c r="I120" s="14">
        <f t="shared" si="32"/>
        <v>269</v>
      </c>
      <c r="J120" s="15">
        <f t="shared" si="33"/>
        <v>0</v>
      </c>
      <c r="K120" s="15">
        <f t="shared" si="34"/>
        <v>0</v>
      </c>
      <c r="L120" s="15">
        <f t="shared" si="35"/>
        <v>-13.45</v>
      </c>
      <c r="M120" s="15">
        <f t="shared" si="36"/>
        <v>0</v>
      </c>
      <c r="N120" s="15">
        <f t="shared" si="37"/>
        <v>-1.5</v>
      </c>
      <c r="O120" s="15">
        <f t="shared" si="38"/>
        <v>254.05</v>
      </c>
      <c r="R120" s="16" t="s">
        <v>1608</v>
      </c>
      <c r="S120" s="16" t="s">
        <v>1609</v>
      </c>
      <c r="T120" s="16" t="s">
        <v>1610</v>
      </c>
      <c r="U120" s="16" t="s">
        <v>1611</v>
      </c>
      <c r="V120" s="16" t="s">
        <v>1612</v>
      </c>
      <c r="W120" s="16" t="s">
        <v>76</v>
      </c>
      <c r="X120" s="16" t="s">
        <v>77</v>
      </c>
      <c r="Y120" s="16" t="s">
        <v>1077</v>
      </c>
      <c r="Z120" s="16" t="s">
        <v>1613</v>
      </c>
      <c r="AA120" s="16" t="s">
        <v>799</v>
      </c>
      <c r="AB120" s="16" t="s">
        <v>1614</v>
      </c>
      <c r="AC120" s="16" t="s">
        <v>1615</v>
      </c>
      <c r="AD120" s="16" t="s">
        <v>1616</v>
      </c>
      <c r="AE120" s="16" t="s">
        <v>84</v>
      </c>
      <c r="AF120" s="16" t="s">
        <v>84</v>
      </c>
      <c r="AG120" s="16">
        <v>269</v>
      </c>
      <c r="AH120" s="16">
        <v>269</v>
      </c>
      <c r="AI120" s="17">
        <v>269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 t="s">
        <v>137</v>
      </c>
      <c r="AP120" s="16" t="s">
        <v>1617</v>
      </c>
      <c r="AQ120" s="16" t="s">
        <v>1618</v>
      </c>
      <c r="AR120" s="16" t="s">
        <v>88</v>
      </c>
      <c r="AS120" s="16" t="s">
        <v>1619</v>
      </c>
      <c r="AT120" s="16">
        <v>13.45</v>
      </c>
      <c r="AU120" s="16" t="s">
        <v>90</v>
      </c>
      <c r="AV120" s="16">
        <v>1.5</v>
      </c>
      <c r="AW120" s="16" t="s">
        <v>115</v>
      </c>
      <c r="AX120" s="16" t="s">
        <v>116</v>
      </c>
      <c r="AY120" s="16" t="s">
        <v>117</v>
      </c>
      <c r="AZ120" s="16" t="s">
        <v>118</v>
      </c>
      <c r="BA120" s="16" t="s">
        <v>119</v>
      </c>
      <c r="BB120" s="16">
        <v>0</v>
      </c>
      <c r="BC120" s="16" t="s">
        <v>84</v>
      </c>
      <c r="BD120" s="16" t="s">
        <v>90</v>
      </c>
      <c r="BE120" s="16" t="s">
        <v>1212</v>
      </c>
      <c r="BF120" s="16" t="s">
        <v>1213</v>
      </c>
      <c r="BG120" s="16" t="s">
        <v>1214</v>
      </c>
      <c r="BH120" s="16" t="s">
        <v>1518</v>
      </c>
      <c r="BI120" s="16" t="s">
        <v>1519</v>
      </c>
      <c r="BJ120" s="16">
        <v>269</v>
      </c>
      <c r="BK120" s="16">
        <v>269</v>
      </c>
      <c r="BL120" s="16">
        <v>269</v>
      </c>
      <c r="BM120" s="16" t="s">
        <v>96</v>
      </c>
      <c r="BN120" s="16">
        <v>1</v>
      </c>
      <c r="BO120" s="16" t="s">
        <v>84</v>
      </c>
      <c r="BP120" s="16" t="s">
        <v>84</v>
      </c>
      <c r="BQ120" s="16" t="s">
        <v>84</v>
      </c>
      <c r="BR120" s="16" t="s">
        <v>97</v>
      </c>
      <c r="BS120" s="16" t="s">
        <v>98</v>
      </c>
      <c r="BT120" s="16">
        <v>0</v>
      </c>
    </row>
    <row r="121" s="1" customFormat="1" ht="16" customHeight="1" spans="1:72">
      <c r="A121" s="14">
        <f t="shared" si="26"/>
        <v>2025</v>
      </c>
      <c r="B121" s="14">
        <f t="shared" si="27"/>
        <v>8</v>
      </c>
      <c r="C121" s="14" t="str">
        <f t="shared" si="28"/>
        <v>3729986416136564736</v>
      </c>
      <c r="D121" s="14" cm="1">
        <f t="array" ref="D121">SUMPRODUCT(($R$2:$R$374=C121)*1)</f>
        <v>1</v>
      </c>
      <c r="E121" s="14" cm="1">
        <f t="array" ref="E121">SUMPRODUCT(($R$2:R121=C121)*1)</f>
        <v>1</v>
      </c>
      <c r="F121" s="15" t="str">
        <f t="shared" si="29"/>
        <v>Z1581-白色-M</v>
      </c>
      <c r="G121" s="14" t="str">
        <f t="shared" si="30"/>
        <v>Z1581</v>
      </c>
      <c r="H121" s="15">
        <f t="shared" si="31"/>
        <v>1</v>
      </c>
      <c r="I121" s="14">
        <f t="shared" si="32"/>
        <v>289</v>
      </c>
      <c r="J121" s="15">
        <f t="shared" si="33"/>
        <v>0</v>
      </c>
      <c r="K121" s="15">
        <f t="shared" si="34"/>
        <v>0</v>
      </c>
      <c r="L121" s="15">
        <f t="shared" si="35"/>
        <v>-14.45</v>
      </c>
      <c r="M121" s="15">
        <f t="shared" si="36"/>
        <v>0</v>
      </c>
      <c r="N121" s="15">
        <f t="shared" si="37"/>
        <v>-1.5</v>
      </c>
      <c r="O121" s="15">
        <f t="shared" si="38"/>
        <v>273.05</v>
      </c>
      <c r="R121" s="16" t="s">
        <v>1620</v>
      </c>
      <c r="S121" s="16" t="s">
        <v>1621</v>
      </c>
      <c r="T121" s="16" t="s">
        <v>1622</v>
      </c>
      <c r="U121" s="16" t="s">
        <v>1623</v>
      </c>
      <c r="V121" s="16" t="s">
        <v>1624</v>
      </c>
      <c r="W121" s="16" t="s">
        <v>76</v>
      </c>
      <c r="X121" s="16" t="s">
        <v>77</v>
      </c>
      <c r="Y121" s="16" t="s">
        <v>1077</v>
      </c>
      <c r="Z121" s="16" t="s">
        <v>1625</v>
      </c>
      <c r="AA121" s="16" t="s">
        <v>262</v>
      </c>
      <c r="AB121" s="16" t="s">
        <v>1626</v>
      </c>
      <c r="AC121" s="16" t="s">
        <v>1627</v>
      </c>
      <c r="AD121" s="16" t="s">
        <v>1628</v>
      </c>
      <c r="AE121" s="16" t="s">
        <v>84</v>
      </c>
      <c r="AF121" s="16" t="s">
        <v>84</v>
      </c>
      <c r="AG121" s="16">
        <v>289</v>
      </c>
      <c r="AH121" s="16">
        <v>289</v>
      </c>
      <c r="AI121" s="17">
        <v>289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 t="s">
        <v>85</v>
      </c>
      <c r="AP121" s="16" t="s">
        <v>1629</v>
      </c>
      <c r="AQ121" s="16" t="s">
        <v>1630</v>
      </c>
      <c r="AR121" s="16" t="s">
        <v>88</v>
      </c>
      <c r="AS121" s="16" t="s">
        <v>1631</v>
      </c>
      <c r="AT121" s="16">
        <v>14.45</v>
      </c>
      <c r="AU121" s="16" t="s">
        <v>90</v>
      </c>
      <c r="AV121" s="16">
        <v>1.5</v>
      </c>
      <c r="AW121" s="16" t="s">
        <v>115</v>
      </c>
      <c r="AX121" s="16" t="s">
        <v>116</v>
      </c>
      <c r="AY121" s="16" t="s">
        <v>117</v>
      </c>
      <c r="AZ121" s="16" t="s">
        <v>118</v>
      </c>
      <c r="BA121" s="16" t="s">
        <v>119</v>
      </c>
      <c r="BB121" s="16">
        <v>0</v>
      </c>
      <c r="BC121" s="16" t="s">
        <v>84</v>
      </c>
      <c r="BD121" s="16" t="s">
        <v>90</v>
      </c>
      <c r="BE121" s="16" t="s">
        <v>419</v>
      </c>
      <c r="BF121" s="16" t="s">
        <v>420</v>
      </c>
      <c r="BG121" s="16" t="s">
        <v>421</v>
      </c>
      <c r="BH121" s="16" t="s">
        <v>715</v>
      </c>
      <c r="BI121" s="16" t="s">
        <v>716</v>
      </c>
      <c r="BJ121" s="16">
        <v>289</v>
      </c>
      <c r="BK121" s="16">
        <v>289</v>
      </c>
      <c r="BL121" s="16">
        <v>289</v>
      </c>
      <c r="BM121" s="16" t="s">
        <v>96</v>
      </c>
      <c r="BN121" s="16">
        <v>1</v>
      </c>
      <c r="BO121" s="16" t="s">
        <v>84</v>
      </c>
      <c r="BP121" s="16" t="s">
        <v>84</v>
      </c>
      <c r="BQ121" s="16" t="s">
        <v>84</v>
      </c>
      <c r="BR121" s="16" t="s">
        <v>97</v>
      </c>
      <c r="BS121" s="16" t="s">
        <v>98</v>
      </c>
      <c r="BT121" s="16">
        <v>0</v>
      </c>
    </row>
    <row r="122" s="1" customFormat="1" ht="16" customHeight="1" spans="1:72">
      <c r="A122" s="14">
        <f t="shared" si="26"/>
        <v>2025</v>
      </c>
      <c r="B122" s="14">
        <f t="shared" si="27"/>
        <v>8</v>
      </c>
      <c r="C122" s="14" t="str">
        <f t="shared" si="28"/>
        <v>3729986387971022336</v>
      </c>
      <c r="D122" s="14" cm="1">
        <f t="array" ref="D122">SUMPRODUCT(($R$2:$R$374=C122)*1)</f>
        <v>1</v>
      </c>
      <c r="E122" s="14" cm="1">
        <f t="array" ref="E122">SUMPRODUCT(($R$2:R122=C122)*1)</f>
        <v>1</v>
      </c>
      <c r="F122" s="15" t="str">
        <f t="shared" si="29"/>
        <v>Z1576-黑色-L</v>
      </c>
      <c r="G122" s="14" t="str">
        <f t="shared" si="30"/>
        <v>Z1576</v>
      </c>
      <c r="H122" s="15">
        <f t="shared" si="31"/>
        <v>1</v>
      </c>
      <c r="I122" s="14">
        <f t="shared" si="32"/>
        <v>199</v>
      </c>
      <c r="J122" s="15">
        <f t="shared" si="33"/>
        <v>0</v>
      </c>
      <c r="K122" s="15">
        <f t="shared" si="34"/>
        <v>0</v>
      </c>
      <c r="L122" s="15">
        <f t="shared" si="35"/>
        <v>-9.95</v>
      </c>
      <c r="M122" s="15">
        <f t="shared" si="36"/>
        <v>0</v>
      </c>
      <c r="N122" s="15">
        <f t="shared" si="37"/>
        <v>-1.5</v>
      </c>
      <c r="O122" s="15">
        <f t="shared" si="38"/>
        <v>187.55</v>
      </c>
      <c r="R122" s="16" t="s">
        <v>1632</v>
      </c>
      <c r="S122" s="16" t="s">
        <v>1633</v>
      </c>
      <c r="T122" s="16" t="s">
        <v>1043</v>
      </c>
      <c r="U122" s="16" t="s">
        <v>1634</v>
      </c>
      <c r="V122" s="16" t="s">
        <v>1635</v>
      </c>
      <c r="W122" s="16" t="s">
        <v>76</v>
      </c>
      <c r="X122" s="16" t="s">
        <v>77</v>
      </c>
      <c r="Y122" s="16" t="s">
        <v>1636</v>
      </c>
      <c r="Z122" s="16" t="s">
        <v>1637</v>
      </c>
      <c r="AA122" s="16" t="s">
        <v>262</v>
      </c>
      <c r="AB122" s="16" t="s">
        <v>263</v>
      </c>
      <c r="AC122" s="16" t="s">
        <v>1638</v>
      </c>
      <c r="AD122" s="16" t="s">
        <v>1639</v>
      </c>
      <c r="AE122" s="16" t="s">
        <v>84</v>
      </c>
      <c r="AF122" s="16" t="s">
        <v>84</v>
      </c>
      <c r="AG122" s="16">
        <v>199</v>
      </c>
      <c r="AH122" s="16">
        <v>199</v>
      </c>
      <c r="AI122" s="17">
        <v>199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 t="s">
        <v>137</v>
      </c>
      <c r="AP122" s="16" t="s">
        <v>1640</v>
      </c>
      <c r="AQ122" s="16" t="s">
        <v>1641</v>
      </c>
      <c r="AR122" s="16" t="s">
        <v>88</v>
      </c>
      <c r="AS122" s="16" t="s">
        <v>1642</v>
      </c>
      <c r="AT122" s="16">
        <v>9.95</v>
      </c>
      <c r="AU122" s="16" t="s">
        <v>90</v>
      </c>
      <c r="AV122" s="16">
        <v>1.5</v>
      </c>
      <c r="AW122" s="16" t="s">
        <v>115</v>
      </c>
      <c r="AX122" s="16" t="s">
        <v>116</v>
      </c>
      <c r="AY122" s="16" t="s">
        <v>117</v>
      </c>
      <c r="AZ122" s="16" t="s">
        <v>118</v>
      </c>
      <c r="BA122" s="16" t="s">
        <v>119</v>
      </c>
      <c r="BB122" s="16">
        <v>0</v>
      </c>
      <c r="BC122" s="16" t="s">
        <v>84</v>
      </c>
      <c r="BD122" s="16" t="s">
        <v>90</v>
      </c>
      <c r="BE122" s="16" t="s">
        <v>402</v>
      </c>
      <c r="BF122" s="16" t="s">
        <v>403</v>
      </c>
      <c r="BG122" s="16" t="s">
        <v>404</v>
      </c>
      <c r="BH122" s="16" t="s">
        <v>405</v>
      </c>
      <c r="BI122" s="16" t="s">
        <v>406</v>
      </c>
      <c r="BJ122" s="16">
        <v>199</v>
      </c>
      <c r="BK122" s="16">
        <v>199</v>
      </c>
      <c r="BL122" s="16">
        <v>199</v>
      </c>
      <c r="BM122" s="16" t="s">
        <v>96</v>
      </c>
      <c r="BN122" s="16">
        <v>1</v>
      </c>
      <c r="BO122" s="16" t="s">
        <v>84</v>
      </c>
      <c r="BP122" s="16" t="s">
        <v>84</v>
      </c>
      <c r="BQ122" s="16" t="s">
        <v>84</v>
      </c>
      <c r="BR122" s="16" t="s">
        <v>97</v>
      </c>
      <c r="BS122" s="16" t="s">
        <v>98</v>
      </c>
      <c r="BT122" s="16">
        <v>0</v>
      </c>
    </row>
    <row r="123" s="1" customFormat="1" ht="16" customHeight="1" spans="1:72">
      <c r="A123" s="14">
        <f t="shared" si="26"/>
        <v>2025</v>
      </c>
      <c r="B123" s="14">
        <f t="shared" si="27"/>
        <v>8</v>
      </c>
      <c r="C123" s="14" t="str">
        <f t="shared" si="28"/>
        <v>3729986101076696320</v>
      </c>
      <c r="D123" s="14" cm="1">
        <f t="array" ref="D123">SUMPRODUCT(($R$2:$R$374=C123)*1)</f>
        <v>1</v>
      </c>
      <c r="E123" s="14" cm="1">
        <f t="array" ref="E123">SUMPRODUCT(($R$2:R123=C123)*1)</f>
        <v>1</v>
      </c>
      <c r="F123" s="15" t="str">
        <f t="shared" si="29"/>
        <v>Z2183-黑色-L</v>
      </c>
      <c r="G123" s="14" t="str">
        <f t="shared" si="30"/>
        <v>Z2183</v>
      </c>
      <c r="H123" s="15">
        <f t="shared" si="31"/>
        <v>1</v>
      </c>
      <c r="I123" s="14">
        <f t="shared" si="32"/>
        <v>129</v>
      </c>
      <c r="J123" s="15">
        <f t="shared" si="33"/>
        <v>0</v>
      </c>
      <c r="K123" s="15">
        <f t="shared" si="34"/>
        <v>0</v>
      </c>
      <c r="L123" s="15">
        <f t="shared" si="35"/>
        <v>-6.45</v>
      </c>
      <c r="M123" s="15">
        <f t="shared" si="36"/>
        <v>0</v>
      </c>
      <c r="N123" s="15">
        <f t="shared" si="37"/>
        <v>-1.5</v>
      </c>
      <c r="O123" s="15">
        <f t="shared" si="38"/>
        <v>121.05</v>
      </c>
      <c r="R123" s="16" t="s">
        <v>1643</v>
      </c>
      <c r="S123" s="16" t="s">
        <v>1644</v>
      </c>
      <c r="T123" s="16" t="s">
        <v>1645</v>
      </c>
      <c r="U123" s="16" t="s">
        <v>1646</v>
      </c>
      <c r="V123" s="16" t="s">
        <v>1647</v>
      </c>
      <c r="W123" s="16" t="s">
        <v>76</v>
      </c>
      <c r="X123" s="16" t="s">
        <v>77</v>
      </c>
      <c r="Y123" s="16" t="s">
        <v>1256</v>
      </c>
      <c r="Z123" s="16" t="s">
        <v>1648</v>
      </c>
      <c r="AA123" s="16" t="s">
        <v>1649</v>
      </c>
      <c r="AB123" s="16" t="s">
        <v>1650</v>
      </c>
      <c r="AC123" s="16" t="s">
        <v>1651</v>
      </c>
      <c r="AD123" s="16" t="s">
        <v>1652</v>
      </c>
      <c r="AE123" s="16" t="s">
        <v>84</v>
      </c>
      <c r="AF123" s="16" t="s">
        <v>84</v>
      </c>
      <c r="AG123" s="16">
        <v>129</v>
      </c>
      <c r="AH123" s="16">
        <v>79.1</v>
      </c>
      <c r="AI123" s="17">
        <v>129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 t="s">
        <v>85</v>
      </c>
      <c r="AP123" s="16" t="s">
        <v>1653</v>
      </c>
      <c r="AQ123" s="16" t="s">
        <v>1654</v>
      </c>
      <c r="AR123" s="16" t="s">
        <v>88</v>
      </c>
      <c r="AS123" s="16" t="s">
        <v>1655</v>
      </c>
      <c r="AT123" s="16">
        <v>6.45</v>
      </c>
      <c r="AU123" s="16" t="s">
        <v>90</v>
      </c>
      <c r="AV123" s="16">
        <v>1.5</v>
      </c>
      <c r="AW123" s="16" t="s">
        <v>115</v>
      </c>
      <c r="AX123" s="16" t="s">
        <v>116</v>
      </c>
      <c r="AY123" s="16" t="s">
        <v>117</v>
      </c>
      <c r="AZ123" s="16" t="s">
        <v>118</v>
      </c>
      <c r="BA123" s="16" t="s">
        <v>119</v>
      </c>
      <c r="BB123" s="16">
        <v>0</v>
      </c>
      <c r="BC123" s="16" t="s">
        <v>84</v>
      </c>
      <c r="BD123" s="16" t="s">
        <v>90</v>
      </c>
      <c r="BE123" s="16" t="s">
        <v>610</v>
      </c>
      <c r="BF123" s="16" t="s">
        <v>611</v>
      </c>
      <c r="BG123" s="16" t="s">
        <v>612</v>
      </c>
      <c r="BH123" s="16" t="s">
        <v>1174</v>
      </c>
      <c r="BI123" s="16" t="s">
        <v>1175</v>
      </c>
      <c r="BJ123" s="17">
        <v>129</v>
      </c>
      <c r="BK123" s="16">
        <v>79.1</v>
      </c>
      <c r="BL123" s="16">
        <v>79.1</v>
      </c>
      <c r="BM123" s="16" t="s">
        <v>96</v>
      </c>
      <c r="BN123" s="16">
        <v>1</v>
      </c>
      <c r="BO123" s="16" t="s">
        <v>84</v>
      </c>
      <c r="BP123" s="16" t="s">
        <v>84</v>
      </c>
      <c r="BQ123" s="16" t="s">
        <v>84</v>
      </c>
      <c r="BR123" s="16" t="s">
        <v>97</v>
      </c>
      <c r="BS123" s="16" t="s">
        <v>98</v>
      </c>
      <c r="BT123" s="16">
        <v>0</v>
      </c>
    </row>
    <row r="124" s="1" customFormat="1" ht="16" customHeight="1" spans="1:72">
      <c r="A124" s="14">
        <f t="shared" si="26"/>
        <v>2025</v>
      </c>
      <c r="B124" s="14">
        <f t="shared" si="27"/>
        <v>8</v>
      </c>
      <c r="C124" s="14" t="str">
        <f t="shared" si="28"/>
        <v>3729983986901333760</v>
      </c>
      <c r="D124" s="14" cm="1">
        <f t="array" ref="D124">SUMPRODUCT(($R$2:$R$374=C124)*1)</f>
        <v>1</v>
      </c>
      <c r="E124" s="14" cm="1">
        <f t="array" ref="E124">SUMPRODUCT(($R$2:R124=C124)*1)</f>
        <v>1</v>
      </c>
      <c r="F124" s="15" t="str">
        <f t="shared" si="29"/>
        <v>Z1576-黑色-M</v>
      </c>
      <c r="G124" s="14" t="str">
        <f t="shared" si="30"/>
        <v>Z1576</v>
      </c>
      <c r="H124" s="15">
        <f t="shared" si="31"/>
        <v>1</v>
      </c>
      <c r="I124" s="14">
        <f t="shared" si="32"/>
        <v>199</v>
      </c>
      <c r="J124" s="15">
        <f t="shared" si="33"/>
        <v>0</v>
      </c>
      <c r="K124" s="15">
        <f t="shared" si="34"/>
        <v>0</v>
      </c>
      <c r="L124" s="15">
        <f t="shared" si="35"/>
        <v>-9.95</v>
      </c>
      <c r="M124" s="15">
        <f t="shared" si="36"/>
        <v>0</v>
      </c>
      <c r="N124" s="15">
        <f t="shared" si="37"/>
        <v>-1.5</v>
      </c>
      <c r="O124" s="15">
        <f t="shared" si="38"/>
        <v>187.55</v>
      </c>
      <c r="R124" s="16" t="s">
        <v>1656</v>
      </c>
      <c r="S124" s="16" t="s">
        <v>1657</v>
      </c>
      <c r="T124" s="16" t="s">
        <v>1401</v>
      </c>
      <c r="U124" s="16" t="s">
        <v>1658</v>
      </c>
      <c r="V124" s="16" t="s">
        <v>1659</v>
      </c>
      <c r="W124" s="16" t="s">
        <v>76</v>
      </c>
      <c r="X124" s="16" t="s">
        <v>77</v>
      </c>
      <c r="Y124" s="16" t="s">
        <v>188</v>
      </c>
      <c r="Z124" s="16" t="s">
        <v>189</v>
      </c>
      <c r="AA124" s="16" t="s">
        <v>107</v>
      </c>
      <c r="AB124" s="16" t="s">
        <v>190</v>
      </c>
      <c r="AC124" s="16" t="s">
        <v>191</v>
      </c>
      <c r="AD124" s="16" t="s">
        <v>192</v>
      </c>
      <c r="AE124" s="16" t="s">
        <v>84</v>
      </c>
      <c r="AF124" s="16" t="s">
        <v>84</v>
      </c>
      <c r="AG124" s="16">
        <v>199</v>
      </c>
      <c r="AH124" s="16">
        <v>199</v>
      </c>
      <c r="AI124" s="17">
        <v>199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 t="s">
        <v>85</v>
      </c>
      <c r="AP124" s="16" t="s">
        <v>1660</v>
      </c>
      <c r="AQ124" s="16" t="s">
        <v>1661</v>
      </c>
      <c r="AR124" s="16" t="s">
        <v>88</v>
      </c>
      <c r="AS124" s="16" t="s">
        <v>1662</v>
      </c>
      <c r="AT124" s="16">
        <v>9.95</v>
      </c>
      <c r="AU124" s="16" t="s">
        <v>90</v>
      </c>
      <c r="AV124" s="16">
        <v>1.5</v>
      </c>
      <c r="AW124" s="16" t="s">
        <v>115</v>
      </c>
      <c r="AX124" s="16" t="s">
        <v>116</v>
      </c>
      <c r="AY124" s="16" t="s">
        <v>117</v>
      </c>
      <c r="AZ124" s="16" t="s">
        <v>118</v>
      </c>
      <c r="BA124" s="16" t="s">
        <v>119</v>
      </c>
      <c r="BB124" s="16">
        <v>0</v>
      </c>
      <c r="BC124" s="16" t="s">
        <v>84</v>
      </c>
      <c r="BD124" s="16" t="s">
        <v>90</v>
      </c>
      <c r="BE124" s="16" t="s">
        <v>402</v>
      </c>
      <c r="BF124" s="16" t="s">
        <v>403</v>
      </c>
      <c r="BG124" s="16" t="s">
        <v>404</v>
      </c>
      <c r="BH124" s="16" t="s">
        <v>474</v>
      </c>
      <c r="BI124" s="16" t="s">
        <v>308</v>
      </c>
      <c r="BJ124" s="16">
        <v>199</v>
      </c>
      <c r="BK124" s="16">
        <v>199</v>
      </c>
      <c r="BL124" s="16">
        <v>199</v>
      </c>
      <c r="BM124" s="16" t="s">
        <v>96</v>
      </c>
      <c r="BN124" s="16">
        <v>1</v>
      </c>
      <c r="BO124" s="16" t="s">
        <v>84</v>
      </c>
      <c r="BP124" s="16" t="s">
        <v>84</v>
      </c>
      <c r="BQ124" s="16" t="s">
        <v>84</v>
      </c>
      <c r="BR124" s="16" t="s">
        <v>97</v>
      </c>
      <c r="BS124" s="16" t="s">
        <v>98</v>
      </c>
      <c r="BT124" s="16">
        <v>0</v>
      </c>
    </row>
    <row r="125" s="1" customFormat="1" ht="16" customHeight="1" spans="1:72">
      <c r="A125" s="14">
        <f t="shared" si="26"/>
        <v>2025</v>
      </c>
      <c r="B125" s="14">
        <f t="shared" si="27"/>
        <v>8</v>
      </c>
      <c r="C125" s="14" t="str">
        <f t="shared" si="28"/>
        <v>3729983960164474112</v>
      </c>
      <c r="D125" s="14" cm="1">
        <f t="array" ref="D125">SUMPRODUCT(($R$2:$R$374=C125)*1)</f>
        <v>1</v>
      </c>
      <c r="E125" s="14" cm="1">
        <f t="array" ref="E125">SUMPRODUCT(($R$2:R125=C125)*1)</f>
        <v>1</v>
      </c>
      <c r="F125" s="15" t="str">
        <f t="shared" si="29"/>
        <v>Z1640-黑色-M</v>
      </c>
      <c r="G125" s="14" t="str">
        <f t="shared" si="30"/>
        <v>Z1640</v>
      </c>
      <c r="H125" s="15">
        <f t="shared" si="31"/>
        <v>1</v>
      </c>
      <c r="I125" s="14">
        <f t="shared" si="32"/>
        <v>289</v>
      </c>
      <c r="J125" s="15">
        <f t="shared" si="33"/>
        <v>0</v>
      </c>
      <c r="K125" s="15">
        <f t="shared" si="34"/>
        <v>0</v>
      </c>
      <c r="L125" s="15">
        <f t="shared" si="35"/>
        <v>-14.45</v>
      </c>
      <c r="M125" s="15">
        <f t="shared" si="36"/>
        <v>0</v>
      </c>
      <c r="N125" s="15">
        <f t="shared" si="37"/>
        <v>-1.5</v>
      </c>
      <c r="O125" s="15">
        <f t="shared" si="38"/>
        <v>273.05</v>
      </c>
      <c r="R125" s="16" t="s">
        <v>1663</v>
      </c>
      <c r="S125" s="16" t="s">
        <v>1664</v>
      </c>
      <c r="T125" s="16" t="s">
        <v>1329</v>
      </c>
      <c r="U125" s="16" t="s">
        <v>1665</v>
      </c>
      <c r="V125" s="16" t="s">
        <v>1666</v>
      </c>
      <c r="W125" s="16" t="s">
        <v>76</v>
      </c>
      <c r="X125" s="16" t="s">
        <v>77</v>
      </c>
      <c r="Y125" s="16" t="s">
        <v>188</v>
      </c>
      <c r="Z125" s="16" t="s">
        <v>189</v>
      </c>
      <c r="AA125" s="16" t="s">
        <v>107</v>
      </c>
      <c r="AB125" s="16" t="s">
        <v>190</v>
      </c>
      <c r="AC125" s="16" t="s">
        <v>191</v>
      </c>
      <c r="AD125" s="16" t="s">
        <v>192</v>
      </c>
      <c r="AE125" s="16" t="s">
        <v>84</v>
      </c>
      <c r="AF125" s="16" t="s">
        <v>84</v>
      </c>
      <c r="AG125" s="16">
        <v>289</v>
      </c>
      <c r="AH125" s="16">
        <v>289</v>
      </c>
      <c r="AI125" s="17">
        <v>289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 t="s">
        <v>85</v>
      </c>
      <c r="AP125" s="16" t="s">
        <v>1667</v>
      </c>
      <c r="AQ125" s="16" t="s">
        <v>1668</v>
      </c>
      <c r="AR125" s="16" t="s">
        <v>88</v>
      </c>
      <c r="AS125" s="16" t="s">
        <v>1669</v>
      </c>
      <c r="AT125" s="16">
        <v>14.45</v>
      </c>
      <c r="AU125" s="16" t="s">
        <v>90</v>
      </c>
      <c r="AV125" s="16">
        <v>1.5</v>
      </c>
      <c r="AW125" s="16" t="s">
        <v>115</v>
      </c>
      <c r="AX125" s="16" t="s">
        <v>116</v>
      </c>
      <c r="AY125" s="16" t="s">
        <v>117</v>
      </c>
      <c r="AZ125" s="16" t="s">
        <v>118</v>
      </c>
      <c r="BA125" s="16" t="s">
        <v>119</v>
      </c>
      <c r="BB125" s="16">
        <v>0</v>
      </c>
      <c r="BC125" s="16" t="s">
        <v>84</v>
      </c>
      <c r="BD125" s="16" t="s">
        <v>90</v>
      </c>
      <c r="BE125" s="16" t="s">
        <v>1128</v>
      </c>
      <c r="BF125" s="16" t="s">
        <v>1129</v>
      </c>
      <c r="BG125" s="16" t="s">
        <v>1130</v>
      </c>
      <c r="BH125" s="16" t="s">
        <v>1314</v>
      </c>
      <c r="BI125" s="16" t="s">
        <v>308</v>
      </c>
      <c r="BJ125" s="16">
        <v>289</v>
      </c>
      <c r="BK125" s="16">
        <v>289</v>
      </c>
      <c r="BL125" s="16">
        <v>289</v>
      </c>
      <c r="BM125" s="16" t="s">
        <v>96</v>
      </c>
      <c r="BN125" s="16">
        <v>1</v>
      </c>
      <c r="BO125" s="16" t="s">
        <v>84</v>
      </c>
      <c r="BP125" s="16" t="s">
        <v>84</v>
      </c>
      <c r="BQ125" s="16" t="s">
        <v>84</v>
      </c>
      <c r="BR125" s="16" t="s">
        <v>97</v>
      </c>
      <c r="BS125" s="16" t="s">
        <v>98</v>
      </c>
      <c r="BT125" s="16">
        <v>0</v>
      </c>
    </row>
    <row r="126" s="1" customFormat="1" ht="16" customHeight="1" spans="1:72">
      <c r="A126" s="14">
        <f t="shared" si="26"/>
        <v>2025</v>
      </c>
      <c r="B126" s="14">
        <f t="shared" si="27"/>
        <v>8</v>
      </c>
      <c r="C126" s="14" t="str">
        <f t="shared" si="28"/>
        <v>3729977364006189056</v>
      </c>
      <c r="D126" s="14" cm="1">
        <f t="array" ref="D126">SUMPRODUCT(($R$2:$R$374=C126)*1)</f>
        <v>1</v>
      </c>
      <c r="E126" s="14" cm="1">
        <f t="array" ref="E126">SUMPRODUCT(($R$2:R126=C126)*1)</f>
        <v>1</v>
      </c>
      <c r="F126" s="15" t="str">
        <f t="shared" si="29"/>
        <v>Z2183-黑色-L</v>
      </c>
      <c r="G126" s="14" t="str">
        <f t="shared" si="30"/>
        <v>Z2183</v>
      </c>
      <c r="H126" s="15">
        <f t="shared" si="31"/>
        <v>1</v>
      </c>
      <c r="I126" s="14">
        <f t="shared" si="32"/>
        <v>129</v>
      </c>
      <c r="J126" s="15">
        <f t="shared" si="33"/>
        <v>0</v>
      </c>
      <c r="K126" s="15">
        <f t="shared" si="34"/>
        <v>0</v>
      </c>
      <c r="L126" s="15">
        <f t="shared" si="35"/>
        <v>-6.45</v>
      </c>
      <c r="M126" s="15">
        <f t="shared" si="36"/>
        <v>0</v>
      </c>
      <c r="N126" s="15">
        <f t="shared" si="37"/>
        <v>-1.5</v>
      </c>
      <c r="O126" s="15">
        <f t="shared" si="38"/>
        <v>121.05</v>
      </c>
      <c r="R126" s="16" t="s">
        <v>1670</v>
      </c>
      <c r="S126" s="16" t="s">
        <v>1671</v>
      </c>
      <c r="T126" s="16" t="s">
        <v>1672</v>
      </c>
      <c r="U126" s="16" t="s">
        <v>1673</v>
      </c>
      <c r="V126" s="16" t="s">
        <v>1674</v>
      </c>
      <c r="W126" s="16" t="s">
        <v>76</v>
      </c>
      <c r="X126" s="16" t="s">
        <v>77</v>
      </c>
      <c r="Y126" s="16" t="s">
        <v>1675</v>
      </c>
      <c r="Z126" s="16" t="s">
        <v>1676</v>
      </c>
      <c r="AA126" s="16" t="s">
        <v>262</v>
      </c>
      <c r="AB126" s="16" t="s">
        <v>263</v>
      </c>
      <c r="AC126" s="16" t="s">
        <v>1677</v>
      </c>
      <c r="AD126" s="16" t="s">
        <v>1678</v>
      </c>
      <c r="AE126" s="16" t="s">
        <v>84</v>
      </c>
      <c r="AF126" s="16" t="s">
        <v>84</v>
      </c>
      <c r="AG126" s="16">
        <v>129</v>
      </c>
      <c r="AH126" s="16">
        <v>129</v>
      </c>
      <c r="AI126" s="17">
        <v>129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 t="s">
        <v>85</v>
      </c>
      <c r="AP126" s="16" t="s">
        <v>1679</v>
      </c>
      <c r="AQ126" s="16" t="s">
        <v>1680</v>
      </c>
      <c r="AR126" s="16" t="s">
        <v>88</v>
      </c>
      <c r="AS126" s="16" t="s">
        <v>1681</v>
      </c>
      <c r="AT126" s="16">
        <v>6.45</v>
      </c>
      <c r="AU126" s="16" t="s">
        <v>90</v>
      </c>
      <c r="AV126" s="16">
        <v>1.5</v>
      </c>
      <c r="AW126" s="16" t="s">
        <v>115</v>
      </c>
      <c r="AX126" s="16" t="s">
        <v>116</v>
      </c>
      <c r="AY126" s="16" t="s">
        <v>117</v>
      </c>
      <c r="AZ126" s="16" t="s">
        <v>118</v>
      </c>
      <c r="BA126" s="16" t="s">
        <v>119</v>
      </c>
      <c r="BB126" s="16">
        <v>0</v>
      </c>
      <c r="BC126" s="16" t="s">
        <v>84</v>
      </c>
      <c r="BD126" s="16" t="s">
        <v>90</v>
      </c>
      <c r="BE126" s="16" t="s">
        <v>610</v>
      </c>
      <c r="BF126" s="16" t="s">
        <v>611</v>
      </c>
      <c r="BG126" s="16" t="s">
        <v>612</v>
      </c>
      <c r="BH126" s="16" t="s">
        <v>1174</v>
      </c>
      <c r="BI126" s="16" t="s">
        <v>1175</v>
      </c>
      <c r="BJ126" s="16">
        <v>129</v>
      </c>
      <c r="BK126" s="16">
        <v>129</v>
      </c>
      <c r="BL126" s="16">
        <v>129</v>
      </c>
      <c r="BM126" s="16" t="s">
        <v>96</v>
      </c>
      <c r="BN126" s="16">
        <v>1</v>
      </c>
      <c r="BO126" s="16" t="s">
        <v>84</v>
      </c>
      <c r="BP126" s="16" t="s">
        <v>84</v>
      </c>
      <c r="BQ126" s="16" t="s">
        <v>84</v>
      </c>
      <c r="BR126" s="16" t="s">
        <v>97</v>
      </c>
      <c r="BS126" s="16" t="s">
        <v>98</v>
      </c>
      <c r="BT126" s="16">
        <v>0</v>
      </c>
    </row>
    <row r="127" s="1" customFormat="1" ht="16" customHeight="1" spans="1:72">
      <c r="A127" s="14">
        <f t="shared" si="26"/>
        <v>2025</v>
      </c>
      <c r="B127" s="14">
        <f t="shared" si="27"/>
        <v>8</v>
      </c>
      <c r="C127" s="14" t="str">
        <f t="shared" si="28"/>
        <v>3729964449811800576</v>
      </c>
      <c r="D127" s="14" cm="1">
        <f t="array" ref="D127">SUMPRODUCT(($R$2:$R$374=C127)*1)</f>
        <v>1</v>
      </c>
      <c r="E127" s="14" cm="1">
        <f t="array" ref="E127">SUMPRODUCT(($R$2:R127=C127)*1)</f>
        <v>1</v>
      </c>
      <c r="F127" s="15" t="str">
        <f t="shared" si="29"/>
        <v>Z2137-白色-S</v>
      </c>
      <c r="G127" s="14" t="str">
        <f t="shared" si="30"/>
        <v>Z2137</v>
      </c>
      <c r="H127" s="15">
        <f t="shared" si="31"/>
        <v>1</v>
      </c>
      <c r="I127" s="14">
        <f t="shared" si="32"/>
        <v>299</v>
      </c>
      <c r="J127" s="15">
        <f t="shared" si="33"/>
        <v>0</v>
      </c>
      <c r="K127" s="15">
        <f t="shared" si="34"/>
        <v>0</v>
      </c>
      <c r="L127" s="15">
        <f t="shared" si="35"/>
        <v>-14.95</v>
      </c>
      <c r="M127" s="15">
        <f t="shared" si="36"/>
        <v>0</v>
      </c>
      <c r="N127" s="15">
        <f t="shared" si="37"/>
        <v>-1.5</v>
      </c>
      <c r="O127" s="15">
        <f t="shared" si="38"/>
        <v>282.55</v>
      </c>
      <c r="R127" s="16" t="s">
        <v>1682</v>
      </c>
      <c r="S127" s="16" t="s">
        <v>1683</v>
      </c>
      <c r="T127" s="16" t="s">
        <v>1684</v>
      </c>
      <c r="U127" s="16" t="s">
        <v>1685</v>
      </c>
      <c r="V127" s="16" t="s">
        <v>1686</v>
      </c>
      <c r="W127" s="16" t="s">
        <v>76</v>
      </c>
      <c r="X127" s="16" t="s">
        <v>77</v>
      </c>
      <c r="Y127" s="16" t="s">
        <v>1687</v>
      </c>
      <c r="Z127" s="16" t="s">
        <v>1688</v>
      </c>
      <c r="AA127" s="16" t="s">
        <v>430</v>
      </c>
      <c r="AB127" s="16" t="s">
        <v>430</v>
      </c>
      <c r="AC127" s="16" t="s">
        <v>1689</v>
      </c>
      <c r="AD127" s="16" t="s">
        <v>1690</v>
      </c>
      <c r="AE127" s="16" t="s">
        <v>84</v>
      </c>
      <c r="AF127" s="16" t="s">
        <v>84</v>
      </c>
      <c r="AG127" s="16">
        <v>299</v>
      </c>
      <c r="AH127" s="16">
        <v>299</v>
      </c>
      <c r="AI127" s="17">
        <v>299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 t="s">
        <v>85</v>
      </c>
      <c r="AP127" s="16" t="s">
        <v>1691</v>
      </c>
      <c r="AQ127" s="16" t="s">
        <v>1692</v>
      </c>
      <c r="AR127" s="16" t="s">
        <v>88</v>
      </c>
      <c r="AS127" s="16" t="s">
        <v>1693</v>
      </c>
      <c r="AT127" s="16">
        <v>14.95</v>
      </c>
      <c r="AU127" s="16" t="s">
        <v>90</v>
      </c>
      <c r="AV127" s="16">
        <v>1.5</v>
      </c>
      <c r="AW127" s="16" t="s">
        <v>115</v>
      </c>
      <c r="AX127" s="16" t="s">
        <v>116</v>
      </c>
      <c r="AY127" s="16" t="s">
        <v>117</v>
      </c>
      <c r="AZ127" s="16" t="s">
        <v>118</v>
      </c>
      <c r="BA127" s="16" t="s">
        <v>119</v>
      </c>
      <c r="BB127" s="16">
        <v>0</v>
      </c>
      <c r="BC127" s="16" t="s">
        <v>84</v>
      </c>
      <c r="BD127" s="16" t="s">
        <v>90</v>
      </c>
      <c r="BE127" s="16" t="s">
        <v>1694</v>
      </c>
      <c r="BF127" s="16" t="s">
        <v>1695</v>
      </c>
      <c r="BG127" s="16" t="s">
        <v>1696</v>
      </c>
      <c r="BH127" s="16" t="s">
        <v>1697</v>
      </c>
      <c r="BI127" s="16" t="s">
        <v>1698</v>
      </c>
      <c r="BJ127" s="16">
        <v>299</v>
      </c>
      <c r="BK127" s="16">
        <v>299</v>
      </c>
      <c r="BL127" s="16">
        <v>299</v>
      </c>
      <c r="BM127" s="16" t="s">
        <v>96</v>
      </c>
      <c r="BN127" s="16">
        <v>1</v>
      </c>
      <c r="BO127" s="16" t="s">
        <v>84</v>
      </c>
      <c r="BP127" s="16" t="s">
        <v>84</v>
      </c>
      <c r="BQ127" s="16" t="s">
        <v>84</v>
      </c>
      <c r="BR127" s="16" t="s">
        <v>97</v>
      </c>
      <c r="BS127" s="16" t="s">
        <v>98</v>
      </c>
      <c r="BT127" s="16">
        <v>0</v>
      </c>
    </row>
    <row r="128" s="1" customFormat="1" ht="16" customHeight="1" spans="1:72">
      <c r="A128" s="14">
        <f t="shared" si="26"/>
        <v>2025</v>
      </c>
      <c r="B128" s="14">
        <f t="shared" si="27"/>
        <v>8</v>
      </c>
      <c r="C128" s="14" t="str">
        <f t="shared" si="28"/>
        <v>3729964278480773632</v>
      </c>
      <c r="D128" s="14" cm="1">
        <f t="array" ref="D128">SUMPRODUCT(($R$2:$R$374=C128)*1)</f>
        <v>1</v>
      </c>
      <c r="E128" s="14" cm="1">
        <f t="array" ref="E128">SUMPRODUCT(($R$2:R128=C128)*1)</f>
        <v>1</v>
      </c>
      <c r="F128" s="15" t="str">
        <f t="shared" si="29"/>
        <v>Z2233-黄绿色-S</v>
      </c>
      <c r="G128" s="14" t="str">
        <f t="shared" si="30"/>
        <v>Z2233</v>
      </c>
      <c r="H128" s="15">
        <f t="shared" si="31"/>
        <v>1</v>
      </c>
      <c r="I128" s="14">
        <f t="shared" si="32"/>
        <v>269</v>
      </c>
      <c r="J128" s="15">
        <f t="shared" si="33"/>
        <v>0</v>
      </c>
      <c r="K128" s="15">
        <f t="shared" si="34"/>
        <v>0</v>
      </c>
      <c r="L128" s="15">
        <f t="shared" si="35"/>
        <v>-2.69</v>
      </c>
      <c r="M128" s="15">
        <f t="shared" si="36"/>
        <v>0</v>
      </c>
      <c r="N128" s="15">
        <f t="shared" si="37"/>
        <v>-1.5</v>
      </c>
      <c r="O128" s="15">
        <f t="shared" si="38"/>
        <v>264.81</v>
      </c>
      <c r="R128" s="16" t="s">
        <v>1699</v>
      </c>
      <c r="S128" s="16" t="s">
        <v>1700</v>
      </c>
      <c r="T128" s="16" t="s">
        <v>1701</v>
      </c>
      <c r="U128" s="16" t="s">
        <v>1702</v>
      </c>
      <c r="V128" s="16" t="s">
        <v>1703</v>
      </c>
      <c r="W128" s="16" t="s">
        <v>76</v>
      </c>
      <c r="X128" s="16" t="s">
        <v>77</v>
      </c>
      <c r="Y128" s="16" t="s">
        <v>1636</v>
      </c>
      <c r="Z128" s="16" t="s">
        <v>1704</v>
      </c>
      <c r="AA128" s="16" t="s">
        <v>262</v>
      </c>
      <c r="AB128" s="16" t="s">
        <v>1705</v>
      </c>
      <c r="AC128" s="16" t="s">
        <v>1706</v>
      </c>
      <c r="AD128" s="16" t="s">
        <v>1707</v>
      </c>
      <c r="AE128" s="16" t="s">
        <v>84</v>
      </c>
      <c r="AF128" s="16" t="s">
        <v>84</v>
      </c>
      <c r="AG128" s="16">
        <v>269</v>
      </c>
      <c r="AH128" s="16">
        <v>269</v>
      </c>
      <c r="AI128" s="17">
        <v>269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 t="s">
        <v>137</v>
      </c>
      <c r="AP128" s="16" t="s">
        <v>1708</v>
      </c>
      <c r="AQ128" s="16" t="s">
        <v>1709</v>
      </c>
      <c r="AR128" s="16" t="s">
        <v>88</v>
      </c>
      <c r="AS128" s="16" t="s">
        <v>1710</v>
      </c>
      <c r="AT128" s="16">
        <v>2.69</v>
      </c>
      <c r="AU128" s="16" t="s">
        <v>90</v>
      </c>
      <c r="AV128" s="16">
        <v>1.5</v>
      </c>
      <c r="AW128" s="16" t="s">
        <v>90</v>
      </c>
      <c r="AX128" s="16" t="s">
        <v>90</v>
      </c>
      <c r="AY128" s="16" t="s">
        <v>90</v>
      </c>
      <c r="AZ128" s="16" t="s">
        <v>90</v>
      </c>
      <c r="BA128" s="16" t="s">
        <v>90</v>
      </c>
      <c r="BB128" s="16">
        <v>0</v>
      </c>
      <c r="BC128" s="16"/>
      <c r="BD128" s="16" t="s">
        <v>90</v>
      </c>
      <c r="BE128" s="16" t="s">
        <v>178</v>
      </c>
      <c r="BF128" s="16" t="s">
        <v>179</v>
      </c>
      <c r="BG128" s="16" t="s">
        <v>180</v>
      </c>
      <c r="BH128" s="16" t="s">
        <v>1711</v>
      </c>
      <c r="BI128" s="16" t="s">
        <v>1712</v>
      </c>
      <c r="BJ128" s="16">
        <v>269</v>
      </c>
      <c r="BK128" s="16">
        <v>269</v>
      </c>
      <c r="BL128" s="16">
        <v>269</v>
      </c>
      <c r="BM128" s="16" t="s">
        <v>96</v>
      </c>
      <c r="BN128" s="16">
        <v>1</v>
      </c>
      <c r="BO128" s="16" t="s">
        <v>84</v>
      </c>
      <c r="BP128" s="16" t="s">
        <v>84</v>
      </c>
      <c r="BQ128" s="16" t="s">
        <v>84</v>
      </c>
      <c r="BR128" s="16" t="s">
        <v>97</v>
      </c>
      <c r="BS128" s="16" t="s">
        <v>98</v>
      </c>
      <c r="BT128" s="16">
        <v>0</v>
      </c>
    </row>
    <row r="129" s="1" customFormat="1" ht="16" customHeight="1" spans="1:72">
      <c r="A129" s="14">
        <f t="shared" si="26"/>
        <v>2025</v>
      </c>
      <c r="B129" s="14">
        <f t="shared" si="27"/>
        <v>8</v>
      </c>
      <c r="C129" s="14" t="str">
        <f t="shared" si="28"/>
        <v>3729962836581816832</v>
      </c>
      <c r="D129" s="14" cm="1">
        <f t="array" ref="D129">SUMPRODUCT(($R$2:$R$374=C129)*1)</f>
        <v>1</v>
      </c>
      <c r="E129" s="14" cm="1">
        <f t="array" ref="E129">SUMPRODUCT(($R$2:R129=C129)*1)</f>
        <v>1</v>
      </c>
      <c r="F129" s="15" t="str">
        <f t="shared" si="29"/>
        <v>Z2330-蓝色-S</v>
      </c>
      <c r="G129" s="14" t="str">
        <f t="shared" si="30"/>
        <v>Z2330</v>
      </c>
      <c r="H129" s="15">
        <f t="shared" si="31"/>
        <v>1</v>
      </c>
      <c r="I129" s="14">
        <f t="shared" si="32"/>
        <v>419</v>
      </c>
      <c r="J129" s="15">
        <f t="shared" si="33"/>
        <v>0</v>
      </c>
      <c r="K129" s="15">
        <f t="shared" si="34"/>
        <v>0</v>
      </c>
      <c r="L129" s="15">
        <f t="shared" si="35"/>
        <v>-4.19</v>
      </c>
      <c r="M129" s="15">
        <f t="shared" si="36"/>
        <v>0</v>
      </c>
      <c r="N129" s="15">
        <f t="shared" si="37"/>
        <v>-1.5</v>
      </c>
      <c r="O129" s="15">
        <f t="shared" si="38"/>
        <v>413.31</v>
      </c>
      <c r="R129" s="16" t="s">
        <v>1713</v>
      </c>
      <c r="S129" s="16" t="s">
        <v>1714</v>
      </c>
      <c r="T129" s="16" t="s">
        <v>1715</v>
      </c>
      <c r="U129" s="16" t="s">
        <v>1716</v>
      </c>
      <c r="V129" s="16" t="s">
        <v>1717</v>
      </c>
      <c r="W129" s="16" t="s">
        <v>76</v>
      </c>
      <c r="X129" s="16" t="s">
        <v>77</v>
      </c>
      <c r="Y129" s="16" t="s">
        <v>510</v>
      </c>
      <c r="Z129" s="16" t="s">
        <v>511</v>
      </c>
      <c r="AA129" s="16" t="s">
        <v>512</v>
      </c>
      <c r="AB129" s="16" t="s">
        <v>513</v>
      </c>
      <c r="AC129" s="16" t="s">
        <v>514</v>
      </c>
      <c r="AD129" s="16" t="s">
        <v>515</v>
      </c>
      <c r="AE129" s="16" t="s">
        <v>84</v>
      </c>
      <c r="AF129" s="16" t="s">
        <v>84</v>
      </c>
      <c r="AG129" s="16">
        <v>419</v>
      </c>
      <c r="AH129" s="16">
        <v>419</v>
      </c>
      <c r="AI129" s="17">
        <v>419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 t="s">
        <v>85</v>
      </c>
      <c r="AP129" s="16" t="s">
        <v>1718</v>
      </c>
      <c r="AQ129" s="16" t="s">
        <v>1719</v>
      </c>
      <c r="AR129" s="16" t="s">
        <v>88</v>
      </c>
      <c r="AS129" s="16" t="s">
        <v>1720</v>
      </c>
      <c r="AT129" s="16">
        <v>4.19</v>
      </c>
      <c r="AU129" s="16" t="s">
        <v>90</v>
      </c>
      <c r="AV129" s="16">
        <v>1.5</v>
      </c>
      <c r="AW129" s="16" t="s">
        <v>90</v>
      </c>
      <c r="AX129" s="16" t="s">
        <v>90</v>
      </c>
      <c r="AY129" s="16" t="s">
        <v>90</v>
      </c>
      <c r="AZ129" s="16" t="s">
        <v>90</v>
      </c>
      <c r="BA129" s="16" t="s">
        <v>90</v>
      </c>
      <c r="BB129" s="16">
        <v>0</v>
      </c>
      <c r="BC129" s="16"/>
      <c r="BD129" s="16" t="s">
        <v>90</v>
      </c>
      <c r="BE129" s="16" t="s">
        <v>1721</v>
      </c>
      <c r="BF129" s="16" t="s">
        <v>1722</v>
      </c>
      <c r="BG129" s="16" t="s">
        <v>1723</v>
      </c>
      <c r="BH129" s="16" t="s">
        <v>1724</v>
      </c>
      <c r="BI129" s="16" t="s">
        <v>1725</v>
      </c>
      <c r="BJ129" s="16">
        <v>419</v>
      </c>
      <c r="BK129" s="16">
        <v>419</v>
      </c>
      <c r="BL129" s="16">
        <v>419</v>
      </c>
      <c r="BM129" s="16" t="s">
        <v>96</v>
      </c>
      <c r="BN129" s="16">
        <v>1</v>
      </c>
      <c r="BO129" s="16" t="s">
        <v>84</v>
      </c>
      <c r="BP129" s="16" t="s">
        <v>84</v>
      </c>
      <c r="BQ129" s="16" t="s">
        <v>84</v>
      </c>
      <c r="BR129" s="16" t="s">
        <v>97</v>
      </c>
      <c r="BS129" s="16" t="s">
        <v>98</v>
      </c>
      <c r="BT129" s="16">
        <v>0</v>
      </c>
    </row>
    <row r="130" s="1" customFormat="1" ht="16" customHeight="1" spans="1:72">
      <c r="A130" s="14">
        <f t="shared" si="26"/>
        <v>2025</v>
      </c>
      <c r="B130" s="14">
        <f t="shared" si="27"/>
        <v>8</v>
      </c>
      <c r="C130" s="14" t="str">
        <f t="shared" si="28"/>
        <v>3729959257420733696</v>
      </c>
      <c r="D130" s="14" cm="1">
        <f t="array" ref="D130">SUMPRODUCT(($R$2:$R$374=C130)*1)</f>
        <v>1</v>
      </c>
      <c r="E130" s="14" cm="1">
        <f t="array" ref="E130">SUMPRODUCT(($R$2:R130=C130)*1)</f>
        <v>1</v>
      </c>
      <c r="F130" s="15" t="str">
        <f t="shared" si="29"/>
        <v>Z2333-米白色-M</v>
      </c>
      <c r="G130" s="14" t="str">
        <f t="shared" si="30"/>
        <v>Z2333</v>
      </c>
      <c r="H130" s="15">
        <f t="shared" si="31"/>
        <v>1</v>
      </c>
      <c r="I130" s="14">
        <f t="shared" si="32"/>
        <v>169</v>
      </c>
      <c r="J130" s="15">
        <f t="shared" si="33"/>
        <v>0</v>
      </c>
      <c r="K130" s="15">
        <f t="shared" si="34"/>
        <v>0</v>
      </c>
      <c r="L130" s="15">
        <f t="shared" si="35"/>
        <v>-8.45</v>
      </c>
      <c r="M130" s="15">
        <f t="shared" si="36"/>
        <v>0</v>
      </c>
      <c r="N130" s="15">
        <f t="shared" si="37"/>
        <v>-1.5</v>
      </c>
      <c r="O130" s="15">
        <f t="shared" si="38"/>
        <v>159.05</v>
      </c>
      <c r="R130" s="16" t="s">
        <v>1726</v>
      </c>
      <c r="S130" s="16" t="s">
        <v>1727</v>
      </c>
      <c r="T130" s="16" t="s">
        <v>1728</v>
      </c>
      <c r="U130" s="16" t="s">
        <v>1729</v>
      </c>
      <c r="V130" s="16" t="s">
        <v>1730</v>
      </c>
      <c r="W130" s="16" t="s">
        <v>76</v>
      </c>
      <c r="X130" s="16" t="s">
        <v>77</v>
      </c>
      <c r="Y130" s="16" t="s">
        <v>188</v>
      </c>
      <c r="Z130" s="16" t="s">
        <v>1595</v>
      </c>
      <c r="AA130" s="16" t="s">
        <v>153</v>
      </c>
      <c r="AB130" s="16" t="s">
        <v>153</v>
      </c>
      <c r="AC130" s="16" t="s">
        <v>1596</v>
      </c>
      <c r="AD130" s="16" t="s">
        <v>1731</v>
      </c>
      <c r="AE130" s="16" t="s">
        <v>84</v>
      </c>
      <c r="AF130" s="16" t="s">
        <v>84</v>
      </c>
      <c r="AG130" s="16">
        <v>169</v>
      </c>
      <c r="AH130" s="16">
        <v>169</v>
      </c>
      <c r="AI130" s="17">
        <v>169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 t="s">
        <v>85</v>
      </c>
      <c r="AP130" s="16" t="s">
        <v>1732</v>
      </c>
      <c r="AQ130" s="16" t="s">
        <v>1733</v>
      </c>
      <c r="AR130" s="16" t="s">
        <v>88</v>
      </c>
      <c r="AS130" s="16" t="s">
        <v>1734</v>
      </c>
      <c r="AT130" s="16">
        <v>8.45</v>
      </c>
      <c r="AU130" s="16" t="s">
        <v>90</v>
      </c>
      <c r="AV130" s="16">
        <v>1.5</v>
      </c>
      <c r="AW130" s="16" t="s">
        <v>115</v>
      </c>
      <c r="AX130" s="16" t="s">
        <v>116</v>
      </c>
      <c r="AY130" s="16" t="s">
        <v>117</v>
      </c>
      <c r="AZ130" s="16" t="s">
        <v>118</v>
      </c>
      <c r="BA130" s="16" t="s">
        <v>119</v>
      </c>
      <c r="BB130" s="16">
        <v>0</v>
      </c>
      <c r="BC130" s="16" t="s">
        <v>84</v>
      </c>
      <c r="BD130" s="16" t="s">
        <v>90</v>
      </c>
      <c r="BE130" s="16" t="s">
        <v>1735</v>
      </c>
      <c r="BF130" s="16" t="s">
        <v>1736</v>
      </c>
      <c r="BG130" s="16" t="s">
        <v>1737</v>
      </c>
      <c r="BH130" s="16" t="s">
        <v>1738</v>
      </c>
      <c r="BI130" s="16" t="s">
        <v>1739</v>
      </c>
      <c r="BJ130" s="16">
        <v>169</v>
      </c>
      <c r="BK130" s="16">
        <v>169</v>
      </c>
      <c r="BL130" s="16">
        <v>169</v>
      </c>
      <c r="BM130" s="16" t="s">
        <v>96</v>
      </c>
      <c r="BN130" s="16">
        <v>1</v>
      </c>
      <c r="BO130" s="16" t="s">
        <v>84</v>
      </c>
      <c r="BP130" s="16" t="s">
        <v>84</v>
      </c>
      <c r="BQ130" s="16" t="s">
        <v>84</v>
      </c>
      <c r="BR130" s="16" t="s">
        <v>97</v>
      </c>
      <c r="BS130" s="16" t="s">
        <v>98</v>
      </c>
      <c r="BT130" s="16">
        <v>0</v>
      </c>
    </row>
    <row r="131" s="1" customFormat="1" ht="16" customHeight="1" spans="1:72">
      <c r="A131" s="14">
        <f t="shared" si="26"/>
        <v>2025</v>
      </c>
      <c r="B131" s="14">
        <f t="shared" si="27"/>
        <v>8</v>
      </c>
      <c r="C131" s="14" t="str">
        <f t="shared" si="28"/>
        <v>3729951614640200960</v>
      </c>
      <c r="D131" s="14" cm="1">
        <f t="array" ref="D131">SUMPRODUCT(($R$2:$R$374=C131)*1)</f>
        <v>1</v>
      </c>
      <c r="E131" s="14" cm="1">
        <f t="array" ref="E131">SUMPRODUCT(($R$2:R131=C131)*1)</f>
        <v>1</v>
      </c>
      <c r="F131" s="15" t="str">
        <f t="shared" si="29"/>
        <v>P103-黑色</v>
      </c>
      <c r="G131" s="14" t="str">
        <f t="shared" si="30"/>
        <v>P103</v>
      </c>
      <c r="H131" s="15">
        <f t="shared" si="31"/>
        <v>1</v>
      </c>
      <c r="I131" s="14">
        <f t="shared" si="32"/>
        <v>289</v>
      </c>
      <c r="J131" s="15">
        <f t="shared" si="33"/>
        <v>0</v>
      </c>
      <c r="K131" s="15">
        <f t="shared" si="34"/>
        <v>0</v>
      </c>
      <c r="L131" s="15">
        <f t="shared" si="35"/>
        <v>-14.45</v>
      </c>
      <c r="M131" s="15">
        <f t="shared" si="36"/>
        <v>0</v>
      </c>
      <c r="N131" s="15">
        <f t="shared" si="37"/>
        <v>-0.93</v>
      </c>
      <c r="O131" s="15">
        <f t="shared" si="38"/>
        <v>273.62</v>
      </c>
      <c r="R131" s="16" t="s">
        <v>1740</v>
      </c>
      <c r="S131" s="16" t="s">
        <v>1741</v>
      </c>
      <c r="T131" s="16" t="s">
        <v>1742</v>
      </c>
      <c r="U131" s="16" t="s">
        <v>1743</v>
      </c>
      <c r="V131" s="16" t="s">
        <v>1744</v>
      </c>
      <c r="W131" s="16" t="s">
        <v>76</v>
      </c>
      <c r="X131" s="16" t="s">
        <v>77</v>
      </c>
      <c r="Y131" s="16" t="s">
        <v>1745</v>
      </c>
      <c r="Z131" s="16" t="s">
        <v>1067</v>
      </c>
      <c r="AA131" s="16" t="s">
        <v>107</v>
      </c>
      <c r="AB131" s="16" t="s">
        <v>108</v>
      </c>
      <c r="AC131" s="16" t="s">
        <v>1068</v>
      </c>
      <c r="AD131" s="16" t="s">
        <v>1746</v>
      </c>
      <c r="AE131" s="16" t="s">
        <v>84</v>
      </c>
      <c r="AF131" s="16" t="s">
        <v>84</v>
      </c>
      <c r="AG131" s="16">
        <v>289</v>
      </c>
      <c r="AH131" s="16">
        <v>289</v>
      </c>
      <c r="AI131" s="17">
        <v>289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 t="s">
        <v>85</v>
      </c>
      <c r="AP131" s="16" t="s">
        <v>1747</v>
      </c>
      <c r="AQ131" s="16" t="s">
        <v>1748</v>
      </c>
      <c r="AR131" s="16" t="s">
        <v>88</v>
      </c>
      <c r="AS131" s="16" t="s">
        <v>1749</v>
      </c>
      <c r="AT131" s="16">
        <v>14.45</v>
      </c>
      <c r="AU131" s="16" t="s">
        <v>90</v>
      </c>
      <c r="AV131" s="16">
        <v>0.93</v>
      </c>
      <c r="AW131" s="16" t="s">
        <v>115</v>
      </c>
      <c r="AX131" s="16" t="s">
        <v>116</v>
      </c>
      <c r="AY131" s="16" t="s">
        <v>117</v>
      </c>
      <c r="AZ131" s="16" t="s">
        <v>118</v>
      </c>
      <c r="BA131" s="16" t="s">
        <v>119</v>
      </c>
      <c r="BB131" s="16">
        <v>0</v>
      </c>
      <c r="BC131" s="16" t="s">
        <v>84</v>
      </c>
      <c r="BD131" s="16" t="s">
        <v>90</v>
      </c>
      <c r="BE131" s="16" t="s">
        <v>1750</v>
      </c>
      <c r="BF131" s="16" t="s">
        <v>1751</v>
      </c>
      <c r="BG131" s="16" t="s">
        <v>1752</v>
      </c>
      <c r="BH131" s="16" t="s">
        <v>1753</v>
      </c>
      <c r="BI131" s="16" t="s">
        <v>1754</v>
      </c>
      <c r="BJ131" s="16">
        <v>289</v>
      </c>
      <c r="BK131" s="16">
        <v>289</v>
      </c>
      <c r="BL131" s="16">
        <v>289</v>
      </c>
      <c r="BM131" s="16" t="s">
        <v>96</v>
      </c>
      <c r="BN131" s="16">
        <v>1</v>
      </c>
      <c r="BO131" s="16" t="s">
        <v>84</v>
      </c>
      <c r="BP131" s="16" t="s">
        <v>84</v>
      </c>
      <c r="BQ131" s="16" t="s">
        <v>84</v>
      </c>
      <c r="BR131" s="16" t="s">
        <v>97</v>
      </c>
      <c r="BS131" s="16" t="s">
        <v>98</v>
      </c>
      <c r="BT131" s="16">
        <v>0</v>
      </c>
    </row>
    <row r="132" s="1" customFormat="1" ht="16" customHeight="1" spans="1:72">
      <c r="A132" s="14">
        <f t="shared" si="26"/>
        <v>2025</v>
      </c>
      <c r="B132" s="14">
        <f t="shared" si="27"/>
        <v>8</v>
      </c>
      <c r="C132" s="14" t="str">
        <f t="shared" si="28"/>
        <v>3729949215751021312</v>
      </c>
      <c r="D132" s="14" cm="1">
        <f t="array" ref="D132">SUMPRODUCT(($R$2:$R$374=C132)*1)</f>
        <v>1</v>
      </c>
      <c r="E132" s="14" cm="1">
        <f t="array" ref="E132">SUMPRODUCT(($R$2:R132=C132)*1)</f>
        <v>1</v>
      </c>
      <c r="F132" s="15" t="str">
        <f t="shared" si="29"/>
        <v>P133-银色-AC015</v>
      </c>
      <c r="G132" s="14" t="str">
        <f t="shared" si="30"/>
        <v>P133</v>
      </c>
      <c r="H132" s="15">
        <f t="shared" si="31"/>
        <v>1</v>
      </c>
      <c r="I132" s="14">
        <f t="shared" si="32"/>
        <v>199</v>
      </c>
      <c r="J132" s="15">
        <f t="shared" si="33"/>
        <v>0</v>
      </c>
      <c r="K132" s="15">
        <f t="shared" si="34"/>
        <v>0</v>
      </c>
      <c r="L132" s="15">
        <f t="shared" si="35"/>
        <v>-9.95</v>
      </c>
      <c r="M132" s="15">
        <f t="shared" si="36"/>
        <v>0</v>
      </c>
      <c r="N132" s="15">
        <f t="shared" si="37"/>
        <v>-1.98</v>
      </c>
      <c r="O132" s="15">
        <f t="shared" si="38"/>
        <v>187.07</v>
      </c>
      <c r="R132" s="16" t="s">
        <v>1755</v>
      </c>
      <c r="S132" s="16" t="s">
        <v>1756</v>
      </c>
      <c r="T132" s="16" t="s">
        <v>1757</v>
      </c>
      <c r="U132" s="16" t="s">
        <v>1758</v>
      </c>
      <c r="V132" s="16" t="s">
        <v>1759</v>
      </c>
      <c r="W132" s="16" t="s">
        <v>76</v>
      </c>
      <c r="X132" s="16" t="s">
        <v>77</v>
      </c>
      <c r="Y132" s="16" t="s">
        <v>1256</v>
      </c>
      <c r="Z132" s="16" t="s">
        <v>1760</v>
      </c>
      <c r="AA132" s="16" t="s">
        <v>107</v>
      </c>
      <c r="AB132" s="16" t="s">
        <v>1007</v>
      </c>
      <c r="AC132" s="16" t="s">
        <v>1761</v>
      </c>
      <c r="AD132" s="16" t="s">
        <v>1762</v>
      </c>
      <c r="AE132" s="16" t="s">
        <v>84</v>
      </c>
      <c r="AF132" s="16" t="s">
        <v>84</v>
      </c>
      <c r="AG132" s="16">
        <v>199</v>
      </c>
      <c r="AH132" s="16">
        <v>199</v>
      </c>
      <c r="AI132" s="17">
        <v>199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 t="s">
        <v>85</v>
      </c>
      <c r="AP132" s="16" t="s">
        <v>1763</v>
      </c>
      <c r="AQ132" s="16" t="s">
        <v>1764</v>
      </c>
      <c r="AR132" s="16" t="s">
        <v>88</v>
      </c>
      <c r="AS132" s="16" t="s">
        <v>1765</v>
      </c>
      <c r="AT132" s="16">
        <v>9.95</v>
      </c>
      <c r="AU132" s="16" t="s">
        <v>90</v>
      </c>
      <c r="AV132" s="16">
        <v>1.98</v>
      </c>
      <c r="AW132" s="16" t="s">
        <v>115</v>
      </c>
      <c r="AX132" s="16" t="s">
        <v>116</v>
      </c>
      <c r="AY132" s="16" t="s">
        <v>117</v>
      </c>
      <c r="AZ132" s="16" t="s">
        <v>118</v>
      </c>
      <c r="BA132" s="16" t="s">
        <v>119</v>
      </c>
      <c r="BB132" s="16">
        <v>0</v>
      </c>
      <c r="BC132" s="16" t="s">
        <v>84</v>
      </c>
      <c r="BD132" s="16" t="s">
        <v>90</v>
      </c>
      <c r="BE132" s="16" t="s">
        <v>1766</v>
      </c>
      <c r="BF132" s="16" t="s">
        <v>1767</v>
      </c>
      <c r="BG132" s="16" t="s">
        <v>1768</v>
      </c>
      <c r="BH132" s="16" t="s">
        <v>1769</v>
      </c>
      <c r="BI132" s="16" t="s">
        <v>1770</v>
      </c>
      <c r="BJ132" s="16">
        <v>199</v>
      </c>
      <c r="BK132" s="16">
        <v>199</v>
      </c>
      <c r="BL132" s="16">
        <v>199</v>
      </c>
      <c r="BM132" s="16" t="s">
        <v>96</v>
      </c>
      <c r="BN132" s="16">
        <v>1</v>
      </c>
      <c r="BO132" s="16" t="s">
        <v>84</v>
      </c>
      <c r="BP132" s="16" t="s">
        <v>84</v>
      </c>
      <c r="BQ132" s="16" t="s">
        <v>84</v>
      </c>
      <c r="BR132" s="16" t="s">
        <v>97</v>
      </c>
      <c r="BS132" s="16" t="s">
        <v>98</v>
      </c>
      <c r="BT132" s="16">
        <v>0</v>
      </c>
    </row>
    <row r="133" s="1" customFormat="1" ht="16" customHeight="1" spans="1:72">
      <c r="A133" s="14">
        <f t="shared" si="26"/>
        <v>2025</v>
      </c>
      <c r="B133" s="14">
        <f t="shared" si="27"/>
        <v>8</v>
      </c>
      <c r="C133" s="14" t="str">
        <f t="shared" si="28"/>
        <v>3729948768964321536</v>
      </c>
      <c r="D133" s="14" cm="1">
        <f t="array" ref="D133">SUMPRODUCT(($R$2:$R$374=C133)*1)</f>
        <v>2</v>
      </c>
      <c r="E133" s="14" cm="1">
        <f t="array" ref="E133">SUMPRODUCT(($R$2:R133=C133)*1)</f>
        <v>1</v>
      </c>
      <c r="F133" s="15" t="str">
        <f t="shared" si="29"/>
        <v>Z2241-花色-S</v>
      </c>
      <c r="G133" s="14" t="str">
        <f t="shared" si="30"/>
        <v>Z2241</v>
      </c>
      <c r="H133" s="15">
        <f t="shared" si="31"/>
        <v>1</v>
      </c>
      <c r="I133" s="14">
        <f t="shared" si="32"/>
        <v>139</v>
      </c>
      <c r="J133" s="15">
        <f t="shared" si="33"/>
        <v>0</v>
      </c>
      <c r="K133" s="15">
        <f t="shared" si="34"/>
        <v>0</v>
      </c>
      <c r="L133" s="15">
        <f t="shared" si="35"/>
        <v>-6.95</v>
      </c>
      <c r="M133" s="15">
        <f t="shared" si="36"/>
        <v>0</v>
      </c>
      <c r="N133" s="15">
        <f t="shared" si="37"/>
        <v>-1.5</v>
      </c>
      <c r="O133" s="15">
        <f t="shared" si="38"/>
        <v>130.55</v>
      </c>
      <c r="R133" s="16" t="s">
        <v>1771</v>
      </c>
      <c r="S133" s="16" t="s">
        <v>1772</v>
      </c>
      <c r="T133" s="16" t="s">
        <v>1773</v>
      </c>
      <c r="U133" s="16" t="s">
        <v>1774</v>
      </c>
      <c r="V133" s="16" t="s">
        <v>1775</v>
      </c>
      <c r="W133" s="16" t="s">
        <v>76</v>
      </c>
      <c r="X133" s="16" t="s">
        <v>77</v>
      </c>
      <c r="Y133" s="16" t="s">
        <v>1776</v>
      </c>
      <c r="Z133" s="16" t="s">
        <v>1777</v>
      </c>
      <c r="AA133" s="16" t="s">
        <v>1365</v>
      </c>
      <c r="AB133" s="16" t="s">
        <v>1366</v>
      </c>
      <c r="AC133" s="16" t="s">
        <v>1778</v>
      </c>
      <c r="AD133" s="16" t="s">
        <v>1779</v>
      </c>
      <c r="AE133" s="16" t="s">
        <v>84</v>
      </c>
      <c r="AF133" s="16" t="s">
        <v>1780</v>
      </c>
      <c r="AG133" s="16">
        <v>478</v>
      </c>
      <c r="AH133" s="16">
        <v>478</v>
      </c>
      <c r="AI133" s="17">
        <v>478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 t="s">
        <v>85</v>
      </c>
      <c r="AP133" s="16" t="s">
        <v>1781</v>
      </c>
      <c r="AQ133" s="16" t="s">
        <v>1782</v>
      </c>
      <c r="AR133" s="16" t="s">
        <v>88</v>
      </c>
      <c r="AS133" s="16" t="s">
        <v>1783</v>
      </c>
      <c r="AT133" s="16">
        <v>6.95</v>
      </c>
      <c r="AU133" s="16" t="s">
        <v>90</v>
      </c>
      <c r="AV133" s="16">
        <v>1.5</v>
      </c>
      <c r="AW133" s="16" t="s">
        <v>115</v>
      </c>
      <c r="AX133" s="16" t="s">
        <v>116</v>
      </c>
      <c r="AY133" s="16" t="s">
        <v>117</v>
      </c>
      <c r="AZ133" s="16" t="s">
        <v>118</v>
      </c>
      <c r="BA133" s="16" t="s">
        <v>119</v>
      </c>
      <c r="BB133" s="16">
        <v>0</v>
      </c>
      <c r="BC133" s="16" t="s">
        <v>84</v>
      </c>
      <c r="BD133" s="16" t="s">
        <v>90</v>
      </c>
      <c r="BE133" s="16" t="s">
        <v>1784</v>
      </c>
      <c r="BF133" s="16" t="s">
        <v>1785</v>
      </c>
      <c r="BG133" s="16" t="s">
        <v>1786</v>
      </c>
      <c r="BH133" s="16" t="s">
        <v>1787</v>
      </c>
      <c r="BI133" s="16" t="s">
        <v>1788</v>
      </c>
      <c r="BJ133" s="16">
        <v>139</v>
      </c>
      <c r="BK133" s="16">
        <v>139</v>
      </c>
      <c r="BL133" s="16">
        <v>139</v>
      </c>
      <c r="BM133" s="16" t="s">
        <v>96</v>
      </c>
      <c r="BN133" s="16">
        <v>1</v>
      </c>
      <c r="BO133" s="16" t="s">
        <v>84</v>
      </c>
      <c r="BP133" s="16" t="s">
        <v>84</v>
      </c>
      <c r="BQ133" s="16" t="s">
        <v>84</v>
      </c>
      <c r="BR133" s="16" t="s">
        <v>97</v>
      </c>
      <c r="BS133" s="16"/>
      <c r="BT133" s="16">
        <v>0</v>
      </c>
    </row>
    <row r="134" s="1" customFormat="1" ht="16" customHeight="1" spans="1:72">
      <c r="A134" s="14">
        <f t="shared" si="26"/>
        <v>2025</v>
      </c>
      <c r="B134" s="14">
        <f t="shared" si="27"/>
        <v>8</v>
      </c>
      <c r="C134" s="14" t="str">
        <f t="shared" si="28"/>
        <v>3729948768964321536</v>
      </c>
      <c r="D134" s="14" cm="1">
        <f t="array" ref="D134">SUMPRODUCT(($R$2:$R$374=C134)*1)</f>
        <v>2</v>
      </c>
      <c r="E134" s="14" cm="1">
        <f t="array" ref="E134">SUMPRODUCT(($R$2:R134=C134)*1)</f>
        <v>2</v>
      </c>
      <c r="F134" s="15" t="str">
        <f t="shared" si="29"/>
        <v>Z1931-原麻色-S</v>
      </c>
      <c r="G134" s="14" t="str">
        <f t="shared" si="30"/>
        <v>Z1931</v>
      </c>
      <c r="H134" s="15">
        <f t="shared" si="31"/>
        <v>0</v>
      </c>
      <c r="I134" s="14">
        <f t="shared" si="32"/>
        <v>0</v>
      </c>
      <c r="J134" s="15">
        <f t="shared" si="33"/>
        <v>0</v>
      </c>
      <c r="K134" s="15">
        <f t="shared" si="34"/>
        <v>0</v>
      </c>
      <c r="L134" s="15">
        <f t="shared" si="35"/>
        <v>0</v>
      </c>
      <c r="M134" s="15">
        <f t="shared" si="36"/>
        <v>0</v>
      </c>
      <c r="N134" s="15">
        <f t="shared" si="37"/>
        <v>0</v>
      </c>
      <c r="O134" s="15">
        <f t="shared" si="38"/>
        <v>0</v>
      </c>
      <c r="R134" s="16" t="s">
        <v>1771</v>
      </c>
      <c r="S134" s="16" t="s">
        <v>1772</v>
      </c>
      <c r="T134" s="16" t="s">
        <v>1773</v>
      </c>
      <c r="U134" s="16" t="s">
        <v>1774</v>
      </c>
      <c r="V134" s="16" t="s">
        <v>1775</v>
      </c>
      <c r="W134" s="16" t="s">
        <v>76</v>
      </c>
      <c r="X134" s="16" t="s">
        <v>77</v>
      </c>
      <c r="Y134" s="16" t="s">
        <v>1776</v>
      </c>
      <c r="Z134" s="16" t="s">
        <v>1777</v>
      </c>
      <c r="AA134" s="16" t="s">
        <v>1365</v>
      </c>
      <c r="AB134" s="16" t="s">
        <v>1366</v>
      </c>
      <c r="AC134" s="16" t="s">
        <v>1778</v>
      </c>
      <c r="AD134" s="16" t="s">
        <v>1779</v>
      </c>
      <c r="AE134" s="16" t="s">
        <v>84</v>
      </c>
      <c r="AF134" s="16" t="s">
        <v>1780</v>
      </c>
      <c r="AG134" s="16">
        <v>478</v>
      </c>
      <c r="AH134" s="16">
        <v>478</v>
      </c>
      <c r="AI134" s="17">
        <v>478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 t="s">
        <v>85</v>
      </c>
      <c r="AP134" s="16" t="s">
        <v>1781</v>
      </c>
      <c r="AQ134" s="16" t="s">
        <v>1782</v>
      </c>
      <c r="AR134" s="16" t="s">
        <v>88</v>
      </c>
      <c r="AS134" s="16" t="s">
        <v>1789</v>
      </c>
      <c r="AT134" s="16">
        <v>6.95</v>
      </c>
      <c r="AU134" s="16" t="s">
        <v>90</v>
      </c>
      <c r="AV134" s="16">
        <v>1.5</v>
      </c>
      <c r="AW134" s="16" t="s">
        <v>115</v>
      </c>
      <c r="AX134" s="16" t="s">
        <v>116</v>
      </c>
      <c r="AY134" s="16" t="s">
        <v>117</v>
      </c>
      <c r="AZ134" s="16" t="s">
        <v>118</v>
      </c>
      <c r="BA134" s="16" t="s">
        <v>119</v>
      </c>
      <c r="BB134" s="16">
        <v>0</v>
      </c>
      <c r="BC134" s="16" t="s">
        <v>84</v>
      </c>
      <c r="BD134" s="16" t="s">
        <v>90</v>
      </c>
      <c r="BE134" s="16" t="s">
        <v>1790</v>
      </c>
      <c r="BF134" s="16" t="s">
        <v>1791</v>
      </c>
      <c r="BG134" s="16" t="s">
        <v>1792</v>
      </c>
      <c r="BH134" s="16" t="s">
        <v>1793</v>
      </c>
      <c r="BI134" s="16" t="s">
        <v>1794</v>
      </c>
      <c r="BJ134" s="16">
        <v>339</v>
      </c>
      <c r="BK134" s="16">
        <v>339</v>
      </c>
      <c r="BL134" s="16">
        <v>339</v>
      </c>
      <c r="BM134" s="16" t="s">
        <v>96</v>
      </c>
      <c r="BN134" s="16">
        <v>1</v>
      </c>
      <c r="BO134" s="16" t="s">
        <v>84</v>
      </c>
      <c r="BP134" s="16" t="s">
        <v>84</v>
      </c>
      <c r="BQ134" s="16" t="s">
        <v>84</v>
      </c>
      <c r="BR134" s="16" t="s">
        <v>97</v>
      </c>
      <c r="BS134" s="16" t="s">
        <v>125</v>
      </c>
      <c r="BT134" s="16">
        <v>339</v>
      </c>
    </row>
    <row r="135" s="1" customFormat="1" ht="16" customHeight="1" spans="1:72">
      <c r="A135" s="14">
        <f t="shared" si="26"/>
        <v>2025</v>
      </c>
      <c r="B135" s="14">
        <f t="shared" si="27"/>
        <v>8</v>
      </c>
      <c r="C135" s="14" t="str">
        <f t="shared" si="28"/>
        <v>3729948326128656640</v>
      </c>
      <c r="D135" s="14" cm="1">
        <f t="array" ref="D135">SUMPRODUCT(($R$2:$R$374=C135)*1)</f>
        <v>2</v>
      </c>
      <c r="E135" s="14" cm="1">
        <f t="array" ref="E135">SUMPRODUCT(($R$2:R135=C135)*1)</f>
        <v>1</v>
      </c>
      <c r="F135" s="15" t="str">
        <f t="shared" si="29"/>
        <v>Z1581-黑色-M</v>
      </c>
      <c r="G135" s="14" t="str">
        <f t="shared" si="30"/>
        <v>Z1581</v>
      </c>
      <c r="H135" s="15">
        <f t="shared" si="31"/>
        <v>1</v>
      </c>
      <c r="I135" s="14">
        <f t="shared" si="32"/>
        <v>289</v>
      </c>
      <c r="J135" s="15">
        <f t="shared" si="33"/>
        <v>0</v>
      </c>
      <c r="K135" s="15">
        <f t="shared" si="34"/>
        <v>0</v>
      </c>
      <c r="L135" s="15">
        <f t="shared" si="35"/>
        <v>-20.9</v>
      </c>
      <c r="M135" s="15">
        <f t="shared" si="36"/>
        <v>0</v>
      </c>
      <c r="N135" s="15">
        <f t="shared" si="37"/>
        <v>-1.5</v>
      </c>
      <c r="O135" s="15">
        <f t="shared" si="38"/>
        <v>266.6</v>
      </c>
      <c r="R135" s="16" t="s">
        <v>1795</v>
      </c>
      <c r="S135" s="16" t="s">
        <v>1796</v>
      </c>
      <c r="T135" s="16" t="s">
        <v>1797</v>
      </c>
      <c r="U135" s="16" t="s">
        <v>1798</v>
      </c>
      <c r="V135" s="16" t="s">
        <v>1799</v>
      </c>
      <c r="W135" s="16" t="s">
        <v>76</v>
      </c>
      <c r="X135" s="16" t="s">
        <v>77</v>
      </c>
      <c r="Y135" s="16" t="s">
        <v>241</v>
      </c>
      <c r="Z135" s="16" t="s">
        <v>1056</v>
      </c>
      <c r="AA135" s="16" t="s">
        <v>369</v>
      </c>
      <c r="AB135" s="16" t="s">
        <v>1057</v>
      </c>
      <c r="AC135" s="16" t="s">
        <v>1058</v>
      </c>
      <c r="AD135" s="16" t="s">
        <v>1059</v>
      </c>
      <c r="AE135" s="16" t="s">
        <v>84</v>
      </c>
      <c r="AF135" s="16" t="s">
        <v>84</v>
      </c>
      <c r="AG135" s="16">
        <v>418</v>
      </c>
      <c r="AH135" s="16">
        <v>418</v>
      </c>
      <c r="AI135" s="17">
        <v>418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 t="s">
        <v>85</v>
      </c>
      <c r="AP135" s="16" t="s">
        <v>1800</v>
      </c>
      <c r="AQ135" s="16" t="s">
        <v>1801</v>
      </c>
      <c r="AR135" s="16" t="s">
        <v>88</v>
      </c>
      <c r="AS135" s="16" t="s">
        <v>1802</v>
      </c>
      <c r="AT135" s="16">
        <v>20.9</v>
      </c>
      <c r="AU135" s="16" t="s">
        <v>90</v>
      </c>
      <c r="AV135" s="16">
        <v>1.5</v>
      </c>
      <c r="AW135" s="16" t="s">
        <v>115</v>
      </c>
      <c r="AX135" s="16" t="s">
        <v>116</v>
      </c>
      <c r="AY135" s="16" t="s">
        <v>117</v>
      </c>
      <c r="AZ135" s="16" t="s">
        <v>118</v>
      </c>
      <c r="BA135" s="16" t="s">
        <v>119</v>
      </c>
      <c r="BB135" s="16">
        <v>0</v>
      </c>
      <c r="BC135" s="16" t="s">
        <v>84</v>
      </c>
      <c r="BD135" s="16" t="s">
        <v>90</v>
      </c>
      <c r="BE135" s="16" t="s">
        <v>419</v>
      </c>
      <c r="BF135" s="16" t="s">
        <v>420</v>
      </c>
      <c r="BG135" s="16" t="s">
        <v>421</v>
      </c>
      <c r="BH135" s="16" t="s">
        <v>422</v>
      </c>
      <c r="BI135" s="16" t="s">
        <v>308</v>
      </c>
      <c r="BJ135" s="16">
        <v>289</v>
      </c>
      <c r="BK135" s="16">
        <v>289</v>
      </c>
      <c r="BL135" s="16">
        <v>289</v>
      </c>
      <c r="BM135" s="16" t="s">
        <v>96</v>
      </c>
      <c r="BN135" s="16">
        <v>1</v>
      </c>
      <c r="BO135" s="16" t="s">
        <v>84</v>
      </c>
      <c r="BP135" s="16" t="s">
        <v>84</v>
      </c>
      <c r="BQ135" s="16" t="s">
        <v>84</v>
      </c>
      <c r="BR135" s="16" t="s">
        <v>97</v>
      </c>
      <c r="BS135" s="16" t="s">
        <v>98</v>
      </c>
      <c r="BT135" s="16">
        <v>0</v>
      </c>
    </row>
    <row r="136" s="1" customFormat="1" ht="16" customHeight="1" spans="1:72">
      <c r="A136" s="14">
        <f t="shared" si="26"/>
        <v>2025</v>
      </c>
      <c r="B136" s="14">
        <f t="shared" si="27"/>
        <v>8</v>
      </c>
      <c r="C136" s="14" t="str">
        <f t="shared" si="28"/>
        <v>3729948326128656640</v>
      </c>
      <c r="D136" s="14" cm="1">
        <f t="array" ref="D136">SUMPRODUCT(($R$2:$R$374=C136)*1)</f>
        <v>2</v>
      </c>
      <c r="E136" s="14" cm="1">
        <f t="array" ref="E136">SUMPRODUCT(($R$2:R136=C136)*1)</f>
        <v>2</v>
      </c>
      <c r="F136" s="15" t="str">
        <f t="shared" si="29"/>
        <v>Z2183-米白色-L</v>
      </c>
      <c r="G136" s="14" t="str">
        <f t="shared" si="30"/>
        <v>Z2183</v>
      </c>
      <c r="H136" s="15">
        <f t="shared" si="31"/>
        <v>1</v>
      </c>
      <c r="I136" s="14">
        <f t="shared" si="32"/>
        <v>129</v>
      </c>
      <c r="J136" s="15">
        <f t="shared" si="33"/>
        <v>0</v>
      </c>
      <c r="K136" s="15">
        <f t="shared" si="34"/>
        <v>0</v>
      </c>
      <c r="L136" s="15">
        <f t="shared" si="35"/>
        <v>0</v>
      </c>
      <c r="M136" s="15">
        <f t="shared" si="36"/>
        <v>0</v>
      </c>
      <c r="N136" s="15">
        <f t="shared" si="37"/>
        <v>0</v>
      </c>
      <c r="O136" s="15">
        <f t="shared" si="38"/>
        <v>129</v>
      </c>
      <c r="R136" s="16" t="s">
        <v>1795</v>
      </c>
      <c r="S136" s="16" t="s">
        <v>1796</v>
      </c>
      <c r="T136" s="16" t="s">
        <v>1797</v>
      </c>
      <c r="U136" s="16" t="s">
        <v>1798</v>
      </c>
      <c r="V136" s="16" t="s">
        <v>1799</v>
      </c>
      <c r="W136" s="16" t="s">
        <v>76</v>
      </c>
      <c r="X136" s="16" t="s">
        <v>77</v>
      </c>
      <c r="Y136" s="16" t="s">
        <v>241</v>
      </c>
      <c r="Z136" s="16" t="s">
        <v>1056</v>
      </c>
      <c r="AA136" s="16" t="s">
        <v>369</v>
      </c>
      <c r="AB136" s="16" t="s">
        <v>1057</v>
      </c>
      <c r="AC136" s="16" t="s">
        <v>1058</v>
      </c>
      <c r="AD136" s="16" t="s">
        <v>1059</v>
      </c>
      <c r="AE136" s="16" t="s">
        <v>84</v>
      </c>
      <c r="AF136" s="16" t="s">
        <v>84</v>
      </c>
      <c r="AG136" s="16">
        <v>418</v>
      </c>
      <c r="AH136" s="16">
        <v>418</v>
      </c>
      <c r="AI136" s="17">
        <v>418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 t="s">
        <v>85</v>
      </c>
      <c r="AP136" s="16" t="s">
        <v>1800</v>
      </c>
      <c r="AQ136" s="16" t="s">
        <v>1801</v>
      </c>
      <c r="AR136" s="16" t="s">
        <v>88</v>
      </c>
      <c r="AS136" s="16" t="s">
        <v>1803</v>
      </c>
      <c r="AT136" s="16">
        <v>20.9</v>
      </c>
      <c r="AU136" s="16" t="s">
        <v>90</v>
      </c>
      <c r="AV136" s="16">
        <v>1.5</v>
      </c>
      <c r="AW136" s="16" t="s">
        <v>115</v>
      </c>
      <c r="AX136" s="16" t="s">
        <v>116</v>
      </c>
      <c r="AY136" s="16" t="s">
        <v>117</v>
      </c>
      <c r="AZ136" s="16" t="s">
        <v>118</v>
      </c>
      <c r="BA136" s="16" t="s">
        <v>119</v>
      </c>
      <c r="BB136" s="16">
        <v>0</v>
      </c>
      <c r="BC136" s="16" t="s">
        <v>84</v>
      </c>
      <c r="BD136" s="16" t="s">
        <v>90</v>
      </c>
      <c r="BE136" s="16" t="s">
        <v>610</v>
      </c>
      <c r="BF136" s="16" t="s">
        <v>611</v>
      </c>
      <c r="BG136" s="16" t="s">
        <v>612</v>
      </c>
      <c r="BH136" s="16" t="s">
        <v>1241</v>
      </c>
      <c r="BI136" s="16" t="s">
        <v>1242</v>
      </c>
      <c r="BJ136" s="16">
        <v>129</v>
      </c>
      <c r="BK136" s="16">
        <v>129</v>
      </c>
      <c r="BL136" s="16">
        <v>129</v>
      </c>
      <c r="BM136" s="16" t="s">
        <v>96</v>
      </c>
      <c r="BN136" s="16">
        <v>1</v>
      </c>
      <c r="BO136" s="16" t="s">
        <v>84</v>
      </c>
      <c r="BP136" s="16" t="s">
        <v>84</v>
      </c>
      <c r="BQ136" s="16" t="s">
        <v>84</v>
      </c>
      <c r="BR136" s="16" t="s">
        <v>97</v>
      </c>
      <c r="BS136" s="16" t="s">
        <v>98</v>
      </c>
      <c r="BT136" s="16">
        <v>0</v>
      </c>
    </row>
    <row r="137" s="1" customFormat="1" ht="16" customHeight="1" spans="1:72">
      <c r="A137" s="14">
        <f t="shared" si="26"/>
        <v>2025</v>
      </c>
      <c r="B137" s="14">
        <f t="shared" si="27"/>
        <v>8</v>
      </c>
      <c r="C137" s="14" t="str">
        <f t="shared" si="28"/>
        <v>3729947903277540864</v>
      </c>
      <c r="D137" s="14" cm="1">
        <f t="array" ref="D137">SUMPRODUCT(($R$2:$R$374=C137)*1)</f>
        <v>1</v>
      </c>
      <c r="E137" s="14" cm="1">
        <f t="array" ref="E137">SUMPRODUCT(($R$2:R137=C137)*1)</f>
        <v>1</v>
      </c>
      <c r="F137" s="15" t="str">
        <f t="shared" si="29"/>
        <v>Z784-灰色-42</v>
      </c>
      <c r="G137" s="14" t="str">
        <f t="shared" si="30"/>
        <v>Z784</v>
      </c>
      <c r="H137" s="15">
        <f t="shared" si="31"/>
        <v>1</v>
      </c>
      <c r="I137" s="14">
        <f t="shared" si="32"/>
        <v>389</v>
      </c>
      <c r="J137" s="15">
        <f t="shared" si="33"/>
        <v>0</v>
      </c>
      <c r="K137" s="15">
        <f t="shared" si="34"/>
        <v>0</v>
      </c>
      <c r="L137" s="15">
        <f t="shared" si="35"/>
        <v>-19.45</v>
      </c>
      <c r="M137" s="15">
        <f t="shared" si="36"/>
        <v>0</v>
      </c>
      <c r="N137" s="15">
        <f t="shared" si="37"/>
        <v>-1.5</v>
      </c>
      <c r="O137" s="15">
        <f t="shared" si="38"/>
        <v>368.05</v>
      </c>
      <c r="R137" s="16" t="s">
        <v>1804</v>
      </c>
      <c r="S137" s="16" t="s">
        <v>1805</v>
      </c>
      <c r="T137" s="16" t="s">
        <v>1806</v>
      </c>
      <c r="U137" s="16" t="s">
        <v>1807</v>
      </c>
      <c r="V137" s="16" t="s">
        <v>1808</v>
      </c>
      <c r="W137" s="16" t="s">
        <v>76</v>
      </c>
      <c r="X137" s="16" t="s">
        <v>77</v>
      </c>
      <c r="Y137" s="16" t="s">
        <v>224</v>
      </c>
      <c r="Z137" s="16" t="s">
        <v>225</v>
      </c>
      <c r="AA137" s="16" t="s">
        <v>153</v>
      </c>
      <c r="AB137" s="16" t="s">
        <v>153</v>
      </c>
      <c r="AC137" s="16" t="s">
        <v>226</v>
      </c>
      <c r="AD137" s="16" t="s">
        <v>227</v>
      </c>
      <c r="AE137" s="16" t="s">
        <v>84</v>
      </c>
      <c r="AF137" s="16" t="s">
        <v>84</v>
      </c>
      <c r="AG137" s="16">
        <v>389</v>
      </c>
      <c r="AH137" s="16">
        <v>389</v>
      </c>
      <c r="AI137" s="17">
        <v>389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 t="s">
        <v>85</v>
      </c>
      <c r="AP137" s="16" t="s">
        <v>1809</v>
      </c>
      <c r="AQ137" s="16" t="s">
        <v>1810</v>
      </c>
      <c r="AR137" s="16" t="s">
        <v>88</v>
      </c>
      <c r="AS137" s="16" t="s">
        <v>1811</v>
      </c>
      <c r="AT137" s="16">
        <v>19.45</v>
      </c>
      <c r="AU137" s="16" t="s">
        <v>90</v>
      </c>
      <c r="AV137" s="16">
        <v>1.5</v>
      </c>
      <c r="AW137" s="16" t="s">
        <v>115</v>
      </c>
      <c r="AX137" s="16" t="s">
        <v>116</v>
      </c>
      <c r="AY137" s="16" t="s">
        <v>117</v>
      </c>
      <c r="AZ137" s="16" t="s">
        <v>118</v>
      </c>
      <c r="BA137" s="16" t="s">
        <v>119</v>
      </c>
      <c r="BB137" s="16">
        <v>0</v>
      </c>
      <c r="BC137" s="16" t="s">
        <v>84</v>
      </c>
      <c r="BD137" s="16" t="s">
        <v>90</v>
      </c>
      <c r="BE137" s="16" t="s">
        <v>1812</v>
      </c>
      <c r="BF137" s="16" t="s">
        <v>1813</v>
      </c>
      <c r="BG137" s="16" t="s">
        <v>1814</v>
      </c>
      <c r="BH137" s="16" t="s">
        <v>1815</v>
      </c>
      <c r="BI137" s="16" t="s">
        <v>1816</v>
      </c>
      <c r="BJ137" s="16">
        <v>389</v>
      </c>
      <c r="BK137" s="16">
        <v>389</v>
      </c>
      <c r="BL137" s="16">
        <v>389</v>
      </c>
      <c r="BM137" s="16" t="s">
        <v>96</v>
      </c>
      <c r="BN137" s="16">
        <v>1</v>
      </c>
      <c r="BO137" s="16" t="s">
        <v>84</v>
      </c>
      <c r="BP137" s="16" t="s">
        <v>84</v>
      </c>
      <c r="BQ137" s="16" t="s">
        <v>84</v>
      </c>
      <c r="BR137" s="16" t="s">
        <v>97</v>
      </c>
      <c r="BS137" s="16" t="s">
        <v>98</v>
      </c>
      <c r="BT137" s="16">
        <v>0</v>
      </c>
    </row>
    <row r="138" s="1" customFormat="1" ht="16" customHeight="1" spans="1:72">
      <c r="A138" s="14">
        <f t="shared" si="26"/>
        <v>2025</v>
      </c>
      <c r="B138" s="14">
        <f t="shared" si="27"/>
        <v>8</v>
      </c>
      <c r="C138" s="14" t="str">
        <f t="shared" si="28"/>
        <v>3729947361623284224</v>
      </c>
      <c r="D138" s="14" cm="1">
        <f t="array" ref="D138">SUMPRODUCT(($R$2:$R$374=C138)*1)</f>
        <v>1</v>
      </c>
      <c r="E138" s="14" cm="1">
        <f t="array" ref="E138">SUMPRODUCT(($R$2:R138=C138)*1)</f>
        <v>1</v>
      </c>
      <c r="F138" s="15" t="str">
        <f t="shared" si="29"/>
        <v>Z2183-黑色-L</v>
      </c>
      <c r="G138" s="14" t="str">
        <f t="shared" si="30"/>
        <v>Z2183</v>
      </c>
      <c r="H138" s="15">
        <f t="shared" si="31"/>
        <v>1</v>
      </c>
      <c r="I138" s="14">
        <f t="shared" si="32"/>
        <v>129</v>
      </c>
      <c r="J138" s="15">
        <f t="shared" si="33"/>
        <v>0</v>
      </c>
      <c r="K138" s="15">
        <f t="shared" si="34"/>
        <v>0</v>
      </c>
      <c r="L138" s="15">
        <f t="shared" si="35"/>
        <v>-6.45</v>
      </c>
      <c r="M138" s="15">
        <f t="shared" si="36"/>
        <v>0</v>
      </c>
      <c r="N138" s="15">
        <f t="shared" si="37"/>
        <v>-1.5</v>
      </c>
      <c r="O138" s="15">
        <f t="shared" si="38"/>
        <v>121.05</v>
      </c>
      <c r="R138" s="16" t="s">
        <v>1817</v>
      </c>
      <c r="S138" s="16" t="s">
        <v>1818</v>
      </c>
      <c r="T138" s="16" t="s">
        <v>1819</v>
      </c>
      <c r="U138" s="16" t="s">
        <v>1820</v>
      </c>
      <c r="V138" s="16" t="s">
        <v>1821</v>
      </c>
      <c r="W138" s="16" t="s">
        <v>76</v>
      </c>
      <c r="X138" s="16" t="s">
        <v>77</v>
      </c>
      <c r="Y138" s="16" t="s">
        <v>1510</v>
      </c>
      <c r="Z138" s="16" t="s">
        <v>1822</v>
      </c>
      <c r="AA138" s="16" t="s">
        <v>780</v>
      </c>
      <c r="AB138" s="16" t="s">
        <v>781</v>
      </c>
      <c r="AC138" s="16" t="s">
        <v>1823</v>
      </c>
      <c r="AD138" s="16" t="s">
        <v>1824</v>
      </c>
      <c r="AE138" s="16" t="s">
        <v>84</v>
      </c>
      <c r="AF138" s="16" t="s">
        <v>84</v>
      </c>
      <c r="AG138" s="16">
        <v>129</v>
      </c>
      <c r="AH138" s="16">
        <v>129</v>
      </c>
      <c r="AI138" s="17">
        <v>129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 t="s">
        <v>85</v>
      </c>
      <c r="AP138" s="16" t="s">
        <v>1825</v>
      </c>
      <c r="AQ138" s="16" t="s">
        <v>1826</v>
      </c>
      <c r="AR138" s="16" t="s">
        <v>88</v>
      </c>
      <c r="AS138" s="16" t="s">
        <v>1827</v>
      </c>
      <c r="AT138" s="16">
        <v>6.45</v>
      </c>
      <c r="AU138" s="16" t="s">
        <v>90</v>
      </c>
      <c r="AV138" s="16">
        <v>1.5</v>
      </c>
      <c r="AW138" s="16" t="s">
        <v>115</v>
      </c>
      <c r="AX138" s="16" t="s">
        <v>116</v>
      </c>
      <c r="AY138" s="16" t="s">
        <v>117</v>
      </c>
      <c r="AZ138" s="16" t="s">
        <v>118</v>
      </c>
      <c r="BA138" s="16" t="s">
        <v>119</v>
      </c>
      <c r="BB138" s="16">
        <v>0</v>
      </c>
      <c r="BC138" s="16" t="s">
        <v>84</v>
      </c>
      <c r="BD138" s="16" t="s">
        <v>90</v>
      </c>
      <c r="BE138" s="16" t="s">
        <v>610</v>
      </c>
      <c r="BF138" s="16" t="s">
        <v>611</v>
      </c>
      <c r="BG138" s="16" t="s">
        <v>612</v>
      </c>
      <c r="BH138" s="16" t="s">
        <v>1174</v>
      </c>
      <c r="BI138" s="16" t="s">
        <v>1175</v>
      </c>
      <c r="BJ138" s="16">
        <v>129</v>
      </c>
      <c r="BK138" s="16">
        <v>129</v>
      </c>
      <c r="BL138" s="16">
        <v>129</v>
      </c>
      <c r="BM138" s="16" t="s">
        <v>96</v>
      </c>
      <c r="BN138" s="16">
        <v>1</v>
      </c>
      <c r="BO138" s="16" t="s">
        <v>84</v>
      </c>
      <c r="BP138" s="16" t="s">
        <v>84</v>
      </c>
      <c r="BQ138" s="16" t="s">
        <v>84</v>
      </c>
      <c r="BR138" s="16" t="s">
        <v>97</v>
      </c>
      <c r="BS138" s="16" t="s">
        <v>98</v>
      </c>
      <c r="BT138" s="16">
        <v>0</v>
      </c>
    </row>
    <row r="139" s="1" customFormat="1" ht="16" customHeight="1" spans="1:72">
      <c r="A139" s="14">
        <f t="shared" si="26"/>
        <v>2025</v>
      </c>
      <c r="B139" s="14">
        <f t="shared" si="27"/>
        <v>8</v>
      </c>
      <c r="C139" s="14" t="str">
        <f t="shared" si="28"/>
        <v>3729947334438429952</v>
      </c>
      <c r="D139" s="14" cm="1">
        <f t="array" ref="D139">SUMPRODUCT(($R$2:$R$374=C139)*1)</f>
        <v>1</v>
      </c>
      <c r="E139" s="14" cm="1">
        <f t="array" ref="E139">SUMPRODUCT(($R$2:R139=C139)*1)</f>
        <v>1</v>
      </c>
      <c r="F139" s="15" t="str">
        <f t="shared" si="29"/>
        <v>Z2183-黑色-M</v>
      </c>
      <c r="G139" s="14" t="str">
        <f t="shared" si="30"/>
        <v>Z2183</v>
      </c>
      <c r="H139" s="15">
        <f t="shared" si="31"/>
        <v>1</v>
      </c>
      <c r="I139" s="14">
        <f t="shared" si="32"/>
        <v>129</v>
      </c>
      <c r="J139" s="15">
        <f t="shared" si="33"/>
        <v>0</v>
      </c>
      <c r="K139" s="15">
        <f t="shared" si="34"/>
        <v>0</v>
      </c>
      <c r="L139" s="15">
        <f t="shared" si="35"/>
        <v>-6.45</v>
      </c>
      <c r="M139" s="15">
        <f t="shared" si="36"/>
        <v>0</v>
      </c>
      <c r="N139" s="15">
        <f t="shared" si="37"/>
        <v>-1.5</v>
      </c>
      <c r="O139" s="15">
        <f t="shared" si="38"/>
        <v>121.05</v>
      </c>
      <c r="R139" s="16" t="s">
        <v>1828</v>
      </c>
      <c r="S139" s="16" t="s">
        <v>1829</v>
      </c>
      <c r="T139" s="16" t="s">
        <v>1830</v>
      </c>
      <c r="U139" s="16" t="s">
        <v>1831</v>
      </c>
      <c r="V139" s="16" t="s">
        <v>1832</v>
      </c>
      <c r="W139" s="16" t="s">
        <v>76</v>
      </c>
      <c r="X139" s="16" t="s">
        <v>77</v>
      </c>
      <c r="Y139" s="16" t="s">
        <v>1473</v>
      </c>
      <c r="Z139" s="16" t="s">
        <v>1160</v>
      </c>
      <c r="AA139" s="16" t="s">
        <v>430</v>
      </c>
      <c r="AB139" s="16" t="s">
        <v>430</v>
      </c>
      <c r="AC139" s="16" t="s">
        <v>1161</v>
      </c>
      <c r="AD139" s="16" t="s">
        <v>1833</v>
      </c>
      <c r="AE139" s="16" t="s">
        <v>84</v>
      </c>
      <c r="AF139" s="16" t="s">
        <v>84</v>
      </c>
      <c r="AG139" s="16">
        <v>129</v>
      </c>
      <c r="AH139" s="16">
        <v>129</v>
      </c>
      <c r="AI139" s="17">
        <v>129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 t="s">
        <v>85</v>
      </c>
      <c r="AP139" s="16" t="s">
        <v>1834</v>
      </c>
      <c r="AQ139" s="16" t="s">
        <v>1835</v>
      </c>
      <c r="AR139" s="16" t="s">
        <v>88</v>
      </c>
      <c r="AS139" s="16" t="s">
        <v>1836</v>
      </c>
      <c r="AT139" s="16">
        <v>6.45</v>
      </c>
      <c r="AU139" s="16" t="s">
        <v>90</v>
      </c>
      <c r="AV139" s="16">
        <v>1.5</v>
      </c>
      <c r="AW139" s="16" t="s">
        <v>115</v>
      </c>
      <c r="AX139" s="16" t="s">
        <v>116</v>
      </c>
      <c r="AY139" s="16" t="s">
        <v>117</v>
      </c>
      <c r="AZ139" s="16" t="s">
        <v>118</v>
      </c>
      <c r="BA139" s="16" t="s">
        <v>119</v>
      </c>
      <c r="BB139" s="16">
        <v>0</v>
      </c>
      <c r="BC139" s="16" t="s">
        <v>84</v>
      </c>
      <c r="BD139" s="16" t="s">
        <v>90</v>
      </c>
      <c r="BE139" s="16" t="s">
        <v>610</v>
      </c>
      <c r="BF139" s="16" t="s">
        <v>611</v>
      </c>
      <c r="BG139" s="16" t="s">
        <v>612</v>
      </c>
      <c r="BH139" s="16" t="s">
        <v>685</v>
      </c>
      <c r="BI139" s="16" t="s">
        <v>686</v>
      </c>
      <c r="BJ139" s="16">
        <v>129</v>
      </c>
      <c r="BK139" s="16">
        <v>129</v>
      </c>
      <c r="BL139" s="16">
        <v>129</v>
      </c>
      <c r="BM139" s="16" t="s">
        <v>96</v>
      </c>
      <c r="BN139" s="16">
        <v>1</v>
      </c>
      <c r="BO139" s="16" t="s">
        <v>84</v>
      </c>
      <c r="BP139" s="16" t="s">
        <v>84</v>
      </c>
      <c r="BQ139" s="16" t="s">
        <v>84</v>
      </c>
      <c r="BR139" s="16" t="s">
        <v>97</v>
      </c>
      <c r="BS139" s="16" t="s">
        <v>98</v>
      </c>
      <c r="BT139" s="16">
        <v>0</v>
      </c>
    </row>
    <row r="140" s="1" customFormat="1" ht="16" customHeight="1" spans="1:72">
      <c r="A140" s="14">
        <f t="shared" si="26"/>
        <v>2025</v>
      </c>
      <c r="B140" s="14">
        <f t="shared" si="27"/>
        <v>8</v>
      </c>
      <c r="C140" s="14" t="str">
        <f t="shared" si="28"/>
        <v>3729947314594914560</v>
      </c>
      <c r="D140" s="14" cm="1">
        <f t="array" ref="D140">SUMPRODUCT(($R$2:$R$374=C140)*1)</f>
        <v>1</v>
      </c>
      <c r="E140" s="14" cm="1">
        <f t="array" ref="E140">SUMPRODUCT(($R$2:R140=C140)*1)</f>
        <v>1</v>
      </c>
      <c r="F140" s="15" t="str">
        <f t="shared" si="29"/>
        <v>Z1581-黑色-S</v>
      </c>
      <c r="G140" s="14" t="str">
        <f t="shared" si="30"/>
        <v>Z1581</v>
      </c>
      <c r="H140" s="15">
        <f t="shared" si="31"/>
        <v>1</v>
      </c>
      <c r="I140" s="14">
        <f t="shared" si="32"/>
        <v>289</v>
      </c>
      <c r="J140" s="15">
        <f t="shared" si="33"/>
        <v>0</v>
      </c>
      <c r="K140" s="15">
        <f t="shared" si="34"/>
        <v>0</v>
      </c>
      <c r="L140" s="15">
        <f t="shared" si="35"/>
        <v>-14.45</v>
      </c>
      <c r="M140" s="15">
        <f t="shared" si="36"/>
        <v>0</v>
      </c>
      <c r="N140" s="15">
        <f t="shared" si="37"/>
        <v>-1.5</v>
      </c>
      <c r="O140" s="15">
        <f t="shared" si="38"/>
        <v>273.05</v>
      </c>
      <c r="R140" s="16" t="s">
        <v>1837</v>
      </c>
      <c r="S140" s="16" t="s">
        <v>1838</v>
      </c>
      <c r="T140" s="16" t="s">
        <v>1839</v>
      </c>
      <c r="U140" s="16" t="s">
        <v>1840</v>
      </c>
      <c r="V140" s="16" t="s">
        <v>1841</v>
      </c>
      <c r="W140" s="16" t="s">
        <v>76</v>
      </c>
      <c r="X140" s="16" t="s">
        <v>77</v>
      </c>
      <c r="Y140" s="16" t="s">
        <v>1842</v>
      </c>
      <c r="Z140" s="16" t="s">
        <v>1843</v>
      </c>
      <c r="AA140" s="16" t="s">
        <v>107</v>
      </c>
      <c r="AB140" s="16" t="s">
        <v>108</v>
      </c>
      <c r="AC140" s="16" t="s">
        <v>1844</v>
      </c>
      <c r="AD140" s="16" t="s">
        <v>1845</v>
      </c>
      <c r="AE140" s="16" t="s">
        <v>84</v>
      </c>
      <c r="AF140" s="16" t="s">
        <v>84</v>
      </c>
      <c r="AG140" s="16">
        <v>289</v>
      </c>
      <c r="AH140" s="16">
        <v>289</v>
      </c>
      <c r="AI140" s="17">
        <v>289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 t="s">
        <v>85</v>
      </c>
      <c r="AP140" s="16" t="s">
        <v>1846</v>
      </c>
      <c r="AQ140" s="16" t="s">
        <v>1847</v>
      </c>
      <c r="AR140" s="16" t="s">
        <v>88</v>
      </c>
      <c r="AS140" s="16" t="s">
        <v>1848</v>
      </c>
      <c r="AT140" s="16">
        <v>14.45</v>
      </c>
      <c r="AU140" s="16" t="s">
        <v>90</v>
      </c>
      <c r="AV140" s="16">
        <v>1.5</v>
      </c>
      <c r="AW140" s="16" t="s">
        <v>115</v>
      </c>
      <c r="AX140" s="16" t="s">
        <v>116</v>
      </c>
      <c r="AY140" s="16" t="s">
        <v>117</v>
      </c>
      <c r="AZ140" s="16" t="s">
        <v>118</v>
      </c>
      <c r="BA140" s="16" t="s">
        <v>119</v>
      </c>
      <c r="BB140" s="16">
        <v>0</v>
      </c>
      <c r="BC140" s="16" t="s">
        <v>84</v>
      </c>
      <c r="BD140" s="16" t="s">
        <v>90</v>
      </c>
      <c r="BE140" s="16" t="s">
        <v>419</v>
      </c>
      <c r="BF140" s="16" t="s">
        <v>420</v>
      </c>
      <c r="BG140" s="16" t="s">
        <v>421</v>
      </c>
      <c r="BH140" s="16" t="s">
        <v>448</v>
      </c>
      <c r="BI140" s="16" t="s">
        <v>377</v>
      </c>
      <c r="BJ140" s="16">
        <v>289</v>
      </c>
      <c r="BK140" s="16">
        <v>289</v>
      </c>
      <c r="BL140" s="16">
        <v>289</v>
      </c>
      <c r="BM140" s="16" t="s">
        <v>96</v>
      </c>
      <c r="BN140" s="16">
        <v>1</v>
      </c>
      <c r="BO140" s="16" t="s">
        <v>84</v>
      </c>
      <c r="BP140" s="16" t="s">
        <v>84</v>
      </c>
      <c r="BQ140" s="16" t="s">
        <v>84</v>
      </c>
      <c r="BR140" s="16" t="s">
        <v>97</v>
      </c>
      <c r="BS140" s="16" t="s">
        <v>98</v>
      </c>
      <c r="BT140" s="16">
        <v>0</v>
      </c>
    </row>
    <row r="141" s="1" customFormat="1" ht="16" customHeight="1" spans="1:72">
      <c r="A141" s="14">
        <f t="shared" si="26"/>
        <v>2025</v>
      </c>
      <c r="B141" s="14">
        <f t="shared" si="27"/>
        <v>8</v>
      </c>
      <c r="C141" s="14" t="str">
        <f t="shared" si="28"/>
        <v>3729947274138232320</v>
      </c>
      <c r="D141" s="14" cm="1">
        <f t="array" ref="D141">SUMPRODUCT(($R$2:$R$374=C141)*1)</f>
        <v>1</v>
      </c>
      <c r="E141" s="14" cm="1">
        <f t="array" ref="E141">SUMPRODUCT(($R$2:R141=C141)*1)</f>
        <v>1</v>
      </c>
      <c r="F141" s="15" t="str">
        <f t="shared" si="29"/>
        <v>Z2183-米白色-M</v>
      </c>
      <c r="G141" s="14" t="str">
        <f t="shared" si="30"/>
        <v>Z2183</v>
      </c>
      <c r="H141" s="15">
        <f t="shared" si="31"/>
        <v>1</v>
      </c>
      <c r="I141" s="14">
        <f t="shared" si="32"/>
        <v>129</v>
      </c>
      <c r="J141" s="15">
        <f t="shared" si="33"/>
        <v>0</v>
      </c>
      <c r="K141" s="15">
        <f t="shared" si="34"/>
        <v>0</v>
      </c>
      <c r="L141" s="15">
        <f t="shared" si="35"/>
        <v>-6.45</v>
      </c>
      <c r="M141" s="15">
        <f t="shared" si="36"/>
        <v>0</v>
      </c>
      <c r="N141" s="15">
        <f t="shared" si="37"/>
        <v>-1.5</v>
      </c>
      <c r="O141" s="15">
        <f t="shared" si="38"/>
        <v>121.05</v>
      </c>
      <c r="R141" s="16" t="s">
        <v>1849</v>
      </c>
      <c r="S141" s="16" t="s">
        <v>1850</v>
      </c>
      <c r="T141" s="16" t="s">
        <v>1851</v>
      </c>
      <c r="U141" s="16" t="s">
        <v>1852</v>
      </c>
      <c r="V141" s="16" t="s">
        <v>1853</v>
      </c>
      <c r="W141" s="16" t="s">
        <v>76</v>
      </c>
      <c r="X141" s="16" t="s">
        <v>77</v>
      </c>
      <c r="Y141" s="16" t="s">
        <v>1854</v>
      </c>
      <c r="Z141" s="16" t="s">
        <v>1855</v>
      </c>
      <c r="AA141" s="16" t="s">
        <v>1856</v>
      </c>
      <c r="AB141" s="16" t="s">
        <v>1857</v>
      </c>
      <c r="AC141" s="16" t="s">
        <v>1858</v>
      </c>
      <c r="AD141" s="16" t="s">
        <v>1859</v>
      </c>
      <c r="AE141" s="16" t="s">
        <v>84</v>
      </c>
      <c r="AF141" s="16" t="s">
        <v>84</v>
      </c>
      <c r="AG141" s="16">
        <v>129</v>
      </c>
      <c r="AH141" s="16">
        <v>129</v>
      </c>
      <c r="AI141" s="17">
        <v>129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 t="s">
        <v>85</v>
      </c>
      <c r="AP141" s="16" t="s">
        <v>1860</v>
      </c>
      <c r="AQ141" s="16" t="s">
        <v>1861</v>
      </c>
      <c r="AR141" s="16" t="s">
        <v>88</v>
      </c>
      <c r="AS141" s="16" t="s">
        <v>1862</v>
      </c>
      <c r="AT141" s="16">
        <v>6.45</v>
      </c>
      <c r="AU141" s="16" t="s">
        <v>90</v>
      </c>
      <c r="AV141" s="16">
        <v>1.5</v>
      </c>
      <c r="AW141" s="16" t="s">
        <v>115</v>
      </c>
      <c r="AX141" s="16" t="s">
        <v>116</v>
      </c>
      <c r="AY141" s="16" t="s">
        <v>117</v>
      </c>
      <c r="AZ141" s="16" t="s">
        <v>118</v>
      </c>
      <c r="BA141" s="16" t="s">
        <v>119</v>
      </c>
      <c r="BB141" s="16">
        <v>0</v>
      </c>
      <c r="BC141" s="16" t="s">
        <v>84</v>
      </c>
      <c r="BD141" s="16" t="s">
        <v>90</v>
      </c>
      <c r="BE141" s="16" t="s">
        <v>610</v>
      </c>
      <c r="BF141" s="16" t="s">
        <v>611</v>
      </c>
      <c r="BG141" s="16" t="s">
        <v>612</v>
      </c>
      <c r="BH141" s="16" t="s">
        <v>1141</v>
      </c>
      <c r="BI141" s="16" t="s">
        <v>1142</v>
      </c>
      <c r="BJ141" s="16">
        <v>129</v>
      </c>
      <c r="BK141" s="16">
        <v>129</v>
      </c>
      <c r="BL141" s="16">
        <v>129</v>
      </c>
      <c r="BM141" s="16" t="s">
        <v>96</v>
      </c>
      <c r="BN141" s="16">
        <v>1</v>
      </c>
      <c r="BO141" s="16" t="s">
        <v>84</v>
      </c>
      <c r="BP141" s="16" t="s">
        <v>84</v>
      </c>
      <c r="BQ141" s="16" t="s">
        <v>84</v>
      </c>
      <c r="BR141" s="16" t="s">
        <v>97</v>
      </c>
      <c r="BS141" s="16" t="s">
        <v>98</v>
      </c>
      <c r="BT141" s="16">
        <v>0</v>
      </c>
    </row>
    <row r="142" s="1" customFormat="1" ht="16" customHeight="1" spans="1:72">
      <c r="A142" s="14">
        <f t="shared" si="26"/>
        <v>2025</v>
      </c>
      <c r="B142" s="14">
        <f t="shared" si="27"/>
        <v>8</v>
      </c>
      <c r="C142" s="14" t="str">
        <f t="shared" si="28"/>
        <v>3729947273667417088</v>
      </c>
      <c r="D142" s="14" cm="1">
        <f t="array" ref="D142">SUMPRODUCT(($R$2:$R$374=C142)*1)</f>
        <v>1</v>
      </c>
      <c r="E142" s="14" cm="1">
        <f t="array" ref="E142">SUMPRODUCT(($R$2:R142=C142)*1)</f>
        <v>1</v>
      </c>
      <c r="F142" s="15" t="str">
        <f t="shared" si="29"/>
        <v>Z2183-黑色-XL</v>
      </c>
      <c r="G142" s="14" t="str">
        <f t="shared" si="30"/>
        <v>Z2183</v>
      </c>
      <c r="H142" s="15">
        <f t="shared" si="31"/>
        <v>1</v>
      </c>
      <c r="I142" s="14">
        <f t="shared" si="32"/>
        <v>129</v>
      </c>
      <c r="J142" s="15">
        <f t="shared" si="33"/>
        <v>0</v>
      </c>
      <c r="K142" s="15">
        <f t="shared" si="34"/>
        <v>10</v>
      </c>
      <c r="L142" s="15">
        <f t="shared" si="35"/>
        <v>-6.45</v>
      </c>
      <c r="M142" s="15">
        <f t="shared" si="36"/>
        <v>0</v>
      </c>
      <c r="N142" s="15">
        <f t="shared" si="37"/>
        <v>-1.5</v>
      </c>
      <c r="O142" s="15">
        <f t="shared" si="38"/>
        <v>131.05</v>
      </c>
      <c r="R142" s="16" t="s">
        <v>1863</v>
      </c>
      <c r="S142" s="16" t="s">
        <v>1864</v>
      </c>
      <c r="T142" s="16" t="s">
        <v>1865</v>
      </c>
      <c r="U142" s="16" t="s">
        <v>1866</v>
      </c>
      <c r="V142" s="16" t="s">
        <v>1867</v>
      </c>
      <c r="W142" s="16" t="s">
        <v>76</v>
      </c>
      <c r="X142" s="16" t="s">
        <v>77</v>
      </c>
      <c r="Y142" s="16" t="s">
        <v>1868</v>
      </c>
      <c r="Z142" s="16" t="s">
        <v>206</v>
      </c>
      <c r="AA142" s="16" t="s">
        <v>207</v>
      </c>
      <c r="AB142" s="16" t="s">
        <v>208</v>
      </c>
      <c r="AC142" s="16" t="s">
        <v>209</v>
      </c>
      <c r="AD142" s="16" t="s">
        <v>1869</v>
      </c>
      <c r="AE142" s="16" t="s">
        <v>84</v>
      </c>
      <c r="AF142" s="16" t="s">
        <v>84</v>
      </c>
      <c r="AG142" s="16">
        <v>129</v>
      </c>
      <c r="AH142" s="16">
        <v>139</v>
      </c>
      <c r="AI142" s="17">
        <v>139</v>
      </c>
      <c r="AJ142" s="16">
        <v>10</v>
      </c>
      <c r="AK142" s="16">
        <v>0</v>
      </c>
      <c r="AL142" s="16">
        <v>0</v>
      </c>
      <c r="AM142" s="16">
        <v>0</v>
      </c>
      <c r="AN142" s="16">
        <v>0</v>
      </c>
      <c r="AO142" s="16" t="s">
        <v>85</v>
      </c>
      <c r="AP142" s="16" t="s">
        <v>1870</v>
      </c>
      <c r="AQ142" s="16" t="s">
        <v>1871</v>
      </c>
      <c r="AR142" s="16" t="s">
        <v>88</v>
      </c>
      <c r="AS142" s="16" t="s">
        <v>1872</v>
      </c>
      <c r="AT142" s="16">
        <v>6.45</v>
      </c>
      <c r="AU142" s="16" t="s">
        <v>90</v>
      </c>
      <c r="AV142" s="16">
        <v>1.5</v>
      </c>
      <c r="AW142" s="16" t="s">
        <v>115</v>
      </c>
      <c r="AX142" s="16" t="s">
        <v>116</v>
      </c>
      <c r="AY142" s="16" t="s">
        <v>117</v>
      </c>
      <c r="AZ142" s="16" t="s">
        <v>118</v>
      </c>
      <c r="BA142" s="16" t="s">
        <v>119</v>
      </c>
      <c r="BB142" s="16">
        <v>0</v>
      </c>
      <c r="BC142" s="16" t="s">
        <v>84</v>
      </c>
      <c r="BD142" s="16" t="s">
        <v>90</v>
      </c>
      <c r="BE142" s="16" t="s">
        <v>610</v>
      </c>
      <c r="BF142" s="16" t="s">
        <v>611</v>
      </c>
      <c r="BG142" s="16" t="s">
        <v>612</v>
      </c>
      <c r="BH142" s="16" t="s">
        <v>613</v>
      </c>
      <c r="BI142" s="16" t="s">
        <v>614</v>
      </c>
      <c r="BJ142" s="16">
        <v>129</v>
      </c>
      <c r="BK142" s="16">
        <v>129</v>
      </c>
      <c r="BL142" s="16">
        <v>129</v>
      </c>
      <c r="BM142" s="16" t="s">
        <v>96</v>
      </c>
      <c r="BN142" s="16">
        <v>1</v>
      </c>
      <c r="BO142" s="16" t="s">
        <v>84</v>
      </c>
      <c r="BP142" s="16" t="s">
        <v>84</v>
      </c>
      <c r="BQ142" s="16" t="s">
        <v>84</v>
      </c>
      <c r="BR142" s="16" t="s">
        <v>97</v>
      </c>
      <c r="BS142" s="16" t="s">
        <v>98</v>
      </c>
      <c r="BT142" s="16">
        <v>0</v>
      </c>
    </row>
    <row r="143" s="1" customFormat="1" ht="16" customHeight="1" spans="1:72">
      <c r="A143" s="14">
        <f t="shared" si="26"/>
        <v>2025</v>
      </c>
      <c r="B143" s="14">
        <f t="shared" si="27"/>
        <v>8</v>
      </c>
      <c r="C143" s="14" t="str">
        <f t="shared" si="28"/>
        <v>3729947159760090624</v>
      </c>
      <c r="D143" s="14" cm="1">
        <f t="array" ref="D143">SUMPRODUCT(($R$2:$R$374=C143)*1)</f>
        <v>1</v>
      </c>
      <c r="E143" s="14" cm="1">
        <f t="array" ref="E143">SUMPRODUCT(($R$2:R143=C143)*1)</f>
        <v>1</v>
      </c>
      <c r="F143" s="15" t="str">
        <f t="shared" si="29"/>
        <v>Z2281-条纹-M</v>
      </c>
      <c r="G143" s="14" t="str">
        <f t="shared" si="30"/>
        <v>Z2281</v>
      </c>
      <c r="H143" s="15">
        <f t="shared" si="31"/>
        <v>1</v>
      </c>
      <c r="I143" s="14">
        <f t="shared" si="32"/>
        <v>239</v>
      </c>
      <c r="J143" s="15">
        <f t="shared" si="33"/>
        <v>0</v>
      </c>
      <c r="K143" s="15">
        <f t="shared" si="34"/>
        <v>0</v>
      </c>
      <c r="L143" s="15">
        <f t="shared" si="35"/>
        <v>-11.95</v>
      </c>
      <c r="M143" s="15">
        <f t="shared" si="36"/>
        <v>0</v>
      </c>
      <c r="N143" s="15">
        <f t="shared" si="37"/>
        <v>-1.5</v>
      </c>
      <c r="O143" s="15">
        <f t="shared" si="38"/>
        <v>225.55</v>
      </c>
      <c r="R143" s="16" t="s">
        <v>1873</v>
      </c>
      <c r="S143" s="16" t="s">
        <v>1874</v>
      </c>
      <c r="T143" s="16" t="s">
        <v>1875</v>
      </c>
      <c r="U143" s="16" t="s">
        <v>1876</v>
      </c>
      <c r="V143" s="16" t="s">
        <v>1877</v>
      </c>
      <c r="W143" s="16" t="s">
        <v>76</v>
      </c>
      <c r="X143" s="16" t="s">
        <v>77</v>
      </c>
      <c r="Y143" s="16" t="s">
        <v>761</v>
      </c>
      <c r="Z143" s="16" t="s">
        <v>1878</v>
      </c>
      <c r="AA143" s="16" t="s">
        <v>369</v>
      </c>
      <c r="AB143" s="16" t="s">
        <v>1879</v>
      </c>
      <c r="AC143" s="16" t="s">
        <v>1880</v>
      </c>
      <c r="AD143" s="16" t="s">
        <v>1881</v>
      </c>
      <c r="AE143" s="16" t="s">
        <v>84</v>
      </c>
      <c r="AF143" s="16" t="s">
        <v>84</v>
      </c>
      <c r="AG143" s="16">
        <v>239</v>
      </c>
      <c r="AH143" s="16">
        <v>239</v>
      </c>
      <c r="AI143" s="17">
        <v>239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 t="s">
        <v>85</v>
      </c>
      <c r="AP143" s="16" t="s">
        <v>1882</v>
      </c>
      <c r="AQ143" s="16" t="s">
        <v>1883</v>
      </c>
      <c r="AR143" s="16" t="s">
        <v>88</v>
      </c>
      <c r="AS143" s="16" t="s">
        <v>1884</v>
      </c>
      <c r="AT143" s="16">
        <v>11.95</v>
      </c>
      <c r="AU143" s="16" t="s">
        <v>90</v>
      </c>
      <c r="AV143" s="16">
        <v>1.5</v>
      </c>
      <c r="AW143" s="16" t="s">
        <v>115</v>
      </c>
      <c r="AX143" s="16" t="s">
        <v>116</v>
      </c>
      <c r="AY143" s="16" t="s">
        <v>117</v>
      </c>
      <c r="AZ143" s="16" t="s">
        <v>118</v>
      </c>
      <c r="BA143" s="16" t="s">
        <v>119</v>
      </c>
      <c r="BB143" s="16">
        <v>0</v>
      </c>
      <c r="BC143" s="16" t="s">
        <v>84</v>
      </c>
      <c r="BD143" s="16" t="s">
        <v>90</v>
      </c>
      <c r="BE143" s="16" t="s">
        <v>1885</v>
      </c>
      <c r="BF143" s="16" t="s">
        <v>1886</v>
      </c>
      <c r="BG143" s="16" t="s">
        <v>1887</v>
      </c>
      <c r="BH143" s="16" t="s">
        <v>1888</v>
      </c>
      <c r="BI143" s="16" t="s">
        <v>1889</v>
      </c>
      <c r="BJ143" s="16">
        <v>239</v>
      </c>
      <c r="BK143" s="16">
        <v>239</v>
      </c>
      <c r="BL143" s="16">
        <v>239</v>
      </c>
      <c r="BM143" s="16" t="s">
        <v>96</v>
      </c>
      <c r="BN143" s="16">
        <v>1</v>
      </c>
      <c r="BO143" s="16" t="s">
        <v>84</v>
      </c>
      <c r="BP143" s="16" t="s">
        <v>84</v>
      </c>
      <c r="BQ143" s="16" t="s">
        <v>84</v>
      </c>
      <c r="BR143" s="16" t="s">
        <v>97</v>
      </c>
      <c r="BS143" s="16" t="s">
        <v>98</v>
      </c>
      <c r="BT143" s="16">
        <v>0</v>
      </c>
    </row>
    <row r="144" s="1" customFormat="1" ht="16" customHeight="1" spans="1:72">
      <c r="A144" s="14">
        <f t="shared" si="26"/>
        <v>2025</v>
      </c>
      <c r="B144" s="14">
        <f t="shared" si="27"/>
        <v>8</v>
      </c>
      <c r="C144" s="14" t="str">
        <f t="shared" si="28"/>
        <v>3729947008398405632</v>
      </c>
      <c r="D144" s="14" cm="1">
        <f t="array" ref="D144">SUMPRODUCT(($R$2:$R$374=C144)*1)</f>
        <v>1</v>
      </c>
      <c r="E144" s="14" cm="1">
        <f t="array" ref="E144">SUMPRODUCT(($R$2:R144=C144)*1)</f>
        <v>1</v>
      </c>
      <c r="F144" s="15" t="str">
        <f t="shared" si="29"/>
        <v>Z2281-条纹-L</v>
      </c>
      <c r="G144" s="14" t="str">
        <f t="shared" si="30"/>
        <v>Z2281</v>
      </c>
      <c r="H144" s="15">
        <f t="shared" si="31"/>
        <v>0</v>
      </c>
      <c r="I144" s="14">
        <f t="shared" si="32"/>
        <v>0</v>
      </c>
      <c r="J144" s="15">
        <f t="shared" si="33"/>
        <v>0</v>
      </c>
      <c r="K144" s="15">
        <f t="shared" si="34"/>
        <v>0</v>
      </c>
      <c r="L144" s="15">
        <f t="shared" si="35"/>
        <v>0</v>
      </c>
      <c r="M144" s="15">
        <f t="shared" si="36"/>
        <v>0</v>
      </c>
      <c r="N144" s="15">
        <f t="shared" si="37"/>
        <v>0</v>
      </c>
      <c r="O144" s="15">
        <f t="shared" si="38"/>
        <v>0</v>
      </c>
      <c r="R144" s="16" t="s">
        <v>1890</v>
      </c>
      <c r="S144" s="16" t="s">
        <v>1891</v>
      </c>
      <c r="T144" s="16" t="s">
        <v>1892</v>
      </c>
      <c r="U144" s="16" t="s">
        <v>90</v>
      </c>
      <c r="V144" s="16" t="s">
        <v>1893</v>
      </c>
      <c r="W144" s="16" t="s">
        <v>104</v>
      </c>
      <c r="X144" s="16" t="s">
        <v>77</v>
      </c>
      <c r="Y144" s="16" t="s">
        <v>1894</v>
      </c>
      <c r="Z144" s="16" t="s">
        <v>1777</v>
      </c>
      <c r="AA144" s="16" t="s">
        <v>1365</v>
      </c>
      <c r="AB144" s="16" t="s">
        <v>1366</v>
      </c>
      <c r="AC144" s="16" t="s">
        <v>1778</v>
      </c>
      <c r="AD144" s="16" t="s">
        <v>1895</v>
      </c>
      <c r="AE144" s="16" t="s">
        <v>84</v>
      </c>
      <c r="AF144" s="16" t="s">
        <v>1896</v>
      </c>
      <c r="AG144" s="16">
        <v>239</v>
      </c>
      <c r="AH144" s="16">
        <v>239</v>
      </c>
      <c r="AI144" s="17">
        <v>239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 t="s">
        <v>85</v>
      </c>
      <c r="AP144" s="16" t="s">
        <v>1897</v>
      </c>
      <c r="AQ144" s="16" t="s">
        <v>1898</v>
      </c>
      <c r="AR144" s="16" t="s">
        <v>88</v>
      </c>
      <c r="AS144" s="16" t="s">
        <v>1899</v>
      </c>
      <c r="AT144" s="16">
        <v>0</v>
      </c>
      <c r="AU144" s="16" t="s">
        <v>90</v>
      </c>
      <c r="AV144" s="16">
        <v>1.5</v>
      </c>
      <c r="AW144" s="16" t="s">
        <v>115</v>
      </c>
      <c r="AX144" s="16" t="s">
        <v>116</v>
      </c>
      <c r="AY144" s="16" t="s">
        <v>117</v>
      </c>
      <c r="AZ144" s="16" t="s">
        <v>118</v>
      </c>
      <c r="BA144" s="16" t="s">
        <v>119</v>
      </c>
      <c r="BB144" s="16">
        <v>0</v>
      </c>
      <c r="BC144" s="16" t="s">
        <v>84</v>
      </c>
      <c r="BD144" s="16" t="s">
        <v>90</v>
      </c>
      <c r="BE144" s="16" t="s">
        <v>1885</v>
      </c>
      <c r="BF144" s="16" t="s">
        <v>1886</v>
      </c>
      <c r="BG144" s="16" t="s">
        <v>1887</v>
      </c>
      <c r="BH144" s="16" t="s">
        <v>1900</v>
      </c>
      <c r="BI144" s="16" t="s">
        <v>1901</v>
      </c>
      <c r="BJ144" s="16">
        <v>239</v>
      </c>
      <c r="BK144" s="16">
        <v>239</v>
      </c>
      <c r="BL144" s="16">
        <v>239</v>
      </c>
      <c r="BM144" s="16" t="s">
        <v>96</v>
      </c>
      <c r="BN144" s="16">
        <v>1</v>
      </c>
      <c r="BO144" s="16" t="s">
        <v>84</v>
      </c>
      <c r="BP144" s="16" t="s">
        <v>84</v>
      </c>
      <c r="BQ144" s="16" t="s">
        <v>84</v>
      </c>
      <c r="BR144" s="16" t="s">
        <v>97</v>
      </c>
      <c r="BS144" s="16" t="s">
        <v>125</v>
      </c>
      <c r="BT144" s="16">
        <v>239</v>
      </c>
    </row>
    <row r="145" s="1" customFormat="1" ht="16" customHeight="1" spans="1:72">
      <c r="A145" s="14">
        <f t="shared" si="26"/>
        <v>2025</v>
      </c>
      <c r="B145" s="14">
        <f t="shared" si="27"/>
        <v>8</v>
      </c>
      <c r="C145" s="14" t="str">
        <f t="shared" si="28"/>
        <v>3729946801783842048</v>
      </c>
      <c r="D145" s="14" cm="1">
        <f t="array" ref="D145">SUMPRODUCT(($R$2:$R$374=C145)*1)</f>
        <v>1</v>
      </c>
      <c r="E145" s="14" cm="1">
        <f t="array" ref="E145">SUMPRODUCT(($R$2:R145=C145)*1)</f>
        <v>1</v>
      </c>
      <c r="F145" s="15" t="str">
        <f t="shared" si="29"/>
        <v>Z1741-白色-L</v>
      </c>
      <c r="G145" s="14" t="str">
        <f t="shared" si="30"/>
        <v>Z1741</v>
      </c>
      <c r="H145" s="15">
        <f t="shared" si="31"/>
        <v>1</v>
      </c>
      <c r="I145" s="14">
        <f t="shared" si="32"/>
        <v>269</v>
      </c>
      <c r="J145" s="15">
        <f t="shared" si="33"/>
        <v>0</v>
      </c>
      <c r="K145" s="15">
        <f t="shared" si="34"/>
        <v>0</v>
      </c>
      <c r="L145" s="15">
        <f t="shared" si="35"/>
        <v>-13.45</v>
      </c>
      <c r="M145" s="15">
        <f t="shared" si="36"/>
        <v>0</v>
      </c>
      <c r="N145" s="15">
        <f t="shared" si="37"/>
        <v>-1.5</v>
      </c>
      <c r="O145" s="15">
        <f t="shared" si="38"/>
        <v>254.05</v>
      </c>
      <c r="R145" s="16" t="s">
        <v>1902</v>
      </c>
      <c r="S145" s="16" t="s">
        <v>1903</v>
      </c>
      <c r="T145" s="16" t="s">
        <v>1904</v>
      </c>
      <c r="U145" s="16" t="s">
        <v>1905</v>
      </c>
      <c r="V145" s="16" t="s">
        <v>1906</v>
      </c>
      <c r="W145" s="16" t="s">
        <v>76</v>
      </c>
      <c r="X145" s="16" t="s">
        <v>77</v>
      </c>
      <c r="Y145" s="16" t="s">
        <v>1907</v>
      </c>
      <c r="Z145" s="16" t="s">
        <v>986</v>
      </c>
      <c r="AA145" s="16" t="s">
        <v>171</v>
      </c>
      <c r="AB145" s="16" t="s">
        <v>172</v>
      </c>
      <c r="AC145" s="16" t="s">
        <v>987</v>
      </c>
      <c r="AD145" s="16" t="s">
        <v>1908</v>
      </c>
      <c r="AE145" s="16" t="s">
        <v>84</v>
      </c>
      <c r="AF145" s="16" t="s">
        <v>84</v>
      </c>
      <c r="AG145" s="16">
        <v>269</v>
      </c>
      <c r="AH145" s="16">
        <v>269</v>
      </c>
      <c r="AI145" s="17">
        <v>269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 t="s">
        <v>85</v>
      </c>
      <c r="AP145" s="16" t="s">
        <v>1909</v>
      </c>
      <c r="AQ145" s="16" t="s">
        <v>1910</v>
      </c>
      <c r="AR145" s="16" t="s">
        <v>88</v>
      </c>
      <c r="AS145" s="16" t="s">
        <v>1911</v>
      </c>
      <c r="AT145" s="16">
        <v>13.45</v>
      </c>
      <c r="AU145" s="16" t="s">
        <v>90</v>
      </c>
      <c r="AV145" s="16">
        <v>1.5</v>
      </c>
      <c r="AW145" s="16" t="s">
        <v>115</v>
      </c>
      <c r="AX145" s="16" t="s">
        <v>116</v>
      </c>
      <c r="AY145" s="16" t="s">
        <v>117</v>
      </c>
      <c r="AZ145" s="16" t="s">
        <v>118</v>
      </c>
      <c r="BA145" s="16" t="s">
        <v>119</v>
      </c>
      <c r="BB145" s="16">
        <v>0</v>
      </c>
      <c r="BC145" s="16" t="s">
        <v>84</v>
      </c>
      <c r="BD145" s="16" t="s">
        <v>90</v>
      </c>
      <c r="BE145" s="16" t="s">
        <v>1212</v>
      </c>
      <c r="BF145" s="16" t="s">
        <v>1213</v>
      </c>
      <c r="BG145" s="16" t="s">
        <v>1214</v>
      </c>
      <c r="BH145" s="16" t="s">
        <v>1215</v>
      </c>
      <c r="BI145" s="16" t="s">
        <v>1216</v>
      </c>
      <c r="BJ145" s="16">
        <v>269</v>
      </c>
      <c r="BK145" s="16">
        <v>269</v>
      </c>
      <c r="BL145" s="16">
        <v>269</v>
      </c>
      <c r="BM145" s="16" t="s">
        <v>96</v>
      </c>
      <c r="BN145" s="16">
        <v>1</v>
      </c>
      <c r="BO145" s="16" t="s">
        <v>84</v>
      </c>
      <c r="BP145" s="16" t="s">
        <v>84</v>
      </c>
      <c r="BQ145" s="16" t="s">
        <v>84</v>
      </c>
      <c r="BR145" s="16" t="s">
        <v>97</v>
      </c>
      <c r="BS145" s="16" t="s">
        <v>98</v>
      </c>
      <c r="BT145" s="16">
        <v>0</v>
      </c>
    </row>
    <row r="146" s="1" customFormat="1" ht="16" customHeight="1" spans="1:72">
      <c r="A146" s="14">
        <f t="shared" si="26"/>
        <v>2025</v>
      </c>
      <c r="B146" s="14">
        <f t="shared" si="27"/>
        <v>8</v>
      </c>
      <c r="C146" s="14" t="str">
        <f t="shared" si="28"/>
        <v>3729946591347487488</v>
      </c>
      <c r="D146" s="14" cm="1">
        <f t="array" ref="D146">SUMPRODUCT(($R$2:$R$374=C146)*1)</f>
        <v>3</v>
      </c>
      <c r="E146" s="14" cm="1">
        <f t="array" ref="E146">SUMPRODUCT(($R$2:R146=C146)*1)</f>
        <v>1</v>
      </c>
      <c r="F146" s="15" t="str">
        <f t="shared" si="29"/>
        <v>Z2256-粉色-M</v>
      </c>
      <c r="G146" s="14" t="str">
        <f t="shared" si="30"/>
        <v>Z2256</v>
      </c>
      <c r="H146" s="15">
        <f t="shared" si="31"/>
        <v>0</v>
      </c>
      <c r="I146" s="14">
        <f t="shared" si="32"/>
        <v>0</v>
      </c>
      <c r="J146" s="15">
        <f t="shared" si="33"/>
        <v>0</v>
      </c>
      <c r="K146" s="15">
        <f t="shared" si="34"/>
        <v>0</v>
      </c>
      <c r="L146" s="15">
        <f t="shared" si="35"/>
        <v>-8.45</v>
      </c>
      <c r="M146" s="15">
        <f t="shared" si="36"/>
        <v>0</v>
      </c>
      <c r="N146" s="15">
        <f t="shared" si="37"/>
        <v>0</v>
      </c>
      <c r="O146" s="15">
        <f t="shared" si="38"/>
        <v>-8.45</v>
      </c>
      <c r="R146" s="16" t="s">
        <v>1912</v>
      </c>
      <c r="S146" s="16" t="s">
        <v>1913</v>
      </c>
      <c r="T146" s="16" t="s">
        <v>1914</v>
      </c>
      <c r="U146" s="16" t="s">
        <v>1915</v>
      </c>
      <c r="V146" s="16" t="s">
        <v>1916</v>
      </c>
      <c r="W146" s="16" t="s">
        <v>76</v>
      </c>
      <c r="X146" s="16" t="s">
        <v>77</v>
      </c>
      <c r="Y146" s="16" t="s">
        <v>1917</v>
      </c>
      <c r="Z146" s="16" t="s">
        <v>1918</v>
      </c>
      <c r="AA146" s="16" t="s">
        <v>430</v>
      </c>
      <c r="AB146" s="16" t="s">
        <v>430</v>
      </c>
      <c r="AC146" s="16" t="s">
        <v>1919</v>
      </c>
      <c r="AD146" s="16" t="s">
        <v>1920</v>
      </c>
      <c r="AE146" s="16" t="s">
        <v>84</v>
      </c>
      <c r="AF146" s="16" t="s">
        <v>1921</v>
      </c>
      <c r="AG146" s="16">
        <v>707</v>
      </c>
      <c r="AH146" s="16">
        <v>707</v>
      </c>
      <c r="AI146" s="17">
        <v>707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 t="s">
        <v>137</v>
      </c>
      <c r="AP146" s="16" t="s">
        <v>1922</v>
      </c>
      <c r="AQ146" s="16" t="s">
        <v>1923</v>
      </c>
      <c r="AR146" s="16" t="s">
        <v>88</v>
      </c>
      <c r="AS146" s="16" t="s">
        <v>1924</v>
      </c>
      <c r="AT146" s="16">
        <v>8.45</v>
      </c>
      <c r="AU146" s="16" t="s">
        <v>90</v>
      </c>
      <c r="AV146" s="16">
        <v>1.5</v>
      </c>
      <c r="AW146" s="16" t="s">
        <v>115</v>
      </c>
      <c r="AX146" s="16" t="s">
        <v>116</v>
      </c>
      <c r="AY146" s="16" t="s">
        <v>117</v>
      </c>
      <c r="AZ146" s="16" t="s">
        <v>118</v>
      </c>
      <c r="BA146" s="16" t="s">
        <v>119</v>
      </c>
      <c r="BB146" s="16">
        <v>0</v>
      </c>
      <c r="BC146" s="16" t="s">
        <v>84</v>
      </c>
      <c r="BD146" s="16" t="s">
        <v>90</v>
      </c>
      <c r="BE146" s="16" t="s">
        <v>1925</v>
      </c>
      <c r="BF146" s="16" t="s">
        <v>1926</v>
      </c>
      <c r="BG146" s="16" t="s">
        <v>1927</v>
      </c>
      <c r="BH146" s="16" t="s">
        <v>1928</v>
      </c>
      <c r="BI146" s="16" t="s">
        <v>1929</v>
      </c>
      <c r="BJ146" s="16">
        <v>299</v>
      </c>
      <c r="BK146" s="16">
        <v>299</v>
      </c>
      <c r="BL146" s="16">
        <v>299</v>
      </c>
      <c r="BM146" s="16" t="s">
        <v>96</v>
      </c>
      <c r="BN146" s="16">
        <v>1</v>
      </c>
      <c r="BO146" s="16" t="s">
        <v>84</v>
      </c>
      <c r="BP146" s="16" t="s">
        <v>84</v>
      </c>
      <c r="BQ146" s="16" t="s">
        <v>84</v>
      </c>
      <c r="BR146" s="16" t="s">
        <v>97</v>
      </c>
      <c r="BS146" s="16" t="s">
        <v>125</v>
      </c>
      <c r="BT146" s="16">
        <v>299</v>
      </c>
    </row>
    <row r="147" s="1" customFormat="1" ht="16" customHeight="1" spans="1:72">
      <c r="A147" s="14">
        <f t="shared" si="26"/>
        <v>2025</v>
      </c>
      <c r="B147" s="14">
        <f t="shared" si="27"/>
        <v>8</v>
      </c>
      <c r="C147" s="14" t="str">
        <f t="shared" si="28"/>
        <v>3729946591347487488</v>
      </c>
      <c r="D147" s="14" cm="1">
        <f t="array" ref="D147">SUMPRODUCT(($R$2:$R$374=C147)*1)</f>
        <v>3</v>
      </c>
      <c r="E147" s="14" cm="1">
        <f t="array" ref="E147">SUMPRODUCT(($R$2:R147=C147)*1)</f>
        <v>2</v>
      </c>
      <c r="F147" s="15" t="str">
        <f t="shared" si="29"/>
        <v>Z2333-米白色-S</v>
      </c>
      <c r="G147" s="14" t="str">
        <f t="shared" si="30"/>
        <v>Z2333</v>
      </c>
      <c r="H147" s="15">
        <f t="shared" si="31"/>
        <v>1</v>
      </c>
      <c r="I147" s="14">
        <f t="shared" si="32"/>
        <v>169</v>
      </c>
      <c r="J147" s="15">
        <f t="shared" si="33"/>
        <v>0</v>
      </c>
      <c r="K147" s="15">
        <f t="shared" si="34"/>
        <v>0</v>
      </c>
      <c r="L147" s="15">
        <f t="shared" si="35"/>
        <v>0</v>
      </c>
      <c r="M147" s="15">
        <f t="shared" si="36"/>
        <v>0</v>
      </c>
      <c r="N147" s="15">
        <f t="shared" si="37"/>
        <v>0</v>
      </c>
      <c r="O147" s="15">
        <f t="shared" si="38"/>
        <v>169</v>
      </c>
      <c r="R147" s="16" t="s">
        <v>1912</v>
      </c>
      <c r="S147" s="16" t="s">
        <v>1913</v>
      </c>
      <c r="T147" s="16" t="s">
        <v>1914</v>
      </c>
      <c r="U147" s="16" t="s">
        <v>1915</v>
      </c>
      <c r="V147" s="16" t="s">
        <v>1916</v>
      </c>
      <c r="W147" s="16" t="s">
        <v>76</v>
      </c>
      <c r="X147" s="16" t="s">
        <v>77</v>
      </c>
      <c r="Y147" s="16" t="s">
        <v>1917</v>
      </c>
      <c r="Z147" s="16" t="s">
        <v>1918</v>
      </c>
      <c r="AA147" s="16" t="s">
        <v>430</v>
      </c>
      <c r="AB147" s="16" t="s">
        <v>430</v>
      </c>
      <c r="AC147" s="16" t="s">
        <v>1919</v>
      </c>
      <c r="AD147" s="16" t="s">
        <v>1920</v>
      </c>
      <c r="AE147" s="16" t="s">
        <v>84</v>
      </c>
      <c r="AF147" s="16" t="s">
        <v>1921</v>
      </c>
      <c r="AG147" s="16">
        <v>707</v>
      </c>
      <c r="AH147" s="16">
        <v>707</v>
      </c>
      <c r="AI147" s="17">
        <v>707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 t="s">
        <v>137</v>
      </c>
      <c r="AP147" s="16" t="s">
        <v>1922</v>
      </c>
      <c r="AQ147" s="16" t="s">
        <v>1923</v>
      </c>
      <c r="AR147" s="16" t="s">
        <v>88</v>
      </c>
      <c r="AS147" s="16" t="s">
        <v>1930</v>
      </c>
      <c r="AT147" s="16">
        <v>8.45</v>
      </c>
      <c r="AU147" s="16" t="s">
        <v>90</v>
      </c>
      <c r="AV147" s="16">
        <v>1.5</v>
      </c>
      <c r="AW147" s="16" t="s">
        <v>115</v>
      </c>
      <c r="AX147" s="16" t="s">
        <v>116</v>
      </c>
      <c r="AY147" s="16" t="s">
        <v>117</v>
      </c>
      <c r="AZ147" s="16" t="s">
        <v>118</v>
      </c>
      <c r="BA147" s="16" t="s">
        <v>119</v>
      </c>
      <c r="BB147" s="16">
        <v>0</v>
      </c>
      <c r="BC147" s="16" t="s">
        <v>84</v>
      </c>
      <c r="BD147" s="16" t="s">
        <v>90</v>
      </c>
      <c r="BE147" s="16" t="s">
        <v>1735</v>
      </c>
      <c r="BF147" s="16" t="s">
        <v>1736</v>
      </c>
      <c r="BG147" s="16" t="s">
        <v>1737</v>
      </c>
      <c r="BH147" s="16" t="s">
        <v>1931</v>
      </c>
      <c r="BI147" s="16" t="s">
        <v>1932</v>
      </c>
      <c r="BJ147" s="16">
        <v>169</v>
      </c>
      <c r="BK147" s="16">
        <v>169</v>
      </c>
      <c r="BL147" s="16">
        <v>169</v>
      </c>
      <c r="BM147" s="16" t="s">
        <v>96</v>
      </c>
      <c r="BN147" s="16">
        <v>1</v>
      </c>
      <c r="BO147" s="16" t="s">
        <v>84</v>
      </c>
      <c r="BP147" s="16" t="s">
        <v>84</v>
      </c>
      <c r="BQ147" s="16" t="s">
        <v>84</v>
      </c>
      <c r="BR147" s="16" t="s">
        <v>97</v>
      </c>
      <c r="BS147" s="16"/>
      <c r="BT147" s="16">
        <v>0</v>
      </c>
    </row>
    <row r="148" s="1" customFormat="1" ht="16" customHeight="1" spans="1:72">
      <c r="A148" s="14">
        <f t="shared" si="26"/>
        <v>2025</v>
      </c>
      <c r="B148" s="14">
        <f t="shared" si="27"/>
        <v>8</v>
      </c>
      <c r="C148" s="14" t="str">
        <f t="shared" si="28"/>
        <v>3729946591347487488</v>
      </c>
      <c r="D148" s="14" cm="1">
        <f t="array" ref="D148">SUMPRODUCT(($R$2:$R$374=C148)*1)</f>
        <v>3</v>
      </c>
      <c r="E148" s="14" cm="1">
        <f t="array" ref="E148">SUMPRODUCT(($R$2:R148=C148)*1)</f>
        <v>3</v>
      </c>
      <c r="F148" s="15" t="str">
        <f t="shared" si="29"/>
        <v>Z2281-条纹-S</v>
      </c>
      <c r="G148" s="14" t="str">
        <f t="shared" si="30"/>
        <v>Z2281</v>
      </c>
      <c r="H148" s="15">
        <f t="shared" si="31"/>
        <v>0</v>
      </c>
      <c r="I148" s="14">
        <f t="shared" si="32"/>
        <v>0</v>
      </c>
      <c r="J148" s="15">
        <f t="shared" si="33"/>
        <v>0</v>
      </c>
      <c r="K148" s="15">
        <f t="shared" si="34"/>
        <v>0</v>
      </c>
      <c r="L148" s="15">
        <f t="shared" si="35"/>
        <v>0</v>
      </c>
      <c r="M148" s="15">
        <f t="shared" si="36"/>
        <v>0</v>
      </c>
      <c r="N148" s="15">
        <f t="shared" si="37"/>
        <v>0</v>
      </c>
      <c r="O148" s="15">
        <f t="shared" si="38"/>
        <v>0</v>
      </c>
      <c r="R148" s="16" t="s">
        <v>1912</v>
      </c>
      <c r="S148" s="16" t="s">
        <v>1913</v>
      </c>
      <c r="T148" s="16" t="s">
        <v>1914</v>
      </c>
      <c r="U148" s="16" t="s">
        <v>1915</v>
      </c>
      <c r="V148" s="16" t="s">
        <v>1916</v>
      </c>
      <c r="W148" s="16" t="s">
        <v>76</v>
      </c>
      <c r="X148" s="16" t="s">
        <v>77</v>
      </c>
      <c r="Y148" s="16" t="s">
        <v>1917</v>
      </c>
      <c r="Z148" s="16" t="s">
        <v>1918</v>
      </c>
      <c r="AA148" s="16" t="s">
        <v>430</v>
      </c>
      <c r="AB148" s="16" t="s">
        <v>430</v>
      </c>
      <c r="AC148" s="16" t="s">
        <v>1919</v>
      </c>
      <c r="AD148" s="16" t="s">
        <v>1920</v>
      </c>
      <c r="AE148" s="16" t="s">
        <v>84</v>
      </c>
      <c r="AF148" s="16" t="s">
        <v>1921</v>
      </c>
      <c r="AG148" s="16">
        <v>707</v>
      </c>
      <c r="AH148" s="16">
        <v>707</v>
      </c>
      <c r="AI148" s="17">
        <v>707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 t="s">
        <v>137</v>
      </c>
      <c r="AP148" s="16" t="s">
        <v>1922</v>
      </c>
      <c r="AQ148" s="16" t="s">
        <v>1923</v>
      </c>
      <c r="AR148" s="16" t="s">
        <v>88</v>
      </c>
      <c r="AS148" s="16" t="s">
        <v>1933</v>
      </c>
      <c r="AT148" s="16">
        <v>8.45</v>
      </c>
      <c r="AU148" s="16" t="s">
        <v>90</v>
      </c>
      <c r="AV148" s="16">
        <v>1.5</v>
      </c>
      <c r="AW148" s="16" t="s">
        <v>115</v>
      </c>
      <c r="AX148" s="16" t="s">
        <v>116</v>
      </c>
      <c r="AY148" s="16" t="s">
        <v>117</v>
      </c>
      <c r="AZ148" s="16" t="s">
        <v>118</v>
      </c>
      <c r="BA148" s="16" t="s">
        <v>119</v>
      </c>
      <c r="BB148" s="16">
        <v>0</v>
      </c>
      <c r="BC148" s="16" t="s">
        <v>84</v>
      </c>
      <c r="BD148" s="16" t="s">
        <v>90</v>
      </c>
      <c r="BE148" s="16" t="s">
        <v>1885</v>
      </c>
      <c r="BF148" s="16" t="s">
        <v>1886</v>
      </c>
      <c r="BG148" s="16" t="s">
        <v>1887</v>
      </c>
      <c r="BH148" s="16" t="s">
        <v>1934</v>
      </c>
      <c r="BI148" s="16" t="s">
        <v>523</v>
      </c>
      <c r="BJ148" s="16">
        <v>239</v>
      </c>
      <c r="BK148" s="16">
        <v>239</v>
      </c>
      <c r="BL148" s="16">
        <v>239</v>
      </c>
      <c r="BM148" s="16" t="s">
        <v>96</v>
      </c>
      <c r="BN148" s="16">
        <v>1</v>
      </c>
      <c r="BO148" s="16" t="s">
        <v>84</v>
      </c>
      <c r="BP148" s="16" t="s">
        <v>84</v>
      </c>
      <c r="BQ148" s="16" t="s">
        <v>84</v>
      </c>
      <c r="BR148" s="16" t="s">
        <v>97</v>
      </c>
      <c r="BS148" s="16" t="s">
        <v>125</v>
      </c>
      <c r="BT148" s="16">
        <v>239</v>
      </c>
    </row>
    <row r="149" s="1" customFormat="1" ht="16" customHeight="1" spans="1:72">
      <c r="A149" s="14">
        <f t="shared" si="26"/>
        <v>2025</v>
      </c>
      <c r="B149" s="14">
        <f t="shared" si="27"/>
        <v>8</v>
      </c>
      <c r="C149" s="14" t="str">
        <f t="shared" si="28"/>
        <v>3729946161450198528</v>
      </c>
      <c r="D149" s="14" cm="1">
        <f t="array" ref="D149">SUMPRODUCT(($R$2:$R$374=C149)*1)</f>
        <v>1</v>
      </c>
      <c r="E149" s="14" cm="1">
        <f t="array" ref="E149">SUMPRODUCT(($R$2:R149=C149)*1)</f>
        <v>1</v>
      </c>
      <c r="F149" s="15" t="str">
        <f t="shared" si="29"/>
        <v>Z2183-黑色-L</v>
      </c>
      <c r="G149" s="14" t="str">
        <f t="shared" si="30"/>
        <v>Z2183</v>
      </c>
      <c r="H149" s="15">
        <f t="shared" si="31"/>
        <v>1</v>
      </c>
      <c r="I149" s="14">
        <f t="shared" si="32"/>
        <v>129</v>
      </c>
      <c r="J149" s="15">
        <f t="shared" si="33"/>
        <v>0</v>
      </c>
      <c r="K149" s="15">
        <f t="shared" si="34"/>
        <v>0</v>
      </c>
      <c r="L149" s="15">
        <f t="shared" si="35"/>
        <v>-6.45</v>
      </c>
      <c r="M149" s="15">
        <f t="shared" si="36"/>
        <v>0</v>
      </c>
      <c r="N149" s="15">
        <f t="shared" si="37"/>
        <v>-1.5</v>
      </c>
      <c r="O149" s="15">
        <f t="shared" si="38"/>
        <v>121.05</v>
      </c>
      <c r="R149" s="16" t="s">
        <v>1935</v>
      </c>
      <c r="S149" s="16" t="s">
        <v>1936</v>
      </c>
      <c r="T149" s="16" t="s">
        <v>1937</v>
      </c>
      <c r="U149" s="16" t="s">
        <v>1938</v>
      </c>
      <c r="V149" s="16" t="s">
        <v>1939</v>
      </c>
      <c r="W149" s="16" t="s">
        <v>76</v>
      </c>
      <c r="X149" s="16" t="s">
        <v>77</v>
      </c>
      <c r="Y149" s="16" t="s">
        <v>1940</v>
      </c>
      <c r="Z149" s="16" t="s">
        <v>1941</v>
      </c>
      <c r="AA149" s="16" t="s">
        <v>884</v>
      </c>
      <c r="AB149" s="16" t="s">
        <v>1942</v>
      </c>
      <c r="AC149" s="16" t="s">
        <v>1943</v>
      </c>
      <c r="AD149" s="16" t="s">
        <v>1944</v>
      </c>
      <c r="AE149" s="16" t="s">
        <v>84</v>
      </c>
      <c r="AF149" s="16" t="s">
        <v>84</v>
      </c>
      <c r="AG149" s="16">
        <v>129</v>
      </c>
      <c r="AH149" s="16">
        <v>129</v>
      </c>
      <c r="AI149" s="17">
        <v>129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 t="s">
        <v>85</v>
      </c>
      <c r="AP149" s="16" t="s">
        <v>1945</v>
      </c>
      <c r="AQ149" s="16" t="s">
        <v>1946</v>
      </c>
      <c r="AR149" s="16" t="s">
        <v>88</v>
      </c>
      <c r="AS149" s="16" t="s">
        <v>1947</v>
      </c>
      <c r="AT149" s="16">
        <v>6.45</v>
      </c>
      <c r="AU149" s="16" t="s">
        <v>90</v>
      </c>
      <c r="AV149" s="16">
        <v>1.5</v>
      </c>
      <c r="AW149" s="16" t="s">
        <v>115</v>
      </c>
      <c r="AX149" s="16" t="s">
        <v>116</v>
      </c>
      <c r="AY149" s="16" t="s">
        <v>117</v>
      </c>
      <c r="AZ149" s="16" t="s">
        <v>118</v>
      </c>
      <c r="BA149" s="16" t="s">
        <v>119</v>
      </c>
      <c r="BB149" s="16">
        <v>0</v>
      </c>
      <c r="BC149" s="16" t="s">
        <v>84</v>
      </c>
      <c r="BD149" s="16" t="s">
        <v>90</v>
      </c>
      <c r="BE149" s="16" t="s">
        <v>610</v>
      </c>
      <c r="BF149" s="16" t="s">
        <v>611</v>
      </c>
      <c r="BG149" s="16" t="s">
        <v>612</v>
      </c>
      <c r="BH149" s="16" t="s">
        <v>1174</v>
      </c>
      <c r="BI149" s="16" t="s">
        <v>1175</v>
      </c>
      <c r="BJ149" s="16">
        <v>129</v>
      </c>
      <c r="BK149" s="16">
        <v>129</v>
      </c>
      <c r="BL149" s="16">
        <v>129</v>
      </c>
      <c r="BM149" s="16" t="s">
        <v>96</v>
      </c>
      <c r="BN149" s="16">
        <v>1</v>
      </c>
      <c r="BO149" s="16" t="s">
        <v>84</v>
      </c>
      <c r="BP149" s="16" t="s">
        <v>84</v>
      </c>
      <c r="BQ149" s="16" t="s">
        <v>84</v>
      </c>
      <c r="BR149" s="16" t="s">
        <v>97</v>
      </c>
      <c r="BS149" s="16" t="s">
        <v>98</v>
      </c>
      <c r="BT149" s="16">
        <v>0</v>
      </c>
    </row>
    <row r="150" s="1" customFormat="1" ht="16" customHeight="1" spans="1:72">
      <c r="A150" s="14">
        <f t="shared" si="26"/>
        <v>2025</v>
      </c>
      <c r="B150" s="14">
        <f t="shared" si="27"/>
        <v>8</v>
      </c>
      <c r="C150" s="14" t="str">
        <f t="shared" si="28"/>
        <v>3729945912636218368</v>
      </c>
      <c r="D150" s="14" cm="1">
        <f t="array" ref="D150">SUMPRODUCT(($R$2:$R$374=C150)*1)</f>
        <v>1</v>
      </c>
      <c r="E150" s="14" cm="1">
        <f t="array" ref="E150">SUMPRODUCT(($R$2:R150=C150)*1)</f>
        <v>1</v>
      </c>
      <c r="F150" s="15" t="str">
        <f t="shared" si="29"/>
        <v>Z2183-米白色-M</v>
      </c>
      <c r="G150" s="14" t="str">
        <f t="shared" si="30"/>
        <v>Z2183</v>
      </c>
      <c r="H150" s="15">
        <f t="shared" si="31"/>
        <v>1</v>
      </c>
      <c r="I150" s="14">
        <f t="shared" si="32"/>
        <v>129</v>
      </c>
      <c r="J150" s="15">
        <f t="shared" si="33"/>
        <v>0</v>
      </c>
      <c r="K150" s="15">
        <f t="shared" si="34"/>
        <v>0</v>
      </c>
      <c r="L150" s="15">
        <f t="shared" si="35"/>
        <v>-6.45</v>
      </c>
      <c r="M150" s="15">
        <f t="shared" si="36"/>
        <v>0</v>
      </c>
      <c r="N150" s="15">
        <f t="shared" si="37"/>
        <v>-1.5</v>
      </c>
      <c r="O150" s="15">
        <f t="shared" si="38"/>
        <v>121.05</v>
      </c>
      <c r="R150" s="16" t="s">
        <v>1948</v>
      </c>
      <c r="S150" s="16" t="s">
        <v>1949</v>
      </c>
      <c r="T150" s="16" t="s">
        <v>1950</v>
      </c>
      <c r="U150" s="16" t="s">
        <v>1951</v>
      </c>
      <c r="V150" s="16" t="s">
        <v>1952</v>
      </c>
      <c r="W150" s="16" t="s">
        <v>76</v>
      </c>
      <c r="X150" s="16" t="s">
        <v>77</v>
      </c>
      <c r="Y150" s="16" t="s">
        <v>1953</v>
      </c>
      <c r="Z150" s="16" t="s">
        <v>1954</v>
      </c>
      <c r="AA150" s="16" t="s">
        <v>1405</v>
      </c>
      <c r="AB150" s="16" t="s">
        <v>1955</v>
      </c>
      <c r="AC150" s="16" t="s">
        <v>1956</v>
      </c>
      <c r="AD150" s="16" t="s">
        <v>1957</v>
      </c>
      <c r="AE150" s="16" t="s">
        <v>84</v>
      </c>
      <c r="AF150" s="16" t="s">
        <v>84</v>
      </c>
      <c r="AG150" s="16">
        <v>129</v>
      </c>
      <c r="AH150" s="16">
        <v>129</v>
      </c>
      <c r="AI150" s="17">
        <v>129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 t="s">
        <v>85</v>
      </c>
      <c r="AP150" s="16" t="s">
        <v>1958</v>
      </c>
      <c r="AQ150" s="16" t="s">
        <v>1959</v>
      </c>
      <c r="AR150" s="16" t="s">
        <v>88</v>
      </c>
      <c r="AS150" s="16" t="s">
        <v>1960</v>
      </c>
      <c r="AT150" s="16">
        <v>6.45</v>
      </c>
      <c r="AU150" s="16" t="s">
        <v>90</v>
      </c>
      <c r="AV150" s="16">
        <v>1.5</v>
      </c>
      <c r="AW150" s="16" t="s">
        <v>115</v>
      </c>
      <c r="AX150" s="16" t="s">
        <v>116</v>
      </c>
      <c r="AY150" s="16" t="s">
        <v>117</v>
      </c>
      <c r="AZ150" s="16" t="s">
        <v>118</v>
      </c>
      <c r="BA150" s="16" t="s">
        <v>119</v>
      </c>
      <c r="BB150" s="16">
        <v>0</v>
      </c>
      <c r="BC150" s="16" t="s">
        <v>84</v>
      </c>
      <c r="BD150" s="16" t="s">
        <v>90</v>
      </c>
      <c r="BE150" s="16" t="s">
        <v>610</v>
      </c>
      <c r="BF150" s="16" t="s">
        <v>611</v>
      </c>
      <c r="BG150" s="16" t="s">
        <v>612</v>
      </c>
      <c r="BH150" s="16" t="s">
        <v>1141</v>
      </c>
      <c r="BI150" s="16" t="s">
        <v>1142</v>
      </c>
      <c r="BJ150" s="16">
        <v>129</v>
      </c>
      <c r="BK150" s="16">
        <v>129</v>
      </c>
      <c r="BL150" s="16">
        <v>129</v>
      </c>
      <c r="BM150" s="16" t="s">
        <v>96</v>
      </c>
      <c r="BN150" s="16">
        <v>1</v>
      </c>
      <c r="BO150" s="16" t="s">
        <v>84</v>
      </c>
      <c r="BP150" s="16" t="s">
        <v>84</v>
      </c>
      <c r="BQ150" s="16" t="s">
        <v>84</v>
      </c>
      <c r="BR150" s="16" t="s">
        <v>97</v>
      </c>
      <c r="BS150" s="16" t="s">
        <v>98</v>
      </c>
      <c r="BT150" s="16">
        <v>0</v>
      </c>
    </row>
    <row r="151" s="1" customFormat="1" ht="16" customHeight="1" spans="1:72">
      <c r="A151" s="14">
        <f t="shared" si="26"/>
        <v>2025</v>
      </c>
      <c r="B151" s="14">
        <f t="shared" si="27"/>
        <v>8</v>
      </c>
      <c r="C151" s="14" t="str">
        <f t="shared" si="28"/>
        <v>3729945388315719168</v>
      </c>
      <c r="D151" s="14" cm="1">
        <f t="array" ref="D151">SUMPRODUCT(($R$2:$R$374=C151)*1)</f>
        <v>1</v>
      </c>
      <c r="E151" s="14" cm="1">
        <f t="array" ref="E151">SUMPRODUCT(($R$2:R151=C151)*1)</f>
        <v>1</v>
      </c>
      <c r="F151" s="15" t="str">
        <f t="shared" si="29"/>
        <v>Z2140-杏色-S</v>
      </c>
      <c r="G151" s="14" t="str">
        <f t="shared" si="30"/>
        <v>Z2140</v>
      </c>
      <c r="H151" s="15">
        <f t="shared" si="31"/>
        <v>1</v>
      </c>
      <c r="I151" s="14">
        <f t="shared" si="32"/>
        <v>189</v>
      </c>
      <c r="J151" s="15">
        <f t="shared" si="33"/>
        <v>0</v>
      </c>
      <c r="K151" s="15">
        <f t="shared" si="34"/>
        <v>0</v>
      </c>
      <c r="L151" s="15">
        <f t="shared" si="35"/>
        <v>-1.89</v>
      </c>
      <c r="M151" s="15">
        <f t="shared" si="36"/>
        <v>0</v>
      </c>
      <c r="N151" s="15">
        <f t="shared" si="37"/>
        <v>-1.5</v>
      </c>
      <c r="O151" s="15">
        <f t="shared" si="38"/>
        <v>185.61</v>
      </c>
      <c r="R151" s="16" t="s">
        <v>1961</v>
      </c>
      <c r="S151" s="16" t="s">
        <v>1962</v>
      </c>
      <c r="T151" s="16" t="s">
        <v>1963</v>
      </c>
      <c r="U151" s="16" t="s">
        <v>1964</v>
      </c>
      <c r="V151" s="16" t="s">
        <v>1965</v>
      </c>
      <c r="W151" s="16" t="s">
        <v>76</v>
      </c>
      <c r="X151" s="16" t="s">
        <v>77</v>
      </c>
      <c r="Y151" s="16" t="s">
        <v>1966</v>
      </c>
      <c r="Z151" s="16" t="s">
        <v>1967</v>
      </c>
      <c r="AA151" s="16" t="s">
        <v>80</v>
      </c>
      <c r="AB151" s="16" t="s">
        <v>655</v>
      </c>
      <c r="AC151" s="16" t="s">
        <v>1968</v>
      </c>
      <c r="AD151" s="16" t="s">
        <v>1969</v>
      </c>
      <c r="AE151" s="16" t="s">
        <v>84</v>
      </c>
      <c r="AF151" s="16" t="s">
        <v>84</v>
      </c>
      <c r="AG151" s="16">
        <v>189</v>
      </c>
      <c r="AH151" s="16">
        <v>189</v>
      </c>
      <c r="AI151" s="17">
        <v>189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 t="s">
        <v>137</v>
      </c>
      <c r="AP151" s="16" t="s">
        <v>1970</v>
      </c>
      <c r="AQ151" s="16" t="s">
        <v>1971</v>
      </c>
      <c r="AR151" s="16" t="s">
        <v>88</v>
      </c>
      <c r="AS151" s="16" t="s">
        <v>1972</v>
      </c>
      <c r="AT151" s="16">
        <v>1.89</v>
      </c>
      <c r="AU151" s="16" t="s">
        <v>90</v>
      </c>
      <c r="AV151" s="16">
        <v>1.5</v>
      </c>
      <c r="AW151" s="16" t="s">
        <v>90</v>
      </c>
      <c r="AX151" s="16" t="s">
        <v>90</v>
      </c>
      <c r="AY151" s="16" t="s">
        <v>90</v>
      </c>
      <c r="AZ151" s="16" t="s">
        <v>90</v>
      </c>
      <c r="BA151" s="16" t="s">
        <v>90</v>
      </c>
      <c r="BB151" s="16">
        <v>0</v>
      </c>
      <c r="BC151" s="16"/>
      <c r="BD151" s="16" t="s">
        <v>90</v>
      </c>
      <c r="BE151" s="16" t="s">
        <v>1973</v>
      </c>
      <c r="BF151" s="16" t="s">
        <v>1974</v>
      </c>
      <c r="BG151" s="16" t="s">
        <v>1975</v>
      </c>
      <c r="BH151" s="16" t="s">
        <v>1976</v>
      </c>
      <c r="BI151" s="16" t="s">
        <v>1977</v>
      </c>
      <c r="BJ151" s="16">
        <v>189</v>
      </c>
      <c r="BK151" s="16">
        <v>189</v>
      </c>
      <c r="BL151" s="16">
        <v>189</v>
      </c>
      <c r="BM151" s="16" t="s">
        <v>96</v>
      </c>
      <c r="BN151" s="16">
        <v>1</v>
      </c>
      <c r="BO151" s="16" t="s">
        <v>84</v>
      </c>
      <c r="BP151" s="16" t="s">
        <v>84</v>
      </c>
      <c r="BQ151" s="16" t="s">
        <v>84</v>
      </c>
      <c r="BR151" s="16" t="s">
        <v>97</v>
      </c>
      <c r="BS151" s="16" t="s">
        <v>1018</v>
      </c>
      <c r="BT151" s="16">
        <v>0</v>
      </c>
    </row>
    <row r="152" s="1" customFormat="1" ht="16" customHeight="1" spans="1:72">
      <c r="A152" s="14">
        <f t="shared" si="26"/>
        <v>2025</v>
      </c>
      <c r="B152" s="14">
        <f t="shared" si="27"/>
        <v>8</v>
      </c>
      <c r="C152" s="14" t="str">
        <f t="shared" si="28"/>
        <v>3729943977617666816</v>
      </c>
      <c r="D152" s="14" cm="1">
        <f t="array" ref="D152">SUMPRODUCT(($R$2:$R$374=C152)*1)</f>
        <v>1</v>
      </c>
      <c r="E152" s="14" cm="1">
        <f t="array" ref="E152">SUMPRODUCT(($R$2:R152=C152)*1)</f>
        <v>1</v>
      </c>
      <c r="F152" s="15" t="str">
        <f t="shared" si="29"/>
        <v>Z1640-黑色-S</v>
      </c>
      <c r="G152" s="14" t="str">
        <f t="shared" si="30"/>
        <v>Z1640</v>
      </c>
      <c r="H152" s="15">
        <f t="shared" si="31"/>
        <v>1</v>
      </c>
      <c r="I152" s="14">
        <f t="shared" si="32"/>
        <v>289</v>
      </c>
      <c r="J152" s="15">
        <f t="shared" si="33"/>
        <v>0</v>
      </c>
      <c r="K152" s="15">
        <f t="shared" si="34"/>
        <v>0</v>
      </c>
      <c r="L152" s="15">
        <f t="shared" si="35"/>
        <v>-14.45</v>
      </c>
      <c r="M152" s="15">
        <f t="shared" si="36"/>
        <v>0</v>
      </c>
      <c r="N152" s="15">
        <f t="shared" si="37"/>
        <v>-1.5</v>
      </c>
      <c r="O152" s="15">
        <f t="shared" si="38"/>
        <v>273.05</v>
      </c>
      <c r="R152" s="16" t="s">
        <v>1978</v>
      </c>
      <c r="S152" s="16" t="s">
        <v>1979</v>
      </c>
      <c r="T152" s="16" t="s">
        <v>1555</v>
      </c>
      <c r="U152" s="16" t="s">
        <v>1980</v>
      </c>
      <c r="V152" s="16" t="s">
        <v>1981</v>
      </c>
      <c r="W152" s="16" t="s">
        <v>76</v>
      </c>
      <c r="X152" s="16" t="s">
        <v>77</v>
      </c>
      <c r="Y152" s="16" t="s">
        <v>260</v>
      </c>
      <c r="Z152" s="16" t="s">
        <v>678</v>
      </c>
      <c r="AA152" s="16" t="s">
        <v>107</v>
      </c>
      <c r="AB152" s="16" t="s">
        <v>108</v>
      </c>
      <c r="AC152" s="16" t="s">
        <v>679</v>
      </c>
      <c r="AD152" s="16" t="s">
        <v>1982</v>
      </c>
      <c r="AE152" s="16" t="s">
        <v>84</v>
      </c>
      <c r="AF152" s="16" t="s">
        <v>84</v>
      </c>
      <c r="AG152" s="16">
        <v>289</v>
      </c>
      <c r="AH152" s="16">
        <v>289</v>
      </c>
      <c r="AI152" s="17">
        <v>289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 t="s">
        <v>85</v>
      </c>
      <c r="AP152" s="16" t="s">
        <v>1983</v>
      </c>
      <c r="AQ152" s="16" t="s">
        <v>1984</v>
      </c>
      <c r="AR152" s="16" t="s">
        <v>88</v>
      </c>
      <c r="AS152" s="16" t="s">
        <v>1985</v>
      </c>
      <c r="AT152" s="16">
        <v>14.45</v>
      </c>
      <c r="AU152" s="16" t="s">
        <v>90</v>
      </c>
      <c r="AV152" s="16">
        <v>1.5</v>
      </c>
      <c r="AW152" s="16" t="s">
        <v>115</v>
      </c>
      <c r="AX152" s="16" t="s">
        <v>116</v>
      </c>
      <c r="AY152" s="16" t="s">
        <v>117</v>
      </c>
      <c r="AZ152" s="16" t="s">
        <v>118</v>
      </c>
      <c r="BA152" s="16" t="s">
        <v>119</v>
      </c>
      <c r="BB152" s="16">
        <v>0</v>
      </c>
      <c r="BC152" s="16" t="s">
        <v>84</v>
      </c>
      <c r="BD152" s="16" t="s">
        <v>90</v>
      </c>
      <c r="BE152" s="16" t="s">
        <v>1128</v>
      </c>
      <c r="BF152" s="16" t="s">
        <v>1129</v>
      </c>
      <c r="BG152" s="16" t="s">
        <v>1130</v>
      </c>
      <c r="BH152" s="16" t="s">
        <v>1986</v>
      </c>
      <c r="BI152" s="16" t="s">
        <v>377</v>
      </c>
      <c r="BJ152" s="16">
        <v>289</v>
      </c>
      <c r="BK152" s="16">
        <v>289</v>
      </c>
      <c r="BL152" s="16">
        <v>289</v>
      </c>
      <c r="BM152" s="16" t="s">
        <v>96</v>
      </c>
      <c r="BN152" s="16">
        <v>1</v>
      </c>
      <c r="BO152" s="16" t="s">
        <v>84</v>
      </c>
      <c r="BP152" s="16" t="s">
        <v>84</v>
      </c>
      <c r="BQ152" s="16" t="s">
        <v>84</v>
      </c>
      <c r="BR152" s="16" t="s">
        <v>97</v>
      </c>
      <c r="BS152" s="16" t="s">
        <v>98</v>
      </c>
      <c r="BT152" s="16">
        <v>0</v>
      </c>
    </row>
    <row r="153" s="1" customFormat="1" ht="16" customHeight="1" spans="1:72">
      <c r="A153" s="14">
        <f t="shared" si="26"/>
        <v>2025</v>
      </c>
      <c r="B153" s="14">
        <f t="shared" si="27"/>
        <v>8</v>
      </c>
      <c r="C153" s="14" t="str">
        <f t="shared" si="28"/>
        <v>3729942923858289152</v>
      </c>
      <c r="D153" s="14" cm="1">
        <f t="array" ref="D153">SUMPRODUCT(($R$2:$R$374=C153)*1)</f>
        <v>1</v>
      </c>
      <c r="E153" s="14" cm="1">
        <f t="array" ref="E153">SUMPRODUCT(($R$2:R153=C153)*1)</f>
        <v>1</v>
      </c>
      <c r="F153" s="15" t="str">
        <f t="shared" si="29"/>
        <v>Z2330-蓝色-L</v>
      </c>
      <c r="G153" s="14" t="str">
        <f t="shared" si="30"/>
        <v>Z2330</v>
      </c>
      <c r="H153" s="15">
        <f t="shared" si="31"/>
        <v>1</v>
      </c>
      <c r="I153" s="14">
        <f t="shared" si="32"/>
        <v>419</v>
      </c>
      <c r="J153" s="15">
        <f t="shared" si="33"/>
        <v>0</v>
      </c>
      <c r="K153" s="15">
        <f t="shared" si="34"/>
        <v>0</v>
      </c>
      <c r="L153" s="15">
        <f t="shared" si="35"/>
        <v>-20.95</v>
      </c>
      <c r="M153" s="15">
        <f t="shared" si="36"/>
        <v>0</v>
      </c>
      <c r="N153" s="15">
        <f t="shared" si="37"/>
        <v>0</v>
      </c>
      <c r="O153" s="15">
        <f t="shared" si="38"/>
        <v>398.05</v>
      </c>
      <c r="R153" s="16" t="s">
        <v>1987</v>
      </c>
      <c r="S153" s="16" t="s">
        <v>1988</v>
      </c>
      <c r="T153" s="16" t="s">
        <v>1989</v>
      </c>
      <c r="U153" s="16" t="s">
        <v>1990</v>
      </c>
      <c r="V153" s="16" t="s">
        <v>1991</v>
      </c>
      <c r="W153" s="16" t="s">
        <v>76</v>
      </c>
      <c r="X153" s="16" t="s">
        <v>77</v>
      </c>
      <c r="Y153" s="16" t="s">
        <v>1992</v>
      </c>
      <c r="Z153" s="16" t="s">
        <v>1993</v>
      </c>
      <c r="AA153" s="16" t="s">
        <v>107</v>
      </c>
      <c r="AB153" s="16" t="s">
        <v>1025</v>
      </c>
      <c r="AC153" s="16" t="s">
        <v>1994</v>
      </c>
      <c r="AD153" s="16" t="s">
        <v>1995</v>
      </c>
      <c r="AE153" s="16" t="s">
        <v>84</v>
      </c>
      <c r="AF153" s="16" t="s">
        <v>84</v>
      </c>
      <c r="AG153" s="16">
        <v>419</v>
      </c>
      <c r="AH153" s="16">
        <v>419</v>
      </c>
      <c r="AI153" s="17">
        <v>419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 t="s">
        <v>137</v>
      </c>
      <c r="AP153" s="16" t="s">
        <v>1996</v>
      </c>
      <c r="AQ153" s="16" t="s">
        <v>1997</v>
      </c>
      <c r="AR153" s="16" t="s">
        <v>88</v>
      </c>
      <c r="AS153" s="16" t="s">
        <v>1998</v>
      </c>
      <c r="AT153" s="16">
        <v>20.95</v>
      </c>
      <c r="AU153" s="16" t="s">
        <v>90</v>
      </c>
      <c r="AV153" s="16" t="s">
        <v>90</v>
      </c>
      <c r="AW153" s="16" t="s">
        <v>115</v>
      </c>
      <c r="AX153" s="16" t="s">
        <v>116</v>
      </c>
      <c r="AY153" s="16" t="s">
        <v>117</v>
      </c>
      <c r="AZ153" s="16" t="s">
        <v>118</v>
      </c>
      <c r="BA153" s="16" t="s">
        <v>119</v>
      </c>
      <c r="BB153" s="16">
        <v>0</v>
      </c>
      <c r="BC153" s="16" t="s">
        <v>84</v>
      </c>
      <c r="BD153" s="16" t="s">
        <v>90</v>
      </c>
      <c r="BE153" s="16" t="s">
        <v>1721</v>
      </c>
      <c r="BF153" s="16" t="s">
        <v>1722</v>
      </c>
      <c r="BG153" s="16" t="s">
        <v>1723</v>
      </c>
      <c r="BH153" s="16" t="s">
        <v>1999</v>
      </c>
      <c r="BI153" s="16" t="s">
        <v>2000</v>
      </c>
      <c r="BJ153" s="16">
        <v>419</v>
      </c>
      <c r="BK153" s="16">
        <v>419</v>
      </c>
      <c r="BL153" s="16">
        <v>419</v>
      </c>
      <c r="BM153" s="16" t="s">
        <v>96</v>
      </c>
      <c r="BN153" s="16">
        <v>1</v>
      </c>
      <c r="BO153" s="16" t="s">
        <v>84</v>
      </c>
      <c r="BP153" s="16" t="s">
        <v>84</v>
      </c>
      <c r="BQ153" s="16" t="s">
        <v>84</v>
      </c>
      <c r="BR153" s="16" t="s">
        <v>97</v>
      </c>
      <c r="BS153" s="16" t="s">
        <v>98</v>
      </c>
      <c r="BT153" s="16">
        <v>0</v>
      </c>
    </row>
    <row r="154" s="1" customFormat="1" ht="16" customHeight="1" spans="1:72">
      <c r="A154" s="14">
        <f t="shared" si="26"/>
        <v>2025</v>
      </c>
      <c r="B154" s="14">
        <f t="shared" si="27"/>
        <v>8</v>
      </c>
      <c r="C154" s="14" t="str">
        <f t="shared" si="28"/>
        <v>3729942738233859840</v>
      </c>
      <c r="D154" s="14" cm="1">
        <f t="array" ref="D154">SUMPRODUCT(($R$2:$R$374=C154)*1)</f>
        <v>1</v>
      </c>
      <c r="E154" s="14" cm="1">
        <f t="array" ref="E154">SUMPRODUCT(($R$2:R154=C154)*1)</f>
        <v>1</v>
      </c>
      <c r="F154" s="15" t="str">
        <f t="shared" si="29"/>
        <v>Z2281-条纹-L</v>
      </c>
      <c r="G154" s="14" t="str">
        <f t="shared" si="30"/>
        <v>Z2281</v>
      </c>
      <c r="H154" s="15">
        <f t="shared" si="31"/>
        <v>1</v>
      </c>
      <c r="I154" s="14">
        <f t="shared" si="32"/>
        <v>239</v>
      </c>
      <c r="J154" s="15">
        <f t="shared" si="33"/>
        <v>0</v>
      </c>
      <c r="K154" s="15">
        <f t="shared" si="34"/>
        <v>0</v>
      </c>
      <c r="L154" s="15">
        <f t="shared" si="35"/>
        <v>-11.95</v>
      </c>
      <c r="M154" s="15">
        <f t="shared" si="36"/>
        <v>0</v>
      </c>
      <c r="N154" s="15">
        <f t="shared" si="37"/>
        <v>-1.5</v>
      </c>
      <c r="O154" s="15">
        <f t="shared" si="38"/>
        <v>225.55</v>
      </c>
      <c r="R154" s="16" t="s">
        <v>2001</v>
      </c>
      <c r="S154" s="16" t="s">
        <v>2002</v>
      </c>
      <c r="T154" s="16" t="s">
        <v>2003</v>
      </c>
      <c r="U154" s="16" t="s">
        <v>2004</v>
      </c>
      <c r="V154" s="16" t="s">
        <v>2005</v>
      </c>
      <c r="W154" s="16" t="s">
        <v>76</v>
      </c>
      <c r="X154" s="16" t="s">
        <v>77</v>
      </c>
      <c r="Y154" s="16" t="s">
        <v>2006</v>
      </c>
      <c r="Z154" s="16" t="s">
        <v>2007</v>
      </c>
      <c r="AA154" s="16" t="s">
        <v>384</v>
      </c>
      <c r="AB154" s="16" t="s">
        <v>2008</v>
      </c>
      <c r="AC154" s="16" t="s">
        <v>2009</v>
      </c>
      <c r="AD154" s="16" t="s">
        <v>2010</v>
      </c>
      <c r="AE154" s="16" t="s">
        <v>84</v>
      </c>
      <c r="AF154" s="16" t="s">
        <v>84</v>
      </c>
      <c r="AG154" s="16">
        <v>239</v>
      </c>
      <c r="AH154" s="16">
        <v>239</v>
      </c>
      <c r="AI154" s="17">
        <v>239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 t="s">
        <v>137</v>
      </c>
      <c r="AP154" s="16" t="s">
        <v>2011</v>
      </c>
      <c r="AQ154" s="16" t="s">
        <v>2012</v>
      </c>
      <c r="AR154" s="16" t="s">
        <v>88</v>
      </c>
      <c r="AS154" s="16" t="s">
        <v>2013</v>
      </c>
      <c r="AT154" s="16">
        <v>11.95</v>
      </c>
      <c r="AU154" s="16" t="s">
        <v>90</v>
      </c>
      <c r="AV154" s="16">
        <v>1.5</v>
      </c>
      <c r="AW154" s="16" t="s">
        <v>115</v>
      </c>
      <c r="AX154" s="16" t="s">
        <v>116</v>
      </c>
      <c r="AY154" s="16" t="s">
        <v>117</v>
      </c>
      <c r="AZ154" s="16" t="s">
        <v>118</v>
      </c>
      <c r="BA154" s="16" t="s">
        <v>119</v>
      </c>
      <c r="BB154" s="16">
        <v>0</v>
      </c>
      <c r="BC154" s="16" t="s">
        <v>84</v>
      </c>
      <c r="BD154" s="16" t="s">
        <v>90</v>
      </c>
      <c r="BE154" s="16" t="s">
        <v>1885</v>
      </c>
      <c r="BF154" s="16" t="s">
        <v>1886</v>
      </c>
      <c r="BG154" s="16" t="s">
        <v>1887</v>
      </c>
      <c r="BH154" s="16" t="s">
        <v>1900</v>
      </c>
      <c r="BI154" s="16" t="s">
        <v>1901</v>
      </c>
      <c r="BJ154" s="16">
        <v>239</v>
      </c>
      <c r="BK154" s="16">
        <v>239</v>
      </c>
      <c r="BL154" s="16">
        <v>239</v>
      </c>
      <c r="BM154" s="16" t="s">
        <v>96</v>
      </c>
      <c r="BN154" s="16">
        <v>1</v>
      </c>
      <c r="BO154" s="16" t="s">
        <v>84</v>
      </c>
      <c r="BP154" s="16" t="s">
        <v>84</v>
      </c>
      <c r="BQ154" s="16" t="s">
        <v>84</v>
      </c>
      <c r="BR154" s="16" t="s">
        <v>97</v>
      </c>
      <c r="BS154" s="16" t="s">
        <v>98</v>
      </c>
      <c r="BT154" s="16">
        <v>0</v>
      </c>
    </row>
    <row r="155" s="1" customFormat="1" ht="16" customHeight="1" spans="1:72">
      <c r="A155" s="14">
        <f t="shared" si="26"/>
        <v>2025</v>
      </c>
      <c r="B155" s="14">
        <f t="shared" si="27"/>
        <v>8</v>
      </c>
      <c r="C155" s="14" t="str">
        <f t="shared" si="28"/>
        <v>3729942736621416448</v>
      </c>
      <c r="D155" s="14" cm="1">
        <f t="array" ref="D155">SUMPRODUCT(($R$2:$R$374=C155)*1)</f>
        <v>1</v>
      </c>
      <c r="E155" s="14" cm="1">
        <f t="array" ref="E155">SUMPRODUCT(($R$2:R155=C155)*1)</f>
        <v>1</v>
      </c>
      <c r="F155" s="15" t="str">
        <f t="shared" si="29"/>
        <v>Z2281-条纹-S</v>
      </c>
      <c r="G155" s="14" t="str">
        <f t="shared" si="30"/>
        <v>Z2281</v>
      </c>
      <c r="H155" s="15">
        <f t="shared" si="31"/>
        <v>1</v>
      </c>
      <c r="I155" s="14">
        <f t="shared" si="32"/>
        <v>239</v>
      </c>
      <c r="J155" s="15">
        <f t="shared" si="33"/>
        <v>0</v>
      </c>
      <c r="K155" s="15">
        <f t="shared" si="34"/>
        <v>0</v>
      </c>
      <c r="L155" s="15">
        <f t="shared" si="35"/>
        <v>-11.95</v>
      </c>
      <c r="M155" s="15">
        <f t="shared" si="36"/>
        <v>0</v>
      </c>
      <c r="N155" s="15">
        <f t="shared" si="37"/>
        <v>-1.5</v>
      </c>
      <c r="O155" s="15">
        <f t="shared" si="38"/>
        <v>225.55</v>
      </c>
      <c r="R155" s="16" t="s">
        <v>2014</v>
      </c>
      <c r="S155" s="16" t="s">
        <v>2015</v>
      </c>
      <c r="T155" s="16" t="s">
        <v>2016</v>
      </c>
      <c r="U155" s="16" t="s">
        <v>2017</v>
      </c>
      <c r="V155" s="16" t="s">
        <v>2018</v>
      </c>
      <c r="W155" s="16" t="s">
        <v>76</v>
      </c>
      <c r="X155" s="16" t="s">
        <v>77</v>
      </c>
      <c r="Y155" s="16" t="s">
        <v>692</v>
      </c>
      <c r="Z155" s="16" t="s">
        <v>2019</v>
      </c>
      <c r="AA155" s="16" t="s">
        <v>1206</v>
      </c>
      <c r="AB155" s="16" t="s">
        <v>1206</v>
      </c>
      <c r="AC155" s="16" t="s">
        <v>2020</v>
      </c>
      <c r="AD155" s="16" t="s">
        <v>2021</v>
      </c>
      <c r="AE155" s="16" t="s">
        <v>84</v>
      </c>
      <c r="AF155" s="16" t="s">
        <v>84</v>
      </c>
      <c r="AG155" s="16">
        <v>239</v>
      </c>
      <c r="AH155" s="16">
        <v>239</v>
      </c>
      <c r="AI155" s="17">
        <v>239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 t="s">
        <v>137</v>
      </c>
      <c r="AP155" s="16" t="s">
        <v>2022</v>
      </c>
      <c r="AQ155" s="16" t="s">
        <v>2023</v>
      </c>
      <c r="AR155" s="16" t="s">
        <v>88</v>
      </c>
      <c r="AS155" s="16" t="s">
        <v>2024</v>
      </c>
      <c r="AT155" s="16">
        <v>11.95</v>
      </c>
      <c r="AU155" s="16" t="s">
        <v>90</v>
      </c>
      <c r="AV155" s="16">
        <v>1.5</v>
      </c>
      <c r="AW155" s="16" t="s">
        <v>115</v>
      </c>
      <c r="AX155" s="16" t="s">
        <v>116</v>
      </c>
      <c r="AY155" s="16" t="s">
        <v>117</v>
      </c>
      <c r="AZ155" s="16" t="s">
        <v>118</v>
      </c>
      <c r="BA155" s="16" t="s">
        <v>119</v>
      </c>
      <c r="BB155" s="16">
        <v>0</v>
      </c>
      <c r="BC155" s="16" t="s">
        <v>84</v>
      </c>
      <c r="BD155" s="16" t="s">
        <v>90</v>
      </c>
      <c r="BE155" s="16" t="s">
        <v>1885</v>
      </c>
      <c r="BF155" s="16" t="s">
        <v>1886</v>
      </c>
      <c r="BG155" s="16" t="s">
        <v>1887</v>
      </c>
      <c r="BH155" s="16" t="s">
        <v>1934</v>
      </c>
      <c r="BI155" s="16" t="s">
        <v>523</v>
      </c>
      <c r="BJ155" s="16">
        <v>239</v>
      </c>
      <c r="BK155" s="16">
        <v>239</v>
      </c>
      <c r="BL155" s="16">
        <v>239</v>
      </c>
      <c r="BM155" s="16" t="s">
        <v>96</v>
      </c>
      <c r="BN155" s="16">
        <v>1</v>
      </c>
      <c r="BO155" s="16" t="s">
        <v>84</v>
      </c>
      <c r="BP155" s="16" t="s">
        <v>84</v>
      </c>
      <c r="BQ155" s="16" t="s">
        <v>84</v>
      </c>
      <c r="BR155" s="16" t="s">
        <v>97</v>
      </c>
      <c r="BS155" s="16" t="s">
        <v>98</v>
      </c>
      <c r="BT155" s="16">
        <v>0</v>
      </c>
    </row>
    <row r="156" s="1" customFormat="1" ht="16" customHeight="1" spans="1:72">
      <c r="A156" s="14">
        <f t="shared" si="26"/>
        <v>2025</v>
      </c>
      <c r="B156" s="14">
        <f t="shared" si="27"/>
        <v>8</v>
      </c>
      <c r="C156" s="14" t="str">
        <f t="shared" si="28"/>
        <v>3729942722276369920</v>
      </c>
      <c r="D156" s="14" cm="1">
        <f t="array" ref="D156">SUMPRODUCT(($R$2:$R$374=C156)*1)</f>
        <v>1</v>
      </c>
      <c r="E156" s="14" cm="1">
        <f t="array" ref="E156">SUMPRODUCT(($R$2:R156=C156)*1)</f>
        <v>1</v>
      </c>
      <c r="F156" s="15" t="str">
        <f t="shared" si="29"/>
        <v>Z2281-条纹-M</v>
      </c>
      <c r="G156" s="14" t="str">
        <f t="shared" si="30"/>
        <v>Z2281</v>
      </c>
      <c r="H156" s="15">
        <f t="shared" si="31"/>
        <v>0</v>
      </c>
      <c r="I156" s="14">
        <f t="shared" si="32"/>
        <v>0</v>
      </c>
      <c r="J156" s="15">
        <f t="shared" si="33"/>
        <v>0</v>
      </c>
      <c r="K156" s="15">
        <f t="shared" si="34"/>
        <v>0</v>
      </c>
      <c r="L156" s="15">
        <f t="shared" si="35"/>
        <v>0</v>
      </c>
      <c r="M156" s="15">
        <f t="shared" si="36"/>
        <v>0</v>
      </c>
      <c r="N156" s="15">
        <f t="shared" si="37"/>
        <v>0</v>
      </c>
      <c r="O156" s="15">
        <f t="shared" si="38"/>
        <v>0</v>
      </c>
      <c r="R156" s="16" t="s">
        <v>2025</v>
      </c>
      <c r="S156" s="16" t="s">
        <v>2026</v>
      </c>
      <c r="T156" s="16" t="s">
        <v>2027</v>
      </c>
      <c r="U156" s="16" t="s">
        <v>90</v>
      </c>
      <c r="V156" s="16" t="s">
        <v>2028</v>
      </c>
      <c r="W156" s="16" t="s">
        <v>104</v>
      </c>
      <c r="X156" s="16" t="s">
        <v>77</v>
      </c>
      <c r="Y156" s="16" t="s">
        <v>2029</v>
      </c>
      <c r="Z156" s="16" t="s">
        <v>2030</v>
      </c>
      <c r="AA156" s="16" t="s">
        <v>171</v>
      </c>
      <c r="AB156" s="16" t="s">
        <v>172</v>
      </c>
      <c r="AC156" s="16" t="s">
        <v>2031</v>
      </c>
      <c r="AD156" s="16" t="s">
        <v>2032</v>
      </c>
      <c r="AE156" s="16" t="s">
        <v>84</v>
      </c>
      <c r="AF156" s="16" t="s">
        <v>2033</v>
      </c>
      <c r="AG156" s="16">
        <v>239</v>
      </c>
      <c r="AH156" s="16">
        <v>239</v>
      </c>
      <c r="AI156" s="17">
        <v>239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 t="s">
        <v>85</v>
      </c>
      <c r="AP156" s="16" t="s">
        <v>2034</v>
      </c>
      <c r="AQ156" s="16" t="s">
        <v>2035</v>
      </c>
      <c r="AR156" s="16" t="s">
        <v>88</v>
      </c>
      <c r="AS156" s="16" t="s">
        <v>2036</v>
      </c>
      <c r="AT156" s="16">
        <v>0</v>
      </c>
      <c r="AU156" s="16" t="s">
        <v>90</v>
      </c>
      <c r="AV156" s="16">
        <v>1.5</v>
      </c>
      <c r="AW156" s="16" t="s">
        <v>115</v>
      </c>
      <c r="AX156" s="16" t="s">
        <v>116</v>
      </c>
      <c r="AY156" s="16" t="s">
        <v>117</v>
      </c>
      <c r="AZ156" s="16" t="s">
        <v>118</v>
      </c>
      <c r="BA156" s="16" t="s">
        <v>119</v>
      </c>
      <c r="BB156" s="16">
        <v>0</v>
      </c>
      <c r="BC156" s="16" t="s">
        <v>84</v>
      </c>
      <c r="BD156" s="16" t="s">
        <v>90</v>
      </c>
      <c r="BE156" s="16" t="s">
        <v>1885</v>
      </c>
      <c r="BF156" s="16" t="s">
        <v>1886</v>
      </c>
      <c r="BG156" s="16" t="s">
        <v>1887</v>
      </c>
      <c r="BH156" s="16" t="s">
        <v>1888</v>
      </c>
      <c r="BI156" s="16" t="s">
        <v>1889</v>
      </c>
      <c r="BJ156" s="16">
        <v>239</v>
      </c>
      <c r="BK156" s="16">
        <v>239</v>
      </c>
      <c r="BL156" s="16">
        <v>239</v>
      </c>
      <c r="BM156" s="16" t="s">
        <v>96</v>
      </c>
      <c r="BN156" s="16">
        <v>1</v>
      </c>
      <c r="BO156" s="16" t="s">
        <v>84</v>
      </c>
      <c r="BP156" s="16" t="s">
        <v>84</v>
      </c>
      <c r="BQ156" s="16" t="s">
        <v>84</v>
      </c>
      <c r="BR156" s="16" t="s">
        <v>97</v>
      </c>
      <c r="BS156" s="16" t="s">
        <v>125</v>
      </c>
      <c r="BT156" s="16">
        <v>239</v>
      </c>
    </row>
    <row r="157" s="1" customFormat="1" ht="16" customHeight="1" spans="1:72">
      <c r="A157" s="14">
        <f t="shared" si="26"/>
        <v>2025</v>
      </c>
      <c r="B157" s="14">
        <f t="shared" si="27"/>
        <v>8</v>
      </c>
      <c r="C157" s="14" t="str">
        <f t="shared" si="28"/>
        <v>3729942717344396544</v>
      </c>
      <c r="D157" s="14" cm="1">
        <f t="array" ref="D157">SUMPRODUCT(($R$2:$R$374=C157)*1)</f>
        <v>1</v>
      </c>
      <c r="E157" s="14" cm="1">
        <f t="array" ref="E157">SUMPRODUCT(($R$2:R157=C157)*1)</f>
        <v>1</v>
      </c>
      <c r="F157" s="15" t="str">
        <f t="shared" si="29"/>
        <v>Z2281-条纹-M</v>
      </c>
      <c r="G157" s="14" t="str">
        <f t="shared" si="30"/>
        <v>Z2281</v>
      </c>
      <c r="H157" s="15">
        <f t="shared" si="31"/>
        <v>1</v>
      </c>
      <c r="I157" s="14">
        <f t="shared" si="32"/>
        <v>239</v>
      </c>
      <c r="J157" s="15">
        <f t="shared" si="33"/>
        <v>0</v>
      </c>
      <c r="K157" s="15">
        <f t="shared" si="34"/>
        <v>0</v>
      </c>
      <c r="L157" s="15">
        <f t="shared" si="35"/>
        <v>-11.95</v>
      </c>
      <c r="M157" s="15">
        <f t="shared" si="36"/>
        <v>0</v>
      </c>
      <c r="N157" s="15">
        <f t="shared" si="37"/>
        <v>-1.5</v>
      </c>
      <c r="O157" s="15">
        <f t="shared" si="38"/>
        <v>225.55</v>
      </c>
      <c r="R157" s="16" t="s">
        <v>2037</v>
      </c>
      <c r="S157" s="16" t="s">
        <v>2038</v>
      </c>
      <c r="T157" s="16" t="s">
        <v>2039</v>
      </c>
      <c r="U157" s="16" t="s">
        <v>2040</v>
      </c>
      <c r="V157" s="16" t="s">
        <v>2041</v>
      </c>
      <c r="W157" s="16" t="s">
        <v>76</v>
      </c>
      <c r="X157" s="16" t="s">
        <v>77</v>
      </c>
      <c r="Y157" s="16" t="s">
        <v>2042</v>
      </c>
      <c r="Z157" s="16" t="s">
        <v>2043</v>
      </c>
      <c r="AA157" s="16" t="s">
        <v>243</v>
      </c>
      <c r="AB157" s="16" t="s">
        <v>2044</v>
      </c>
      <c r="AC157" s="16" t="s">
        <v>2045</v>
      </c>
      <c r="AD157" s="16" t="s">
        <v>2046</v>
      </c>
      <c r="AE157" s="16" t="s">
        <v>84</v>
      </c>
      <c r="AF157" s="16" t="s">
        <v>84</v>
      </c>
      <c r="AG157" s="16">
        <v>239</v>
      </c>
      <c r="AH157" s="16">
        <v>239</v>
      </c>
      <c r="AI157" s="17">
        <v>239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 t="s">
        <v>85</v>
      </c>
      <c r="AP157" s="16" t="s">
        <v>2047</v>
      </c>
      <c r="AQ157" s="16" t="s">
        <v>2048</v>
      </c>
      <c r="AR157" s="16" t="s">
        <v>88</v>
      </c>
      <c r="AS157" s="16" t="s">
        <v>2049</v>
      </c>
      <c r="AT157" s="16">
        <v>11.95</v>
      </c>
      <c r="AU157" s="16" t="s">
        <v>90</v>
      </c>
      <c r="AV157" s="16">
        <v>1.5</v>
      </c>
      <c r="AW157" s="16" t="s">
        <v>115</v>
      </c>
      <c r="AX157" s="16" t="s">
        <v>116</v>
      </c>
      <c r="AY157" s="16" t="s">
        <v>117</v>
      </c>
      <c r="AZ157" s="16" t="s">
        <v>118</v>
      </c>
      <c r="BA157" s="16" t="s">
        <v>119</v>
      </c>
      <c r="BB157" s="16">
        <v>0</v>
      </c>
      <c r="BC157" s="16" t="s">
        <v>84</v>
      </c>
      <c r="BD157" s="16" t="s">
        <v>90</v>
      </c>
      <c r="BE157" s="16" t="s">
        <v>1885</v>
      </c>
      <c r="BF157" s="16" t="s">
        <v>1886</v>
      </c>
      <c r="BG157" s="16" t="s">
        <v>1887</v>
      </c>
      <c r="BH157" s="16" t="s">
        <v>1888</v>
      </c>
      <c r="BI157" s="16" t="s">
        <v>1889</v>
      </c>
      <c r="BJ157" s="16">
        <v>239</v>
      </c>
      <c r="BK157" s="16">
        <v>239</v>
      </c>
      <c r="BL157" s="16">
        <v>239</v>
      </c>
      <c r="BM157" s="16" t="s">
        <v>96</v>
      </c>
      <c r="BN157" s="16">
        <v>1</v>
      </c>
      <c r="BO157" s="16" t="s">
        <v>84</v>
      </c>
      <c r="BP157" s="16" t="s">
        <v>84</v>
      </c>
      <c r="BQ157" s="16" t="s">
        <v>84</v>
      </c>
      <c r="BR157" s="16" t="s">
        <v>97</v>
      </c>
      <c r="BS157" s="16" t="s">
        <v>98</v>
      </c>
      <c r="BT157" s="16">
        <v>0</v>
      </c>
    </row>
    <row r="158" s="1" customFormat="1" ht="16" customHeight="1" spans="1:72">
      <c r="A158" s="14">
        <f t="shared" si="26"/>
        <v>2025</v>
      </c>
      <c r="B158" s="14">
        <f t="shared" si="27"/>
        <v>8</v>
      </c>
      <c r="C158" s="14" t="str">
        <f t="shared" si="28"/>
        <v>3729942294707714048</v>
      </c>
      <c r="D158" s="14" cm="1">
        <f t="array" ref="D158">SUMPRODUCT(($R$2:$R$374=C158)*1)</f>
        <v>1</v>
      </c>
      <c r="E158" s="14" cm="1">
        <f t="array" ref="E158">SUMPRODUCT(($R$2:R158=C158)*1)</f>
        <v>1</v>
      </c>
      <c r="F158" s="15" t="str">
        <f t="shared" si="29"/>
        <v>Z2281-条纹-S</v>
      </c>
      <c r="G158" s="14" t="str">
        <f t="shared" si="30"/>
        <v>Z2281</v>
      </c>
      <c r="H158" s="15">
        <f t="shared" si="31"/>
        <v>1</v>
      </c>
      <c r="I158" s="14">
        <f t="shared" si="32"/>
        <v>239</v>
      </c>
      <c r="J158" s="15">
        <f t="shared" si="33"/>
        <v>0</v>
      </c>
      <c r="K158" s="15">
        <f t="shared" si="34"/>
        <v>0</v>
      </c>
      <c r="L158" s="15">
        <f t="shared" si="35"/>
        <v>-11.95</v>
      </c>
      <c r="M158" s="15">
        <f t="shared" si="36"/>
        <v>0</v>
      </c>
      <c r="N158" s="15">
        <f t="shared" si="37"/>
        <v>-1.5</v>
      </c>
      <c r="O158" s="15">
        <f t="shared" si="38"/>
        <v>225.55</v>
      </c>
      <c r="R158" s="16" t="s">
        <v>2050</v>
      </c>
      <c r="S158" s="16" t="s">
        <v>2051</v>
      </c>
      <c r="T158" s="16" t="s">
        <v>2052</v>
      </c>
      <c r="U158" s="16" t="s">
        <v>2053</v>
      </c>
      <c r="V158" s="16" t="s">
        <v>2054</v>
      </c>
      <c r="W158" s="16" t="s">
        <v>76</v>
      </c>
      <c r="X158" s="16" t="s">
        <v>77</v>
      </c>
      <c r="Y158" s="16" t="s">
        <v>2055</v>
      </c>
      <c r="Z158" s="16" t="s">
        <v>638</v>
      </c>
      <c r="AA158" s="16" t="s">
        <v>430</v>
      </c>
      <c r="AB158" s="16" t="s">
        <v>430</v>
      </c>
      <c r="AC158" s="16" t="s">
        <v>639</v>
      </c>
      <c r="AD158" s="16" t="s">
        <v>2056</v>
      </c>
      <c r="AE158" s="16" t="s">
        <v>84</v>
      </c>
      <c r="AF158" s="16" t="s">
        <v>84</v>
      </c>
      <c r="AG158" s="16">
        <v>239</v>
      </c>
      <c r="AH158" s="16">
        <v>239</v>
      </c>
      <c r="AI158" s="17">
        <v>239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 t="s">
        <v>85</v>
      </c>
      <c r="AP158" s="16" t="s">
        <v>2057</v>
      </c>
      <c r="AQ158" s="16" t="s">
        <v>2058</v>
      </c>
      <c r="AR158" s="16" t="s">
        <v>88</v>
      </c>
      <c r="AS158" s="16" t="s">
        <v>2059</v>
      </c>
      <c r="AT158" s="16">
        <v>11.95</v>
      </c>
      <c r="AU158" s="16" t="s">
        <v>90</v>
      </c>
      <c r="AV158" s="16">
        <v>1.5</v>
      </c>
      <c r="AW158" s="16" t="s">
        <v>115</v>
      </c>
      <c r="AX158" s="16" t="s">
        <v>116</v>
      </c>
      <c r="AY158" s="16" t="s">
        <v>117</v>
      </c>
      <c r="AZ158" s="16" t="s">
        <v>118</v>
      </c>
      <c r="BA158" s="16" t="s">
        <v>119</v>
      </c>
      <c r="BB158" s="16">
        <v>0</v>
      </c>
      <c r="BC158" s="16" t="s">
        <v>84</v>
      </c>
      <c r="BD158" s="16" t="s">
        <v>90</v>
      </c>
      <c r="BE158" s="16" t="s">
        <v>1885</v>
      </c>
      <c r="BF158" s="16" t="s">
        <v>1886</v>
      </c>
      <c r="BG158" s="16" t="s">
        <v>1887</v>
      </c>
      <c r="BH158" s="16" t="s">
        <v>1934</v>
      </c>
      <c r="BI158" s="16" t="s">
        <v>523</v>
      </c>
      <c r="BJ158" s="16">
        <v>239</v>
      </c>
      <c r="BK158" s="16">
        <v>239</v>
      </c>
      <c r="BL158" s="16">
        <v>239</v>
      </c>
      <c r="BM158" s="16" t="s">
        <v>96</v>
      </c>
      <c r="BN158" s="16">
        <v>1</v>
      </c>
      <c r="BO158" s="16" t="s">
        <v>84</v>
      </c>
      <c r="BP158" s="16" t="s">
        <v>84</v>
      </c>
      <c r="BQ158" s="16" t="s">
        <v>84</v>
      </c>
      <c r="BR158" s="16" t="s">
        <v>97</v>
      </c>
      <c r="BS158" s="16" t="s">
        <v>98</v>
      </c>
      <c r="BT158" s="16">
        <v>0</v>
      </c>
    </row>
    <row r="159" s="1" customFormat="1" ht="16" customHeight="1" spans="1:72">
      <c r="A159" s="14">
        <f t="shared" si="26"/>
        <v>2025</v>
      </c>
      <c r="B159" s="14">
        <f t="shared" si="27"/>
        <v>8</v>
      </c>
      <c r="C159" s="14" t="str">
        <f t="shared" si="28"/>
        <v>3729942293874088960</v>
      </c>
      <c r="D159" s="14" cm="1">
        <f t="array" ref="D159">SUMPRODUCT(($R$2:$R$374=C159)*1)</f>
        <v>1</v>
      </c>
      <c r="E159" s="14" cm="1">
        <f t="array" ref="E159">SUMPRODUCT(($R$2:R159=C159)*1)</f>
        <v>1</v>
      </c>
      <c r="F159" s="15" t="str">
        <f t="shared" si="29"/>
        <v>Z2281-条纹-M</v>
      </c>
      <c r="G159" s="14" t="str">
        <f t="shared" si="30"/>
        <v>Z2281</v>
      </c>
      <c r="H159" s="15">
        <f t="shared" si="31"/>
        <v>0</v>
      </c>
      <c r="I159" s="14">
        <f t="shared" si="32"/>
        <v>0</v>
      </c>
      <c r="J159" s="15">
        <f t="shared" si="33"/>
        <v>0</v>
      </c>
      <c r="K159" s="15">
        <f t="shared" si="34"/>
        <v>10</v>
      </c>
      <c r="L159" s="15">
        <f t="shared" si="35"/>
        <v>-11.95</v>
      </c>
      <c r="M159" s="15">
        <f t="shared" si="36"/>
        <v>0</v>
      </c>
      <c r="N159" s="15">
        <f t="shared" si="37"/>
        <v>0</v>
      </c>
      <c r="O159" s="15">
        <f t="shared" si="38"/>
        <v>-1.95</v>
      </c>
      <c r="R159" s="16" t="s">
        <v>2060</v>
      </c>
      <c r="S159" s="16" t="s">
        <v>2061</v>
      </c>
      <c r="T159" s="16" t="s">
        <v>2062</v>
      </c>
      <c r="U159" s="16" t="s">
        <v>2063</v>
      </c>
      <c r="V159" s="16" t="s">
        <v>2064</v>
      </c>
      <c r="W159" s="16" t="s">
        <v>104</v>
      </c>
      <c r="X159" s="16" t="s">
        <v>77</v>
      </c>
      <c r="Y159" s="16" t="s">
        <v>832</v>
      </c>
      <c r="Z159" s="16" t="s">
        <v>2065</v>
      </c>
      <c r="AA159" s="16" t="s">
        <v>207</v>
      </c>
      <c r="AB159" s="16" t="s">
        <v>2066</v>
      </c>
      <c r="AC159" s="16" t="s">
        <v>2067</v>
      </c>
      <c r="AD159" s="16" t="s">
        <v>2068</v>
      </c>
      <c r="AE159" s="16" t="s">
        <v>84</v>
      </c>
      <c r="AF159" s="16" t="s">
        <v>2069</v>
      </c>
      <c r="AG159" s="16">
        <v>239</v>
      </c>
      <c r="AH159" s="16">
        <v>249</v>
      </c>
      <c r="AI159" s="17">
        <v>249</v>
      </c>
      <c r="AJ159" s="16">
        <v>10</v>
      </c>
      <c r="AK159" s="16">
        <v>0</v>
      </c>
      <c r="AL159" s="16">
        <v>0</v>
      </c>
      <c r="AM159" s="16">
        <v>0</v>
      </c>
      <c r="AN159" s="16">
        <v>0</v>
      </c>
      <c r="AO159" s="16" t="s">
        <v>85</v>
      </c>
      <c r="AP159" s="16" t="s">
        <v>2070</v>
      </c>
      <c r="AQ159" s="16" t="s">
        <v>2071</v>
      </c>
      <c r="AR159" s="16" t="s">
        <v>88</v>
      </c>
      <c r="AS159" s="16" t="s">
        <v>2072</v>
      </c>
      <c r="AT159" s="16">
        <v>11.95</v>
      </c>
      <c r="AU159" s="16" t="s">
        <v>90</v>
      </c>
      <c r="AV159" s="16">
        <v>1.5</v>
      </c>
      <c r="AW159" s="16" t="s">
        <v>115</v>
      </c>
      <c r="AX159" s="16" t="s">
        <v>116</v>
      </c>
      <c r="AY159" s="16" t="s">
        <v>117</v>
      </c>
      <c r="AZ159" s="16" t="s">
        <v>118</v>
      </c>
      <c r="BA159" s="16" t="s">
        <v>119</v>
      </c>
      <c r="BB159" s="16">
        <v>0</v>
      </c>
      <c r="BC159" s="16" t="s">
        <v>84</v>
      </c>
      <c r="BD159" s="16" t="s">
        <v>90</v>
      </c>
      <c r="BE159" s="16" t="s">
        <v>1885</v>
      </c>
      <c r="BF159" s="16" t="s">
        <v>1886</v>
      </c>
      <c r="BG159" s="16" t="s">
        <v>1887</v>
      </c>
      <c r="BH159" s="16" t="s">
        <v>1888</v>
      </c>
      <c r="BI159" s="16" t="s">
        <v>1889</v>
      </c>
      <c r="BJ159" s="16">
        <v>239</v>
      </c>
      <c r="BK159" s="16">
        <v>239</v>
      </c>
      <c r="BL159" s="16">
        <v>239</v>
      </c>
      <c r="BM159" s="16" t="s">
        <v>96</v>
      </c>
      <c r="BN159" s="16">
        <v>1</v>
      </c>
      <c r="BO159" s="16" t="s">
        <v>84</v>
      </c>
      <c r="BP159" s="16" t="s">
        <v>84</v>
      </c>
      <c r="BQ159" s="16" t="s">
        <v>84</v>
      </c>
      <c r="BR159" s="16" t="s">
        <v>97</v>
      </c>
      <c r="BS159" s="16" t="s">
        <v>125</v>
      </c>
      <c r="BT159" s="16">
        <v>239</v>
      </c>
    </row>
    <row r="160" s="1" customFormat="1" ht="16" customHeight="1" spans="1:72">
      <c r="A160" s="14">
        <f t="shared" si="26"/>
        <v>2025</v>
      </c>
      <c r="B160" s="14">
        <f t="shared" si="27"/>
        <v>8</v>
      </c>
      <c r="C160" s="14" t="str">
        <f t="shared" si="28"/>
        <v>3729942294170051840</v>
      </c>
      <c r="D160" s="14" cm="1">
        <f t="array" ref="D160">SUMPRODUCT(($R$2:$R$374=C160)*1)</f>
        <v>1</v>
      </c>
      <c r="E160" s="14" cm="1">
        <f t="array" ref="E160">SUMPRODUCT(($R$2:R160=C160)*1)</f>
        <v>1</v>
      </c>
      <c r="F160" s="15" t="str">
        <f t="shared" si="29"/>
        <v>Z2281-条纹-S</v>
      </c>
      <c r="G160" s="14" t="str">
        <f t="shared" si="30"/>
        <v>Z2281</v>
      </c>
      <c r="H160" s="15">
        <f t="shared" si="31"/>
        <v>1</v>
      </c>
      <c r="I160" s="14">
        <f t="shared" si="32"/>
        <v>239</v>
      </c>
      <c r="J160" s="15">
        <f t="shared" si="33"/>
        <v>0</v>
      </c>
      <c r="K160" s="15">
        <f t="shared" si="34"/>
        <v>0</v>
      </c>
      <c r="L160" s="15">
        <f t="shared" si="35"/>
        <v>-11.95</v>
      </c>
      <c r="M160" s="15">
        <f t="shared" si="36"/>
        <v>0</v>
      </c>
      <c r="N160" s="15">
        <f t="shared" si="37"/>
        <v>0</v>
      </c>
      <c r="O160" s="15">
        <f t="shared" si="38"/>
        <v>227.05</v>
      </c>
      <c r="R160" s="16" t="s">
        <v>2073</v>
      </c>
      <c r="S160" s="16" t="s">
        <v>2074</v>
      </c>
      <c r="T160" s="16" t="s">
        <v>2052</v>
      </c>
      <c r="U160" s="16" t="s">
        <v>2075</v>
      </c>
      <c r="V160" s="16" t="s">
        <v>2076</v>
      </c>
      <c r="W160" s="16" t="s">
        <v>76</v>
      </c>
      <c r="X160" s="16" t="s">
        <v>77</v>
      </c>
      <c r="Y160" s="16" t="s">
        <v>2077</v>
      </c>
      <c r="Z160" s="16" t="s">
        <v>2078</v>
      </c>
      <c r="AA160" s="16" t="s">
        <v>243</v>
      </c>
      <c r="AB160" s="16" t="s">
        <v>2079</v>
      </c>
      <c r="AC160" s="16" t="s">
        <v>2080</v>
      </c>
      <c r="AD160" s="16" t="s">
        <v>2081</v>
      </c>
      <c r="AE160" s="16" t="s">
        <v>84</v>
      </c>
      <c r="AF160" s="16" t="s">
        <v>84</v>
      </c>
      <c r="AG160" s="16">
        <v>239</v>
      </c>
      <c r="AH160" s="16">
        <v>239</v>
      </c>
      <c r="AI160" s="17">
        <v>239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 t="s">
        <v>85</v>
      </c>
      <c r="AP160" s="16" t="s">
        <v>2070</v>
      </c>
      <c r="AQ160" s="16" t="s">
        <v>2082</v>
      </c>
      <c r="AR160" s="16" t="s">
        <v>88</v>
      </c>
      <c r="AS160" s="16" t="s">
        <v>2083</v>
      </c>
      <c r="AT160" s="16">
        <v>11.95</v>
      </c>
      <c r="AU160" s="16" t="s">
        <v>90</v>
      </c>
      <c r="AV160" s="16" t="s">
        <v>90</v>
      </c>
      <c r="AW160" s="16" t="s">
        <v>115</v>
      </c>
      <c r="AX160" s="16" t="s">
        <v>116</v>
      </c>
      <c r="AY160" s="16" t="s">
        <v>117</v>
      </c>
      <c r="AZ160" s="16" t="s">
        <v>118</v>
      </c>
      <c r="BA160" s="16" t="s">
        <v>119</v>
      </c>
      <c r="BB160" s="16">
        <v>0</v>
      </c>
      <c r="BC160" s="16" t="s">
        <v>84</v>
      </c>
      <c r="BD160" s="16" t="s">
        <v>90</v>
      </c>
      <c r="BE160" s="16" t="s">
        <v>1885</v>
      </c>
      <c r="BF160" s="16" t="s">
        <v>1886</v>
      </c>
      <c r="BG160" s="16" t="s">
        <v>1887</v>
      </c>
      <c r="BH160" s="16" t="s">
        <v>1934</v>
      </c>
      <c r="BI160" s="16" t="s">
        <v>523</v>
      </c>
      <c r="BJ160" s="16">
        <v>239</v>
      </c>
      <c r="BK160" s="16">
        <v>239</v>
      </c>
      <c r="BL160" s="16">
        <v>239</v>
      </c>
      <c r="BM160" s="16" t="s">
        <v>96</v>
      </c>
      <c r="BN160" s="16">
        <v>1</v>
      </c>
      <c r="BO160" s="16" t="s">
        <v>84</v>
      </c>
      <c r="BP160" s="16" t="s">
        <v>84</v>
      </c>
      <c r="BQ160" s="16" t="s">
        <v>84</v>
      </c>
      <c r="BR160" s="16" t="s">
        <v>97</v>
      </c>
      <c r="BS160" s="16" t="s">
        <v>98</v>
      </c>
      <c r="BT160" s="16">
        <v>0</v>
      </c>
    </row>
    <row r="161" s="1" customFormat="1" ht="16" customHeight="1" spans="1:72">
      <c r="A161" s="14">
        <f t="shared" si="26"/>
        <v>2025</v>
      </c>
      <c r="B161" s="14">
        <f t="shared" si="27"/>
        <v>8</v>
      </c>
      <c r="C161" s="14" t="str">
        <f t="shared" si="28"/>
        <v>3729942293988126976</v>
      </c>
      <c r="D161" s="14" cm="1">
        <f t="array" ref="D161">SUMPRODUCT(($R$2:$R$374=C161)*1)</f>
        <v>1</v>
      </c>
      <c r="E161" s="14" cm="1">
        <f t="array" ref="E161">SUMPRODUCT(($R$2:R161=C161)*1)</f>
        <v>1</v>
      </c>
      <c r="F161" s="15" t="str">
        <f t="shared" si="29"/>
        <v>Z2281-条纹-M</v>
      </c>
      <c r="G161" s="14" t="str">
        <f t="shared" si="30"/>
        <v>Z2281</v>
      </c>
      <c r="H161" s="15">
        <f t="shared" si="31"/>
        <v>1</v>
      </c>
      <c r="I161" s="14">
        <f t="shared" si="32"/>
        <v>239</v>
      </c>
      <c r="J161" s="15">
        <f t="shared" si="33"/>
        <v>0</v>
      </c>
      <c r="K161" s="15">
        <f t="shared" si="34"/>
        <v>0</v>
      </c>
      <c r="L161" s="15">
        <f t="shared" si="35"/>
        <v>-11.95</v>
      </c>
      <c r="M161" s="15">
        <f t="shared" si="36"/>
        <v>0</v>
      </c>
      <c r="N161" s="15">
        <f t="shared" si="37"/>
        <v>-1.5</v>
      </c>
      <c r="O161" s="15">
        <f t="shared" si="38"/>
        <v>225.55</v>
      </c>
      <c r="R161" s="16" t="s">
        <v>2084</v>
      </c>
      <c r="S161" s="16" t="s">
        <v>2085</v>
      </c>
      <c r="T161" s="16" t="s">
        <v>2062</v>
      </c>
      <c r="U161" s="16" t="s">
        <v>2086</v>
      </c>
      <c r="V161" s="16" t="s">
        <v>2087</v>
      </c>
      <c r="W161" s="16" t="s">
        <v>76</v>
      </c>
      <c r="X161" s="16" t="s">
        <v>77</v>
      </c>
      <c r="Y161" s="16" t="s">
        <v>1270</v>
      </c>
      <c r="Z161" s="16" t="s">
        <v>1271</v>
      </c>
      <c r="AA161" s="16" t="s">
        <v>780</v>
      </c>
      <c r="AB161" s="16" t="s">
        <v>781</v>
      </c>
      <c r="AC161" s="16" t="s">
        <v>154</v>
      </c>
      <c r="AD161" s="16" t="s">
        <v>1272</v>
      </c>
      <c r="AE161" s="16" t="s">
        <v>84</v>
      </c>
      <c r="AF161" s="16" t="s">
        <v>84</v>
      </c>
      <c r="AG161" s="16">
        <v>239</v>
      </c>
      <c r="AH161" s="16">
        <v>239</v>
      </c>
      <c r="AI161" s="17">
        <v>239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 t="s">
        <v>85</v>
      </c>
      <c r="AP161" s="16" t="s">
        <v>2070</v>
      </c>
      <c r="AQ161" s="16" t="s">
        <v>2088</v>
      </c>
      <c r="AR161" s="16" t="s">
        <v>88</v>
      </c>
      <c r="AS161" s="16" t="s">
        <v>2089</v>
      </c>
      <c r="AT161" s="16">
        <v>11.95</v>
      </c>
      <c r="AU161" s="16" t="s">
        <v>90</v>
      </c>
      <c r="AV161" s="16">
        <v>1.5</v>
      </c>
      <c r="AW161" s="16" t="s">
        <v>115</v>
      </c>
      <c r="AX161" s="16" t="s">
        <v>116</v>
      </c>
      <c r="AY161" s="16" t="s">
        <v>117</v>
      </c>
      <c r="AZ161" s="16" t="s">
        <v>118</v>
      </c>
      <c r="BA161" s="16" t="s">
        <v>119</v>
      </c>
      <c r="BB161" s="16">
        <v>0</v>
      </c>
      <c r="BC161" s="16" t="s">
        <v>84</v>
      </c>
      <c r="BD161" s="16" t="s">
        <v>90</v>
      </c>
      <c r="BE161" s="16" t="s">
        <v>1885</v>
      </c>
      <c r="BF161" s="16" t="s">
        <v>1886</v>
      </c>
      <c r="BG161" s="16" t="s">
        <v>1887</v>
      </c>
      <c r="BH161" s="16" t="s">
        <v>1888</v>
      </c>
      <c r="BI161" s="16" t="s">
        <v>1889</v>
      </c>
      <c r="BJ161" s="16">
        <v>239</v>
      </c>
      <c r="BK161" s="16">
        <v>239</v>
      </c>
      <c r="BL161" s="16">
        <v>239</v>
      </c>
      <c r="BM161" s="16" t="s">
        <v>96</v>
      </c>
      <c r="BN161" s="16">
        <v>1</v>
      </c>
      <c r="BO161" s="16" t="s">
        <v>84</v>
      </c>
      <c r="BP161" s="16" t="s">
        <v>84</v>
      </c>
      <c r="BQ161" s="16" t="s">
        <v>84</v>
      </c>
      <c r="BR161" s="16" t="s">
        <v>97</v>
      </c>
      <c r="BS161" s="16" t="s">
        <v>98</v>
      </c>
      <c r="BT161" s="16">
        <v>0</v>
      </c>
    </row>
    <row r="162" s="1" customFormat="1" ht="16" customHeight="1" spans="1:72">
      <c r="A162" s="14">
        <f t="shared" si="26"/>
        <v>2025</v>
      </c>
      <c r="B162" s="14">
        <f t="shared" si="27"/>
        <v>8</v>
      </c>
      <c r="C162" s="14" t="str">
        <f t="shared" si="28"/>
        <v>3729942279227578880</v>
      </c>
      <c r="D162" s="14" cm="1">
        <f t="array" ref="D162">SUMPRODUCT(($R$2:$R$374=C162)*1)</f>
        <v>1</v>
      </c>
      <c r="E162" s="14" cm="1">
        <f t="array" ref="E162">SUMPRODUCT(($R$2:R162=C162)*1)</f>
        <v>1</v>
      </c>
      <c r="F162" s="15" t="str">
        <f t="shared" si="29"/>
        <v>Z2281-条纹-M</v>
      </c>
      <c r="G162" s="14" t="str">
        <f t="shared" si="30"/>
        <v>Z2281</v>
      </c>
      <c r="H162" s="15">
        <f t="shared" si="31"/>
        <v>1</v>
      </c>
      <c r="I162" s="14">
        <f t="shared" si="32"/>
        <v>239</v>
      </c>
      <c r="J162" s="15">
        <f t="shared" si="33"/>
        <v>0</v>
      </c>
      <c r="K162" s="15">
        <f t="shared" si="34"/>
        <v>0</v>
      </c>
      <c r="L162" s="15">
        <f t="shared" si="35"/>
        <v>-11.95</v>
      </c>
      <c r="M162" s="15">
        <f t="shared" si="36"/>
        <v>0</v>
      </c>
      <c r="N162" s="15">
        <f t="shared" si="37"/>
        <v>-1.5</v>
      </c>
      <c r="O162" s="15">
        <f t="shared" si="38"/>
        <v>225.55</v>
      </c>
      <c r="R162" s="16" t="s">
        <v>2090</v>
      </c>
      <c r="S162" s="16" t="s">
        <v>2091</v>
      </c>
      <c r="T162" s="16" t="s">
        <v>2062</v>
      </c>
      <c r="U162" s="16" t="s">
        <v>2092</v>
      </c>
      <c r="V162" s="16" t="s">
        <v>2093</v>
      </c>
      <c r="W162" s="16" t="s">
        <v>76</v>
      </c>
      <c r="X162" s="16" t="s">
        <v>77</v>
      </c>
      <c r="Y162" s="16" t="s">
        <v>205</v>
      </c>
      <c r="Z162" s="16" t="s">
        <v>2094</v>
      </c>
      <c r="AA162" s="16" t="s">
        <v>780</v>
      </c>
      <c r="AB162" s="16" t="s">
        <v>781</v>
      </c>
      <c r="AC162" s="16" t="s">
        <v>2095</v>
      </c>
      <c r="AD162" s="16" t="s">
        <v>2096</v>
      </c>
      <c r="AE162" s="16" t="s">
        <v>84</v>
      </c>
      <c r="AF162" s="16" t="s">
        <v>84</v>
      </c>
      <c r="AG162" s="16">
        <v>239</v>
      </c>
      <c r="AH162" s="16">
        <v>239</v>
      </c>
      <c r="AI162" s="17">
        <v>239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 t="s">
        <v>137</v>
      </c>
      <c r="AP162" s="16" t="s">
        <v>2097</v>
      </c>
      <c r="AQ162" s="16" t="s">
        <v>2098</v>
      </c>
      <c r="AR162" s="16" t="s">
        <v>88</v>
      </c>
      <c r="AS162" s="16" t="s">
        <v>2099</v>
      </c>
      <c r="AT162" s="16">
        <v>11.95</v>
      </c>
      <c r="AU162" s="16" t="s">
        <v>90</v>
      </c>
      <c r="AV162" s="16">
        <v>1.5</v>
      </c>
      <c r="AW162" s="16" t="s">
        <v>115</v>
      </c>
      <c r="AX162" s="16" t="s">
        <v>116</v>
      </c>
      <c r="AY162" s="16" t="s">
        <v>117</v>
      </c>
      <c r="AZ162" s="16" t="s">
        <v>118</v>
      </c>
      <c r="BA162" s="16" t="s">
        <v>119</v>
      </c>
      <c r="BB162" s="16">
        <v>0</v>
      </c>
      <c r="BC162" s="16" t="s">
        <v>84</v>
      </c>
      <c r="BD162" s="16" t="s">
        <v>90</v>
      </c>
      <c r="BE162" s="16" t="s">
        <v>1885</v>
      </c>
      <c r="BF162" s="16" t="s">
        <v>1886</v>
      </c>
      <c r="BG162" s="16" t="s">
        <v>1887</v>
      </c>
      <c r="BH162" s="16" t="s">
        <v>1888</v>
      </c>
      <c r="BI162" s="16" t="s">
        <v>1889</v>
      </c>
      <c r="BJ162" s="16">
        <v>239</v>
      </c>
      <c r="BK162" s="16">
        <v>239</v>
      </c>
      <c r="BL162" s="16">
        <v>239</v>
      </c>
      <c r="BM162" s="16" t="s">
        <v>96</v>
      </c>
      <c r="BN162" s="16">
        <v>1</v>
      </c>
      <c r="BO162" s="16" t="s">
        <v>84</v>
      </c>
      <c r="BP162" s="16" t="s">
        <v>84</v>
      </c>
      <c r="BQ162" s="16" t="s">
        <v>84</v>
      </c>
      <c r="BR162" s="16" t="s">
        <v>97</v>
      </c>
      <c r="BS162" s="16" t="s">
        <v>1018</v>
      </c>
      <c r="BT162" s="16">
        <v>0</v>
      </c>
    </row>
    <row r="163" s="1" customFormat="1" ht="16" customHeight="1" spans="1:72">
      <c r="A163" s="14">
        <f t="shared" si="26"/>
        <v>2025</v>
      </c>
      <c r="B163" s="14">
        <f t="shared" si="27"/>
        <v>8</v>
      </c>
      <c r="C163" s="14" t="str">
        <f t="shared" si="28"/>
        <v>3729942274209101312</v>
      </c>
      <c r="D163" s="14" cm="1">
        <f t="array" ref="D163">SUMPRODUCT(($R$2:$R$374=C163)*1)</f>
        <v>1</v>
      </c>
      <c r="E163" s="14" cm="1">
        <f t="array" ref="E163">SUMPRODUCT(($R$2:R163=C163)*1)</f>
        <v>1</v>
      </c>
      <c r="F163" s="15" t="str">
        <f t="shared" si="29"/>
        <v>Z2281-条纹-S</v>
      </c>
      <c r="G163" s="14" t="str">
        <f t="shared" si="30"/>
        <v>Z2281</v>
      </c>
      <c r="H163" s="15">
        <f t="shared" si="31"/>
        <v>0</v>
      </c>
      <c r="I163" s="14">
        <f t="shared" si="32"/>
        <v>0</v>
      </c>
      <c r="J163" s="15">
        <f t="shared" si="33"/>
        <v>0</v>
      </c>
      <c r="K163" s="15">
        <f t="shared" si="34"/>
        <v>0</v>
      </c>
      <c r="L163" s="15">
        <f t="shared" si="35"/>
        <v>0</v>
      </c>
      <c r="M163" s="15">
        <f t="shared" si="36"/>
        <v>0</v>
      </c>
      <c r="N163" s="15">
        <f t="shared" si="37"/>
        <v>0</v>
      </c>
      <c r="O163" s="15">
        <f t="shared" si="38"/>
        <v>0</v>
      </c>
      <c r="R163" s="16" t="s">
        <v>2100</v>
      </c>
      <c r="S163" s="16" t="s">
        <v>2101</v>
      </c>
      <c r="T163" s="16" t="s">
        <v>2102</v>
      </c>
      <c r="U163" s="16" t="s">
        <v>2103</v>
      </c>
      <c r="V163" s="16" t="s">
        <v>2104</v>
      </c>
      <c r="W163" s="16" t="s">
        <v>104</v>
      </c>
      <c r="X163" s="16" t="s">
        <v>77</v>
      </c>
      <c r="Y163" s="16" t="s">
        <v>105</v>
      </c>
      <c r="Z163" s="16" t="s">
        <v>2105</v>
      </c>
      <c r="AA163" s="16" t="s">
        <v>280</v>
      </c>
      <c r="AB163" s="16" t="s">
        <v>281</v>
      </c>
      <c r="AC163" s="16" t="s">
        <v>2106</v>
      </c>
      <c r="AD163" s="16" t="s">
        <v>2107</v>
      </c>
      <c r="AE163" s="16" t="s">
        <v>84</v>
      </c>
      <c r="AF163" s="16" t="s">
        <v>2108</v>
      </c>
      <c r="AG163" s="16">
        <v>239</v>
      </c>
      <c r="AH163" s="16">
        <v>239</v>
      </c>
      <c r="AI163" s="17">
        <v>239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 t="s">
        <v>85</v>
      </c>
      <c r="AP163" s="16" t="s">
        <v>2109</v>
      </c>
      <c r="AQ163" s="16" t="s">
        <v>2110</v>
      </c>
      <c r="AR163" s="16" t="s">
        <v>88</v>
      </c>
      <c r="AS163" s="16" t="s">
        <v>2111</v>
      </c>
      <c r="AT163" s="16">
        <v>0</v>
      </c>
      <c r="AU163" s="16" t="s">
        <v>90</v>
      </c>
      <c r="AV163" s="16">
        <v>1.5</v>
      </c>
      <c r="AW163" s="16" t="s">
        <v>115</v>
      </c>
      <c r="AX163" s="16" t="s">
        <v>116</v>
      </c>
      <c r="AY163" s="16" t="s">
        <v>117</v>
      </c>
      <c r="AZ163" s="16" t="s">
        <v>118</v>
      </c>
      <c r="BA163" s="16" t="s">
        <v>119</v>
      </c>
      <c r="BB163" s="16">
        <v>0</v>
      </c>
      <c r="BC163" s="16" t="s">
        <v>84</v>
      </c>
      <c r="BD163" s="16" t="s">
        <v>90</v>
      </c>
      <c r="BE163" s="16" t="s">
        <v>1885</v>
      </c>
      <c r="BF163" s="16" t="s">
        <v>1886</v>
      </c>
      <c r="BG163" s="16" t="s">
        <v>1887</v>
      </c>
      <c r="BH163" s="16" t="s">
        <v>1934</v>
      </c>
      <c r="BI163" s="16" t="s">
        <v>523</v>
      </c>
      <c r="BJ163" s="16">
        <v>239</v>
      </c>
      <c r="BK163" s="16">
        <v>239</v>
      </c>
      <c r="BL163" s="16">
        <v>239</v>
      </c>
      <c r="BM163" s="16" t="s">
        <v>96</v>
      </c>
      <c r="BN163" s="16">
        <v>1</v>
      </c>
      <c r="BO163" s="16" t="s">
        <v>84</v>
      </c>
      <c r="BP163" s="16" t="s">
        <v>84</v>
      </c>
      <c r="BQ163" s="16" t="s">
        <v>84</v>
      </c>
      <c r="BR163" s="16" t="s">
        <v>97</v>
      </c>
      <c r="BS163" s="16" t="s">
        <v>125</v>
      </c>
      <c r="BT163" s="16">
        <v>239</v>
      </c>
    </row>
    <row r="164" s="1" customFormat="1" ht="16" customHeight="1" spans="1:72">
      <c r="A164" s="14">
        <f t="shared" si="26"/>
        <v>2025</v>
      </c>
      <c r="B164" s="14">
        <f t="shared" si="27"/>
        <v>8</v>
      </c>
      <c r="C164" s="14" t="str">
        <f t="shared" si="28"/>
        <v>3729941964326580224</v>
      </c>
      <c r="D164" s="14" cm="1">
        <f t="array" ref="D164">SUMPRODUCT(($R$2:$R$374=C164)*1)</f>
        <v>1</v>
      </c>
      <c r="E164" s="14" cm="1">
        <f t="array" ref="E164">SUMPRODUCT(($R$2:R164=C164)*1)</f>
        <v>1</v>
      </c>
      <c r="F164" s="15" t="str">
        <f t="shared" si="29"/>
        <v>Z1741-白色-M</v>
      </c>
      <c r="G164" s="14" t="str">
        <f t="shared" si="30"/>
        <v>Z1741</v>
      </c>
      <c r="H164" s="15">
        <f t="shared" si="31"/>
        <v>1</v>
      </c>
      <c r="I164" s="14">
        <f t="shared" si="32"/>
        <v>269</v>
      </c>
      <c r="J164" s="15">
        <f t="shared" si="33"/>
        <v>0</v>
      </c>
      <c r="K164" s="15">
        <f t="shared" si="34"/>
        <v>0</v>
      </c>
      <c r="L164" s="15">
        <f t="shared" si="35"/>
        <v>-13.45</v>
      </c>
      <c r="M164" s="15">
        <f t="shared" si="36"/>
        <v>0</v>
      </c>
      <c r="N164" s="15">
        <f t="shared" si="37"/>
        <v>-1.5</v>
      </c>
      <c r="O164" s="15">
        <f t="shared" si="38"/>
        <v>254.05</v>
      </c>
      <c r="R164" s="16" t="s">
        <v>2112</v>
      </c>
      <c r="S164" s="16" t="s">
        <v>2113</v>
      </c>
      <c r="T164" s="16" t="s">
        <v>2114</v>
      </c>
      <c r="U164" s="16" t="s">
        <v>2115</v>
      </c>
      <c r="V164" s="16" t="s">
        <v>2116</v>
      </c>
      <c r="W164" s="16" t="s">
        <v>76</v>
      </c>
      <c r="X164" s="16" t="s">
        <v>77</v>
      </c>
      <c r="Y164" s="16" t="s">
        <v>2117</v>
      </c>
      <c r="Z164" s="16" t="s">
        <v>1499</v>
      </c>
      <c r="AA164" s="16" t="s">
        <v>171</v>
      </c>
      <c r="AB164" s="16" t="s">
        <v>172</v>
      </c>
      <c r="AC164" s="16" t="s">
        <v>1500</v>
      </c>
      <c r="AD164" s="16" t="s">
        <v>2118</v>
      </c>
      <c r="AE164" s="16" t="s">
        <v>84</v>
      </c>
      <c r="AF164" s="16" t="s">
        <v>84</v>
      </c>
      <c r="AG164" s="16">
        <v>269</v>
      </c>
      <c r="AH164" s="16">
        <v>269</v>
      </c>
      <c r="AI164" s="17">
        <v>269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 t="s">
        <v>85</v>
      </c>
      <c r="AP164" s="16" t="s">
        <v>2119</v>
      </c>
      <c r="AQ164" s="16" t="s">
        <v>2120</v>
      </c>
      <c r="AR164" s="16" t="s">
        <v>88</v>
      </c>
      <c r="AS164" s="16" t="s">
        <v>2121</v>
      </c>
      <c r="AT164" s="16">
        <v>13.45</v>
      </c>
      <c r="AU164" s="16" t="s">
        <v>90</v>
      </c>
      <c r="AV164" s="16">
        <v>1.5</v>
      </c>
      <c r="AW164" s="16" t="s">
        <v>115</v>
      </c>
      <c r="AX164" s="16" t="s">
        <v>116</v>
      </c>
      <c r="AY164" s="16" t="s">
        <v>117</v>
      </c>
      <c r="AZ164" s="16" t="s">
        <v>118</v>
      </c>
      <c r="BA164" s="16" t="s">
        <v>119</v>
      </c>
      <c r="BB164" s="16">
        <v>0</v>
      </c>
      <c r="BC164" s="16" t="s">
        <v>84</v>
      </c>
      <c r="BD164" s="16" t="s">
        <v>90</v>
      </c>
      <c r="BE164" s="16" t="s">
        <v>1212</v>
      </c>
      <c r="BF164" s="16" t="s">
        <v>1213</v>
      </c>
      <c r="BG164" s="16" t="s">
        <v>1214</v>
      </c>
      <c r="BH164" s="16" t="s">
        <v>2122</v>
      </c>
      <c r="BI164" s="16" t="s">
        <v>716</v>
      </c>
      <c r="BJ164" s="16">
        <v>269</v>
      </c>
      <c r="BK164" s="16">
        <v>269</v>
      </c>
      <c r="BL164" s="16">
        <v>269</v>
      </c>
      <c r="BM164" s="16" t="s">
        <v>96</v>
      </c>
      <c r="BN164" s="16">
        <v>1</v>
      </c>
      <c r="BO164" s="16" t="s">
        <v>84</v>
      </c>
      <c r="BP164" s="16" t="s">
        <v>84</v>
      </c>
      <c r="BQ164" s="16" t="s">
        <v>84</v>
      </c>
      <c r="BR164" s="16" t="s">
        <v>97</v>
      </c>
      <c r="BS164" s="16" t="s">
        <v>98</v>
      </c>
      <c r="BT164" s="16">
        <v>0</v>
      </c>
    </row>
    <row r="165" s="1" customFormat="1" ht="16" customHeight="1" spans="1:72">
      <c r="A165" s="14">
        <f t="shared" si="26"/>
        <v>2025</v>
      </c>
      <c r="B165" s="14">
        <f t="shared" si="27"/>
        <v>8</v>
      </c>
      <c r="C165" s="14" t="str">
        <f t="shared" si="28"/>
        <v>3729941529397441280</v>
      </c>
      <c r="D165" s="14" cm="1">
        <f t="array" ref="D165">SUMPRODUCT(($R$2:$R$374=C165)*1)</f>
        <v>1</v>
      </c>
      <c r="E165" s="14" cm="1">
        <f t="array" ref="E165">SUMPRODUCT(($R$2:R165=C165)*1)</f>
        <v>1</v>
      </c>
      <c r="F165" s="15" t="str">
        <f t="shared" si="29"/>
        <v>Z2183-黑色-L</v>
      </c>
      <c r="G165" s="14" t="str">
        <f t="shared" si="30"/>
        <v>Z2183</v>
      </c>
      <c r="H165" s="15">
        <f t="shared" si="31"/>
        <v>0</v>
      </c>
      <c r="I165" s="14">
        <f t="shared" si="32"/>
        <v>0</v>
      </c>
      <c r="J165" s="15">
        <f t="shared" si="33"/>
        <v>0</v>
      </c>
      <c r="K165" s="15">
        <f t="shared" si="34"/>
        <v>0</v>
      </c>
      <c r="L165" s="15">
        <f t="shared" si="35"/>
        <v>0</v>
      </c>
      <c r="M165" s="15">
        <f t="shared" si="36"/>
        <v>0</v>
      </c>
      <c r="N165" s="15">
        <f t="shared" si="37"/>
        <v>0</v>
      </c>
      <c r="O165" s="15">
        <f t="shared" si="38"/>
        <v>0</v>
      </c>
      <c r="R165" s="16" t="s">
        <v>2123</v>
      </c>
      <c r="S165" s="16" t="s">
        <v>2124</v>
      </c>
      <c r="T165" s="16" t="s">
        <v>2125</v>
      </c>
      <c r="U165" s="16" t="s">
        <v>2126</v>
      </c>
      <c r="V165" s="16" t="s">
        <v>2127</v>
      </c>
      <c r="W165" s="16" t="s">
        <v>104</v>
      </c>
      <c r="X165" s="16" t="s">
        <v>77</v>
      </c>
      <c r="Y165" s="16" t="s">
        <v>1953</v>
      </c>
      <c r="Z165" s="16" t="s">
        <v>2128</v>
      </c>
      <c r="AA165" s="16" t="s">
        <v>430</v>
      </c>
      <c r="AB165" s="16" t="s">
        <v>430</v>
      </c>
      <c r="AC165" s="16" t="s">
        <v>2129</v>
      </c>
      <c r="AD165" s="16" t="s">
        <v>2130</v>
      </c>
      <c r="AE165" s="16" t="s">
        <v>84</v>
      </c>
      <c r="AF165" s="16" t="s">
        <v>2131</v>
      </c>
      <c r="AG165" s="16">
        <v>129</v>
      </c>
      <c r="AH165" s="16">
        <v>129</v>
      </c>
      <c r="AI165" s="17">
        <v>129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 t="s">
        <v>137</v>
      </c>
      <c r="AP165" s="16" t="s">
        <v>2132</v>
      </c>
      <c r="AQ165" s="16" t="s">
        <v>2133</v>
      </c>
      <c r="AR165" s="16" t="s">
        <v>88</v>
      </c>
      <c r="AS165" s="16" t="s">
        <v>2134</v>
      </c>
      <c r="AT165" s="16">
        <v>0</v>
      </c>
      <c r="AU165" s="16" t="s">
        <v>90</v>
      </c>
      <c r="AV165" s="16">
        <v>1.5</v>
      </c>
      <c r="AW165" s="16" t="s">
        <v>115</v>
      </c>
      <c r="AX165" s="16" t="s">
        <v>116</v>
      </c>
      <c r="AY165" s="16" t="s">
        <v>117</v>
      </c>
      <c r="AZ165" s="16" t="s">
        <v>118</v>
      </c>
      <c r="BA165" s="16" t="s">
        <v>119</v>
      </c>
      <c r="BB165" s="16">
        <v>0</v>
      </c>
      <c r="BC165" s="16" t="s">
        <v>84</v>
      </c>
      <c r="BD165" s="16" t="s">
        <v>90</v>
      </c>
      <c r="BE165" s="16" t="s">
        <v>610</v>
      </c>
      <c r="BF165" s="16" t="s">
        <v>611</v>
      </c>
      <c r="BG165" s="16" t="s">
        <v>612</v>
      </c>
      <c r="BH165" s="16" t="s">
        <v>1174</v>
      </c>
      <c r="BI165" s="16" t="s">
        <v>1175</v>
      </c>
      <c r="BJ165" s="16">
        <v>129</v>
      </c>
      <c r="BK165" s="16">
        <v>129</v>
      </c>
      <c r="BL165" s="16">
        <v>129</v>
      </c>
      <c r="BM165" s="16" t="s">
        <v>96</v>
      </c>
      <c r="BN165" s="16">
        <v>1</v>
      </c>
      <c r="BO165" s="16" t="s">
        <v>84</v>
      </c>
      <c r="BP165" s="16" t="s">
        <v>84</v>
      </c>
      <c r="BQ165" s="16" t="s">
        <v>84</v>
      </c>
      <c r="BR165" s="16" t="s">
        <v>97</v>
      </c>
      <c r="BS165" s="16" t="s">
        <v>125</v>
      </c>
      <c r="BT165" s="16">
        <v>129</v>
      </c>
    </row>
    <row r="166" s="1" customFormat="1" ht="16" customHeight="1" spans="1:72">
      <c r="A166" s="14">
        <f t="shared" ref="A166:A229" si="39">IFERROR(YEAR(V166),"")</f>
        <v>2025</v>
      </c>
      <c r="B166" s="14">
        <f t="shared" ref="B166:B229" si="40">IFERROR(MONTH(V166),"")</f>
        <v>8</v>
      </c>
      <c r="C166" s="14" t="str">
        <f t="shared" ref="C166:C229" si="41">R166</f>
        <v>3729941181558044416</v>
      </c>
      <c r="D166" s="14" cm="1">
        <f t="array" ref="D166">SUMPRODUCT(($R$2:$R$374=C166)*1)</f>
        <v>1</v>
      </c>
      <c r="E166" s="14" cm="1">
        <f t="array" ref="E166">SUMPRODUCT(($R$2:R166=C166)*1)</f>
        <v>1</v>
      </c>
      <c r="F166" s="15" t="str">
        <f t="shared" ref="F166:F229" si="42">BH166</f>
        <v>Z2183-黑色-XL</v>
      </c>
      <c r="G166" s="14" t="str">
        <f t="shared" ref="G166:G229" si="43">LEFT(F166,FIND("-",F166)-1)</f>
        <v>Z2183</v>
      </c>
      <c r="H166" s="15">
        <f t="shared" ref="H166:H229" si="44">IF(AND(BR166="已发货",BT166&lt;BL166,W166="已完成"),BN166,0)</f>
        <v>0</v>
      </c>
      <c r="I166" s="14">
        <f t="shared" ref="I166:I229" si="45">IF(H166=0,BJ166-BT166,H166*BJ166-BT166)</f>
        <v>0</v>
      </c>
      <c r="J166" s="15">
        <f t="shared" ref="J166:J229" si="46">IF(AND(H166&gt;0,E166=1),SUM(AK166:AN166),-SUM(AK166:AN166))</f>
        <v>0</v>
      </c>
      <c r="K166" s="15">
        <f t="shared" ref="K166:K229" si="47">AJ166</f>
        <v>0</v>
      </c>
      <c r="L166" s="15">
        <f t="shared" ref="L166:L229" si="48">IF(E166=1,-SUM(AT166:AU166),0)</f>
        <v>0</v>
      </c>
      <c r="M166" s="15">
        <f t="shared" ref="M166:M229" si="49">IF(AND(E166=1,H166&gt;0),-SUM(BB166),0)</f>
        <v>0</v>
      </c>
      <c r="N166" s="15">
        <f t="shared" ref="N166:N229" si="50">IF(AND(E166=1,H166&gt;0),-SUM(AV166),0)</f>
        <v>0</v>
      </c>
      <c r="O166" s="15">
        <f t="shared" ref="O166:O229" si="51">SUM(I166:N166)</f>
        <v>0</v>
      </c>
      <c r="R166" s="16" t="s">
        <v>2135</v>
      </c>
      <c r="S166" s="16" t="s">
        <v>2136</v>
      </c>
      <c r="T166" s="16" t="s">
        <v>2137</v>
      </c>
      <c r="U166" s="16" t="s">
        <v>90</v>
      </c>
      <c r="V166" s="16" t="s">
        <v>2138</v>
      </c>
      <c r="W166" s="16" t="s">
        <v>104</v>
      </c>
      <c r="X166" s="16" t="s">
        <v>77</v>
      </c>
      <c r="Y166" s="16" t="s">
        <v>2139</v>
      </c>
      <c r="Z166" s="16" t="s">
        <v>331</v>
      </c>
      <c r="AA166" s="16" t="s">
        <v>332</v>
      </c>
      <c r="AB166" s="16" t="s">
        <v>333</v>
      </c>
      <c r="AC166" s="16" t="s">
        <v>334</v>
      </c>
      <c r="AD166" s="16" t="s">
        <v>2140</v>
      </c>
      <c r="AE166" s="16" t="s">
        <v>84</v>
      </c>
      <c r="AF166" s="16" t="s">
        <v>2141</v>
      </c>
      <c r="AG166" s="16">
        <v>129</v>
      </c>
      <c r="AH166" s="16">
        <v>129</v>
      </c>
      <c r="AI166" s="17">
        <v>129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 t="s">
        <v>85</v>
      </c>
      <c r="AP166" s="16" t="s">
        <v>2142</v>
      </c>
      <c r="AQ166" s="16" t="s">
        <v>2143</v>
      </c>
      <c r="AR166" s="16" t="s">
        <v>88</v>
      </c>
      <c r="AS166" s="16" t="s">
        <v>2144</v>
      </c>
      <c r="AT166" s="16">
        <v>0</v>
      </c>
      <c r="AU166" s="16" t="s">
        <v>90</v>
      </c>
      <c r="AV166" s="16">
        <v>1.5</v>
      </c>
      <c r="AW166" s="16" t="s">
        <v>115</v>
      </c>
      <c r="AX166" s="16" t="s">
        <v>116</v>
      </c>
      <c r="AY166" s="16" t="s">
        <v>117</v>
      </c>
      <c r="AZ166" s="16" t="s">
        <v>118</v>
      </c>
      <c r="BA166" s="16" t="s">
        <v>119</v>
      </c>
      <c r="BB166" s="16">
        <v>0</v>
      </c>
      <c r="BC166" s="16" t="s">
        <v>84</v>
      </c>
      <c r="BD166" s="16" t="s">
        <v>90</v>
      </c>
      <c r="BE166" s="16" t="s">
        <v>610</v>
      </c>
      <c r="BF166" s="16" t="s">
        <v>611</v>
      </c>
      <c r="BG166" s="16" t="s">
        <v>612</v>
      </c>
      <c r="BH166" s="16" t="s">
        <v>613</v>
      </c>
      <c r="BI166" s="16" t="s">
        <v>614</v>
      </c>
      <c r="BJ166" s="16">
        <v>129</v>
      </c>
      <c r="BK166" s="16">
        <v>129</v>
      </c>
      <c r="BL166" s="16">
        <v>129</v>
      </c>
      <c r="BM166" s="16" t="s">
        <v>96</v>
      </c>
      <c r="BN166" s="16">
        <v>1</v>
      </c>
      <c r="BO166" s="16" t="s">
        <v>84</v>
      </c>
      <c r="BP166" s="16" t="s">
        <v>84</v>
      </c>
      <c r="BQ166" s="16" t="s">
        <v>84</v>
      </c>
      <c r="BR166" s="16" t="s">
        <v>97</v>
      </c>
      <c r="BS166" s="16" t="s">
        <v>125</v>
      </c>
      <c r="BT166" s="16">
        <v>129</v>
      </c>
    </row>
    <row r="167" s="1" customFormat="1" ht="16" customHeight="1" spans="1:72">
      <c r="A167" s="14">
        <f t="shared" si="39"/>
        <v>2025</v>
      </c>
      <c r="B167" s="14">
        <f t="shared" si="40"/>
        <v>8</v>
      </c>
      <c r="C167" s="14" t="str">
        <f t="shared" si="41"/>
        <v>3729940697152368896</v>
      </c>
      <c r="D167" s="14" cm="1">
        <f t="array" ref="D167">SUMPRODUCT(($R$2:$R$374=C167)*1)</f>
        <v>1</v>
      </c>
      <c r="E167" s="14" cm="1">
        <f t="array" ref="E167">SUMPRODUCT(($R$2:R167=C167)*1)</f>
        <v>1</v>
      </c>
      <c r="F167" s="15" t="str">
        <f t="shared" si="42"/>
        <v>Z2183-黑色-XL</v>
      </c>
      <c r="G167" s="14" t="str">
        <f t="shared" si="43"/>
        <v>Z2183</v>
      </c>
      <c r="H167" s="15">
        <f t="shared" si="44"/>
        <v>1</v>
      </c>
      <c r="I167" s="14">
        <f t="shared" si="45"/>
        <v>129</v>
      </c>
      <c r="J167" s="15">
        <f t="shared" si="46"/>
        <v>0</v>
      </c>
      <c r="K167" s="15">
        <f t="shared" si="47"/>
        <v>0</v>
      </c>
      <c r="L167" s="15">
        <f t="shared" si="48"/>
        <v>-6.45</v>
      </c>
      <c r="M167" s="15">
        <f t="shared" si="49"/>
        <v>0</v>
      </c>
      <c r="N167" s="15">
        <f t="shared" si="50"/>
        <v>-1.5</v>
      </c>
      <c r="O167" s="15">
        <f t="shared" si="51"/>
        <v>121.05</v>
      </c>
      <c r="R167" s="16" t="s">
        <v>2145</v>
      </c>
      <c r="S167" s="16" t="s">
        <v>2146</v>
      </c>
      <c r="T167" s="16" t="s">
        <v>2147</v>
      </c>
      <c r="U167" s="16" t="s">
        <v>2148</v>
      </c>
      <c r="V167" s="16" t="s">
        <v>2149</v>
      </c>
      <c r="W167" s="16" t="s">
        <v>76</v>
      </c>
      <c r="X167" s="16" t="s">
        <v>77</v>
      </c>
      <c r="Y167" s="16" t="s">
        <v>2150</v>
      </c>
      <c r="Z167" s="16" t="s">
        <v>2151</v>
      </c>
      <c r="AA167" s="16" t="s">
        <v>482</v>
      </c>
      <c r="AB167" s="16" t="s">
        <v>483</v>
      </c>
      <c r="AC167" s="16" t="s">
        <v>2152</v>
      </c>
      <c r="AD167" s="16" t="s">
        <v>2153</v>
      </c>
      <c r="AE167" s="16" t="s">
        <v>84</v>
      </c>
      <c r="AF167" s="16" t="s">
        <v>84</v>
      </c>
      <c r="AG167" s="16">
        <v>129</v>
      </c>
      <c r="AH167" s="16">
        <v>129</v>
      </c>
      <c r="AI167" s="17">
        <v>129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 t="s">
        <v>137</v>
      </c>
      <c r="AP167" s="16" t="s">
        <v>2154</v>
      </c>
      <c r="AQ167" s="16" t="s">
        <v>2155</v>
      </c>
      <c r="AR167" s="16" t="s">
        <v>88</v>
      </c>
      <c r="AS167" s="16" t="s">
        <v>2156</v>
      </c>
      <c r="AT167" s="16">
        <v>6.45</v>
      </c>
      <c r="AU167" s="16" t="s">
        <v>90</v>
      </c>
      <c r="AV167" s="16">
        <v>1.5</v>
      </c>
      <c r="AW167" s="16" t="s">
        <v>115</v>
      </c>
      <c r="AX167" s="16" t="s">
        <v>116</v>
      </c>
      <c r="AY167" s="16" t="s">
        <v>117</v>
      </c>
      <c r="AZ167" s="16" t="s">
        <v>118</v>
      </c>
      <c r="BA167" s="16" t="s">
        <v>119</v>
      </c>
      <c r="BB167" s="16">
        <v>0</v>
      </c>
      <c r="BC167" s="16" t="s">
        <v>84</v>
      </c>
      <c r="BD167" s="16" t="s">
        <v>90</v>
      </c>
      <c r="BE167" s="16" t="s">
        <v>610</v>
      </c>
      <c r="BF167" s="16" t="s">
        <v>611</v>
      </c>
      <c r="BG167" s="16" t="s">
        <v>612</v>
      </c>
      <c r="BH167" s="16" t="s">
        <v>613</v>
      </c>
      <c r="BI167" s="16" t="s">
        <v>614</v>
      </c>
      <c r="BJ167" s="16">
        <v>129</v>
      </c>
      <c r="BK167" s="16">
        <v>129</v>
      </c>
      <c r="BL167" s="16">
        <v>129</v>
      </c>
      <c r="BM167" s="16" t="s">
        <v>96</v>
      </c>
      <c r="BN167" s="16">
        <v>1</v>
      </c>
      <c r="BO167" s="16" t="s">
        <v>84</v>
      </c>
      <c r="BP167" s="16" t="s">
        <v>84</v>
      </c>
      <c r="BQ167" s="16" t="s">
        <v>84</v>
      </c>
      <c r="BR167" s="16" t="s">
        <v>97</v>
      </c>
      <c r="BS167" s="16" t="s">
        <v>98</v>
      </c>
      <c r="BT167" s="16">
        <v>0</v>
      </c>
    </row>
    <row r="168" s="1" customFormat="1" ht="16" customHeight="1" spans="1:72">
      <c r="A168" s="14">
        <f t="shared" si="39"/>
        <v>2025</v>
      </c>
      <c r="B168" s="14">
        <f t="shared" si="40"/>
        <v>8</v>
      </c>
      <c r="C168" s="14" t="str">
        <f t="shared" si="41"/>
        <v>3729935299174609664</v>
      </c>
      <c r="D168" s="14" cm="1">
        <f t="array" ref="D168">SUMPRODUCT(($R$2:$R$374=C168)*1)</f>
        <v>1</v>
      </c>
      <c r="E168" s="14" cm="1">
        <f t="array" ref="E168">SUMPRODUCT(($R$2:R168=C168)*1)</f>
        <v>1</v>
      </c>
      <c r="F168" s="15" t="str">
        <f t="shared" si="42"/>
        <v>Z2278-黑色-S</v>
      </c>
      <c r="G168" s="14" t="str">
        <f t="shared" si="43"/>
        <v>Z2278</v>
      </c>
      <c r="H168" s="15">
        <f t="shared" si="44"/>
        <v>1</v>
      </c>
      <c r="I168" s="14">
        <f t="shared" si="45"/>
        <v>229</v>
      </c>
      <c r="J168" s="15">
        <f t="shared" si="46"/>
        <v>0</v>
      </c>
      <c r="K168" s="15">
        <f t="shared" si="47"/>
        <v>0</v>
      </c>
      <c r="L168" s="15">
        <f t="shared" si="48"/>
        <v>-2.29</v>
      </c>
      <c r="M168" s="15">
        <f t="shared" si="49"/>
        <v>0</v>
      </c>
      <c r="N168" s="15">
        <f t="shared" si="50"/>
        <v>-1.5</v>
      </c>
      <c r="O168" s="15">
        <f t="shared" si="51"/>
        <v>225.21</v>
      </c>
      <c r="R168" s="16" t="s">
        <v>2157</v>
      </c>
      <c r="S168" s="16" t="s">
        <v>2158</v>
      </c>
      <c r="T168" s="16" t="s">
        <v>2159</v>
      </c>
      <c r="U168" s="16" t="s">
        <v>2160</v>
      </c>
      <c r="V168" s="16" t="s">
        <v>2161</v>
      </c>
      <c r="W168" s="16" t="s">
        <v>76</v>
      </c>
      <c r="X168" s="16" t="s">
        <v>77</v>
      </c>
      <c r="Y168" s="16" t="s">
        <v>2162</v>
      </c>
      <c r="Z168" s="16" t="s">
        <v>2163</v>
      </c>
      <c r="AA168" s="16" t="s">
        <v>1365</v>
      </c>
      <c r="AB168" s="16" t="s">
        <v>1366</v>
      </c>
      <c r="AC168" s="16" t="s">
        <v>2164</v>
      </c>
      <c r="AD168" s="16" t="s">
        <v>2165</v>
      </c>
      <c r="AE168" s="16" t="s">
        <v>84</v>
      </c>
      <c r="AF168" s="16" t="s">
        <v>84</v>
      </c>
      <c r="AG168" s="16">
        <v>229</v>
      </c>
      <c r="AH168" s="16">
        <v>229</v>
      </c>
      <c r="AI168" s="17">
        <v>229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 t="s">
        <v>85</v>
      </c>
      <c r="AP168" s="16" t="s">
        <v>2166</v>
      </c>
      <c r="AQ168" s="16" t="s">
        <v>2167</v>
      </c>
      <c r="AR168" s="16" t="s">
        <v>88</v>
      </c>
      <c r="AS168" s="16" t="s">
        <v>2168</v>
      </c>
      <c r="AT168" s="16">
        <v>2.29</v>
      </c>
      <c r="AU168" s="16" t="s">
        <v>90</v>
      </c>
      <c r="AV168" s="16">
        <v>1.5</v>
      </c>
      <c r="AW168" s="16" t="s">
        <v>992</v>
      </c>
      <c r="AX168" s="16" t="s">
        <v>993</v>
      </c>
      <c r="AY168" s="16" t="s">
        <v>994</v>
      </c>
      <c r="AZ168" s="16" t="s">
        <v>90</v>
      </c>
      <c r="BA168" s="16" t="s">
        <v>90</v>
      </c>
      <c r="BB168" s="16">
        <v>0</v>
      </c>
      <c r="BC168" s="16" t="s">
        <v>84</v>
      </c>
      <c r="BD168" s="16" t="s">
        <v>90</v>
      </c>
      <c r="BE168" s="16" t="s">
        <v>141</v>
      </c>
      <c r="BF168" s="16" t="s">
        <v>142</v>
      </c>
      <c r="BG168" s="16" t="s">
        <v>143</v>
      </c>
      <c r="BH168" s="16" t="s">
        <v>144</v>
      </c>
      <c r="BI168" s="16" t="s">
        <v>145</v>
      </c>
      <c r="BJ168" s="16">
        <v>229</v>
      </c>
      <c r="BK168" s="16">
        <v>229</v>
      </c>
      <c r="BL168" s="16">
        <v>229</v>
      </c>
      <c r="BM168" s="16" t="s">
        <v>96</v>
      </c>
      <c r="BN168" s="16">
        <v>1</v>
      </c>
      <c r="BO168" s="16" t="s">
        <v>84</v>
      </c>
      <c r="BP168" s="16" t="s">
        <v>84</v>
      </c>
      <c r="BQ168" s="16" t="s">
        <v>84</v>
      </c>
      <c r="BR168" s="16" t="s">
        <v>97</v>
      </c>
      <c r="BS168" s="16" t="s">
        <v>98</v>
      </c>
      <c r="BT168" s="16">
        <v>0</v>
      </c>
    </row>
    <row r="169" s="1" customFormat="1" ht="16" customHeight="1" spans="1:72">
      <c r="A169" s="14">
        <f t="shared" si="39"/>
        <v>2025</v>
      </c>
      <c r="B169" s="14">
        <f t="shared" si="40"/>
        <v>8</v>
      </c>
      <c r="C169" s="14" t="str">
        <f t="shared" si="41"/>
        <v>3729934349774235136</v>
      </c>
      <c r="D169" s="14" cm="1">
        <f t="array" ref="D169">SUMPRODUCT(($R$2:$R$374=C169)*1)</f>
        <v>1</v>
      </c>
      <c r="E169" s="14" cm="1">
        <f t="array" ref="E169">SUMPRODUCT(($R$2:R169=C169)*1)</f>
        <v>1</v>
      </c>
      <c r="F169" s="15" t="str">
        <f t="shared" si="42"/>
        <v>Z2299-蓝色-M</v>
      </c>
      <c r="G169" s="14" t="str">
        <f t="shared" si="43"/>
        <v>Z2299</v>
      </c>
      <c r="H169" s="15">
        <f t="shared" si="44"/>
        <v>1</v>
      </c>
      <c r="I169" s="14">
        <f t="shared" si="45"/>
        <v>299</v>
      </c>
      <c r="J169" s="15">
        <f t="shared" si="46"/>
        <v>0</v>
      </c>
      <c r="K169" s="15">
        <f t="shared" si="47"/>
        <v>0</v>
      </c>
      <c r="L169" s="15">
        <f t="shared" si="48"/>
        <v>-2.99</v>
      </c>
      <c r="M169" s="15">
        <f t="shared" si="49"/>
        <v>0</v>
      </c>
      <c r="N169" s="15">
        <f t="shared" si="50"/>
        <v>-1.5</v>
      </c>
      <c r="O169" s="15">
        <f t="shared" si="51"/>
        <v>294.51</v>
      </c>
      <c r="R169" s="16" t="s">
        <v>2169</v>
      </c>
      <c r="S169" s="16" t="s">
        <v>2170</v>
      </c>
      <c r="T169" s="16" t="s">
        <v>2171</v>
      </c>
      <c r="U169" s="16" t="s">
        <v>2172</v>
      </c>
      <c r="V169" s="16" t="s">
        <v>2173</v>
      </c>
      <c r="W169" s="16" t="s">
        <v>76</v>
      </c>
      <c r="X169" s="16" t="s">
        <v>77</v>
      </c>
      <c r="Y169" s="16" t="s">
        <v>2174</v>
      </c>
      <c r="Z169" s="16" t="s">
        <v>2175</v>
      </c>
      <c r="AA169" s="16" t="s">
        <v>1547</v>
      </c>
      <c r="AB169" s="16" t="s">
        <v>2176</v>
      </c>
      <c r="AC169" s="16" t="s">
        <v>2177</v>
      </c>
      <c r="AD169" s="16" t="s">
        <v>2178</v>
      </c>
      <c r="AE169" s="16" t="s">
        <v>84</v>
      </c>
      <c r="AF169" s="16" t="s">
        <v>84</v>
      </c>
      <c r="AG169" s="16">
        <v>299</v>
      </c>
      <c r="AH169" s="16">
        <v>299</v>
      </c>
      <c r="AI169" s="17">
        <v>299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 t="s">
        <v>85</v>
      </c>
      <c r="AP169" s="16" t="s">
        <v>2179</v>
      </c>
      <c r="AQ169" s="16" t="s">
        <v>2180</v>
      </c>
      <c r="AR169" s="16" t="s">
        <v>88</v>
      </c>
      <c r="AS169" s="16" t="s">
        <v>2181</v>
      </c>
      <c r="AT169" s="16">
        <v>2.99</v>
      </c>
      <c r="AU169" s="16" t="s">
        <v>90</v>
      </c>
      <c r="AV169" s="16">
        <v>1.5</v>
      </c>
      <c r="AW169" s="16" t="s">
        <v>992</v>
      </c>
      <c r="AX169" s="16" t="s">
        <v>993</v>
      </c>
      <c r="AY169" s="16" t="s">
        <v>994</v>
      </c>
      <c r="AZ169" s="16" t="s">
        <v>90</v>
      </c>
      <c r="BA169" s="16" t="s">
        <v>90</v>
      </c>
      <c r="BB169" s="16">
        <v>0</v>
      </c>
      <c r="BC169" s="16" t="s">
        <v>84</v>
      </c>
      <c r="BD169" s="16" t="s">
        <v>90</v>
      </c>
      <c r="BE169" s="16" t="s">
        <v>807</v>
      </c>
      <c r="BF169" s="16" t="s">
        <v>808</v>
      </c>
      <c r="BG169" s="16" t="s">
        <v>809</v>
      </c>
      <c r="BH169" s="16" t="s">
        <v>810</v>
      </c>
      <c r="BI169" s="16" t="s">
        <v>811</v>
      </c>
      <c r="BJ169" s="16">
        <v>299</v>
      </c>
      <c r="BK169" s="16">
        <v>299</v>
      </c>
      <c r="BL169" s="16">
        <v>299</v>
      </c>
      <c r="BM169" s="16" t="s">
        <v>96</v>
      </c>
      <c r="BN169" s="16">
        <v>1</v>
      </c>
      <c r="BO169" s="16" t="s">
        <v>84</v>
      </c>
      <c r="BP169" s="16" t="s">
        <v>84</v>
      </c>
      <c r="BQ169" s="16" t="s">
        <v>84</v>
      </c>
      <c r="BR169" s="16" t="s">
        <v>97</v>
      </c>
      <c r="BS169" s="16" t="s">
        <v>98</v>
      </c>
      <c r="BT169" s="16">
        <v>0</v>
      </c>
    </row>
    <row r="170" s="1" customFormat="1" ht="16" customHeight="1" spans="1:72">
      <c r="A170" s="14">
        <f t="shared" si="39"/>
        <v>2025</v>
      </c>
      <c r="B170" s="14">
        <f t="shared" si="40"/>
        <v>8</v>
      </c>
      <c r="C170" s="14" t="str">
        <f t="shared" si="41"/>
        <v>3729919719930214400</v>
      </c>
      <c r="D170" s="14" cm="1">
        <f t="array" ref="D170">SUMPRODUCT(($R$2:$R$374=C170)*1)</f>
        <v>1</v>
      </c>
      <c r="E170" s="14" cm="1">
        <f t="array" ref="E170">SUMPRODUCT(($R$2:R170=C170)*1)</f>
        <v>1</v>
      </c>
      <c r="F170" s="15" t="str">
        <f t="shared" si="42"/>
        <v>Z1763-白色-S</v>
      </c>
      <c r="G170" s="14" t="str">
        <f t="shared" si="43"/>
        <v>Z1763</v>
      </c>
      <c r="H170" s="15">
        <f t="shared" si="44"/>
        <v>1</v>
      </c>
      <c r="I170" s="14">
        <f t="shared" si="45"/>
        <v>139</v>
      </c>
      <c r="J170" s="15">
        <f t="shared" si="46"/>
        <v>0</v>
      </c>
      <c r="K170" s="15">
        <f t="shared" si="47"/>
        <v>0</v>
      </c>
      <c r="L170" s="15">
        <f t="shared" si="48"/>
        <v>-6.95</v>
      </c>
      <c r="M170" s="15">
        <f t="shared" si="49"/>
        <v>0</v>
      </c>
      <c r="N170" s="15">
        <f t="shared" si="50"/>
        <v>-1.5</v>
      </c>
      <c r="O170" s="15">
        <f t="shared" si="51"/>
        <v>130.55</v>
      </c>
      <c r="R170" s="16" t="s">
        <v>2182</v>
      </c>
      <c r="S170" s="16" t="s">
        <v>2183</v>
      </c>
      <c r="T170" s="16" t="s">
        <v>2184</v>
      </c>
      <c r="U170" s="16" t="s">
        <v>2185</v>
      </c>
      <c r="V170" s="16" t="s">
        <v>2186</v>
      </c>
      <c r="W170" s="16" t="s">
        <v>76</v>
      </c>
      <c r="X170" s="16" t="s">
        <v>77</v>
      </c>
      <c r="Y170" s="16" t="s">
        <v>2187</v>
      </c>
      <c r="Z170" s="16" t="s">
        <v>638</v>
      </c>
      <c r="AA170" s="16" t="s">
        <v>430</v>
      </c>
      <c r="AB170" s="16" t="s">
        <v>430</v>
      </c>
      <c r="AC170" s="16" t="s">
        <v>639</v>
      </c>
      <c r="AD170" s="16" t="s">
        <v>2188</v>
      </c>
      <c r="AE170" s="16" t="s">
        <v>84</v>
      </c>
      <c r="AF170" s="16" t="s">
        <v>84</v>
      </c>
      <c r="AG170" s="16">
        <v>139</v>
      </c>
      <c r="AH170" s="16">
        <v>139</v>
      </c>
      <c r="AI170" s="17">
        <v>139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 t="s">
        <v>85</v>
      </c>
      <c r="AP170" s="16" t="s">
        <v>2189</v>
      </c>
      <c r="AQ170" s="16" t="s">
        <v>2190</v>
      </c>
      <c r="AR170" s="16" t="s">
        <v>88</v>
      </c>
      <c r="AS170" s="16" t="s">
        <v>2191</v>
      </c>
      <c r="AT170" s="16">
        <v>6.95</v>
      </c>
      <c r="AU170" s="16" t="s">
        <v>90</v>
      </c>
      <c r="AV170" s="16">
        <v>1.5</v>
      </c>
      <c r="AW170" s="16" t="s">
        <v>115</v>
      </c>
      <c r="AX170" s="16" t="s">
        <v>116</v>
      </c>
      <c r="AY170" s="16" t="s">
        <v>117</v>
      </c>
      <c r="AZ170" s="16" t="s">
        <v>118</v>
      </c>
      <c r="BA170" s="16" t="s">
        <v>119</v>
      </c>
      <c r="BB170" s="16">
        <v>0</v>
      </c>
      <c r="BC170" s="16" t="s">
        <v>84</v>
      </c>
      <c r="BD170" s="16" t="s">
        <v>90</v>
      </c>
      <c r="BE170" s="16" t="s">
        <v>2192</v>
      </c>
      <c r="BF170" s="16" t="s">
        <v>2193</v>
      </c>
      <c r="BG170" s="16" t="s">
        <v>2194</v>
      </c>
      <c r="BH170" s="16" t="s">
        <v>2195</v>
      </c>
      <c r="BI170" s="16" t="s">
        <v>1698</v>
      </c>
      <c r="BJ170" s="16">
        <v>139</v>
      </c>
      <c r="BK170" s="16">
        <v>139</v>
      </c>
      <c r="BL170" s="16">
        <v>139</v>
      </c>
      <c r="BM170" s="16" t="s">
        <v>96</v>
      </c>
      <c r="BN170" s="16">
        <v>1</v>
      </c>
      <c r="BO170" s="16" t="s">
        <v>84</v>
      </c>
      <c r="BP170" s="16" t="s">
        <v>84</v>
      </c>
      <c r="BQ170" s="16" t="s">
        <v>84</v>
      </c>
      <c r="BR170" s="16" t="s">
        <v>97</v>
      </c>
      <c r="BS170" s="16" t="s">
        <v>98</v>
      </c>
      <c r="BT170" s="16">
        <v>0</v>
      </c>
    </row>
    <row r="171" s="1" customFormat="1" ht="16" customHeight="1" spans="1:72">
      <c r="A171" s="14">
        <f t="shared" si="39"/>
        <v>2025</v>
      </c>
      <c r="B171" s="14">
        <f t="shared" si="40"/>
        <v>8</v>
      </c>
      <c r="C171" s="14" t="str">
        <f t="shared" si="41"/>
        <v>3729916805788611584</v>
      </c>
      <c r="D171" s="14" cm="1">
        <f t="array" ref="D171">SUMPRODUCT(($R$2:$R$374=C171)*1)</f>
        <v>1</v>
      </c>
      <c r="E171" s="14" cm="1">
        <f t="array" ref="E171">SUMPRODUCT(($R$2:R171=C171)*1)</f>
        <v>1</v>
      </c>
      <c r="F171" s="15" t="str">
        <f t="shared" si="42"/>
        <v>Z2313-黑色-L</v>
      </c>
      <c r="G171" s="14" t="str">
        <f t="shared" si="43"/>
        <v>Z2313</v>
      </c>
      <c r="H171" s="15">
        <f t="shared" si="44"/>
        <v>1</v>
      </c>
      <c r="I171" s="14">
        <f t="shared" si="45"/>
        <v>329</v>
      </c>
      <c r="J171" s="15">
        <f t="shared" si="46"/>
        <v>0</v>
      </c>
      <c r="K171" s="15">
        <f t="shared" si="47"/>
        <v>0</v>
      </c>
      <c r="L171" s="15">
        <f t="shared" si="48"/>
        <v>-3.29</v>
      </c>
      <c r="M171" s="15">
        <f t="shared" si="49"/>
        <v>0</v>
      </c>
      <c r="N171" s="15">
        <f t="shared" si="50"/>
        <v>-1.5</v>
      </c>
      <c r="O171" s="15">
        <f t="shared" si="51"/>
        <v>324.21</v>
      </c>
      <c r="R171" s="16" t="s">
        <v>2196</v>
      </c>
      <c r="S171" s="16" t="s">
        <v>2197</v>
      </c>
      <c r="T171" s="16" t="s">
        <v>2198</v>
      </c>
      <c r="U171" s="16" t="s">
        <v>2199</v>
      </c>
      <c r="V171" s="16" t="s">
        <v>2200</v>
      </c>
      <c r="W171" s="16" t="s">
        <v>76</v>
      </c>
      <c r="X171" s="16" t="s">
        <v>77</v>
      </c>
      <c r="Y171" s="16" t="s">
        <v>510</v>
      </c>
      <c r="Z171" s="16" t="s">
        <v>2201</v>
      </c>
      <c r="AA171" s="16" t="s">
        <v>430</v>
      </c>
      <c r="AB171" s="16" t="s">
        <v>430</v>
      </c>
      <c r="AC171" s="16" t="s">
        <v>2202</v>
      </c>
      <c r="AD171" s="16" t="s">
        <v>2203</v>
      </c>
      <c r="AE171" s="16" t="s">
        <v>84</v>
      </c>
      <c r="AF171" s="16" t="s">
        <v>84</v>
      </c>
      <c r="AG171" s="16">
        <v>329</v>
      </c>
      <c r="AH171" s="16">
        <v>329</v>
      </c>
      <c r="AI171" s="17">
        <v>329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 t="s">
        <v>85</v>
      </c>
      <c r="AP171" s="16" t="s">
        <v>2204</v>
      </c>
      <c r="AQ171" s="16" t="s">
        <v>2205</v>
      </c>
      <c r="AR171" s="16" t="s">
        <v>88</v>
      </c>
      <c r="AS171" s="16" t="s">
        <v>2206</v>
      </c>
      <c r="AT171" s="16">
        <v>3.29</v>
      </c>
      <c r="AU171" s="16" t="s">
        <v>90</v>
      </c>
      <c r="AV171" s="16">
        <v>1.5</v>
      </c>
      <c r="AW171" s="16" t="s">
        <v>90</v>
      </c>
      <c r="AX171" s="16" t="s">
        <v>90</v>
      </c>
      <c r="AY171" s="16" t="s">
        <v>90</v>
      </c>
      <c r="AZ171" s="16" t="s">
        <v>90</v>
      </c>
      <c r="BA171" s="16" t="s">
        <v>90</v>
      </c>
      <c r="BB171" s="16">
        <v>0</v>
      </c>
      <c r="BC171" s="16"/>
      <c r="BD171" s="16" t="s">
        <v>90</v>
      </c>
      <c r="BE171" s="16" t="s">
        <v>2207</v>
      </c>
      <c r="BF171" s="16" t="s">
        <v>2208</v>
      </c>
      <c r="BG171" s="16" t="s">
        <v>2209</v>
      </c>
      <c r="BH171" s="16" t="s">
        <v>2210</v>
      </c>
      <c r="BI171" s="16" t="s">
        <v>2211</v>
      </c>
      <c r="BJ171" s="16">
        <v>329</v>
      </c>
      <c r="BK171" s="16">
        <v>329</v>
      </c>
      <c r="BL171" s="16">
        <v>329</v>
      </c>
      <c r="BM171" s="16" t="s">
        <v>96</v>
      </c>
      <c r="BN171" s="16">
        <v>1</v>
      </c>
      <c r="BO171" s="16" t="s">
        <v>84</v>
      </c>
      <c r="BP171" s="16" t="s">
        <v>84</v>
      </c>
      <c r="BQ171" s="16" t="s">
        <v>84</v>
      </c>
      <c r="BR171" s="16" t="s">
        <v>97</v>
      </c>
      <c r="BS171" s="16" t="s">
        <v>98</v>
      </c>
      <c r="BT171" s="16">
        <v>0</v>
      </c>
    </row>
    <row r="172" s="1" customFormat="1" ht="16" customHeight="1" spans="1:72">
      <c r="A172" s="14">
        <f t="shared" si="39"/>
        <v>2025</v>
      </c>
      <c r="B172" s="14">
        <f t="shared" si="40"/>
        <v>8</v>
      </c>
      <c r="C172" s="14" t="str">
        <f t="shared" si="41"/>
        <v>3729916145090311936</v>
      </c>
      <c r="D172" s="14" cm="1">
        <f t="array" ref="D172">SUMPRODUCT(($R$2:$R$374=C172)*1)</f>
        <v>1</v>
      </c>
      <c r="E172" s="14" cm="1">
        <f t="array" ref="E172">SUMPRODUCT(($R$2:R172=C172)*1)</f>
        <v>1</v>
      </c>
      <c r="F172" s="15" t="str">
        <f t="shared" si="42"/>
        <v>Z2271-条纹-S</v>
      </c>
      <c r="G172" s="14" t="str">
        <f t="shared" si="43"/>
        <v>Z2271</v>
      </c>
      <c r="H172" s="15">
        <f t="shared" si="44"/>
        <v>1</v>
      </c>
      <c r="I172" s="14">
        <f t="shared" si="45"/>
        <v>289</v>
      </c>
      <c r="J172" s="15">
        <f t="shared" si="46"/>
        <v>0</v>
      </c>
      <c r="K172" s="15">
        <f t="shared" si="47"/>
        <v>0</v>
      </c>
      <c r="L172" s="15">
        <f t="shared" si="48"/>
        <v>-14.45</v>
      </c>
      <c r="M172" s="15">
        <f t="shared" si="49"/>
        <v>0</v>
      </c>
      <c r="N172" s="15">
        <f t="shared" si="50"/>
        <v>-1.5</v>
      </c>
      <c r="O172" s="15">
        <f t="shared" si="51"/>
        <v>273.05</v>
      </c>
      <c r="R172" s="16" t="s">
        <v>2212</v>
      </c>
      <c r="S172" s="16" t="s">
        <v>2213</v>
      </c>
      <c r="T172" s="16" t="s">
        <v>2214</v>
      </c>
      <c r="U172" s="16" t="s">
        <v>2215</v>
      </c>
      <c r="V172" s="16" t="s">
        <v>2216</v>
      </c>
      <c r="W172" s="16" t="s">
        <v>76</v>
      </c>
      <c r="X172" s="16" t="s">
        <v>77</v>
      </c>
      <c r="Y172" s="16" t="s">
        <v>692</v>
      </c>
      <c r="Z172" s="16" t="s">
        <v>152</v>
      </c>
      <c r="AA172" s="16" t="s">
        <v>153</v>
      </c>
      <c r="AB172" s="16" t="s">
        <v>153</v>
      </c>
      <c r="AC172" s="16" t="s">
        <v>154</v>
      </c>
      <c r="AD172" s="16" t="s">
        <v>2217</v>
      </c>
      <c r="AE172" s="16" t="s">
        <v>84</v>
      </c>
      <c r="AF172" s="16" t="s">
        <v>84</v>
      </c>
      <c r="AG172" s="16">
        <v>289</v>
      </c>
      <c r="AH172" s="16">
        <v>289</v>
      </c>
      <c r="AI172" s="17">
        <v>289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 t="s">
        <v>85</v>
      </c>
      <c r="AP172" s="16" t="s">
        <v>2218</v>
      </c>
      <c r="AQ172" s="16" t="s">
        <v>2219</v>
      </c>
      <c r="AR172" s="16" t="s">
        <v>88</v>
      </c>
      <c r="AS172" s="16" t="s">
        <v>2220</v>
      </c>
      <c r="AT172" s="16">
        <v>14.45</v>
      </c>
      <c r="AU172" s="16" t="s">
        <v>90</v>
      </c>
      <c r="AV172" s="16">
        <v>1.5</v>
      </c>
      <c r="AW172" s="16" t="s">
        <v>115</v>
      </c>
      <c r="AX172" s="16" t="s">
        <v>116</v>
      </c>
      <c r="AY172" s="16" t="s">
        <v>117</v>
      </c>
      <c r="AZ172" s="16" t="s">
        <v>118</v>
      </c>
      <c r="BA172" s="16" t="s">
        <v>119</v>
      </c>
      <c r="BB172" s="16">
        <v>0</v>
      </c>
      <c r="BC172" s="16" t="s">
        <v>84</v>
      </c>
      <c r="BD172" s="16" t="s">
        <v>90</v>
      </c>
      <c r="BE172" s="16" t="s">
        <v>519</v>
      </c>
      <c r="BF172" s="16" t="s">
        <v>520</v>
      </c>
      <c r="BG172" s="16" t="s">
        <v>521</v>
      </c>
      <c r="BH172" s="16" t="s">
        <v>522</v>
      </c>
      <c r="BI172" s="16" t="s">
        <v>523</v>
      </c>
      <c r="BJ172" s="16">
        <v>289</v>
      </c>
      <c r="BK172" s="16">
        <v>289</v>
      </c>
      <c r="BL172" s="16">
        <v>289</v>
      </c>
      <c r="BM172" s="16" t="s">
        <v>96</v>
      </c>
      <c r="BN172" s="16">
        <v>1</v>
      </c>
      <c r="BO172" s="16" t="s">
        <v>84</v>
      </c>
      <c r="BP172" s="16" t="s">
        <v>84</v>
      </c>
      <c r="BQ172" s="16" t="s">
        <v>84</v>
      </c>
      <c r="BR172" s="16" t="s">
        <v>97</v>
      </c>
      <c r="BS172" s="16" t="s">
        <v>98</v>
      </c>
      <c r="BT172" s="16">
        <v>0</v>
      </c>
    </row>
    <row r="173" s="1" customFormat="1" ht="16" customHeight="1" spans="1:72">
      <c r="A173" s="14">
        <f t="shared" si="39"/>
        <v>2025</v>
      </c>
      <c r="B173" s="14">
        <f t="shared" si="40"/>
        <v>8</v>
      </c>
      <c r="C173" s="14" t="str">
        <f t="shared" si="41"/>
        <v>3729914995070081536</v>
      </c>
      <c r="D173" s="14" cm="1">
        <f t="array" ref="D173">SUMPRODUCT(($R$2:$R$374=C173)*1)</f>
        <v>1</v>
      </c>
      <c r="E173" s="14" cm="1">
        <f t="array" ref="E173">SUMPRODUCT(($R$2:R173=C173)*1)</f>
        <v>1</v>
      </c>
      <c r="F173" s="15" t="str">
        <f t="shared" si="42"/>
        <v>Z2278-黑色-L</v>
      </c>
      <c r="G173" s="14" t="str">
        <f t="shared" si="43"/>
        <v>Z2278</v>
      </c>
      <c r="H173" s="15">
        <f t="shared" si="44"/>
        <v>1</v>
      </c>
      <c r="I173" s="14">
        <f t="shared" si="45"/>
        <v>229</v>
      </c>
      <c r="J173" s="15">
        <f t="shared" si="46"/>
        <v>0</v>
      </c>
      <c r="K173" s="15">
        <f t="shared" si="47"/>
        <v>0</v>
      </c>
      <c r="L173" s="15">
        <f t="shared" si="48"/>
        <v>-2.29</v>
      </c>
      <c r="M173" s="15">
        <f t="shared" si="49"/>
        <v>0</v>
      </c>
      <c r="N173" s="15">
        <f t="shared" si="50"/>
        <v>-1.5</v>
      </c>
      <c r="O173" s="15">
        <f t="shared" si="51"/>
        <v>225.21</v>
      </c>
      <c r="R173" s="16" t="s">
        <v>2221</v>
      </c>
      <c r="S173" s="16" t="s">
        <v>2222</v>
      </c>
      <c r="T173" s="16" t="s">
        <v>2223</v>
      </c>
      <c r="U173" s="16" t="s">
        <v>2224</v>
      </c>
      <c r="V173" s="16" t="s">
        <v>2225</v>
      </c>
      <c r="W173" s="16" t="s">
        <v>76</v>
      </c>
      <c r="X173" s="16" t="s">
        <v>77</v>
      </c>
      <c r="Y173" s="16" t="s">
        <v>2226</v>
      </c>
      <c r="Z173" s="16" t="s">
        <v>2227</v>
      </c>
      <c r="AA173" s="16" t="s">
        <v>482</v>
      </c>
      <c r="AB173" s="16" t="s">
        <v>2228</v>
      </c>
      <c r="AC173" s="16" t="s">
        <v>2229</v>
      </c>
      <c r="AD173" s="16" t="s">
        <v>2230</v>
      </c>
      <c r="AE173" s="16" t="s">
        <v>84</v>
      </c>
      <c r="AF173" s="16" t="s">
        <v>84</v>
      </c>
      <c r="AG173" s="16">
        <v>229</v>
      </c>
      <c r="AH173" s="16">
        <v>229</v>
      </c>
      <c r="AI173" s="17">
        <v>229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 t="s">
        <v>137</v>
      </c>
      <c r="AP173" s="16" t="s">
        <v>2231</v>
      </c>
      <c r="AQ173" s="16" t="s">
        <v>2232</v>
      </c>
      <c r="AR173" s="16" t="s">
        <v>88</v>
      </c>
      <c r="AS173" s="16" t="s">
        <v>2233</v>
      </c>
      <c r="AT173" s="16">
        <v>2.29</v>
      </c>
      <c r="AU173" s="16" t="s">
        <v>90</v>
      </c>
      <c r="AV173" s="16">
        <v>1.5</v>
      </c>
      <c r="AW173" s="16" t="s">
        <v>90</v>
      </c>
      <c r="AX173" s="16" t="s">
        <v>90</v>
      </c>
      <c r="AY173" s="16" t="s">
        <v>90</v>
      </c>
      <c r="AZ173" s="16" t="s">
        <v>90</v>
      </c>
      <c r="BA173" s="16" t="s">
        <v>90</v>
      </c>
      <c r="BB173" s="16">
        <v>0</v>
      </c>
      <c r="BC173" s="16"/>
      <c r="BD173" s="16" t="s">
        <v>90</v>
      </c>
      <c r="BE173" s="16" t="s">
        <v>141</v>
      </c>
      <c r="BF173" s="16" t="s">
        <v>142</v>
      </c>
      <c r="BG173" s="16" t="s">
        <v>143</v>
      </c>
      <c r="BH173" s="16" t="s">
        <v>2234</v>
      </c>
      <c r="BI173" s="16" t="s">
        <v>2211</v>
      </c>
      <c r="BJ173" s="16">
        <v>229</v>
      </c>
      <c r="BK173" s="16">
        <v>229</v>
      </c>
      <c r="BL173" s="16">
        <v>229</v>
      </c>
      <c r="BM173" s="16" t="s">
        <v>96</v>
      </c>
      <c r="BN173" s="16">
        <v>1</v>
      </c>
      <c r="BO173" s="16" t="s">
        <v>84</v>
      </c>
      <c r="BP173" s="16" t="s">
        <v>84</v>
      </c>
      <c r="BQ173" s="16" t="s">
        <v>84</v>
      </c>
      <c r="BR173" s="16" t="s">
        <v>97</v>
      </c>
      <c r="BS173" s="16" t="s">
        <v>98</v>
      </c>
      <c r="BT173" s="16">
        <v>0</v>
      </c>
    </row>
    <row r="174" s="1" customFormat="1" ht="16" customHeight="1" spans="1:72">
      <c r="A174" s="14">
        <f t="shared" si="39"/>
        <v>2025</v>
      </c>
      <c r="B174" s="14">
        <f t="shared" si="40"/>
        <v>8</v>
      </c>
      <c r="C174" s="14" t="str">
        <f t="shared" si="41"/>
        <v>3729913425211043840</v>
      </c>
      <c r="D174" s="14" cm="1">
        <f t="array" ref="D174">SUMPRODUCT(($R$2:$R$374=C174)*1)</f>
        <v>1</v>
      </c>
      <c r="E174" s="14" cm="1">
        <f t="array" ref="E174">SUMPRODUCT(($R$2:R174=C174)*1)</f>
        <v>1</v>
      </c>
      <c r="F174" s="15" t="str">
        <f t="shared" si="42"/>
        <v>Z944-藏青条纹-M</v>
      </c>
      <c r="G174" s="14" t="str">
        <f t="shared" si="43"/>
        <v>Z944</v>
      </c>
      <c r="H174" s="15">
        <f t="shared" si="44"/>
        <v>1</v>
      </c>
      <c r="I174" s="14">
        <f t="shared" si="45"/>
        <v>139</v>
      </c>
      <c r="J174" s="15">
        <f t="shared" si="46"/>
        <v>0</v>
      </c>
      <c r="K174" s="15">
        <f t="shared" si="47"/>
        <v>0</v>
      </c>
      <c r="L174" s="15">
        <f t="shared" si="48"/>
        <v>-6.95</v>
      </c>
      <c r="M174" s="15">
        <f t="shared" si="49"/>
        <v>0</v>
      </c>
      <c r="N174" s="15">
        <f t="shared" si="50"/>
        <v>-1.5</v>
      </c>
      <c r="O174" s="15">
        <f t="shared" si="51"/>
        <v>130.55</v>
      </c>
      <c r="R174" s="16" t="s">
        <v>2235</v>
      </c>
      <c r="S174" s="16" t="s">
        <v>2236</v>
      </c>
      <c r="T174" s="16" t="s">
        <v>2237</v>
      </c>
      <c r="U174" s="16" t="s">
        <v>2238</v>
      </c>
      <c r="V174" s="16" t="s">
        <v>2239</v>
      </c>
      <c r="W174" s="16" t="s">
        <v>76</v>
      </c>
      <c r="X174" s="16" t="s">
        <v>77</v>
      </c>
      <c r="Y174" s="16" t="s">
        <v>2240</v>
      </c>
      <c r="Z174" s="16" t="s">
        <v>1993</v>
      </c>
      <c r="AA174" s="16" t="s">
        <v>107</v>
      </c>
      <c r="AB174" s="16" t="s">
        <v>1025</v>
      </c>
      <c r="AC174" s="16" t="s">
        <v>1994</v>
      </c>
      <c r="AD174" s="16" t="s">
        <v>2241</v>
      </c>
      <c r="AE174" s="16" t="s">
        <v>84</v>
      </c>
      <c r="AF174" s="16" t="s">
        <v>84</v>
      </c>
      <c r="AG174" s="16">
        <v>139</v>
      </c>
      <c r="AH174" s="16">
        <v>139</v>
      </c>
      <c r="AI174" s="17">
        <v>139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 t="s">
        <v>85</v>
      </c>
      <c r="AP174" s="16" t="s">
        <v>2242</v>
      </c>
      <c r="AQ174" s="16" t="s">
        <v>2243</v>
      </c>
      <c r="AR174" s="16" t="s">
        <v>88</v>
      </c>
      <c r="AS174" s="16" t="s">
        <v>2244</v>
      </c>
      <c r="AT174" s="16">
        <v>6.95</v>
      </c>
      <c r="AU174" s="16" t="s">
        <v>90</v>
      </c>
      <c r="AV174" s="16">
        <v>1.5</v>
      </c>
      <c r="AW174" s="16" t="s">
        <v>115</v>
      </c>
      <c r="AX174" s="16" t="s">
        <v>116</v>
      </c>
      <c r="AY174" s="16" t="s">
        <v>117</v>
      </c>
      <c r="AZ174" s="16" t="s">
        <v>118</v>
      </c>
      <c r="BA174" s="16" t="s">
        <v>119</v>
      </c>
      <c r="BB174" s="16">
        <v>0</v>
      </c>
      <c r="BC174" s="16" t="s">
        <v>84</v>
      </c>
      <c r="BD174" s="16" t="s">
        <v>90</v>
      </c>
      <c r="BE174" s="16" t="s">
        <v>2245</v>
      </c>
      <c r="BF174" s="16" t="s">
        <v>2246</v>
      </c>
      <c r="BG174" s="16" t="s">
        <v>2247</v>
      </c>
      <c r="BH174" s="16" t="s">
        <v>2248</v>
      </c>
      <c r="BI174" s="16" t="s">
        <v>2249</v>
      </c>
      <c r="BJ174" s="16">
        <v>139</v>
      </c>
      <c r="BK174" s="16">
        <v>139</v>
      </c>
      <c r="BL174" s="16">
        <v>139</v>
      </c>
      <c r="BM174" s="16" t="s">
        <v>96</v>
      </c>
      <c r="BN174" s="16">
        <v>1</v>
      </c>
      <c r="BO174" s="16" t="s">
        <v>84</v>
      </c>
      <c r="BP174" s="16" t="s">
        <v>84</v>
      </c>
      <c r="BQ174" s="16" t="s">
        <v>84</v>
      </c>
      <c r="BR174" s="16" t="s">
        <v>97</v>
      </c>
      <c r="BS174" s="16" t="s">
        <v>98</v>
      </c>
      <c r="BT174" s="16">
        <v>0</v>
      </c>
    </row>
    <row r="175" s="1" customFormat="1" ht="16" customHeight="1" spans="1:72">
      <c r="A175" s="14">
        <f t="shared" si="39"/>
        <v>2025</v>
      </c>
      <c r="B175" s="14">
        <f t="shared" si="40"/>
        <v>8</v>
      </c>
      <c r="C175" s="14" t="str">
        <f t="shared" si="41"/>
        <v>3729903899116975361</v>
      </c>
      <c r="D175" s="14" cm="1">
        <f t="array" ref="D175">SUMPRODUCT(($R$2:$R$374=C175)*1)</f>
        <v>1</v>
      </c>
      <c r="E175" s="14" cm="1">
        <f t="array" ref="E175">SUMPRODUCT(($R$2:R175=C175)*1)</f>
        <v>1</v>
      </c>
      <c r="F175" s="15" t="str">
        <f t="shared" si="42"/>
        <v>P085-黑色</v>
      </c>
      <c r="G175" s="14" t="str">
        <f t="shared" si="43"/>
        <v>P085</v>
      </c>
      <c r="H175" s="15">
        <f t="shared" si="44"/>
        <v>1</v>
      </c>
      <c r="I175" s="14">
        <f t="shared" si="45"/>
        <v>199</v>
      </c>
      <c r="J175" s="15">
        <f t="shared" si="46"/>
        <v>0</v>
      </c>
      <c r="K175" s="15">
        <f t="shared" si="47"/>
        <v>0</v>
      </c>
      <c r="L175" s="15">
        <f t="shared" si="48"/>
        <v>-9.95</v>
      </c>
      <c r="M175" s="15">
        <f t="shared" si="49"/>
        <v>0</v>
      </c>
      <c r="N175" s="15">
        <f t="shared" si="50"/>
        <v>-0.93</v>
      </c>
      <c r="O175" s="15">
        <f t="shared" si="51"/>
        <v>188.12</v>
      </c>
      <c r="R175" s="16" t="s">
        <v>2250</v>
      </c>
      <c r="S175" s="16" t="s">
        <v>2251</v>
      </c>
      <c r="T175" s="16" t="s">
        <v>2252</v>
      </c>
      <c r="U175" s="16" t="s">
        <v>2253</v>
      </c>
      <c r="V175" s="16" t="s">
        <v>2254</v>
      </c>
      <c r="W175" s="16" t="s">
        <v>76</v>
      </c>
      <c r="X175" s="16" t="s">
        <v>77</v>
      </c>
      <c r="Y175" s="16" t="s">
        <v>188</v>
      </c>
      <c r="Z175" s="16" t="s">
        <v>2255</v>
      </c>
      <c r="AA175" s="16" t="s">
        <v>482</v>
      </c>
      <c r="AB175" s="16" t="s">
        <v>2256</v>
      </c>
      <c r="AC175" s="16" t="s">
        <v>2257</v>
      </c>
      <c r="AD175" s="16" t="s">
        <v>2258</v>
      </c>
      <c r="AE175" s="16" t="s">
        <v>84</v>
      </c>
      <c r="AF175" s="16" t="s">
        <v>84</v>
      </c>
      <c r="AG175" s="16">
        <v>199</v>
      </c>
      <c r="AH175" s="16">
        <v>199</v>
      </c>
      <c r="AI175" s="17">
        <v>199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 t="s">
        <v>85</v>
      </c>
      <c r="AP175" s="16" t="s">
        <v>2259</v>
      </c>
      <c r="AQ175" s="16" t="s">
        <v>2260</v>
      </c>
      <c r="AR175" s="16" t="s">
        <v>88</v>
      </c>
      <c r="AS175" s="16" t="s">
        <v>2261</v>
      </c>
      <c r="AT175" s="16">
        <v>9.95</v>
      </c>
      <c r="AU175" s="16" t="s">
        <v>90</v>
      </c>
      <c r="AV175" s="16">
        <v>0.93</v>
      </c>
      <c r="AW175" s="16" t="s">
        <v>115</v>
      </c>
      <c r="AX175" s="16" t="s">
        <v>116</v>
      </c>
      <c r="AY175" s="16" t="s">
        <v>117</v>
      </c>
      <c r="AZ175" s="16" t="s">
        <v>118</v>
      </c>
      <c r="BA175" s="16" t="s">
        <v>119</v>
      </c>
      <c r="BB175" s="16">
        <v>0</v>
      </c>
      <c r="BC175" s="16" t="s">
        <v>84</v>
      </c>
      <c r="BD175" s="16" t="s">
        <v>90</v>
      </c>
      <c r="BE175" s="16" t="s">
        <v>2262</v>
      </c>
      <c r="BF175" s="16" t="s">
        <v>2263</v>
      </c>
      <c r="BG175" s="16" t="s">
        <v>2264</v>
      </c>
      <c r="BH175" s="16" t="s">
        <v>2265</v>
      </c>
      <c r="BI175" s="16" t="s">
        <v>2266</v>
      </c>
      <c r="BJ175" s="16">
        <v>199</v>
      </c>
      <c r="BK175" s="16">
        <v>199</v>
      </c>
      <c r="BL175" s="16">
        <v>199</v>
      </c>
      <c r="BM175" s="16" t="s">
        <v>96</v>
      </c>
      <c r="BN175" s="16">
        <v>1</v>
      </c>
      <c r="BO175" s="16" t="s">
        <v>84</v>
      </c>
      <c r="BP175" s="16" t="s">
        <v>84</v>
      </c>
      <c r="BQ175" s="16" t="s">
        <v>84</v>
      </c>
      <c r="BR175" s="16" t="s">
        <v>97</v>
      </c>
      <c r="BS175" s="16" t="s">
        <v>98</v>
      </c>
      <c r="BT175" s="16">
        <v>0</v>
      </c>
    </row>
    <row r="176" s="1" customFormat="1" ht="16" customHeight="1" spans="1:72">
      <c r="A176" s="14">
        <f t="shared" si="39"/>
        <v>2025</v>
      </c>
      <c r="B176" s="14">
        <f t="shared" si="40"/>
        <v>8</v>
      </c>
      <c r="C176" s="14" t="str">
        <f t="shared" si="41"/>
        <v>3729903415298504192</v>
      </c>
      <c r="D176" s="14" cm="1">
        <f t="array" ref="D176">SUMPRODUCT(($R$2:$R$374=C176)*1)</f>
        <v>1</v>
      </c>
      <c r="E176" s="14" cm="1">
        <f t="array" ref="E176">SUMPRODUCT(($R$2:R176=C176)*1)</f>
        <v>1</v>
      </c>
      <c r="F176" s="15" t="str">
        <f t="shared" si="42"/>
        <v>Z2183-米白色-XL</v>
      </c>
      <c r="G176" s="14" t="str">
        <f t="shared" si="43"/>
        <v>Z2183</v>
      </c>
      <c r="H176" s="15">
        <f t="shared" si="44"/>
        <v>1</v>
      </c>
      <c r="I176" s="14">
        <f t="shared" si="45"/>
        <v>129</v>
      </c>
      <c r="J176" s="15">
        <f t="shared" si="46"/>
        <v>0</v>
      </c>
      <c r="K176" s="15">
        <f t="shared" si="47"/>
        <v>0</v>
      </c>
      <c r="L176" s="15">
        <f t="shared" si="48"/>
        <v>-6.45</v>
      </c>
      <c r="M176" s="15">
        <f t="shared" si="49"/>
        <v>0</v>
      </c>
      <c r="N176" s="15">
        <f t="shared" si="50"/>
        <v>-1.5</v>
      </c>
      <c r="O176" s="15">
        <f t="shared" si="51"/>
        <v>121.05</v>
      </c>
      <c r="R176" s="16" t="s">
        <v>2267</v>
      </c>
      <c r="S176" s="16" t="s">
        <v>2268</v>
      </c>
      <c r="T176" s="16" t="s">
        <v>2269</v>
      </c>
      <c r="U176" s="16" t="s">
        <v>2270</v>
      </c>
      <c r="V176" s="16" t="s">
        <v>2271</v>
      </c>
      <c r="W176" s="16" t="s">
        <v>76</v>
      </c>
      <c r="X176" s="16" t="s">
        <v>77</v>
      </c>
      <c r="Y176" s="16" t="s">
        <v>2272</v>
      </c>
      <c r="Z176" s="16" t="s">
        <v>2273</v>
      </c>
      <c r="AA176" s="16" t="s">
        <v>153</v>
      </c>
      <c r="AB176" s="16" t="s">
        <v>153</v>
      </c>
      <c r="AC176" s="16" t="s">
        <v>2274</v>
      </c>
      <c r="AD176" s="16" t="s">
        <v>2275</v>
      </c>
      <c r="AE176" s="16" t="s">
        <v>84</v>
      </c>
      <c r="AF176" s="16" t="s">
        <v>84</v>
      </c>
      <c r="AG176" s="16">
        <v>129</v>
      </c>
      <c r="AH176" s="16">
        <v>129</v>
      </c>
      <c r="AI176" s="17">
        <v>129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 t="s">
        <v>137</v>
      </c>
      <c r="AP176" s="16" t="s">
        <v>2276</v>
      </c>
      <c r="AQ176" s="16" t="s">
        <v>2277</v>
      </c>
      <c r="AR176" s="16" t="s">
        <v>88</v>
      </c>
      <c r="AS176" s="16" t="s">
        <v>2278</v>
      </c>
      <c r="AT176" s="16">
        <v>6.45</v>
      </c>
      <c r="AU176" s="16" t="s">
        <v>90</v>
      </c>
      <c r="AV176" s="16">
        <v>1.5</v>
      </c>
      <c r="AW176" s="16" t="s">
        <v>115</v>
      </c>
      <c r="AX176" s="16" t="s">
        <v>116</v>
      </c>
      <c r="AY176" s="16" t="s">
        <v>117</v>
      </c>
      <c r="AZ176" s="16" t="s">
        <v>118</v>
      </c>
      <c r="BA176" s="16" t="s">
        <v>119</v>
      </c>
      <c r="BB176" s="16">
        <v>0</v>
      </c>
      <c r="BC176" s="16" t="s">
        <v>84</v>
      </c>
      <c r="BD176" s="16" t="s">
        <v>90</v>
      </c>
      <c r="BE176" s="16" t="s">
        <v>610</v>
      </c>
      <c r="BF176" s="16" t="s">
        <v>611</v>
      </c>
      <c r="BG176" s="16" t="s">
        <v>612</v>
      </c>
      <c r="BH176" s="16" t="s">
        <v>2279</v>
      </c>
      <c r="BI176" s="16" t="s">
        <v>2280</v>
      </c>
      <c r="BJ176" s="16">
        <v>129</v>
      </c>
      <c r="BK176" s="16">
        <v>129</v>
      </c>
      <c r="BL176" s="16">
        <v>129</v>
      </c>
      <c r="BM176" s="16" t="s">
        <v>96</v>
      </c>
      <c r="BN176" s="16">
        <v>1</v>
      </c>
      <c r="BO176" s="16" t="s">
        <v>84</v>
      </c>
      <c r="BP176" s="16" t="s">
        <v>84</v>
      </c>
      <c r="BQ176" s="16" t="s">
        <v>84</v>
      </c>
      <c r="BR176" s="16" t="s">
        <v>97</v>
      </c>
      <c r="BS176" s="16" t="s">
        <v>98</v>
      </c>
      <c r="BT176" s="16">
        <v>0</v>
      </c>
    </row>
    <row r="177" s="1" customFormat="1" ht="16" customHeight="1" spans="1:72">
      <c r="A177" s="14">
        <f t="shared" si="39"/>
        <v>2025</v>
      </c>
      <c r="B177" s="14">
        <f t="shared" si="40"/>
        <v>8</v>
      </c>
      <c r="C177" s="14" t="str">
        <f t="shared" si="41"/>
        <v>3729902571115912448</v>
      </c>
      <c r="D177" s="14" cm="1">
        <f t="array" ref="D177">SUMPRODUCT(($R$2:$R$374=C177)*1)</f>
        <v>1</v>
      </c>
      <c r="E177" s="14" cm="1">
        <f t="array" ref="E177">SUMPRODUCT(($R$2:R177=C177)*1)</f>
        <v>1</v>
      </c>
      <c r="F177" s="15" t="str">
        <f t="shared" si="42"/>
        <v>Z2183-黑色-L</v>
      </c>
      <c r="G177" s="14" t="str">
        <f t="shared" si="43"/>
        <v>Z2183</v>
      </c>
      <c r="H177" s="15">
        <f t="shared" si="44"/>
        <v>1</v>
      </c>
      <c r="I177" s="14">
        <f t="shared" si="45"/>
        <v>129</v>
      </c>
      <c r="J177" s="15">
        <f t="shared" si="46"/>
        <v>0</v>
      </c>
      <c r="K177" s="15">
        <f t="shared" si="47"/>
        <v>0</v>
      </c>
      <c r="L177" s="15">
        <f t="shared" si="48"/>
        <v>-6.45</v>
      </c>
      <c r="M177" s="15">
        <f t="shared" si="49"/>
        <v>0</v>
      </c>
      <c r="N177" s="15">
        <f t="shared" si="50"/>
        <v>-1.5</v>
      </c>
      <c r="O177" s="15">
        <f t="shared" si="51"/>
        <v>121.05</v>
      </c>
      <c r="R177" s="16" t="s">
        <v>2281</v>
      </c>
      <c r="S177" s="16" t="s">
        <v>2282</v>
      </c>
      <c r="T177" s="16" t="s">
        <v>2283</v>
      </c>
      <c r="U177" s="16" t="s">
        <v>2284</v>
      </c>
      <c r="V177" s="16" t="s">
        <v>2285</v>
      </c>
      <c r="W177" s="16" t="s">
        <v>76</v>
      </c>
      <c r="X177" s="16" t="s">
        <v>77</v>
      </c>
      <c r="Y177" s="16" t="s">
        <v>2286</v>
      </c>
      <c r="Z177" s="16" t="s">
        <v>937</v>
      </c>
      <c r="AA177" s="16" t="s">
        <v>153</v>
      </c>
      <c r="AB177" s="16" t="s">
        <v>153</v>
      </c>
      <c r="AC177" s="16" t="s">
        <v>938</v>
      </c>
      <c r="AD177" s="16" t="s">
        <v>2287</v>
      </c>
      <c r="AE177" s="16" t="s">
        <v>84</v>
      </c>
      <c r="AF177" s="16" t="s">
        <v>84</v>
      </c>
      <c r="AG177" s="16">
        <v>129</v>
      </c>
      <c r="AH177" s="16">
        <v>129</v>
      </c>
      <c r="AI177" s="17">
        <v>129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 t="s">
        <v>137</v>
      </c>
      <c r="AP177" s="16" t="s">
        <v>2288</v>
      </c>
      <c r="AQ177" s="16" t="s">
        <v>2289</v>
      </c>
      <c r="AR177" s="16" t="s">
        <v>88</v>
      </c>
      <c r="AS177" s="16" t="s">
        <v>2290</v>
      </c>
      <c r="AT177" s="16">
        <v>6.45</v>
      </c>
      <c r="AU177" s="16" t="s">
        <v>90</v>
      </c>
      <c r="AV177" s="16">
        <v>1.5</v>
      </c>
      <c r="AW177" s="16" t="s">
        <v>115</v>
      </c>
      <c r="AX177" s="16" t="s">
        <v>116</v>
      </c>
      <c r="AY177" s="16" t="s">
        <v>117</v>
      </c>
      <c r="AZ177" s="16" t="s">
        <v>118</v>
      </c>
      <c r="BA177" s="16" t="s">
        <v>119</v>
      </c>
      <c r="BB177" s="16">
        <v>0</v>
      </c>
      <c r="BC177" s="16" t="s">
        <v>84</v>
      </c>
      <c r="BD177" s="16" t="s">
        <v>90</v>
      </c>
      <c r="BE177" s="16" t="s">
        <v>610</v>
      </c>
      <c r="BF177" s="16" t="s">
        <v>611</v>
      </c>
      <c r="BG177" s="16" t="s">
        <v>612</v>
      </c>
      <c r="BH177" s="16" t="s">
        <v>1174</v>
      </c>
      <c r="BI177" s="16" t="s">
        <v>1175</v>
      </c>
      <c r="BJ177" s="16">
        <v>129</v>
      </c>
      <c r="BK177" s="16">
        <v>129</v>
      </c>
      <c r="BL177" s="16">
        <v>129</v>
      </c>
      <c r="BM177" s="16" t="s">
        <v>96</v>
      </c>
      <c r="BN177" s="16">
        <v>1</v>
      </c>
      <c r="BO177" s="16" t="s">
        <v>84</v>
      </c>
      <c r="BP177" s="16" t="s">
        <v>84</v>
      </c>
      <c r="BQ177" s="16" t="s">
        <v>84</v>
      </c>
      <c r="BR177" s="16" t="s">
        <v>97</v>
      </c>
      <c r="BS177" s="16" t="s">
        <v>98</v>
      </c>
      <c r="BT177" s="16">
        <v>0</v>
      </c>
    </row>
    <row r="178" s="1" customFormat="1" ht="16" customHeight="1" spans="1:72">
      <c r="A178" s="14">
        <f t="shared" si="39"/>
        <v>2025</v>
      </c>
      <c r="B178" s="14">
        <f t="shared" si="40"/>
        <v>8</v>
      </c>
      <c r="C178" s="14" t="str">
        <f t="shared" si="41"/>
        <v>3729902459771034624</v>
      </c>
      <c r="D178" s="14" cm="1">
        <f t="array" ref="D178">SUMPRODUCT(($R$2:$R$374=C178)*1)</f>
        <v>1</v>
      </c>
      <c r="E178" s="14" cm="1">
        <f t="array" ref="E178">SUMPRODUCT(($R$2:R178=C178)*1)</f>
        <v>1</v>
      </c>
      <c r="F178" s="15" t="str">
        <f t="shared" si="42"/>
        <v>Z2183-米白色-XL</v>
      </c>
      <c r="G178" s="14" t="str">
        <f t="shared" si="43"/>
        <v>Z2183</v>
      </c>
      <c r="H178" s="15">
        <f t="shared" si="44"/>
        <v>1</v>
      </c>
      <c r="I178" s="14">
        <f t="shared" si="45"/>
        <v>129</v>
      </c>
      <c r="J178" s="15">
        <f t="shared" si="46"/>
        <v>0</v>
      </c>
      <c r="K178" s="15">
        <f t="shared" si="47"/>
        <v>0</v>
      </c>
      <c r="L178" s="15">
        <f t="shared" si="48"/>
        <v>-6.45</v>
      </c>
      <c r="M178" s="15">
        <f t="shared" si="49"/>
        <v>0</v>
      </c>
      <c r="N178" s="15">
        <f t="shared" si="50"/>
        <v>-1.5</v>
      </c>
      <c r="O178" s="15">
        <f t="shared" si="51"/>
        <v>121.05</v>
      </c>
      <c r="R178" s="16" t="s">
        <v>2291</v>
      </c>
      <c r="S178" s="16" t="s">
        <v>2292</v>
      </c>
      <c r="T178" s="16" t="s">
        <v>2293</v>
      </c>
      <c r="U178" s="16" t="s">
        <v>2294</v>
      </c>
      <c r="V178" s="16" t="s">
        <v>2295</v>
      </c>
      <c r="W178" s="16" t="s">
        <v>76</v>
      </c>
      <c r="X178" s="16" t="s">
        <v>77</v>
      </c>
      <c r="Y178" s="16" t="s">
        <v>2296</v>
      </c>
      <c r="Z178" s="16" t="s">
        <v>1308</v>
      </c>
      <c r="AA178" s="16" t="s">
        <v>430</v>
      </c>
      <c r="AB178" s="16" t="s">
        <v>430</v>
      </c>
      <c r="AC178" s="16" t="s">
        <v>1309</v>
      </c>
      <c r="AD178" s="16" t="s">
        <v>2297</v>
      </c>
      <c r="AE178" s="16" t="s">
        <v>84</v>
      </c>
      <c r="AF178" s="16" t="s">
        <v>84</v>
      </c>
      <c r="AG178" s="16">
        <v>129</v>
      </c>
      <c r="AH178" s="16">
        <v>129</v>
      </c>
      <c r="AI178" s="17">
        <v>129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 t="s">
        <v>137</v>
      </c>
      <c r="AP178" s="16" t="s">
        <v>2298</v>
      </c>
      <c r="AQ178" s="16" t="s">
        <v>2299</v>
      </c>
      <c r="AR178" s="16" t="s">
        <v>88</v>
      </c>
      <c r="AS178" s="16" t="s">
        <v>2300</v>
      </c>
      <c r="AT178" s="16">
        <v>6.45</v>
      </c>
      <c r="AU178" s="16" t="s">
        <v>90</v>
      </c>
      <c r="AV178" s="16">
        <v>1.5</v>
      </c>
      <c r="AW178" s="16" t="s">
        <v>115</v>
      </c>
      <c r="AX178" s="16" t="s">
        <v>116</v>
      </c>
      <c r="AY178" s="16" t="s">
        <v>117</v>
      </c>
      <c r="AZ178" s="16" t="s">
        <v>118</v>
      </c>
      <c r="BA178" s="16" t="s">
        <v>119</v>
      </c>
      <c r="BB178" s="16">
        <v>0</v>
      </c>
      <c r="BC178" s="16" t="s">
        <v>84</v>
      </c>
      <c r="BD178" s="16" t="s">
        <v>90</v>
      </c>
      <c r="BE178" s="16" t="s">
        <v>610</v>
      </c>
      <c r="BF178" s="16" t="s">
        <v>611</v>
      </c>
      <c r="BG178" s="16" t="s">
        <v>612</v>
      </c>
      <c r="BH178" s="16" t="s">
        <v>2279</v>
      </c>
      <c r="BI178" s="16" t="s">
        <v>2280</v>
      </c>
      <c r="BJ178" s="16">
        <v>129</v>
      </c>
      <c r="BK178" s="16">
        <v>129</v>
      </c>
      <c r="BL178" s="16">
        <v>129</v>
      </c>
      <c r="BM178" s="16" t="s">
        <v>96</v>
      </c>
      <c r="BN178" s="16">
        <v>1</v>
      </c>
      <c r="BO178" s="16" t="s">
        <v>84</v>
      </c>
      <c r="BP178" s="16" t="s">
        <v>84</v>
      </c>
      <c r="BQ178" s="16" t="s">
        <v>84</v>
      </c>
      <c r="BR178" s="16" t="s">
        <v>97</v>
      </c>
      <c r="BS178" s="16" t="s">
        <v>98</v>
      </c>
      <c r="BT178" s="16">
        <v>0</v>
      </c>
    </row>
    <row r="179" s="1" customFormat="1" ht="16" customHeight="1" spans="1:72">
      <c r="A179" s="14">
        <f t="shared" si="39"/>
        <v>2025</v>
      </c>
      <c r="B179" s="14">
        <f t="shared" si="40"/>
        <v>8</v>
      </c>
      <c r="C179" s="14" t="str">
        <f t="shared" si="41"/>
        <v>3729902081434328576</v>
      </c>
      <c r="D179" s="14" cm="1">
        <f t="array" ref="D179">SUMPRODUCT(($R$2:$R$374=C179)*1)</f>
        <v>1</v>
      </c>
      <c r="E179" s="14" cm="1">
        <f t="array" ref="E179">SUMPRODUCT(($R$2:R179=C179)*1)</f>
        <v>1</v>
      </c>
      <c r="F179" s="15" t="str">
        <f t="shared" si="42"/>
        <v>Z2183-米白色-L</v>
      </c>
      <c r="G179" s="14" t="str">
        <f t="shared" si="43"/>
        <v>Z2183</v>
      </c>
      <c r="H179" s="15">
        <f t="shared" si="44"/>
        <v>1</v>
      </c>
      <c r="I179" s="14">
        <f t="shared" si="45"/>
        <v>129</v>
      </c>
      <c r="J179" s="15">
        <f t="shared" si="46"/>
        <v>0</v>
      </c>
      <c r="K179" s="15">
        <f t="shared" si="47"/>
        <v>0</v>
      </c>
      <c r="L179" s="15">
        <f t="shared" si="48"/>
        <v>-6.45</v>
      </c>
      <c r="M179" s="15">
        <f t="shared" si="49"/>
        <v>0</v>
      </c>
      <c r="N179" s="15">
        <f t="shared" si="50"/>
        <v>-1.5</v>
      </c>
      <c r="O179" s="15">
        <f t="shared" si="51"/>
        <v>121.05</v>
      </c>
      <c r="R179" s="16" t="s">
        <v>2301</v>
      </c>
      <c r="S179" s="16" t="s">
        <v>2302</v>
      </c>
      <c r="T179" s="16" t="s">
        <v>2303</v>
      </c>
      <c r="U179" s="16" t="s">
        <v>2304</v>
      </c>
      <c r="V179" s="16" t="s">
        <v>2305</v>
      </c>
      <c r="W179" s="16" t="s">
        <v>76</v>
      </c>
      <c r="X179" s="16" t="s">
        <v>77</v>
      </c>
      <c r="Y179" s="16" t="s">
        <v>2306</v>
      </c>
      <c r="Z179" s="16" t="s">
        <v>2307</v>
      </c>
      <c r="AA179" s="16" t="s">
        <v>107</v>
      </c>
      <c r="AB179" s="16" t="s">
        <v>1025</v>
      </c>
      <c r="AC179" s="16" t="s">
        <v>2308</v>
      </c>
      <c r="AD179" s="16" t="s">
        <v>2309</v>
      </c>
      <c r="AE179" s="16" t="s">
        <v>84</v>
      </c>
      <c r="AF179" s="16" t="s">
        <v>84</v>
      </c>
      <c r="AG179" s="16">
        <v>129</v>
      </c>
      <c r="AH179" s="16">
        <v>129</v>
      </c>
      <c r="AI179" s="17">
        <v>129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 t="s">
        <v>85</v>
      </c>
      <c r="AP179" s="16" t="s">
        <v>2310</v>
      </c>
      <c r="AQ179" s="16" t="s">
        <v>2311</v>
      </c>
      <c r="AR179" s="16" t="s">
        <v>88</v>
      </c>
      <c r="AS179" s="16" t="s">
        <v>2312</v>
      </c>
      <c r="AT179" s="16">
        <v>6.45</v>
      </c>
      <c r="AU179" s="16" t="s">
        <v>90</v>
      </c>
      <c r="AV179" s="16">
        <v>1.5</v>
      </c>
      <c r="AW179" s="16" t="s">
        <v>115</v>
      </c>
      <c r="AX179" s="16" t="s">
        <v>116</v>
      </c>
      <c r="AY179" s="16" t="s">
        <v>117</v>
      </c>
      <c r="AZ179" s="16" t="s">
        <v>118</v>
      </c>
      <c r="BA179" s="16" t="s">
        <v>119</v>
      </c>
      <c r="BB179" s="16">
        <v>0</v>
      </c>
      <c r="BC179" s="16" t="s">
        <v>84</v>
      </c>
      <c r="BD179" s="16" t="s">
        <v>90</v>
      </c>
      <c r="BE179" s="16" t="s">
        <v>610</v>
      </c>
      <c r="BF179" s="16" t="s">
        <v>611</v>
      </c>
      <c r="BG179" s="16" t="s">
        <v>612</v>
      </c>
      <c r="BH179" s="16" t="s">
        <v>1241</v>
      </c>
      <c r="BI179" s="16" t="s">
        <v>1242</v>
      </c>
      <c r="BJ179" s="16">
        <v>129</v>
      </c>
      <c r="BK179" s="16">
        <v>129</v>
      </c>
      <c r="BL179" s="16">
        <v>129</v>
      </c>
      <c r="BM179" s="16" t="s">
        <v>96</v>
      </c>
      <c r="BN179" s="16">
        <v>1</v>
      </c>
      <c r="BO179" s="16" t="s">
        <v>84</v>
      </c>
      <c r="BP179" s="16" t="s">
        <v>84</v>
      </c>
      <c r="BQ179" s="16" t="s">
        <v>84</v>
      </c>
      <c r="BR179" s="16" t="s">
        <v>97</v>
      </c>
      <c r="BS179" s="16" t="s">
        <v>98</v>
      </c>
      <c r="BT179" s="16">
        <v>0</v>
      </c>
    </row>
    <row r="180" s="1" customFormat="1" ht="16" customHeight="1" spans="1:72">
      <c r="A180" s="14">
        <f t="shared" si="39"/>
        <v>2025</v>
      </c>
      <c r="B180" s="14">
        <f t="shared" si="40"/>
        <v>8</v>
      </c>
      <c r="C180" s="14" t="str">
        <f t="shared" si="41"/>
        <v>3729901984588373760</v>
      </c>
      <c r="D180" s="14" cm="1">
        <f t="array" ref="D180">SUMPRODUCT(($R$2:$R$374=C180)*1)</f>
        <v>1</v>
      </c>
      <c r="E180" s="14" cm="1">
        <f t="array" ref="E180">SUMPRODUCT(($R$2:R180=C180)*1)</f>
        <v>1</v>
      </c>
      <c r="F180" s="15" t="str">
        <f t="shared" si="42"/>
        <v>Z2183-米白色-M</v>
      </c>
      <c r="G180" s="14" t="str">
        <f t="shared" si="43"/>
        <v>Z2183</v>
      </c>
      <c r="H180" s="15">
        <f t="shared" si="44"/>
        <v>1</v>
      </c>
      <c r="I180" s="14">
        <f t="shared" si="45"/>
        <v>129</v>
      </c>
      <c r="J180" s="15">
        <f t="shared" si="46"/>
        <v>0</v>
      </c>
      <c r="K180" s="15">
        <f t="shared" si="47"/>
        <v>0</v>
      </c>
      <c r="L180" s="15">
        <f t="shared" si="48"/>
        <v>-6.45</v>
      </c>
      <c r="M180" s="15">
        <f t="shared" si="49"/>
        <v>0</v>
      </c>
      <c r="N180" s="15">
        <f t="shared" si="50"/>
        <v>-1.5</v>
      </c>
      <c r="O180" s="15">
        <f t="shared" si="51"/>
        <v>121.05</v>
      </c>
      <c r="R180" s="16" t="s">
        <v>2313</v>
      </c>
      <c r="S180" s="16" t="s">
        <v>2314</v>
      </c>
      <c r="T180" s="16" t="s">
        <v>2315</v>
      </c>
      <c r="U180" s="16" t="s">
        <v>2316</v>
      </c>
      <c r="V180" s="16" t="s">
        <v>2317</v>
      </c>
      <c r="W180" s="16" t="s">
        <v>76</v>
      </c>
      <c r="X180" s="16" t="s">
        <v>77</v>
      </c>
      <c r="Y180" s="16" t="s">
        <v>188</v>
      </c>
      <c r="Z180" s="16" t="s">
        <v>1566</v>
      </c>
      <c r="AA180" s="16" t="s">
        <v>430</v>
      </c>
      <c r="AB180" s="16" t="s">
        <v>430</v>
      </c>
      <c r="AC180" s="16" t="s">
        <v>1567</v>
      </c>
      <c r="AD180" s="16" t="s">
        <v>2318</v>
      </c>
      <c r="AE180" s="16" t="s">
        <v>84</v>
      </c>
      <c r="AF180" s="16" t="s">
        <v>84</v>
      </c>
      <c r="AG180" s="16">
        <v>129</v>
      </c>
      <c r="AH180" s="16">
        <v>129</v>
      </c>
      <c r="AI180" s="17">
        <v>129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 t="s">
        <v>137</v>
      </c>
      <c r="AP180" s="16" t="s">
        <v>2319</v>
      </c>
      <c r="AQ180" s="16" t="s">
        <v>2320</v>
      </c>
      <c r="AR180" s="16" t="s">
        <v>88</v>
      </c>
      <c r="AS180" s="16" t="s">
        <v>2321</v>
      </c>
      <c r="AT180" s="16">
        <v>6.45</v>
      </c>
      <c r="AU180" s="16" t="s">
        <v>90</v>
      </c>
      <c r="AV180" s="16">
        <v>1.5</v>
      </c>
      <c r="AW180" s="16" t="s">
        <v>115</v>
      </c>
      <c r="AX180" s="16" t="s">
        <v>116</v>
      </c>
      <c r="AY180" s="16" t="s">
        <v>117</v>
      </c>
      <c r="AZ180" s="16" t="s">
        <v>118</v>
      </c>
      <c r="BA180" s="16" t="s">
        <v>119</v>
      </c>
      <c r="BB180" s="16">
        <v>0</v>
      </c>
      <c r="BC180" s="16" t="s">
        <v>84</v>
      </c>
      <c r="BD180" s="16" t="s">
        <v>90</v>
      </c>
      <c r="BE180" s="16" t="s">
        <v>610</v>
      </c>
      <c r="BF180" s="16" t="s">
        <v>611</v>
      </c>
      <c r="BG180" s="16" t="s">
        <v>612</v>
      </c>
      <c r="BH180" s="16" t="s">
        <v>1141</v>
      </c>
      <c r="BI180" s="16" t="s">
        <v>1142</v>
      </c>
      <c r="BJ180" s="16">
        <v>129</v>
      </c>
      <c r="BK180" s="16">
        <v>129</v>
      </c>
      <c r="BL180" s="16">
        <v>129</v>
      </c>
      <c r="BM180" s="16" t="s">
        <v>96</v>
      </c>
      <c r="BN180" s="16">
        <v>1</v>
      </c>
      <c r="BO180" s="16" t="s">
        <v>84</v>
      </c>
      <c r="BP180" s="16" t="s">
        <v>84</v>
      </c>
      <c r="BQ180" s="16" t="s">
        <v>84</v>
      </c>
      <c r="BR180" s="16" t="s">
        <v>97</v>
      </c>
      <c r="BS180" s="16" t="s">
        <v>2322</v>
      </c>
      <c r="BT180" s="16">
        <v>0</v>
      </c>
    </row>
    <row r="181" s="1" customFormat="1" ht="16" customHeight="1" spans="1:72">
      <c r="A181" s="14">
        <f t="shared" si="39"/>
        <v>2025</v>
      </c>
      <c r="B181" s="14">
        <f t="shared" si="40"/>
        <v>8</v>
      </c>
      <c r="C181" s="14" t="str">
        <f t="shared" si="41"/>
        <v>3729901981564806400</v>
      </c>
      <c r="D181" s="14" cm="1">
        <f t="array" ref="D181">SUMPRODUCT(($R$2:$R$374=C181)*1)</f>
        <v>1</v>
      </c>
      <c r="E181" s="14" cm="1">
        <f t="array" ref="E181">SUMPRODUCT(($R$2:R181=C181)*1)</f>
        <v>1</v>
      </c>
      <c r="F181" s="15" t="str">
        <f t="shared" si="42"/>
        <v>Z2183-米白色-L</v>
      </c>
      <c r="G181" s="14" t="str">
        <f t="shared" si="43"/>
        <v>Z2183</v>
      </c>
      <c r="H181" s="15">
        <f t="shared" si="44"/>
        <v>1</v>
      </c>
      <c r="I181" s="14">
        <f t="shared" si="45"/>
        <v>129</v>
      </c>
      <c r="J181" s="15">
        <f t="shared" si="46"/>
        <v>0</v>
      </c>
      <c r="K181" s="15">
        <f t="shared" si="47"/>
        <v>0</v>
      </c>
      <c r="L181" s="15">
        <f t="shared" si="48"/>
        <v>-6.45</v>
      </c>
      <c r="M181" s="15">
        <f t="shared" si="49"/>
        <v>0</v>
      </c>
      <c r="N181" s="15">
        <f t="shared" si="50"/>
        <v>-1.5</v>
      </c>
      <c r="O181" s="15">
        <f t="shared" si="51"/>
        <v>121.05</v>
      </c>
      <c r="R181" s="16" t="s">
        <v>2323</v>
      </c>
      <c r="S181" s="16" t="s">
        <v>2324</v>
      </c>
      <c r="T181" s="16" t="s">
        <v>2303</v>
      </c>
      <c r="U181" s="16" t="s">
        <v>2325</v>
      </c>
      <c r="V181" s="16" t="s">
        <v>2326</v>
      </c>
      <c r="W181" s="16" t="s">
        <v>76</v>
      </c>
      <c r="X181" s="16" t="s">
        <v>77</v>
      </c>
      <c r="Y181" s="16" t="s">
        <v>2327</v>
      </c>
      <c r="Z181" s="16" t="s">
        <v>2328</v>
      </c>
      <c r="AA181" s="16" t="s">
        <v>107</v>
      </c>
      <c r="AB181" s="16" t="s">
        <v>456</v>
      </c>
      <c r="AC181" s="16" t="s">
        <v>2329</v>
      </c>
      <c r="AD181" s="16" t="s">
        <v>2330</v>
      </c>
      <c r="AE181" s="16" t="s">
        <v>84</v>
      </c>
      <c r="AF181" s="16" t="s">
        <v>84</v>
      </c>
      <c r="AG181" s="16">
        <v>129</v>
      </c>
      <c r="AH181" s="16">
        <v>129</v>
      </c>
      <c r="AI181" s="17">
        <v>129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 t="s">
        <v>137</v>
      </c>
      <c r="AP181" s="16" t="s">
        <v>2331</v>
      </c>
      <c r="AQ181" s="16" t="s">
        <v>2332</v>
      </c>
      <c r="AR181" s="16" t="s">
        <v>88</v>
      </c>
      <c r="AS181" s="16" t="s">
        <v>2333</v>
      </c>
      <c r="AT181" s="16">
        <v>6.45</v>
      </c>
      <c r="AU181" s="16" t="s">
        <v>90</v>
      </c>
      <c r="AV181" s="16">
        <v>1.5</v>
      </c>
      <c r="AW181" s="16" t="s">
        <v>115</v>
      </c>
      <c r="AX181" s="16" t="s">
        <v>116</v>
      </c>
      <c r="AY181" s="16" t="s">
        <v>117</v>
      </c>
      <c r="AZ181" s="16" t="s">
        <v>118</v>
      </c>
      <c r="BA181" s="16" t="s">
        <v>119</v>
      </c>
      <c r="BB181" s="16">
        <v>0</v>
      </c>
      <c r="BC181" s="16" t="s">
        <v>84</v>
      </c>
      <c r="BD181" s="16" t="s">
        <v>90</v>
      </c>
      <c r="BE181" s="16" t="s">
        <v>610</v>
      </c>
      <c r="BF181" s="16" t="s">
        <v>611</v>
      </c>
      <c r="BG181" s="16" t="s">
        <v>612</v>
      </c>
      <c r="BH181" s="16" t="s">
        <v>1241</v>
      </c>
      <c r="BI181" s="16" t="s">
        <v>1242</v>
      </c>
      <c r="BJ181" s="16">
        <v>129</v>
      </c>
      <c r="BK181" s="16">
        <v>129</v>
      </c>
      <c r="BL181" s="16">
        <v>129</v>
      </c>
      <c r="BM181" s="16" t="s">
        <v>96</v>
      </c>
      <c r="BN181" s="16">
        <v>1</v>
      </c>
      <c r="BO181" s="16" t="s">
        <v>84</v>
      </c>
      <c r="BP181" s="16" t="s">
        <v>84</v>
      </c>
      <c r="BQ181" s="16" t="s">
        <v>84</v>
      </c>
      <c r="BR181" s="16" t="s">
        <v>97</v>
      </c>
      <c r="BS181" s="16" t="s">
        <v>98</v>
      </c>
      <c r="BT181" s="16">
        <v>0</v>
      </c>
    </row>
    <row r="182" s="1" customFormat="1" ht="16" customHeight="1" spans="1:72">
      <c r="A182" s="14">
        <f t="shared" si="39"/>
        <v>2025</v>
      </c>
      <c r="B182" s="14">
        <f t="shared" si="40"/>
        <v>8</v>
      </c>
      <c r="C182" s="14" t="str">
        <f t="shared" si="41"/>
        <v>3729901979596890880</v>
      </c>
      <c r="D182" s="14" cm="1">
        <f t="array" ref="D182">SUMPRODUCT(($R$2:$R$374=C182)*1)</f>
        <v>1</v>
      </c>
      <c r="E182" s="14" cm="1">
        <f t="array" ref="E182">SUMPRODUCT(($R$2:R182=C182)*1)</f>
        <v>1</v>
      </c>
      <c r="F182" s="15" t="str">
        <f t="shared" si="42"/>
        <v>Z2183-米白色-XL</v>
      </c>
      <c r="G182" s="14" t="str">
        <f t="shared" si="43"/>
        <v>Z2183</v>
      </c>
      <c r="H182" s="15">
        <f t="shared" si="44"/>
        <v>1</v>
      </c>
      <c r="I182" s="14">
        <f t="shared" si="45"/>
        <v>129</v>
      </c>
      <c r="J182" s="15">
        <f t="shared" si="46"/>
        <v>0</v>
      </c>
      <c r="K182" s="15">
        <f t="shared" si="47"/>
        <v>0</v>
      </c>
      <c r="L182" s="15">
        <f t="shared" si="48"/>
        <v>-6.45</v>
      </c>
      <c r="M182" s="15">
        <f t="shared" si="49"/>
        <v>0</v>
      </c>
      <c r="N182" s="15">
        <f t="shared" si="50"/>
        <v>-1.5</v>
      </c>
      <c r="O182" s="15">
        <f t="shared" si="51"/>
        <v>121.05</v>
      </c>
      <c r="R182" s="16" t="s">
        <v>2334</v>
      </c>
      <c r="S182" s="16" t="s">
        <v>2335</v>
      </c>
      <c r="T182" s="16" t="s">
        <v>2336</v>
      </c>
      <c r="U182" s="16" t="s">
        <v>2337</v>
      </c>
      <c r="V182" s="16" t="s">
        <v>2338</v>
      </c>
      <c r="W182" s="16" t="s">
        <v>76</v>
      </c>
      <c r="X182" s="16" t="s">
        <v>77</v>
      </c>
      <c r="Y182" s="16" t="s">
        <v>2339</v>
      </c>
      <c r="Z182" s="16" t="s">
        <v>279</v>
      </c>
      <c r="AA182" s="16" t="s">
        <v>280</v>
      </c>
      <c r="AB182" s="16" t="s">
        <v>281</v>
      </c>
      <c r="AC182" s="16" t="s">
        <v>282</v>
      </c>
      <c r="AD182" s="16" t="s">
        <v>2340</v>
      </c>
      <c r="AE182" s="16" t="s">
        <v>84</v>
      </c>
      <c r="AF182" s="16" t="s">
        <v>84</v>
      </c>
      <c r="AG182" s="16">
        <v>129</v>
      </c>
      <c r="AH182" s="16">
        <v>129</v>
      </c>
      <c r="AI182" s="17">
        <v>129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 t="s">
        <v>137</v>
      </c>
      <c r="AP182" s="16" t="s">
        <v>2341</v>
      </c>
      <c r="AQ182" s="16" t="s">
        <v>2342</v>
      </c>
      <c r="AR182" s="16" t="s">
        <v>88</v>
      </c>
      <c r="AS182" s="16" t="s">
        <v>2343</v>
      </c>
      <c r="AT182" s="16">
        <v>6.45</v>
      </c>
      <c r="AU182" s="16" t="s">
        <v>90</v>
      </c>
      <c r="AV182" s="16">
        <v>1.5</v>
      </c>
      <c r="AW182" s="16" t="s">
        <v>115</v>
      </c>
      <c r="AX182" s="16" t="s">
        <v>116</v>
      </c>
      <c r="AY182" s="16" t="s">
        <v>117</v>
      </c>
      <c r="AZ182" s="16" t="s">
        <v>118</v>
      </c>
      <c r="BA182" s="16" t="s">
        <v>119</v>
      </c>
      <c r="BB182" s="16">
        <v>0</v>
      </c>
      <c r="BC182" s="16" t="s">
        <v>84</v>
      </c>
      <c r="BD182" s="16" t="s">
        <v>90</v>
      </c>
      <c r="BE182" s="16" t="s">
        <v>610</v>
      </c>
      <c r="BF182" s="16" t="s">
        <v>611</v>
      </c>
      <c r="BG182" s="16" t="s">
        <v>612</v>
      </c>
      <c r="BH182" s="16" t="s">
        <v>2279</v>
      </c>
      <c r="BI182" s="16" t="s">
        <v>2280</v>
      </c>
      <c r="BJ182" s="16">
        <v>129</v>
      </c>
      <c r="BK182" s="16">
        <v>129</v>
      </c>
      <c r="BL182" s="16">
        <v>129</v>
      </c>
      <c r="BM182" s="16" t="s">
        <v>96</v>
      </c>
      <c r="BN182" s="16">
        <v>1</v>
      </c>
      <c r="BO182" s="16" t="s">
        <v>84</v>
      </c>
      <c r="BP182" s="16" t="s">
        <v>84</v>
      </c>
      <c r="BQ182" s="16" t="s">
        <v>84</v>
      </c>
      <c r="BR182" s="16" t="s">
        <v>97</v>
      </c>
      <c r="BS182" s="16" t="s">
        <v>98</v>
      </c>
      <c r="BT182" s="16">
        <v>0</v>
      </c>
    </row>
    <row r="183" s="1" customFormat="1" ht="16" customHeight="1" spans="1:72">
      <c r="A183" s="14">
        <f t="shared" si="39"/>
        <v>2025</v>
      </c>
      <c r="B183" s="14">
        <f t="shared" si="40"/>
        <v>8</v>
      </c>
      <c r="C183" s="14" t="str">
        <f t="shared" si="41"/>
        <v>3729901976356002304</v>
      </c>
      <c r="D183" s="14" cm="1">
        <f t="array" ref="D183">SUMPRODUCT(($R$2:$R$374=C183)*1)</f>
        <v>1</v>
      </c>
      <c r="E183" s="14" cm="1">
        <f t="array" ref="E183">SUMPRODUCT(($R$2:R183=C183)*1)</f>
        <v>1</v>
      </c>
      <c r="F183" s="15" t="str">
        <f t="shared" si="42"/>
        <v>Z2183-米白色-L</v>
      </c>
      <c r="G183" s="14" t="str">
        <f t="shared" si="43"/>
        <v>Z2183</v>
      </c>
      <c r="H183" s="15">
        <f t="shared" si="44"/>
        <v>1</v>
      </c>
      <c r="I183" s="14">
        <f t="shared" si="45"/>
        <v>129</v>
      </c>
      <c r="J183" s="15">
        <f t="shared" si="46"/>
        <v>0</v>
      </c>
      <c r="K183" s="15">
        <f t="shared" si="47"/>
        <v>0</v>
      </c>
      <c r="L183" s="15">
        <f t="shared" si="48"/>
        <v>-6.45</v>
      </c>
      <c r="M183" s="15">
        <f t="shared" si="49"/>
        <v>0</v>
      </c>
      <c r="N183" s="15">
        <f t="shared" si="50"/>
        <v>-1.5</v>
      </c>
      <c r="O183" s="15">
        <f t="shared" si="51"/>
        <v>121.05</v>
      </c>
      <c r="R183" s="16" t="s">
        <v>2344</v>
      </c>
      <c r="S183" s="16" t="s">
        <v>2345</v>
      </c>
      <c r="T183" s="16" t="s">
        <v>2303</v>
      </c>
      <c r="U183" s="16" t="s">
        <v>2346</v>
      </c>
      <c r="V183" s="16" t="s">
        <v>2347</v>
      </c>
      <c r="W183" s="16" t="s">
        <v>76</v>
      </c>
      <c r="X183" s="16" t="s">
        <v>77</v>
      </c>
      <c r="Y183" s="16" t="s">
        <v>2339</v>
      </c>
      <c r="Z183" s="16" t="s">
        <v>1308</v>
      </c>
      <c r="AA183" s="16" t="s">
        <v>430</v>
      </c>
      <c r="AB183" s="16" t="s">
        <v>430</v>
      </c>
      <c r="AC183" s="16" t="s">
        <v>1309</v>
      </c>
      <c r="AD183" s="16" t="s">
        <v>2348</v>
      </c>
      <c r="AE183" s="16" t="s">
        <v>84</v>
      </c>
      <c r="AF183" s="16" t="s">
        <v>84</v>
      </c>
      <c r="AG183" s="16">
        <v>129</v>
      </c>
      <c r="AH183" s="16">
        <v>129</v>
      </c>
      <c r="AI183" s="17">
        <v>129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 t="s">
        <v>85</v>
      </c>
      <c r="AP183" s="16" t="s">
        <v>2349</v>
      </c>
      <c r="AQ183" s="16" t="s">
        <v>2350</v>
      </c>
      <c r="AR183" s="16" t="s">
        <v>88</v>
      </c>
      <c r="AS183" s="16" t="s">
        <v>2351</v>
      </c>
      <c r="AT183" s="16">
        <v>6.45</v>
      </c>
      <c r="AU183" s="16" t="s">
        <v>90</v>
      </c>
      <c r="AV183" s="16">
        <v>1.5</v>
      </c>
      <c r="AW183" s="16" t="s">
        <v>115</v>
      </c>
      <c r="AX183" s="16" t="s">
        <v>116</v>
      </c>
      <c r="AY183" s="16" t="s">
        <v>117</v>
      </c>
      <c r="AZ183" s="16" t="s">
        <v>118</v>
      </c>
      <c r="BA183" s="16" t="s">
        <v>119</v>
      </c>
      <c r="BB183" s="16">
        <v>0</v>
      </c>
      <c r="BC183" s="16" t="s">
        <v>84</v>
      </c>
      <c r="BD183" s="16" t="s">
        <v>90</v>
      </c>
      <c r="BE183" s="16" t="s">
        <v>610</v>
      </c>
      <c r="BF183" s="16" t="s">
        <v>611</v>
      </c>
      <c r="BG183" s="16" t="s">
        <v>612</v>
      </c>
      <c r="BH183" s="16" t="s">
        <v>1241</v>
      </c>
      <c r="BI183" s="16" t="s">
        <v>1242</v>
      </c>
      <c r="BJ183" s="16">
        <v>129</v>
      </c>
      <c r="BK183" s="16">
        <v>129</v>
      </c>
      <c r="BL183" s="16">
        <v>129</v>
      </c>
      <c r="BM183" s="16" t="s">
        <v>96</v>
      </c>
      <c r="BN183" s="16">
        <v>1</v>
      </c>
      <c r="BO183" s="16" t="s">
        <v>84</v>
      </c>
      <c r="BP183" s="16" t="s">
        <v>84</v>
      </c>
      <c r="BQ183" s="16" t="s">
        <v>84</v>
      </c>
      <c r="BR183" s="16" t="s">
        <v>97</v>
      </c>
      <c r="BS183" s="16" t="s">
        <v>98</v>
      </c>
      <c r="BT183" s="16">
        <v>0</v>
      </c>
    </row>
    <row r="184" s="1" customFormat="1" ht="16" customHeight="1" spans="1:72">
      <c r="A184" s="14">
        <f t="shared" si="39"/>
        <v>2025</v>
      </c>
      <c r="B184" s="14">
        <f t="shared" si="40"/>
        <v>8</v>
      </c>
      <c r="C184" s="14" t="str">
        <f t="shared" si="41"/>
        <v>3729901969316385792</v>
      </c>
      <c r="D184" s="14" cm="1">
        <f t="array" ref="D184">SUMPRODUCT(($R$2:$R$374=C184)*1)</f>
        <v>1</v>
      </c>
      <c r="E184" s="14" cm="1">
        <f t="array" ref="E184">SUMPRODUCT(($R$2:R184=C184)*1)</f>
        <v>1</v>
      </c>
      <c r="F184" s="15" t="str">
        <f t="shared" si="42"/>
        <v>Z2183-米白色-L</v>
      </c>
      <c r="G184" s="14" t="str">
        <f t="shared" si="43"/>
        <v>Z2183</v>
      </c>
      <c r="H184" s="15">
        <f t="shared" si="44"/>
        <v>1</v>
      </c>
      <c r="I184" s="14">
        <f t="shared" si="45"/>
        <v>129</v>
      </c>
      <c r="J184" s="15">
        <f t="shared" si="46"/>
        <v>0</v>
      </c>
      <c r="K184" s="15">
        <f t="shared" si="47"/>
        <v>0</v>
      </c>
      <c r="L184" s="15">
        <f t="shared" si="48"/>
        <v>-6.45</v>
      </c>
      <c r="M184" s="15">
        <f t="shared" si="49"/>
        <v>0</v>
      </c>
      <c r="N184" s="15">
        <f t="shared" si="50"/>
        <v>-1.5</v>
      </c>
      <c r="O184" s="15">
        <f t="shared" si="51"/>
        <v>121.05</v>
      </c>
      <c r="R184" s="16" t="s">
        <v>2352</v>
      </c>
      <c r="S184" s="16" t="s">
        <v>2353</v>
      </c>
      <c r="T184" s="16" t="s">
        <v>2303</v>
      </c>
      <c r="U184" s="16" t="s">
        <v>2354</v>
      </c>
      <c r="V184" s="16" t="s">
        <v>2355</v>
      </c>
      <c r="W184" s="16" t="s">
        <v>76</v>
      </c>
      <c r="X184" s="16" t="s">
        <v>77</v>
      </c>
      <c r="Y184" s="16" t="s">
        <v>2356</v>
      </c>
      <c r="Z184" s="16" t="s">
        <v>2357</v>
      </c>
      <c r="AA184" s="16" t="s">
        <v>763</v>
      </c>
      <c r="AB184" s="16" t="s">
        <v>763</v>
      </c>
      <c r="AC184" s="16" t="s">
        <v>2358</v>
      </c>
      <c r="AD184" s="16" t="s">
        <v>2359</v>
      </c>
      <c r="AE184" s="16" t="s">
        <v>84</v>
      </c>
      <c r="AF184" s="16" t="s">
        <v>84</v>
      </c>
      <c r="AG184" s="16">
        <v>129</v>
      </c>
      <c r="AH184" s="16">
        <v>129</v>
      </c>
      <c r="AI184" s="17">
        <v>129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 t="s">
        <v>137</v>
      </c>
      <c r="AP184" s="16" t="s">
        <v>2360</v>
      </c>
      <c r="AQ184" s="16" t="s">
        <v>2361</v>
      </c>
      <c r="AR184" s="16" t="s">
        <v>88</v>
      </c>
      <c r="AS184" s="16" t="s">
        <v>2362</v>
      </c>
      <c r="AT184" s="16">
        <v>6.45</v>
      </c>
      <c r="AU184" s="16" t="s">
        <v>90</v>
      </c>
      <c r="AV184" s="16">
        <v>1.5</v>
      </c>
      <c r="AW184" s="16" t="s">
        <v>115</v>
      </c>
      <c r="AX184" s="16" t="s">
        <v>116</v>
      </c>
      <c r="AY184" s="16" t="s">
        <v>117</v>
      </c>
      <c r="AZ184" s="16" t="s">
        <v>118</v>
      </c>
      <c r="BA184" s="16" t="s">
        <v>119</v>
      </c>
      <c r="BB184" s="16">
        <v>0</v>
      </c>
      <c r="BC184" s="16" t="s">
        <v>84</v>
      </c>
      <c r="BD184" s="16" t="s">
        <v>90</v>
      </c>
      <c r="BE184" s="16" t="s">
        <v>610</v>
      </c>
      <c r="BF184" s="16" t="s">
        <v>611</v>
      </c>
      <c r="BG184" s="16" t="s">
        <v>612</v>
      </c>
      <c r="BH184" s="16" t="s">
        <v>1241</v>
      </c>
      <c r="BI184" s="16" t="s">
        <v>1242</v>
      </c>
      <c r="BJ184" s="16">
        <v>129</v>
      </c>
      <c r="BK184" s="16">
        <v>129</v>
      </c>
      <c r="BL184" s="16">
        <v>129</v>
      </c>
      <c r="BM184" s="16" t="s">
        <v>96</v>
      </c>
      <c r="BN184" s="16">
        <v>1</v>
      </c>
      <c r="BO184" s="16" t="s">
        <v>84</v>
      </c>
      <c r="BP184" s="16" t="s">
        <v>84</v>
      </c>
      <c r="BQ184" s="16" t="s">
        <v>84</v>
      </c>
      <c r="BR184" s="16" t="s">
        <v>97</v>
      </c>
      <c r="BS184" s="16" t="s">
        <v>98</v>
      </c>
      <c r="BT184" s="16">
        <v>0</v>
      </c>
    </row>
    <row r="185" s="1" customFormat="1" ht="16" customHeight="1" spans="1:72">
      <c r="A185" s="14">
        <f t="shared" si="39"/>
        <v>2025</v>
      </c>
      <c r="B185" s="14">
        <f t="shared" si="40"/>
        <v>8</v>
      </c>
      <c r="C185" s="14" t="str">
        <f t="shared" si="41"/>
        <v>3729901966173288448</v>
      </c>
      <c r="D185" s="14" cm="1">
        <f t="array" ref="D185">SUMPRODUCT(($R$2:$R$374=C185)*1)</f>
        <v>1</v>
      </c>
      <c r="E185" s="14" cm="1">
        <f t="array" ref="E185">SUMPRODUCT(($R$2:R185=C185)*1)</f>
        <v>1</v>
      </c>
      <c r="F185" s="15" t="str">
        <f t="shared" si="42"/>
        <v>Z2183-米白色-L</v>
      </c>
      <c r="G185" s="14" t="str">
        <f t="shared" si="43"/>
        <v>Z2183</v>
      </c>
      <c r="H185" s="15">
        <f t="shared" si="44"/>
        <v>1</v>
      </c>
      <c r="I185" s="14">
        <f t="shared" si="45"/>
        <v>129</v>
      </c>
      <c r="J185" s="15">
        <f t="shared" si="46"/>
        <v>0</v>
      </c>
      <c r="K185" s="15">
        <f t="shared" si="47"/>
        <v>0</v>
      </c>
      <c r="L185" s="15">
        <f t="shared" si="48"/>
        <v>-6.45</v>
      </c>
      <c r="M185" s="15">
        <f t="shared" si="49"/>
        <v>0</v>
      </c>
      <c r="N185" s="15">
        <f t="shared" si="50"/>
        <v>-1.5</v>
      </c>
      <c r="O185" s="15">
        <f t="shared" si="51"/>
        <v>121.05</v>
      </c>
      <c r="R185" s="16" t="s">
        <v>2363</v>
      </c>
      <c r="S185" s="16" t="s">
        <v>2364</v>
      </c>
      <c r="T185" s="16" t="s">
        <v>2303</v>
      </c>
      <c r="U185" s="16" t="s">
        <v>2365</v>
      </c>
      <c r="V185" s="16" t="s">
        <v>2366</v>
      </c>
      <c r="W185" s="16" t="s">
        <v>76</v>
      </c>
      <c r="X185" s="16" t="s">
        <v>77</v>
      </c>
      <c r="Y185" s="16" t="s">
        <v>677</v>
      </c>
      <c r="Z185" s="16" t="s">
        <v>1332</v>
      </c>
      <c r="AA185" s="16" t="s">
        <v>280</v>
      </c>
      <c r="AB185" s="16" t="s">
        <v>281</v>
      </c>
      <c r="AC185" s="16" t="s">
        <v>1333</v>
      </c>
      <c r="AD185" s="16" t="s">
        <v>2367</v>
      </c>
      <c r="AE185" s="16" t="s">
        <v>84</v>
      </c>
      <c r="AF185" s="16" t="s">
        <v>84</v>
      </c>
      <c r="AG185" s="16">
        <v>129</v>
      </c>
      <c r="AH185" s="16">
        <v>129</v>
      </c>
      <c r="AI185" s="17">
        <v>129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 t="s">
        <v>137</v>
      </c>
      <c r="AP185" s="16" t="s">
        <v>2368</v>
      </c>
      <c r="AQ185" s="16" t="s">
        <v>2369</v>
      </c>
      <c r="AR185" s="16" t="s">
        <v>88</v>
      </c>
      <c r="AS185" s="16" t="s">
        <v>2370</v>
      </c>
      <c r="AT185" s="16">
        <v>6.45</v>
      </c>
      <c r="AU185" s="16" t="s">
        <v>90</v>
      </c>
      <c r="AV185" s="16">
        <v>1.5</v>
      </c>
      <c r="AW185" s="16" t="s">
        <v>115</v>
      </c>
      <c r="AX185" s="16" t="s">
        <v>116</v>
      </c>
      <c r="AY185" s="16" t="s">
        <v>117</v>
      </c>
      <c r="AZ185" s="16" t="s">
        <v>118</v>
      </c>
      <c r="BA185" s="16" t="s">
        <v>119</v>
      </c>
      <c r="BB185" s="16">
        <v>0</v>
      </c>
      <c r="BC185" s="16" t="s">
        <v>84</v>
      </c>
      <c r="BD185" s="16" t="s">
        <v>90</v>
      </c>
      <c r="BE185" s="16" t="s">
        <v>610</v>
      </c>
      <c r="BF185" s="16" t="s">
        <v>611</v>
      </c>
      <c r="BG185" s="16" t="s">
        <v>612</v>
      </c>
      <c r="BH185" s="16" t="s">
        <v>1241</v>
      </c>
      <c r="BI185" s="16" t="s">
        <v>1242</v>
      </c>
      <c r="BJ185" s="16">
        <v>129</v>
      </c>
      <c r="BK185" s="16">
        <v>129</v>
      </c>
      <c r="BL185" s="16">
        <v>129</v>
      </c>
      <c r="BM185" s="16" t="s">
        <v>96</v>
      </c>
      <c r="BN185" s="16">
        <v>1</v>
      </c>
      <c r="BO185" s="16" t="s">
        <v>84</v>
      </c>
      <c r="BP185" s="16" t="s">
        <v>84</v>
      </c>
      <c r="BQ185" s="16" t="s">
        <v>84</v>
      </c>
      <c r="BR185" s="16" t="s">
        <v>97</v>
      </c>
      <c r="BS185" s="16" t="s">
        <v>98</v>
      </c>
      <c r="BT185" s="16">
        <v>0</v>
      </c>
    </row>
    <row r="186" s="1" customFormat="1" ht="16" customHeight="1" spans="1:72">
      <c r="A186" s="14">
        <f t="shared" si="39"/>
        <v>2025</v>
      </c>
      <c r="B186" s="14">
        <f t="shared" si="40"/>
        <v>8</v>
      </c>
      <c r="C186" s="14" t="str">
        <f t="shared" si="41"/>
        <v>3729901954651790848</v>
      </c>
      <c r="D186" s="14" cm="1">
        <f t="array" ref="D186">SUMPRODUCT(($R$2:$R$374=C186)*1)</f>
        <v>1</v>
      </c>
      <c r="E186" s="14" cm="1">
        <f t="array" ref="E186">SUMPRODUCT(($R$2:R186=C186)*1)</f>
        <v>1</v>
      </c>
      <c r="F186" s="15" t="str">
        <f t="shared" si="42"/>
        <v>Z2183-米白色-L</v>
      </c>
      <c r="G186" s="14" t="str">
        <f t="shared" si="43"/>
        <v>Z2183</v>
      </c>
      <c r="H186" s="15">
        <f t="shared" si="44"/>
        <v>1</v>
      </c>
      <c r="I186" s="14">
        <f t="shared" si="45"/>
        <v>129</v>
      </c>
      <c r="J186" s="15">
        <f t="shared" si="46"/>
        <v>0</v>
      </c>
      <c r="K186" s="15">
        <f t="shared" si="47"/>
        <v>0</v>
      </c>
      <c r="L186" s="15">
        <f t="shared" si="48"/>
        <v>-6.45</v>
      </c>
      <c r="M186" s="15">
        <f t="shared" si="49"/>
        <v>0</v>
      </c>
      <c r="N186" s="15">
        <f t="shared" si="50"/>
        <v>-1.5</v>
      </c>
      <c r="O186" s="15">
        <f t="shared" si="51"/>
        <v>121.05</v>
      </c>
      <c r="R186" s="16" t="s">
        <v>2371</v>
      </c>
      <c r="S186" s="16" t="s">
        <v>2372</v>
      </c>
      <c r="T186" s="16" t="s">
        <v>2303</v>
      </c>
      <c r="U186" s="16" t="s">
        <v>2373</v>
      </c>
      <c r="V186" s="16" t="s">
        <v>2374</v>
      </c>
      <c r="W186" s="16" t="s">
        <v>76</v>
      </c>
      <c r="X186" s="16" t="s">
        <v>77</v>
      </c>
      <c r="Y186" s="16" t="s">
        <v>1842</v>
      </c>
      <c r="Z186" s="16" t="s">
        <v>2375</v>
      </c>
      <c r="AA186" s="16" t="s">
        <v>384</v>
      </c>
      <c r="AB186" s="16" t="s">
        <v>2376</v>
      </c>
      <c r="AC186" s="16" t="s">
        <v>2377</v>
      </c>
      <c r="AD186" s="16" t="s">
        <v>2378</v>
      </c>
      <c r="AE186" s="16" t="s">
        <v>84</v>
      </c>
      <c r="AF186" s="16" t="s">
        <v>84</v>
      </c>
      <c r="AG186" s="16">
        <v>129</v>
      </c>
      <c r="AH186" s="16">
        <v>129</v>
      </c>
      <c r="AI186" s="17">
        <v>129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 t="s">
        <v>137</v>
      </c>
      <c r="AP186" s="16" t="s">
        <v>2379</v>
      </c>
      <c r="AQ186" s="16" t="s">
        <v>2380</v>
      </c>
      <c r="AR186" s="16" t="s">
        <v>88</v>
      </c>
      <c r="AS186" s="16" t="s">
        <v>2381</v>
      </c>
      <c r="AT186" s="16">
        <v>6.45</v>
      </c>
      <c r="AU186" s="16" t="s">
        <v>90</v>
      </c>
      <c r="AV186" s="16">
        <v>1.5</v>
      </c>
      <c r="AW186" s="16" t="s">
        <v>115</v>
      </c>
      <c r="AX186" s="16" t="s">
        <v>116</v>
      </c>
      <c r="AY186" s="16" t="s">
        <v>117</v>
      </c>
      <c r="AZ186" s="16" t="s">
        <v>118</v>
      </c>
      <c r="BA186" s="16" t="s">
        <v>119</v>
      </c>
      <c r="BB186" s="16">
        <v>0</v>
      </c>
      <c r="BC186" s="16" t="s">
        <v>84</v>
      </c>
      <c r="BD186" s="16" t="s">
        <v>90</v>
      </c>
      <c r="BE186" s="16" t="s">
        <v>610</v>
      </c>
      <c r="BF186" s="16" t="s">
        <v>611</v>
      </c>
      <c r="BG186" s="16" t="s">
        <v>612</v>
      </c>
      <c r="BH186" s="16" t="s">
        <v>1241</v>
      </c>
      <c r="BI186" s="16" t="s">
        <v>1242</v>
      </c>
      <c r="BJ186" s="16">
        <v>129</v>
      </c>
      <c r="BK186" s="16">
        <v>129</v>
      </c>
      <c r="BL186" s="16">
        <v>129</v>
      </c>
      <c r="BM186" s="16" t="s">
        <v>96</v>
      </c>
      <c r="BN186" s="16">
        <v>1</v>
      </c>
      <c r="BO186" s="16" t="s">
        <v>84</v>
      </c>
      <c r="BP186" s="16" t="s">
        <v>84</v>
      </c>
      <c r="BQ186" s="16" t="s">
        <v>84</v>
      </c>
      <c r="BR186" s="16" t="s">
        <v>97</v>
      </c>
      <c r="BS186" s="16" t="s">
        <v>98</v>
      </c>
      <c r="BT186" s="16">
        <v>0</v>
      </c>
    </row>
    <row r="187" s="1" customFormat="1" ht="16" customHeight="1" spans="1:72">
      <c r="A187" s="14">
        <f t="shared" si="39"/>
        <v>2025</v>
      </c>
      <c r="B187" s="14">
        <f t="shared" si="40"/>
        <v>8</v>
      </c>
      <c r="C187" s="14" t="str">
        <f t="shared" si="41"/>
        <v>3729901952848244992</v>
      </c>
      <c r="D187" s="14" cm="1">
        <f t="array" ref="D187">SUMPRODUCT(($R$2:$R$374=C187)*1)</f>
        <v>1</v>
      </c>
      <c r="E187" s="14" cm="1">
        <f t="array" ref="E187">SUMPRODUCT(($R$2:R187=C187)*1)</f>
        <v>1</v>
      </c>
      <c r="F187" s="15" t="str">
        <f t="shared" si="42"/>
        <v>Z2183-米白色-L</v>
      </c>
      <c r="G187" s="14" t="str">
        <f t="shared" si="43"/>
        <v>Z2183</v>
      </c>
      <c r="H187" s="15">
        <f t="shared" si="44"/>
        <v>1</v>
      </c>
      <c r="I187" s="14">
        <f t="shared" si="45"/>
        <v>129</v>
      </c>
      <c r="J187" s="15">
        <f t="shared" si="46"/>
        <v>0</v>
      </c>
      <c r="K187" s="15">
        <f t="shared" si="47"/>
        <v>0</v>
      </c>
      <c r="L187" s="15">
        <f t="shared" si="48"/>
        <v>-6.45</v>
      </c>
      <c r="M187" s="15">
        <f t="shared" si="49"/>
        <v>0</v>
      </c>
      <c r="N187" s="15">
        <f t="shared" si="50"/>
        <v>-1.5</v>
      </c>
      <c r="O187" s="15">
        <f t="shared" si="51"/>
        <v>121.05</v>
      </c>
      <c r="R187" s="16" t="s">
        <v>2382</v>
      </c>
      <c r="S187" s="16" t="s">
        <v>2383</v>
      </c>
      <c r="T187" s="16" t="s">
        <v>2303</v>
      </c>
      <c r="U187" s="16" t="s">
        <v>2384</v>
      </c>
      <c r="V187" s="16" t="s">
        <v>2385</v>
      </c>
      <c r="W187" s="16" t="s">
        <v>76</v>
      </c>
      <c r="X187" s="16" t="s">
        <v>77</v>
      </c>
      <c r="Y187" s="16" t="s">
        <v>950</v>
      </c>
      <c r="Z187" s="16" t="s">
        <v>1918</v>
      </c>
      <c r="AA187" s="16" t="s">
        <v>430</v>
      </c>
      <c r="AB187" s="16" t="s">
        <v>430</v>
      </c>
      <c r="AC187" s="16" t="s">
        <v>1919</v>
      </c>
      <c r="AD187" s="16" t="s">
        <v>2386</v>
      </c>
      <c r="AE187" s="16" t="s">
        <v>84</v>
      </c>
      <c r="AF187" s="16" t="s">
        <v>84</v>
      </c>
      <c r="AG187" s="16">
        <v>129</v>
      </c>
      <c r="AH187" s="16">
        <v>129</v>
      </c>
      <c r="AI187" s="17">
        <v>129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 t="s">
        <v>137</v>
      </c>
      <c r="AP187" s="16" t="s">
        <v>2387</v>
      </c>
      <c r="AQ187" s="16" t="s">
        <v>2388</v>
      </c>
      <c r="AR187" s="16" t="s">
        <v>88</v>
      </c>
      <c r="AS187" s="16" t="s">
        <v>2389</v>
      </c>
      <c r="AT187" s="16">
        <v>6.45</v>
      </c>
      <c r="AU187" s="16" t="s">
        <v>90</v>
      </c>
      <c r="AV187" s="16">
        <v>1.5</v>
      </c>
      <c r="AW187" s="16" t="s">
        <v>115</v>
      </c>
      <c r="AX187" s="16" t="s">
        <v>116</v>
      </c>
      <c r="AY187" s="16" t="s">
        <v>117</v>
      </c>
      <c r="AZ187" s="16" t="s">
        <v>118</v>
      </c>
      <c r="BA187" s="16" t="s">
        <v>119</v>
      </c>
      <c r="BB187" s="16">
        <v>0</v>
      </c>
      <c r="BC187" s="16" t="s">
        <v>84</v>
      </c>
      <c r="BD187" s="16" t="s">
        <v>90</v>
      </c>
      <c r="BE187" s="16" t="s">
        <v>610</v>
      </c>
      <c r="BF187" s="16" t="s">
        <v>611</v>
      </c>
      <c r="BG187" s="16" t="s">
        <v>612</v>
      </c>
      <c r="BH187" s="16" t="s">
        <v>1241</v>
      </c>
      <c r="BI187" s="16" t="s">
        <v>1242</v>
      </c>
      <c r="BJ187" s="16">
        <v>129</v>
      </c>
      <c r="BK187" s="16">
        <v>129</v>
      </c>
      <c r="BL187" s="16">
        <v>129</v>
      </c>
      <c r="BM187" s="16" t="s">
        <v>96</v>
      </c>
      <c r="BN187" s="16">
        <v>1</v>
      </c>
      <c r="BO187" s="16" t="s">
        <v>84</v>
      </c>
      <c r="BP187" s="16" t="s">
        <v>84</v>
      </c>
      <c r="BQ187" s="16" t="s">
        <v>84</v>
      </c>
      <c r="BR187" s="16" t="s">
        <v>97</v>
      </c>
      <c r="BS187" s="16" t="s">
        <v>98</v>
      </c>
      <c r="BT187" s="16">
        <v>0</v>
      </c>
    </row>
    <row r="188" s="1" customFormat="1" ht="16" customHeight="1" spans="1:72">
      <c r="A188" s="14">
        <f t="shared" si="39"/>
        <v>2025</v>
      </c>
      <c r="B188" s="14">
        <f t="shared" si="40"/>
        <v>8</v>
      </c>
      <c r="C188" s="14" t="str">
        <f t="shared" si="41"/>
        <v>3729901950332181760</v>
      </c>
      <c r="D188" s="14" cm="1">
        <f t="array" ref="D188">SUMPRODUCT(($R$2:$R$374=C188)*1)</f>
        <v>1</v>
      </c>
      <c r="E188" s="14" cm="1">
        <f t="array" ref="E188">SUMPRODUCT(($R$2:R188=C188)*1)</f>
        <v>1</v>
      </c>
      <c r="F188" s="15" t="str">
        <f t="shared" si="42"/>
        <v>Z2183-米白色-XL</v>
      </c>
      <c r="G188" s="14" t="str">
        <f t="shared" si="43"/>
        <v>Z2183</v>
      </c>
      <c r="H188" s="15">
        <f t="shared" si="44"/>
        <v>1</v>
      </c>
      <c r="I188" s="14">
        <f t="shared" si="45"/>
        <v>129</v>
      </c>
      <c r="J188" s="15">
        <f t="shared" si="46"/>
        <v>0</v>
      </c>
      <c r="K188" s="15">
        <f t="shared" si="47"/>
        <v>0</v>
      </c>
      <c r="L188" s="15">
        <f t="shared" si="48"/>
        <v>-6.45</v>
      </c>
      <c r="M188" s="15">
        <f t="shared" si="49"/>
        <v>0</v>
      </c>
      <c r="N188" s="15">
        <f t="shared" si="50"/>
        <v>-1.5</v>
      </c>
      <c r="O188" s="15">
        <f t="shared" si="51"/>
        <v>121.05</v>
      </c>
      <c r="R188" s="16" t="s">
        <v>2390</v>
      </c>
      <c r="S188" s="16" t="s">
        <v>2391</v>
      </c>
      <c r="T188" s="16" t="s">
        <v>2392</v>
      </c>
      <c r="U188" s="16" t="s">
        <v>2393</v>
      </c>
      <c r="V188" s="16" t="s">
        <v>2394</v>
      </c>
      <c r="W188" s="16" t="s">
        <v>76</v>
      </c>
      <c r="X188" s="16" t="s">
        <v>77</v>
      </c>
      <c r="Y188" s="16" t="s">
        <v>2395</v>
      </c>
      <c r="Z188" s="16" t="s">
        <v>2396</v>
      </c>
      <c r="AA188" s="16" t="s">
        <v>107</v>
      </c>
      <c r="AB188" s="16" t="s">
        <v>2397</v>
      </c>
      <c r="AC188" s="16" t="s">
        <v>2398</v>
      </c>
      <c r="AD188" s="16" t="s">
        <v>2399</v>
      </c>
      <c r="AE188" s="16" t="s">
        <v>84</v>
      </c>
      <c r="AF188" s="16" t="s">
        <v>84</v>
      </c>
      <c r="AG188" s="16">
        <v>129</v>
      </c>
      <c r="AH188" s="16">
        <v>129</v>
      </c>
      <c r="AI188" s="17">
        <v>129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 t="s">
        <v>85</v>
      </c>
      <c r="AP188" s="16" t="s">
        <v>2400</v>
      </c>
      <c r="AQ188" s="16" t="s">
        <v>2401</v>
      </c>
      <c r="AR188" s="16" t="s">
        <v>88</v>
      </c>
      <c r="AS188" s="16" t="s">
        <v>2402</v>
      </c>
      <c r="AT188" s="16">
        <v>6.45</v>
      </c>
      <c r="AU188" s="16" t="s">
        <v>90</v>
      </c>
      <c r="AV188" s="16">
        <v>1.5</v>
      </c>
      <c r="AW188" s="16" t="s">
        <v>115</v>
      </c>
      <c r="AX188" s="16" t="s">
        <v>116</v>
      </c>
      <c r="AY188" s="16" t="s">
        <v>117</v>
      </c>
      <c r="AZ188" s="16" t="s">
        <v>118</v>
      </c>
      <c r="BA188" s="16" t="s">
        <v>119</v>
      </c>
      <c r="BB188" s="16">
        <v>0</v>
      </c>
      <c r="BC188" s="16" t="s">
        <v>84</v>
      </c>
      <c r="BD188" s="16" t="s">
        <v>90</v>
      </c>
      <c r="BE188" s="16" t="s">
        <v>610</v>
      </c>
      <c r="BF188" s="16" t="s">
        <v>611</v>
      </c>
      <c r="BG188" s="16" t="s">
        <v>612</v>
      </c>
      <c r="BH188" s="16" t="s">
        <v>2279</v>
      </c>
      <c r="BI188" s="16" t="s">
        <v>2280</v>
      </c>
      <c r="BJ188" s="16">
        <v>129</v>
      </c>
      <c r="BK188" s="16">
        <v>129</v>
      </c>
      <c r="BL188" s="16">
        <v>129</v>
      </c>
      <c r="BM188" s="16" t="s">
        <v>96</v>
      </c>
      <c r="BN188" s="16">
        <v>1</v>
      </c>
      <c r="BO188" s="16" t="s">
        <v>84</v>
      </c>
      <c r="BP188" s="16" t="s">
        <v>84</v>
      </c>
      <c r="BQ188" s="16" t="s">
        <v>84</v>
      </c>
      <c r="BR188" s="16" t="s">
        <v>97</v>
      </c>
      <c r="BS188" s="16" t="s">
        <v>98</v>
      </c>
      <c r="BT188" s="16">
        <v>0</v>
      </c>
    </row>
    <row r="189" s="1" customFormat="1" ht="16" customHeight="1" spans="1:72">
      <c r="A189" s="14">
        <f t="shared" si="39"/>
        <v>2025</v>
      </c>
      <c r="B189" s="14">
        <f t="shared" si="40"/>
        <v>8</v>
      </c>
      <c r="C189" s="14" t="str">
        <f t="shared" si="41"/>
        <v>3729901944907113984</v>
      </c>
      <c r="D189" s="14" cm="1">
        <f t="array" ref="D189">SUMPRODUCT(($R$2:$R$374=C189)*1)</f>
        <v>1</v>
      </c>
      <c r="E189" s="14" cm="1">
        <f t="array" ref="E189">SUMPRODUCT(($R$2:R189=C189)*1)</f>
        <v>1</v>
      </c>
      <c r="F189" s="15" t="str">
        <f t="shared" si="42"/>
        <v>Z2183-黑色-XL</v>
      </c>
      <c r="G189" s="14" t="str">
        <f t="shared" si="43"/>
        <v>Z2183</v>
      </c>
      <c r="H189" s="15">
        <f t="shared" si="44"/>
        <v>1</v>
      </c>
      <c r="I189" s="14">
        <f t="shared" si="45"/>
        <v>129</v>
      </c>
      <c r="J189" s="15">
        <f t="shared" si="46"/>
        <v>0</v>
      </c>
      <c r="K189" s="15">
        <f t="shared" si="47"/>
        <v>0</v>
      </c>
      <c r="L189" s="15">
        <f t="shared" si="48"/>
        <v>-6.45</v>
      </c>
      <c r="M189" s="15">
        <f t="shared" si="49"/>
        <v>0</v>
      </c>
      <c r="N189" s="15">
        <f t="shared" si="50"/>
        <v>-1.5</v>
      </c>
      <c r="O189" s="15">
        <f t="shared" si="51"/>
        <v>121.05</v>
      </c>
      <c r="R189" s="16" t="s">
        <v>2403</v>
      </c>
      <c r="S189" s="16" t="s">
        <v>2404</v>
      </c>
      <c r="T189" s="16" t="s">
        <v>2405</v>
      </c>
      <c r="U189" s="16" t="s">
        <v>2406</v>
      </c>
      <c r="V189" s="16" t="s">
        <v>2407</v>
      </c>
      <c r="W189" s="16" t="s">
        <v>76</v>
      </c>
      <c r="X189" s="16" t="s">
        <v>77</v>
      </c>
      <c r="Y189" s="16" t="s">
        <v>330</v>
      </c>
      <c r="Z189" s="16" t="s">
        <v>2408</v>
      </c>
      <c r="AA189" s="16" t="s">
        <v>1856</v>
      </c>
      <c r="AB189" s="16" t="s">
        <v>1857</v>
      </c>
      <c r="AC189" s="16" t="s">
        <v>2409</v>
      </c>
      <c r="AD189" s="16" t="s">
        <v>2410</v>
      </c>
      <c r="AE189" s="16" t="s">
        <v>84</v>
      </c>
      <c r="AF189" s="16" t="s">
        <v>84</v>
      </c>
      <c r="AG189" s="16">
        <v>129</v>
      </c>
      <c r="AH189" s="16">
        <v>129</v>
      </c>
      <c r="AI189" s="17">
        <v>129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 t="s">
        <v>85</v>
      </c>
      <c r="AP189" s="16" t="s">
        <v>2411</v>
      </c>
      <c r="AQ189" s="16" t="s">
        <v>2412</v>
      </c>
      <c r="AR189" s="16" t="s">
        <v>88</v>
      </c>
      <c r="AS189" s="16" t="s">
        <v>2413</v>
      </c>
      <c r="AT189" s="16">
        <v>6.45</v>
      </c>
      <c r="AU189" s="16" t="s">
        <v>90</v>
      </c>
      <c r="AV189" s="16">
        <v>1.5</v>
      </c>
      <c r="AW189" s="16" t="s">
        <v>115</v>
      </c>
      <c r="AX189" s="16" t="s">
        <v>116</v>
      </c>
      <c r="AY189" s="16" t="s">
        <v>117</v>
      </c>
      <c r="AZ189" s="16" t="s">
        <v>118</v>
      </c>
      <c r="BA189" s="16" t="s">
        <v>119</v>
      </c>
      <c r="BB189" s="16">
        <v>0</v>
      </c>
      <c r="BC189" s="16" t="s">
        <v>84</v>
      </c>
      <c r="BD189" s="16" t="s">
        <v>90</v>
      </c>
      <c r="BE189" s="16" t="s">
        <v>610</v>
      </c>
      <c r="BF189" s="16" t="s">
        <v>611</v>
      </c>
      <c r="BG189" s="16" t="s">
        <v>612</v>
      </c>
      <c r="BH189" s="16" t="s">
        <v>613</v>
      </c>
      <c r="BI189" s="16" t="s">
        <v>614</v>
      </c>
      <c r="BJ189" s="16">
        <v>129</v>
      </c>
      <c r="BK189" s="16">
        <v>129</v>
      </c>
      <c r="BL189" s="16">
        <v>129</v>
      </c>
      <c r="BM189" s="16" t="s">
        <v>96</v>
      </c>
      <c r="BN189" s="16">
        <v>1</v>
      </c>
      <c r="BO189" s="16" t="s">
        <v>84</v>
      </c>
      <c r="BP189" s="16" t="s">
        <v>84</v>
      </c>
      <c r="BQ189" s="16" t="s">
        <v>84</v>
      </c>
      <c r="BR189" s="16" t="s">
        <v>97</v>
      </c>
      <c r="BS189" s="16" t="s">
        <v>98</v>
      </c>
      <c r="BT189" s="16">
        <v>0</v>
      </c>
    </row>
    <row r="190" s="1" customFormat="1" ht="16" customHeight="1" spans="1:72">
      <c r="A190" s="14">
        <f t="shared" si="39"/>
        <v>2025</v>
      </c>
      <c r="B190" s="14">
        <f t="shared" si="40"/>
        <v>8</v>
      </c>
      <c r="C190" s="14" t="str">
        <f t="shared" si="41"/>
        <v>3729901932383450368</v>
      </c>
      <c r="D190" s="14" cm="1">
        <f t="array" ref="D190">SUMPRODUCT(($R$2:$R$374=C190)*1)</f>
        <v>1</v>
      </c>
      <c r="E190" s="14" cm="1">
        <f t="array" ref="E190">SUMPRODUCT(($R$2:R190=C190)*1)</f>
        <v>1</v>
      </c>
      <c r="F190" s="15" t="str">
        <f t="shared" si="42"/>
        <v>Z2183-黑色-M</v>
      </c>
      <c r="G190" s="14" t="str">
        <f t="shared" si="43"/>
        <v>Z2183</v>
      </c>
      <c r="H190" s="15">
        <f t="shared" si="44"/>
        <v>1</v>
      </c>
      <c r="I190" s="14">
        <f t="shared" si="45"/>
        <v>129</v>
      </c>
      <c r="J190" s="15">
        <f t="shared" si="46"/>
        <v>0</v>
      </c>
      <c r="K190" s="15">
        <f t="shared" si="47"/>
        <v>0</v>
      </c>
      <c r="L190" s="15">
        <f t="shared" si="48"/>
        <v>-6.45</v>
      </c>
      <c r="M190" s="15">
        <f t="shared" si="49"/>
        <v>0</v>
      </c>
      <c r="N190" s="15">
        <f t="shared" si="50"/>
        <v>-1.5</v>
      </c>
      <c r="O190" s="15">
        <f t="shared" si="51"/>
        <v>121.05</v>
      </c>
      <c r="R190" s="16" t="s">
        <v>2414</v>
      </c>
      <c r="S190" s="16" t="s">
        <v>2415</v>
      </c>
      <c r="T190" s="16" t="s">
        <v>2416</v>
      </c>
      <c r="U190" s="16" t="s">
        <v>2417</v>
      </c>
      <c r="V190" s="16" t="s">
        <v>2418</v>
      </c>
      <c r="W190" s="16" t="s">
        <v>76</v>
      </c>
      <c r="X190" s="16" t="s">
        <v>77</v>
      </c>
      <c r="Y190" s="16" t="s">
        <v>1256</v>
      </c>
      <c r="Z190" s="16" t="s">
        <v>2419</v>
      </c>
      <c r="AA190" s="16" t="s">
        <v>884</v>
      </c>
      <c r="AB190" s="16" t="s">
        <v>885</v>
      </c>
      <c r="AC190" s="16" t="s">
        <v>2420</v>
      </c>
      <c r="AD190" s="16" t="s">
        <v>2421</v>
      </c>
      <c r="AE190" s="16" t="s">
        <v>84</v>
      </c>
      <c r="AF190" s="16" t="s">
        <v>84</v>
      </c>
      <c r="AG190" s="16">
        <v>129</v>
      </c>
      <c r="AH190" s="16">
        <v>129</v>
      </c>
      <c r="AI190" s="17">
        <v>129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 t="s">
        <v>85</v>
      </c>
      <c r="AP190" s="16" t="s">
        <v>2422</v>
      </c>
      <c r="AQ190" s="16" t="s">
        <v>2423</v>
      </c>
      <c r="AR190" s="16" t="s">
        <v>88</v>
      </c>
      <c r="AS190" s="16" t="s">
        <v>2424</v>
      </c>
      <c r="AT190" s="16">
        <v>6.45</v>
      </c>
      <c r="AU190" s="16" t="s">
        <v>90</v>
      </c>
      <c r="AV190" s="16">
        <v>1.5</v>
      </c>
      <c r="AW190" s="16" t="s">
        <v>115</v>
      </c>
      <c r="AX190" s="16" t="s">
        <v>116</v>
      </c>
      <c r="AY190" s="16" t="s">
        <v>117</v>
      </c>
      <c r="AZ190" s="16" t="s">
        <v>118</v>
      </c>
      <c r="BA190" s="16" t="s">
        <v>119</v>
      </c>
      <c r="BB190" s="16">
        <v>0</v>
      </c>
      <c r="BC190" s="16" t="s">
        <v>84</v>
      </c>
      <c r="BD190" s="16" t="s">
        <v>90</v>
      </c>
      <c r="BE190" s="16" t="s">
        <v>610</v>
      </c>
      <c r="BF190" s="16" t="s">
        <v>611</v>
      </c>
      <c r="BG190" s="16" t="s">
        <v>612</v>
      </c>
      <c r="BH190" s="16" t="s">
        <v>685</v>
      </c>
      <c r="BI190" s="16" t="s">
        <v>686</v>
      </c>
      <c r="BJ190" s="16">
        <v>129</v>
      </c>
      <c r="BK190" s="16">
        <v>129</v>
      </c>
      <c r="BL190" s="16">
        <v>129</v>
      </c>
      <c r="BM190" s="16" t="s">
        <v>96</v>
      </c>
      <c r="BN190" s="16">
        <v>1</v>
      </c>
      <c r="BO190" s="16" t="s">
        <v>84</v>
      </c>
      <c r="BP190" s="16" t="s">
        <v>84</v>
      </c>
      <c r="BQ190" s="16" t="s">
        <v>84</v>
      </c>
      <c r="BR190" s="16" t="s">
        <v>97</v>
      </c>
      <c r="BS190" s="16" t="s">
        <v>98</v>
      </c>
      <c r="BT190" s="16">
        <v>0</v>
      </c>
    </row>
    <row r="191" s="1" customFormat="1" ht="16" customHeight="1" spans="1:72">
      <c r="A191" s="14">
        <f t="shared" si="39"/>
        <v>2025</v>
      </c>
      <c r="B191" s="14">
        <f t="shared" si="40"/>
        <v>8</v>
      </c>
      <c r="C191" s="14" t="str">
        <f t="shared" si="41"/>
        <v>3729901903981720320</v>
      </c>
      <c r="D191" s="14" cm="1">
        <f t="array" ref="D191">SUMPRODUCT(($R$2:$R$374=C191)*1)</f>
        <v>1</v>
      </c>
      <c r="E191" s="14" cm="1">
        <f t="array" ref="E191">SUMPRODUCT(($R$2:R191=C191)*1)</f>
        <v>1</v>
      </c>
      <c r="F191" s="15" t="str">
        <f t="shared" si="42"/>
        <v>Z2183-黑色-L</v>
      </c>
      <c r="G191" s="14" t="str">
        <f t="shared" si="43"/>
        <v>Z2183</v>
      </c>
      <c r="H191" s="15">
        <f t="shared" si="44"/>
        <v>1</v>
      </c>
      <c r="I191" s="14">
        <f t="shared" si="45"/>
        <v>129</v>
      </c>
      <c r="J191" s="15">
        <f t="shared" si="46"/>
        <v>0</v>
      </c>
      <c r="K191" s="15">
        <f t="shared" si="47"/>
        <v>0</v>
      </c>
      <c r="L191" s="15">
        <f t="shared" si="48"/>
        <v>-6.45</v>
      </c>
      <c r="M191" s="15">
        <f t="shared" si="49"/>
        <v>0</v>
      </c>
      <c r="N191" s="15">
        <f t="shared" si="50"/>
        <v>-1.5</v>
      </c>
      <c r="O191" s="15">
        <f t="shared" si="51"/>
        <v>121.05</v>
      </c>
      <c r="R191" s="16" t="s">
        <v>2425</v>
      </c>
      <c r="S191" s="16" t="s">
        <v>2426</v>
      </c>
      <c r="T191" s="16" t="s">
        <v>2427</v>
      </c>
      <c r="U191" s="16" t="s">
        <v>2428</v>
      </c>
      <c r="V191" s="16" t="s">
        <v>2429</v>
      </c>
      <c r="W191" s="16" t="s">
        <v>76</v>
      </c>
      <c r="X191" s="16" t="s">
        <v>77</v>
      </c>
      <c r="Y191" s="16" t="s">
        <v>2430</v>
      </c>
      <c r="Z191" s="16" t="s">
        <v>1688</v>
      </c>
      <c r="AA191" s="16" t="s">
        <v>430</v>
      </c>
      <c r="AB191" s="16" t="s">
        <v>430</v>
      </c>
      <c r="AC191" s="16" t="s">
        <v>1689</v>
      </c>
      <c r="AD191" s="16" t="s">
        <v>2431</v>
      </c>
      <c r="AE191" s="16" t="s">
        <v>84</v>
      </c>
      <c r="AF191" s="16" t="s">
        <v>84</v>
      </c>
      <c r="AG191" s="16">
        <v>129</v>
      </c>
      <c r="AH191" s="16">
        <v>129</v>
      </c>
      <c r="AI191" s="17">
        <v>129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 t="s">
        <v>137</v>
      </c>
      <c r="AP191" s="16" t="s">
        <v>2432</v>
      </c>
      <c r="AQ191" s="16" t="s">
        <v>2433</v>
      </c>
      <c r="AR191" s="16" t="s">
        <v>88</v>
      </c>
      <c r="AS191" s="16" t="s">
        <v>2434</v>
      </c>
      <c r="AT191" s="16">
        <v>6.45</v>
      </c>
      <c r="AU191" s="16" t="s">
        <v>90</v>
      </c>
      <c r="AV191" s="16">
        <v>1.5</v>
      </c>
      <c r="AW191" s="16" t="s">
        <v>115</v>
      </c>
      <c r="AX191" s="16" t="s">
        <v>116</v>
      </c>
      <c r="AY191" s="16" t="s">
        <v>117</v>
      </c>
      <c r="AZ191" s="16" t="s">
        <v>118</v>
      </c>
      <c r="BA191" s="16" t="s">
        <v>119</v>
      </c>
      <c r="BB191" s="16">
        <v>0</v>
      </c>
      <c r="BC191" s="16" t="s">
        <v>84</v>
      </c>
      <c r="BD191" s="16" t="s">
        <v>90</v>
      </c>
      <c r="BE191" s="16" t="s">
        <v>610</v>
      </c>
      <c r="BF191" s="16" t="s">
        <v>611</v>
      </c>
      <c r="BG191" s="16" t="s">
        <v>612</v>
      </c>
      <c r="BH191" s="16" t="s">
        <v>1174</v>
      </c>
      <c r="BI191" s="16" t="s">
        <v>1175</v>
      </c>
      <c r="BJ191" s="16">
        <v>129</v>
      </c>
      <c r="BK191" s="16">
        <v>129</v>
      </c>
      <c r="BL191" s="16">
        <v>129</v>
      </c>
      <c r="BM191" s="16" t="s">
        <v>96</v>
      </c>
      <c r="BN191" s="16">
        <v>1</v>
      </c>
      <c r="BO191" s="16" t="s">
        <v>84</v>
      </c>
      <c r="BP191" s="16" t="s">
        <v>84</v>
      </c>
      <c r="BQ191" s="16" t="s">
        <v>84</v>
      </c>
      <c r="BR191" s="16" t="s">
        <v>97</v>
      </c>
      <c r="BS191" s="16" t="s">
        <v>98</v>
      </c>
      <c r="BT191" s="16">
        <v>0</v>
      </c>
    </row>
    <row r="192" s="1" customFormat="1" ht="16" customHeight="1" spans="1:72">
      <c r="A192" s="14">
        <f t="shared" si="39"/>
        <v>2025</v>
      </c>
      <c r="B192" s="14">
        <f t="shared" si="40"/>
        <v>8</v>
      </c>
      <c r="C192" s="14" t="str">
        <f t="shared" si="41"/>
        <v>3729901903200002561</v>
      </c>
      <c r="D192" s="14" cm="1">
        <f t="array" ref="D192">SUMPRODUCT(($R$2:$R$374=C192)*1)</f>
        <v>1</v>
      </c>
      <c r="E192" s="14" cm="1">
        <f t="array" ref="E192">SUMPRODUCT(($R$2:R192=C192)*1)</f>
        <v>1</v>
      </c>
      <c r="F192" s="15" t="str">
        <f t="shared" si="42"/>
        <v>Z2183-黑色-L</v>
      </c>
      <c r="G192" s="14" t="str">
        <f t="shared" si="43"/>
        <v>Z2183</v>
      </c>
      <c r="H192" s="15">
        <f t="shared" si="44"/>
        <v>1</v>
      </c>
      <c r="I192" s="14">
        <f t="shared" si="45"/>
        <v>129</v>
      </c>
      <c r="J192" s="15">
        <f t="shared" si="46"/>
        <v>0</v>
      </c>
      <c r="K192" s="15">
        <f t="shared" si="47"/>
        <v>0</v>
      </c>
      <c r="L192" s="15">
        <f t="shared" si="48"/>
        <v>-6.45</v>
      </c>
      <c r="M192" s="15">
        <f t="shared" si="49"/>
        <v>0</v>
      </c>
      <c r="N192" s="15">
        <f t="shared" si="50"/>
        <v>-1.5</v>
      </c>
      <c r="O192" s="15">
        <f t="shared" si="51"/>
        <v>121.05</v>
      </c>
      <c r="R192" s="16" t="s">
        <v>2435</v>
      </c>
      <c r="S192" s="16" t="s">
        <v>2436</v>
      </c>
      <c r="T192" s="16" t="s">
        <v>2437</v>
      </c>
      <c r="U192" s="16" t="s">
        <v>2438</v>
      </c>
      <c r="V192" s="16" t="s">
        <v>2439</v>
      </c>
      <c r="W192" s="16" t="s">
        <v>76</v>
      </c>
      <c r="X192" s="16" t="s">
        <v>77</v>
      </c>
      <c r="Y192" s="16" t="s">
        <v>2440</v>
      </c>
      <c r="Z192" s="16" t="s">
        <v>2441</v>
      </c>
      <c r="AA192" s="16" t="s">
        <v>512</v>
      </c>
      <c r="AB192" s="16" t="s">
        <v>2442</v>
      </c>
      <c r="AC192" s="16" t="s">
        <v>2443</v>
      </c>
      <c r="AD192" s="16" t="s">
        <v>2444</v>
      </c>
      <c r="AE192" s="16" t="s">
        <v>84</v>
      </c>
      <c r="AF192" s="16" t="s">
        <v>84</v>
      </c>
      <c r="AG192" s="16">
        <v>129</v>
      </c>
      <c r="AH192" s="16">
        <v>129</v>
      </c>
      <c r="AI192" s="17">
        <v>129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 t="s">
        <v>137</v>
      </c>
      <c r="AP192" s="16" t="s">
        <v>2445</v>
      </c>
      <c r="AQ192" s="16" t="s">
        <v>2446</v>
      </c>
      <c r="AR192" s="16" t="s">
        <v>88</v>
      </c>
      <c r="AS192" s="16" t="s">
        <v>2447</v>
      </c>
      <c r="AT192" s="16">
        <v>6.45</v>
      </c>
      <c r="AU192" s="16" t="s">
        <v>90</v>
      </c>
      <c r="AV192" s="16">
        <v>1.5</v>
      </c>
      <c r="AW192" s="16" t="s">
        <v>115</v>
      </c>
      <c r="AX192" s="16" t="s">
        <v>116</v>
      </c>
      <c r="AY192" s="16" t="s">
        <v>117</v>
      </c>
      <c r="AZ192" s="16" t="s">
        <v>118</v>
      </c>
      <c r="BA192" s="16" t="s">
        <v>119</v>
      </c>
      <c r="BB192" s="16">
        <v>0</v>
      </c>
      <c r="BC192" s="16" t="s">
        <v>84</v>
      </c>
      <c r="BD192" s="16" t="s">
        <v>90</v>
      </c>
      <c r="BE192" s="16" t="s">
        <v>610</v>
      </c>
      <c r="BF192" s="16" t="s">
        <v>611</v>
      </c>
      <c r="BG192" s="16" t="s">
        <v>612</v>
      </c>
      <c r="BH192" s="16" t="s">
        <v>1174</v>
      </c>
      <c r="BI192" s="16" t="s">
        <v>1175</v>
      </c>
      <c r="BJ192" s="16">
        <v>129</v>
      </c>
      <c r="BK192" s="16">
        <v>129</v>
      </c>
      <c r="BL192" s="16">
        <v>129</v>
      </c>
      <c r="BM192" s="16" t="s">
        <v>96</v>
      </c>
      <c r="BN192" s="16">
        <v>1</v>
      </c>
      <c r="BO192" s="16" t="s">
        <v>84</v>
      </c>
      <c r="BP192" s="16" t="s">
        <v>84</v>
      </c>
      <c r="BQ192" s="16" t="s">
        <v>84</v>
      </c>
      <c r="BR192" s="16" t="s">
        <v>97</v>
      </c>
      <c r="BS192" s="16" t="s">
        <v>98</v>
      </c>
      <c r="BT192" s="16">
        <v>0</v>
      </c>
    </row>
    <row r="193" s="1" customFormat="1" ht="16" customHeight="1" spans="1:72">
      <c r="A193" s="14">
        <f t="shared" si="39"/>
        <v>2025</v>
      </c>
      <c r="B193" s="14">
        <f t="shared" si="40"/>
        <v>8</v>
      </c>
      <c r="C193" s="14" t="str">
        <f t="shared" si="41"/>
        <v>3729901812206146560</v>
      </c>
      <c r="D193" s="14" cm="1">
        <f t="array" ref="D193">SUMPRODUCT(($R$2:$R$374=C193)*1)</f>
        <v>1</v>
      </c>
      <c r="E193" s="14" cm="1">
        <f t="array" ref="E193">SUMPRODUCT(($R$2:R193=C193)*1)</f>
        <v>1</v>
      </c>
      <c r="F193" s="15" t="str">
        <f t="shared" si="42"/>
        <v>Z1581-白色-M</v>
      </c>
      <c r="G193" s="14" t="str">
        <f t="shared" si="43"/>
        <v>Z1581</v>
      </c>
      <c r="H193" s="15">
        <f t="shared" si="44"/>
        <v>1</v>
      </c>
      <c r="I193" s="14">
        <f t="shared" si="45"/>
        <v>289</v>
      </c>
      <c r="J193" s="15">
        <f t="shared" si="46"/>
        <v>0</v>
      </c>
      <c r="K193" s="15">
        <f t="shared" si="47"/>
        <v>0</v>
      </c>
      <c r="L193" s="15">
        <f t="shared" si="48"/>
        <v>-14.45</v>
      </c>
      <c r="M193" s="15">
        <f t="shared" si="49"/>
        <v>0</v>
      </c>
      <c r="N193" s="15">
        <f t="shared" si="50"/>
        <v>-1.5</v>
      </c>
      <c r="O193" s="15">
        <f t="shared" si="51"/>
        <v>273.05</v>
      </c>
      <c r="R193" s="16" t="s">
        <v>2448</v>
      </c>
      <c r="S193" s="16" t="s">
        <v>2449</v>
      </c>
      <c r="T193" s="16" t="s">
        <v>2450</v>
      </c>
      <c r="U193" s="16" t="s">
        <v>2451</v>
      </c>
      <c r="V193" s="16" t="s">
        <v>2452</v>
      </c>
      <c r="W193" s="16" t="s">
        <v>76</v>
      </c>
      <c r="X193" s="16" t="s">
        <v>77</v>
      </c>
      <c r="Y193" s="16" t="s">
        <v>1077</v>
      </c>
      <c r="Z193" s="16" t="s">
        <v>2453</v>
      </c>
      <c r="AA193" s="16" t="s">
        <v>1405</v>
      </c>
      <c r="AB193" s="16" t="s">
        <v>2454</v>
      </c>
      <c r="AC193" s="16" t="s">
        <v>2455</v>
      </c>
      <c r="AD193" s="16" t="s">
        <v>2456</v>
      </c>
      <c r="AE193" s="16" t="s">
        <v>84</v>
      </c>
      <c r="AF193" s="16" t="s">
        <v>84</v>
      </c>
      <c r="AG193" s="16">
        <v>289</v>
      </c>
      <c r="AH193" s="16">
        <v>289</v>
      </c>
      <c r="AI193" s="17">
        <v>289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 t="s">
        <v>137</v>
      </c>
      <c r="AP193" s="16" t="s">
        <v>2457</v>
      </c>
      <c r="AQ193" s="16" t="s">
        <v>2458</v>
      </c>
      <c r="AR193" s="16" t="s">
        <v>88</v>
      </c>
      <c r="AS193" s="16" t="s">
        <v>2459</v>
      </c>
      <c r="AT193" s="16">
        <v>14.45</v>
      </c>
      <c r="AU193" s="16" t="s">
        <v>90</v>
      </c>
      <c r="AV193" s="16">
        <v>1.5</v>
      </c>
      <c r="AW193" s="16" t="s">
        <v>115</v>
      </c>
      <c r="AX193" s="16" t="s">
        <v>116</v>
      </c>
      <c r="AY193" s="16" t="s">
        <v>117</v>
      </c>
      <c r="AZ193" s="16" t="s">
        <v>118</v>
      </c>
      <c r="BA193" s="16" t="s">
        <v>119</v>
      </c>
      <c r="BB193" s="16">
        <v>0</v>
      </c>
      <c r="BC193" s="16" t="s">
        <v>84</v>
      </c>
      <c r="BD193" s="16" t="s">
        <v>90</v>
      </c>
      <c r="BE193" s="16" t="s">
        <v>419</v>
      </c>
      <c r="BF193" s="16" t="s">
        <v>420</v>
      </c>
      <c r="BG193" s="16" t="s">
        <v>421</v>
      </c>
      <c r="BH193" s="16" t="s">
        <v>715</v>
      </c>
      <c r="BI193" s="16" t="s">
        <v>716</v>
      </c>
      <c r="BJ193" s="16">
        <v>289</v>
      </c>
      <c r="BK193" s="16">
        <v>289</v>
      </c>
      <c r="BL193" s="16">
        <v>289</v>
      </c>
      <c r="BM193" s="16" t="s">
        <v>96</v>
      </c>
      <c r="BN193" s="16">
        <v>1</v>
      </c>
      <c r="BO193" s="16" t="s">
        <v>84</v>
      </c>
      <c r="BP193" s="16" t="s">
        <v>84</v>
      </c>
      <c r="BQ193" s="16" t="s">
        <v>84</v>
      </c>
      <c r="BR193" s="16" t="s">
        <v>97</v>
      </c>
      <c r="BS193" s="16" t="s">
        <v>98</v>
      </c>
      <c r="BT193" s="16">
        <v>0</v>
      </c>
    </row>
    <row r="194" s="1" customFormat="1" ht="16" customHeight="1" spans="1:72">
      <c r="A194" s="14">
        <f t="shared" si="39"/>
        <v>2025</v>
      </c>
      <c r="B194" s="14">
        <f t="shared" si="40"/>
        <v>8</v>
      </c>
      <c r="C194" s="14" t="str">
        <f t="shared" si="41"/>
        <v>3729901744785601792</v>
      </c>
      <c r="D194" s="14" cm="1">
        <f t="array" ref="D194">SUMPRODUCT(($R$2:$R$374=C194)*1)</f>
        <v>1</v>
      </c>
      <c r="E194" s="14" cm="1">
        <f t="array" ref="E194">SUMPRODUCT(($R$2:R194=C194)*1)</f>
        <v>1</v>
      </c>
      <c r="F194" s="15" t="str">
        <f t="shared" si="42"/>
        <v>Z2183-黑色-XL</v>
      </c>
      <c r="G194" s="14" t="str">
        <f t="shared" si="43"/>
        <v>Z2183</v>
      </c>
      <c r="H194" s="15">
        <f t="shared" si="44"/>
        <v>1</v>
      </c>
      <c r="I194" s="14">
        <f t="shared" si="45"/>
        <v>129</v>
      </c>
      <c r="J194" s="15">
        <f t="shared" si="46"/>
        <v>0</v>
      </c>
      <c r="K194" s="15">
        <f t="shared" si="47"/>
        <v>0</v>
      </c>
      <c r="L194" s="15">
        <f t="shared" si="48"/>
        <v>-6.45</v>
      </c>
      <c r="M194" s="15">
        <f t="shared" si="49"/>
        <v>0</v>
      </c>
      <c r="N194" s="15">
        <f t="shared" si="50"/>
        <v>-1.5</v>
      </c>
      <c r="O194" s="15">
        <f t="shared" si="51"/>
        <v>121.05</v>
      </c>
      <c r="R194" s="16" t="s">
        <v>2460</v>
      </c>
      <c r="S194" s="16" t="s">
        <v>2461</v>
      </c>
      <c r="T194" s="16" t="s">
        <v>2405</v>
      </c>
      <c r="U194" s="16" t="s">
        <v>2462</v>
      </c>
      <c r="V194" s="16" t="s">
        <v>2463</v>
      </c>
      <c r="W194" s="16" t="s">
        <v>76</v>
      </c>
      <c r="X194" s="16" t="s">
        <v>77</v>
      </c>
      <c r="Y194" s="16" t="s">
        <v>2430</v>
      </c>
      <c r="Z194" s="16" t="s">
        <v>1086</v>
      </c>
      <c r="AA194" s="16" t="s">
        <v>107</v>
      </c>
      <c r="AB194" s="16" t="s">
        <v>108</v>
      </c>
      <c r="AC194" s="16" t="s">
        <v>1087</v>
      </c>
      <c r="AD194" s="16" t="s">
        <v>2464</v>
      </c>
      <c r="AE194" s="16" t="s">
        <v>84</v>
      </c>
      <c r="AF194" s="16" t="s">
        <v>84</v>
      </c>
      <c r="AG194" s="16">
        <v>129</v>
      </c>
      <c r="AH194" s="16">
        <v>129</v>
      </c>
      <c r="AI194" s="17">
        <v>129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 t="s">
        <v>137</v>
      </c>
      <c r="AP194" s="16" t="s">
        <v>2465</v>
      </c>
      <c r="AQ194" s="16" t="s">
        <v>2466</v>
      </c>
      <c r="AR194" s="16" t="s">
        <v>88</v>
      </c>
      <c r="AS194" s="16" t="s">
        <v>2467</v>
      </c>
      <c r="AT194" s="16">
        <v>6.45</v>
      </c>
      <c r="AU194" s="16" t="s">
        <v>90</v>
      </c>
      <c r="AV194" s="16">
        <v>1.5</v>
      </c>
      <c r="AW194" s="16" t="s">
        <v>115</v>
      </c>
      <c r="AX194" s="16" t="s">
        <v>116</v>
      </c>
      <c r="AY194" s="16" t="s">
        <v>117</v>
      </c>
      <c r="AZ194" s="16" t="s">
        <v>118</v>
      </c>
      <c r="BA194" s="16" t="s">
        <v>119</v>
      </c>
      <c r="BB194" s="16">
        <v>0</v>
      </c>
      <c r="BC194" s="16" t="s">
        <v>84</v>
      </c>
      <c r="BD194" s="16" t="s">
        <v>90</v>
      </c>
      <c r="BE194" s="16" t="s">
        <v>610</v>
      </c>
      <c r="BF194" s="16" t="s">
        <v>611</v>
      </c>
      <c r="BG194" s="16" t="s">
        <v>612</v>
      </c>
      <c r="BH194" s="16" t="s">
        <v>613</v>
      </c>
      <c r="BI194" s="16" t="s">
        <v>614</v>
      </c>
      <c r="BJ194" s="16">
        <v>129</v>
      </c>
      <c r="BK194" s="16">
        <v>129</v>
      </c>
      <c r="BL194" s="16">
        <v>129</v>
      </c>
      <c r="BM194" s="16" t="s">
        <v>96</v>
      </c>
      <c r="BN194" s="16">
        <v>1</v>
      </c>
      <c r="BO194" s="16" t="s">
        <v>84</v>
      </c>
      <c r="BP194" s="16" t="s">
        <v>84</v>
      </c>
      <c r="BQ194" s="16" t="s">
        <v>84</v>
      </c>
      <c r="BR194" s="16" t="s">
        <v>97</v>
      </c>
      <c r="BS194" s="16" t="s">
        <v>98</v>
      </c>
      <c r="BT194" s="16">
        <v>0</v>
      </c>
    </row>
    <row r="195" s="1" customFormat="1" ht="16" customHeight="1" spans="1:72">
      <c r="A195" s="14">
        <f t="shared" si="39"/>
        <v>2025</v>
      </c>
      <c r="B195" s="14">
        <f t="shared" si="40"/>
        <v>8</v>
      </c>
      <c r="C195" s="14" t="str">
        <f t="shared" si="41"/>
        <v>3729901704963301120</v>
      </c>
      <c r="D195" s="14" cm="1">
        <f t="array" ref="D195">SUMPRODUCT(($R$2:$R$374=C195)*1)</f>
        <v>1</v>
      </c>
      <c r="E195" s="14" cm="1">
        <f t="array" ref="E195">SUMPRODUCT(($R$2:R195=C195)*1)</f>
        <v>1</v>
      </c>
      <c r="F195" s="15" t="str">
        <f t="shared" si="42"/>
        <v>Z2183-米白色-L</v>
      </c>
      <c r="G195" s="14" t="str">
        <f t="shared" si="43"/>
        <v>Z2183</v>
      </c>
      <c r="H195" s="15">
        <f t="shared" si="44"/>
        <v>1</v>
      </c>
      <c r="I195" s="14">
        <f t="shared" si="45"/>
        <v>129</v>
      </c>
      <c r="J195" s="15">
        <f t="shared" si="46"/>
        <v>0</v>
      </c>
      <c r="K195" s="15">
        <f t="shared" si="47"/>
        <v>0</v>
      </c>
      <c r="L195" s="15">
        <f t="shared" si="48"/>
        <v>-6.45</v>
      </c>
      <c r="M195" s="15">
        <f t="shared" si="49"/>
        <v>0</v>
      </c>
      <c r="N195" s="15">
        <f t="shared" si="50"/>
        <v>-1.5</v>
      </c>
      <c r="O195" s="15">
        <f t="shared" si="51"/>
        <v>121.05</v>
      </c>
      <c r="R195" s="16" t="s">
        <v>2468</v>
      </c>
      <c r="S195" s="16" t="s">
        <v>2469</v>
      </c>
      <c r="T195" s="16" t="s">
        <v>2303</v>
      </c>
      <c r="U195" s="16" t="s">
        <v>2470</v>
      </c>
      <c r="V195" s="16" t="s">
        <v>2471</v>
      </c>
      <c r="W195" s="16" t="s">
        <v>76</v>
      </c>
      <c r="X195" s="16" t="s">
        <v>77</v>
      </c>
      <c r="Y195" s="16" t="s">
        <v>1077</v>
      </c>
      <c r="Z195" s="16" t="s">
        <v>2453</v>
      </c>
      <c r="AA195" s="16" t="s">
        <v>1405</v>
      </c>
      <c r="AB195" s="16" t="s">
        <v>2454</v>
      </c>
      <c r="AC195" s="16" t="s">
        <v>2455</v>
      </c>
      <c r="AD195" s="16" t="s">
        <v>2456</v>
      </c>
      <c r="AE195" s="16" t="s">
        <v>84</v>
      </c>
      <c r="AF195" s="16" t="s">
        <v>84</v>
      </c>
      <c r="AG195" s="16">
        <v>129</v>
      </c>
      <c r="AH195" s="16">
        <v>129</v>
      </c>
      <c r="AI195" s="17">
        <v>129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 t="s">
        <v>137</v>
      </c>
      <c r="AP195" s="16" t="s">
        <v>2472</v>
      </c>
      <c r="AQ195" s="16" t="s">
        <v>2473</v>
      </c>
      <c r="AR195" s="16" t="s">
        <v>88</v>
      </c>
      <c r="AS195" s="16" t="s">
        <v>2474</v>
      </c>
      <c r="AT195" s="16">
        <v>6.45</v>
      </c>
      <c r="AU195" s="16" t="s">
        <v>90</v>
      </c>
      <c r="AV195" s="16">
        <v>1.5</v>
      </c>
      <c r="AW195" s="16" t="s">
        <v>115</v>
      </c>
      <c r="AX195" s="16" t="s">
        <v>116</v>
      </c>
      <c r="AY195" s="16" t="s">
        <v>117</v>
      </c>
      <c r="AZ195" s="16" t="s">
        <v>118</v>
      </c>
      <c r="BA195" s="16" t="s">
        <v>119</v>
      </c>
      <c r="BB195" s="16">
        <v>0</v>
      </c>
      <c r="BC195" s="16" t="s">
        <v>84</v>
      </c>
      <c r="BD195" s="16" t="s">
        <v>90</v>
      </c>
      <c r="BE195" s="16" t="s">
        <v>610</v>
      </c>
      <c r="BF195" s="16" t="s">
        <v>611</v>
      </c>
      <c r="BG195" s="16" t="s">
        <v>612</v>
      </c>
      <c r="BH195" s="16" t="s">
        <v>1241</v>
      </c>
      <c r="BI195" s="16" t="s">
        <v>1242</v>
      </c>
      <c r="BJ195" s="16">
        <v>129</v>
      </c>
      <c r="BK195" s="16">
        <v>129</v>
      </c>
      <c r="BL195" s="16">
        <v>129</v>
      </c>
      <c r="BM195" s="16" t="s">
        <v>96</v>
      </c>
      <c r="BN195" s="16">
        <v>1</v>
      </c>
      <c r="BO195" s="16" t="s">
        <v>84</v>
      </c>
      <c r="BP195" s="16" t="s">
        <v>84</v>
      </c>
      <c r="BQ195" s="16" t="s">
        <v>84</v>
      </c>
      <c r="BR195" s="16" t="s">
        <v>97</v>
      </c>
      <c r="BS195" s="16" t="s">
        <v>98</v>
      </c>
      <c r="BT195" s="16">
        <v>0</v>
      </c>
    </row>
    <row r="196" s="1" customFormat="1" ht="16" customHeight="1" spans="1:72">
      <c r="A196" s="14">
        <f t="shared" si="39"/>
        <v>2025</v>
      </c>
      <c r="B196" s="14">
        <f t="shared" si="40"/>
        <v>8</v>
      </c>
      <c r="C196" s="14" t="str">
        <f t="shared" si="41"/>
        <v>3729901638778229760</v>
      </c>
      <c r="D196" s="14" cm="1">
        <f t="array" ref="D196">SUMPRODUCT(($R$2:$R$374=C196)*1)</f>
        <v>1</v>
      </c>
      <c r="E196" s="14" cm="1">
        <f t="array" ref="E196">SUMPRODUCT(($R$2:R196=C196)*1)</f>
        <v>1</v>
      </c>
      <c r="F196" s="15" t="str">
        <f t="shared" si="42"/>
        <v>Z2183-黑色-L</v>
      </c>
      <c r="G196" s="14" t="str">
        <f t="shared" si="43"/>
        <v>Z2183</v>
      </c>
      <c r="H196" s="15">
        <f t="shared" si="44"/>
        <v>1</v>
      </c>
      <c r="I196" s="14">
        <f t="shared" si="45"/>
        <v>129</v>
      </c>
      <c r="J196" s="15">
        <f t="shared" si="46"/>
        <v>0</v>
      </c>
      <c r="K196" s="15">
        <f t="shared" si="47"/>
        <v>0</v>
      </c>
      <c r="L196" s="15">
        <f t="shared" si="48"/>
        <v>-6.45</v>
      </c>
      <c r="M196" s="15">
        <f t="shared" si="49"/>
        <v>0</v>
      </c>
      <c r="N196" s="15">
        <f t="shared" si="50"/>
        <v>-1.5</v>
      </c>
      <c r="O196" s="15">
        <f t="shared" si="51"/>
        <v>121.05</v>
      </c>
      <c r="R196" s="16" t="s">
        <v>2475</v>
      </c>
      <c r="S196" s="16" t="s">
        <v>2476</v>
      </c>
      <c r="T196" s="16" t="s">
        <v>2477</v>
      </c>
      <c r="U196" s="16" t="s">
        <v>2478</v>
      </c>
      <c r="V196" s="16" t="s">
        <v>2479</v>
      </c>
      <c r="W196" s="16" t="s">
        <v>76</v>
      </c>
      <c r="X196" s="16" t="s">
        <v>77</v>
      </c>
      <c r="Y196" s="16" t="s">
        <v>1510</v>
      </c>
      <c r="Z196" s="16" t="s">
        <v>2480</v>
      </c>
      <c r="AA196" s="16" t="s">
        <v>1547</v>
      </c>
      <c r="AB196" s="16" t="s">
        <v>1548</v>
      </c>
      <c r="AC196" s="16" t="s">
        <v>2481</v>
      </c>
      <c r="AD196" s="16" t="s">
        <v>2482</v>
      </c>
      <c r="AE196" s="16" t="s">
        <v>84</v>
      </c>
      <c r="AF196" s="16" t="s">
        <v>84</v>
      </c>
      <c r="AG196" s="16">
        <v>129</v>
      </c>
      <c r="AH196" s="16">
        <v>129</v>
      </c>
      <c r="AI196" s="17">
        <v>129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 t="s">
        <v>85</v>
      </c>
      <c r="AP196" s="16" t="s">
        <v>2483</v>
      </c>
      <c r="AQ196" s="16" t="s">
        <v>2484</v>
      </c>
      <c r="AR196" s="16" t="s">
        <v>88</v>
      </c>
      <c r="AS196" s="16" t="s">
        <v>2485</v>
      </c>
      <c r="AT196" s="16">
        <v>6.45</v>
      </c>
      <c r="AU196" s="16" t="s">
        <v>90</v>
      </c>
      <c r="AV196" s="16">
        <v>1.5</v>
      </c>
      <c r="AW196" s="16" t="s">
        <v>115</v>
      </c>
      <c r="AX196" s="16" t="s">
        <v>116</v>
      </c>
      <c r="AY196" s="16" t="s">
        <v>117</v>
      </c>
      <c r="AZ196" s="16" t="s">
        <v>118</v>
      </c>
      <c r="BA196" s="16" t="s">
        <v>119</v>
      </c>
      <c r="BB196" s="16">
        <v>0</v>
      </c>
      <c r="BC196" s="16" t="s">
        <v>84</v>
      </c>
      <c r="BD196" s="16" t="s">
        <v>90</v>
      </c>
      <c r="BE196" s="16" t="s">
        <v>610</v>
      </c>
      <c r="BF196" s="16" t="s">
        <v>611</v>
      </c>
      <c r="BG196" s="16" t="s">
        <v>612</v>
      </c>
      <c r="BH196" s="16" t="s">
        <v>1174</v>
      </c>
      <c r="BI196" s="16" t="s">
        <v>1175</v>
      </c>
      <c r="BJ196" s="16">
        <v>129</v>
      </c>
      <c r="BK196" s="16">
        <v>129</v>
      </c>
      <c r="BL196" s="16">
        <v>129</v>
      </c>
      <c r="BM196" s="16" t="s">
        <v>96</v>
      </c>
      <c r="BN196" s="16">
        <v>1</v>
      </c>
      <c r="BO196" s="16" t="s">
        <v>84</v>
      </c>
      <c r="BP196" s="16" t="s">
        <v>84</v>
      </c>
      <c r="BQ196" s="16" t="s">
        <v>84</v>
      </c>
      <c r="BR196" s="16" t="s">
        <v>97</v>
      </c>
      <c r="BS196" s="16" t="s">
        <v>98</v>
      </c>
      <c r="BT196" s="16">
        <v>0</v>
      </c>
    </row>
    <row r="197" s="1" customFormat="1" ht="16" customHeight="1" spans="1:72">
      <c r="A197" s="14">
        <f t="shared" si="39"/>
        <v>2025</v>
      </c>
      <c r="B197" s="14">
        <f t="shared" si="40"/>
        <v>8</v>
      </c>
      <c r="C197" s="14" t="str">
        <f t="shared" si="41"/>
        <v>3729900552611046656</v>
      </c>
      <c r="D197" s="14" cm="1">
        <f t="array" ref="D197">SUMPRODUCT(($R$2:$R$374=C197)*1)</f>
        <v>1</v>
      </c>
      <c r="E197" s="14" cm="1">
        <f t="array" ref="E197">SUMPRODUCT(($R$2:R197=C197)*1)</f>
        <v>1</v>
      </c>
      <c r="F197" s="15" t="str">
        <f t="shared" si="42"/>
        <v>Z1581-白色-S</v>
      </c>
      <c r="G197" s="14" t="str">
        <f t="shared" si="43"/>
        <v>Z1581</v>
      </c>
      <c r="H197" s="15">
        <f t="shared" si="44"/>
        <v>1</v>
      </c>
      <c r="I197" s="14">
        <f t="shared" si="45"/>
        <v>289</v>
      </c>
      <c r="J197" s="15">
        <f t="shared" si="46"/>
        <v>0</v>
      </c>
      <c r="K197" s="15">
        <f t="shared" si="47"/>
        <v>0</v>
      </c>
      <c r="L197" s="15">
        <f t="shared" si="48"/>
        <v>-14.45</v>
      </c>
      <c r="M197" s="15">
        <f t="shared" si="49"/>
        <v>0</v>
      </c>
      <c r="N197" s="15">
        <f t="shared" si="50"/>
        <v>-1.5</v>
      </c>
      <c r="O197" s="15">
        <f t="shared" si="51"/>
        <v>273.05</v>
      </c>
      <c r="R197" s="16" t="s">
        <v>2486</v>
      </c>
      <c r="S197" s="16" t="s">
        <v>2487</v>
      </c>
      <c r="T197" s="16" t="s">
        <v>2488</v>
      </c>
      <c r="U197" s="16" t="s">
        <v>2489</v>
      </c>
      <c r="V197" s="16" t="s">
        <v>2490</v>
      </c>
      <c r="W197" s="16" t="s">
        <v>76</v>
      </c>
      <c r="X197" s="16" t="s">
        <v>77</v>
      </c>
      <c r="Y197" s="16" t="s">
        <v>1510</v>
      </c>
      <c r="Z197" s="16" t="s">
        <v>2491</v>
      </c>
      <c r="AA197" s="16" t="s">
        <v>262</v>
      </c>
      <c r="AB197" s="16" t="s">
        <v>263</v>
      </c>
      <c r="AC197" s="16" t="s">
        <v>2492</v>
      </c>
      <c r="AD197" s="16" t="s">
        <v>2493</v>
      </c>
      <c r="AE197" s="16" t="s">
        <v>84</v>
      </c>
      <c r="AF197" s="16" t="s">
        <v>84</v>
      </c>
      <c r="AG197" s="16">
        <v>289</v>
      </c>
      <c r="AH197" s="16">
        <v>289</v>
      </c>
      <c r="AI197" s="17">
        <v>289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 t="s">
        <v>137</v>
      </c>
      <c r="AP197" s="16" t="s">
        <v>2494</v>
      </c>
      <c r="AQ197" s="16" t="s">
        <v>2495</v>
      </c>
      <c r="AR197" s="16" t="s">
        <v>88</v>
      </c>
      <c r="AS197" s="16" t="s">
        <v>2496</v>
      </c>
      <c r="AT197" s="16">
        <v>14.45</v>
      </c>
      <c r="AU197" s="16" t="s">
        <v>90</v>
      </c>
      <c r="AV197" s="16">
        <v>1.5</v>
      </c>
      <c r="AW197" s="16" t="s">
        <v>115</v>
      </c>
      <c r="AX197" s="16" t="s">
        <v>116</v>
      </c>
      <c r="AY197" s="16" t="s">
        <v>117</v>
      </c>
      <c r="AZ197" s="16" t="s">
        <v>118</v>
      </c>
      <c r="BA197" s="16" t="s">
        <v>119</v>
      </c>
      <c r="BB197" s="16">
        <v>0</v>
      </c>
      <c r="BC197" s="16" t="s">
        <v>84</v>
      </c>
      <c r="BD197" s="16" t="s">
        <v>90</v>
      </c>
      <c r="BE197" s="16" t="s">
        <v>419</v>
      </c>
      <c r="BF197" s="16" t="s">
        <v>420</v>
      </c>
      <c r="BG197" s="16" t="s">
        <v>421</v>
      </c>
      <c r="BH197" s="16" t="s">
        <v>2497</v>
      </c>
      <c r="BI197" s="16" t="s">
        <v>1519</v>
      </c>
      <c r="BJ197" s="16">
        <v>289</v>
      </c>
      <c r="BK197" s="16">
        <v>289</v>
      </c>
      <c r="BL197" s="16">
        <v>289</v>
      </c>
      <c r="BM197" s="16" t="s">
        <v>96</v>
      </c>
      <c r="BN197" s="16">
        <v>1</v>
      </c>
      <c r="BO197" s="16" t="s">
        <v>84</v>
      </c>
      <c r="BP197" s="16" t="s">
        <v>84</v>
      </c>
      <c r="BQ197" s="16" t="s">
        <v>84</v>
      </c>
      <c r="BR197" s="16" t="s">
        <v>97</v>
      </c>
      <c r="BS197" s="16" t="s">
        <v>98</v>
      </c>
      <c r="BT197" s="16">
        <v>0</v>
      </c>
    </row>
    <row r="198" s="1" customFormat="1" ht="16" customHeight="1" spans="1:72">
      <c r="A198" s="14">
        <f t="shared" si="39"/>
        <v>2025</v>
      </c>
      <c r="B198" s="14">
        <f t="shared" si="40"/>
        <v>8</v>
      </c>
      <c r="C198" s="14" t="str">
        <f t="shared" si="41"/>
        <v>3729899157906922752</v>
      </c>
      <c r="D198" s="14" cm="1">
        <f t="array" ref="D198">SUMPRODUCT(($R$2:$R$374=C198)*1)</f>
        <v>1</v>
      </c>
      <c r="E198" s="14" cm="1">
        <f t="array" ref="E198">SUMPRODUCT(($R$2:R198=C198)*1)</f>
        <v>1</v>
      </c>
      <c r="F198" s="15" t="str">
        <f t="shared" si="42"/>
        <v>Z2318-深蓝色-S</v>
      </c>
      <c r="G198" s="14" t="str">
        <f t="shared" si="43"/>
        <v>Z2318</v>
      </c>
      <c r="H198" s="15">
        <f t="shared" si="44"/>
        <v>1</v>
      </c>
      <c r="I198" s="14">
        <f t="shared" si="45"/>
        <v>599</v>
      </c>
      <c r="J198" s="15">
        <f t="shared" si="46"/>
        <v>0</v>
      </c>
      <c r="K198" s="15">
        <f t="shared" si="47"/>
        <v>0</v>
      </c>
      <c r="L198" s="15">
        <f t="shared" si="48"/>
        <v>-29.95</v>
      </c>
      <c r="M198" s="15">
        <f t="shared" si="49"/>
        <v>0</v>
      </c>
      <c r="N198" s="15">
        <f t="shared" si="50"/>
        <v>-1.5</v>
      </c>
      <c r="O198" s="15">
        <f t="shared" si="51"/>
        <v>567.55</v>
      </c>
      <c r="R198" s="16" t="s">
        <v>2498</v>
      </c>
      <c r="S198" s="16" t="s">
        <v>2499</v>
      </c>
      <c r="T198" s="16" t="s">
        <v>2500</v>
      </c>
      <c r="U198" s="16" t="s">
        <v>2501</v>
      </c>
      <c r="V198" s="16" t="s">
        <v>2502</v>
      </c>
      <c r="W198" s="16" t="s">
        <v>76</v>
      </c>
      <c r="X198" s="16" t="s">
        <v>77</v>
      </c>
      <c r="Y198" s="16" t="s">
        <v>330</v>
      </c>
      <c r="Z198" s="16" t="s">
        <v>2503</v>
      </c>
      <c r="AA198" s="16" t="s">
        <v>1547</v>
      </c>
      <c r="AB198" s="16" t="s">
        <v>1548</v>
      </c>
      <c r="AC198" s="16" t="s">
        <v>2504</v>
      </c>
      <c r="AD198" s="16" t="s">
        <v>2505</v>
      </c>
      <c r="AE198" s="16" t="s">
        <v>84</v>
      </c>
      <c r="AF198" s="16" t="s">
        <v>84</v>
      </c>
      <c r="AG198" s="16">
        <v>599</v>
      </c>
      <c r="AH198" s="16">
        <v>599</v>
      </c>
      <c r="AI198" s="17">
        <v>599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 t="s">
        <v>137</v>
      </c>
      <c r="AP198" s="16" t="s">
        <v>2506</v>
      </c>
      <c r="AQ198" s="16" t="s">
        <v>2507</v>
      </c>
      <c r="AR198" s="16" t="s">
        <v>88</v>
      </c>
      <c r="AS198" s="16" t="s">
        <v>2508</v>
      </c>
      <c r="AT198" s="16">
        <v>29.95</v>
      </c>
      <c r="AU198" s="16" t="s">
        <v>90</v>
      </c>
      <c r="AV198" s="16">
        <v>1.5</v>
      </c>
      <c r="AW198" s="16" t="s">
        <v>115</v>
      </c>
      <c r="AX198" s="16" t="s">
        <v>116</v>
      </c>
      <c r="AY198" s="16" t="s">
        <v>117</v>
      </c>
      <c r="AZ198" s="16" t="s">
        <v>118</v>
      </c>
      <c r="BA198" s="16" t="s">
        <v>119</v>
      </c>
      <c r="BB198" s="16">
        <v>0</v>
      </c>
      <c r="BC198" s="16" t="s">
        <v>84</v>
      </c>
      <c r="BD198" s="16" t="s">
        <v>90</v>
      </c>
      <c r="BE198" s="16" t="s">
        <v>2509</v>
      </c>
      <c r="BF198" s="16" t="s">
        <v>2510</v>
      </c>
      <c r="BG198" s="16" t="s">
        <v>2511</v>
      </c>
      <c r="BH198" s="16" t="s">
        <v>2512</v>
      </c>
      <c r="BI198" s="16" t="s">
        <v>2513</v>
      </c>
      <c r="BJ198" s="16">
        <v>599</v>
      </c>
      <c r="BK198" s="16">
        <v>599</v>
      </c>
      <c r="BL198" s="16">
        <v>599</v>
      </c>
      <c r="BM198" s="16" t="s">
        <v>96</v>
      </c>
      <c r="BN198" s="16">
        <v>1</v>
      </c>
      <c r="BO198" s="16" t="s">
        <v>84</v>
      </c>
      <c r="BP198" s="16" t="s">
        <v>84</v>
      </c>
      <c r="BQ198" s="16" t="s">
        <v>84</v>
      </c>
      <c r="BR198" s="16" t="s">
        <v>97</v>
      </c>
      <c r="BS198" s="16" t="s">
        <v>98</v>
      </c>
      <c r="BT198" s="16">
        <v>0</v>
      </c>
    </row>
    <row r="199" s="1" customFormat="1" ht="16" customHeight="1" spans="1:72">
      <c r="A199" s="14">
        <f t="shared" si="39"/>
        <v>2025</v>
      </c>
      <c r="B199" s="14">
        <f t="shared" si="40"/>
        <v>8</v>
      </c>
      <c r="C199" s="14" t="str">
        <f t="shared" si="41"/>
        <v>3729899145040901376</v>
      </c>
      <c r="D199" s="14" cm="1">
        <f t="array" ref="D199">SUMPRODUCT(($R$2:$R$374=C199)*1)</f>
        <v>1</v>
      </c>
      <c r="E199" s="14" cm="1">
        <f t="array" ref="E199">SUMPRODUCT(($R$2:R199=C199)*1)</f>
        <v>1</v>
      </c>
      <c r="F199" s="15" t="str">
        <f t="shared" si="42"/>
        <v>Z028-白色-M</v>
      </c>
      <c r="G199" s="14" t="str">
        <f t="shared" si="43"/>
        <v>Z028</v>
      </c>
      <c r="H199" s="15">
        <f t="shared" si="44"/>
        <v>1</v>
      </c>
      <c r="I199" s="14">
        <f t="shared" si="45"/>
        <v>299</v>
      </c>
      <c r="J199" s="15">
        <f t="shared" si="46"/>
        <v>0</v>
      </c>
      <c r="K199" s="15">
        <f t="shared" si="47"/>
        <v>0</v>
      </c>
      <c r="L199" s="15">
        <f t="shared" si="48"/>
        <v>-14.95</v>
      </c>
      <c r="M199" s="15">
        <f t="shared" si="49"/>
        <v>0</v>
      </c>
      <c r="N199" s="15">
        <f t="shared" si="50"/>
        <v>-1.5</v>
      </c>
      <c r="O199" s="15">
        <f t="shared" si="51"/>
        <v>282.55</v>
      </c>
      <c r="R199" s="16" t="s">
        <v>2514</v>
      </c>
      <c r="S199" s="16" t="s">
        <v>2515</v>
      </c>
      <c r="T199" s="16" t="s">
        <v>2516</v>
      </c>
      <c r="U199" s="16" t="s">
        <v>2517</v>
      </c>
      <c r="V199" s="16" t="s">
        <v>2518</v>
      </c>
      <c r="W199" s="16" t="s">
        <v>76</v>
      </c>
      <c r="X199" s="16" t="s">
        <v>77</v>
      </c>
      <c r="Y199" s="16" t="s">
        <v>330</v>
      </c>
      <c r="Z199" s="16" t="s">
        <v>2503</v>
      </c>
      <c r="AA199" s="16" t="s">
        <v>1547</v>
      </c>
      <c r="AB199" s="16" t="s">
        <v>1548</v>
      </c>
      <c r="AC199" s="16" t="s">
        <v>2504</v>
      </c>
      <c r="AD199" s="16" t="s">
        <v>2505</v>
      </c>
      <c r="AE199" s="16" t="s">
        <v>84</v>
      </c>
      <c r="AF199" s="16" t="s">
        <v>84</v>
      </c>
      <c r="AG199" s="16">
        <v>299</v>
      </c>
      <c r="AH199" s="16">
        <v>299</v>
      </c>
      <c r="AI199" s="17">
        <v>299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 t="s">
        <v>137</v>
      </c>
      <c r="AP199" s="16" t="s">
        <v>2519</v>
      </c>
      <c r="AQ199" s="16" t="s">
        <v>2520</v>
      </c>
      <c r="AR199" s="16" t="s">
        <v>88</v>
      </c>
      <c r="AS199" s="16" t="s">
        <v>2521</v>
      </c>
      <c r="AT199" s="16">
        <v>14.95</v>
      </c>
      <c r="AU199" s="16" t="s">
        <v>90</v>
      </c>
      <c r="AV199" s="16">
        <v>1.5</v>
      </c>
      <c r="AW199" s="16" t="s">
        <v>115</v>
      </c>
      <c r="AX199" s="16" t="s">
        <v>116</v>
      </c>
      <c r="AY199" s="16" t="s">
        <v>117</v>
      </c>
      <c r="AZ199" s="16" t="s">
        <v>118</v>
      </c>
      <c r="BA199" s="16" t="s">
        <v>119</v>
      </c>
      <c r="BB199" s="16">
        <v>0</v>
      </c>
      <c r="BC199" s="16" t="s">
        <v>84</v>
      </c>
      <c r="BD199" s="16" t="s">
        <v>90</v>
      </c>
      <c r="BE199" s="16" t="s">
        <v>2522</v>
      </c>
      <c r="BF199" s="16" t="s">
        <v>2523</v>
      </c>
      <c r="BG199" s="16" t="s">
        <v>2524</v>
      </c>
      <c r="BH199" s="16" t="s">
        <v>2525</v>
      </c>
      <c r="BI199" s="16" t="s">
        <v>2526</v>
      </c>
      <c r="BJ199" s="16">
        <v>299</v>
      </c>
      <c r="BK199" s="16">
        <v>299</v>
      </c>
      <c r="BL199" s="16">
        <v>299</v>
      </c>
      <c r="BM199" s="16" t="s">
        <v>96</v>
      </c>
      <c r="BN199" s="16">
        <v>1</v>
      </c>
      <c r="BO199" s="16" t="s">
        <v>84</v>
      </c>
      <c r="BP199" s="16" t="s">
        <v>84</v>
      </c>
      <c r="BQ199" s="16" t="s">
        <v>84</v>
      </c>
      <c r="BR199" s="16" t="s">
        <v>97</v>
      </c>
      <c r="BS199" s="16" t="s">
        <v>98</v>
      </c>
      <c r="BT199" s="16">
        <v>0</v>
      </c>
    </row>
    <row r="200" s="1" customFormat="1" ht="16" customHeight="1" spans="1:72">
      <c r="A200" s="14">
        <f t="shared" si="39"/>
        <v>2025</v>
      </c>
      <c r="B200" s="14">
        <f t="shared" si="40"/>
        <v>8</v>
      </c>
      <c r="C200" s="14" t="str">
        <f t="shared" si="41"/>
        <v>3729897627453370368</v>
      </c>
      <c r="D200" s="14" cm="1">
        <f t="array" ref="D200">SUMPRODUCT(($R$2:$R$374=C200)*1)</f>
        <v>1</v>
      </c>
      <c r="E200" s="14" cm="1">
        <f t="array" ref="E200">SUMPRODUCT(($R$2:R200=C200)*1)</f>
        <v>1</v>
      </c>
      <c r="F200" s="15" t="str">
        <f t="shared" si="42"/>
        <v>Z2183-米白色-M</v>
      </c>
      <c r="G200" s="14" t="str">
        <f t="shared" si="43"/>
        <v>Z2183</v>
      </c>
      <c r="H200" s="15">
        <f t="shared" si="44"/>
        <v>1</v>
      </c>
      <c r="I200" s="14">
        <f t="shared" si="45"/>
        <v>129</v>
      </c>
      <c r="J200" s="15">
        <f t="shared" si="46"/>
        <v>0</v>
      </c>
      <c r="K200" s="15">
        <f t="shared" si="47"/>
        <v>0</v>
      </c>
      <c r="L200" s="15">
        <f t="shared" si="48"/>
        <v>-6.45</v>
      </c>
      <c r="M200" s="15">
        <f t="shared" si="49"/>
        <v>0</v>
      </c>
      <c r="N200" s="15">
        <f t="shared" si="50"/>
        <v>-1.5</v>
      </c>
      <c r="O200" s="15">
        <f t="shared" si="51"/>
        <v>121.05</v>
      </c>
      <c r="R200" s="16" t="s">
        <v>2527</v>
      </c>
      <c r="S200" s="16" t="s">
        <v>2528</v>
      </c>
      <c r="T200" s="16" t="s">
        <v>2529</v>
      </c>
      <c r="U200" s="16" t="s">
        <v>2530</v>
      </c>
      <c r="V200" s="16" t="s">
        <v>2531</v>
      </c>
      <c r="W200" s="16" t="s">
        <v>76</v>
      </c>
      <c r="X200" s="16" t="s">
        <v>77</v>
      </c>
      <c r="Y200" s="16" t="s">
        <v>1256</v>
      </c>
      <c r="Z200" s="16" t="s">
        <v>2419</v>
      </c>
      <c r="AA200" s="16" t="s">
        <v>884</v>
      </c>
      <c r="AB200" s="16" t="s">
        <v>885</v>
      </c>
      <c r="AC200" s="16" t="s">
        <v>2420</v>
      </c>
      <c r="AD200" s="16" t="s">
        <v>2421</v>
      </c>
      <c r="AE200" s="16" t="s">
        <v>84</v>
      </c>
      <c r="AF200" s="16" t="s">
        <v>84</v>
      </c>
      <c r="AG200" s="16">
        <v>129</v>
      </c>
      <c r="AH200" s="16">
        <v>129</v>
      </c>
      <c r="AI200" s="17">
        <v>129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 t="s">
        <v>85</v>
      </c>
      <c r="AP200" s="16" t="s">
        <v>2532</v>
      </c>
      <c r="AQ200" s="16" t="s">
        <v>2533</v>
      </c>
      <c r="AR200" s="16" t="s">
        <v>88</v>
      </c>
      <c r="AS200" s="16" t="s">
        <v>2534</v>
      </c>
      <c r="AT200" s="16">
        <v>6.45</v>
      </c>
      <c r="AU200" s="16" t="s">
        <v>90</v>
      </c>
      <c r="AV200" s="16">
        <v>1.5</v>
      </c>
      <c r="AW200" s="16" t="s">
        <v>115</v>
      </c>
      <c r="AX200" s="16" t="s">
        <v>116</v>
      </c>
      <c r="AY200" s="16" t="s">
        <v>117</v>
      </c>
      <c r="AZ200" s="16" t="s">
        <v>118</v>
      </c>
      <c r="BA200" s="16" t="s">
        <v>119</v>
      </c>
      <c r="BB200" s="16">
        <v>0</v>
      </c>
      <c r="BC200" s="16" t="s">
        <v>84</v>
      </c>
      <c r="BD200" s="16" t="s">
        <v>90</v>
      </c>
      <c r="BE200" s="16" t="s">
        <v>610</v>
      </c>
      <c r="BF200" s="16" t="s">
        <v>611</v>
      </c>
      <c r="BG200" s="16" t="s">
        <v>612</v>
      </c>
      <c r="BH200" s="16" t="s">
        <v>1141</v>
      </c>
      <c r="BI200" s="16" t="s">
        <v>1142</v>
      </c>
      <c r="BJ200" s="16">
        <v>129</v>
      </c>
      <c r="BK200" s="16">
        <v>129</v>
      </c>
      <c r="BL200" s="16">
        <v>129</v>
      </c>
      <c r="BM200" s="16" t="s">
        <v>96</v>
      </c>
      <c r="BN200" s="16">
        <v>1</v>
      </c>
      <c r="BO200" s="16" t="s">
        <v>84</v>
      </c>
      <c r="BP200" s="16" t="s">
        <v>84</v>
      </c>
      <c r="BQ200" s="16" t="s">
        <v>84</v>
      </c>
      <c r="BR200" s="16" t="s">
        <v>97</v>
      </c>
      <c r="BS200" s="16" t="s">
        <v>98</v>
      </c>
      <c r="BT200" s="16">
        <v>0</v>
      </c>
    </row>
    <row r="201" s="1" customFormat="1" ht="16" customHeight="1" spans="1:72">
      <c r="A201" s="14">
        <f t="shared" si="39"/>
        <v>2025</v>
      </c>
      <c r="B201" s="14">
        <f t="shared" si="40"/>
        <v>8</v>
      </c>
      <c r="C201" s="14" t="str">
        <f t="shared" si="41"/>
        <v>3729897462091096320</v>
      </c>
      <c r="D201" s="14" cm="1">
        <f t="array" ref="D201">SUMPRODUCT(($R$2:$R$374=C201)*1)</f>
        <v>1</v>
      </c>
      <c r="E201" s="14" cm="1">
        <f t="array" ref="E201">SUMPRODUCT(($R$2:R201=C201)*1)</f>
        <v>1</v>
      </c>
      <c r="F201" s="15" t="str">
        <f t="shared" si="42"/>
        <v>Z2183-黑色-L</v>
      </c>
      <c r="G201" s="14" t="str">
        <f t="shared" si="43"/>
        <v>Z2183</v>
      </c>
      <c r="H201" s="15">
        <f t="shared" si="44"/>
        <v>1</v>
      </c>
      <c r="I201" s="14">
        <f t="shared" si="45"/>
        <v>129</v>
      </c>
      <c r="J201" s="15">
        <f t="shared" si="46"/>
        <v>0</v>
      </c>
      <c r="K201" s="15">
        <f t="shared" si="47"/>
        <v>0</v>
      </c>
      <c r="L201" s="15">
        <f t="shared" si="48"/>
        <v>-6.45</v>
      </c>
      <c r="M201" s="15">
        <f t="shared" si="49"/>
        <v>0</v>
      </c>
      <c r="N201" s="15">
        <f t="shared" si="50"/>
        <v>-1.5</v>
      </c>
      <c r="O201" s="15">
        <f t="shared" si="51"/>
        <v>121.05</v>
      </c>
      <c r="R201" s="16" t="s">
        <v>2535</v>
      </c>
      <c r="S201" s="16" t="s">
        <v>2536</v>
      </c>
      <c r="T201" s="16" t="s">
        <v>2537</v>
      </c>
      <c r="U201" s="16" t="s">
        <v>2538</v>
      </c>
      <c r="V201" s="16" t="s">
        <v>2539</v>
      </c>
      <c r="W201" s="16" t="s">
        <v>76</v>
      </c>
      <c r="X201" s="16" t="s">
        <v>77</v>
      </c>
      <c r="Y201" s="16" t="s">
        <v>2540</v>
      </c>
      <c r="Z201" s="16" t="s">
        <v>2541</v>
      </c>
      <c r="AA201" s="16" t="s">
        <v>884</v>
      </c>
      <c r="AB201" s="16" t="s">
        <v>2542</v>
      </c>
      <c r="AC201" s="16" t="s">
        <v>2543</v>
      </c>
      <c r="AD201" s="16" t="s">
        <v>2544</v>
      </c>
      <c r="AE201" s="16" t="s">
        <v>84</v>
      </c>
      <c r="AF201" s="16" t="s">
        <v>84</v>
      </c>
      <c r="AG201" s="16">
        <v>129</v>
      </c>
      <c r="AH201" s="16">
        <v>129</v>
      </c>
      <c r="AI201" s="17">
        <v>129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 t="s">
        <v>85</v>
      </c>
      <c r="AP201" s="16" t="s">
        <v>2545</v>
      </c>
      <c r="AQ201" s="16" t="s">
        <v>2546</v>
      </c>
      <c r="AR201" s="16" t="s">
        <v>88</v>
      </c>
      <c r="AS201" s="16" t="s">
        <v>2547</v>
      </c>
      <c r="AT201" s="16">
        <v>6.45</v>
      </c>
      <c r="AU201" s="16" t="s">
        <v>90</v>
      </c>
      <c r="AV201" s="16">
        <v>1.5</v>
      </c>
      <c r="AW201" s="16" t="s">
        <v>115</v>
      </c>
      <c r="AX201" s="16" t="s">
        <v>116</v>
      </c>
      <c r="AY201" s="16" t="s">
        <v>117</v>
      </c>
      <c r="AZ201" s="16" t="s">
        <v>118</v>
      </c>
      <c r="BA201" s="16" t="s">
        <v>119</v>
      </c>
      <c r="BB201" s="16">
        <v>0</v>
      </c>
      <c r="BC201" s="16" t="s">
        <v>84</v>
      </c>
      <c r="BD201" s="16" t="s">
        <v>90</v>
      </c>
      <c r="BE201" s="16" t="s">
        <v>610</v>
      </c>
      <c r="BF201" s="16" t="s">
        <v>611</v>
      </c>
      <c r="BG201" s="16" t="s">
        <v>612</v>
      </c>
      <c r="BH201" s="16" t="s">
        <v>1174</v>
      </c>
      <c r="BI201" s="16" t="s">
        <v>1175</v>
      </c>
      <c r="BJ201" s="16">
        <v>129</v>
      </c>
      <c r="BK201" s="16">
        <v>129</v>
      </c>
      <c r="BL201" s="16">
        <v>129</v>
      </c>
      <c r="BM201" s="16" t="s">
        <v>96</v>
      </c>
      <c r="BN201" s="16">
        <v>1</v>
      </c>
      <c r="BO201" s="16" t="s">
        <v>84</v>
      </c>
      <c r="BP201" s="16" t="s">
        <v>84</v>
      </c>
      <c r="BQ201" s="16" t="s">
        <v>84</v>
      </c>
      <c r="BR201" s="16" t="s">
        <v>97</v>
      </c>
      <c r="BS201" s="16" t="s">
        <v>98</v>
      </c>
      <c r="BT201" s="16">
        <v>0</v>
      </c>
    </row>
    <row r="202" s="1" customFormat="1" ht="16" customHeight="1" spans="1:72">
      <c r="A202" s="14">
        <f t="shared" si="39"/>
        <v>2025</v>
      </c>
      <c r="B202" s="14">
        <f t="shared" si="40"/>
        <v>8</v>
      </c>
      <c r="C202" s="14" t="str">
        <f t="shared" si="41"/>
        <v>3729896624556217344</v>
      </c>
      <c r="D202" s="14" cm="1">
        <f t="array" ref="D202">SUMPRODUCT(($R$2:$R$374=C202)*1)</f>
        <v>1</v>
      </c>
      <c r="E202" s="14" cm="1">
        <f t="array" ref="E202">SUMPRODUCT(($R$2:R202=C202)*1)</f>
        <v>1</v>
      </c>
      <c r="F202" s="15" t="str">
        <f t="shared" si="42"/>
        <v>Z2318-深蓝色-M</v>
      </c>
      <c r="G202" s="14" t="str">
        <f t="shared" si="43"/>
        <v>Z2318</v>
      </c>
      <c r="H202" s="15">
        <f t="shared" si="44"/>
        <v>1</v>
      </c>
      <c r="I202" s="14">
        <f t="shared" si="45"/>
        <v>599</v>
      </c>
      <c r="J202" s="15">
        <f t="shared" si="46"/>
        <v>0</v>
      </c>
      <c r="K202" s="15">
        <f t="shared" si="47"/>
        <v>0</v>
      </c>
      <c r="L202" s="15">
        <f t="shared" si="48"/>
        <v>-29.95</v>
      </c>
      <c r="M202" s="15">
        <f t="shared" si="49"/>
        <v>0</v>
      </c>
      <c r="N202" s="15">
        <f t="shared" si="50"/>
        <v>-1.5</v>
      </c>
      <c r="O202" s="15">
        <f t="shared" si="51"/>
        <v>567.55</v>
      </c>
      <c r="R202" s="16" t="s">
        <v>2548</v>
      </c>
      <c r="S202" s="16" t="s">
        <v>2549</v>
      </c>
      <c r="T202" s="16" t="s">
        <v>2550</v>
      </c>
      <c r="U202" s="16" t="s">
        <v>2551</v>
      </c>
      <c r="V202" s="16" t="s">
        <v>2552</v>
      </c>
      <c r="W202" s="16" t="s">
        <v>76</v>
      </c>
      <c r="X202" s="16" t="s">
        <v>77</v>
      </c>
      <c r="Y202" s="16" t="s">
        <v>224</v>
      </c>
      <c r="Z202" s="16" t="s">
        <v>2553</v>
      </c>
      <c r="AA202" s="16" t="s">
        <v>799</v>
      </c>
      <c r="AB202" s="16" t="s">
        <v>2554</v>
      </c>
      <c r="AC202" s="16" t="s">
        <v>2555</v>
      </c>
      <c r="AD202" s="16" t="s">
        <v>2556</v>
      </c>
      <c r="AE202" s="16" t="s">
        <v>84</v>
      </c>
      <c r="AF202" s="16" t="s">
        <v>84</v>
      </c>
      <c r="AG202" s="16">
        <v>599</v>
      </c>
      <c r="AH202" s="16">
        <v>599</v>
      </c>
      <c r="AI202" s="17">
        <v>599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 t="s">
        <v>85</v>
      </c>
      <c r="AP202" s="16" t="s">
        <v>2557</v>
      </c>
      <c r="AQ202" s="16" t="s">
        <v>2558</v>
      </c>
      <c r="AR202" s="16" t="s">
        <v>88</v>
      </c>
      <c r="AS202" s="16" t="s">
        <v>2559</v>
      </c>
      <c r="AT202" s="16">
        <v>29.95</v>
      </c>
      <c r="AU202" s="16" t="s">
        <v>90</v>
      </c>
      <c r="AV202" s="16">
        <v>1.5</v>
      </c>
      <c r="AW202" s="16" t="s">
        <v>115</v>
      </c>
      <c r="AX202" s="16" t="s">
        <v>116</v>
      </c>
      <c r="AY202" s="16" t="s">
        <v>117</v>
      </c>
      <c r="AZ202" s="16" t="s">
        <v>118</v>
      </c>
      <c r="BA202" s="16" t="s">
        <v>119</v>
      </c>
      <c r="BB202" s="16">
        <v>0</v>
      </c>
      <c r="BC202" s="16" t="s">
        <v>84</v>
      </c>
      <c r="BD202" s="16" t="s">
        <v>90</v>
      </c>
      <c r="BE202" s="16" t="s">
        <v>2509</v>
      </c>
      <c r="BF202" s="16" t="s">
        <v>2510</v>
      </c>
      <c r="BG202" s="16" t="s">
        <v>2511</v>
      </c>
      <c r="BH202" s="16" t="s">
        <v>2560</v>
      </c>
      <c r="BI202" s="16" t="s">
        <v>2561</v>
      </c>
      <c r="BJ202" s="16">
        <v>599</v>
      </c>
      <c r="BK202" s="16">
        <v>599</v>
      </c>
      <c r="BL202" s="16">
        <v>599</v>
      </c>
      <c r="BM202" s="16" t="s">
        <v>96</v>
      </c>
      <c r="BN202" s="16">
        <v>1</v>
      </c>
      <c r="BO202" s="16" t="s">
        <v>84</v>
      </c>
      <c r="BP202" s="16" t="s">
        <v>84</v>
      </c>
      <c r="BQ202" s="16" t="s">
        <v>84</v>
      </c>
      <c r="BR202" s="16" t="s">
        <v>97</v>
      </c>
      <c r="BS202" s="16" t="s">
        <v>98</v>
      </c>
      <c r="BT202" s="16">
        <v>0</v>
      </c>
    </row>
    <row r="203" s="1" customFormat="1" ht="16" customHeight="1" spans="1:72">
      <c r="A203" s="14">
        <f t="shared" si="39"/>
        <v>2025</v>
      </c>
      <c r="B203" s="14">
        <f t="shared" si="40"/>
        <v>8</v>
      </c>
      <c r="C203" s="14" t="str">
        <f t="shared" si="41"/>
        <v>3729896160265910016</v>
      </c>
      <c r="D203" s="14" cm="1">
        <f t="array" ref="D203">SUMPRODUCT(($R$2:$R$374=C203)*1)</f>
        <v>1</v>
      </c>
      <c r="E203" s="14" cm="1">
        <f t="array" ref="E203">SUMPRODUCT(($R$2:R203=C203)*1)</f>
        <v>1</v>
      </c>
      <c r="F203" s="15" t="str">
        <f t="shared" si="42"/>
        <v>Z028-白色-XL</v>
      </c>
      <c r="G203" s="14" t="str">
        <f t="shared" si="43"/>
        <v>Z028</v>
      </c>
      <c r="H203" s="15">
        <f t="shared" si="44"/>
        <v>1</v>
      </c>
      <c r="I203" s="14">
        <f t="shared" si="45"/>
        <v>299</v>
      </c>
      <c r="J203" s="15">
        <f t="shared" si="46"/>
        <v>0</v>
      </c>
      <c r="K203" s="15">
        <f t="shared" si="47"/>
        <v>0</v>
      </c>
      <c r="L203" s="15">
        <f t="shared" si="48"/>
        <v>-14.95</v>
      </c>
      <c r="M203" s="15">
        <f t="shared" si="49"/>
        <v>0</v>
      </c>
      <c r="N203" s="15">
        <f t="shared" si="50"/>
        <v>-1.5</v>
      </c>
      <c r="O203" s="15">
        <f t="shared" si="51"/>
        <v>282.55</v>
      </c>
      <c r="R203" s="16" t="s">
        <v>2562</v>
      </c>
      <c r="S203" s="16" t="s">
        <v>2563</v>
      </c>
      <c r="T203" s="16" t="s">
        <v>2564</v>
      </c>
      <c r="U203" s="16" t="s">
        <v>2565</v>
      </c>
      <c r="V203" s="16" t="s">
        <v>2566</v>
      </c>
      <c r="W203" s="16" t="s">
        <v>76</v>
      </c>
      <c r="X203" s="16" t="s">
        <v>77</v>
      </c>
      <c r="Y203" s="16" t="s">
        <v>2567</v>
      </c>
      <c r="Z203" s="16" t="s">
        <v>2568</v>
      </c>
      <c r="AA203" s="16" t="s">
        <v>799</v>
      </c>
      <c r="AB203" s="16" t="s">
        <v>1114</v>
      </c>
      <c r="AC203" s="16" t="s">
        <v>2569</v>
      </c>
      <c r="AD203" s="16" t="s">
        <v>2570</v>
      </c>
      <c r="AE203" s="16" t="s">
        <v>84</v>
      </c>
      <c r="AF203" s="16" t="s">
        <v>84</v>
      </c>
      <c r="AG203" s="16">
        <v>299</v>
      </c>
      <c r="AH203" s="16">
        <v>299</v>
      </c>
      <c r="AI203" s="17">
        <v>299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 t="s">
        <v>85</v>
      </c>
      <c r="AP203" s="16" t="s">
        <v>2571</v>
      </c>
      <c r="AQ203" s="16" t="s">
        <v>2572</v>
      </c>
      <c r="AR203" s="16" t="s">
        <v>88</v>
      </c>
      <c r="AS203" s="16" t="s">
        <v>2573</v>
      </c>
      <c r="AT203" s="16">
        <v>14.95</v>
      </c>
      <c r="AU203" s="16" t="s">
        <v>90</v>
      </c>
      <c r="AV203" s="16">
        <v>1.5</v>
      </c>
      <c r="AW203" s="16" t="s">
        <v>115</v>
      </c>
      <c r="AX203" s="16" t="s">
        <v>116</v>
      </c>
      <c r="AY203" s="16" t="s">
        <v>117</v>
      </c>
      <c r="AZ203" s="16" t="s">
        <v>118</v>
      </c>
      <c r="BA203" s="16" t="s">
        <v>119</v>
      </c>
      <c r="BB203" s="16">
        <v>0</v>
      </c>
      <c r="BC203" s="16" t="s">
        <v>84</v>
      </c>
      <c r="BD203" s="16" t="s">
        <v>90</v>
      </c>
      <c r="BE203" s="16" t="s">
        <v>2522</v>
      </c>
      <c r="BF203" s="16" t="s">
        <v>2523</v>
      </c>
      <c r="BG203" s="16" t="s">
        <v>2524</v>
      </c>
      <c r="BH203" s="16" t="s">
        <v>2574</v>
      </c>
      <c r="BI203" s="16" t="s">
        <v>2575</v>
      </c>
      <c r="BJ203" s="16">
        <v>299</v>
      </c>
      <c r="BK203" s="16">
        <v>299</v>
      </c>
      <c r="BL203" s="16">
        <v>299</v>
      </c>
      <c r="BM203" s="16" t="s">
        <v>96</v>
      </c>
      <c r="BN203" s="16">
        <v>1</v>
      </c>
      <c r="BO203" s="16" t="s">
        <v>84</v>
      </c>
      <c r="BP203" s="16" t="s">
        <v>84</v>
      </c>
      <c r="BQ203" s="16" t="s">
        <v>84</v>
      </c>
      <c r="BR203" s="16" t="s">
        <v>97</v>
      </c>
      <c r="BS203" s="16" t="s">
        <v>98</v>
      </c>
      <c r="BT203" s="16">
        <v>0</v>
      </c>
    </row>
    <row r="204" s="1" customFormat="1" ht="16" customHeight="1" spans="1:72">
      <c r="A204" s="14">
        <f t="shared" si="39"/>
        <v>2025</v>
      </c>
      <c r="B204" s="14">
        <f t="shared" si="40"/>
        <v>8</v>
      </c>
      <c r="C204" s="14" t="str">
        <f t="shared" si="41"/>
        <v>3729895499058525952</v>
      </c>
      <c r="D204" s="14" cm="1">
        <f t="array" ref="D204">SUMPRODUCT(($R$2:$R$374=C204)*1)</f>
        <v>1</v>
      </c>
      <c r="E204" s="14" cm="1">
        <f t="array" ref="E204">SUMPRODUCT(($R$2:R204=C204)*1)</f>
        <v>1</v>
      </c>
      <c r="F204" s="15" t="str">
        <f t="shared" si="42"/>
        <v>Z1741-白色-S</v>
      </c>
      <c r="G204" s="14" t="str">
        <f t="shared" si="43"/>
        <v>Z1741</v>
      </c>
      <c r="H204" s="15">
        <f t="shared" si="44"/>
        <v>1</v>
      </c>
      <c r="I204" s="14">
        <f t="shared" si="45"/>
        <v>269</v>
      </c>
      <c r="J204" s="15">
        <f t="shared" si="46"/>
        <v>0</v>
      </c>
      <c r="K204" s="15">
        <f t="shared" si="47"/>
        <v>0</v>
      </c>
      <c r="L204" s="15">
        <f t="shared" si="48"/>
        <v>-13.45</v>
      </c>
      <c r="M204" s="15">
        <f t="shared" si="49"/>
        <v>0</v>
      </c>
      <c r="N204" s="15">
        <f t="shared" si="50"/>
        <v>-1.5</v>
      </c>
      <c r="O204" s="15">
        <f t="shared" si="51"/>
        <v>254.05</v>
      </c>
      <c r="R204" s="16" t="s">
        <v>2576</v>
      </c>
      <c r="S204" s="16" t="s">
        <v>2577</v>
      </c>
      <c r="T204" s="16" t="s">
        <v>2578</v>
      </c>
      <c r="U204" s="16" t="s">
        <v>2579</v>
      </c>
      <c r="V204" s="16" t="s">
        <v>2580</v>
      </c>
      <c r="W204" s="16" t="s">
        <v>76</v>
      </c>
      <c r="X204" s="16" t="s">
        <v>77</v>
      </c>
      <c r="Y204" s="16" t="s">
        <v>2581</v>
      </c>
      <c r="Z204" s="16" t="s">
        <v>2582</v>
      </c>
      <c r="AA204" s="16" t="s">
        <v>107</v>
      </c>
      <c r="AB204" s="16" t="s">
        <v>2583</v>
      </c>
      <c r="AC204" s="16" t="s">
        <v>2584</v>
      </c>
      <c r="AD204" s="16" t="s">
        <v>2585</v>
      </c>
      <c r="AE204" s="16" t="s">
        <v>84</v>
      </c>
      <c r="AF204" s="16" t="s">
        <v>84</v>
      </c>
      <c r="AG204" s="16">
        <v>269</v>
      </c>
      <c r="AH204" s="16">
        <v>269</v>
      </c>
      <c r="AI204" s="17">
        <v>269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 t="s">
        <v>85</v>
      </c>
      <c r="AP204" s="16" t="s">
        <v>2586</v>
      </c>
      <c r="AQ204" s="16" t="s">
        <v>2587</v>
      </c>
      <c r="AR204" s="16" t="s">
        <v>88</v>
      </c>
      <c r="AS204" s="16" t="s">
        <v>2588</v>
      </c>
      <c r="AT204" s="16">
        <v>13.45</v>
      </c>
      <c r="AU204" s="16" t="s">
        <v>90</v>
      </c>
      <c r="AV204" s="16">
        <v>1.5</v>
      </c>
      <c r="AW204" s="16" t="s">
        <v>115</v>
      </c>
      <c r="AX204" s="16" t="s">
        <v>116</v>
      </c>
      <c r="AY204" s="16" t="s">
        <v>117</v>
      </c>
      <c r="AZ204" s="16" t="s">
        <v>118</v>
      </c>
      <c r="BA204" s="16" t="s">
        <v>119</v>
      </c>
      <c r="BB204" s="16">
        <v>0</v>
      </c>
      <c r="BC204" s="16" t="s">
        <v>84</v>
      </c>
      <c r="BD204" s="16" t="s">
        <v>90</v>
      </c>
      <c r="BE204" s="16" t="s">
        <v>1212</v>
      </c>
      <c r="BF204" s="16" t="s">
        <v>1213</v>
      </c>
      <c r="BG204" s="16" t="s">
        <v>1214</v>
      </c>
      <c r="BH204" s="16" t="s">
        <v>1518</v>
      </c>
      <c r="BI204" s="16" t="s">
        <v>1519</v>
      </c>
      <c r="BJ204" s="16">
        <v>269</v>
      </c>
      <c r="BK204" s="16">
        <v>269</v>
      </c>
      <c r="BL204" s="16">
        <v>269</v>
      </c>
      <c r="BM204" s="16" t="s">
        <v>96</v>
      </c>
      <c r="BN204" s="16">
        <v>1</v>
      </c>
      <c r="BO204" s="16" t="s">
        <v>84</v>
      </c>
      <c r="BP204" s="16" t="s">
        <v>84</v>
      </c>
      <c r="BQ204" s="16" t="s">
        <v>84</v>
      </c>
      <c r="BR204" s="16" t="s">
        <v>97</v>
      </c>
      <c r="BS204" s="16" t="s">
        <v>98</v>
      </c>
      <c r="BT204" s="16">
        <v>0</v>
      </c>
    </row>
    <row r="205" s="1" customFormat="1" ht="16" customHeight="1" spans="1:72">
      <c r="A205" s="14">
        <f t="shared" si="39"/>
        <v>2025</v>
      </c>
      <c r="B205" s="14">
        <f t="shared" si="40"/>
        <v>8</v>
      </c>
      <c r="C205" s="14" t="str">
        <f t="shared" si="41"/>
        <v>3729895463566582528</v>
      </c>
      <c r="D205" s="14" cm="1">
        <f t="array" ref="D205">SUMPRODUCT(($R$2:$R$374=C205)*1)</f>
        <v>1</v>
      </c>
      <c r="E205" s="14" cm="1">
        <f t="array" ref="E205">SUMPRODUCT(($R$2:R205=C205)*1)</f>
        <v>1</v>
      </c>
      <c r="F205" s="15" t="str">
        <f t="shared" si="42"/>
        <v>Z2278-黑色-M</v>
      </c>
      <c r="G205" s="14" t="str">
        <f t="shared" si="43"/>
        <v>Z2278</v>
      </c>
      <c r="H205" s="15">
        <f t="shared" si="44"/>
        <v>1</v>
      </c>
      <c r="I205" s="14">
        <f t="shared" si="45"/>
        <v>229</v>
      </c>
      <c r="J205" s="15">
        <f t="shared" si="46"/>
        <v>0</v>
      </c>
      <c r="K205" s="15">
        <f t="shared" si="47"/>
        <v>0</v>
      </c>
      <c r="L205" s="15">
        <f t="shared" si="48"/>
        <v>-2.29</v>
      </c>
      <c r="M205" s="15">
        <f t="shared" si="49"/>
        <v>0</v>
      </c>
      <c r="N205" s="15">
        <f t="shared" si="50"/>
        <v>-1.5</v>
      </c>
      <c r="O205" s="15">
        <f t="shared" si="51"/>
        <v>225.21</v>
      </c>
      <c r="R205" s="16" t="s">
        <v>2589</v>
      </c>
      <c r="S205" s="16" t="s">
        <v>2590</v>
      </c>
      <c r="T205" s="16" t="s">
        <v>2159</v>
      </c>
      <c r="U205" s="16" t="s">
        <v>2591</v>
      </c>
      <c r="V205" s="16" t="s">
        <v>2592</v>
      </c>
      <c r="W205" s="16" t="s">
        <v>76</v>
      </c>
      <c r="X205" s="16" t="s">
        <v>77</v>
      </c>
      <c r="Y205" s="16" t="s">
        <v>2593</v>
      </c>
      <c r="Z205" s="16" t="s">
        <v>638</v>
      </c>
      <c r="AA205" s="16" t="s">
        <v>430</v>
      </c>
      <c r="AB205" s="16" t="s">
        <v>430</v>
      </c>
      <c r="AC205" s="16" t="s">
        <v>639</v>
      </c>
      <c r="AD205" s="16" t="s">
        <v>2594</v>
      </c>
      <c r="AE205" s="16" t="s">
        <v>84</v>
      </c>
      <c r="AF205" s="16" t="s">
        <v>84</v>
      </c>
      <c r="AG205" s="16">
        <v>229</v>
      </c>
      <c r="AH205" s="16">
        <v>229</v>
      </c>
      <c r="AI205" s="17">
        <v>229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 t="s">
        <v>137</v>
      </c>
      <c r="AP205" s="16" t="s">
        <v>2595</v>
      </c>
      <c r="AQ205" s="16" t="s">
        <v>2596</v>
      </c>
      <c r="AR205" s="16" t="s">
        <v>88</v>
      </c>
      <c r="AS205" s="16" t="s">
        <v>2597</v>
      </c>
      <c r="AT205" s="16">
        <v>2.29</v>
      </c>
      <c r="AU205" s="16" t="s">
        <v>90</v>
      </c>
      <c r="AV205" s="16">
        <v>1.5</v>
      </c>
      <c r="AW205" s="16" t="s">
        <v>90</v>
      </c>
      <c r="AX205" s="16" t="s">
        <v>90</v>
      </c>
      <c r="AY205" s="16" t="s">
        <v>90</v>
      </c>
      <c r="AZ205" s="16" t="s">
        <v>90</v>
      </c>
      <c r="BA205" s="16" t="s">
        <v>90</v>
      </c>
      <c r="BB205" s="16">
        <v>0</v>
      </c>
      <c r="BC205" s="16"/>
      <c r="BD205" s="16" t="s">
        <v>90</v>
      </c>
      <c r="BE205" s="16" t="s">
        <v>141</v>
      </c>
      <c r="BF205" s="16" t="s">
        <v>142</v>
      </c>
      <c r="BG205" s="16" t="s">
        <v>143</v>
      </c>
      <c r="BH205" s="16" t="s">
        <v>2598</v>
      </c>
      <c r="BI205" s="16" t="s">
        <v>2599</v>
      </c>
      <c r="BJ205" s="16">
        <v>229</v>
      </c>
      <c r="BK205" s="16">
        <v>229</v>
      </c>
      <c r="BL205" s="16">
        <v>229</v>
      </c>
      <c r="BM205" s="16" t="s">
        <v>96</v>
      </c>
      <c r="BN205" s="16">
        <v>1</v>
      </c>
      <c r="BO205" s="16" t="s">
        <v>84</v>
      </c>
      <c r="BP205" s="16" t="s">
        <v>84</v>
      </c>
      <c r="BQ205" s="16" t="s">
        <v>84</v>
      </c>
      <c r="BR205" s="16" t="s">
        <v>97</v>
      </c>
      <c r="BS205" s="16" t="s">
        <v>98</v>
      </c>
      <c r="BT205" s="16">
        <v>0</v>
      </c>
    </row>
    <row r="206" s="1" customFormat="1" ht="16" customHeight="1" spans="1:72">
      <c r="A206" s="14">
        <f t="shared" si="39"/>
        <v>2025</v>
      </c>
      <c r="B206" s="14">
        <f t="shared" si="40"/>
        <v>8</v>
      </c>
      <c r="C206" s="14" t="str">
        <f t="shared" si="41"/>
        <v>3729893862215923712</v>
      </c>
      <c r="D206" s="14" cm="1">
        <f t="array" ref="D206">SUMPRODUCT(($R$2:$R$374=C206)*1)</f>
        <v>1</v>
      </c>
      <c r="E206" s="14" cm="1">
        <f t="array" ref="E206">SUMPRODUCT(($R$2:R206=C206)*1)</f>
        <v>1</v>
      </c>
      <c r="F206" s="15" t="str">
        <f t="shared" si="42"/>
        <v>Z858-黑色-S</v>
      </c>
      <c r="G206" s="14" t="str">
        <f t="shared" si="43"/>
        <v>Z858</v>
      </c>
      <c r="H206" s="15">
        <f t="shared" si="44"/>
        <v>1</v>
      </c>
      <c r="I206" s="14">
        <f t="shared" si="45"/>
        <v>269</v>
      </c>
      <c r="J206" s="15">
        <f t="shared" si="46"/>
        <v>0</v>
      </c>
      <c r="K206" s="15">
        <f t="shared" si="47"/>
        <v>0</v>
      </c>
      <c r="L206" s="15">
        <f t="shared" si="48"/>
        <v>-2.69</v>
      </c>
      <c r="M206" s="15">
        <f t="shared" si="49"/>
        <v>0</v>
      </c>
      <c r="N206" s="15">
        <f t="shared" si="50"/>
        <v>-1.5</v>
      </c>
      <c r="O206" s="15">
        <f t="shared" si="51"/>
        <v>264.81</v>
      </c>
      <c r="R206" s="16" t="s">
        <v>2600</v>
      </c>
      <c r="S206" s="16" t="s">
        <v>2601</v>
      </c>
      <c r="T206" s="16" t="s">
        <v>2602</v>
      </c>
      <c r="U206" s="16" t="s">
        <v>2603</v>
      </c>
      <c r="V206" s="16" t="s">
        <v>2604</v>
      </c>
      <c r="W206" s="16" t="s">
        <v>76</v>
      </c>
      <c r="X206" s="16" t="s">
        <v>77</v>
      </c>
      <c r="Y206" s="16" t="s">
        <v>2605</v>
      </c>
      <c r="Z206" s="16" t="s">
        <v>2606</v>
      </c>
      <c r="AA206" s="16" t="s">
        <v>512</v>
      </c>
      <c r="AB206" s="16" t="s">
        <v>2607</v>
      </c>
      <c r="AC206" s="16" t="s">
        <v>2608</v>
      </c>
      <c r="AD206" s="16" t="s">
        <v>2609</v>
      </c>
      <c r="AE206" s="16" t="s">
        <v>84</v>
      </c>
      <c r="AF206" s="16" t="s">
        <v>2610</v>
      </c>
      <c r="AG206" s="16">
        <v>269</v>
      </c>
      <c r="AH206" s="16">
        <v>269</v>
      </c>
      <c r="AI206" s="17">
        <v>269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 t="s">
        <v>137</v>
      </c>
      <c r="AP206" s="16" t="s">
        <v>2611</v>
      </c>
      <c r="AQ206" s="16" t="s">
        <v>2612</v>
      </c>
      <c r="AR206" s="16" t="s">
        <v>88</v>
      </c>
      <c r="AS206" s="16" t="s">
        <v>2613</v>
      </c>
      <c r="AT206" s="16">
        <v>2.69</v>
      </c>
      <c r="AU206" s="16" t="s">
        <v>90</v>
      </c>
      <c r="AV206" s="16">
        <v>1.5</v>
      </c>
      <c r="AW206" s="16" t="s">
        <v>90</v>
      </c>
      <c r="AX206" s="16" t="s">
        <v>90</v>
      </c>
      <c r="AY206" s="16" t="s">
        <v>90</v>
      </c>
      <c r="AZ206" s="16" t="s">
        <v>90</v>
      </c>
      <c r="BA206" s="16" t="s">
        <v>90</v>
      </c>
      <c r="BB206" s="16">
        <v>0</v>
      </c>
      <c r="BC206" s="16"/>
      <c r="BD206" s="16" t="s">
        <v>90</v>
      </c>
      <c r="BE206" s="16" t="s">
        <v>2614</v>
      </c>
      <c r="BF206" s="16" t="s">
        <v>2615</v>
      </c>
      <c r="BG206" s="16" t="s">
        <v>2616</v>
      </c>
      <c r="BH206" s="16" t="s">
        <v>2617</v>
      </c>
      <c r="BI206" s="16" t="s">
        <v>2618</v>
      </c>
      <c r="BJ206" s="16">
        <v>269</v>
      </c>
      <c r="BK206" s="16">
        <v>269</v>
      </c>
      <c r="BL206" s="16">
        <v>269</v>
      </c>
      <c r="BM206" s="16" t="s">
        <v>96</v>
      </c>
      <c r="BN206" s="16">
        <v>1</v>
      </c>
      <c r="BO206" s="16" t="s">
        <v>84</v>
      </c>
      <c r="BP206" s="16" t="s">
        <v>84</v>
      </c>
      <c r="BQ206" s="16" t="s">
        <v>84</v>
      </c>
      <c r="BR206" s="16" t="s">
        <v>97</v>
      </c>
      <c r="BS206" s="16" t="s">
        <v>98</v>
      </c>
      <c r="BT206" s="16">
        <v>0</v>
      </c>
    </row>
    <row r="207" s="1" customFormat="1" ht="16" customHeight="1" spans="1:72">
      <c r="A207" s="14">
        <f t="shared" si="39"/>
        <v>2025</v>
      </c>
      <c r="B207" s="14">
        <f t="shared" si="40"/>
        <v>8</v>
      </c>
      <c r="C207" s="14" t="str">
        <f t="shared" si="41"/>
        <v>3729886510314558464</v>
      </c>
      <c r="D207" s="14" cm="1">
        <f t="array" ref="D207">SUMPRODUCT(($R$2:$R$374=C207)*1)</f>
        <v>1</v>
      </c>
      <c r="E207" s="14" cm="1">
        <f t="array" ref="E207">SUMPRODUCT(($R$2:R207=C207)*1)</f>
        <v>1</v>
      </c>
      <c r="F207" s="15" t="str">
        <f t="shared" si="42"/>
        <v>Z2183-黑色-XL</v>
      </c>
      <c r="G207" s="14" t="str">
        <f t="shared" si="43"/>
        <v>Z2183</v>
      </c>
      <c r="H207" s="15">
        <f t="shared" si="44"/>
        <v>1</v>
      </c>
      <c r="I207" s="14">
        <f t="shared" si="45"/>
        <v>129</v>
      </c>
      <c r="J207" s="15">
        <f t="shared" si="46"/>
        <v>0</v>
      </c>
      <c r="K207" s="15">
        <f t="shared" si="47"/>
        <v>0</v>
      </c>
      <c r="L207" s="15">
        <f t="shared" si="48"/>
        <v>-6.45</v>
      </c>
      <c r="M207" s="15">
        <f t="shared" si="49"/>
        <v>0</v>
      </c>
      <c r="N207" s="15">
        <f t="shared" si="50"/>
        <v>-1.5</v>
      </c>
      <c r="O207" s="15">
        <f t="shared" si="51"/>
        <v>121.05</v>
      </c>
      <c r="R207" s="16" t="s">
        <v>2619</v>
      </c>
      <c r="S207" s="16" t="s">
        <v>2620</v>
      </c>
      <c r="T207" s="16" t="s">
        <v>2405</v>
      </c>
      <c r="U207" s="16" t="s">
        <v>2621</v>
      </c>
      <c r="V207" s="16" t="s">
        <v>2622</v>
      </c>
      <c r="W207" s="16" t="s">
        <v>76</v>
      </c>
      <c r="X207" s="16" t="s">
        <v>77</v>
      </c>
      <c r="Y207" s="16" t="s">
        <v>2623</v>
      </c>
      <c r="Z207" s="16" t="s">
        <v>152</v>
      </c>
      <c r="AA207" s="16" t="s">
        <v>153</v>
      </c>
      <c r="AB207" s="16" t="s">
        <v>153</v>
      </c>
      <c r="AC207" s="16" t="s">
        <v>154</v>
      </c>
      <c r="AD207" s="16" t="s">
        <v>2624</v>
      </c>
      <c r="AE207" s="16" t="s">
        <v>84</v>
      </c>
      <c r="AF207" s="16" t="s">
        <v>84</v>
      </c>
      <c r="AG207" s="16">
        <v>129</v>
      </c>
      <c r="AH207" s="16">
        <v>129</v>
      </c>
      <c r="AI207" s="17">
        <v>129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 t="s">
        <v>85</v>
      </c>
      <c r="AP207" s="16" t="s">
        <v>2625</v>
      </c>
      <c r="AQ207" s="16" t="s">
        <v>2626</v>
      </c>
      <c r="AR207" s="16" t="s">
        <v>88</v>
      </c>
      <c r="AS207" s="16" t="s">
        <v>2627</v>
      </c>
      <c r="AT207" s="16">
        <v>6.45</v>
      </c>
      <c r="AU207" s="16" t="s">
        <v>90</v>
      </c>
      <c r="AV207" s="16">
        <v>1.5</v>
      </c>
      <c r="AW207" s="16" t="s">
        <v>115</v>
      </c>
      <c r="AX207" s="16" t="s">
        <v>116</v>
      </c>
      <c r="AY207" s="16" t="s">
        <v>117</v>
      </c>
      <c r="AZ207" s="16" t="s">
        <v>118</v>
      </c>
      <c r="BA207" s="16" t="s">
        <v>119</v>
      </c>
      <c r="BB207" s="16">
        <v>0</v>
      </c>
      <c r="BC207" s="16" t="s">
        <v>84</v>
      </c>
      <c r="BD207" s="16" t="s">
        <v>90</v>
      </c>
      <c r="BE207" s="16" t="s">
        <v>610</v>
      </c>
      <c r="BF207" s="16" t="s">
        <v>611</v>
      </c>
      <c r="BG207" s="16" t="s">
        <v>612</v>
      </c>
      <c r="BH207" s="16" t="s">
        <v>613</v>
      </c>
      <c r="BI207" s="16" t="s">
        <v>614</v>
      </c>
      <c r="BJ207" s="16">
        <v>129</v>
      </c>
      <c r="BK207" s="16">
        <v>129</v>
      </c>
      <c r="BL207" s="16">
        <v>129</v>
      </c>
      <c r="BM207" s="16" t="s">
        <v>96</v>
      </c>
      <c r="BN207" s="16">
        <v>1</v>
      </c>
      <c r="BO207" s="16" t="s">
        <v>84</v>
      </c>
      <c r="BP207" s="16" t="s">
        <v>84</v>
      </c>
      <c r="BQ207" s="16" t="s">
        <v>84</v>
      </c>
      <c r="BR207" s="16" t="s">
        <v>97</v>
      </c>
      <c r="BS207" s="16" t="s">
        <v>98</v>
      </c>
      <c r="BT207" s="16">
        <v>0</v>
      </c>
    </row>
    <row r="208" s="1" customFormat="1" ht="16" customHeight="1" spans="1:72">
      <c r="A208" s="14">
        <f t="shared" si="39"/>
        <v>2025</v>
      </c>
      <c r="B208" s="14">
        <f t="shared" si="40"/>
        <v>8</v>
      </c>
      <c r="C208" s="14" t="str">
        <f t="shared" si="41"/>
        <v>3729877485016458496</v>
      </c>
      <c r="D208" s="14" cm="1">
        <f t="array" ref="D208">SUMPRODUCT(($R$2:$R$374=C208)*1)</f>
        <v>1</v>
      </c>
      <c r="E208" s="14" cm="1">
        <f t="array" ref="E208">SUMPRODUCT(($R$2:R208=C208)*1)</f>
        <v>1</v>
      </c>
      <c r="F208" s="15" t="str">
        <f t="shared" si="42"/>
        <v>Z1581-白色-M</v>
      </c>
      <c r="G208" s="14" t="str">
        <f t="shared" si="43"/>
        <v>Z1581</v>
      </c>
      <c r="H208" s="15">
        <f t="shared" si="44"/>
        <v>1</v>
      </c>
      <c r="I208" s="14">
        <f t="shared" si="45"/>
        <v>289</v>
      </c>
      <c r="J208" s="15">
        <f t="shared" si="46"/>
        <v>0</v>
      </c>
      <c r="K208" s="15">
        <f t="shared" si="47"/>
        <v>0</v>
      </c>
      <c r="L208" s="15">
        <f t="shared" si="48"/>
        <v>-2.89</v>
      </c>
      <c r="M208" s="15">
        <f t="shared" si="49"/>
        <v>0</v>
      </c>
      <c r="N208" s="15">
        <f t="shared" si="50"/>
        <v>-1.5</v>
      </c>
      <c r="O208" s="15">
        <f t="shared" si="51"/>
        <v>284.61</v>
      </c>
      <c r="R208" s="16" t="s">
        <v>2628</v>
      </c>
      <c r="S208" s="16" t="s">
        <v>2629</v>
      </c>
      <c r="T208" s="16" t="s">
        <v>2630</v>
      </c>
      <c r="U208" s="16" t="s">
        <v>2631</v>
      </c>
      <c r="V208" s="16" t="s">
        <v>2632</v>
      </c>
      <c r="W208" s="16" t="s">
        <v>76</v>
      </c>
      <c r="X208" s="16" t="s">
        <v>77</v>
      </c>
      <c r="Y208" s="16" t="s">
        <v>2286</v>
      </c>
      <c r="Z208" s="16" t="s">
        <v>937</v>
      </c>
      <c r="AA208" s="16" t="s">
        <v>153</v>
      </c>
      <c r="AB208" s="16" t="s">
        <v>153</v>
      </c>
      <c r="AC208" s="16" t="s">
        <v>938</v>
      </c>
      <c r="AD208" s="16" t="s">
        <v>2287</v>
      </c>
      <c r="AE208" s="16" t="s">
        <v>84</v>
      </c>
      <c r="AF208" s="16" t="s">
        <v>84</v>
      </c>
      <c r="AG208" s="16">
        <v>289</v>
      </c>
      <c r="AH208" s="16">
        <v>289</v>
      </c>
      <c r="AI208" s="17">
        <v>289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 t="s">
        <v>137</v>
      </c>
      <c r="AP208" s="16" t="s">
        <v>2633</v>
      </c>
      <c r="AQ208" s="16" t="s">
        <v>2634</v>
      </c>
      <c r="AR208" s="16" t="s">
        <v>88</v>
      </c>
      <c r="AS208" s="16" t="s">
        <v>2635</v>
      </c>
      <c r="AT208" s="16">
        <v>2.89</v>
      </c>
      <c r="AU208" s="16" t="s">
        <v>90</v>
      </c>
      <c r="AV208" s="16">
        <v>1.5</v>
      </c>
      <c r="AW208" s="16" t="s">
        <v>90</v>
      </c>
      <c r="AX208" s="16" t="s">
        <v>90</v>
      </c>
      <c r="AY208" s="16" t="s">
        <v>90</v>
      </c>
      <c r="AZ208" s="16" t="s">
        <v>90</v>
      </c>
      <c r="BA208" s="16" t="s">
        <v>90</v>
      </c>
      <c r="BB208" s="16">
        <v>0</v>
      </c>
      <c r="BC208" s="16"/>
      <c r="BD208" s="16" t="s">
        <v>90</v>
      </c>
      <c r="BE208" s="16" t="s">
        <v>419</v>
      </c>
      <c r="BF208" s="16" t="s">
        <v>420</v>
      </c>
      <c r="BG208" s="16" t="s">
        <v>421</v>
      </c>
      <c r="BH208" s="16" t="s">
        <v>715</v>
      </c>
      <c r="BI208" s="16" t="s">
        <v>716</v>
      </c>
      <c r="BJ208" s="16">
        <v>289</v>
      </c>
      <c r="BK208" s="16">
        <v>289</v>
      </c>
      <c r="BL208" s="16">
        <v>289</v>
      </c>
      <c r="BM208" s="16" t="s">
        <v>96</v>
      </c>
      <c r="BN208" s="16">
        <v>1</v>
      </c>
      <c r="BO208" s="16" t="s">
        <v>84</v>
      </c>
      <c r="BP208" s="16" t="s">
        <v>84</v>
      </c>
      <c r="BQ208" s="16" t="s">
        <v>84</v>
      </c>
      <c r="BR208" s="16" t="s">
        <v>97</v>
      </c>
      <c r="BS208" s="16" t="s">
        <v>98</v>
      </c>
      <c r="BT208" s="16">
        <v>0</v>
      </c>
    </row>
    <row r="209" s="1" customFormat="1" ht="16" customHeight="1" spans="1:72">
      <c r="A209" s="14">
        <f t="shared" si="39"/>
        <v>2025</v>
      </c>
      <c r="B209" s="14">
        <f t="shared" si="40"/>
        <v>8</v>
      </c>
      <c r="C209" s="14" t="str">
        <f t="shared" si="41"/>
        <v>3729858810435220480</v>
      </c>
      <c r="D209" s="14" cm="1">
        <f t="array" ref="D209">SUMPRODUCT(($R$2:$R$374=C209)*1)</f>
        <v>1</v>
      </c>
      <c r="E209" s="14" cm="1">
        <f t="array" ref="E209">SUMPRODUCT(($R$2:R209=C209)*1)</f>
        <v>1</v>
      </c>
      <c r="F209" s="15" t="str">
        <f t="shared" si="42"/>
        <v>Z2261-波点-S</v>
      </c>
      <c r="G209" s="14" t="str">
        <f t="shared" si="43"/>
        <v>Z2261</v>
      </c>
      <c r="H209" s="15">
        <f t="shared" si="44"/>
        <v>1</v>
      </c>
      <c r="I209" s="14">
        <f t="shared" si="45"/>
        <v>199</v>
      </c>
      <c r="J209" s="15">
        <f t="shared" si="46"/>
        <v>0</v>
      </c>
      <c r="K209" s="15">
        <f t="shared" si="47"/>
        <v>0</v>
      </c>
      <c r="L209" s="15">
        <f t="shared" si="48"/>
        <v>-1.99</v>
      </c>
      <c r="M209" s="15">
        <f t="shared" si="49"/>
        <v>0</v>
      </c>
      <c r="N209" s="15">
        <f t="shared" si="50"/>
        <v>-1.5</v>
      </c>
      <c r="O209" s="15">
        <f t="shared" si="51"/>
        <v>195.51</v>
      </c>
      <c r="R209" s="16" t="s">
        <v>2636</v>
      </c>
      <c r="S209" s="16" t="s">
        <v>2637</v>
      </c>
      <c r="T209" s="16" t="s">
        <v>2638</v>
      </c>
      <c r="U209" s="16" t="s">
        <v>2639</v>
      </c>
      <c r="V209" s="16" t="s">
        <v>2640</v>
      </c>
      <c r="W209" s="16" t="s">
        <v>76</v>
      </c>
      <c r="X209" s="16" t="s">
        <v>77</v>
      </c>
      <c r="Y209" s="16" t="s">
        <v>330</v>
      </c>
      <c r="Z209" s="16" t="s">
        <v>2641</v>
      </c>
      <c r="AA209" s="16" t="s">
        <v>1365</v>
      </c>
      <c r="AB209" s="16" t="s">
        <v>2642</v>
      </c>
      <c r="AC209" s="16" t="s">
        <v>2643</v>
      </c>
      <c r="AD209" s="16" t="s">
        <v>2644</v>
      </c>
      <c r="AE209" s="16" t="s">
        <v>84</v>
      </c>
      <c r="AF209" s="16" t="s">
        <v>84</v>
      </c>
      <c r="AG209" s="16">
        <v>199</v>
      </c>
      <c r="AH209" s="16">
        <v>199</v>
      </c>
      <c r="AI209" s="17">
        <v>199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 t="s">
        <v>137</v>
      </c>
      <c r="AP209" s="16" t="s">
        <v>2645</v>
      </c>
      <c r="AQ209" s="16" t="s">
        <v>2646</v>
      </c>
      <c r="AR209" s="16" t="s">
        <v>88</v>
      </c>
      <c r="AS209" s="16" t="s">
        <v>2647</v>
      </c>
      <c r="AT209" s="16">
        <v>1.99</v>
      </c>
      <c r="AU209" s="16" t="s">
        <v>90</v>
      </c>
      <c r="AV209" s="16">
        <v>1.5</v>
      </c>
      <c r="AW209" s="16" t="s">
        <v>90</v>
      </c>
      <c r="AX209" s="16" t="s">
        <v>90</v>
      </c>
      <c r="AY209" s="16" t="s">
        <v>90</v>
      </c>
      <c r="AZ209" s="16" t="s">
        <v>90</v>
      </c>
      <c r="BA209" s="16" t="s">
        <v>90</v>
      </c>
      <c r="BB209" s="16">
        <v>0</v>
      </c>
      <c r="BC209" s="16"/>
      <c r="BD209" s="16" t="s">
        <v>90</v>
      </c>
      <c r="BE209" s="16" t="s">
        <v>2648</v>
      </c>
      <c r="BF209" s="16" t="s">
        <v>2649</v>
      </c>
      <c r="BG209" s="16" t="s">
        <v>2650</v>
      </c>
      <c r="BH209" s="16" t="s">
        <v>2651</v>
      </c>
      <c r="BI209" s="16" t="s">
        <v>2652</v>
      </c>
      <c r="BJ209" s="16">
        <v>199</v>
      </c>
      <c r="BK209" s="16">
        <v>199</v>
      </c>
      <c r="BL209" s="16">
        <v>199</v>
      </c>
      <c r="BM209" s="16" t="s">
        <v>96</v>
      </c>
      <c r="BN209" s="16">
        <v>1</v>
      </c>
      <c r="BO209" s="16" t="s">
        <v>84</v>
      </c>
      <c r="BP209" s="16" t="s">
        <v>84</v>
      </c>
      <c r="BQ209" s="16" t="s">
        <v>84</v>
      </c>
      <c r="BR209" s="16" t="s">
        <v>97</v>
      </c>
      <c r="BS209" s="16" t="s">
        <v>98</v>
      </c>
      <c r="BT209" s="16">
        <v>0</v>
      </c>
    </row>
    <row r="210" s="1" customFormat="1" ht="16" customHeight="1" spans="1:72">
      <c r="A210" s="14">
        <f t="shared" si="39"/>
        <v>2025</v>
      </c>
      <c r="B210" s="14">
        <f t="shared" si="40"/>
        <v>8</v>
      </c>
      <c r="C210" s="14" t="str">
        <f t="shared" si="41"/>
        <v>3729857762936624128</v>
      </c>
      <c r="D210" s="14" cm="1">
        <f t="array" ref="D210">SUMPRODUCT(($R$2:$R$374=C210)*1)</f>
        <v>1</v>
      </c>
      <c r="E210" s="14" cm="1">
        <f t="array" ref="E210">SUMPRODUCT(($R$2:R210=C210)*1)</f>
        <v>1</v>
      </c>
      <c r="F210" s="15" t="str">
        <f t="shared" si="42"/>
        <v>Z2299-蓝色-M</v>
      </c>
      <c r="G210" s="14" t="str">
        <f t="shared" si="43"/>
        <v>Z2299</v>
      </c>
      <c r="H210" s="15">
        <f t="shared" si="44"/>
        <v>1</v>
      </c>
      <c r="I210" s="14">
        <f t="shared" si="45"/>
        <v>299</v>
      </c>
      <c r="J210" s="15">
        <f t="shared" si="46"/>
        <v>0</v>
      </c>
      <c r="K210" s="15">
        <f t="shared" si="47"/>
        <v>0</v>
      </c>
      <c r="L210" s="15">
        <f t="shared" si="48"/>
        <v>-14.95</v>
      </c>
      <c r="M210" s="15">
        <f t="shared" si="49"/>
        <v>0</v>
      </c>
      <c r="N210" s="15">
        <f t="shared" si="50"/>
        <v>-1.5</v>
      </c>
      <c r="O210" s="15">
        <f t="shared" si="51"/>
        <v>282.55</v>
      </c>
      <c r="R210" s="16" t="s">
        <v>2653</v>
      </c>
      <c r="S210" s="16" t="s">
        <v>2654</v>
      </c>
      <c r="T210" s="16" t="s">
        <v>2655</v>
      </c>
      <c r="U210" s="16" t="s">
        <v>2656</v>
      </c>
      <c r="V210" s="16" t="s">
        <v>2657</v>
      </c>
      <c r="W210" s="16" t="s">
        <v>76</v>
      </c>
      <c r="X210" s="16" t="s">
        <v>77</v>
      </c>
      <c r="Y210" s="16" t="s">
        <v>224</v>
      </c>
      <c r="Z210" s="16" t="s">
        <v>225</v>
      </c>
      <c r="AA210" s="16" t="s">
        <v>153</v>
      </c>
      <c r="AB210" s="16" t="s">
        <v>153</v>
      </c>
      <c r="AC210" s="16" t="s">
        <v>226</v>
      </c>
      <c r="AD210" s="16" t="s">
        <v>227</v>
      </c>
      <c r="AE210" s="16" t="s">
        <v>84</v>
      </c>
      <c r="AF210" s="16" t="s">
        <v>84</v>
      </c>
      <c r="AG210" s="16">
        <v>299</v>
      </c>
      <c r="AH210" s="16">
        <v>299</v>
      </c>
      <c r="AI210" s="17">
        <v>299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 t="s">
        <v>137</v>
      </c>
      <c r="AP210" s="16" t="s">
        <v>2658</v>
      </c>
      <c r="AQ210" s="16" t="s">
        <v>2659</v>
      </c>
      <c r="AR210" s="16" t="s">
        <v>88</v>
      </c>
      <c r="AS210" s="16" t="s">
        <v>2660</v>
      </c>
      <c r="AT210" s="16">
        <v>14.95</v>
      </c>
      <c r="AU210" s="16" t="s">
        <v>90</v>
      </c>
      <c r="AV210" s="16">
        <v>1.5</v>
      </c>
      <c r="AW210" s="16" t="s">
        <v>115</v>
      </c>
      <c r="AX210" s="16" t="s">
        <v>116</v>
      </c>
      <c r="AY210" s="16" t="s">
        <v>117</v>
      </c>
      <c r="AZ210" s="16" t="s">
        <v>118</v>
      </c>
      <c r="BA210" s="16" t="s">
        <v>119</v>
      </c>
      <c r="BB210" s="16">
        <v>0</v>
      </c>
      <c r="BC210" s="16" t="s">
        <v>84</v>
      </c>
      <c r="BD210" s="16" t="s">
        <v>90</v>
      </c>
      <c r="BE210" s="16" t="s">
        <v>807</v>
      </c>
      <c r="BF210" s="16" t="s">
        <v>808</v>
      </c>
      <c r="BG210" s="16" t="s">
        <v>809</v>
      </c>
      <c r="BH210" s="16" t="s">
        <v>810</v>
      </c>
      <c r="BI210" s="16" t="s">
        <v>811</v>
      </c>
      <c r="BJ210" s="16">
        <v>299</v>
      </c>
      <c r="BK210" s="16">
        <v>299</v>
      </c>
      <c r="BL210" s="16">
        <v>299</v>
      </c>
      <c r="BM210" s="16" t="s">
        <v>96</v>
      </c>
      <c r="BN210" s="16">
        <v>1</v>
      </c>
      <c r="BO210" s="16" t="s">
        <v>84</v>
      </c>
      <c r="BP210" s="16" t="s">
        <v>84</v>
      </c>
      <c r="BQ210" s="16" t="s">
        <v>84</v>
      </c>
      <c r="BR210" s="16" t="s">
        <v>97</v>
      </c>
      <c r="BS210" s="16" t="s">
        <v>98</v>
      </c>
      <c r="BT210" s="16">
        <v>0</v>
      </c>
    </row>
    <row r="211" s="1" customFormat="1" ht="16" customHeight="1" spans="1:72">
      <c r="A211" s="14">
        <f t="shared" si="39"/>
        <v>2025</v>
      </c>
      <c r="B211" s="14">
        <f t="shared" si="40"/>
        <v>8</v>
      </c>
      <c r="C211" s="14" t="str">
        <f t="shared" si="41"/>
        <v>3729857742089626880</v>
      </c>
      <c r="D211" s="14" cm="1">
        <f t="array" ref="D211">SUMPRODUCT(($R$2:$R$374=C211)*1)</f>
        <v>1</v>
      </c>
      <c r="E211" s="14" cm="1">
        <f t="array" ref="E211">SUMPRODUCT(($R$2:R211=C211)*1)</f>
        <v>1</v>
      </c>
      <c r="F211" s="15" t="str">
        <f t="shared" si="42"/>
        <v>Z1943-杏色-L</v>
      </c>
      <c r="G211" s="14" t="str">
        <f t="shared" si="43"/>
        <v>Z1943</v>
      </c>
      <c r="H211" s="15">
        <f t="shared" si="44"/>
        <v>1</v>
      </c>
      <c r="I211" s="14">
        <f t="shared" si="45"/>
        <v>259</v>
      </c>
      <c r="J211" s="15">
        <f t="shared" si="46"/>
        <v>0</v>
      </c>
      <c r="K211" s="15">
        <f t="shared" si="47"/>
        <v>0</v>
      </c>
      <c r="L211" s="15">
        <f t="shared" si="48"/>
        <v>-12.95</v>
      </c>
      <c r="M211" s="15">
        <f t="shared" si="49"/>
        <v>0</v>
      </c>
      <c r="N211" s="15">
        <f t="shared" si="50"/>
        <v>-1.5</v>
      </c>
      <c r="O211" s="15">
        <f t="shared" si="51"/>
        <v>244.55</v>
      </c>
      <c r="R211" s="16" t="s">
        <v>2661</v>
      </c>
      <c r="S211" s="16" t="s">
        <v>2662</v>
      </c>
      <c r="T211" s="16" t="s">
        <v>2663</v>
      </c>
      <c r="U211" s="16" t="s">
        <v>2664</v>
      </c>
      <c r="V211" s="16" t="s">
        <v>2665</v>
      </c>
      <c r="W211" s="16" t="s">
        <v>76</v>
      </c>
      <c r="X211" s="16" t="s">
        <v>77</v>
      </c>
      <c r="Y211" s="16" t="s">
        <v>241</v>
      </c>
      <c r="Z211" s="16" t="s">
        <v>2666</v>
      </c>
      <c r="AA211" s="16" t="s">
        <v>2667</v>
      </c>
      <c r="AB211" s="16" t="s">
        <v>2668</v>
      </c>
      <c r="AC211" s="16" t="s">
        <v>2669</v>
      </c>
      <c r="AD211" s="16" t="s">
        <v>2670</v>
      </c>
      <c r="AE211" s="16" t="s">
        <v>84</v>
      </c>
      <c r="AF211" s="16" t="s">
        <v>84</v>
      </c>
      <c r="AG211" s="16">
        <v>259</v>
      </c>
      <c r="AH211" s="16">
        <v>259</v>
      </c>
      <c r="AI211" s="17">
        <v>259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 t="s">
        <v>137</v>
      </c>
      <c r="AP211" s="16" t="s">
        <v>2671</v>
      </c>
      <c r="AQ211" s="16" t="s">
        <v>2672</v>
      </c>
      <c r="AR211" s="16" t="s">
        <v>88</v>
      </c>
      <c r="AS211" s="16" t="s">
        <v>2673</v>
      </c>
      <c r="AT211" s="16">
        <v>12.95</v>
      </c>
      <c r="AU211" s="16" t="s">
        <v>90</v>
      </c>
      <c r="AV211" s="16">
        <v>1.5</v>
      </c>
      <c r="AW211" s="16" t="s">
        <v>115</v>
      </c>
      <c r="AX211" s="16" t="s">
        <v>116</v>
      </c>
      <c r="AY211" s="16" t="s">
        <v>117</v>
      </c>
      <c r="AZ211" s="16" t="s">
        <v>118</v>
      </c>
      <c r="BA211" s="16" t="s">
        <v>119</v>
      </c>
      <c r="BB211" s="16">
        <v>0</v>
      </c>
      <c r="BC211" s="16" t="s">
        <v>84</v>
      </c>
      <c r="BD211" s="16" t="s">
        <v>90</v>
      </c>
      <c r="BE211" s="16" t="s">
        <v>2674</v>
      </c>
      <c r="BF211" s="16" t="s">
        <v>2675</v>
      </c>
      <c r="BG211" s="16" t="s">
        <v>2676</v>
      </c>
      <c r="BH211" s="16" t="s">
        <v>2677</v>
      </c>
      <c r="BI211" s="16" t="s">
        <v>2678</v>
      </c>
      <c r="BJ211" s="16">
        <v>259</v>
      </c>
      <c r="BK211" s="16">
        <v>259</v>
      </c>
      <c r="BL211" s="16">
        <v>259</v>
      </c>
      <c r="BM211" s="16" t="s">
        <v>96</v>
      </c>
      <c r="BN211" s="16">
        <v>1</v>
      </c>
      <c r="BO211" s="16" t="s">
        <v>84</v>
      </c>
      <c r="BP211" s="16" t="s">
        <v>84</v>
      </c>
      <c r="BQ211" s="16" t="s">
        <v>84</v>
      </c>
      <c r="BR211" s="16" t="s">
        <v>97</v>
      </c>
      <c r="BS211" s="16" t="s">
        <v>98</v>
      </c>
      <c r="BT211" s="16">
        <v>0</v>
      </c>
    </row>
    <row r="212" s="1" customFormat="1" ht="16" customHeight="1" spans="1:72">
      <c r="A212" s="14">
        <f t="shared" si="39"/>
        <v>2025</v>
      </c>
      <c r="B212" s="14">
        <f t="shared" si="40"/>
        <v>8</v>
      </c>
      <c r="C212" s="14" t="str">
        <f t="shared" si="41"/>
        <v>3729852161051992576</v>
      </c>
      <c r="D212" s="14" cm="1">
        <f t="array" ref="D212">SUMPRODUCT(($R$2:$R$374=C212)*1)</f>
        <v>1</v>
      </c>
      <c r="E212" s="14" cm="1">
        <f t="array" ref="E212">SUMPRODUCT(($R$2:R212=C212)*1)</f>
        <v>1</v>
      </c>
      <c r="F212" s="15" t="str">
        <f t="shared" si="42"/>
        <v>Z2006-黑色-L</v>
      </c>
      <c r="G212" s="14" t="str">
        <f t="shared" si="43"/>
        <v>Z2006</v>
      </c>
      <c r="H212" s="15">
        <f t="shared" si="44"/>
        <v>1</v>
      </c>
      <c r="I212" s="14">
        <f t="shared" si="45"/>
        <v>139</v>
      </c>
      <c r="J212" s="15">
        <f t="shared" si="46"/>
        <v>0</v>
      </c>
      <c r="K212" s="15">
        <f t="shared" si="47"/>
        <v>0</v>
      </c>
      <c r="L212" s="15">
        <f t="shared" si="48"/>
        <v>-1.39</v>
      </c>
      <c r="M212" s="15">
        <f t="shared" si="49"/>
        <v>0</v>
      </c>
      <c r="N212" s="15">
        <f t="shared" si="50"/>
        <v>-1.5</v>
      </c>
      <c r="O212" s="15">
        <f t="shared" si="51"/>
        <v>136.11</v>
      </c>
      <c r="R212" s="16" t="s">
        <v>2679</v>
      </c>
      <c r="S212" s="16" t="s">
        <v>2680</v>
      </c>
      <c r="T212" s="16" t="s">
        <v>2681</v>
      </c>
      <c r="U212" s="16" t="s">
        <v>2682</v>
      </c>
      <c r="V212" s="16" t="s">
        <v>2683</v>
      </c>
      <c r="W212" s="16" t="s">
        <v>76</v>
      </c>
      <c r="X212" s="16" t="s">
        <v>77</v>
      </c>
      <c r="Y212" s="16" t="s">
        <v>2226</v>
      </c>
      <c r="Z212" s="16" t="s">
        <v>2227</v>
      </c>
      <c r="AA212" s="16" t="s">
        <v>482</v>
      </c>
      <c r="AB212" s="16" t="s">
        <v>2228</v>
      </c>
      <c r="AC212" s="16" t="s">
        <v>2229</v>
      </c>
      <c r="AD212" s="16" t="s">
        <v>2230</v>
      </c>
      <c r="AE212" s="16" t="s">
        <v>84</v>
      </c>
      <c r="AF212" s="16" t="s">
        <v>84</v>
      </c>
      <c r="AG212" s="16">
        <v>139</v>
      </c>
      <c r="AH212" s="16">
        <v>139</v>
      </c>
      <c r="AI212" s="17">
        <v>139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 t="s">
        <v>137</v>
      </c>
      <c r="AP212" s="16" t="s">
        <v>2684</v>
      </c>
      <c r="AQ212" s="16" t="s">
        <v>2685</v>
      </c>
      <c r="AR212" s="16" t="s">
        <v>88</v>
      </c>
      <c r="AS212" s="16" t="s">
        <v>2686</v>
      </c>
      <c r="AT212" s="16">
        <v>1.39</v>
      </c>
      <c r="AU212" s="16" t="s">
        <v>90</v>
      </c>
      <c r="AV212" s="16">
        <v>1.5</v>
      </c>
      <c r="AW212" s="16" t="s">
        <v>90</v>
      </c>
      <c r="AX212" s="16" t="s">
        <v>90</v>
      </c>
      <c r="AY212" s="16" t="s">
        <v>90</v>
      </c>
      <c r="AZ212" s="16" t="s">
        <v>90</v>
      </c>
      <c r="BA212" s="16" t="s">
        <v>90</v>
      </c>
      <c r="BB212" s="16">
        <v>0</v>
      </c>
      <c r="BC212" s="16"/>
      <c r="BD212" s="16" t="s">
        <v>90</v>
      </c>
      <c r="BE212" s="16" t="s">
        <v>769</v>
      </c>
      <c r="BF212" s="16" t="s">
        <v>770</v>
      </c>
      <c r="BG212" s="16" t="s">
        <v>771</v>
      </c>
      <c r="BH212" s="16" t="s">
        <v>772</v>
      </c>
      <c r="BI212" s="16" t="s">
        <v>324</v>
      </c>
      <c r="BJ212" s="16">
        <v>139</v>
      </c>
      <c r="BK212" s="16">
        <v>139</v>
      </c>
      <c r="BL212" s="16">
        <v>139</v>
      </c>
      <c r="BM212" s="16" t="s">
        <v>96</v>
      </c>
      <c r="BN212" s="16">
        <v>1</v>
      </c>
      <c r="BO212" s="16" t="s">
        <v>84</v>
      </c>
      <c r="BP212" s="16" t="s">
        <v>84</v>
      </c>
      <c r="BQ212" s="16" t="s">
        <v>84</v>
      </c>
      <c r="BR212" s="16" t="s">
        <v>97</v>
      </c>
      <c r="BS212" s="16" t="s">
        <v>98</v>
      </c>
      <c r="BT212" s="16">
        <v>0</v>
      </c>
    </row>
    <row r="213" s="1" customFormat="1" ht="16" customHeight="1" spans="1:72">
      <c r="A213" s="14">
        <f t="shared" si="39"/>
        <v>2025</v>
      </c>
      <c r="B213" s="14">
        <f t="shared" si="40"/>
        <v>8</v>
      </c>
      <c r="C213" s="14" t="str">
        <f t="shared" si="41"/>
        <v>3729851868183409408</v>
      </c>
      <c r="D213" s="14" cm="1">
        <f t="array" ref="D213">SUMPRODUCT(($R$2:$R$374=C213)*1)</f>
        <v>1</v>
      </c>
      <c r="E213" s="14" cm="1">
        <f t="array" ref="E213">SUMPRODUCT(($R$2:R213=C213)*1)</f>
        <v>1</v>
      </c>
      <c r="F213" s="15" t="str">
        <f t="shared" si="42"/>
        <v>P110-项链</v>
      </c>
      <c r="G213" s="14" t="str">
        <f t="shared" si="43"/>
        <v>P110</v>
      </c>
      <c r="H213" s="15">
        <f t="shared" si="44"/>
        <v>1</v>
      </c>
      <c r="I213" s="14">
        <f t="shared" si="45"/>
        <v>289</v>
      </c>
      <c r="J213" s="15">
        <f t="shared" si="46"/>
        <v>0</v>
      </c>
      <c r="K213" s="15">
        <f t="shared" si="47"/>
        <v>0</v>
      </c>
      <c r="L213" s="15">
        <f t="shared" si="48"/>
        <v>-2.89</v>
      </c>
      <c r="M213" s="15">
        <f t="shared" si="49"/>
        <v>0</v>
      </c>
      <c r="N213" s="15">
        <f t="shared" si="50"/>
        <v>-1.98</v>
      </c>
      <c r="O213" s="15">
        <f t="shared" si="51"/>
        <v>284.13</v>
      </c>
      <c r="R213" s="16" t="s">
        <v>2687</v>
      </c>
      <c r="S213" s="16" t="s">
        <v>2688</v>
      </c>
      <c r="T213" s="16" t="s">
        <v>2689</v>
      </c>
      <c r="U213" s="16" t="s">
        <v>2690</v>
      </c>
      <c r="V213" s="16" t="s">
        <v>2691</v>
      </c>
      <c r="W213" s="16" t="s">
        <v>76</v>
      </c>
      <c r="X213" s="16" t="s">
        <v>77</v>
      </c>
      <c r="Y213" s="16" t="s">
        <v>510</v>
      </c>
      <c r="Z213" s="16" t="s">
        <v>2692</v>
      </c>
      <c r="AA213" s="16" t="s">
        <v>280</v>
      </c>
      <c r="AB213" s="16" t="s">
        <v>2693</v>
      </c>
      <c r="AC213" s="16" t="s">
        <v>2694</v>
      </c>
      <c r="AD213" s="16" t="s">
        <v>2695</v>
      </c>
      <c r="AE213" s="16" t="s">
        <v>84</v>
      </c>
      <c r="AF213" s="16" t="s">
        <v>84</v>
      </c>
      <c r="AG213" s="16">
        <v>289</v>
      </c>
      <c r="AH213" s="16">
        <v>289</v>
      </c>
      <c r="AI213" s="17">
        <v>289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 t="s">
        <v>85</v>
      </c>
      <c r="AP213" s="16" t="s">
        <v>2696</v>
      </c>
      <c r="AQ213" s="16" t="s">
        <v>2697</v>
      </c>
      <c r="AR213" s="16" t="s">
        <v>88</v>
      </c>
      <c r="AS213" s="16" t="s">
        <v>2698</v>
      </c>
      <c r="AT213" s="16">
        <v>2.89</v>
      </c>
      <c r="AU213" s="16" t="s">
        <v>90</v>
      </c>
      <c r="AV213" s="16">
        <v>1.98</v>
      </c>
      <c r="AW213" s="16" t="s">
        <v>90</v>
      </c>
      <c r="AX213" s="16" t="s">
        <v>90</v>
      </c>
      <c r="AY213" s="16" t="s">
        <v>90</v>
      </c>
      <c r="AZ213" s="16" t="s">
        <v>90</v>
      </c>
      <c r="BA213" s="16" t="s">
        <v>90</v>
      </c>
      <c r="BB213" s="16">
        <v>0</v>
      </c>
      <c r="BC213" s="16"/>
      <c r="BD213" s="16" t="s">
        <v>90</v>
      </c>
      <c r="BE213" s="16" t="s">
        <v>2699</v>
      </c>
      <c r="BF213" s="16" t="s">
        <v>2700</v>
      </c>
      <c r="BG213" s="16" t="s">
        <v>2701</v>
      </c>
      <c r="BH213" s="16" t="s">
        <v>2702</v>
      </c>
      <c r="BI213" s="16" t="s">
        <v>2703</v>
      </c>
      <c r="BJ213" s="16">
        <v>289</v>
      </c>
      <c r="BK213" s="16">
        <v>289</v>
      </c>
      <c r="BL213" s="16">
        <v>289</v>
      </c>
      <c r="BM213" s="16" t="s">
        <v>96</v>
      </c>
      <c r="BN213" s="16">
        <v>1</v>
      </c>
      <c r="BO213" s="16" t="s">
        <v>84</v>
      </c>
      <c r="BP213" s="16" t="s">
        <v>84</v>
      </c>
      <c r="BQ213" s="16" t="s">
        <v>84</v>
      </c>
      <c r="BR213" s="16" t="s">
        <v>97</v>
      </c>
      <c r="BS213" s="16" t="s">
        <v>98</v>
      </c>
      <c r="BT213" s="16">
        <v>0</v>
      </c>
    </row>
    <row r="214" s="1" customFormat="1" ht="16" customHeight="1" spans="1:72">
      <c r="A214" s="14">
        <f t="shared" si="39"/>
        <v>2025</v>
      </c>
      <c r="B214" s="14">
        <f t="shared" si="40"/>
        <v>8</v>
      </c>
      <c r="C214" s="14" t="str">
        <f t="shared" si="41"/>
        <v>3729848322072125184</v>
      </c>
      <c r="D214" s="14" cm="1">
        <f t="array" ref="D214">SUMPRODUCT(($R$2:$R$374=C214)*1)</f>
        <v>1</v>
      </c>
      <c r="E214" s="14" cm="1">
        <f t="array" ref="E214">SUMPRODUCT(($R$2:R214=C214)*1)</f>
        <v>1</v>
      </c>
      <c r="F214" s="15" t="str">
        <f t="shared" si="42"/>
        <v>Z2144-黑色-L</v>
      </c>
      <c r="G214" s="14" t="str">
        <f t="shared" si="43"/>
        <v>Z2144</v>
      </c>
      <c r="H214" s="15">
        <f t="shared" si="44"/>
        <v>1</v>
      </c>
      <c r="I214" s="14">
        <f t="shared" si="45"/>
        <v>289</v>
      </c>
      <c r="J214" s="15">
        <f t="shared" si="46"/>
        <v>0</v>
      </c>
      <c r="K214" s="15">
        <f t="shared" si="47"/>
        <v>0</v>
      </c>
      <c r="L214" s="15">
        <f t="shared" si="48"/>
        <v>-14.45</v>
      </c>
      <c r="M214" s="15">
        <f t="shared" si="49"/>
        <v>0</v>
      </c>
      <c r="N214" s="15">
        <f t="shared" si="50"/>
        <v>-1.5</v>
      </c>
      <c r="O214" s="15">
        <f t="shared" si="51"/>
        <v>273.05</v>
      </c>
      <c r="R214" s="16" t="s">
        <v>2704</v>
      </c>
      <c r="S214" s="16" t="s">
        <v>2705</v>
      </c>
      <c r="T214" s="16" t="s">
        <v>2706</v>
      </c>
      <c r="U214" s="16" t="s">
        <v>2707</v>
      </c>
      <c r="V214" s="16" t="s">
        <v>2708</v>
      </c>
      <c r="W214" s="16" t="s">
        <v>76</v>
      </c>
      <c r="X214" s="16" t="s">
        <v>77</v>
      </c>
      <c r="Y214" s="16" t="s">
        <v>2709</v>
      </c>
      <c r="Z214" s="16" t="s">
        <v>2710</v>
      </c>
      <c r="AA214" s="16" t="s">
        <v>243</v>
      </c>
      <c r="AB214" s="16" t="s">
        <v>2711</v>
      </c>
      <c r="AC214" s="16" t="s">
        <v>2712</v>
      </c>
      <c r="AD214" s="16" t="s">
        <v>2713</v>
      </c>
      <c r="AE214" s="16" t="s">
        <v>84</v>
      </c>
      <c r="AF214" s="16" t="s">
        <v>84</v>
      </c>
      <c r="AG214" s="16">
        <v>289</v>
      </c>
      <c r="AH214" s="16">
        <v>289</v>
      </c>
      <c r="AI214" s="17">
        <v>289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 t="s">
        <v>85</v>
      </c>
      <c r="AP214" s="16" t="s">
        <v>2714</v>
      </c>
      <c r="AQ214" s="16" t="s">
        <v>2715</v>
      </c>
      <c r="AR214" s="16" t="s">
        <v>88</v>
      </c>
      <c r="AS214" s="16" t="s">
        <v>2716</v>
      </c>
      <c r="AT214" s="16">
        <v>14.45</v>
      </c>
      <c r="AU214" s="16" t="s">
        <v>90</v>
      </c>
      <c r="AV214" s="16">
        <v>1.5</v>
      </c>
      <c r="AW214" s="16" t="s">
        <v>115</v>
      </c>
      <c r="AX214" s="16" t="s">
        <v>116</v>
      </c>
      <c r="AY214" s="16" t="s">
        <v>117</v>
      </c>
      <c r="AZ214" s="16" t="s">
        <v>118</v>
      </c>
      <c r="BA214" s="16" t="s">
        <v>119</v>
      </c>
      <c r="BB214" s="16">
        <v>0</v>
      </c>
      <c r="BC214" s="16" t="s">
        <v>84</v>
      </c>
      <c r="BD214" s="16" t="s">
        <v>90</v>
      </c>
      <c r="BE214" s="16" t="s">
        <v>2717</v>
      </c>
      <c r="BF214" s="16" t="s">
        <v>2718</v>
      </c>
      <c r="BG214" s="16" t="s">
        <v>2719</v>
      </c>
      <c r="BH214" s="16" t="s">
        <v>2720</v>
      </c>
      <c r="BI214" s="16" t="s">
        <v>324</v>
      </c>
      <c r="BJ214" s="16">
        <v>289</v>
      </c>
      <c r="BK214" s="16">
        <v>289</v>
      </c>
      <c r="BL214" s="16">
        <v>289</v>
      </c>
      <c r="BM214" s="16" t="s">
        <v>96</v>
      </c>
      <c r="BN214" s="16">
        <v>1</v>
      </c>
      <c r="BO214" s="16" t="s">
        <v>84</v>
      </c>
      <c r="BP214" s="16" t="s">
        <v>84</v>
      </c>
      <c r="BQ214" s="16" t="s">
        <v>84</v>
      </c>
      <c r="BR214" s="16" t="s">
        <v>97</v>
      </c>
      <c r="BS214" s="16" t="s">
        <v>98</v>
      </c>
      <c r="BT214" s="16">
        <v>0</v>
      </c>
    </row>
    <row r="215" s="1" customFormat="1" ht="16" customHeight="1" spans="1:72">
      <c r="A215" s="14">
        <f t="shared" si="39"/>
        <v>2025</v>
      </c>
      <c r="B215" s="14">
        <f t="shared" si="40"/>
        <v>8</v>
      </c>
      <c r="C215" s="14" t="str">
        <f t="shared" si="41"/>
        <v>3729836993088463104</v>
      </c>
      <c r="D215" s="14" cm="1">
        <f t="array" ref="D215">SUMPRODUCT(($R$2:$R$374=C215)*1)</f>
        <v>1</v>
      </c>
      <c r="E215" s="14" cm="1">
        <f t="array" ref="E215">SUMPRODUCT(($R$2:R215=C215)*1)</f>
        <v>1</v>
      </c>
      <c r="F215" s="15" t="str">
        <f t="shared" si="42"/>
        <v>Z2207-杏色-S</v>
      </c>
      <c r="G215" s="14" t="str">
        <f t="shared" si="43"/>
        <v>Z2207</v>
      </c>
      <c r="H215" s="15">
        <f t="shared" si="44"/>
        <v>0</v>
      </c>
      <c r="I215" s="14">
        <f t="shared" si="45"/>
        <v>0</v>
      </c>
      <c r="J215" s="15">
        <f t="shared" si="46"/>
        <v>0</v>
      </c>
      <c r="K215" s="15">
        <f t="shared" si="47"/>
        <v>10</v>
      </c>
      <c r="L215" s="15">
        <f t="shared" si="48"/>
        <v>0</v>
      </c>
      <c r="M215" s="15">
        <f t="shared" si="49"/>
        <v>0</v>
      </c>
      <c r="N215" s="15">
        <f t="shared" si="50"/>
        <v>0</v>
      </c>
      <c r="O215" s="15">
        <f t="shared" si="51"/>
        <v>10</v>
      </c>
      <c r="R215" s="16" t="s">
        <v>2721</v>
      </c>
      <c r="S215" s="16" t="s">
        <v>2722</v>
      </c>
      <c r="T215" s="16" t="s">
        <v>2723</v>
      </c>
      <c r="U215" s="16" t="s">
        <v>90</v>
      </c>
      <c r="V215" s="16" t="s">
        <v>2724</v>
      </c>
      <c r="W215" s="16" t="s">
        <v>104</v>
      </c>
      <c r="X215" s="16" t="s">
        <v>77</v>
      </c>
      <c r="Y215" s="16" t="s">
        <v>205</v>
      </c>
      <c r="Z215" s="16" t="s">
        <v>206</v>
      </c>
      <c r="AA215" s="16" t="s">
        <v>207</v>
      </c>
      <c r="AB215" s="16" t="s">
        <v>208</v>
      </c>
      <c r="AC215" s="16" t="s">
        <v>209</v>
      </c>
      <c r="AD215" s="16" t="s">
        <v>210</v>
      </c>
      <c r="AE215" s="16" t="s">
        <v>84</v>
      </c>
      <c r="AF215" s="16" t="s">
        <v>2725</v>
      </c>
      <c r="AG215" s="16">
        <v>199</v>
      </c>
      <c r="AH215" s="16">
        <v>209</v>
      </c>
      <c r="AI215" s="17">
        <v>209</v>
      </c>
      <c r="AJ215" s="16">
        <v>10</v>
      </c>
      <c r="AK215" s="16">
        <v>0</v>
      </c>
      <c r="AL215" s="16">
        <v>0</v>
      </c>
      <c r="AM215" s="16">
        <v>0</v>
      </c>
      <c r="AN215" s="16">
        <v>0</v>
      </c>
      <c r="AO215" s="16" t="s">
        <v>85</v>
      </c>
      <c r="AP215" s="16" t="s">
        <v>2726</v>
      </c>
      <c r="AQ215" s="16" t="s">
        <v>2727</v>
      </c>
      <c r="AR215" s="16" t="s">
        <v>88</v>
      </c>
      <c r="AS215" s="16" t="s">
        <v>2728</v>
      </c>
      <c r="AT215" s="16">
        <v>0</v>
      </c>
      <c r="AU215" s="16" t="s">
        <v>90</v>
      </c>
      <c r="AV215" s="16">
        <v>1.5</v>
      </c>
      <c r="AW215" s="16" t="s">
        <v>90</v>
      </c>
      <c r="AX215" s="16" t="s">
        <v>90</v>
      </c>
      <c r="AY215" s="16" t="s">
        <v>90</v>
      </c>
      <c r="AZ215" s="16" t="s">
        <v>90</v>
      </c>
      <c r="BA215" s="16" t="s">
        <v>90</v>
      </c>
      <c r="BB215" s="16">
        <v>0</v>
      </c>
      <c r="BC215" s="16"/>
      <c r="BD215" s="16" t="s">
        <v>90</v>
      </c>
      <c r="BE215" s="16" t="s">
        <v>2729</v>
      </c>
      <c r="BF215" s="16" t="s">
        <v>2730</v>
      </c>
      <c r="BG215" s="16" t="s">
        <v>2731</v>
      </c>
      <c r="BH215" s="16" t="s">
        <v>2732</v>
      </c>
      <c r="BI215" s="16" t="s">
        <v>1977</v>
      </c>
      <c r="BJ215" s="16">
        <v>199</v>
      </c>
      <c r="BK215" s="16">
        <v>199</v>
      </c>
      <c r="BL215" s="16">
        <v>199</v>
      </c>
      <c r="BM215" s="16" t="s">
        <v>96</v>
      </c>
      <c r="BN215" s="16">
        <v>1</v>
      </c>
      <c r="BO215" s="16" t="s">
        <v>84</v>
      </c>
      <c r="BP215" s="16" t="s">
        <v>84</v>
      </c>
      <c r="BQ215" s="16" t="s">
        <v>84</v>
      </c>
      <c r="BR215" s="16" t="s">
        <v>97</v>
      </c>
      <c r="BS215" s="16" t="s">
        <v>125</v>
      </c>
      <c r="BT215" s="16">
        <v>199</v>
      </c>
    </row>
    <row r="216" s="1" customFormat="1" ht="16" customHeight="1" spans="1:72">
      <c r="A216" s="14">
        <f t="shared" si="39"/>
        <v>2025</v>
      </c>
      <c r="B216" s="14">
        <f t="shared" si="40"/>
        <v>8</v>
      </c>
      <c r="C216" s="14" t="str">
        <f t="shared" si="41"/>
        <v>3729836454006371072</v>
      </c>
      <c r="D216" s="14" cm="1">
        <f t="array" ref="D216">SUMPRODUCT(($R$2:$R$374=C216)*1)</f>
        <v>1</v>
      </c>
      <c r="E216" s="14" cm="1">
        <f t="array" ref="E216">SUMPRODUCT(($R$2:R216=C216)*1)</f>
        <v>1</v>
      </c>
      <c r="F216" s="15" t="str">
        <f t="shared" si="42"/>
        <v>Z2291-紫色-L</v>
      </c>
      <c r="G216" s="14" t="str">
        <f t="shared" si="43"/>
        <v>Z2291</v>
      </c>
      <c r="H216" s="15">
        <f t="shared" si="44"/>
        <v>1</v>
      </c>
      <c r="I216" s="14">
        <f t="shared" si="45"/>
        <v>189</v>
      </c>
      <c r="J216" s="15">
        <f t="shared" si="46"/>
        <v>0</v>
      </c>
      <c r="K216" s="15">
        <f t="shared" si="47"/>
        <v>0</v>
      </c>
      <c r="L216" s="15">
        <f t="shared" si="48"/>
        <v>-1.89</v>
      </c>
      <c r="M216" s="15">
        <f t="shared" si="49"/>
        <v>0</v>
      </c>
      <c r="N216" s="15">
        <f t="shared" si="50"/>
        <v>-1.5</v>
      </c>
      <c r="O216" s="15">
        <f t="shared" si="51"/>
        <v>185.61</v>
      </c>
      <c r="R216" s="16" t="s">
        <v>2733</v>
      </c>
      <c r="S216" s="16" t="s">
        <v>2734</v>
      </c>
      <c r="T216" s="16" t="s">
        <v>2735</v>
      </c>
      <c r="U216" s="16" t="s">
        <v>2736</v>
      </c>
      <c r="V216" s="16" t="s">
        <v>2737</v>
      </c>
      <c r="W216" s="16" t="s">
        <v>76</v>
      </c>
      <c r="X216" s="16" t="s">
        <v>77</v>
      </c>
      <c r="Y216" s="16" t="s">
        <v>330</v>
      </c>
      <c r="Z216" s="16" t="s">
        <v>2738</v>
      </c>
      <c r="AA216" s="16" t="s">
        <v>820</v>
      </c>
      <c r="AB216" s="16" t="s">
        <v>2739</v>
      </c>
      <c r="AC216" s="16" t="s">
        <v>2164</v>
      </c>
      <c r="AD216" s="16" t="s">
        <v>2740</v>
      </c>
      <c r="AE216" s="16" t="s">
        <v>84</v>
      </c>
      <c r="AF216" s="16" t="s">
        <v>84</v>
      </c>
      <c r="AG216" s="16">
        <v>189</v>
      </c>
      <c r="AH216" s="16">
        <v>189</v>
      </c>
      <c r="AI216" s="17">
        <v>189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 t="s">
        <v>137</v>
      </c>
      <c r="AP216" s="16" t="s">
        <v>2741</v>
      </c>
      <c r="AQ216" s="16" t="s">
        <v>2742</v>
      </c>
      <c r="AR216" s="16" t="s">
        <v>88</v>
      </c>
      <c r="AS216" s="16" t="s">
        <v>2743</v>
      </c>
      <c r="AT216" s="16">
        <v>1.89</v>
      </c>
      <c r="AU216" s="16" t="s">
        <v>90</v>
      </c>
      <c r="AV216" s="16">
        <v>1.5</v>
      </c>
      <c r="AW216" s="16" t="s">
        <v>90</v>
      </c>
      <c r="AX216" s="16" t="s">
        <v>90</v>
      </c>
      <c r="AY216" s="16" t="s">
        <v>90</v>
      </c>
      <c r="AZ216" s="16" t="s">
        <v>90</v>
      </c>
      <c r="BA216" s="16" t="s">
        <v>90</v>
      </c>
      <c r="BB216" s="16">
        <v>0</v>
      </c>
      <c r="BC216" s="16"/>
      <c r="BD216" s="16" t="s">
        <v>90</v>
      </c>
      <c r="BE216" s="16" t="s">
        <v>2744</v>
      </c>
      <c r="BF216" s="16" t="s">
        <v>2745</v>
      </c>
      <c r="BG216" s="16" t="s">
        <v>2746</v>
      </c>
      <c r="BH216" s="16" t="s">
        <v>2747</v>
      </c>
      <c r="BI216" s="16" t="s">
        <v>2748</v>
      </c>
      <c r="BJ216" s="16">
        <v>189</v>
      </c>
      <c r="BK216" s="16">
        <v>189</v>
      </c>
      <c r="BL216" s="16">
        <v>189</v>
      </c>
      <c r="BM216" s="16" t="s">
        <v>96</v>
      </c>
      <c r="BN216" s="16">
        <v>1</v>
      </c>
      <c r="BO216" s="16" t="s">
        <v>84</v>
      </c>
      <c r="BP216" s="16" t="s">
        <v>84</v>
      </c>
      <c r="BQ216" s="16" t="s">
        <v>84</v>
      </c>
      <c r="BR216" s="16" t="s">
        <v>97</v>
      </c>
      <c r="BS216" s="16" t="s">
        <v>98</v>
      </c>
      <c r="BT216" s="16">
        <v>0</v>
      </c>
    </row>
    <row r="217" s="1" customFormat="1" ht="16" customHeight="1" spans="1:72">
      <c r="A217" s="14">
        <f t="shared" si="39"/>
        <v>2025</v>
      </c>
      <c r="B217" s="14">
        <f t="shared" si="40"/>
        <v>8</v>
      </c>
      <c r="C217" s="14" t="str">
        <f t="shared" si="41"/>
        <v>3729833497799570688</v>
      </c>
      <c r="D217" s="14" cm="1">
        <f t="array" ref="D217">SUMPRODUCT(($R$2:$R$374=C217)*1)</f>
        <v>1</v>
      </c>
      <c r="E217" s="14" cm="1">
        <f t="array" ref="E217">SUMPRODUCT(($R$2:R217=C217)*1)</f>
        <v>1</v>
      </c>
      <c r="F217" s="15" t="str">
        <f t="shared" si="42"/>
        <v>Z1954-灰色-M</v>
      </c>
      <c r="G217" s="14" t="str">
        <f t="shared" si="43"/>
        <v>Z1954</v>
      </c>
      <c r="H217" s="15">
        <f t="shared" si="44"/>
        <v>1</v>
      </c>
      <c r="I217" s="14">
        <f t="shared" si="45"/>
        <v>149</v>
      </c>
      <c r="J217" s="15">
        <f t="shared" si="46"/>
        <v>0</v>
      </c>
      <c r="K217" s="15">
        <f t="shared" si="47"/>
        <v>0</v>
      </c>
      <c r="L217" s="15">
        <f t="shared" si="48"/>
        <v>-7.45</v>
      </c>
      <c r="M217" s="15">
        <f t="shared" si="49"/>
        <v>0</v>
      </c>
      <c r="N217" s="15">
        <f t="shared" si="50"/>
        <v>-1.5</v>
      </c>
      <c r="O217" s="15">
        <f t="shared" si="51"/>
        <v>140.05</v>
      </c>
      <c r="R217" s="16" t="s">
        <v>2749</v>
      </c>
      <c r="S217" s="16" t="s">
        <v>2750</v>
      </c>
      <c r="T217" s="16" t="s">
        <v>2751</v>
      </c>
      <c r="U217" s="16" t="s">
        <v>2752</v>
      </c>
      <c r="V217" s="16" t="s">
        <v>2753</v>
      </c>
      <c r="W217" s="16" t="s">
        <v>76</v>
      </c>
      <c r="X217" s="16" t="s">
        <v>77</v>
      </c>
      <c r="Y217" s="16" t="s">
        <v>241</v>
      </c>
      <c r="Z217" s="16" t="s">
        <v>2754</v>
      </c>
      <c r="AA217" s="16" t="s">
        <v>369</v>
      </c>
      <c r="AB217" s="16" t="s">
        <v>2755</v>
      </c>
      <c r="AC217" s="16" t="s">
        <v>2756</v>
      </c>
      <c r="AD217" s="16" t="s">
        <v>2757</v>
      </c>
      <c r="AE217" s="16" t="s">
        <v>84</v>
      </c>
      <c r="AF217" s="16" t="s">
        <v>84</v>
      </c>
      <c r="AG217" s="16">
        <v>149</v>
      </c>
      <c r="AH217" s="16">
        <v>149</v>
      </c>
      <c r="AI217" s="17">
        <v>149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 t="s">
        <v>85</v>
      </c>
      <c r="AP217" s="16" t="s">
        <v>2758</v>
      </c>
      <c r="AQ217" s="16" t="s">
        <v>2759</v>
      </c>
      <c r="AR217" s="16" t="s">
        <v>88</v>
      </c>
      <c r="AS217" s="16" t="s">
        <v>2760</v>
      </c>
      <c r="AT217" s="16">
        <v>7.45</v>
      </c>
      <c r="AU217" s="16" t="s">
        <v>90</v>
      </c>
      <c r="AV217" s="16">
        <v>1.5</v>
      </c>
      <c r="AW217" s="16" t="s">
        <v>115</v>
      </c>
      <c r="AX217" s="16" t="s">
        <v>116</v>
      </c>
      <c r="AY217" s="16" t="s">
        <v>117</v>
      </c>
      <c r="AZ217" s="16" t="s">
        <v>118</v>
      </c>
      <c r="BA217" s="16" t="s">
        <v>119</v>
      </c>
      <c r="BB217" s="16">
        <v>0</v>
      </c>
      <c r="BC217" s="16" t="s">
        <v>84</v>
      </c>
      <c r="BD217" s="16" t="s">
        <v>90</v>
      </c>
      <c r="BE217" s="16" t="s">
        <v>2761</v>
      </c>
      <c r="BF217" s="16" t="s">
        <v>2762</v>
      </c>
      <c r="BG217" s="16" t="s">
        <v>2763</v>
      </c>
      <c r="BH217" s="16" t="s">
        <v>2764</v>
      </c>
      <c r="BI217" s="16" t="s">
        <v>2765</v>
      </c>
      <c r="BJ217" s="16">
        <v>149</v>
      </c>
      <c r="BK217" s="16">
        <v>149</v>
      </c>
      <c r="BL217" s="16">
        <v>149</v>
      </c>
      <c r="BM217" s="16" t="s">
        <v>96</v>
      </c>
      <c r="BN217" s="16">
        <v>1</v>
      </c>
      <c r="BO217" s="16" t="s">
        <v>84</v>
      </c>
      <c r="BP217" s="16" t="s">
        <v>84</v>
      </c>
      <c r="BQ217" s="16" t="s">
        <v>84</v>
      </c>
      <c r="BR217" s="16" t="s">
        <v>97</v>
      </c>
      <c r="BS217" s="16" t="s">
        <v>98</v>
      </c>
      <c r="BT217" s="16">
        <v>0</v>
      </c>
    </row>
    <row r="218" s="1" customFormat="1" ht="16" customHeight="1" spans="1:72">
      <c r="A218" s="14">
        <f t="shared" si="39"/>
        <v>2025</v>
      </c>
      <c r="B218" s="14">
        <f t="shared" si="40"/>
        <v>8</v>
      </c>
      <c r="C218" s="14" t="str">
        <f t="shared" si="41"/>
        <v>3729828597500615168</v>
      </c>
      <c r="D218" s="14" cm="1">
        <f t="array" ref="D218">SUMPRODUCT(($R$2:$R$374=C218)*1)</f>
        <v>1</v>
      </c>
      <c r="E218" s="14" cm="1">
        <f t="array" ref="E218">SUMPRODUCT(($R$2:R218=C218)*1)</f>
        <v>1</v>
      </c>
      <c r="F218" s="15" t="str">
        <f t="shared" si="42"/>
        <v>Z507-黑色-L</v>
      </c>
      <c r="G218" s="14" t="str">
        <f t="shared" si="43"/>
        <v>Z507</v>
      </c>
      <c r="H218" s="15">
        <f t="shared" si="44"/>
        <v>1</v>
      </c>
      <c r="I218" s="14">
        <f t="shared" si="45"/>
        <v>89.9</v>
      </c>
      <c r="J218" s="15">
        <f t="shared" si="46"/>
        <v>0</v>
      </c>
      <c r="K218" s="15">
        <f t="shared" si="47"/>
        <v>0</v>
      </c>
      <c r="L218" s="15">
        <f t="shared" si="48"/>
        <v>-4.49</v>
      </c>
      <c r="M218" s="15">
        <f t="shared" si="49"/>
        <v>0</v>
      </c>
      <c r="N218" s="15">
        <f t="shared" si="50"/>
        <v>-1.5</v>
      </c>
      <c r="O218" s="15">
        <f t="shared" si="51"/>
        <v>83.91</v>
      </c>
      <c r="R218" s="16" t="s">
        <v>2766</v>
      </c>
      <c r="S218" s="16" t="s">
        <v>2767</v>
      </c>
      <c r="T218" s="16" t="s">
        <v>2768</v>
      </c>
      <c r="U218" s="16" t="s">
        <v>2769</v>
      </c>
      <c r="V218" s="16" t="s">
        <v>2770</v>
      </c>
      <c r="W218" s="16" t="s">
        <v>76</v>
      </c>
      <c r="X218" s="16" t="s">
        <v>77</v>
      </c>
      <c r="Y218" s="16" t="s">
        <v>2771</v>
      </c>
      <c r="Z218" s="16" t="s">
        <v>2772</v>
      </c>
      <c r="AA218" s="16" t="s">
        <v>1365</v>
      </c>
      <c r="AB218" s="16" t="s">
        <v>1366</v>
      </c>
      <c r="AC218" s="16" t="s">
        <v>2773</v>
      </c>
      <c r="AD218" s="16" t="s">
        <v>2774</v>
      </c>
      <c r="AE218" s="16" t="s">
        <v>84</v>
      </c>
      <c r="AF218" s="16" t="s">
        <v>84</v>
      </c>
      <c r="AG218" s="16">
        <v>89.9</v>
      </c>
      <c r="AH218" s="16">
        <v>89.9</v>
      </c>
      <c r="AI218" s="17">
        <v>89.9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 t="s">
        <v>85</v>
      </c>
      <c r="AP218" s="16" t="s">
        <v>2775</v>
      </c>
      <c r="AQ218" s="16" t="s">
        <v>2776</v>
      </c>
      <c r="AR218" s="16" t="s">
        <v>88</v>
      </c>
      <c r="AS218" s="16" t="s">
        <v>2777</v>
      </c>
      <c r="AT218" s="16">
        <v>4.49</v>
      </c>
      <c r="AU218" s="16" t="s">
        <v>90</v>
      </c>
      <c r="AV218" s="16">
        <v>1.5</v>
      </c>
      <c r="AW218" s="16" t="s">
        <v>115</v>
      </c>
      <c r="AX218" s="16" t="s">
        <v>116</v>
      </c>
      <c r="AY218" s="16" t="s">
        <v>117</v>
      </c>
      <c r="AZ218" s="16" t="s">
        <v>118</v>
      </c>
      <c r="BA218" s="16" t="s">
        <v>119</v>
      </c>
      <c r="BB218" s="16">
        <v>0</v>
      </c>
      <c r="BC218" s="16" t="s">
        <v>84</v>
      </c>
      <c r="BD218" s="16" t="s">
        <v>90</v>
      </c>
      <c r="BE218" s="16" t="s">
        <v>320</v>
      </c>
      <c r="BF218" s="16" t="s">
        <v>321</v>
      </c>
      <c r="BG218" s="16" t="s">
        <v>322</v>
      </c>
      <c r="BH218" s="16" t="s">
        <v>323</v>
      </c>
      <c r="BI218" s="16" t="s">
        <v>324</v>
      </c>
      <c r="BJ218" s="16">
        <v>89.9</v>
      </c>
      <c r="BK218" s="16">
        <v>89.9</v>
      </c>
      <c r="BL218" s="16">
        <v>89.9</v>
      </c>
      <c r="BM218" s="16" t="s">
        <v>96</v>
      </c>
      <c r="BN218" s="16">
        <v>1</v>
      </c>
      <c r="BO218" s="16" t="s">
        <v>84</v>
      </c>
      <c r="BP218" s="16" t="s">
        <v>84</v>
      </c>
      <c r="BQ218" s="16" t="s">
        <v>84</v>
      </c>
      <c r="BR218" s="16" t="s">
        <v>97</v>
      </c>
      <c r="BS218" s="16" t="s">
        <v>98</v>
      </c>
      <c r="BT218" s="16">
        <v>0</v>
      </c>
    </row>
    <row r="219" s="1" customFormat="1" ht="16" customHeight="1" spans="1:72">
      <c r="A219" s="14">
        <f t="shared" si="39"/>
        <v>2025</v>
      </c>
      <c r="B219" s="14">
        <f t="shared" si="40"/>
        <v>8</v>
      </c>
      <c r="C219" s="14" t="str">
        <f t="shared" si="41"/>
        <v>3729828159421816320</v>
      </c>
      <c r="D219" s="14" cm="1">
        <f t="array" ref="D219">SUMPRODUCT(($R$2:$R$374=C219)*1)</f>
        <v>1</v>
      </c>
      <c r="E219" s="14" cm="1">
        <f t="array" ref="E219">SUMPRODUCT(($R$2:R219=C219)*1)</f>
        <v>1</v>
      </c>
      <c r="F219" s="15" t="str">
        <f t="shared" si="42"/>
        <v>Z2067-杏色-S</v>
      </c>
      <c r="G219" s="14" t="str">
        <f t="shared" si="43"/>
        <v>Z2067</v>
      </c>
      <c r="H219" s="15">
        <f t="shared" si="44"/>
        <v>1</v>
      </c>
      <c r="I219" s="14">
        <f t="shared" si="45"/>
        <v>219</v>
      </c>
      <c r="J219" s="15">
        <f t="shared" si="46"/>
        <v>0</v>
      </c>
      <c r="K219" s="15">
        <f t="shared" si="47"/>
        <v>0</v>
      </c>
      <c r="L219" s="15">
        <f t="shared" si="48"/>
        <v>-10.95</v>
      </c>
      <c r="M219" s="15">
        <f t="shared" si="49"/>
        <v>0</v>
      </c>
      <c r="N219" s="15">
        <f t="shared" si="50"/>
        <v>-1.5</v>
      </c>
      <c r="O219" s="15">
        <f t="shared" si="51"/>
        <v>206.55</v>
      </c>
      <c r="R219" s="16" t="s">
        <v>2778</v>
      </c>
      <c r="S219" s="16" t="s">
        <v>2779</v>
      </c>
      <c r="T219" s="16" t="s">
        <v>2780</v>
      </c>
      <c r="U219" s="16" t="s">
        <v>2781</v>
      </c>
      <c r="V219" s="16" t="s">
        <v>2782</v>
      </c>
      <c r="W219" s="16" t="s">
        <v>76</v>
      </c>
      <c r="X219" s="16" t="s">
        <v>77</v>
      </c>
      <c r="Y219" s="16" t="s">
        <v>1510</v>
      </c>
      <c r="Z219" s="16" t="s">
        <v>1511</v>
      </c>
      <c r="AA219" s="16" t="s">
        <v>1283</v>
      </c>
      <c r="AB219" s="16" t="s">
        <v>1512</v>
      </c>
      <c r="AC219" s="16" t="s">
        <v>1513</v>
      </c>
      <c r="AD219" s="16" t="s">
        <v>1514</v>
      </c>
      <c r="AE219" s="16" t="s">
        <v>84</v>
      </c>
      <c r="AF219" s="16" t="s">
        <v>84</v>
      </c>
      <c r="AG219" s="16">
        <v>219</v>
      </c>
      <c r="AH219" s="16">
        <v>219</v>
      </c>
      <c r="AI219" s="17">
        <v>219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 t="s">
        <v>85</v>
      </c>
      <c r="AP219" s="16" t="s">
        <v>2783</v>
      </c>
      <c r="AQ219" s="16" t="s">
        <v>2784</v>
      </c>
      <c r="AR219" s="16" t="s">
        <v>88</v>
      </c>
      <c r="AS219" s="16" t="s">
        <v>2785</v>
      </c>
      <c r="AT219" s="16">
        <v>10.95</v>
      </c>
      <c r="AU219" s="16" t="s">
        <v>90</v>
      </c>
      <c r="AV219" s="16">
        <v>1.5</v>
      </c>
      <c r="AW219" s="16" t="s">
        <v>115</v>
      </c>
      <c r="AX219" s="16" t="s">
        <v>116</v>
      </c>
      <c r="AY219" s="16" t="s">
        <v>117</v>
      </c>
      <c r="AZ219" s="16" t="s">
        <v>118</v>
      </c>
      <c r="BA219" s="16" t="s">
        <v>119</v>
      </c>
      <c r="BB219" s="16">
        <v>0</v>
      </c>
      <c r="BC219" s="16" t="s">
        <v>84</v>
      </c>
      <c r="BD219" s="16" t="s">
        <v>90</v>
      </c>
      <c r="BE219" s="16" t="s">
        <v>2786</v>
      </c>
      <c r="BF219" s="16" t="s">
        <v>2787</v>
      </c>
      <c r="BG219" s="16" t="s">
        <v>2788</v>
      </c>
      <c r="BH219" s="16" t="s">
        <v>2789</v>
      </c>
      <c r="BI219" s="16" t="s">
        <v>2790</v>
      </c>
      <c r="BJ219" s="16">
        <v>219</v>
      </c>
      <c r="BK219" s="16">
        <v>219</v>
      </c>
      <c r="BL219" s="16">
        <v>219</v>
      </c>
      <c r="BM219" s="16" t="s">
        <v>96</v>
      </c>
      <c r="BN219" s="16">
        <v>1</v>
      </c>
      <c r="BO219" s="16" t="s">
        <v>84</v>
      </c>
      <c r="BP219" s="16" t="s">
        <v>84</v>
      </c>
      <c r="BQ219" s="16" t="s">
        <v>84</v>
      </c>
      <c r="BR219" s="16" t="s">
        <v>97</v>
      </c>
      <c r="BS219" s="16" t="s">
        <v>98</v>
      </c>
      <c r="BT219" s="16">
        <v>0</v>
      </c>
    </row>
    <row r="220" s="1" customFormat="1" ht="16" customHeight="1" spans="1:72">
      <c r="A220" s="14">
        <f t="shared" si="39"/>
        <v>2025</v>
      </c>
      <c r="B220" s="14">
        <f t="shared" si="40"/>
        <v>8</v>
      </c>
      <c r="C220" s="14" t="str">
        <f t="shared" si="41"/>
        <v>3729825881837941504</v>
      </c>
      <c r="D220" s="14" cm="1">
        <f t="array" ref="D220">SUMPRODUCT(($R$2:$R$374=C220)*1)</f>
        <v>1</v>
      </c>
      <c r="E220" s="14" cm="1">
        <f t="array" ref="E220">SUMPRODUCT(($R$2:R220=C220)*1)</f>
        <v>1</v>
      </c>
      <c r="F220" s="15" t="str">
        <f t="shared" si="42"/>
        <v>Z2183-黑色-L</v>
      </c>
      <c r="G220" s="14" t="str">
        <f t="shared" si="43"/>
        <v>Z2183</v>
      </c>
      <c r="H220" s="15">
        <f t="shared" si="44"/>
        <v>1</v>
      </c>
      <c r="I220" s="14">
        <f t="shared" si="45"/>
        <v>129</v>
      </c>
      <c r="J220" s="15">
        <f t="shared" si="46"/>
        <v>0</v>
      </c>
      <c r="K220" s="15">
        <f t="shared" si="47"/>
        <v>0</v>
      </c>
      <c r="L220" s="15">
        <f t="shared" si="48"/>
        <v>-6.45</v>
      </c>
      <c r="M220" s="15">
        <f t="shared" si="49"/>
        <v>0</v>
      </c>
      <c r="N220" s="15">
        <f t="shared" si="50"/>
        <v>-1.5</v>
      </c>
      <c r="O220" s="15">
        <f t="shared" si="51"/>
        <v>121.05</v>
      </c>
      <c r="R220" s="16" t="s">
        <v>2791</v>
      </c>
      <c r="S220" s="16" t="s">
        <v>2792</v>
      </c>
      <c r="T220" s="16" t="s">
        <v>2793</v>
      </c>
      <c r="U220" s="16" t="s">
        <v>2794</v>
      </c>
      <c r="V220" s="16" t="s">
        <v>2795</v>
      </c>
      <c r="W220" s="16" t="s">
        <v>76</v>
      </c>
      <c r="X220" s="16" t="s">
        <v>77</v>
      </c>
      <c r="Y220" s="16" t="s">
        <v>761</v>
      </c>
      <c r="Z220" s="16" t="s">
        <v>2796</v>
      </c>
      <c r="AA220" s="16" t="s">
        <v>332</v>
      </c>
      <c r="AB220" s="16" t="s">
        <v>2797</v>
      </c>
      <c r="AC220" s="16" t="s">
        <v>2798</v>
      </c>
      <c r="AD220" s="16" t="s">
        <v>2799</v>
      </c>
      <c r="AE220" s="16" t="s">
        <v>84</v>
      </c>
      <c r="AF220" s="16" t="s">
        <v>84</v>
      </c>
      <c r="AG220" s="16">
        <v>129</v>
      </c>
      <c r="AH220" s="16">
        <v>129</v>
      </c>
      <c r="AI220" s="17">
        <v>129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 t="s">
        <v>137</v>
      </c>
      <c r="AP220" s="16" t="s">
        <v>2800</v>
      </c>
      <c r="AQ220" s="16" t="s">
        <v>2801</v>
      </c>
      <c r="AR220" s="16" t="s">
        <v>88</v>
      </c>
      <c r="AS220" s="16" t="s">
        <v>2802</v>
      </c>
      <c r="AT220" s="16">
        <v>6.45</v>
      </c>
      <c r="AU220" s="16" t="s">
        <v>90</v>
      </c>
      <c r="AV220" s="16">
        <v>1.5</v>
      </c>
      <c r="AW220" s="16" t="s">
        <v>115</v>
      </c>
      <c r="AX220" s="16" t="s">
        <v>116</v>
      </c>
      <c r="AY220" s="16" t="s">
        <v>117</v>
      </c>
      <c r="AZ220" s="16" t="s">
        <v>118</v>
      </c>
      <c r="BA220" s="16" t="s">
        <v>119</v>
      </c>
      <c r="BB220" s="16">
        <v>0</v>
      </c>
      <c r="BC220" s="16" t="s">
        <v>84</v>
      </c>
      <c r="BD220" s="16" t="s">
        <v>90</v>
      </c>
      <c r="BE220" s="16" t="s">
        <v>610</v>
      </c>
      <c r="BF220" s="16" t="s">
        <v>611</v>
      </c>
      <c r="BG220" s="16" t="s">
        <v>612</v>
      </c>
      <c r="BH220" s="16" t="s">
        <v>1174</v>
      </c>
      <c r="BI220" s="16" t="s">
        <v>1175</v>
      </c>
      <c r="BJ220" s="16">
        <v>129</v>
      </c>
      <c r="BK220" s="16">
        <v>129</v>
      </c>
      <c r="BL220" s="16">
        <v>129</v>
      </c>
      <c r="BM220" s="16" t="s">
        <v>96</v>
      </c>
      <c r="BN220" s="16">
        <v>1</v>
      </c>
      <c r="BO220" s="16" t="s">
        <v>84</v>
      </c>
      <c r="BP220" s="16" t="s">
        <v>84</v>
      </c>
      <c r="BQ220" s="16" t="s">
        <v>84</v>
      </c>
      <c r="BR220" s="16" t="s">
        <v>97</v>
      </c>
      <c r="BS220" s="16" t="s">
        <v>98</v>
      </c>
      <c r="BT220" s="16">
        <v>0</v>
      </c>
    </row>
    <row r="221" s="1" customFormat="1" ht="16" customHeight="1" spans="1:72">
      <c r="A221" s="14">
        <f t="shared" si="39"/>
        <v>2025</v>
      </c>
      <c r="B221" s="14">
        <f t="shared" si="40"/>
        <v>8</v>
      </c>
      <c r="C221" s="14" t="str">
        <f t="shared" si="41"/>
        <v>3729824115800546304</v>
      </c>
      <c r="D221" s="14" cm="1">
        <f t="array" ref="D221">SUMPRODUCT(($R$2:$R$374=C221)*1)</f>
        <v>1</v>
      </c>
      <c r="E221" s="14" cm="1">
        <f t="array" ref="E221">SUMPRODUCT(($R$2:R221=C221)*1)</f>
        <v>1</v>
      </c>
      <c r="F221" s="15" t="str">
        <f t="shared" si="42"/>
        <v>P105-银色</v>
      </c>
      <c r="G221" s="14" t="str">
        <f t="shared" si="43"/>
        <v>P105</v>
      </c>
      <c r="H221" s="15">
        <f t="shared" si="44"/>
        <v>1</v>
      </c>
      <c r="I221" s="14">
        <f t="shared" si="45"/>
        <v>199</v>
      </c>
      <c r="J221" s="15">
        <f t="shared" si="46"/>
        <v>0</v>
      </c>
      <c r="K221" s="15">
        <f t="shared" si="47"/>
        <v>0</v>
      </c>
      <c r="L221" s="15">
        <f t="shared" si="48"/>
        <v>-1.99</v>
      </c>
      <c r="M221" s="15">
        <f t="shared" si="49"/>
        <v>0</v>
      </c>
      <c r="N221" s="15">
        <f t="shared" si="50"/>
        <v>-1.98</v>
      </c>
      <c r="O221" s="15">
        <f t="shared" si="51"/>
        <v>195.03</v>
      </c>
      <c r="R221" s="16" t="s">
        <v>2803</v>
      </c>
      <c r="S221" s="16" t="s">
        <v>2804</v>
      </c>
      <c r="T221" s="16" t="s">
        <v>2805</v>
      </c>
      <c r="U221" s="16" t="s">
        <v>2806</v>
      </c>
      <c r="V221" s="16" t="s">
        <v>2807</v>
      </c>
      <c r="W221" s="16" t="s">
        <v>76</v>
      </c>
      <c r="X221" s="16" t="s">
        <v>77</v>
      </c>
      <c r="Y221" s="16" t="s">
        <v>2808</v>
      </c>
      <c r="Z221" s="16" t="s">
        <v>79</v>
      </c>
      <c r="AA221" s="16" t="s">
        <v>80</v>
      </c>
      <c r="AB221" s="16" t="s">
        <v>81</v>
      </c>
      <c r="AC221" s="16" t="s">
        <v>82</v>
      </c>
      <c r="AD221" s="16" t="s">
        <v>2809</v>
      </c>
      <c r="AE221" s="16" t="s">
        <v>84</v>
      </c>
      <c r="AF221" s="16" t="s">
        <v>84</v>
      </c>
      <c r="AG221" s="16">
        <v>199</v>
      </c>
      <c r="AH221" s="16">
        <v>199</v>
      </c>
      <c r="AI221" s="17">
        <v>199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 t="s">
        <v>85</v>
      </c>
      <c r="AP221" s="16" t="s">
        <v>2810</v>
      </c>
      <c r="AQ221" s="16" t="s">
        <v>2811</v>
      </c>
      <c r="AR221" s="16" t="s">
        <v>88</v>
      </c>
      <c r="AS221" s="16" t="s">
        <v>2812</v>
      </c>
      <c r="AT221" s="16">
        <v>1.99</v>
      </c>
      <c r="AU221" s="16" t="s">
        <v>90</v>
      </c>
      <c r="AV221" s="16">
        <v>1.98</v>
      </c>
      <c r="AW221" s="16" t="s">
        <v>90</v>
      </c>
      <c r="AX221" s="16" t="s">
        <v>90</v>
      </c>
      <c r="AY221" s="16" t="s">
        <v>90</v>
      </c>
      <c r="AZ221" s="16" t="s">
        <v>90</v>
      </c>
      <c r="BA221" s="16" t="s">
        <v>90</v>
      </c>
      <c r="BB221" s="16">
        <v>0</v>
      </c>
      <c r="BC221" s="16"/>
      <c r="BD221" s="16" t="s">
        <v>90</v>
      </c>
      <c r="BE221" s="16" t="s">
        <v>2813</v>
      </c>
      <c r="BF221" s="16" t="s">
        <v>2814</v>
      </c>
      <c r="BG221" s="16" t="s">
        <v>2815</v>
      </c>
      <c r="BH221" s="16" t="s">
        <v>2816</v>
      </c>
      <c r="BI221" s="16" t="s">
        <v>2817</v>
      </c>
      <c r="BJ221" s="16">
        <v>199</v>
      </c>
      <c r="BK221" s="16">
        <v>199</v>
      </c>
      <c r="BL221" s="16">
        <v>199</v>
      </c>
      <c r="BM221" s="16" t="s">
        <v>96</v>
      </c>
      <c r="BN221" s="16">
        <v>1</v>
      </c>
      <c r="BO221" s="16" t="s">
        <v>84</v>
      </c>
      <c r="BP221" s="16" t="s">
        <v>84</v>
      </c>
      <c r="BQ221" s="16" t="s">
        <v>84</v>
      </c>
      <c r="BR221" s="16" t="s">
        <v>97</v>
      </c>
      <c r="BS221" s="16" t="s">
        <v>98</v>
      </c>
      <c r="BT221" s="16">
        <v>0</v>
      </c>
    </row>
    <row r="222" s="1" customFormat="1" ht="16" customHeight="1" spans="1:72">
      <c r="A222" s="14">
        <f t="shared" si="39"/>
        <v>2025</v>
      </c>
      <c r="B222" s="14">
        <f t="shared" si="40"/>
        <v>8</v>
      </c>
      <c r="C222" s="14" t="str">
        <f t="shared" si="41"/>
        <v>3729812606633784576</v>
      </c>
      <c r="D222" s="14" cm="1">
        <f t="array" ref="D222">SUMPRODUCT(($R$2:$R$374=C222)*1)</f>
        <v>1</v>
      </c>
      <c r="E222" s="14" cm="1">
        <f t="array" ref="E222">SUMPRODUCT(($R$2:R222=C222)*1)</f>
        <v>1</v>
      </c>
      <c r="F222" s="15" t="str">
        <f t="shared" si="42"/>
        <v>Z1741-白色-L</v>
      </c>
      <c r="G222" s="14" t="str">
        <f t="shared" si="43"/>
        <v>Z1741</v>
      </c>
      <c r="H222" s="15">
        <f t="shared" si="44"/>
        <v>1</v>
      </c>
      <c r="I222" s="14">
        <f t="shared" si="45"/>
        <v>269</v>
      </c>
      <c r="J222" s="15">
        <f t="shared" si="46"/>
        <v>0</v>
      </c>
      <c r="K222" s="15">
        <f t="shared" si="47"/>
        <v>0</v>
      </c>
      <c r="L222" s="15">
        <f t="shared" si="48"/>
        <v>-13.45</v>
      </c>
      <c r="M222" s="15">
        <f t="shared" si="49"/>
        <v>0</v>
      </c>
      <c r="N222" s="15">
        <f t="shared" si="50"/>
        <v>-1.5</v>
      </c>
      <c r="O222" s="15">
        <f t="shared" si="51"/>
        <v>254.05</v>
      </c>
      <c r="R222" s="16" t="s">
        <v>2818</v>
      </c>
      <c r="S222" s="16" t="s">
        <v>2819</v>
      </c>
      <c r="T222" s="16" t="s">
        <v>2820</v>
      </c>
      <c r="U222" s="16" t="s">
        <v>2821</v>
      </c>
      <c r="V222" s="16" t="s">
        <v>2822</v>
      </c>
      <c r="W222" s="16" t="s">
        <v>76</v>
      </c>
      <c r="X222" s="16" t="s">
        <v>77</v>
      </c>
      <c r="Y222" s="16" t="s">
        <v>510</v>
      </c>
      <c r="Z222" s="16" t="s">
        <v>2823</v>
      </c>
      <c r="AA222" s="16" t="s">
        <v>384</v>
      </c>
      <c r="AB222" s="16" t="s">
        <v>2824</v>
      </c>
      <c r="AC222" s="16" t="s">
        <v>2825</v>
      </c>
      <c r="AD222" s="16" t="s">
        <v>2826</v>
      </c>
      <c r="AE222" s="16" t="s">
        <v>84</v>
      </c>
      <c r="AF222" s="16" t="s">
        <v>84</v>
      </c>
      <c r="AG222" s="16">
        <v>269</v>
      </c>
      <c r="AH222" s="16">
        <v>269</v>
      </c>
      <c r="AI222" s="17">
        <v>269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 t="s">
        <v>85</v>
      </c>
      <c r="AP222" s="16" t="s">
        <v>2827</v>
      </c>
      <c r="AQ222" s="16" t="s">
        <v>2828</v>
      </c>
      <c r="AR222" s="16" t="s">
        <v>88</v>
      </c>
      <c r="AS222" s="16" t="s">
        <v>2829</v>
      </c>
      <c r="AT222" s="16">
        <v>13.45</v>
      </c>
      <c r="AU222" s="16" t="s">
        <v>90</v>
      </c>
      <c r="AV222" s="16">
        <v>1.5</v>
      </c>
      <c r="AW222" s="16" t="s">
        <v>115</v>
      </c>
      <c r="AX222" s="16" t="s">
        <v>116</v>
      </c>
      <c r="AY222" s="16" t="s">
        <v>117</v>
      </c>
      <c r="AZ222" s="16" t="s">
        <v>118</v>
      </c>
      <c r="BA222" s="16" t="s">
        <v>119</v>
      </c>
      <c r="BB222" s="16">
        <v>0</v>
      </c>
      <c r="BC222" s="16" t="s">
        <v>84</v>
      </c>
      <c r="BD222" s="16" t="s">
        <v>90</v>
      </c>
      <c r="BE222" s="16" t="s">
        <v>1212</v>
      </c>
      <c r="BF222" s="16" t="s">
        <v>1213</v>
      </c>
      <c r="BG222" s="16" t="s">
        <v>1214</v>
      </c>
      <c r="BH222" s="16" t="s">
        <v>1215</v>
      </c>
      <c r="BI222" s="16" t="s">
        <v>1216</v>
      </c>
      <c r="BJ222" s="16">
        <v>269</v>
      </c>
      <c r="BK222" s="16">
        <v>269</v>
      </c>
      <c r="BL222" s="16">
        <v>269</v>
      </c>
      <c r="BM222" s="16" t="s">
        <v>96</v>
      </c>
      <c r="BN222" s="16">
        <v>1</v>
      </c>
      <c r="BO222" s="16" t="s">
        <v>84</v>
      </c>
      <c r="BP222" s="16" t="s">
        <v>84</v>
      </c>
      <c r="BQ222" s="16" t="s">
        <v>84</v>
      </c>
      <c r="BR222" s="16" t="s">
        <v>97</v>
      </c>
      <c r="BS222" s="16" t="s">
        <v>98</v>
      </c>
      <c r="BT222" s="16">
        <v>0</v>
      </c>
    </row>
    <row r="223" s="1" customFormat="1" ht="16" customHeight="1" spans="1:72">
      <c r="A223" s="14">
        <f t="shared" si="39"/>
        <v>2025</v>
      </c>
      <c r="B223" s="14">
        <f t="shared" si="40"/>
        <v>8</v>
      </c>
      <c r="C223" s="14" t="str">
        <f t="shared" si="41"/>
        <v>3729811119409078016</v>
      </c>
      <c r="D223" s="14" cm="1">
        <f t="array" ref="D223">SUMPRODUCT(($R$2:$R$374=C223)*1)</f>
        <v>1</v>
      </c>
      <c r="E223" s="14" cm="1">
        <f t="array" ref="E223">SUMPRODUCT(($R$2:R223=C223)*1)</f>
        <v>1</v>
      </c>
      <c r="F223" s="15" t="str">
        <f t="shared" si="42"/>
        <v>Z1175-黑色-M</v>
      </c>
      <c r="G223" s="14" t="str">
        <f t="shared" si="43"/>
        <v>Z1175</v>
      </c>
      <c r="H223" s="15">
        <f t="shared" si="44"/>
        <v>1</v>
      </c>
      <c r="I223" s="14">
        <f t="shared" si="45"/>
        <v>289</v>
      </c>
      <c r="J223" s="15">
        <f t="shared" si="46"/>
        <v>0</v>
      </c>
      <c r="K223" s="15">
        <f t="shared" si="47"/>
        <v>0</v>
      </c>
      <c r="L223" s="15">
        <f t="shared" si="48"/>
        <v>-2.89</v>
      </c>
      <c r="M223" s="15">
        <f t="shared" si="49"/>
        <v>0</v>
      </c>
      <c r="N223" s="15">
        <f t="shared" si="50"/>
        <v>-1.5</v>
      </c>
      <c r="O223" s="15">
        <f t="shared" si="51"/>
        <v>284.61</v>
      </c>
      <c r="R223" s="16" t="s">
        <v>2830</v>
      </c>
      <c r="S223" s="16" t="s">
        <v>2831</v>
      </c>
      <c r="T223" s="16" t="s">
        <v>2832</v>
      </c>
      <c r="U223" s="16" t="s">
        <v>2833</v>
      </c>
      <c r="V223" s="16" t="s">
        <v>2834</v>
      </c>
      <c r="W223" s="16" t="s">
        <v>76</v>
      </c>
      <c r="X223" s="16" t="s">
        <v>77</v>
      </c>
      <c r="Y223" s="16" t="s">
        <v>1510</v>
      </c>
      <c r="Z223" s="16" t="s">
        <v>2835</v>
      </c>
      <c r="AA223" s="16" t="s">
        <v>369</v>
      </c>
      <c r="AB223" s="16" t="s">
        <v>2836</v>
      </c>
      <c r="AC223" s="16" t="s">
        <v>2837</v>
      </c>
      <c r="AD223" s="16" t="s">
        <v>2838</v>
      </c>
      <c r="AE223" s="16" t="s">
        <v>84</v>
      </c>
      <c r="AF223" s="16" t="s">
        <v>84</v>
      </c>
      <c r="AG223" s="16">
        <v>289</v>
      </c>
      <c r="AH223" s="16">
        <v>289</v>
      </c>
      <c r="AI223" s="17">
        <v>289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 t="s">
        <v>137</v>
      </c>
      <c r="AP223" s="16" t="s">
        <v>2839</v>
      </c>
      <c r="AQ223" s="16" t="s">
        <v>2840</v>
      </c>
      <c r="AR223" s="16" t="s">
        <v>88</v>
      </c>
      <c r="AS223" s="16" t="s">
        <v>2841</v>
      </c>
      <c r="AT223" s="16">
        <v>2.89</v>
      </c>
      <c r="AU223" s="16" t="s">
        <v>90</v>
      </c>
      <c r="AV223" s="16">
        <v>1.5</v>
      </c>
      <c r="AW223" s="16" t="s">
        <v>90</v>
      </c>
      <c r="AX223" s="16" t="s">
        <v>90</v>
      </c>
      <c r="AY223" s="16" t="s">
        <v>90</v>
      </c>
      <c r="AZ223" s="16" t="s">
        <v>90</v>
      </c>
      <c r="BA223" s="16" t="s">
        <v>90</v>
      </c>
      <c r="BB223" s="16">
        <v>0</v>
      </c>
      <c r="BC223" s="16"/>
      <c r="BD223" s="16" t="s">
        <v>90</v>
      </c>
      <c r="BE223" s="16" t="s">
        <v>2842</v>
      </c>
      <c r="BF223" s="16" t="s">
        <v>2843</v>
      </c>
      <c r="BG223" s="16" t="s">
        <v>2844</v>
      </c>
      <c r="BH223" s="16" t="s">
        <v>2845</v>
      </c>
      <c r="BI223" s="16" t="s">
        <v>273</v>
      </c>
      <c r="BJ223" s="16">
        <v>289</v>
      </c>
      <c r="BK223" s="16">
        <v>289</v>
      </c>
      <c r="BL223" s="16">
        <v>289</v>
      </c>
      <c r="BM223" s="16" t="s">
        <v>96</v>
      </c>
      <c r="BN223" s="16">
        <v>1</v>
      </c>
      <c r="BO223" s="16" t="s">
        <v>84</v>
      </c>
      <c r="BP223" s="16" t="s">
        <v>84</v>
      </c>
      <c r="BQ223" s="16" t="s">
        <v>84</v>
      </c>
      <c r="BR223" s="16" t="s">
        <v>97</v>
      </c>
      <c r="BS223" s="16" t="s">
        <v>98</v>
      </c>
      <c r="BT223" s="16">
        <v>0</v>
      </c>
    </row>
    <row r="224" s="1" customFormat="1" ht="16" customHeight="1" spans="1:72">
      <c r="A224" s="14">
        <f t="shared" si="39"/>
        <v>2025</v>
      </c>
      <c r="B224" s="14">
        <f t="shared" si="40"/>
        <v>8</v>
      </c>
      <c r="C224" s="14" t="str">
        <f t="shared" si="41"/>
        <v>3729802001155502848</v>
      </c>
      <c r="D224" s="14" cm="1">
        <f t="array" ref="D224">SUMPRODUCT(($R$2:$R$374=C224)*1)</f>
        <v>1</v>
      </c>
      <c r="E224" s="14" cm="1">
        <f t="array" ref="E224">SUMPRODUCT(($R$2:R224=C224)*1)</f>
        <v>1</v>
      </c>
      <c r="F224" s="15" t="str">
        <f t="shared" si="42"/>
        <v>Z2265-紫色-XL</v>
      </c>
      <c r="G224" s="14" t="str">
        <f t="shared" si="43"/>
        <v>Z2265</v>
      </c>
      <c r="H224" s="15">
        <f t="shared" si="44"/>
        <v>1</v>
      </c>
      <c r="I224" s="14">
        <f t="shared" si="45"/>
        <v>119</v>
      </c>
      <c r="J224" s="15">
        <f t="shared" si="46"/>
        <v>0</v>
      </c>
      <c r="K224" s="15">
        <f t="shared" si="47"/>
        <v>0</v>
      </c>
      <c r="L224" s="15">
        <f t="shared" si="48"/>
        <v>-5.95</v>
      </c>
      <c r="M224" s="15">
        <f t="shared" si="49"/>
        <v>0</v>
      </c>
      <c r="N224" s="15">
        <f t="shared" si="50"/>
        <v>-1.5</v>
      </c>
      <c r="O224" s="15">
        <f t="shared" si="51"/>
        <v>111.55</v>
      </c>
      <c r="R224" s="16" t="s">
        <v>2846</v>
      </c>
      <c r="S224" s="16" t="s">
        <v>2847</v>
      </c>
      <c r="T224" s="16" t="s">
        <v>2848</v>
      </c>
      <c r="U224" s="16" t="s">
        <v>2849</v>
      </c>
      <c r="V224" s="16" t="s">
        <v>2850</v>
      </c>
      <c r="W224" s="16" t="s">
        <v>76</v>
      </c>
      <c r="X224" s="16" t="s">
        <v>77</v>
      </c>
      <c r="Y224" s="16" t="s">
        <v>188</v>
      </c>
      <c r="Z224" s="16" t="s">
        <v>189</v>
      </c>
      <c r="AA224" s="16" t="s">
        <v>107</v>
      </c>
      <c r="AB224" s="16" t="s">
        <v>190</v>
      </c>
      <c r="AC224" s="16" t="s">
        <v>191</v>
      </c>
      <c r="AD224" s="16" t="s">
        <v>192</v>
      </c>
      <c r="AE224" s="16" t="s">
        <v>84</v>
      </c>
      <c r="AF224" s="16" t="s">
        <v>84</v>
      </c>
      <c r="AG224" s="16">
        <v>119</v>
      </c>
      <c r="AH224" s="16">
        <v>119</v>
      </c>
      <c r="AI224" s="17">
        <v>119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 t="s">
        <v>85</v>
      </c>
      <c r="AP224" s="16" t="s">
        <v>2851</v>
      </c>
      <c r="AQ224" s="16" t="s">
        <v>2852</v>
      </c>
      <c r="AR224" s="16" t="s">
        <v>88</v>
      </c>
      <c r="AS224" s="16" t="s">
        <v>2853</v>
      </c>
      <c r="AT224" s="16">
        <v>5.95</v>
      </c>
      <c r="AU224" s="16" t="s">
        <v>90</v>
      </c>
      <c r="AV224" s="16">
        <v>1.5</v>
      </c>
      <c r="AW224" s="16" t="s">
        <v>115</v>
      </c>
      <c r="AX224" s="16" t="s">
        <v>116</v>
      </c>
      <c r="AY224" s="16" t="s">
        <v>117</v>
      </c>
      <c r="AZ224" s="16" t="s">
        <v>118</v>
      </c>
      <c r="BA224" s="16" t="s">
        <v>119</v>
      </c>
      <c r="BB224" s="16">
        <v>0</v>
      </c>
      <c r="BC224" s="16" t="s">
        <v>84</v>
      </c>
      <c r="BD224" s="16" t="s">
        <v>90</v>
      </c>
      <c r="BE224" s="16" t="s">
        <v>2854</v>
      </c>
      <c r="BF224" s="16" t="s">
        <v>2855</v>
      </c>
      <c r="BG224" s="16" t="s">
        <v>2856</v>
      </c>
      <c r="BH224" s="16" t="s">
        <v>2857</v>
      </c>
      <c r="BI224" s="16" t="s">
        <v>2858</v>
      </c>
      <c r="BJ224" s="16">
        <v>119</v>
      </c>
      <c r="BK224" s="16">
        <v>119</v>
      </c>
      <c r="BL224" s="16">
        <v>119</v>
      </c>
      <c r="BM224" s="16" t="s">
        <v>96</v>
      </c>
      <c r="BN224" s="16">
        <v>1</v>
      </c>
      <c r="BO224" s="16" t="s">
        <v>84</v>
      </c>
      <c r="BP224" s="16" t="s">
        <v>84</v>
      </c>
      <c r="BQ224" s="16" t="s">
        <v>84</v>
      </c>
      <c r="BR224" s="16" t="s">
        <v>97</v>
      </c>
      <c r="BS224" s="16" t="s">
        <v>98</v>
      </c>
      <c r="BT224" s="16">
        <v>0</v>
      </c>
    </row>
    <row r="225" s="1" customFormat="1" ht="16" customHeight="1" spans="1:72">
      <c r="A225" s="14">
        <f t="shared" si="39"/>
        <v>2025</v>
      </c>
      <c r="B225" s="14">
        <f t="shared" si="40"/>
        <v>8</v>
      </c>
      <c r="C225" s="14" t="str">
        <f t="shared" si="41"/>
        <v>3729790653618332416</v>
      </c>
      <c r="D225" s="14" cm="1">
        <f t="array" ref="D225">SUMPRODUCT(($R$2:$R$374=C225)*1)</f>
        <v>1</v>
      </c>
      <c r="E225" s="14" cm="1">
        <f t="array" ref="E225">SUMPRODUCT(($R$2:R225=C225)*1)</f>
        <v>1</v>
      </c>
      <c r="F225" s="15" t="str">
        <f t="shared" si="42"/>
        <v>Z2285-灰色-S</v>
      </c>
      <c r="G225" s="14" t="str">
        <f t="shared" si="43"/>
        <v>Z2285</v>
      </c>
      <c r="H225" s="15">
        <f t="shared" si="44"/>
        <v>1</v>
      </c>
      <c r="I225" s="14">
        <f t="shared" si="45"/>
        <v>129</v>
      </c>
      <c r="J225" s="15">
        <f t="shared" si="46"/>
        <v>0</v>
      </c>
      <c r="K225" s="15">
        <f t="shared" si="47"/>
        <v>0</v>
      </c>
      <c r="L225" s="15">
        <f t="shared" si="48"/>
        <v>-6.45</v>
      </c>
      <c r="M225" s="15">
        <f t="shared" si="49"/>
        <v>0</v>
      </c>
      <c r="N225" s="15">
        <f t="shared" si="50"/>
        <v>-1.5</v>
      </c>
      <c r="O225" s="15">
        <f t="shared" si="51"/>
        <v>121.05</v>
      </c>
      <c r="R225" s="16" t="s">
        <v>2859</v>
      </c>
      <c r="S225" s="16" t="s">
        <v>2860</v>
      </c>
      <c r="T225" s="16" t="s">
        <v>2861</v>
      </c>
      <c r="U225" s="16" t="s">
        <v>2862</v>
      </c>
      <c r="V225" s="16" t="s">
        <v>2863</v>
      </c>
      <c r="W225" s="16" t="s">
        <v>76</v>
      </c>
      <c r="X225" s="16" t="s">
        <v>77</v>
      </c>
      <c r="Y225" s="16" t="s">
        <v>467</v>
      </c>
      <c r="Z225" s="16" t="s">
        <v>1332</v>
      </c>
      <c r="AA225" s="16" t="s">
        <v>280</v>
      </c>
      <c r="AB225" s="16" t="s">
        <v>281</v>
      </c>
      <c r="AC225" s="16" t="s">
        <v>1333</v>
      </c>
      <c r="AD225" s="16" t="s">
        <v>2864</v>
      </c>
      <c r="AE225" s="16" t="s">
        <v>84</v>
      </c>
      <c r="AF225" s="16" t="s">
        <v>84</v>
      </c>
      <c r="AG225" s="16">
        <v>129</v>
      </c>
      <c r="AH225" s="16">
        <v>129</v>
      </c>
      <c r="AI225" s="17">
        <v>129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 t="s">
        <v>85</v>
      </c>
      <c r="AP225" s="16" t="s">
        <v>2865</v>
      </c>
      <c r="AQ225" s="16" t="s">
        <v>2866</v>
      </c>
      <c r="AR225" s="16" t="s">
        <v>88</v>
      </c>
      <c r="AS225" s="16" t="s">
        <v>2867</v>
      </c>
      <c r="AT225" s="16">
        <v>6.45</v>
      </c>
      <c r="AU225" s="16" t="s">
        <v>90</v>
      </c>
      <c r="AV225" s="16">
        <v>1.5</v>
      </c>
      <c r="AW225" s="16" t="s">
        <v>115</v>
      </c>
      <c r="AX225" s="16" t="s">
        <v>116</v>
      </c>
      <c r="AY225" s="16" t="s">
        <v>117</v>
      </c>
      <c r="AZ225" s="16" t="s">
        <v>118</v>
      </c>
      <c r="BA225" s="16" t="s">
        <v>119</v>
      </c>
      <c r="BB225" s="16">
        <v>0</v>
      </c>
      <c r="BC225" s="16" t="s">
        <v>84</v>
      </c>
      <c r="BD225" s="16" t="s">
        <v>90</v>
      </c>
      <c r="BE225" s="16" t="s">
        <v>2868</v>
      </c>
      <c r="BF225" s="16" t="s">
        <v>2869</v>
      </c>
      <c r="BG225" s="16" t="s">
        <v>2870</v>
      </c>
      <c r="BH225" s="16" t="s">
        <v>2871</v>
      </c>
      <c r="BI225" s="16" t="s">
        <v>2872</v>
      </c>
      <c r="BJ225" s="16">
        <v>129</v>
      </c>
      <c r="BK225" s="16">
        <v>129</v>
      </c>
      <c r="BL225" s="16">
        <v>129</v>
      </c>
      <c r="BM225" s="16" t="s">
        <v>96</v>
      </c>
      <c r="BN225" s="16">
        <v>1</v>
      </c>
      <c r="BO225" s="16" t="s">
        <v>84</v>
      </c>
      <c r="BP225" s="16" t="s">
        <v>84</v>
      </c>
      <c r="BQ225" s="16" t="s">
        <v>84</v>
      </c>
      <c r="BR225" s="16" t="s">
        <v>97</v>
      </c>
      <c r="BS225" s="16" t="s">
        <v>98</v>
      </c>
      <c r="BT225" s="16">
        <v>0</v>
      </c>
    </row>
    <row r="226" s="1" customFormat="1" ht="16" customHeight="1" spans="1:72">
      <c r="A226" s="14">
        <f t="shared" si="39"/>
        <v>2025</v>
      </c>
      <c r="B226" s="14">
        <f t="shared" si="40"/>
        <v>8</v>
      </c>
      <c r="C226" s="14" t="str">
        <f t="shared" si="41"/>
        <v>3729790408344608000</v>
      </c>
      <c r="D226" s="14" cm="1">
        <f t="array" ref="D226">SUMPRODUCT(($R$2:$R$374=C226)*1)</f>
        <v>1</v>
      </c>
      <c r="E226" s="14" cm="1">
        <f t="array" ref="E226">SUMPRODUCT(($R$2:R226=C226)*1)</f>
        <v>1</v>
      </c>
      <c r="F226" s="15" t="str">
        <f t="shared" si="42"/>
        <v>Z2278-黑色-M</v>
      </c>
      <c r="G226" s="14" t="str">
        <f t="shared" si="43"/>
        <v>Z2278</v>
      </c>
      <c r="H226" s="15">
        <f t="shared" si="44"/>
        <v>1</v>
      </c>
      <c r="I226" s="14">
        <f t="shared" si="45"/>
        <v>229</v>
      </c>
      <c r="J226" s="15">
        <f t="shared" si="46"/>
        <v>0</v>
      </c>
      <c r="K226" s="15">
        <f t="shared" si="47"/>
        <v>0</v>
      </c>
      <c r="L226" s="15">
        <f t="shared" si="48"/>
        <v>-11.45</v>
      </c>
      <c r="M226" s="15">
        <f t="shared" si="49"/>
        <v>0</v>
      </c>
      <c r="N226" s="15">
        <f t="shared" si="50"/>
        <v>-1.5</v>
      </c>
      <c r="O226" s="15">
        <f t="shared" si="51"/>
        <v>216.05</v>
      </c>
      <c r="R226" s="16" t="s">
        <v>2873</v>
      </c>
      <c r="S226" s="16" t="s">
        <v>2874</v>
      </c>
      <c r="T226" s="16" t="s">
        <v>2159</v>
      </c>
      <c r="U226" s="16" t="s">
        <v>2875</v>
      </c>
      <c r="V226" s="16" t="s">
        <v>2876</v>
      </c>
      <c r="W226" s="16" t="s">
        <v>76</v>
      </c>
      <c r="X226" s="16" t="s">
        <v>77</v>
      </c>
      <c r="Y226" s="16" t="s">
        <v>2877</v>
      </c>
      <c r="Z226" s="16" t="s">
        <v>1843</v>
      </c>
      <c r="AA226" s="16" t="s">
        <v>107</v>
      </c>
      <c r="AB226" s="16" t="s">
        <v>108</v>
      </c>
      <c r="AC226" s="16" t="s">
        <v>1844</v>
      </c>
      <c r="AD226" s="16" t="s">
        <v>2878</v>
      </c>
      <c r="AE226" s="16" t="s">
        <v>84</v>
      </c>
      <c r="AF226" s="16" t="s">
        <v>84</v>
      </c>
      <c r="AG226" s="16">
        <v>229</v>
      </c>
      <c r="AH226" s="16">
        <v>229</v>
      </c>
      <c r="AI226" s="17">
        <v>229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 t="s">
        <v>137</v>
      </c>
      <c r="AP226" s="16" t="s">
        <v>2879</v>
      </c>
      <c r="AQ226" s="16" t="s">
        <v>2880</v>
      </c>
      <c r="AR226" s="16" t="s">
        <v>88</v>
      </c>
      <c r="AS226" s="16" t="s">
        <v>2881</v>
      </c>
      <c r="AT226" s="16">
        <v>11.45</v>
      </c>
      <c r="AU226" s="16" t="s">
        <v>90</v>
      </c>
      <c r="AV226" s="16">
        <v>1.5</v>
      </c>
      <c r="AW226" s="16" t="s">
        <v>115</v>
      </c>
      <c r="AX226" s="16" t="s">
        <v>116</v>
      </c>
      <c r="AY226" s="16" t="s">
        <v>117</v>
      </c>
      <c r="AZ226" s="16" t="s">
        <v>118</v>
      </c>
      <c r="BA226" s="16" t="s">
        <v>119</v>
      </c>
      <c r="BB226" s="16">
        <v>0</v>
      </c>
      <c r="BC226" s="16" t="s">
        <v>84</v>
      </c>
      <c r="BD226" s="16" t="s">
        <v>90</v>
      </c>
      <c r="BE226" s="16" t="s">
        <v>141</v>
      </c>
      <c r="BF226" s="16" t="s">
        <v>142</v>
      </c>
      <c r="BG226" s="16" t="s">
        <v>143</v>
      </c>
      <c r="BH226" s="16" t="s">
        <v>2598</v>
      </c>
      <c r="BI226" s="16" t="s">
        <v>2599</v>
      </c>
      <c r="BJ226" s="16">
        <v>229</v>
      </c>
      <c r="BK226" s="16">
        <v>229</v>
      </c>
      <c r="BL226" s="16">
        <v>229</v>
      </c>
      <c r="BM226" s="16" t="s">
        <v>96</v>
      </c>
      <c r="BN226" s="16">
        <v>1</v>
      </c>
      <c r="BO226" s="16" t="s">
        <v>84</v>
      </c>
      <c r="BP226" s="16" t="s">
        <v>84</v>
      </c>
      <c r="BQ226" s="16" t="s">
        <v>84</v>
      </c>
      <c r="BR226" s="16" t="s">
        <v>97</v>
      </c>
      <c r="BS226" s="16" t="s">
        <v>98</v>
      </c>
      <c r="BT226" s="16">
        <v>0</v>
      </c>
    </row>
    <row r="227" s="1" customFormat="1" ht="16" customHeight="1" spans="1:72">
      <c r="A227" s="14">
        <f t="shared" si="39"/>
        <v>2025</v>
      </c>
      <c r="B227" s="14">
        <f t="shared" si="40"/>
        <v>8</v>
      </c>
      <c r="C227" s="14" t="str">
        <f t="shared" si="41"/>
        <v>3729788155064624640</v>
      </c>
      <c r="D227" s="14" cm="1">
        <f t="array" ref="D227">SUMPRODUCT(($R$2:$R$374=C227)*1)</f>
        <v>1</v>
      </c>
      <c r="E227" s="14" cm="1">
        <f t="array" ref="E227">SUMPRODUCT(($R$2:R227=C227)*1)</f>
        <v>1</v>
      </c>
      <c r="F227" s="15" t="str">
        <f t="shared" si="42"/>
        <v>Z925-人字纹-L</v>
      </c>
      <c r="G227" s="14" t="str">
        <f t="shared" si="43"/>
        <v>Z925</v>
      </c>
      <c r="H227" s="15">
        <f t="shared" si="44"/>
        <v>1</v>
      </c>
      <c r="I227" s="14">
        <f t="shared" si="45"/>
        <v>169</v>
      </c>
      <c r="J227" s="15">
        <f t="shared" si="46"/>
        <v>0</v>
      </c>
      <c r="K227" s="15">
        <f t="shared" si="47"/>
        <v>0</v>
      </c>
      <c r="L227" s="15">
        <f t="shared" si="48"/>
        <v>-1.69</v>
      </c>
      <c r="M227" s="15">
        <f t="shared" si="49"/>
        <v>0</v>
      </c>
      <c r="N227" s="15">
        <f t="shared" si="50"/>
        <v>-1.5</v>
      </c>
      <c r="O227" s="15">
        <f t="shared" si="51"/>
        <v>165.81</v>
      </c>
      <c r="R227" s="16" t="s">
        <v>2882</v>
      </c>
      <c r="S227" s="16" t="s">
        <v>2883</v>
      </c>
      <c r="T227" s="16" t="s">
        <v>2884</v>
      </c>
      <c r="U227" s="16" t="s">
        <v>2885</v>
      </c>
      <c r="V227" s="16" t="s">
        <v>2886</v>
      </c>
      <c r="W227" s="16" t="s">
        <v>76</v>
      </c>
      <c r="X227" s="16" t="s">
        <v>77</v>
      </c>
      <c r="Y227" s="16" t="s">
        <v>2887</v>
      </c>
      <c r="Z227" s="16" t="s">
        <v>883</v>
      </c>
      <c r="AA227" s="16" t="s">
        <v>884</v>
      </c>
      <c r="AB227" s="16" t="s">
        <v>885</v>
      </c>
      <c r="AC227" s="16" t="s">
        <v>886</v>
      </c>
      <c r="AD227" s="16" t="s">
        <v>2888</v>
      </c>
      <c r="AE227" s="16" t="s">
        <v>84</v>
      </c>
      <c r="AF227" s="16" t="s">
        <v>84</v>
      </c>
      <c r="AG227" s="16">
        <v>169</v>
      </c>
      <c r="AH227" s="16">
        <v>169</v>
      </c>
      <c r="AI227" s="17">
        <v>169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 t="s">
        <v>137</v>
      </c>
      <c r="AP227" s="16" t="s">
        <v>2889</v>
      </c>
      <c r="AQ227" s="16" t="s">
        <v>2890</v>
      </c>
      <c r="AR227" s="16" t="s">
        <v>88</v>
      </c>
      <c r="AS227" s="16" t="s">
        <v>2891</v>
      </c>
      <c r="AT227" s="16">
        <v>1.69</v>
      </c>
      <c r="AU227" s="16" t="s">
        <v>90</v>
      </c>
      <c r="AV227" s="16">
        <v>1.5</v>
      </c>
      <c r="AW227" s="16" t="s">
        <v>90</v>
      </c>
      <c r="AX227" s="16" t="s">
        <v>90</v>
      </c>
      <c r="AY227" s="16" t="s">
        <v>90</v>
      </c>
      <c r="AZ227" s="16" t="s">
        <v>90</v>
      </c>
      <c r="BA227" s="16" t="s">
        <v>90</v>
      </c>
      <c r="BB227" s="16">
        <v>0</v>
      </c>
      <c r="BC227" s="16"/>
      <c r="BD227" s="16" t="s">
        <v>90</v>
      </c>
      <c r="BE227" s="16" t="s">
        <v>489</v>
      </c>
      <c r="BF227" s="16" t="s">
        <v>490</v>
      </c>
      <c r="BG227" s="16" t="s">
        <v>491</v>
      </c>
      <c r="BH227" s="16" t="s">
        <v>2892</v>
      </c>
      <c r="BI227" s="16" t="s">
        <v>2893</v>
      </c>
      <c r="BJ227" s="16">
        <v>169</v>
      </c>
      <c r="BK227" s="16">
        <v>169</v>
      </c>
      <c r="BL227" s="16">
        <v>169</v>
      </c>
      <c r="BM227" s="16" t="s">
        <v>96</v>
      </c>
      <c r="BN227" s="16">
        <v>1</v>
      </c>
      <c r="BO227" s="16" t="s">
        <v>84</v>
      </c>
      <c r="BP227" s="16" t="s">
        <v>84</v>
      </c>
      <c r="BQ227" s="16" t="s">
        <v>84</v>
      </c>
      <c r="BR227" s="16" t="s">
        <v>97</v>
      </c>
      <c r="BS227" s="16" t="s">
        <v>98</v>
      </c>
      <c r="BT227" s="16">
        <v>0</v>
      </c>
    </row>
    <row r="228" s="1" customFormat="1" ht="16" customHeight="1" spans="1:72">
      <c r="A228" s="14">
        <f t="shared" si="39"/>
        <v>2025</v>
      </c>
      <c r="B228" s="14">
        <f t="shared" si="40"/>
        <v>8</v>
      </c>
      <c r="C228" s="14" t="str">
        <f t="shared" si="41"/>
        <v>3729785197246428160</v>
      </c>
      <c r="D228" s="14" cm="1">
        <f t="array" ref="D228">SUMPRODUCT(($R$2:$R$374=C228)*1)</f>
        <v>1</v>
      </c>
      <c r="E228" s="14" cm="1">
        <f t="array" ref="E228">SUMPRODUCT(($R$2:R228=C228)*1)</f>
        <v>1</v>
      </c>
      <c r="F228" s="15" t="str">
        <f t="shared" si="42"/>
        <v>Z2256-粉色-M</v>
      </c>
      <c r="G228" s="14" t="str">
        <f t="shared" si="43"/>
        <v>Z2256</v>
      </c>
      <c r="H228" s="15">
        <f t="shared" si="44"/>
        <v>1</v>
      </c>
      <c r="I228" s="14">
        <f t="shared" si="45"/>
        <v>299</v>
      </c>
      <c r="J228" s="15">
        <f t="shared" si="46"/>
        <v>0</v>
      </c>
      <c r="K228" s="15">
        <f t="shared" si="47"/>
        <v>10</v>
      </c>
      <c r="L228" s="15">
        <f t="shared" si="48"/>
        <v>-2.99</v>
      </c>
      <c r="M228" s="15">
        <f t="shared" si="49"/>
        <v>0</v>
      </c>
      <c r="N228" s="15">
        <f t="shared" si="50"/>
        <v>-1.5</v>
      </c>
      <c r="O228" s="15">
        <f t="shared" si="51"/>
        <v>304.51</v>
      </c>
      <c r="R228" s="16" t="s">
        <v>2894</v>
      </c>
      <c r="S228" s="16" t="s">
        <v>2895</v>
      </c>
      <c r="T228" s="16" t="s">
        <v>2896</v>
      </c>
      <c r="U228" s="16" t="s">
        <v>2897</v>
      </c>
      <c r="V228" s="16" t="s">
        <v>2898</v>
      </c>
      <c r="W228" s="16" t="s">
        <v>76</v>
      </c>
      <c r="X228" s="16" t="s">
        <v>77</v>
      </c>
      <c r="Y228" s="16" t="s">
        <v>205</v>
      </c>
      <c r="Z228" s="16" t="s">
        <v>206</v>
      </c>
      <c r="AA228" s="16" t="s">
        <v>207</v>
      </c>
      <c r="AB228" s="16" t="s">
        <v>208</v>
      </c>
      <c r="AC228" s="16" t="s">
        <v>209</v>
      </c>
      <c r="AD228" s="16" t="s">
        <v>210</v>
      </c>
      <c r="AE228" s="16" t="s">
        <v>84</v>
      </c>
      <c r="AF228" s="16" t="s">
        <v>84</v>
      </c>
      <c r="AG228" s="16">
        <v>299</v>
      </c>
      <c r="AH228" s="16">
        <v>309</v>
      </c>
      <c r="AI228" s="17">
        <v>309</v>
      </c>
      <c r="AJ228" s="16">
        <v>10</v>
      </c>
      <c r="AK228" s="16">
        <v>0</v>
      </c>
      <c r="AL228" s="16">
        <v>0</v>
      </c>
      <c r="AM228" s="16">
        <v>0</v>
      </c>
      <c r="AN228" s="16">
        <v>0</v>
      </c>
      <c r="AO228" s="16" t="s">
        <v>85</v>
      </c>
      <c r="AP228" s="16" t="s">
        <v>2899</v>
      </c>
      <c r="AQ228" s="16" t="s">
        <v>2900</v>
      </c>
      <c r="AR228" s="16" t="s">
        <v>88</v>
      </c>
      <c r="AS228" s="16" t="s">
        <v>2901</v>
      </c>
      <c r="AT228" s="16">
        <v>2.99</v>
      </c>
      <c r="AU228" s="16" t="s">
        <v>90</v>
      </c>
      <c r="AV228" s="16">
        <v>1.5</v>
      </c>
      <c r="AW228" s="16" t="s">
        <v>90</v>
      </c>
      <c r="AX228" s="16" t="s">
        <v>90</v>
      </c>
      <c r="AY228" s="16" t="s">
        <v>90</v>
      </c>
      <c r="AZ228" s="16" t="s">
        <v>90</v>
      </c>
      <c r="BA228" s="16" t="s">
        <v>90</v>
      </c>
      <c r="BB228" s="16">
        <v>0</v>
      </c>
      <c r="BC228" s="16"/>
      <c r="BD228" s="16" t="s">
        <v>90</v>
      </c>
      <c r="BE228" s="16" t="s">
        <v>1925</v>
      </c>
      <c r="BF228" s="16" t="s">
        <v>1926</v>
      </c>
      <c r="BG228" s="16" t="s">
        <v>1927</v>
      </c>
      <c r="BH228" s="16" t="s">
        <v>1928</v>
      </c>
      <c r="BI228" s="16" t="s">
        <v>1929</v>
      </c>
      <c r="BJ228" s="16">
        <v>299</v>
      </c>
      <c r="BK228" s="16">
        <v>299</v>
      </c>
      <c r="BL228" s="16">
        <v>299</v>
      </c>
      <c r="BM228" s="16" t="s">
        <v>96</v>
      </c>
      <c r="BN228" s="16">
        <v>1</v>
      </c>
      <c r="BO228" s="16" t="s">
        <v>84</v>
      </c>
      <c r="BP228" s="16" t="s">
        <v>84</v>
      </c>
      <c r="BQ228" s="16" t="s">
        <v>84</v>
      </c>
      <c r="BR228" s="16" t="s">
        <v>97</v>
      </c>
      <c r="BS228" s="16" t="s">
        <v>98</v>
      </c>
      <c r="BT228" s="16">
        <v>0</v>
      </c>
    </row>
    <row r="229" s="1" customFormat="1" ht="16" customHeight="1" spans="1:72">
      <c r="A229" s="14">
        <f t="shared" si="39"/>
        <v>2025</v>
      </c>
      <c r="B229" s="14">
        <f t="shared" si="40"/>
        <v>8</v>
      </c>
      <c r="C229" s="14" t="str">
        <f t="shared" si="41"/>
        <v>3729783307628059904</v>
      </c>
      <c r="D229" s="14" cm="1">
        <f t="array" ref="D229">SUMPRODUCT(($R$2:$R$374=C229)*1)</f>
        <v>1</v>
      </c>
      <c r="E229" s="14" cm="1">
        <f t="array" ref="E229">SUMPRODUCT(($R$2:R229=C229)*1)</f>
        <v>1</v>
      </c>
      <c r="F229" s="15" t="str">
        <f t="shared" si="42"/>
        <v>P136-黑色</v>
      </c>
      <c r="G229" s="14" t="str">
        <f t="shared" si="43"/>
        <v>P136</v>
      </c>
      <c r="H229" s="15">
        <f t="shared" si="44"/>
        <v>1</v>
      </c>
      <c r="I229" s="14">
        <f t="shared" si="45"/>
        <v>439</v>
      </c>
      <c r="J229" s="15">
        <f t="shared" si="46"/>
        <v>0</v>
      </c>
      <c r="K229" s="15">
        <f t="shared" si="47"/>
        <v>0</v>
      </c>
      <c r="L229" s="15">
        <f t="shared" si="48"/>
        <v>-21.95</v>
      </c>
      <c r="M229" s="15">
        <f t="shared" si="49"/>
        <v>0</v>
      </c>
      <c r="N229" s="15">
        <f t="shared" si="50"/>
        <v>-0.93</v>
      </c>
      <c r="O229" s="15">
        <f t="shared" si="51"/>
        <v>416.12</v>
      </c>
      <c r="R229" s="16" t="s">
        <v>2902</v>
      </c>
      <c r="S229" s="16" t="s">
        <v>2903</v>
      </c>
      <c r="T229" s="16" t="s">
        <v>2904</v>
      </c>
      <c r="U229" s="16" t="s">
        <v>2905</v>
      </c>
      <c r="V229" s="16" t="s">
        <v>2906</v>
      </c>
      <c r="W229" s="16" t="s">
        <v>76</v>
      </c>
      <c r="X229" s="16" t="s">
        <v>77</v>
      </c>
      <c r="Y229" s="16" t="s">
        <v>330</v>
      </c>
      <c r="Z229" s="16" t="s">
        <v>2907</v>
      </c>
      <c r="AA229" s="16" t="s">
        <v>799</v>
      </c>
      <c r="AB229" s="16" t="s">
        <v>2908</v>
      </c>
      <c r="AC229" s="16" t="s">
        <v>2909</v>
      </c>
      <c r="AD229" s="16" t="s">
        <v>2910</v>
      </c>
      <c r="AE229" s="16" t="s">
        <v>84</v>
      </c>
      <c r="AF229" s="16" t="s">
        <v>84</v>
      </c>
      <c r="AG229" s="16">
        <v>439</v>
      </c>
      <c r="AH229" s="16">
        <v>439</v>
      </c>
      <c r="AI229" s="17">
        <v>439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 t="s">
        <v>85</v>
      </c>
      <c r="AP229" s="16" t="s">
        <v>2911</v>
      </c>
      <c r="AQ229" s="16" t="s">
        <v>2912</v>
      </c>
      <c r="AR229" s="16" t="s">
        <v>88</v>
      </c>
      <c r="AS229" s="16" t="s">
        <v>2913</v>
      </c>
      <c r="AT229" s="16">
        <v>21.95</v>
      </c>
      <c r="AU229" s="16" t="s">
        <v>90</v>
      </c>
      <c r="AV229" s="16">
        <v>0.93</v>
      </c>
      <c r="AW229" s="16" t="s">
        <v>115</v>
      </c>
      <c r="AX229" s="16" t="s">
        <v>116</v>
      </c>
      <c r="AY229" s="16" t="s">
        <v>117</v>
      </c>
      <c r="AZ229" s="16" t="s">
        <v>118</v>
      </c>
      <c r="BA229" s="16" t="s">
        <v>119</v>
      </c>
      <c r="BB229" s="16">
        <v>0</v>
      </c>
      <c r="BC229" s="16" t="s">
        <v>84</v>
      </c>
      <c r="BD229" s="16" t="s">
        <v>90</v>
      </c>
      <c r="BE229" s="16" t="s">
        <v>120</v>
      </c>
      <c r="BF229" s="16" t="s">
        <v>121</v>
      </c>
      <c r="BG229" s="16" t="s">
        <v>122</v>
      </c>
      <c r="BH229" s="16" t="s">
        <v>123</v>
      </c>
      <c r="BI229" s="16" t="s">
        <v>124</v>
      </c>
      <c r="BJ229" s="16">
        <v>439</v>
      </c>
      <c r="BK229" s="16">
        <v>439</v>
      </c>
      <c r="BL229" s="16">
        <v>439</v>
      </c>
      <c r="BM229" s="16" t="s">
        <v>96</v>
      </c>
      <c r="BN229" s="16">
        <v>1</v>
      </c>
      <c r="BO229" s="16" t="s">
        <v>84</v>
      </c>
      <c r="BP229" s="16" t="s">
        <v>84</v>
      </c>
      <c r="BQ229" s="16" t="s">
        <v>84</v>
      </c>
      <c r="BR229" s="16" t="s">
        <v>97</v>
      </c>
      <c r="BS229" s="16" t="s">
        <v>98</v>
      </c>
      <c r="BT229" s="16">
        <v>0</v>
      </c>
    </row>
    <row r="230" s="1" customFormat="1" ht="16" customHeight="1" spans="1:72">
      <c r="A230" s="14">
        <f t="shared" ref="A230:A293" si="52">IFERROR(YEAR(V230),"")</f>
        <v>2025</v>
      </c>
      <c r="B230" s="14">
        <f t="shared" ref="B230:B293" si="53">IFERROR(MONTH(V230),"")</f>
        <v>8</v>
      </c>
      <c r="C230" s="14" t="str">
        <f t="shared" ref="C230:C293" si="54">R230</f>
        <v>3729777887306987264</v>
      </c>
      <c r="D230" s="14" cm="1">
        <f t="array" ref="D230">SUMPRODUCT(($R$2:$R$374=C230)*1)</f>
        <v>1</v>
      </c>
      <c r="E230" s="14" cm="1">
        <f t="array" ref="E230">SUMPRODUCT(($R$2:R230=C230)*1)</f>
        <v>1</v>
      </c>
      <c r="F230" s="15" t="str">
        <f t="shared" ref="F230:F293" si="55">BH230</f>
        <v>Z2299-蓝色-S</v>
      </c>
      <c r="G230" s="14" t="str">
        <f t="shared" ref="G230:G293" si="56">LEFT(F230,FIND("-",F230)-1)</f>
        <v>Z2299</v>
      </c>
      <c r="H230" s="15">
        <f t="shared" ref="H230:H293" si="57">IF(AND(BR230="已发货",BT230&lt;BL230,W230="已完成"),BN230,0)</f>
        <v>1</v>
      </c>
      <c r="I230" s="14">
        <f t="shared" ref="I230:I293" si="58">IF(H230=0,BJ230-BT230,H230*BJ230-BT230)</f>
        <v>299</v>
      </c>
      <c r="J230" s="15">
        <f t="shared" ref="J230:J293" si="59">IF(AND(H230&gt;0,E230=1),SUM(AK230:AN230),-SUM(AK230:AN230))</f>
        <v>0</v>
      </c>
      <c r="K230" s="15">
        <f t="shared" ref="K230:K293" si="60">AJ230</f>
        <v>0</v>
      </c>
      <c r="L230" s="15">
        <f t="shared" ref="L230:L293" si="61">IF(E230=1,-SUM(AT230:AU230),0)</f>
        <v>-14.95</v>
      </c>
      <c r="M230" s="15">
        <f t="shared" ref="M230:M293" si="62">IF(AND(E230=1,H230&gt;0),-SUM(BB230),0)</f>
        <v>0</v>
      </c>
      <c r="N230" s="15">
        <f t="shared" ref="N230:N293" si="63">IF(AND(E230=1,H230&gt;0),-SUM(AV230),0)</f>
        <v>-1.5</v>
      </c>
      <c r="O230" s="15">
        <f t="shared" ref="O230:O293" si="64">SUM(I230:N230)</f>
        <v>282.55</v>
      </c>
      <c r="R230" s="16" t="s">
        <v>2914</v>
      </c>
      <c r="S230" s="16" t="s">
        <v>2915</v>
      </c>
      <c r="T230" s="16" t="s">
        <v>2655</v>
      </c>
      <c r="U230" s="16" t="s">
        <v>2916</v>
      </c>
      <c r="V230" s="16" t="s">
        <v>2917</v>
      </c>
      <c r="W230" s="16" t="s">
        <v>76</v>
      </c>
      <c r="X230" s="16" t="s">
        <v>77</v>
      </c>
      <c r="Y230" s="16" t="s">
        <v>330</v>
      </c>
      <c r="Z230" s="16" t="s">
        <v>2907</v>
      </c>
      <c r="AA230" s="16" t="s">
        <v>799</v>
      </c>
      <c r="AB230" s="16" t="s">
        <v>2908</v>
      </c>
      <c r="AC230" s="16" t="s">
        <v>2909</v>
      </c>
      <c r="AD230" s="16" t="s">
        <v>2910</v>
      </c>
      <c r="AE230" s="16" t="s">
        <v>84</v>
      </c>
      <c r="AF230" s="16" t="s">
        <v>84</v>
      </c>
      <c r="AG230" s="16">
        <v>299</v>
      </c>
      <c r="AH230" s="16">
        <v>299</v>
      </c>
      <c r="AI230" s="17">
        <v>299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 t="s">
        <v>85</v>
      </c>
      <c r="AP230" s="16" t="s">
        <v>2918</v>
      </c>
      <c r="AQ230" s="16" t="s">
        <v>2919</v>
      </c>
      <c r="AR230" s="16" t="s">
        <v>88</v>
      </c>
      <c r="AS230" s="16" t="s">
        <v>2920</v>
      </c>
      <c r="AT230" s="16">
        <v>14.95</v>
      </c>
      <c r="AU230" s="16" t="s">
        <v>90</v>
      </c>
      <c r="AV230" s="16">
        <v>1.5</v>
      </c>
      <c r="AW230" s="16" t="s">
        <v>115</v>
      </c>
      <c r="AX230" s="16" t="s">
        <v>116</v>
      </c>
      <c r="AY230" s="16" t="s">
        <v>117</v>
      </c>
      <c r="AZ230" s="16" t="s">
        <v>118</v>
      </c>
      <c r="BA230" s="16" t="s">
        <v>119</v>
      </c>
      <c r="BB230" s="16">
        <v>0</v>
      </c>
      <c r="BC230" s="16" t="s">
        <v>84</v>
      </c>
      <c r="BD230" s="16" t="s">
        <v>90</v>
      </c>
      <c r="BE230" s="16" t="s">
        <v>807</v>
      </c>
      <c r="BF230" s="16" t="s">
        <v>808</v>
      </c>
      <c r="BG230" s="16" t="s">
        <v>809</v>
      </c>
      <c r="BH230" s="16" t="s">
        <v>2921</v>
      </c>
      <c r="BI230" s="16" t="s">
        <v>1725</v>
      </c>
      <c r="BJ230" s="16">
        <v>299</v>
      </c>
      <c r="BK230" s="16">
        <v>299</v>
      </c>
      <c r="BL230" s="16">
        <v>299</v>
      </c>
      <c r="BM230" s="16" t="s">
        <v>96</v>
      </c>
      <c r="BN230" s="16">
        <v>1</v>
      </c>
      <c r="BO230" s="16" t="s">
        <v>84</v>
      </c>
      <c r="BP230" s="16" t="s">
        <v>84</v>
      </c>
      <c r="BQ230" s="16" t="s">
        <v>84</v>
      </c>
      <c r="BR230" s="16" t="s">
        <v>97</v>
      </c>
      <c r="BS230" s="16" t="s">
        <v>98</v>
      </c>
      <c r="BT230" s="16">
        <v>0</v>
      </c>
    </row>
    <row r="231" s="1" customFormat="1" ht="16" customHeight="1" spans="1:72">
      <c r="A231" s="14">
        <f t="shared" si="52"/>
        <v>2025</v>
      </c>
      <c r="B231" s="14">
        <f t="shared" si="53"/>
        <v>8</v>
      </c>
      <c r="C231" s="14" t="str">
        <f t="shared" si="54"/>
        <v>3729765717157748224</v>
      </c>
      <c r="D231" s="14" cm="1">
        <f t="array" ref="D231">SUMPRODUCT(($R$2:$R$374=C231)*1)</f>
        <v>1</v>
      </c>
      <c r="E231" s="14" cm="1">
        <f t="array" ref="E231">SUMPRODUCT(($R$2:R231=C231)*1)</f>
        <v>1</v>
      </c>
      <c r="F231" s="15" t="str">
        <f t="shared" si="55"/>
        <v>Z2259-浅卡其色-M</v>
      </c>
      <c r="G231" s="14" t="str">
        <f t="shared" si="56"/>
        <v>Z2259</v>
      </c>
      <c r="H231" s="15">
        <f t="shared" si="57"/>
        <v>1</v>
      </c>
      <c r="I231" s="14">
        <f t="shared" si="58"/>
        <v>219</v>
      </c>
      <c r="J231" s="15">
        <f t="shared" si="59"/>
        <v>0</v>
      </c>
      <c r="K231" s="15">
        <f t="shared" si="60"/>
        <v>0</v>
      </c>
      <c r="L231" s="15">
        <f t="shared" si="61"/>
        <v>-10.95</v>
      </c>
      <c r="M231" s="15">
        <f t="shared" si="62"/>
        <v>0</v>
      </c>
      <c r="N231" s="15">
        <f t="shared" si="63"/>
        <v>-1.5</v>
      </c>
      <c r="O231" s="15">
        <f t="shared" si="64"/>
        <v>206.55</v>
      </c>
      <c r="R231" s="16" t="s">
        <v>2922</v>
      </c>
      <c r="S231" s="16" t="s">
        <v>2923</v>
      </c>
      <c r="T231" s="16" t="s">
        <v>2924</v>
      </c>
      <c r="U231" s="16" t="s">
        <v>2925</v>
      </c>
      <c r="V231" s="16" t="s">
        <v>2926</v>
      </c>
      <c r="W231" s="16" t="s">
        <v>76</v>
      </c>
      <c r="X231" s="16" t="s">
        <v>77</v>
      </c>
      <c r="Y231" s="16" t="s">
        <v>2927</v>
      </c>
      <c r="Z231" s="16" t="s">
        <v>2928</v>
      </c>
      <c r="AA231" s="16" t="s">
        <v>262</v>
      </c>
      <c r="AB231" s="16" t="s">
        <v>2929</v>
      </c>
      <c r="AC231" s="16" t="s">
        <v>2930</v>
      </c>
      <c r="AD231" s="16" t="s">
        <v>2931</v>
      </c>
      <c r="AE231" s="16" t="s">
        <v>84</v>
      </c>
      <c r="AF231" s="16" t="s">
        <v>84</v>
      </c>
      <c r="AG231" s="16">
        <v>219</v>
      </c>
      <c r="AH231" s="16">
        <v>219</v>
      </c>
      <c r="AI231" s="17">
        <v>219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 t="s">
        <v>137</v>
      </c>
      <c r="AP231" s="16" t="s">
        <v>2932</v>
      </c>
      <c r="AQ231" s="16" t="s">
        <v>2933</v>
      </c>
      <c r="AR231" s="16" t="s">
        <v>88</v>
      </c>
      <c r="AS231" s="16" t="s">
        <v>2934</v>
      </c>
      <c r="AT231" s="16">
        <v>10.95</v>
      </c>
      <c r="AU231" s="16" t="s">
        <v>90</v>
      </c>
      <c r="AV231" s="16">
        <v>1.5</v>
      </c>
      <c r="AW231" s="16" t="s">
        <v>115</v>
      </c>
      <c r="AX231" s="16" t="s">
        <v>116</v>
      </c>
      <c r="AY231" s="16" t="s">
        <v>117</v>
      </c>
      <c r="AZ231" s="16" t="s">
        <v>118</v>
      </c>
      <c r="BA231" s="16" t="s">
        <v>119</v>
      </c>
      <c r="BB231" s="16">
        <v>0</v>
      </c>
      <c r="BC231" s="16" t="s">
        <v>84</v>
      </c>
      <c r="BD231" s="16" t="s">
        <v>90</v>
      </c>
      <c r="BE231" s="16" t="s">
        <v>2935</v>
      </c>
      <c r="BF231" s="16" t="s">
        <v>2936</v>
      </c>
      <c r="BG231" s="16" t="s">
        <v>2937</v>
      </c>
      <c r="BH231" s="16" t="s">
        <v>2938</v>
      </c>
      <c r="BI231" s="16" t="s">
        <v>2939</v>
      </c>
      <c r="BJ231" s="16">
        <v>219</v>
      </c>
      <c r="BK231" s="16">
        <v>219</v>
      </c>
      <c r="BL231" s="16">
        <v>219</v>
      </c>
      <c r="BM231" s="16" t="s">
        <v>96</v>
      </c>
      <c r="BN231" s="16">
        <v>1</v>
      </c>
      <c r="BO231" s="16" t="s">
        <v>84</v>
      </c>
      <c r="BP231" s="16" t="s">
        <v>84</v>
      </c>
      <c r="BQ231" s="16" t="s">
        <v>84</v>
      </c>
      <c r="BR231" s="16" t="s">
        <v>97</v>
      </c>
      <c r="BS231" s="16" t="s">
        <v>98</v>
      </c>
      <c r="BT231" s="16">
        <v>0</v>
      </c>
    </row>
    <row r="232" s="1" customFormat="1" ht="16" customHeight="1" spans="1:72">
      <c r="A232" s="14">
        <f t="shared" si="52"/>
        <v>2025</v>
      </c>
      <c r="B232" s="14">
        <f t="shared" si="53"/>
        <v>8</v>
      </c>
      <c r="C232" s="14" t="str">
        <f t="shared" si="54"/>
        <v>3729764279205109248</v>
      </c>
      <c r="D232" s="14" cm="1">
        <f t="array" ref="D232">SUMPRODUCT(($R$2:$R$374=C232)*1)</f>
        <v>1</v>
      </c>
      <c r="E232" s="14" cm="1">
        <f t="array" ref="E232">SUMPRODUCT(($R$2:R232=C232)*1)</f>
        <v>1</v>
      </c>
      <c r="F232" s="15" t="str">
        <f t="shared" si="55"/>
        <v>Z2278-黑色-S</v>
      </c>
      <c r="G232" s="14" t="str">
        <f t="shared" si="56"/>
        <v>Z2278</v>
      </c>
      <c r="H232" s="15">
        <f t="shared" si="57"/>
        <v>1</v>
      </c>
      <c r="I232" s="14">
        <f t="shared" si="58"/>
        <v>229</v>
      </c>
      <c r="J232" s="15">
        <f t="shared" si="59"/>
        <v>0</v>
      </c>
      <c r="K232" s="15">
        <f t="shared" si="60"/>
        <v>0</v>
      </c>
      <c r="L232" s="15">
        <f t="shared" si="61"/>
        <v>-11.45</v>
      </c>
      <c r="M232" s="15">
        <f t="shared" si="62"/>
        <v>0</v>
      </c>
      <c r="N232" s="15">
        <f t="shared" si="63"/>
        <v>-1.5</v>
      </c>
      <c r="O232" s="15">
        <f t="shared" si="64"/>
        <v>216.05</v>
      </c>
      <c r="R232" s="16" t="s">
        <v>2940</v>
      </c>
      <c r="S232" s="16" t="s">
        <v>2941</v>
      </c>
      <c r="T232" s="16" t="s">
        <v>2159</v>
      </c>
      <c r="U232" s="16" t="s">
        <v>2942</v>
      </c>
      <c r="V232" s="16" t="s">
        <v>2943</v>
      </c>
      <c r="W232" s="16" t="s">
        <v>76</v>
      </c>
      <c r="X232" s="16" t="s">
        <v>77</v>
      </c>
      <c r="Y232" s="16" t="s">
        <v>2944</v>
      </c>
      <c r="Z232" s="16" t="s">
        <v>152</v>
      </c>
      <c r="AA232" s="16" t="s">
        <v>153</v>
      </c>
      <c r="AB232" s="16" t="s">
        <v>153</v>
      </c>
      <c r="AC232" s="16" t="s">
        <v>154</v>
      </c>
      <c r="AD232" s="16" t="s">
        <v>2945</v>
      </c>
      <c r="AE232" s="16" t="s">
        <v>84</v>
      </c>
      <c r="AF232" s="16" t="s">
        <v>84</v>
      </c>
      <c r="AG232" s="16">
        <v>229</v>
      </c>
      <c r="AH232" s="16">
        <v>229</v>
      </c>
      <c r="AI232" s="17">
        <v>229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 t="s">
        <v>137</v>
      </c>
      <c r="AP232" s="16" t="s">
        <v>2946</v>
      </c>
      <c r="AQ232" s="16" t="s">
        <v>2947</v>
      </c>
      <c r="AR232" s="16" t="s">
        <v>88</v>
      </c>
      <c r="AS232" s="16" t="s">
        <v>2948</v>
      </c>
      <c r="AT232" s="16">
        <v>11.45</v>
      </c>
      <c r="AU232" s="16" t="s">
        <v>90</v>
      </c>
      <c r="AV232" s="16">
        <v>1.5</v>
      </c>
      <c r="AW232" s="16" t="s">
        <v>115</v>
      </c>
      <c r="AX232" s="16" t="s">
        <v>116</v>
      </c>
      <c r="AY232" s="16" t="s">
        <v>117</v>
      </c>
      <c r="AZ232" s="16" t="s">
        <v>118</v>
      </c>
      <c r="BA232" s="16" t="s">
        <v>119</v>
      </c>
      <c r="BB232" s="16">
        <v>0</v>
      </c>
      <c r="BC232" s="16" t="s">
        <v>84</v>
      </c>
      <c r="BD232" s="16" t="s">
        <v>90</v>
      </c>
      <c r="BE232" s="16" t="s">
        <v>141</v>
      </c>
      <c r="BF232" s="16" t="s">
        <v>142</v>
      </c>
      <c r="BG232" s="16" t="s">
        <v>143</v>
      </c>
      <c r="BH232" s="16" t="s">
        <v>144</v>
      </c>
      <c r="BI232" s="16" t="s">
        <v>145</v>
      </c>
      <c r="BJ232" s="16">
        <v>229</v>
      </c>
      <c r="BK232" s="16">
        <v>229</v>
      </c>
      <c r="BL232" s="16">
        <v>229</v>
      </c>
      <c r="BM232" s="16" t="s">
        <v>96</v>
      </c>
      <c r="BN232" s="16">
        <v>1</v>
      </c>
      <c r="BO232" s="16" t="s">
        <v>84</v>
      </c>
      <c r="BP232" s="16" t="s">
        <v>84</v>
      </c>
      <c r="BQ232" s="16" t="s">
        <v>84</v>
      </c>
      <c r="BR232" s="16" t="s">
        <v>97</v>
      </c>
      <c r="BS232" s="16" t="s">
        <v>98</v>
      </c>
      <c r="BT232" s="16">
        <v>0</v>
      </c>
    </row>
    <row r="233" s="1" customFormat="1" ht="16" customHeight="1" spans="1:72">
      <c r="A233" s="14">
        <f t="shared" si="52"/>
        <v>2025</v>
      </c>
      <c r="B233" s="14">
        <f t="shared" si="53"/>
        <v>8</v>
      </c>
      <c r="C233" s="14" t="str">
        <f t="shared" si="54"/>
        <v>3729755023133777408</v>
      </c>
      <c r="D233" s="14" cm="1">
        <f t="array" ref="D233">SUMPRODUCT(($R$2:$R$374=C233)*1)</f>
        <v>1</v>
      </c>
      <c r="E233" s="14" cm="1">
        <f t="array" ref="E233">SUMPRODUCT(($R$2:R233=C233)*1)</f>
        <v>1</v>
      </c>
      <c r="F233" s="15" t="str">
        <f t="shared" si="55"/>
        <v>Z2006-白色-M</v>
      </c>
      <c r="G233" s="14" t="str">
        <f t="shared" si="56"/>
        <v>Z2006</v>
      </c>
      <c r="H233" s="15">
        <f t="shared" si="57"/>
        <v>1</v>
      </c>
      <c r="I233" s="14">
        <f t="shared" si="58"/>
        <v>139</v>
      </c>
      <c r="J233" s="15">
        <f t="shared" si="59"/>
        <v>0</v>
      </c>
      <c r="K233" s="15">
        <f t="shared" si="60"/>
        <v>0</v>
      </c>
      <c r="L233" s="15">
        <f t="shared" si="61"/>
        <v>-6.95</v>
      </c>
      <c r="M233" s="15">
        <f t="shared" si="62"/>
        <v>0</v>
      </c>
      <c r="N233" s="15">
        <f t="shared" si="63"/>
        <v>-1.5</v>
      </c>
      <c r="O233" s="15">
        <f t="shared" si="64"/>
        <v>130.55</v>
      </c>
      <c r="R233" s="16" t="s">
        <v>2949</v>
      </c>
      <c r="S233" s="16" t="s">
        <v>2950</v>
      </c>
      <c r="T233" s="16" t="s">
        <v>2951</v>
      </c>
      <c r="U233" s="16" t="s">
        <v>2952</v>
      </c>
      <c r="V233" s="16" t="s">
        <v>2953</v>
      </c>
      <c r="W233" s="16" t="s">
        <v>76</v>
      </c>
      <c r="X233" s="16" t="s">
        <v>77</v>
      </c>
      <c r="Y233" s="16" t="s">
        <v>2954</v>
      </c>
      <c r="Z233" s="16" t="s">
        <v>906</v>
      </c>
      <c r="AA233" s="16" t="s">
        <v>262</v>
      </c>
      <c r="AB233" s="16" t="s">
        <v>907</v>
      </c>
      <c r="AC233" s="16" t="s">
        <v>908</v>
      </c>
      <c r="AD233" s="16" t="s">
        <v>2955</v>
      </c>
      <c r="AE233" s="16" t="s">
        <v>84</v>
      </c>
      <c r="AF233" s="16" t="s">
        <v>84</v>
      </c>
      <c r="AG233" s="16">
        <v>139</v>
      </c>
      <c r="AH233" s="16">
        <v>139</v>
      </c>
      <c r="AI233" s="17">
        <v>139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 t="s">
        <v>137</v>
      </c>
      <c r="AP233" s="16" t="s">
        <v>2956</v>
      </c>
      <c r="AQ233" s="16" t="s">
        <v>2957</v>
      </c>
      <c r="AR233" s="16" t="s">
        <v>88</v>
      </c>
      <c r="AS233" s="16" t="s">
        <v>2958</v>
      </c>
      <c r="AT233" s="16">
        <v>6.95</v>
      </c>
      <c r="AU233" s="16" t="s">
        <v>90</v>
      </c>
      <c r="AV233" s="16">
        <v>1.5</v>
      </c>
      <c r="AW233" s="16" t="s">
        <v>115</v>
      </c>
      <c r="AX233" s="16" t="s">
        <v>116</v>
      </c>
      <c r="AY233" s="16" t="s">
        <v>117</v>
      </c>
      <c r="AZ233" s="16" t="s">
        <v>118</v>
      </c>
      <c r="BA233" s="16" t="s">
        <v>119</v>
      </c>
      <c r="BB233" s="16">
        <v>0</v>
      </c>
      <c r="BC233" s="16" t="s">
        <v>84</v>
      </c>
      <c r="BD233" s="16" t="s">
        <v>90</v>
      </c>
      <c r="BE233" s="16" t="s">
        <v>769</v>
      </c>
      <c r="BF233" s="16" t="s">
        <v>770</v>
      </c>
      <c r="BG233" s="16" t="s">
        <v>771</v>
      </c>
      <c r="BH233" s="16" t="s">
        <v>2959</v>
      </c>
      <c r="BI233" s="16" t="s">
        <v>2960</v>
      </c>
      <c r="BJ233" s="16">
        <v>139</v>
      </c>
      <c r="BK233" s="16">
        <v>139</v>
      </c>
      <c r="BL233" s="16">
        <v>139</v>
      </c>
      <c r="BM233" s="16" t="s">
        <v>96</v>
      </c>
      <c r="BN233" s="16">
        <v>1</v>
      </c>
      <c r="BO233" s="16" t="s">
        <v>84</v>
      </c>
      <c r="BP233" s="16" t="s">
        <v>84</v>
      </c>
      <c r="BQ233" s="16" t="s">
        <v>84</v>
      </c>
      <c r="BR233" s="16" t="s">
        <v>97</v>
      </c>
      <c r="BS233" s="16" t="s">
        <v>98</v>
      </c>
      <c r="BT233" s="16">
        <v>0</v>
      </c>
    </row>
    <row r="234" s="1" customFormat="1" ht="16" customHeight="1" spans="1:72">
      <c r="A234" s="14">
        <f t="shared" si="52"/>
        <v>2025</v>
      </c>
      <c r="B234" s="14">
        <f t="shared" si="53"/>
        <v>8</v>
      </c>
      <c r="C234" s="14" t="str">
        <f t="shared" si="54"/>
        <v>3729754046128600064</v>
      </c>
      <c r="D234" s="14" cm="1">
        <f t="array" ref="D234">SUMPRODUCT(($R$2:$R$374=C234)*1)</f>
        <v>1</v>
      </c>
      <c r="E234" s="14" cm="1">
        <f t="array" ref="E234">SUMPRODUCT(($R$2:R234=C234)*1)</f>
        <v>1</v>
      </c>
      <c r="F234" s="15" t="str">
        <f t="shared" si="55"/>
        <v>Z2140-灰色-S</v>
      </c>
      <c r="G234" s="14" t="str">
        <f t="shared" si="56"/>
        <v>Z2140</v>
      </c>
      <c r="H234" s="15">
        <f t="shared" si="57"/>
        <v>1</v>
      </c>
      <c r="I234" s="14">
        <f t="shared" si="58"/>
        <v>189</v>
      </c>
      <c r="J234" s="15">
        <f t="shared" si="59"/>
        <v>0</v>
      </c>
      <c r="K234" s="15">
        <f t="shared" si="60"/>
        <v>0</v>
      </c>
      <c r="L234" s="15">
        <f t="shared" si="61"/>
        <v>-1.89</v>
      </c>
      <c r="M234" s="15">
        <f t="shared" si="62"/>
        <v>0</v>
      </c>
      <c r="N234" s="15">
        <f t="shared" si="63"/>
        <v>-1.5</v>
      </c>
      <c r="O234" s="15">
        <f t="shared" si="64"/>
        <v>185.61</v>
      </c>
      <c r="R234" s="16" t="s">
        <v>2961</v>
      </c>
      <c r="S234" s="16" t="s">
        <v>2962</v>
      </c>
      <c r="T234" s="16" t="s">
        <v>2963</v>
      </c>
      <c r="U234" s="16" t="s">
        <v>2964</v>
      </c>
      <c r="V234" s="16" t="s">
        <v>2965</v>
      </c>
      <c r="W234" s="16" t="s">
        <v>76</v>
      </c>
      <c r="X234" s="16" t="s">
        <v>77</v>
      </c>
      <c r="Y234" s="16" t="s">
        <v>1966</v>
      </c>
      <c r="Z234" s="16" t="s">
        <v>1967</v>
      </c>
      <c r="AA234" s="16" t="s">
        <v>80</v>
      </c>
      <c r="AB234" s="16" t="s">
        <v>655</v>
      </c>
      <c r="AC234" s="16" t="s">
        <v>1968</v>
      </c>
      <c r="AD234" s="16" t="s">
        <v>1969</v>
      </c>
      <c r="AE234" s="16" t="s">
        <v>84</v>
      </c>
      <c r="AF234" s="16" t="s">
        <v>84</v>
      </c>
      <c r="AG234" s="16">
        <v>189</v>
      </c>
      <c r="AH234" s="16">
        <v>189</v>
      </c>
      <c r="AI234" s="17">
        <v>189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 t="s">
        <v>137</v>
      </c>
      <c r="AP234" s="16" t="s">
        <v>2966</v>
      </c>
      <c r="AQ234" s="16" t="s">
        <v>2967</v>
      </c>
      <c r="AR234" s="16" t="s">
        <v>88</v>
      </c>
      <c r="AS234" s="16" t="s">
        <v>2968</v>
      </c>
      <c r="AT234" s="16">
        <v>1.89</v>
      </c>
      <c r="AU234" s="16" t="s">
        <v>90</v>
      </c>
      <c r="AV234" s="16">
        <v>1.5</v>
      </c>
      <c r="AW234" s="16" t="s">
        <v>90</v>
      </c>
      <c r="AX234" s="16" t="s">
        <v>90</v>
      </c>
      <c r="AY234" s="16" t="s">
        <v>90</v>
      </c>
      <c r="AZ234" s="16" t="s">
        <v>90</v>
      </c>
      <c r="BA234" s="16" t="s">
        <v>90</v>
      </c>
      <c r="BB234" s="16">
        <v>0</v>
      </c>
      <c r="BC234" s="16"/>
      <c r="BD234" s="16" t="s">
        <v>90</v>
      </c>
      <c r="BE234" s="16" t="s">
        <v>1973</v>
      </c>
      <c r="BF234" s="16" t="s">
        <v>1974</v>
      </c>
      <c r="BG234" s="16" t="s">
        <v>1975</v>
      </c>
      <c r="BH234" s="16" t="s">
        <v>2969</v>
      </c>
      <c r="BI234" s="16" t="s">
        <v>163</v>
      </c>
      <c r="BJ234" s="16">
        <v>189</v>
      </c>
      <c r="BK234" s="16">
        <v>189</v>
      </c>
      <c r="BL234" s="16">
        <v>189</v>
      </c>
      <c r="BM234" s="16" t="s">
        <v>96</v>
      </c>
      <c r="BN234" s="16">
        <v>1</v>
      </c>
      <c r="BO234" s="16" t="s">
        <v>84</v>
      </c>
      <c r="BP234" s="16" t="s">
        <v>84</v>
      </c>
      <c r="BQ234" s="16" t="s">
        <v>84</v>
      </c>
      <c r="BR234" s="16" t="s">
        <v>97</v>
      </c>
      <c r="BS234" s="16" t="s">
        <v>98</v>
      </c>
      <c r="BT234" s="16">
        <v>0</v>
      </c>
    </row>
    <row r="235" s="1" customFormat="1" ht="16" customHeight="1" spans="1:72">
      <c r="A235" s="14">
        <f t="shared" si="52"/>
        <v>2025</v>
      </c>
      <c r="B235" s="14">
        <f t="shared" si="53"/>
        <v>8</v>
      </c>
      <c r="C235" s="14" t="str">
        <f t="shared" si="54"/>
        <v>3729752756756296704</v>
      </c>
      <c r="D235" s="14" cm="1">
        <f t="array" ref="D235">SUMPRODUCT(($R$2:$R$374=C235)*1)</f>
        <v>1</v>
      </c>
      <c r="E235" s="14" cm="1">
        <f t="array" ref="E235">SUMPRODUCT(($R$2:R235=C235)*1)</f>
        <v>1</v>
      </c>
      <c r="F235" s="15" t="str">
        <f t="shared" si="55"/>
        <v>Z2006-黑色-S</v>
      </c>
      <c r="G235" s="14" t="str">
        <f t="shared" si="56"/>
        <v>Z2006</v>
      </c>
      <c r="H235" s="15">
        <f t="shared" si="57"/>
        <v>1</v>
      </c>
      <c r="I235" s="14">
        <f t="shared" si="58"/>
        <v>139</v>
      </c>
      <c r="J235" s="15">
        <f t="shared" si="59"/>
        <v>0</v>
      </c>
      <c r="K235" s="15">
        <f t="shared" si="60"/>
        <v>0</v>
      </c>
      <c r="L235" s="15">
        <f t="shared" si="61"/>
        <v>-6.95</v>
      </c>
      <c r="M235" s="15">
        <f t="shared" si="62"/>
        <v>0</v>
      </c>
      <c r="N235" s="15">
        <f t="shared" si="63"/>
        <v>-1.5</v>
      </c>
      <c r="O235" s="15">
        <f t="shared" si="64"/>
        <v>130.55</v>
      </c>
      <c r="R235" s="16" t="s">
        <v>2970</v>
      </c>
      <c r="S235" s="16" t="s">
        <v>2971</v>
      </c>
      <c r="T235" s="16" t="s">
        <v>2972</v>
      </c>
      <c r="U235" s="16" t="s">
        <v>2973</v>
      </c>
      <c r="V235" s="16" t="s">
        <v>2974</v>
      </c>
      <c r="W235" s="16" t="s">
        <v>76</v>
      </c>
      <c r="X235" s="16" t="s">
        <v>77</v>
      </c>
      <c r="Y235" s="16" t="s">
        <v>1535</v>
      </c>
      <c r="Z235" s="16" t="s">
        <v>1546</v>
      </c>
      <c r="AA235" s="16" t="s">
        <v>1547</v>
      </c>
      <c r="AB235" s="16" t="s">
        <v>1548</v>
      </c>
      <c r="AC235" s="16" t="s">
        <v>1549</v>
      </c>
      <c r="AD235" s="16" t="s">
        <v>2975</v>
      </c>
      <c r="AE235" s="16" t="s">
        <v>84</v>
      </c>
      <c r="AF235" s="16" t="s">
        <v>84</v>
      </c>
      <c r="AG235" s="16">
        <v>139</v>
      </c>
      <c r="AH235" s="16">
        <v>139</v>
      </c>
      <c r="AI235" s="17">
        <v>139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 t="s">
        <v>85</v>
      </c>
      <c r="AP235" s="16" t="s">
        <v>2976</v>
      </c>
      <c r="AQ235" s="16" t="s">
        <v>2977</v>
      </c>
      <c r="AR235" s="16" t="s">
        <v>88</v>
      </c>
      <c r="AS235" s="16" t="s">
        <v>2978</v>
      </c>
      <c r="AT235" s="16">
        <v>6.95</v>
      </c>
      <c r="AU235" s="16" t="s">
        <v>90</v>
      </c>
      <c r="AV235" s="16">
        <v>1.5</v>
      </c>
      <c r="AW235" s="16" t="s">
        <v>115</v>
      </c>
      <c r="AX235" s="16" t="s">
        <v>116</v>
      </c>
      <c r="AY235" s="16" t="s">
        <v>117</v>
      </c>
      <c r="AZ235" s="16" t="s">
        <v>118</v>
      </c>
      <c r="BA235" s="16" t="s">
        <v>119</v>
      </c>
      <c r="BB235" s="16">
        <v>0</v>
      </c>
      <c r="BC235" s="16" t="s">
        <v>84</v>
      </c>
      <c r="BD235" s="16" t="s">
        <v>90</v>
      </c>
      <c r="BE235" s="16" t="s">
        <v>769</v>
      </c>
      <c r="BF235" s="16" t="s">
        <v>770</v>
      </c>
      <c r="BG235" s="16" t="s">
        <v>771</v>
      </c>
      <c r="BH235" s="16" t="s">
        <v>2979</v>
      </c>
      <c r="BI235" s="16" t="s">
        <v>2618</v>
      </c>
      <c r="BJ235" s="16">
        <v>139</v>
      </c>
      <c r="BK235" s="16">
        <v>139</v>
      </c>
      <c r="BL235" s="16">
        <v>139</v>
      </c>
      <c r="BM235" s="16" t="s">
        <v>96</v>
      </c>
      <c r="BN235" s="16">
        <v>1</v>
      </c>
      <c r="BO235" s="16" t="s">
        <v>84</v>
      </c>
      <c r="BP235" s="16" t="s">
        <v>84</v>
      </c>
      <c r="BQ235" s="16" t="s">
        <v>84</v>
      </c>
      <c r="BR235" s="16" t="s">
        <v>97</v>
      </c>
      <c r="BS235" s="16" t="s">
        <v>98</v>
      </c>
      <c r="BT235" s="16">
        <v>0</v>
      </c>
    </row>
    <row r="236" s="1" customFormat="1" ht="16" customHeight="1" spans="1:72">
      <c r="A236" s="14">
        <f t="shared" si="52"/>
        <v>2025</v>
      </c>
      <c r="B236" s="14">
        <f t="shared" si="53"/>
        <v>8</v>
      </c>
      <c r="C236" s="14" t="str">
        <f t="shared" si="54"/>
        <v>3729738730228560128</v>
      </c>
      <c r="D236" s="14" cm="1">
        <f t="array" ref="D236">SUMPRODUCT(($R$2:$R$374=C236)*1)</f>
        <v>1</v>
      </c>
      <c r="E236" s="14" cm="1">
        <f t="array" ref="E236">SUMPRODUCT(($R$2:R236=C236)*1)</f>
        <v>1</v>
      </c>
      <c r="F236" s="15" t="str">
        <f t="shared" si="55"/>
        <v>Z914-花灰色-S</v>
      </c>
      <c r="G236" s="14" t="str">
        <f t="shared" si="56"/>
        <v>Z914</v>
      </c>
      <c r="H236" s="15">
        <f t="shared" si="57"/>
        <v>1</v>
      </c>
      <c r="I236" s="14">
        <f t="shared" si="58"/>
        <v>179</v>
      </c>
      <c r="J236" s="15">
        <f t="shared" si="59"/>
        <v>0</v>
      </c>
      <c r="K236" s="15">
        <f t="shared" si="60"/>
        <v>0</v>
      </c>
      <c r="L236" s="15">
        <f t="shared" si="61"/>
        <v>-8.95</v>
      </c>
      <c r="M236" s="15">
        <f t="shared" si="62"/>
        <v>0</v>
      </c>
      <c r="N236" s="15">
        <f t="shared" si="63"/>
        <v>-1.5</v>
      </c>
      <c r="O236" s="15">
        <f t="shared" si="64"/>
        <v>168.55</v>
      </c>
      <c r="R236" s="16" t="s">
        <v>2980</v>
      </c>
      <c r="S236" s="16" t="s">
        <v>2981</v>
      </c>
      <c r="T236" s="16" t="s">
        <v>2982</v>
      </c>
      <c r="U236" s="16" t="s">
        <v>2983</v>
      </c>
      <c r="V236" s="16" t="s">
        <v>2984</v>
      </c>
      <c r="W236" s="16" t="s">
        <v>76</v>
      </c>
      <c r="X236" s="16" t="s">
        <v>77</v>
      </c>
      <c r="Y236" s="16" t="s">
        <v>2985</v>
      </c>
      <c r="Z236" s="16" t="s">
        <v>189</v>
      </c>
      <c r="AA236" s="16" t="s">
        <v>107</v>
      </c>
      <c r="AB236" s="16" t="s">
        <v>190</v>
      </c>
      <c r="AC236" s="16" t="s">
        <v>191</v>
      </c>
      <c r="AD236" s="16" t="s">
        <v>2986</v>
      </c>
      <c r="AE236" s="16" t="s">
        <v>84</v>
      </c>
      <c r="AF236" s="16" t="s">
        <v>84</v>
      </c>
      <c r="AG236" s="16">
        <v>179</v>
      </c>
      <c r="AH236" s="16">
        <v>179</v>
      </c>
      <c r="AI236" s="17">
        <v>179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 t="s">
        <v>85</v>
      </c>
      <c r="AP236" s="16" t="s">
        <v>2987</v>
      </c>
      <c r="AQ236" s="16" t="s">
        <v>2988</v>
      </c>
      <c r="AR236" s="16" t="s">
        <v>88</v>
      </c>
      <c r="AS236" s="16" t="s">
        <v>2989</v>
      </c>
      <c r="AT236" s="16">
        <v>8.95</v>
      </c>
      <c r="AU236" s="16" t="s">
        <v>90</v>
      </c>
      <c r="AV236" s="16">
        <v>1.5</v>
      </c>
      <c r="AW236" s="16" t="s">
        <v>115</v>
      </c>
      <c r="AX236" s="16" t="s">
        <v>116</v>
      </c>
      <c r="AY236" s="16" t="s">
        <v>117</v>
      </c>
      <c r="AZ236" s="16" t="s">
        <v>118</v>
      </c>
      <c r="BA236" s="16" t="s">
        <v>119</v>
      </c>
      <c r="BB236" s="16">
        <v>0</v>
      </c>
      <c r="BC236" s="16" t="s">
        <v>84</v>
      </c>
      <c r="BD236" s="16" t="s">
        <v>90</v>
      </c>
      <c r="BE236" s="16" t="s">
        <v>2990</v>
      </c>
      <c r="BF236" s="16" t="s">
        <v>2991</v>
      </c>
      <c r="BG236" s="16" t="s">
        <v>2992</v>
      </c>
      <c r="BH236" s="16" t="s">
        <v>2993</v>
      </c>
      <c r="BI236" s="16" t="s">
        <v>2994</v>
      </c>
      <c r="BJ236" s="16">
        <v>179</v>
      </c>
      <c r="BK236" s="16">
        <v>179</v>
      </c>
      <c r="BL236" s="16">
        <v>179</v>
      </c>
      <c r="BM236" s="16" t="s">
        <v>96</v>
      </c>
      <c r="BN236" s="16">
        <v>1</v>
      </c>
      <c r="BO236" s="16" t="s">
        <v>84</v>
      </c>
      <c r="BP236" s="16" t="s">
        <v>84</v>
      </c>
      <c r="BQ236" s="16" t="s">
        <v>84</v>
      </c>
      <c r="BR236" s="16" t="s">
        <v>97</v>
      </c>
      <c r="BS236" s="16" t="s">
        <v>98</v>
      </c>
      <c r="BT236" s="16">
        <v>0</v>
      </c>
    </row>
    <row r="237" s="1" customFormat="1" ht="16" customHeight="1" spans="1:72">
      <c r="A237" s="14">
        <f t="shared" si="52"/>
        <v>2025</v>
      </c>
      <c r="B237" s="14">
        <f t="shared" si="53"/>
        <v>8</v>
      </c>
      <c r="C237" s="14" t="str">
        <f t="shared" si="54"/>
        <v>3729732993855922432</v>
      </c>
      <c r="D237" s="14" cm="1">
        <f t="array" ref="D237">SUMPRODUCT(($R$2:$R$374=C237)*1)</f>
        <v>1</v>
      </c>
      <c r="E237" s="14" cm="1">
        <f t="array" ref="E237">SUMPRODUCT(($R$2:R237=C237)*1)</f>
        <v>1</v>
      </c>
      <c r="F237" s="15" t="str">
        <f t="shared" si="55"/>
        <v>P124-银色-AC006</v>
      </c>
      <c r="G237" s="14" t="str">
        <f t="shared" si="56"/>
        <v>P124</v>
      </c>
      <c r="H237" s="15">
        <f t="shared" si="57"/>
        <v>1</v>
      </c>
      <c r="I237" s="14">
        <f t="shared" si="58"/>
        <v>299</v>
      </c>
      <c r="J237" s="15">
        <f t="shared" si="59"/>
        <v>0</v>
      </c>
      <c r="K237" s="15">
        <f t="shared" si="60"/>
        <v>0</v>
      </c>
      <c r="L237" s="15">
        <f t="shared" si="61"/>
        <v>-14.95</v>
      </c>
      <c r="M237" s="15">
        <f t="shared" si="62"/>
        <v>0</v>
      </c>
      <c r="N237" s="15">
        <f t="shared" si="63"/>
        <v>-1.98</v>
      </c>
      <c r="O237" s="15">
        <f t="shared" si="64"/>
        <v>282.07</v>
      </c>
      <c r="R237" s="16" t="s">
        <v>2995</v>
      </c>
      <c r="S237" s="16" t="s">
        <v>2996</v>
      </c>
      <c r="T237" s="16" t="s">
        <v>2997</v>
      </c>
      <c r="U237" s="16" t="s">
        <v>2998</v>
      </c>
      <c r="V237" s="16" t="s">
        <v>2999</v>
      </c>
      <c r="W237" s="16" t="s">
        <v>76</v>
      </c>
      <c r="X237" s="16" t="s">
        <v>77</v>
      </c>
      <c r="Y237" s="16" t="s">
        <v>1005</v>
      </c>
      <c r="Z237" s="16" t="s">
        <v>1308</v>
      </c>
      <c r="AA237" s="16" t="s">
        <v>430</v>
      </c>
      <c r="AB237" s="16" t="s">
        <v>430</v>
      </c>
      <c r="AC237" s="16" t="s">
        <v>1309</v>
      </c>
      <c r="AD237" s="16" t="s">
        <v>3000</v>
      </c>
      <c r="AE237" s="16" t="s">
        <v>84</v>
      </c>
      <c r="AF237" s="16" t="s">
        <v>84</v>
      </c>
      <c r="AG237" s="16">
        <v>299</v>
      </c>
      <c r="AH237" s="16">
        <v>299</v>
      </c>
      <c r="AI237" s="17">
        <v>299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 t="s">
        <v>85</v>
      </c>
      <c r="AP237" s="16" t="s">
        <v>3001</v>
      </c>
      <c r="AQ237" s="16" t="s">
        <v>3002</v>
      </c>
      <c r="AR237" s="16" t="s">
        <v>88</v>
      </c>
      <c r="AS237" s="16" t="s">
        <v>3003</v>
      </c>
      <c r="AT237" s="16">
        <v>14.95</v>
      </c>
      <c r="AU237" s="16" t="s">
        <v>90</v>
      </c>
      <c r="AV237" s="16">
        <v>1.98</v>
      </c>
      <c r="AW237" s="16" t="s">
        <v>115</v>
      </c>
      <c r="AX237" s="16" t="s">
        <v>116</v>
      </c>
      <c r="AY237" s="16" t="s">
        <v>117</v>
      </c>
      <c r="AZ237" s="16" t="s">
        <v>118</v>
      </c>
      <c r="BA237" s="16" t="s">
        <v>119</v>
      </c>
      <c r="BB237" s="16">
        <v>0</v>
      </c>
      <c r="BC237" s="16" t="s">
        <v>84</v>
      </c>
      <c r="BD237" s="16" t="s">
        <v>90</v>
      </c>
      <c r="BE237" s="16" t="s">
        <v>3004</v>
      </c>
      <c r="BF237" s="16" t="s">
        <v>3005</v>
      </c>
      <c r="BG237" s="16" t="s">
        <v>3006</v>
      </c>
      <c r="BH237" s="16" t="s">
        <v>3007</v>
      </c>
      <c r="BI237" s="16" t="s">
        <v>3008</v>
      </c>
      <c r="BJ237" s="16">
        <v>299</v>
      </c>
      <c r="BK237" s="16">
        <v>299</v>
      </c>
      <c r="BL237" s="16">
        <v>299</v>
      </c>
      <c r="BM237" s="16" t="s">
        <v>96</v>
      </c>
      <c r="BN237" s="16">
        <v>1</v>
      </c>
      <c r="BO237" s="16" t="s">
        <v>84</v>
      </c>
      <c r="BP237" s="16" t="s">
        <v>84</v>
      </c>
      <c r="BQ237" s="16" t="s">
        <v>84</v>
      </c>
      <c r="BR237" s="16" t="s">
        <v>97</v>
      </c>
      <c r="BS237" s="16" t="s">
        <v>98</v>
      </c>
      <c r="BT237" s="16">
        <v>0</v>
      </c>
    </row>
    <row r="238" s="1" customFormat="1" ht="16" customHeight="1" spans="1:72">
      <c r="A238" s="14">
        <f t="shared" si="52"/>
        <v>2025</v>
      </c>
      <c r="B238" s="14">
        <f t="shared" si="53"/>
        <v>8</v>
      </c>
      <c r="C238" s="14" t="str">
        <f t="shared" si="54"/>
        <v>3729732889460220160</v>
      </c>
      <c r="D238" s="14" cm="1">
        <f t="array" ref="D238">SUMPRODUCT(($R$2:$R$374=C238)*1)</f>
        <v>1</v>
      </c>
      <c r="E238" s="14" cm="1">
        <f t="array" ref="E238">SUMPRODUCT(($R$2:R238=C238)*1)</f>
        <v>1</v>
      </c>
      <c r="F238" s="15" t="str">
        <f t="shared" si="55"/>
        <v>P110-项链</v>
      </c>
      <c r="G238" s="14" t="str">
        <f t="shared" si="56"/>
        <v>P110</v>
      </c>
      <c r="H238" s="15">
        <f t="shared" si="57"/>
        <v>1</v>
      </c>
      <c r="I238" s="14">
        <f t="shared" si="58"/>
        <v>289</v>
      </c>
      <c r="J238" s="15">
        <f t="shared" si="59"/>
        <v>0</v>
      </c>
      <c r="K238" s="15">
        <f t="shared" si="60"/>
        <v>0</v>
      </c>
      <c r="L238" s="15">
        <f t="shared" si="61"/>
        <v>-14.45</v>
      </c>
      <c r="M238" s="15">
        <f t="shared" si="62"/>
        <v>0</v>
      </c>
      <c r="N238" s="15">
        <f t="shared" si="63"/>
        <v>-1.98</v>
      </c>
      <c r="O238" s="15">
        <f t="shared" si="64"/>
        <v>272.57</v>
      </c>
      <c r="R238" s="16" t="s">
        <v>3009</v>
      </c>
      <c r="S238" s="16" t="s">
        <v>3010</v>
      </c>
      <c r="T238" s="16" t="s">
        <v>2689</v>
      </c>
      <c r="U238" s="16" t="s">
        <v>3011</v>
      </c>
      <c r="V238" s="16" t="s">
        <v>3012</v>
      </c>
      <c r="W238" s="16" t="s">
        <v>76</v>
      </c>
      <c r="X238" s="16" t="s">
        <v>77</v>
      </c>
      <c r="Y238" s="16" t="s">
        <v>1005</v>
      </c>
      <c r="Z238" s="16" t="s">
        <v>1308</v>
      </c>
      <c r="AA238" s="16" t="s">
        <v>430</v>
      </c>
      <c r="AB238" s="16" t="s">
        <v>430</v>
      </c>
      <c r="AC238" s="16" t="s">
        <v>1309</v>
      </c>
      <c r="AD238" s="16" t="s">
        <v>3000</v>
      </c>
      <c r="AE238" s="16" t="s">
        <v>84</v>
      </c>
      <c r="AF238" s="16" t="s">
        <v>84</v>
      </c>
      <c r="AG238" s="16">
        <v>289</v>
      </c>
      <c r="AH238" s="16">
        <v>289</v>
      </c>
      <c r="AI238" s="17">
        <v>289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 t="s">
        <v>85</v>
      </c>
      <c r="AP238" s="16" t="s">
        <v>3013</v>
      </c>
      <c r="AQ238" s="16" t="s">
        <v>3014</v>
      </c>
      <c r="AR238" s="16" t="s">
        <v>88</v>
      </c>
      <c r="AS238" s="16" t="s">
        <v>3015</v>
      </c>
      <c r="AT238" s="16">
        <v>14.45</v>
      </c>
      <c r="AU238" s="16" t="s">
        <v>90</v>
      </c>
      <c r="AV238" s="16">
        <v>1.98</v>
      </c>
      <c r="AW238" s="16" t="s">
        <v>115</v>
      </c>
      <c r="AX238" s="16" t="s">
        <v>116</v>
      </c>
      <c r="AY238" s="16" t="s">
        <v>117</v>
      </c>
      <c r="AZ238" s="16" t="s">
        <v>118</v>
      </c>
      <c r="BA238" s="16" t="s">
        <v>119</v>
      </c>
      <c r="BB238" s="16">
        <v>0</v>
      </c>
      <c r="BC238" s="16" t="s">
        <v>84</v>
      </c>
      <c r="BD238" s="16" t="s">
        <v>90</v>
      </c>
      <c r="BE238" s="16" t="s">
        <v>2699</v>
      </c>
      <c r="BF238" s="16" t="s">
        <v>2700</v>
      </c>
      <c r="BG238" s="16" t="s">
        <v>2701</v>
      </c>
      <c r="BH238" s="16" t="s">
        <v>2702</v>
      </c>
      <c r="BI238" s="16" t="s">
        <v>2703</v>
      </c>
      <c r="BJ238" s="16">
        <v>289</v>
      </c>
      <c r="BK238" s="16">
        <v>289</v>
      </c>
      <c r="BL238" s="16">
        <v>289</v>
      </c>
      <c r="BM238" s="16" t="s">
        <v>96</v>
      </c>
      <c r="BN238" s="16">
        <v>1</v>
      </c>
      <c r="BO238" s="16" t="s">
        <v>84</v>
      </c>
      <c r="BP238" s="16" t="s">
        <v>84</v>
      </c>
      <c r="BQ238" s="16" t="s">
        <v>84</v>
      </c>
      <c r="BR238" s="16" t="s">
        <v>97</v>
      </c>
      <c r="BS238" s="16" t="s">
        <v>98</v>
      </c>
      <c r="BT238" s="16">
        <v>0</v>
      </c>
    </row>
    <row r="239" s="1" customFormat="1" ht="16" customHeight="1" spans="1:72">
      <c r="A239" s="14">
        <f t="shared" si="52"/>
        <v>2025</v>
      </c>
      <c r="B239" s="14">
        <f t="shared" si="53"/>
        <v>8</v>
      </c>
      <c r="C239" s="14" t="str">
        <f t="shared" si="54"/>
        <v>3729699814871798784</v>
      </c>
      <c r="D239" s="14" cm="1">
        <f t="array" ref="D239">SUMPRODUCT(($R$2:$R$374=C239)*1)</f>
        <v>1</v>
      </c>
      <c r="E239" s="14" cm="1">
        <f t="array" ref="E239">SUMPRODUCT(($R$2:R239=C239)*1)</f>
        <v>1</v>
      </c>
      <c r="F239" s="15" t="str">
        <f t="shared" si="55"/>
        <v>P110-项链</v>
      </c>
      <c r="G239" s="14" t="str">
        <f t="shared" si="56"/>
        <v>P110</v>
      </c>
      <c r="H239" s="15">
        <f t="shared" si="57"/>
        <v>1</v>
      </c>
      <c r="I239" s="14">
        <f t="shared" si="58"/>
        <v>289</v>
      </c>
      <c r="J239" s="15">
        <f t="shared" si="59"/>
        <v>0</v>
      </c>
      <c r="K239" s="15">
        <f t="shared" si="60"/>
        <v>0</v>
      </c>
      <c r="L239" s="15">
        <f t="shared" si="61"/>
        <v>-14.45</v>
      </c>
      <c r="M239" s="15">
        <f t="shared" si="62"/>
        <v>0</v>
      </c>
      <c r="N239" s="15">
        <f t="shared" si="63"/>
        <v>-1.98</v>
      </c>
      <c r="O239" s="15">
        <f t="shared" si="64"/>
        <v>272.57</v>
      </c>
      <c r="R239" s="16" t="s">
        <v>3016</v>
      </c>
      <c r="S239" s="16" t="s">
        <v>3017</v>
      </c>
      <c r="T239" s="16" t="s">
        <v>2689</v>
      </c>
      <c r="U239" s="16" t="s">
        <v>3018</v>
      </c>
      <c r="V239" s="16" t="s">
        <v>3019</v>
      </c>
      <c r="W239" s="16" t="s">
        <v>76</v>
      </c>
      <c r="X239" s="16" t="s">
        <v>77</v>
      </c>
      <c r="Y239" s="16" t="s">
        <v>454</v>
      </c>
      <c r="Z239" s="16" t="s">
        <v>2030</v>
      </c>
      <c r="AA239" s="16" t="s">
        <v>171</v>
      </c>
      <c r="AB239" s="16" t="s">
        <v>172</v>
      </c>
      <c r="AC239" s="16" t="s">
        <v>2031</v>
      </c>
      <c r="AD239" s="16" t="s">
        <v>3020</v>
      </c>
      <c r="AE239" s="16" t="s">
        <v>84</v>
      </c>
      <c r="AF239" s="16" t="s">
        <v>84</v>
      </c>
      <c r="AG239" s="16">
        <v>289</v>
      </c>
      <c r="AH239" s="16">
        <v>289</v>
      </c>
      <c r="AI239" s="17">
        <v>289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 t="s">
        <v>85</v>
      </c>
      <c r="AP239" s="16" t="s">
        <v>3021</v>
      </c>
      <c r="AQ239" s="16" t="s">
        <v>3022</v>
      </c>
      <c r="AR239" s="16" t="s">
        <v>88</v>
      </c>
      <c r="AS239" s="16" t="s">
        <v>3023</v>
      </c>
      <c r="AT239" s="16">
        <v>14.45</v>
      </c>
      <c r="AU239" s="16" t="s">
        <v>90</v>
      </c>
      <c r="AV239" s="16">
        <v>1.98</v>
      </c>
      <c r="AW239" s="16" t="s">
        <v>115</v>
      </c>
      <c r="AX239" s="16" t="s">
        <v>116</v>
      </c>
      <c r="AY239" s="16" t="s">
        <v>117</v>
      </c>
      <c r="AZ239" s="16" t="s">
        <v>118</v>
      </c>
      <c r="BA239" s="16" t="s">
        <v>119</v>
      </c>
      <c r="BB239" s="16">
        <v>0</v>
      </c>
      <c r="BC239" s="16" t="s">
        <v>84</v>
      </c>
      <c r="BD239" s="16" t="s">
        <v>90</v>
      </c>
      <c r="BE239" s="16" t="s">
        <v>2699</v>
      </c>
      <c r="BF239" s="16" t="s">
        <v>2700</v>
      </c>
      <c r="BG239" s="16" t="s">
        <v>2701</v>
      </c>
      <c r="BH239" s="16" t="s">
        <v>2702</v>
      </c>
      <c r="BI239" s="16" t="s">
        <v>2703</v>
      </c>
      <c r="BJ239" s="16">
        <v>289</v>
      </c>
      <c r="BK239" s="16">
        <v>289</v>
      </c>
      <c r="BL239" s="16">
        <v>289</v>
      </c>
      <c r="BM239" s="16" t="s">
        <v>96</v>
      </c>
      <c r="BN239" s="16">
        <v>1</v>
      </c>
      <c r="BO239" s="16" t="s">
        <v>84</v>
      </c>
      <c r="BP239" s="16" t="s">
        <v>84</v>
      </c>
      <c r="BQ239" s="16" t="s">
        <v>84</v>
      </c>
      <c r="BR239" s="16" t="s">
        <v>97</v>
      </c>
      <c r="BS239" s="16" t="s">
        <v>98</v>
      </c>
      <c r="BT239" s="16">
        <v>0</v>
      </c>
    </row>
    <row r="240" s="1" customFormat="1" ht="16" customHeight="1" spans="1:72">
      <c r="A240" s="14">
        <f t="shared" si="52"/>
        <v>2025</v>
      </c>
      <c r="B240" s="14">
        <f t="shared" si="53"/>
        <v>8</v>
      </c>
      <c r="C240" s="14" t="str">
        <f t="shared" si="54"/>
        <v>3729699592856279552</v>
      </c>
      <c r="D240" s="14" cm="1">
        <f t="array" ref="D240">SUMPRODUCT(($R$2:$R$374=C240)*1)</f>
        <v>1</v>
      </c>
      <c r="E240" s="14" cm="1">
        <f t="array" ref="E240">SUMPRODUCT(($R$2:R240=C240)*1)</f>
        <v>1</v>
      </c>
      <c r="F240" s="15" t="str">
        <f t="shared" si="55"/>
        <v>Z2215-蓝色-M</v>
      </c>
      <c r="G240" s="14" t="str">
        <f t="shared" si="56"/>
        <v>Z2215</v>
      </c>
      <c r="H240" s="15">
        <f t="shared" si="57"/>
        <v>1</v>
      </c>
      <c r="I240" s="14">
        <f t="shared" si="58"/>
        <v>299</v>
      </c>
      <c r="J240" s="15">
        <f t="shared" si="59"/>
        <v>0</v>
      </c>
      <c r="K240" s="15">
        <f t="shared" si="60"/>
        <v>0</v>
      </c>
      <c r="L240" s="15">
        <f t="shared" si="61"/>
        <v>-14.95</v>
      </c>
      <c r="M240" s="15">
        <f t="shared" si="62"/>
        <v>0</v>
      </c>
      <c r="N240" s="15">
        <f t="shared" si="63"/>
        <v>-1.5</v>
      </c>
      <c r="O240" s="15">
        <f t="shared" si="64"/>
        <v>282.55</v>
      </c>
      <c r="R240" s="16" t="s">
        <v>3024</v>
      </c>
      <c r="S240" s="16" t="s">
        <v>3025</v>
      </c>
      <c r="T240" s="16" t="s">
        <v>3026</v>
      </c>
      <c r="U240" s="16" t="s">
        <v>3027</v>
      </c>
      <c r="V240" s="16" t="s">
        <v>3028</v>
      </c>
      <c r="W240" s="16" t="s">
        <v>76</v>
      </c>
      <c r="X240" s="16" t="s">
        <v>77</v>
      </c>
      <c r="Y240" s="16" t="s">
        <v>3029</v>
      </c>
      <c r="Z240" s="16" t="s">
        <v>3030</v>
      </c>
      <c r="AA240" s="16" t="s">
        <v>2667</v>
      </c>
      <c r="AB240" s="16" t="s">
        <v>2668</v>
      </c>
      <c r="AC240" s="16" t="s">
        <v>3031</v>
      </c>
      <c r="AD240" s="16" t="s">
        <v>3032</v>
      </c>
      <c r="AE240" s="16" t="s">
        <v>84</v>
      </c>
      <c r="AF240" s="16" t="s">
        <v>606</v>
      </c>
      <c r="AG240" s="16">
        <v>299</v>
      </c>
      <c r="AH240" s="16">
        <v>299</v>
      </c>
      <c r="AI240" s="17">
        <v>299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 t="s">
        <v>137</v>
      </c>
      <c r="AP240" s="16" t="s">
        <v>3033</v>
      </c>
      <c r="AQ240" s="16" t="s">
        <v>3034</v>
      </c>
      <c r="AR240" s="16" t="s">
        <v>88</v>
      </c>
      <c r="AS240" s="16" t="s">
        <v>3035</v>
      </c>
      <c r="AT240" s="16">
        <v>14.95</v>
      </c>
      <c r="AU240" s="16" t="s">
        <v>90</v>
      </c>
      <c r="AV240" s="16">
        <v>1.5</v>
      </c>
      <c r="AW240" s="16" t="s">
        <v>115</v>
      </c>
      <c r="AX240" s="16" t="s">
        <v>116</v>
      </c>
      <c r="AY240" s="16" t="s">
        <v>117</v>
      </c>
      <c r="AZ240" s="16" t="s">
        <v>118</v>
      </c>
      <c r="BA240" s="16" t="s">
        <v>119</v>
      </c>
      <c r="BB240" s="16">
        <v>0</v>
      </c>
      <c r="BC240" s="16" t="s">
        <v>84</v>
      </c>
      <c r="BD240" s="16" t="s">
        <v>90</v>
      </c>
      <c r="BE240" s="16" t="s">
        <v>971</v>
      </c>
      <c r="BF240" s="16" t="s">
        <v>972</v>
      </c>
      <c r="BG240" s="16" t="s">
        <v>973</v>
      </c>
      <c r="BH240" s="16" t="s">
        <v>974</v>
      </c>
      <c r="BI240" s="16" t="s">
        <v>811</v>
      </c>
      <c r="BJ240" s="16">
        <v>299</v>
      </c>
      <c r="BK240" s="16">
        <v>299</v>
      </c>
      <c r="BL240" s="16">
        <v>299</v>
      </c>
      <c r="BM240" s="16" t="s">
        <v>96</v>
      </c>
      <c r="BN240" s="16">
        <v>1</v>
      </c>
      <c r="BO240" s="16" t="s">
        <v>84</v>
      </c>
      <c r="BP240" s="16" t="s">
        <v>84</v>
      </c>
      <c r="BQ240" s="16" t="s">
        <v>84</v>
      </c>
      <c r="BR240" s="16" t="s">
        <v>97</v>
      </c>
      <c r="BS240" s="16" t="s">
        <v>98</v>
      </c>
      <c r="BT240" s="16">
        <v>0</v>
      </c>
    </row>
    <row r="241" s="1" customFormat="1" ht="16" customHeight="1" spans="1:72">
      <c r="A241" s="14">
        <f t="shared" si="52"/>
        <v>2025</v>
      </c>
      <c r="B241" s="14">
        <f t="shared" si="53"/>
        <v>8</v>
      </c>
      <c r="C241" s="14" t="str">
        <f t="shared" si="54"/>
        <v>3729699087731269376</v>
      </c>
      <c r="D241" s="14" cm="1">
        <f t="array" ref="D241">SUMPRODUCT(($R$2:$R$374=C241)*1)</f>
        <v>1</v>
      </c>
      <c r="E241" s="14" cm="1">
        <f t="array" ref="E241">SUMPRODUCT(($R$2:R241=C241)*1)</f>
        <v>1</v>
      </c>
      <c r="F241" s="15" t="str">
        <f t="shared" si="55"/>
        <v>Z2295-黑色-M</v>
      </c>
      <c r="G241" s="14" t="str">
        <f t="shared" si="56"/>
        <v>Z2295</v>
      </c>
      <c r="H241" s="15">
        <f t="shared" si="57"/>
        <v>1</v>
      </c>
      <c r="I241" s="14">
        <f t="shared" si="58"/>
        <v>179</v>
      </c>
      <c r="J241" s="15">
        <f t="shared" si="59"/>
        <v>0</v>
      </c>
      <c r="K241" s="15">
        <f t="shared" si="60"/>
        <v>0</v>
      </c>
      <c r="L241" s="15">
        <f t="shared" si="61"/>
        <v>-8.95</v>
      </c>
      <c r="M241" s="15">
        <f t="shared" si="62"/>
        <v>0</v>
      </c>
      <c r="N241" s="15">
        <f t="shared" si="63"/>
        <v>-1.5</v>
      </c>
      <c r="O241" s="15">
        <f t="shared" si="64"/>
        <v>168.55</v>
      </c>
      <c r="R241" s="16" t="s">
        <v>3036</v>
      </c>
      <c r="S241" s="16" t="s">
        <v>3037</v>
      </c>
      <c r="T241" s="16" t="s">
        <v>3038</v>
      </c>
      <c r="U241" s="16" t="s">
        <v>3039</v>
      </c>
      <c r="V241" s="16" t="s">
        <v>3040</v>
      </c>
      <c r="W241" s="16" t="s">
        <v>76</v>
      </c>
      <c r="X241" s="16" t="s">
        <v>77</v>
      </c>
      <c r="Y241" s="16" t="s">
        <v>1842</v>
      </c>
      <c r="Z241" s="16" t="s">
        <v>3041</v>
      </c>
      <c r="AA241" s="16" t="s">
        <v>171</v>
      </c>
      <c r="AB241" s="16" t="s">
        <v>3042</v>
      </c>
      <c r="AC241" s="16" t="s">
        <v>3043</v>
      </c>
      <c r="AD241" s="16" t="s">
        <v>3044</v>
      </c>
      <c r="AE241" s="16" t="s">
        <v>84</v>
      </c>
      <c r="AF241" s="16" t="s">
        <v>84</v>
      </c>
      <c r="AG241" s="16">
        <v>179</v>
      </c>
      <c r="AH241" s="16">
        <v>179</v>
      </c>
      <c r="AI241" s="17">
        <v>179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 t="s">
        <v>137</v>
      </c>
      <c r="AP241" s="16" t="s">
        <v>3045</v>
      </c>
      <c r="AQ241" s="16" t="s">
        <v>3046</v>
      </c>
      <c r="AR241" s="16" t="s">
        <v>88</v>
      </c>
      <c r="AS241" s="16" t="s">
        <v>3047</v>
      </c>
      <c r="AT241" s="16">
        <v>8.95</v>
      </c>
      <c r="AU241" s="16" t="s">
        <v>90</v>
      </c>
      <c r="AV241" s="16">
        <v>1.5</v>
      </c>
      <c r="AW241" s="16" t="s">
        <v>115</v>
      </c>
      <c r="AX241" s="16" t="s">
        <v>116</v>
      </c>
      <c r="AY241" s="16" t="s">
        <v>117</v>
      </c>
      <c r="AZ241" s="16" t="s">
        <v>118</v>
      </c>
      <c r="BA241" s="16" t="s">
        <v>119</v>
      </c>
      <c r="BB241" s="16">
        <v>0</v>
      </c>
      <c r="BC241" s="16" t="s">
        <v>84</v>
      </c>
      <c r="BD241" s="16" t="s">
        <v>90</v>
      </c>
      <c r="BE241" s="16" t="s">
        <v>3048</v>
      </c>
      <c r="BF241" s="16" t="s">
        <v>3049</v>
      </c>
      <c r="BG241" s="16" t="s">
        <v>3050</v>
      </c>
      <c r="BH241" s="16" t="s">
        <v>3051</v>
      </c>
      <c r="BI241" s="16" t="s">
        <v>3052</v>
      </c>
      <c r="BJ241" s="16">
        <v>179</v>
      </c>
      <c r="BK241" s="16">
        <v>179</v>
      </c>
      <c r="BL241" s="16">
        <v>179</v>
      </c>
      <c r="BM241" s="16" t="s">
        <v>96</v>
      </c>
      <c r="BN241" s="16">
        <v>1</v>
      </c>
      <c r="BO241" s="16" t="s">
        <v>84</v>
      </c>
      <c r="BP241" s="16" t="s">
        <v>84</v>
      </c>
      <c r="BQ241" s="16" t="s">
        <v>84</v>
      </c>
      <c r="BR241" s="16" t="s">
        <v>97</v>
      </c>
      <c r="BS241" s="16" t="s">
        <v>98</v>
      </c>
      <c r="BT241" s="16">
        <v>0</v>
      </c>
    </row>
    <row r="242" s="1" customFormat="1" ht="16" customHeight="1" spans="1:72">
      <c r="A242" s="14">
        <f t="shared" si="52"/>
        <v>2025</v>
      </c>
      <c r="B242" s="14">
        <f t="shared" si="53"/>
        <v>8</v>
      </c>
      <c r="C242" s="14" t="str">
        <f t="shared" si="54"/>
        <v>3729698933378004736</v>
      </c>
      <c r="D242" s="14" cm="1">
        <f t="array" ref="D242">SUMPRODUCT(($R$2:$R$374=C242)*1)</f>
        <v>1</v>
      </c>
      <c r="E242" s="14" cm="1">
        <f t="array" ref="E242">SUMPRODUCT(($R$2:R242=C242)*1)</f>
        <v>1</v>
      </c>
      <c r="F242" s="15" t="str">
        <f t="shared" si="55"/>
        <v>Z1581-黑色-M</v>
      </c>
      <c r="G242" s="14" t="str">
        <f t="shared" si="56"/>
        <v>Z1581</v>
      </c>
      <c r="H242" s="15">
        <f t="shared" si="57"/>
        <v>1</v>
      </c>
      <c r="I242" s="14">
        <f t="shared" si="58"/>
        <v>289</v>
      </c>
      <c r="J242" s="15">
        <f t="shared" si="59"/>
        <v>0</v>
      </c>
      <c r="K242" s="15">
        <f t="shared" si="60"/>
        <v>0</v>
      </c>
      <c r="L242" s="15">
        <f t="shared" si="61"/>
        <v>-14.45</v>
      </c>
      <c r="M242" s="15">
        <f t="shared" si="62"/>
        <v>0</v>
      </c>
      <c r="N242" s="15">
        <f t="shared" si="63"/>
        <v>-1.5</v>
      </c>
      <c r="O242" s="15">
        <f t="shared" si="64"/>
        <v>273.05</v>
      </c>
      <c r="R242" s="16" t="s">
        <v>3053</v>
      </c>
      <c r="S242" s="16" t="s">
        <v>3054</v>
      </c>
      <c r="T242" s="16" t="s">
        <v>3055</v>
      </c>
      <c r="U242" s="16" t="s">
        <v>3056</v>
      </c>
      <c r="V242" s="16" t="s">
        <v>3057</v>
      </c>
      <c r="W242" s="16" t="s">
        <v>76</v>
      </c>
      <c r="X242" s="16" t="s">
        <v>77</v>
      </c>
      <c r="Y242" s="16" t="s">
        <v>3058</v>
      </c>
      <c r="Z242" s="16" t="s">
        <v>3059</v>
      </c>
      <c r="AA242" s="16" t="s">
        <v>3060</v>
      </c>
      <c r="AB242" s="16" t="s">
        <v>3061</v>
      </c>
      <c r="AC242" s="16" t="s">
        <v>3062</v>
      </c>
      <c r="AD242" s="16" t="s">
        <v>3063</v>
      </c>
      <c r="AE242" s="16" t="s">
        <v>84</v>
      </c>
      <c r="AF242" s="16" t="s">
        <v>84</v>
      </c>
      <c r="AG242" s="16">
        <v>289</v>
      </c>
      <c r="AH242" s="16">
        <v>289</v>
      </c>
      <c r="AI242" s="17">
        <v>289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 t="s">
        <v>85</v>
      </c>
      <c r="AP242" s="16" t="s">
        <v>3064</v>
      </c>
      <c r="AQ242" s="16" t="s">
        <v>3065</v>
      </c>
      <c r="AR242" s="16" t="s">
        <v>88</v>
      </c>
      <c r="AS242" s="16" t="s">
        <v>3066</v>
      </c>
      <c r="AT242" s="16">
        <v>14.45</v>
      </c>
      <c r="AU242" s="16" t="s">
        <v>90</v>
      </c>
      <c r="AV242" s="16">
        <v>1.5</v>
      </c>
      <c r="AW242" s="16" t="s">
        <v>115</v>
      </c>
      <c r="AX242" s="16" t="s">
        <v>116</v>
      </c>
      <c r="AY242" s="16" t="s">
        <v>117</v>
      </c>
      <c r="AZ242" s="16" t="s">
        <v>118</v>
      </c>
      <c r="BA242" s="16" t="s">
        <v>119</v>
      </c>
      <c r="BB242" s="16">
        <v>0</v>
      </c>
      <c r="BC242" s="16" t="s">
        <v>84</v>
      </c>
      <c r="BD242" s="16" t="s">
        <v>90</v>
      </c>
      <c r="BE242" s="16" t="s">
        <v>419</v>
      </c>
      <c r="BF242" s="16" t="s">
        <v>420</v>
      </c>
      <c r="BG242" s="16" t="s">
        <v>421</v>
      </c>
      <c r="BH242" s="16" t="s">
        <v>422</v>
      </c>
      <c r="BI242" s="16" t="s">
        <v>308</v>
      </c>
      <c r="BJ242" s="16">
        <v>289</v>
      </c>
      <c r="BK242" s="16">
        <v>289</v>
      </c>
      <c r="BL242" s="16">
        <v>289</v>
      </c>
      <c r="BM242" s="16" t="s">
        <v>96</v>
      </c>
      <c r="BN242" s="16">
        <v>1</v>
      </c>
      <c r="BO242" s="16" t="s">
        <v>84</v>
      </c>
      <c r="BP242" s="16" t="s">
        <v>84</v>
      </c>
      <c r="BQ242" s="16" t="s">
        <v>84</v>
      </c>
      <c r="BR242" s="16" t="s">
        <v>97</v>
      </c>
      <c r="BS242" s="16" t="s">
        <v>98</v>
      </c>
      <c r="BT242" s="16">
        <v>0</v>
      </c>
    </row>
    <row r="243" s="1" customFormat="1" ht="16" customHeight="1" spans="1:72">
      <c r="A243" s="14">
        <f t="shared" si="52"/>
        <v>2025</v>
      </c>
      <c r="B243" s="14">
        <f t="shared" si="53"/>
        <v>8</v>
      </c>
      <c r="C243" s="14" t="str">
        <f t="shared" si="54"/>
        <v>3729698766060393472</v>
      </c>
      <c r="D243" s="14" cm="1">
        <f t="array" ref="D243">SUMPRODUCT(($R$2:$R$374=C243)*1)</f>
        <v>1</v>
      </c>
      <c r="E243" s="14" cm="1">
        <f t="array" ref="E243">SUMPRODUCT(($R$2:R243=C243)*1)</f>
        <v>1</v>
      </c>
      <c r="F243" s="15" t="str">
        <f t="shared" si="55"/>
        <v>Z1581-白色-S</v>
      </c>
      <c r="G243" s="14" t="str">
        <f t="shared" si="56"/>
        <v>Z1581</v>
      </c>
      <c r="H243" s="15">
        <f t="shared" si="57"/>
        <v>1</v>
      </c>
      <c r="I243" s="14">
        <f t="shared" si="58"/>
        <v>289</v>
      </c>
      <c r="J243" s="15">
        <f t="shared" si="59"/>
        <v>0</v>
      </c>
      <c r="K243" s="15">
        <f t="shared" si="60"/>
        <v>0</v>
      </c>
      <c r="L243" s="15">
        <f t="shared" si="61"/>
        <v>-14.45</v>
      </c>
      <c r="M243" s="15">
        <f t="shared" si="62"/>
        <v>0</v>
      </c>
      <c r="N243" s="15">
        <f t="shared" si="63"/>
        <v>-1.5</v>
      </c>
      <c r="O243" s="15">
        <f t="shared" si="64"/>
        <v>273.05</v>
      </c>
      <c r="R243" s="16" t="s">
        <v>3067</v>
      </c>
      <c r="S243" s="16" t="s">
        <v>3068</v>
      </c>
      <c r="T243" s="16" t="s">
        <v>3069</v>
      </c>
      <c r="U243" s="16" t="s">
        <v>3070</v>
      </c>
      <c r="V243" s="16" t="s">
        <v>3071</v>
      </c>
      <c r="W243" s="16" t="s">
        <v>76</v>
      </c>
      <c r="X243" s="16" t="s">
        <v>77</v>
      </c>
      <c r="Y243" s="16" t="s">
        <v>297</v>
      </c>
      <c r="Z243" s="16" t="s">
        <v>1160</v>
      </c>
      <c r="AA243" s="16" t="s">
        <v>430</v>
      </c>
      <c r="AB243" s="16" t="s">
        <v>430</v>
      </c>
      <c r="AC243" s="16" t="s">
        <v>1161</v>
      </c>
      <c r="AD243" s="16" t="s">
        <v>3072</v>
      </c>
      <c r="AE243" s="16" t="s">
        <v>84</v>
      </c>
      <c r="AF243" s="16" t="s">
        <v>84</v>
      </c>
      <c r="AG243" s="16">
        <v>289</v>
      </c>
      <c r="AH243" s="16">
        <v>289</v>
      </c>
      <c r="AI243" s="17">
        <v>289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 t="s">
        <v>85</v>
      </c>
      <c r="AP243" s="16" t="s">
        <v>3073</v>
      </c>
      <c r="AQ243" s="16" t="s">
        <v>3074</v>
      </c>
      <c r="AR243" s="16" t="s">
        <v>88</v>
      </c>
      <c r="AS243" s="16" t="s">
        <v>3075</v>
      </c>
      <c r="AT243" s="16">
        <v>14.45</v>
      </c>
      <c r="AU243" s="16" t="s">
        <v>90</v>
      </c>
      <c r="AV243" s="16">
        <v>1.5</v>
      </c>
      <c r="AW243" s="16" t="s">
        <v>115</v>
      </c>
      <c r="AX243" s="16" t="s">
        <v>116</v>
      </c>
      <c r="AY243" s="16" t="s">
        <v>117</v>
      </c>
      <c r="AZ243" s="16" t="s">
        <v>118</v>
      </c>
      <c r="BA243" s="16" t="s">
        <v>119</v>
      </c>
      <c r="BB243" s="16">
        <v>0</v>
      </c>
      <c r="BC243" s="16" t="s">
        <v>84</v>
      </c>
      <c r="BD243" s="16" t="s">
        <v>90</v>
      </c>
      <c r="BE243" s="16" t="s">
        <v>419</v>
      </c>
      <c r="BF243" s="16" t="s">
        <v>420</v>
      </c>
      <c r="BG243" s="16" t="s">
        <v>421</v>
      </c>
      <c r="BH243" s="16" t="s">
        <v>2497</v>
      </c>
      <c r="BI243" s="16" t="s">
        <v>1519</v>
      </c>
      <c r="BJ243" s="16">
        <v>289</v>
      </c>
      <c r="BK243" s="16">
        <v>289</v>
      </c>
      <c r="BL243" s="16">
        <v>289</v>
      </c>
      <c r="BM243" s="16" t="s">
        <v>96</v>
      </c>
      <c r="BN243" s="16">
        <v>1</v>
      </c>
      <c r="BO243" s="16" t="s">
        <v>84</v>
      </c>
      <c r="BP243" s="16" t="s">
        <v>84</v>
      </c>
      <c r="BQ243" s="16" t="s">
        <v>84</v>
      </c>
      <c r="BR243" s="16" t="s">
        <v>97</v>
      </c>
      <c r="BS243" s="16" t="s">
        <v>98</v>
      </c>
      <c r="BT243" s="16">
        <v>0</v>
      </c>
    </row>
    <row r="244" s="1" customFormat="1" ht="16" customHeight="1" spans="1:72">
      <c r="A244" s="14">
        <f t="shared" si="52"/>
        <v>2025</v>
      </c>
      <c r="B244" s="14">
        <f t="shared" si="53"/>
        <v>8</v>
      </c>
      <c r="C244" s="14" t="str">
        <f t="shared" si="54"/>
        <v>3729698672448774912</v>
      </c>
      <c r="D244" s="14" cm="1">
        <f t="array" ref="D244">SUMPRODUCT(($R$2:$R$374=C244)*1)</f>
        <v>1</v>
      </c>
      <c r="E244" s="14" cm="1">
        <f t="array" ref="E244">SUMPRODUCT(($R$2:R244=C244)*1)</f>
        <v>1</v>
      </c>
      <c r="F244" s="15" t="str">
        <f t="shared" si="55"/>
        <v>Z2278-黑色-L</v>
      </c>
      <c r="G244" s="14" t="str">
        <f t="shared" si="56"/>
        <v>Z2278</v>
      </c>
      <c r="H244" s="15">
        <f t="shared" si="57"/>
        <v>1</v>
      </c>
      <c r="I244" s="14">
        <f t="shared" si="58"/>
        <v>229</v>
      </c>
      <c r="J244" s="15">
        <f t="shared" si="59"/>
        <v>0</v>
      </c>
      <c r="K244" s="15">
        <f t="shared" si="60"/>
        <v>0</v>
      </c>
      <c r="L244" s="15">
        <f t="shared" si="61"/>
        <v>-11.45</v>
      </c>
      <c r="M244" s="15">
        <f t="shared" si="62"/>
        <v>0</v>
      </c>
      <c r="N244" s="15">
        <f t="shared" si="63"/>
        <v>-1.5</v>
      </c>
      <c r="O244" s="15">
        <f t="shared" si="64"/>
        <v>216.05</v>
      </c>
      <c r="R244" s="16" t="s">
        <v>3076</v>
      </c>
      <c r="S244" s="16" t="s">
        <v>3077</v>
      </c>
      <c r="T244" s="16" t="s">
        <v>3069</v>
      </c>
      <c r="U244" s="16" t="s">
        <v>3078</v>
      </c>
      <c r="V244" s="16" t="s">
        <v>3079</v>
      </c>
      <c r="W244" s="16" t="s">
        <v>76</v>
      </c>
      <c r="X244" s="16" t="s">
        <v>77</v>
      </c>
      <c r="Y244" s="16" t="s">
        <v>330</v>
      </c>
      <c r="Z244" s="16" t="s">
        <v>3080</v>
      </c>
      <c r="AA244" s="16" t="s">
        <v>153</v>
      </c>
      <c r="AB244" s="16" t="s">
        <v>153</v>
      </c>
      <c r="AC244" s="16" t="s">
        <v>3081</v>
      </c>
      <c r="AD244" s="16" t="s">
        <v>3082</v>
      </c>
      <c r="AE244" s="16" t="s">
        <v>84</v>
      </c>
      <c r="AF244" s="16" t="s">
        <v>84</v>
      </c>
      <c r="AG244" s="16">
        <v>229</v>
      </c>
      <c r="AH244" s="16">
        <v>229</v>
      </c>
      <c r="AI244" s="17">
        <v>229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 t="s">
        <v>137</v>
      </c>
      <c r="AP244" s="16" t="s">
        <v>3083</v>
      </c>
      <c r="AQ244" s="16" t="s">
        <v>3084</v>
      </c>
      <c r="AR244" s="16" t="s">
        <v>88</v>
      </c>
      <c r="AS244" s="16" t="s">
        <v>3085</v>
      </c>
      <c r="AT244" s="16">
        <v>11.45</v>
      </c>
      <c r="AU244" s="16" t="s">
        <v>90</v>
      </c>
      <c r="AV244" s="16">
        <v>1.5</v>
      </c>
      <c r="AW244" s="16" t="s">
        <v>115</v>
      </c>
      <c r="AX244" s="16" t="s">
        <v>116</v>
      </c>
      <c r="AY244" s="16" t="s">
        <v>117</v>
      </c>
      <c r="AZ244" s="16" t="s">
        <v>118</v>
      </c>
      <c r="BA244" s="16" t="s">
        <v>119</v>
      </c>
      <c r="BB244" s="16">
        <v>0</v>
      </c>
      <c r="BC244" s="16" t="s">
        <v>84</v>
      </c>
      <c r="BD244" s="16" t="s">
        <v>90</v>
      </c>
      <c r="BE244" s="16" t="s">
        <v>141</v>
      </c>
      <c r="BF244" s="16" t="s">
        <v>142</v>
      </c>
      <c r="BG244" s="16" t="s">
        <v>143</v>
      </c>
      <c r="BH244" s="16" t="s">
        <v>2234</v>
      </c>
      <c r="BI244" s="16" t="s">
        <v>2211</v>
      </c>
      <c r="BJ244" s="16">
        <v>229</v>
      </c>
      <c r="BK244" s="16">
        <v>229</v>
      </c>
      <c r="BL244" s="16">
        <v>229</v>
      </c>
      <c r="BM244" s="16" t="s">
        <v>96</v>
      </c>
      <c r="BN244" s="16">
        <v>1</v>
      </c>
      <c r="BO244" s="16" t="s">
        <v>84</v>
      </c>
      <c r="BP244" s="16" t="s">
        <v>84</v>
      </c>
      <c r="BQ244" s="16" t="s">
        <v>84</v>
      </c>
      <c r="BR244" s="16" t="s">
        <v>97</v>
      </c>
      <c r="BS244" s="16" t="s">
        <v>98</v>
      </c>
      <c r="BT244" s="16">
        <v>0</v>
      </c>
    </row>
    <row r="245" s="1" customFormat="1" ht="16" customHeight="1" spans="1:72">
      <c r="A245" s="14">
        <f t="shared" si="52"/>
        <v>2025</v>
      </c>
      <c r="B245" s="14">
        <f t="shared" si="53"/>
        <v>8</v>
      </c>
      <c r="C245" s="14" t="str">
        <f t="shared" si="54"/>
        <v>3729698419785998080</v>
      </c>
      <c r="D245" s="14" cm="1">
        <f t="array" ref="D245">SUMPRODUCT(($R$2:$R$374=C245)*1)</f>
        <v>1</v>
      </c>
      <c r="E245" s="14" cm="1">
        <f t="array" ref="E245">SUMPRODUCT(($R$2:R245=C245)*1)</f>
        <v>1</v>
      </c>
      <c r="F245" s="15" t="str">
        <f t="shared" si="55"/>
        <v>Z2215-蓝色-M</v>
      </c>
      <c r="G245" s="14" t="str">
        <f t="shared" si="56"/>
        <v>Z2215</v>
      </c>
      <c r="H245" s="15">
        <f t="shared" si="57"/>
        <v>1</v>
      </c>
      <c r="I245" s="14">
        <f t="shared" si="58"/>
        <v>299</v>
      </c>
      <c r="J245" s="15">
        <f t="shared" si="59"/>
        <v>0</v>
      </c>
      <c r="K245" s="15">
        <f t="shared" si="60"/>
        <v>0</v>
      </c>
      <c r="L245" s="15">
        <f t="shared" si="61"/>
        <v>-14.95</v>
      </c>
      <c r="M245" s="15">
        <f t="shared" si="62"/>
        <v>0</v>
      </c>
      <c r="N245" s="15">
        <f t="shared" si="63"/>
        <v>-1.5</v>
      </c>
      <c r="O245" s="15">
        <f t="shared" si="64"/>
        <v>282.55</v>
      </c>
      <c r="R245" s="16" t="s">
        <v>3086</v>
      </c>
      <c r="S245" s="16" t="s">
        <v>3087</v>
      </c>
      <c r="T245" s="16" t="s">
        <v>3088</v>
      </c>
      <c r="U245" s="16" t="s">
        <v>3089</v>
      </c>
      <c r="V245" s="16" t="s">
        <v>3090</v>
      </c>
      <c r="W245" s="16" t="s">
        <v>76</v>
      </c>
      <c r="X245" s="16" t="s">
        <v>77</v>
      </c>
      <c r="Y245" s="16" t="s">
        <v>3091</v>
      </c>
      <c r="Z245" s="16" t="s">
        <v>937</v>
      </c>
      <c r="AA245" s="16" t="s">
        <v>153</v>
      </c>
      <c r="AB245" s="16" t="s">
        <v>153</v>
      </c>
      <c r="AC245" s="16" t="s">
        <v>938</v>
      </c>
      <c r="AD245" s="16" t="s">
        <v>3092</v>
      </c>
      <c r="AE245" s="16" t="s">
        <v>84</v>
      </c>
      <c r="AF245" s="16" t="s">
        <v>84</v>
      </c>
      <c r="AG245" s="16">
        <v>299</v>
      </c>
      <c r="AH245" s="16">
        <v>299</v>
      </c>
      <c r="AI245" s="17">
        <v>299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 t="s">
        <v>85</v>
      </c>
      <c r="AP245" s="16" t="s">
        <v>3093</v>
      </c>
      <c r="AQ245" s="16" t="s">
        <v>3094</v>
      </c>
      <c r="AR245" s="16" t="s">
        <v>88</v>
      </c>
      <c r="AS245" s="16" t="s">
        <v>3095</v>
      </c>
      <c r="AT245" s="16">
        <v>14.95</v>
      </c>
      <c r="AU245" s="16" t="s">
        <v>90</v>
      </c>
      <c r="AV245" s="16">
        <v>1.5</v>
      </c>
      <c r="AW245" s="16" t="s">
        <v>115</v>
      </c>
      <c r="AX245" s="16" t="s">
        <v>116</v>
      </c>
      <c r="AY245" s="16" t="s">
        <v>117</v>
      </c>
      <c r="AZ245" s="16" t="s">
        <v>118</v>
      </c>
      <c r="BA245" s="16" t="s">
        <v>119</v>
      </c>
      <c r="BB245" s="16">
        <v>0</v>
      </c>
      <c r="BC245" s="16" t="s">
        <v>84</v>
      </c>
      <c r="BD245" s="16" t="s">
        <v>90</v>
      </c>
      <c r="BE245" s="16" t="s">
        <v>971</v>
      </c>
      <c r="BF245" s="16" t="s">
        <v>972</v>
      </c>
      <c r="BG245" s="16" t="s">
        <v>973</v>
      </c>
      <c r="BH245" s="16" t="s">
        <v>974</v>
      </c>
      <c r="BI245" s="16" t="s">
        <v>811</v>
      </c>
      <c r="BJ245" s="16">
        <v>299</v>
      </c>
      <c r="BK245" s="16">
        <v>299</v>
      </c>
      <c r="BL245" s="16">
        <v>299</v>
      </c>
      <c r="BM245" s="16" t="s">
        <v>96</v>
      </c>
      <c r="BN245" s="16">
        <v>1</v>
      </c>
      <c r="BO245" s="16" t="s">
        <v>84</v>
      </c>
      <c r="BP245" s="16" t="s">
        <v>84</v>
      </c>
      <c r="BQ245" s="16" t="s">
        <v>84</v>
      </c>
      <c r="BR245" s="16" t="s">
        <v>97</v>
      </c>
      <c r="BS245" s="16" t="s">
        <v>98</v>
      </c>
      <c r="BT245" s="16">
        <v>0</v>
      </c>
    </row>
    <row r="246" s="1" customFormat="1" ht="14" customHeight="1" spans="1:72">
      <c r="A246" s="14">
        <f t="shared" si="52"/>
        <v>2025</v>
      </c>
      <c r="B246" s="14">
        <f t="shared" si="53"/>
        <v>8</v>
      </c>
      <c r="C246" s="14" t="str">
        <f t="shared" si="54"/>
        <v>3729698304711866112</v>
      </c>
      <c r="D246" s="14" cm="1">
        <f t="array" ref="D246">SUMPRODUCT(($R$2:$R$374=C246)*1)</f>
        <v>1</v>
      </c>
      <c r="E246" s="14" cm="1">
        <f t="array" ref="E246">SUMPRODUCT(($R$2:R246=C246)*1)</f>
        <v>1</v>
      </c>
      <c r="F246" s="15" t="str">
        <f t="shared" si="55"/>
        <v>Z2278-黑色-L</v>
      </c>
      <c r="G246" s="14" t="str">
        <f t="shared" si="56"/>
        <v>Z2278</v>
      </c>
      <c r="H246" s="15">
        <f t="shared" si="57"/>
        <v>1</v>
      </c>
      <c r="I246" s="14">
        <f t="shared" si="58"/>
        <v>229</v>
      </c>
      <c r="J246" s="15">
        <f t="shared" si="59"/>
        <v>0</v>
      </c>
      <c r="K246" s="15">
        <f t="shared" si="60"/>
        <v>0</v>
      </c>
      <c r="L246" s="15">
        <f t="shared" si="61"/>
        <v>-11.45</v>
      </c>
      <c r="M246" s="15">
        <f t="shared" si="62"/>
        <v>0</v>
      </c>
      <c r="N246" s="15">
        <f t="shared" si="63"/>
        <v>-1.5</v>
      </c>
      <c r="O246" s="15">
        <f t="shared" si="64"/>
        <v>216.05</v>
      </c>
      <c r="R246" s="16" t="s">
        <v>3096</v>
      </c>
      <c r="S246" s="16" t="s">
        <v>3097</v>
      </c>
      <c r="T246" s="16" t="s">
        <v>3069</v>
      </c>
      <c r="U246" s="16" t="s">
        <v>3098</v>
      </c>
      <c r="V246" s="16" t="s">
        <v>3099</v>
      </c>
      <c r="W246" s="16" t="s">
        <v>76</v>
      </c>
      <c r="X246" s="16" t="s">
        <v>77</v>
      </c>
      <c r="Y246" s="16" t="s">
        <v>543</v>
      </c>
      <c r="Z246" s="16" t="s">
        <v>481</v>
      </c>
      <c r="AA246" s="16" t="s">
        <v>482</v>
      </c>
      <c r="AB246" s="16" t="s">
        <v>483</v>
      </c>
      <c r="AC246" s="16" t="s">
        <v>484</v>
      </c>
      <c r="AD246" s="16" t="s">
        <v>3100</v>
      </c>
      <c r="AE246" s="16" t="s">
        <v>84</v>
      </c>
      <c r="AF246" s="16" t="s">
        <v>84</v>
      </c>
      <c r="AG246" s="16">
        <v>229</v>
      </c>
      <c r="AH246" s="16">
        <v>229</v>
      </c>
      <c r="AI246" s="17">
        <v>229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 t="s">
        <v>137</v>
      </c>
      <c r="AP246" s="16" t="s">
        <v>3101</v>
      </c>
      <c r="AQ246" s="16" t="s">
        <v>3102</v>
      </c>
      <c r="AR246" s="16" t="s">
        <v>88</v>
      </c>
      <c r="AS246" s="16" t="s">
        <v>3103</v>
      </c>
      <c r="AT246" s="16">
        <v>11.45</v>
      </c>
      <c r="AU246" s="16" t="s">
        <v>90</v>
      </c>
      <c r="AV246" s="16">
        <v>1.5</v>
      </c>
      <c r="AW246" s="16" t="s">
        <v>115</v>
      </c>
      <c r="AX246" s="16" t="s">
        <v>116</v>
      </c>
      <c r="AY246" s="16" t="s">
        <v>117</v>
      </c>
      <c r="AZ246" s="16" t="s">
        <v>118</v>
      </c>
      <c r="BA246" s="16" t="s">
        <v>119</v>
      </c>
      <c r="BB246" s="16">
        <v>0</v>
      </c>
      <c r="BC246" s="16" t="s">
        <v>84</v>
      </c>
      <c r="BD246" s="16" t="s">
        <v>90</v>
      </c>
      <c r="BE246" s="16" t="s">
        <v>141</v>
      </c>
      <c r="BF246" s="16" t="s">
        <v>142</v>
      </c>
      <c r="BG246" s="16" t="s">
        <v>143</v>
      </c>
      <c r="BH246" s="16" t="s">
        <v>2234</v>
      </c>
      <c r="BI246" s="16" t="s">
        <v>2211</v>
      </c>
      <c r="BJ246" s="16">
        <v>229</v>
      </c>
      <c r="BK246" s="16">
        <v>229</v>
      </c>
      <c r="BL246" s="16">
        <v>229</v>
      </c>
      <c r="BM246" s="16" t="s">
        <v>96</v>
      </c>
      <c r="BN246" s="16">
        <v>1</v>
      </c>
      <c r="BO246" s="16" t="s">
        <v>84</v>
      </c>
      <c r="BP246" s="16" t="s">
        <v>84</v>
      </c>
      <c r="BQ246" s="16" t="s">
        <v>84</v>
      </c>
      <c r="BR246" s="16" t="s">
        <v>97</v>
      </c>
      <c r="BS246" s="16" t="s">
        <v>98</v>
      </c>
      <c r="BT246" s="16">
        <v>0</v>
      </c>
    </row>
    <row r="247" s="1" customFormat="1" ht="16" customHeight="1" spans="1:72">
      <c r="A247" s="14">
        <f t="shared" si="52"/>
        <v>2025</v>
      </c>
      <c r="B247" s="14">
        <f t="shared" si="53"/>
        <v>8</v>
      </c>
      <c r="C247" s="14" t="str">
        <f t="shared" si="54"/>
        <v>3729698179772458496</v>
      </c>
      <c r="D247" s="14" cm="1">
        <f t="array" ref="D247">SUMPRODUCT(($R$2:$R$374=C247)*1)</f>
        <v>1</v>
      </c>
      <c r="E247" s="14" cm="1">
        <f t="array" ref="E247">SUMPRODUCT(($R$2:R247=C247)*1)</f>
        <v>1</v>
      </c>
      <c r="F247" s="15" t="str">
        <f t="shared" si="55"/>
        <v>Z2183-黑色-M</v>
      </c>
      <c r="G247" s="14" t="str">
        <f t="shared" si="56"/>
        <v>Z2183</v>
      </c>
      <c r="H247" s="15">
        <f t="shared" si="57"/>
        <v>1</v>
      </c>
      <c r="I247" s="14">
        <f t="shared" si="58"/>
        <v>129</v>
      </c>
      <c r="J247" s="15">
        <f t="shared" si="59"/>
        <v>0</v>
      </c>
      <c r="K247" s="15">
        <f t="shared" si="60"/>
        <v>0</v>
      </c>
      <c r="L247" s="15">
        <f t="shared" si="61"/>
        <v>-6.45</v>
      </c>
      <c r="M247" s="15">
        <f t="shared" si="62"/>
        <v>0</v>
      </c>
      <c r="N247" s="15">
        <f t="shared" si="63"/>
        <v>-1.5</v>
      </c>
      <c r="O247" s="15">
        <f t="shared" si="64"/>
        <v>121.05</v>
      </c>
      <c r="R247" s="16" t="s">
        <v>3104</v>
      </c>
      <c r="S247" s="16" t="s">
        <v>3105</v>
      </c>
      <c r="T247" s="16" t="s">
        <v>3106</v>
      </c>
      <c r="U247" s="16" t="s">
        <v>3107</v>
      </c>
      <c r="V247" s="16" t="s">
        <v>3108</v>
      </c>
      <c r="W247" s="16" t="s">
        <v>76</v>
      </c>
      <c r="X247" s="16" t="s">
        <v>77</v>
      </c>
      <c r="Y247" s="16" t="s">
        <v>3109</v>
      </c>
      <c r="Z247" s="16" t="s">
        <v>3110</v>
      </c>
      <c r="AA247" s="16" t="s">
        <v>80</v>
      </c>
      <c r="AB247" s="16" t="s">
        <v>655</v>
      </c>
      <c r="AC247" s="16" t="s">
        <v>3111</v>
      </c>
      <c r="AD247" s="16" t="s">
        <v>3112</v>
      </c>
      <c r="AE247" s="16" t="s">
        <v>84</v>
      </c>
      <c r="AF247" s="16" t="s">
        <v>84</v>
      </c>
      <c r="AG247" s="16">
        <v>129</v>
      </c>
      <c r="AH247" s="16">
        <v>129</v>
      </c>
      <c r="AI247" s="17">
        <v>129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 t="s">
        <v>137</v>
      </c>
      <c r="AP247" s="16" t="s">
        <v>3113</v>
      </c>
      <c r="AQ247" s="16" t="s">
        <v>3114</v>
      </c>
      <c r="AR247" s="16" t="s">
        <v>88</v>
      </c>
      <c r="AS247" s="16" t="s">
        <v>3115</v>
      </c>
      <c r="AT247" s="16">
        <v>6.45</v>
      </c>
      <c r="AU247" s="16" t="s">
        <v>90</v>
      </c>
      <c r="AV247" s="16">
        <v>1.5</v>
      </c>
      <c r="AW247" s="16" t="s">
        <v>115</v>
      </c>
      <c r="AX247" s="16" t="s">
        <v>116</v>
      </c>
      <c r="AY247" s="16" t="s">
        <v>117</v>
      </c>
      <c r="AZ247" s="16" t="s">
        <v>118</v>
      </c>
      <c r="BA247" s="16" t="s">
        <v>119</v>
      </c>
      <c r="BB247" s="16">
        <v>0</v>
      </c>
      <c r="BC247" s="16" t="s">
        <v>84</v>
      </c>
      <c r="BD247" s="16" t="s">
        <v>90</v>
      </c>
      <c r="BE247" s="16" t="s">
        <v>610</v>
      </c>
      <c r="BF247" s="16" t="s">
        <v>611</v>
      </c>
      <c r="BG247" s="16" t="s">
        <v>612</v>
      </c>
      <c r="BH247" s="16" t="s">
        <v>685</v>
      </c>
      <c r="BI247" s="16" t="s">
        <v>686</v>
      </c>
      <c r="BJ247" s="16">
        <v>129</v>
      </c>
      <c r="BK247" s="16">
        <v>129</v>
      </c>
      <c r="BL247" s="16">
        <v>129</v>
      </c>
      <c r="BM247" s="16" t="s">
        <v>96</v>
      </c>
      <c r="BN247" s="16">
        <v>1</v>
      </c>
      <c r="BO247" s="16" t="s">
        <v>84</v>
      </c>
      <c r="BP247" s="16" t="s">
        <v>84</v>
      </c>
      <c r="BQ247" s="16" t="s">
        <v>84</v>
      </c>
      <c r="BR247" s="16" t="s">
        <v>97</v>
      </c>
      <c r="BS247" s="16" t="s">
        <v>98</v>
      </c>
      <c r="BT247" s="16">
        <v>0</v>
      </c>
    </row>
    <row r="248" s="1" customFormat="1" ht="16" customHeight="1" spans="1:72">
      <c r="A248" s="14">
        <f t="shared" si="52"/>
        <v>2025</v>
      </c>
      <c r="B248" s="14">
        <f t="shared" si="53"/>
        <v>8</v>
      </c>
      <c r="C248" s="14" t="str">
        <f t="shared" si="54"/>
        <v>3729698179774822400</v>
      </c>
      <c r="D248" s="14" cm="1">
        <f t="array" ref="D248">SUMPRODUCT(($R$2:$R$374=C248)*1)</f>
        <v>1</v>
      </c>
      <c r="E248" s="14" cm="1">
        <f t="array" ref="E248">SUMPRODUCT(($R$2:R248=C248)*1)</f>
        <v>1</v>
      </c>
      <c r="F248" s="15" t="str">
        <f t="shared" si="55"/>
        <v>Z2183-黑色-L</v>
      </c>
      <c r="G248" s="14" t="str">
        <f t="shared" si="56"/>
        <v>Z2183</v>
      </c>
      <c r="H248" s="15">
        <f t="shared" si="57"/>
        <v>1</v>
      </c>
      <c r="I248" s="14">
        <f t="shared" si="58"/>
        <v>129</v>
      </c>
      <c r="J248" s="15">
        <f t="shared" si="59"/>
        <v>0</v>
      </c>
      <c r="K248" s="15">
        <f t="shared" si="60"/>
        <v>0</v>
      </c>
      <c r="L248" s="15">
        <f t="shared" si="61"/>
        <v>-6.45</v>
      </c>
      <c r="M248" s="15">
        <f t="shared" si="62"/>
        <v>0</v>
      </c>
      <c r="N248" s="15">
        <f t="shared" si="63"/>
        <v>-1.5</v>
      </c>
      <c r="O248" s="15">
        <f t="shared" si="64"/>
        <v>121.05</v>
      </c>
      <c r="R248" s="16" t="s">
        <v>3116</v>
      </c>
      <c r="S248" s="16" t="s">
        <v>3105</v>
      </c>
      <c r="T248" s="16" t="s">
        <v>3117</v>
      </c>
      <c r="U248" s="16" t="s">
        <v>3118</v>
      </c>
      <c r="V248" s="16" t="s">
        <v>3119</v>
      </c>
      <c r="W248" s="16" t="s">
        <v>76</v>
      </c>
      <c r="X248" s="16" t="s">
        <v>77</v>
      </c>
      <c r="Y248" s="16" t="s">
        <v>367</v>
      </c>
      <c r="Z248" s="16" t="s">
        <v>481</v>
      </c>
      <c r="AA248" s="16" t="s">
        <v>482</v>
      </c>
      <c r="AB248" s="16" t="s">
        <v>483</v>
      </c>
      <c r="AC248" s="16" t="s">
        <v>484</v>
      </c>
      <c r="AD248" s="16" t="s">
        <v>3120</v>
      </c>
      <c r="AE248" s="16" t="s">
        <v>84</v>
      </c>
      <c r="AF248" s="16" t="s">
        <v>84</v>
      </c>
      <c r="AG248" s="16">
        <v>129</v>
      </c>
      <c r="AH248" s="16">
        <v>129</v>
      </c>
      <c r="AI248" s="17">
        <v>129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 t="s">
        <v>85</v>
      </c>
      <c r="AP248" s="16" t="s">
        <v>3121</v>
      </c>
      <c r="AQ248" s="16" t="s">
        <v>3122</v>
      </c>
      <c r="AR248" s="16" t="s">
        <v>88</v>
      </c>
      <c r="AS248" s="16" t="s">
        <v>3123</v>
      </c>
      <c r="AT248" s="16">
        <v>6.45</v>
      </c>
      <c r="AU248" s="16" t="s">
        <v>90</v>
      </c>
      <c r="AV248" s="16">
        <v>1.5</v>
      </c>
      <c r="AW248" s="16" t="s">
        <v>115</v>
      </c>
      <c r="AX248" s="16" t="s">
        <v>116</v>
      </c>
      <c r="AY248" s="16" t="s">
        <v>117</v>
      </c>
      <c r="AZ248" s="16" t="s">
        <v>118</v>
      </c>
      <c r="BA248" s="16" t="s">
        <v>119</v>
      </c>
      <c r="BB248" s="16">
        <v>0</v>
      </c>
      <c r="BC248" s="16" t="s">
        <v>84</v>
      </c>
      <c r="BD248" s="16" t="s">
        <v>90</v>
      </c>
      <c r="BE248" s="16" t="s">
        <v>610</v>
      </c>
      <c r="BF248" s="16" t="s">
        <v>611</v>
      </c>
      <c r="BG248" s="16" t="s">
        <v>612</v>
      </c>
      <c r="BH248" s="16" t="s">
        <v>1174</v>
      </c>
      <c r="BI248" s="16" t="s">
        <v>1175</v>
      </c>
      <c r="BJ248" s="16">
        <v>129</v>
      </c>
      <c r="BK248" s="16">
        <v>129</v>
      </c>
      <c r="BL248" s="16">
        <v>129</v>
      </c>
      <c r="BM248" s="16" t="s">
        <v>96</v>
      </c>
      <c r="BN248" s="16">
        <v>1</v>
      </c>
      <c r="BO248" s="16" t="s">
        <v>84</v>
      </c>
      <c r="BP248" s="16" t="s">
        <v>84</v>
      </c>
      <c r="BQ248" s="16" t="s">
        <v>84</v>
      </c>
      <c r="BR248" s="16" t="s">
        <v>97</v>
      </c>
      <c r="BS248" s="16" t="s">
        <v>98</v>
      </c>
      <c r="BT248" s="16">
        <v>0</v>
      </c>
    </row>
    <row r="249" s="1" customFormat="1" ht="16" customHeight="1" spans="1:72">
      <c r="A249" s="14">
        <f t="shared" si="52"/>
        <v>2025</v>
      </c>
      <c r="B249" s="14">
        <f t="shared" si="53"/>
        <v>8</v>
      </c>
      <c r="C249" s="14" t="str">
        <f t="shared" si="54"/>
        <v>3729697808871461888</v>
      </c>
      <c r="D249" s="14" cm="1">
        <f t="array" ref="D249">SUMPRODUCT(($R$2:$R$374=C249)*1)</f>
        <v>1</v>
      </c>
      <c r="E249" s="14" cm="1">
        <f t="array" ref="E249">SUMPRODUCT(($R$2:R249=C249)*1)</f>
        <v>1</v>
      </c>
      <c r="F249" s="15" t="str">
        <f t="shared" si="55"/>
        <v>Z2183-黑色-L</v>
      </c>
      <c r="G249" s="14" t="str">
        <f t="shared" si="56"/>
        <v>Z2183</v>
      </c>
      <c r="H249" s="15">
        <f t="shared" si="57"/>
        <v>1</v>
      </c>
      <c r="I249" s="14">
        <f t="shared" si="58"/>
        <v>129</v>
      </c>
      <c r="J249" s="15">
        <f t="shared" si="59"/>
        <v>0</v>
      </c>
      <c r="K249" s="15">
        <f t="shared" si="60"/>
        <v>0</v>
      </c>
      <c r="L249" s="15">
        <f t="shared" si="61"/>
        <v>-6.45</v>
      </c>
      <c r="M249" s="15">
        <f t="shared" si="62"/>
        <v>0</v>
      </c>
      <c r="N249" s="15">
        <f t="shared" si="63"/>
        <v>-1.5</v>
      </c>
      <c r="O249" s="15">
        <f t="shared" si="64"/>
        <v>121.05</v>
      </c>
      <c r="R249" s="16" t="s">
        <v>3124</v>
      </c>
      <c r="S249" s="16" t="s">
        <v>3125</v>
      </c>
      <c r="T249" s="16" t="s">
        <v>3126</v>
      </c>
      <c r="U249" s="16" t="s">
        <v>3127</v>
      </c>
      <c r="V249" s="16" t="s">
        <v>3128</v>
      </c>
      <c r="W249" s="16" t="s">
        <v>76</v>
      </c>
      <c r="X249" s="16" t="s">
        <v>77</v>
      </c>
      <c r="Y249" s="16" t="s">
        <v>330</v>
      </c>
      <c r="Z249" s="16" t="s">
        <v>3129</v>
      </c>
      <c r="AA249" s="16" t="s">
        <v>171</v>
      </c>
      <c r="AB249" s="16" t="s">
        <v>172</v>
      </c>
      <c r="AC249" s="16" t="s">
        <v>3130</v>
      </c>
      <c r="AD249" s="16" t="s">
        <v>3131</v>
      </c>
      <c r="AE249" s="16" t="s">
        <v>84</v>
      </c>
      <c r="AF249" s="16" t="s">
        <v>84</v>
      </c>
      <c r="AG249" s="16">
        <v>129</v>
      </c>
      <c r="AH249" s="16">
        <v>129</v>
      </c>
      <c r="AI249" s="17">
        <v>129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 t="s">
        <v>137</v>
      </c>
      <c r="AP249" s="16" t="s">
        <v>3132</v>
      </c>
      <c r="AQ249" s="16" t="s">
        <v>3133</v>
      </c>
      <c r="AR249" s="16" t="s">
        <v>88</v>
      </c>
      <c r="AS249" s="16" t="s">
        <v>3134</v>
      </c>
      <c r="AT249" s="16">
        <v>6.45</v>
      </c>
      <c r="AU249" s="16" t="s">
        <v>90</v>
      </c>
      <c r="AV249" s="16">
        <v>1.5</v>
      </c>
      <c r="AW249" s="16" t="s">
        <v>115</v>
      </c>
      <c r="AX249" s="16" t="s">
        <v>116</v>
      </c>
      <c r="AY249" s="16" t="s">
        <v>117</v>
      </c>
      <c r="AZ249" s="16" t="s">
        <v>118</v>
      </c>
      <c r="BA249" s="16" t="s">
        <v>119</v>
      </c>
      <c r="BB249" s="16">
        <v>0</v>
      </c>
      <c r="BC249" s="16" t="s">
        <v>84</v>
      </c>
      <c r="BD249" s="16" t="s">
        <v>90</v>
      </c>
      <c r="BE249" s="16" t="s">
        <v>610</v>
      </c>
      <c r="BF249" s="16" t="s">
        <v>611</v>
      </c>
      <c r="BG249" s="16" t="s">
        <v>612</v>
      </c>
      <c r="BH249" s="16" t="s">
        <v>1174</v>
      </c>
      <c r="BI249" s="16" t="s">
        <v>1175</v>
      </c>
      <c r="BJ249" s="16">
        <v>129</v>
      </c>
      <c r="BK249" s="16">
        <v>129</v>
      </c>
      <c r="BL249" s="16">
        <v>129</v>
      </c>
      <c r="BM249" s="16" t="s">
        <v>96</v>
      </c>
      <c r="BN249" s="16">
        <v>1</v>
      </c>
      <c r="BO249" s="16" t="s">
        <v>84</v>
      </c>
      <c r="BP249" s="16" t="s">
        <v>84</v>
      </c>
      <c r="BQ249" s="16" t="s">
        <v>84</v>
      </c>
      <c r="BR249" s="16" t="s">
        <v>97</v>
      </c>
      <c r="BS249" s="16" t="s">
        <v>98</v>
      </c>
      <c r="BT249" s="16">
        <v>0</v>
      </c>
    </row>
    <row r="250" s="1" customFormat="1" ht="16" customHeight="1" spans="1:72">
      <c r="A250" s="14">
        <f t="shared" si="52"/>
        <v>2025</v>
      </c>
      <c r="B250" s="14">
        <f t="shared" si="53"/>
        <v>8</v>
      </c>
      <c r="C250" s="14" t="str">
        <f t="shared" si="54"/>
        <v>3729697616546115584</v>
      </c>
      <c r="D250" s="14" cm="1">
        <f t="array" ref="D250">SUMPRODUCT(($R$2:$R$374=C250)*1)</f>
        <v>1</v>
      </c>
      <c r="E250" s="14" cm="1">
        <f t="array" ref="E250">SUMPRODUCT(($R$2:R250=C250)*1)</f>
        <v>1</v>
      </c>
      <c r="F250" s="15" t="str">
        <f t="shared" si="55"/>
        <v>Z2285-灰色-M</v>
      </c>
      <c r="G250" s="14" t="str">
        <f t="shared" si="56"/>
        <v>Z2285</v>
      </c>
      <c r="H250" s="15">
        <f t="shared" si="57"/>
        <v>1</v>
      </c>
      <c r="I250" s="14">
        <f t="shared" si="58"/>
        <v>129</v>
      </c>
      <c r="J250" s="15">
        <f t="shared" si="59"/>
        <v>0</v>
      </c>
      <c r="K250" s="15">
        <f t="shared" si="60"/>
        <v>0</v>
      </c>
      <c r="L250" s="15">
        <f t="shared" si="61"/>
        <v>-6.45</v>
      </c>
      <c r="M250" s="15">
        <f t="shared" si="62"/>
        <v>0</v>
      </c>
      <c r="N250" s="15">
        <f t="shared" si="63"/>
        <v>-1.5</v>
      </c>
      <c r="O250" s="15">
        <f t="shared" si="64"/>
        <v>121.05</v>
      </c>
      <c r="R250" s="16" t="s">
        <v>3135</v>
      </c>
      <c r="S250" s="16" t="s">
        <v>3136</v>
      </c>
      <c r="T250" s="16" t="s">
        <v>3137</v>
      </c>
      <c r="U250" s="16" t="s">
        <v>3138</v>
      </c>
      <c r="V250" s="16" t="s">
        <v>3139</v>
      </c>
      <c r="W250" s="16" t="s">
        <v>76</v>
      </c>
      <c r="X250" s="16" t="s">
        <v>77</v>
      </c>
      <c r="Y250" s="16" t="s">
        <v>3140</v>
      </c>
      <c r="Z250" s="16" t="s">
        <v>468</v>
      </c>
      <c r="AA250" s="16" t="s">
        <v>107</v>
      </c>
      <c r="AB250" s="16" t="s">
        <v>108</v>
      </c>
      <c r="AC250" s="16" t="s">
        <v>469</v>
      </c>
      <c r="AD250" s="16" t="s">
        <v>3141</v>
      </c>
      <c r="AE250" s="16" t="s">
        <v>84</v>
      </c>
      <c r="AF250" s="16" t="s">
        <v>84</v>
      </c>
      <c r="AG250" s="16">
        <v>129</v>
      </c>
      <c r="AH250" s="16">
        <v>129</v>
      </c>
      <c r="AI250" s="17">
        <v>129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 t="s">
        <v>137</v>
      </c>
      <c r="AP250" s="16" t="s">
        <v>3142</v>
      </c>
      <c r="AQ250" s="16" t="s">
        <v>3143</v>
      </c>
      <c r="AR250" s="16" t="s">
        <v>88</v>
      </c>
      <c r="AS250" s="16" t="s">
        <v>3144</v>
      </c>
      <c r="AT250" s="16">
        <v>6.45</v>
      </c>
      <c r="AU250" s="16" t="s">
        <v>90</v>
      </c>
      <c r="AV250" s="16">
        <v>1.5</v>
      </c>
      <c r="AW250" s="16" t="s">
        <v>115</v>
      </c>
      <c r="AX250" s="16" t="s">
        <v>116</v>
      </c>
      <c r="AY250" s="16" t="s">
        <v>117</v>
      </c>
      <c r="AZ250" s="16" t="s">
        <v>118</v>
      </c>
      <c r="BA250" s="16" t="s">
        <v>119</v>
      </c>
      <c r="BB250" s="16">
        <v>0</v>
      </c>
      <c r="BC250" s="16" t="s">
        <v>84</v>
      </c>
      <c r="BD250" s="16" t="s">
        <v>90</v>
      </c>
      <c r="BE250" s="16" t="s">
        <v>2868</v>
      </c>
      <c r="BF250" s="16" t="s">
        <v>2869</v>
      </c>
      <c r="BG250" s="16" t="s">
        <v>2870</v>
      </c>
      <c r="BH250" s="16" t="s">
        <v>3145</v>
      </c>
      <c r="BI250" s="16" t="s">
        <v>3146</v>
      </c>
      <c r="BJ250" s="16">
        <v>129</v>
      </c>
      <c r="BK250" s="16">
        <v>129</v>
      </c>
      <c r="BL250" s="16">
        <v>129</v>
      </c>
      <c r="BM250" s="16" t="s">
        <v>96</v>
      </c>
      <c r="BN250" s="16">
        <v>1</v>
      </c>
      <c r="BO250" s="16" t="s">
        <v>84</v>
      </c>
      <c r="BP250" s="16" t="s">
        <v>84</v>
      </c>
      <c r="BQ250" s="16" t="s">
        <v>84</v>
      </c>
      <c r="BR250" s="16" t="s">
        <v>97</v>
      </c>
      <c r="BS250" s="16" t="s">
        <v>98</v>
      </c>
      <c r="BT250" s="16">
        <v>0</v>
      </c>
    </row>
    <row r="251" s="1" customFormat="1" ht="16" customHeight="1" spans="1:72">
      <c r="A251" s="14">
        <f t="shared" si="52"/>
        <v>2025</v>
      </c>
      <c r="B251" s="14">
        <f t="shared" si="53"/>
        <v>8</v>
      </c>
      <c r="C251" s="14" t="str">
        <f t="shared" si="54"/>
        <v>3729697582289132544</v>
      </c>
      <c r="D251" s="14" cm="1">
        <f t="array" ref="D251">SUMPRODUCT(($R$2:$R$374=C251)*1)</f>
        <v>1</v>
      </c>
      <c r="E251" s="14" cm="1">
        <f t="array" ref="E251">SUMPRODUCT(($R$2:R251=C251)*1)</f>
        <v>1</v>
      </c>
      <c r="F251" s="15" t="str">
        <f t="shared" si="55"/>
        <v>Z1581-白色-L</v>
      </c>
      <c r="G251" s="14" t="str">
        <f t="shared" si="56"/>
        <v>Z1581</v>
      </c>
      <c r="H251" s="15">
        <f t="shared" si="57"/>
        <v>1</v>
      </c>
      <c r="I251" s="14">
        <f t="shared" si="58"/>
        <v>289</v>
      </c>
      <c r="J251" s="15">
        <f t="shared" si="59"/>
        <v>0</v>
      </c>
      <c r="K251" s="15">
        <f t="shared" si="60"/>
        <v>0</v>
      </c>
      <c r="L251" s="15">
        <f t="shared" si="61"/>
        <v>-14.45</v>
      </c>
      <c r="M251" s="15">
        <f t="shared" si="62"/>
        <v>0</v>
      </c>
      <c r="N251" s="15">
        <f t="shared" si="63"/>
        <v>-1.5</v>
      </c>
      <c r="O251" s="15">
        <f t="shared" si="64"/>
        <v>273.05</v>
      </c>
      <c r="R251" s="16" t="s">
        <v>3147</v>
      </c>
      <c r="S251" s="16" t="s">
        <v>3148</v>
      </c>
      <c r="T251" s="16" t="s">
        <v>3149</v>
      </c>
      <c r="U251" s="16" t="s">
        <v>3150</v>
      </c>
      <c r="V251" s="16" t="s">
        <v>3151</v>
      </c>
      <c r="W251" s="16" t="s">
        <v>76</v>
      </c>
      <c r="X251" s="16" t="s">
        <v>77</v>
      </c>
      <c r="Y251" s="16" t="s">
        <v>1256</v>
      </c>
      <c r="Z251" s="16" t="s">
        <v>3152</v>
      </c>
      <c r="AA251" s="16" t="s">
        <v>384</v>
      </c>
      <c r="AB251" s="16" t="s">
        <v>2008</v>
      </c>
      <c r="AC251" s="16" t="s">
        <v>3153</v>
      </c>
      <c r="AD251" s="16" t="s">
        <v>3154</v>
      </c>
      <c r="AE251" s="16" t="s">
        <v>84</v>
      </c>
      <c r="AF251" s="16" t="s">
        <v>84</v>
      </c>
      <c r="AG251" s="16">
        <v>289</v>
      </c>
      <c r="AH251" s="16">
        <v>289</v>
      </c>
      <c r="AI251" s="17">
        <v>289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 t="s">
        <v>85</v>
      </c>
      <c r="AP251" s="16" t="s">
        <v>3155</v>
      </c>
      <c r="AQ251" s="16" t="s">
        <v>3156</v>
      </c>
      <c r="AR251" s="16" t="s">
        <v>88</v>
      </c>
      <c r="AS251" s="16" t="s">
        <v>3157</v>
      </c>
      <c r="AT251" s="16">
        <v>14.45</v>
      </c>
      <c r="AU251" s="16" t="s">
        <v>90</v>
      </c>
      <c r="AV251" s="16">
        <v>1.5</v>
      </c>
      <c r="AW251" s="16" t="s">
        <v>115</v>
      </c>
      <c r="AX251" s="16" t="s">
        <v>116</v>
      </c>
      <c r="AY251" s="16" t="s">
        <v>117</v>
      </c>
      <c r="AZ251" s="16" t="s">
        <v>118</v>
      </c>
      <c r="BA251" s="16" t="s">
        <v>119</v>
      </c>
      <c r="BB251" s="16">
        <v>0</v>
      </c>
      <c r="BC251" s="16" t="s">
        <v>84</v>
      </c>
      <c r="BD251" s="16" t="s">
        <v>90</v>
      </c>
      <c r="BE251" s="16" t="s">
        <v>419</v>
      </c>
      <c r="BF251" s="16" t="s">
        <v>420</v>
      </c>
      <c r="BG251" s="16" t="s">
        <v>421</v>
      </c>
      <c r="BH251" s="16" t="s">
        <v>3158</v>
      </c>
      <c r="BI251" s="16" t="s">
        <v>1216</v>
      </c>
      <c r="BJ251" s="16">
        <v>289</v>
      </c>
      <c r="BK251" s="16">
        <v>289</v>
      </c>
      <c r="BL251" s="16">
        <v>289</v>
      </c>
      <c r="BM251" s="16" t="s">
        <v>96</v>
      </c>
      <c r="BN251" s="16">
        <v>1</v>
      </c>
      <c r="BO251" s="16" t="s">
        <v>84</v>
      </c>
      <c r="BP251" s="16" t="s">
        <v>84</v>
      </c>
      <c r="BQ251" s="16" t="s">
        <v>84</v>
      </c>
      <c r="BR251" s="16" t="s">
        <v>97</v>
      </c>
      <c r="BS251" s="16" t="s">
        <v>98</v>
      </c>
      <c r="BT251" s="16">
        <v>0</v>
      </c>
    </row>
    <row r="252" s="1" customFormat="1" ht="16" customHeight="1" spans="1:72">
      <c r="A252" s="14">
        <f t="shared" si="52"/>
        <v>2025</v>
      </c>
      <c r="B252" s="14">
        <f t="shared" si="53"/>
        <v>8</v>
      </c>
      <c r="C252" s="14" t="str">
        <f t="shared" si="54"/>
        <v>3729697486900961792</v>
      </c>
      <c r="D252" s="14" cm="1">
        <f t="array" ref="D252">SUMPRODUCT(($R$2:$R$374=C252)*1)</f>
        <v>1</v>
      </c>
      <c r="E252" s="14" cm="1">
        <f t="array" ref="E252">SUMPRODUCT(($R$2:R252=C252)*1)</f>
        <v>1</v>
      </c>
      <c r="F252" s="15" t="str">
        <f t="shared" si="55"/>
        <v>Z1581-白色-S</v>
      </c>
      <c r="G252" s="14" t="str">
        <f t="shared" si="56"/>
        <v>Z1581</v>
      </c>
      <c r="H252" s="15">
        <f t="shared" si="57"/>
        <v>1</v>
      </c>
      <c r="I252" s="14">
        <f t="shared" si="58"/>
        <v>289</v>
      </c>
      <c r="J252" s="15">
        <f t="shared" si="59"/>
        <v>0</v>
      </c>
      <c r="K252" s="15">
        <f t="shared" si="60"/>
        <v>0</v>
      </c>
      <c r="L252" s="15">
        <f t="shared" si="61"/>
        <v>-14.45</v>
      </c>
      <c r="M252" s="15">
        <f t="shared" si="62"/>
        <v>0</v>
      </c>
      <c r="N252" s="15">
        <f t="shared" si="63"/>
        <v>-1.5</v>
      </c>
      <c r="O252" s="15">
        <f t="shared" si="64"/>
        <v>273.05</v>
      </c>
      <c r="R252" s="16" t="s">
        <v>3159</v>
      </c>
      <c r="S252" s="16" t="s">
        <v>3160</v>
      </c>
      <c r="T252" s="16" t="s">
        <v>3161</v>
      </c>
      <c r="U252" s="16" t="s">
        <v>3162</v>
      </c>
      <c r="V252" s="16" t="s">
        <v>3163</v>
      </c>
      <c r="W252" s="16" t="s">
        <v>76</v>
      </c>
      <c r="X252" s="16" t="s">
        <v>77</v>
      </c>
      <c r="Y252" s="16" t="s">
        <v>1535</v>
      </c>
      <c r="Z252" s="16" t="s">
        <v>455</v>
      </c>
      <c r="AA252" s="16" t="s">
        <v>107</v>
      </c>
      <c r="AB252" s="16" t="s">
        <v>456</v>
      </c>
      <c r="AC252" s="16" t="s">
        <v>457</v>
      </c>
      <c r="AD252" s="16" t="s">
        <v>3164</v>
      </c>
      <c r="AE252" s="16" t="s">
        <v>84</v>
      </c>
      <c r="AF252" s="16" t="s">
        <v>84</v>
      </c>
      <c r="AG252" s="16">
        <v>289</v>
      </c>
      <c r="AH252" s="16">
        <v>289</v>
      </c>
      <c r="AI252" s="17">
        <v>289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 t="s">
        <v>85</v>
      </c>
      <c r="AP252" s="16" t="s">
        <v>3165</v>
      </c>
      <c r="AQ252" s="16" t="s">
        <v>3166</v>
      </c>
      <c r="AR252" s="16" t="s">
        <v>88</v>
      </c>
      <c r="AS252" s="16" t="s">
        <v>3167</v>
      </c>
      <c r="AT252" s="16">
        <v>14.45</v>
      </c>
      <c r="AU252" s="16" t="s">
        <v>90</v>
      </c>
      <c r="AV252" s="16">
        <v>1.5</v>
      </c>
      <c r="AW252" s="16" t="s">
        <v>115</v>
      </c>
      <c r="AX252" s="16" t="s">
        <v>116</v>
      </c>
      <c r="AY252" s="16" t="s">
        <v>117</v>
      </c>
      <c r="AZ252" s="16" t="s">
        <v>118</v>
      </c>
      <c r="BA252" s="16" t="s">
        <v>119</v>
      </c>
      <c r="BB252" s="16">
        <v>0</v>
      </c>
      <c r="BC252" s="16" t="s">
        <v>84</v>
      </c>
      <c r="BD252" s="16" t="s">
        <v>90</v>
      </c>
      <c r="BE252" s="16" t="s">
        <v>419</v>
      </c>
      <c r="BF252" s="16" t="s">
        <v>420</v>
      </c>
      <c r="BG252" s="16" t="s">
        <v>421</v>
      </c>
      <c r="BH252" s="16" t="s">
        <v>2497</v>
      </c>
      <c r="BI252" s="16" t="s">
        <v>1519</v>
      </c>
      <c r="BJ252" s="16">
        <v>289</v>
      </c>
      <c r="BK252" s="16">
        <v>289</v>
      </c>
      <c r="BL252" s="16">
        <v>289</v>
      </c>
      <c r="BM252" s="16" t="s">
        <v>96</v>
      </c>
      <c r="BN252" s="16">
        <v>1</v>
      </c>
      <c r="BO252" s="16" t="s">
        <v>84</v>
      </c>
      <c r="BP252" s="16" t="s">
        <v>84</v>
      </c>
      <c r="BQ252" s="16" t="s">
        <v>84</v>
      </c>
      <c r="BR252" s="16" t="s">
        <v>97</v>
      </c>
      <c r="BS252" s="16" t="s">
        <v>98</v>
      </c>
      <c r="BT252" s="16">
        <v>0</v>
      </c>
    </row>
    <row r="253" s="1" customFormat="1" ht="16" customHeight="1" spans="1:72">
      <c r="A253" s="14">
        <f t="shared" si="52"/>
        <v>2025</v>
      </c>
      <c r="B253" s="14">
        <f t="shared" si="53"/>
        <v>8</v>
      </c>
      <c r="C253" s="14" t="str">
        <f t="shared" si="54"/>
        <v>3729697458149798912</v>
      </c>
      <c r="D253" s="14" cm="1">
        <f t="array" ref="D253">SUMPRODUCT(($R$2:$R$374=C253)*1)</f>
        <v>1</v>
      </c>
      <c r="E253" s="14" cm="1">
        <f t="array" ref="E253">SUMPRODUCT(($R$2:R253=C253)*1)</f>
        <v>1</v>
      </c>
      <c r="F253" s="15" t="str">
        <f t="shared" si="55"/>
        <v>Z1581-白色-M</v>
      </c>
      <c r="G253" s="14" t="str">
        <f t="shared" si="56"/>
        <v>Z1581</v>
      </c>
      <c r="H253" s="15">
        <f t="shared" si="57"/>
        <v>1</v>
      </c>
      <c r="I253" s="14">
        <f t="shared" si="58"/>
        <v>289</v>
      </c>
      <c r="J253" s="15">
        <f t="shared" si="59"/>
        <v>0</v>
      </c>
      <c r="K253" s="15">
        <f t="shared" si="60"/>
        <v>0</v>
      </c>
      <c r="L253" s="15">
        <f t="shared" si="61"/>
        <v>-14.45</v>
      </c>
      <c r="M253" s="15">
        <f t="shared" si="62"/>
        <v>0</v>
      </c>
      <c r="N253" s="15">
        <f t="shared" si="63"/>
        <v>-1.5</v>
      </c>
      <c r="O253" s="15">
        <f t="shared" si="64"/>
        <v>273.05</v>
      </c>
      <c r="R253" s="16" t="s">
        <v>3168</v>
      </c>
      <c r="S253" s="16" t="s">
        <v>3169</v>
      </c>
      <c r="T253" s="16" t="s">
        <v>3170</v>
      </c>
      <c r="U253" s="16" t="s">
        <v>3171</v>
      </c>
      <c r="V253" s="16" t="s">
        <v>3172</v>
      </c>
      <c r="W253" s="16" t="s">
        <v>76</v>
      </c>
      <c r="X253" s="16" t="s">
        <v>77</v>
      </c>
      <c r="Y253" s="16" t="s">
        <v>3173</v>
      </c>
      <c r="Z253" s="16" t="s">
        <v>1566</v>
      </c>
      <c r="AA253" s="16" t="s">
        <v>430</v>
      </c>
      <c r="AB253" s="16" t="s">
        <v>430</v>
      </c>
      <c r="AC253" s="16" t="s">
        <v>1567</v>
      </c>
      <c r="AD253" s="16" t="s">
        <v>3174</v>
      </c>
      <c r="AE253" s="16" t="s">
        <v>84</v>
      </c>
      <c r="AF253" s="16" t="s">
        <v>84</v>
      </c>
      <c r="AG253" s="16">
        <v>289</v>
      </c>
      <c r="AH253" s="16">
        <v>289</v>
      </c>
      <c r="AI253" s="17">
        <v>289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 t="s">
        <v>85</v>
      </c>
      <c r="AP253" s="16" t="s">
        <v>3175</v>
      </c>
      <c r="AQ253" s="16" t="s">
        <v>3176</v>
      </c>
      <c r="AR253" s="16" t="s">
        <v>88</v>
      </c>
      <c r="AS253" s="16" t="s">
        <v>3177</v>
      </c>
      <c r="AT253" s="16">
        <v>14.45</v>
      </c>
      <c r="AU253" s="16" t="s">
        <v>90</v>
      </c>
      <c r="AV253" s="16">
        <v>1.5</v>
      </c>
      <c r="AW253" s="16" t="s">
        <v>115</v>
      </c>
      <c r="AX253" s="16" t="s">
        <v>116</v>
      </c>
      <c r="AY253" s="16" t="s">
        <v>117</v>
      </c>
      <c r="AZ253" s="16" t="s">
        <v>118</v>
      </c>
      <c r="BA253" s="16" t="s">
        <v>119</v>
      </c>
      <c r="BB253" s="16">
        <v>0</v>
      </c>
      <c r="BC253" s="16" t="s">
        <v>84</v>
      </c>
      <c r="BD253" s="16" t="s">
        <v>90</v>
      </c>
      <c r="BE253" s="16" t="s">
        <v>419</v>
      </c>
      <c r="BF253" s="16" t="s">
        <v>420</v>
      </c>
      <c r="BG253" s="16" t="s">
        <v>421</v>
      </c>
      <c r="BH253" s="16" t="s">
        <v>715</v>
      </c>
      <c r="BI253" s="16" t="s">
        <v>716</v>
      </c>
      <c r="BJ253" s="16">
        <v>289</v>
      </c>
      <c r="BK253" s="16">
        <v>289</v>
      </c>
      <c r="BL253" s="16">
        <v>289</v>
      </c>
      <c r="BM253" s="16" t="s">
        <v>96</v>
      </c>
      <c r="BN253" s="16">
        <v>1</v>
      </c>
      <c r="BO253" s="16" t="s">
        <v>84</v>
      </c>
      <c r="BP253" s="16" t="s">
        <v>84</v>
      </c>
      <c r="BQ253" s="16" t="s">
        <v>84</v>
      </c>
      <c r="BR253" s="16" t="s">
        <v>97</v>
      </c>
      <c r="BS253" s="16" t="s">
        <v>98</v>
      </c>
      <c r="BT253" s="16">
        <v>0</v>
      </c>
    </row>
    <row r="254" s="1" customFormat="1" ht="16" customHeight="1" spans="1:72">
      <c r="A254" s="14">
        <f t="shared" si="52"/>
        <v>2025</v>
      </c>
      <c r="B254" s="14">
        <f t="shared" si="53"/>
        <v>8</v>
      </c>
      <c r="C254" s="14" t="str">
        <f t="shared" si="54"/>
        <v>3729697125094267904</v>
      </c>
      <c r="D254" s="14" cm="1">
        <f t="array" ref="D254">SUMPRODUCT(($R$2:$R$374=C254)*1)</f>
        <v>1</v>
      </c>
      <c r="E254" s="14" cm="1">
        <f t="array" ref="E254">SUMPRODUCT(($R$2:R254=C254)*1)</f>
        <v>1</v>
      </c>
      <c r="F254" s="15" t="str">
        <f t="shared" si="55"/>
        <v>Z2183-米白色-XL</v>
      </c>
      <c r="G254" s="14" t="str">
        <f t="shared" si="56"/>
        <v>Z2183</v>
      </c>
      <c r="H254" s="15">
        <f t="shared" si="57"/>
        <v>1</v>
      </c>
      <c r="I254" s="14">
        <f t="shared" si="58"/>
        <v>129</v>
      </c>
      <c r="J254" s="15">
        <f t="shared" si="59"/>
        <v>0</v>
      </c>
      <c r="K254" s="15">
        <f t="shared" si="60"/>
        <v>0</v>
      </c>
      <c r="L254" s="15">
        <f t="shared" si="61"/>
        <v>-6.45</v>
      </c>
      <c r="M254" s="15">
        <f t="shared" si="62"/>
        <v>0</v>
      </c>
      <c r="N254" s="15">
        <f t="shared" si="63"/>
        <v>-1.5</v>
      </c>
      <c r="O254" s="15">
        <f t="shared" si="64"/>
        <v>121.05</v>
      </c>
      <c r="R254" s="16" t="s">
        <v>3178</v>
      </c>
      <c r="S254" s="16" t="s">
        <v>3179</v>
      </c>
      <c r="T254" s="16" t="s">
        <v>3180</v>
      </c>
      <c r="U254" s="16" t="s">
        <v>3181</v>
      </c>
      <c r="V254" s="16" t="s">
        <v>3182</v>
      </c>
      <c r="W254" s="16" t="s">
        <v>76</v>
      </c>
      <c r="X254" s="16" t="s">
        <v>77</v>
      </c>
      <c r="Y254" s="16" t="s">
        <v>543</v>
      </c>
      <c r="Z254" s="16" t="s">
        <v>3183</v>
      </c>
      <c r="AA254" s="16" t="s">
        <v>799</v>
      </c>
      <c r="AB254" s="16" t="s">
        <v>3184</v>
      </c>
      <c r="AC254" s="16" t="s">
        <v>3185</v>
      </c>
      <c r="AD254" s="16" t="s">
        <v>3186</v>
      </c>
      <c r="AE254" s="16" t="s">
        <v>84</v>
      </c>
      <c r="AF254" s="16" t="s">
        <v>84</v>
      </c>
      <c r="AG254" s="16">
        <v>129</v>
      </c>
      <c r="AH254" s="16">
        <v>129</v>
      </c>
      <c r="AI254" s="17">
        <v>129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 t="s">
        <v>137</v>
      </c>
      <c r="AP254" s="16" t="s">
        <v>3187</v>
      </c>
      <c r="AQ254" s="16" t="s">
        <v>3188</v>
      </c>
      <c r="AR254" s="16" t="s">
        <v>88</v>
      </c>
      <c r="AS254" s="16" t="s">
        <v>3189</v>
      </c>
      <c r="AT254" s="16">
        <v>6.45</v>
      </c>
      <c r="AU254" s="16" t="s">
        <v>90</v>
      </c>
      <c r="AV254" s="16">
        <v>1.5</v>
      </c>
      <c r="AW254" s="16" t="s">
        <v>115</v>
      </c>
      <c r="AX254" s="16" t="s">
        <v>116</v>
      </c>
      <c r="AY254" s="16" t="s">
        <v>117</v>
      </c>
      <c r="AZ254" s="16" t="s">
        <v>118</v>
      </c>
      <c r="BA254" s="16" t="s">
        <v>119</v>
      </c>
      <c r="BB254" s="16">
        <v>0</v>
      </c>
      <c r="BC254" s="16" t="s">
        <v>84</v>
      </c>
      <c r="BD254" s="16" t="s">
        <v>90</v>
      </c>
      <c r="BE254" s="16" t="s">
        <v>610</v>
      </c>
      <c r="BF254" s="16" t="s">
        <v>611</v>
      </c>
      <c r="BG254" s="16" t="s">
        <v>612</v>
      </c>
      <c r="BH254" s="16" t="s">
        <v>2279</v>
      </c>
      <c r="BI254" s="16" t="s">
        <v>2280</v>
      </c>
      <c r="BJ254" s="16">
        <v>129</v>
      </c>
      <c r="BK254" s="16">
        <v>129</v>
      </c>
      <c r="BL254" s="16">
        <v>129</v>
      </c>
      <c r="BM254" s="16" t="s">
        <v>96</v>
      </c>
      <c r="BN254" s="16">
        <v>1</v>
      </c>
      <c r="BO254" s="16" t="s">
        <v>84</v>
      </c>
      <c r="BP254" s="16" t="s">
        <v>84</v>
      </c>
      <c r="BQ254" s="16" t="s">
        <v>84</v>
      </c>
      <c r="BR254" s="16" t="s">
        <v>97</v>
      </c>
      <c r="BS254" s="16" t="s">
        <v>98</v>
      </c>
      <c r="BT254" s="16">
        <v>0</v>
      </c>
    </row>
    <row r="255" s="1" customFormat="1" ht="16" customHeight="1" spans="1:72">
      <c r="A255" s="14">
        <f t="shared" si="52"/>
        <v>2025</v>
      </c>
      <c r="B255" s="14">
        <f t="shared" si="53"/>
        <v>8</v>
      </c>
      <c r="C255" s="14" t="str">
        <f t="shared" si="54"/>
        <v>3729696893391217920</v>
      </c>
      <c r="D255" s="14" cm="1">
        <f t="array" ref="D255">SUMPRODUCT(($R$2:$R$374=C255)*1)</f>
        <v>1</v>
      </c>
      <c r="E255" s="14" cm="1">
        <f t="array" ref="E255">SUMPRODUCT(($R$2:R255=C255)*1)</f>
        <v>1</v>
      </c>
      <c r="F255" s="15" t="str">
        <f t="shared" si="55"/>
        <v>Z2215-蓝色-M</v>
      </c>
      <c r="G255" s="14" t="str">
        <f t="shared" si="56"/>
        <v>Z2215</v>
      </c>
      <c r="H255" s="15">
        <f t="shared" si="57"/>
        <v>1</v>
      </c>
      <c r="I255" s="14">
        <f t="shared" si="58"/>
        <v>299</v>
      </c>
      <c r="J255" s="15">
        <f t="shared" si="59"/>
        <v>0</v>
      </c>
      <c r="K255" s="15">
        <f t="shared" si="60"/>
        <v>0</v>
      </c>
      <c r="L255" s="15">
        <f t="shared" si="61"/>
        <v>-14.95</v>
      </c>
      <c r="M255" s="15">
        <f t="shared" si="62"/>
        <v>0</v>
      </c>
      <c r="N255" s="15">
        <f t="shared" si="63"/>
        <v>-1.5</v>
      </c>
      <c r="O255" s="15">
        <f t="shared" si="64"/>
        <v>282.55</v>
      </c>
      <c r="R255" s="16" t="s">
        <v>3190</v>
      </c>
      <c r="S255" s="16" t="s">
        <v>3191</v>
      </c>
      <c r="T255" s="16" t="s">
        <v>3069</v>
      </c>
      <c r="U255" s="16" t="s">
        <v>3192</v>
      </c>
      <c r="V255" s="16" t="s">
        <v>3193</v>
      </c>
      <c r="W255" s="16" t="s">
        <v>76</v>
      </c>
      <c r="X255" s="16" t="s">
        <v>77</v>
      </c>
      <c r="Y255" s="16" t="s">
        <v>3194</v>
      </c>
      <c r="Z255" s="16" t="s">
        <v>3195</v>
      </c>
      <c r="AA255" s="16" t="s">
        <v>107</v>
      </c>
      <c r="AB255" s="16" t="s">
        <v>1025</v>
      </c>
      <c r="AC255" s="16" t="s">
        <v>3196</v>
      </c>
      <c r="AD255" s="16" t="s">
        <v>3197</v>
      </c>
      <c r="AE255" s="16" t="s">
        <v>84</v>
      </c>
      <c r="AF255" s="16" t="s">
        <v>3198</v>
      </c>
      <c r="AG255" s="16">
        <v>299</v>
      </c>
      <c r="AH255" s="16">
        <v>299</v>
      </c>
      <c r="AI255" s="17">
        <v>299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 t="s">
        <v>85</v>
      </c>
      <c r="AP255" s="16" t="s">
        <v>3199</v>
      </c>
      <c r="AQ255" s="16" t="s">
        <v>3200</v>
      </c>
      <c r="AR255" s="16" t="s">
        <v>88</v>
      </c>
      <c r="AS255" s="16" t="s">
        <v>3201</v>
      </c>
      <c r="AT255" s="16">
        <v>14.95</v>
      </c>
      <c r="AU255" s="16" t="s">
        <v>90</v>
      </c>
      <c r="AV255" s="16">
        <v>1.5</v>
      </c>
      <c r="AW255" s="16" t="s">
        <v>115</v>
      </c>
      <c r="AX255" s="16" t="s">
        <v>116</v>
      </c>
      <c r="AY255" s="16" t="s">
        <v>117</v>
      </c>
      <c r="AZ255" s="16" t="s">
        <v>118</v>
      </c>
      <c r="BA255" s="16" t="s">
        <v>119</v>
      </c>
      <c r="BB255" s="16">
        <v>0</v>
      </c>
      <c r="BC255" s="16" t="s">
        <v>84</v>
      </c>
      <c r="BD255" s="16" t="s">
        <v>90</v>
      </c>
      <c r="BE255" s="16" t="s">
        <v>971</v>
      </c>
      <c r="BF255" s="16" t="s">
        <v>972</v>
      </c>
      <c r="BG255" s="16" t="s">
        <v>973</v>
      </c>
      <c r="BH255" s="16" t="s">
        <v>974</v>
      </c>
      <c r="BI255" s="16" t="s">
        <v>811</v>
      </c>
      <c r="BJ255" s="16">
        <v>299</v>
      </c>
      <c r="BK255" s="16">
        <v>299</v>
      </c>
      <c r="BL255" s="16">
        <v>299</v>
      </c>
      <c r="BM255" s="16" t="s">
        <v>96</v>
      </c>
      <c r="BN255" s="16">
        <v>1</v>
      </c>
      <c r="BO255" s="16" t="s">
        <v>84</v>
      </c>
      <c r="BP255" s="16" t="s">
        <v>84</v>
      </c>
      <c r="BQ255" s="16" t="s">
        <v>84</v>
      </c>
      <c r="BR255" s="16" t="s">
        <v>97</v>
      </c>
      <c r="BS255" s="16" t="s">
        <v>98</v>
      </c>
      <c r="BT255" s="16">
        <v>0</v>
      </c>
    </row>
    <row r="256" s="1" customFormat="1" ht="16" customHeight="1" spans="1:72">
      <c r="A256" s="14">
        <f t="shared" si="52"/>
        <v>2025</v>
      </c>
      <c r="B256" s="14">
        <f t="shared" si="53"/>
        <v>8</v>
      </c>
      <c r="C256" s="14" t="str">
        <f t="shared" si="54"/>
        <v>3729696838867624704</v>
      </c>
      <c r="D256" s="14" cm="1">
        <f t="array" ref="D256">SUMPRODUCT(($R$2:$R$374=C256)*1)</f>
        <v>1</v>
      </c>
      <c r="E256" s="14" cm="1">
        <f t="array" ref="E256">SUMPRODUCT(($R$2:R256=C256)*1)</f>
        <v>1</v>
      </c>
      <c r="F256" s="15" t="str">
        <f t="shared" si="55"/>
        <v>Z2215-蓝色-M</v>
      </c>
      <c r="G256" s="14" t="str">
        <f t="shared" si="56"/>
        <v>Z2215</v>
      </c>
      <c r="H256" s="15">
        <f t="shared" si="57"/>
        <v>1</v>
      </c>
      <c r="I256" s="14">
        <f t="shared" si="58"/>
        <v>299</v>
      </c>
      <c r="J256" s="15">
        <f t="shared" si="59"/>
        <v>0</v>
      </c>
      <c r="K256" s="15">
        <f t="shared" si="60"/>
        <v>0</v>
      </c>
      <c r="L256" s="15">
        <f t="shared" si="61"/>
        <v>-14.95</v>
      </c>
      <c r="M256" s="15">
        <f t="shared" si="62"/>
        <v>0</v>
      </c>
      <c r="N256" s="15">
        <f t="shared" si="63"/>
        <v>-1.5</v>
      </c>
      <c r="O256" s="15">
        <f t="shared" si="64"/>
        <v>282.55</v>
      </c>
      <c r="R256" s="16" t="s">
        <v>3202</v>
      </c>
      <c r="S256" s="16" t="s">
        <v>3203</v>
      </c>
      <c r="T256" s="16" t="s">
        <v>3069</v>
      </c>
      <c r="U256" s="16" t="s">
        <v>3204</v>
      </c>
      <c r="V256" s="16" t="s">
        <v>3205</v>
      </c>
      <c r="W256" s="16" t="s">
        <v>76</v>
      </c>
      <c r="X256" s="16" t="s">
        <v>77</v>
      </c>
      <c r="Y256" s="16" t="s">
        <v>3206</v>
      </c>
      <c r="Z256" s="16" t="s">
        <v>3207</v>
      </c>
      <c r="AA256" s="16" t="s">
        <v>107</v>
      </c>
      <c r="AB256" s="16" t="s">
        <v>190</v>
      </c>
      <c r="AC256" s="16" t="s">
        <v>3208</v>
      </c>
      <c r="AD256" s="16" t="s">
        <v>3209</v>
      </c>
      <c r="AE256" s="16" t="s">
        <v>84</v>
      </c>
      <c r="AF256" s="16" t="s">
        <v>3210</v>
      </c>
      <c r="AG256" s="16">
        <v>299</v>
      </c>
      <c r="AH256" s="16">
        <v>299</v>
      </c>
      <c r="AI256" s="17">
        <v>299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 t="s">
        <v>137</v>
      </c>
      <c r="AP256" s="16" t="s">
        <v>3211</v>
      </c>
      <c r="AQ256" s="16" t="s">
        <v>3212</v>
      </c>
      <c r="AR256" s="16" t="s">
        <v>88</v>
      </c>
      <c r="AS256" s="16" t="s">
        <v>3213</v>
      </c>
      <c r="AT256" s="16">
        <v>14.95</v>
      </c>
      <c r="AU256" s="16" t="s">
        <v>90</v>
      </c>
      <c r="AV256" s="16">
        <v>1.5</v>
      </c>
      <c r="AW256" s="16" t="s">
        <v>115</v>
      </c>
      <c r="AX256" s="16" t="s">
        <v>116</v>
      </c>
      <c r="AY256" s="16" t="s">
        <v>117</v>
      </c>
      <c r="AZ256" s="16" t="s">
        <v>118</v>
      </c>
      <c r="BA256" s="16" t="s">
        <v>119</v>
      </c>
      <c r="BB256" s="16">
        <v>0</v>
      </c>
      <c r="BC256" s="16" t="s">
        <v>84</v>
      </c>
      <c r="BD256" s="16" t="s">
        <v>90</v>
      </c>
      <c r="BE256" s="16" t="s">
        <v>971</v>
      </c>
      <c r="BF256" s="16" t="s">
        <v>972</v>
      </c>
      <c r="BG256" s="16" t="s">
        <v>973</v>
      </c>
      <c r="BH256" s="16" t="s">
        <v>974</v>
      </c>
      <c r="BI256" s="16" t="s">
        <v>811</v>
      </c>
      <c r="BJ256" s="16">
        <v>299</v>
      </c>
      <c r="BK256" s="16">
        <v>299</v>
      </c>
      <c r="BL256" s="16">
        <v>299</v>
      </c>
      <c r="BM256" s="16" t="s">
        <v>96</v>
      </c>
      <c r="BN256" s="16">
        <v>1</v>
      </c>
      <c r="BO256" s="16" t="s">
        <v>84</v>
      </c>
      <c r="BP256" s="16" t="s">
        <v>84</v>
      </c>
      <c r="BQ256" s="16" t="s">
        <v>84</v>
      </c>
      <c r="BR256" s="16" t="s">
        <v>97</v>
      </c>
      <c r="BS256" s="16" t="s">
        <v>98</v>
      </c>
      <c r="BT256" s="16">
        <v>0</v>
      </c>
    </row>
    <row r="257" s="1" customFormat="1" ht="16" customHeight="1" spans="1:72">
      <c r="A257" s="14">
        <f t="shared" si="52"/>
        <v>2025</v>
      </c>
      <c r="B257" s="14">
        <f t="shared" si="53"/>
        <v>8</v>
      </c>
      <c r="C257" s="14" t="str">
        <f t="shared" si="54"/>
        <v>3729696704338735104</v>
      </c>
      <c r="D257" s="14" cm="1">
        <f t="array" ref="D257">SUMPRODUCT(($R$2:$R$374=C257)*1)</f>
        <v>1</v>
      </c>
      <c r="E257" s="14" cm="1">
        <f t="array" ref="E257">SUMPRODUCT(($R$2:R257=C257)*1)</f>
        <v>1</v>
      </c>
      <c r="F257" s="15" t="str">
        <f t="shared" si="55"/>
        <v>Z2215-蓝色-M</v>
      </c>
      <c r="G257" s="14" t="str">
        <f t="shared" si="56"/>
        <v>Z2215</v>
      </c>
      <c r="H257" s="15">
        <f t="shared" si="57"/>
        <v>1</v>
      </c>
      <c r="I257" s="14">
        <f t="shared" si="58"/>
        <v>299</v>
      </c>
      <c r="J257" s="15">
        <f t="shared" si="59"/>
        <v>0</v>
      </c>
      <c r="K257" s="15">
        <f t="shared" si="60"/>
        <v>0</v>
      </c>
      <c r="L257" s="15">
        <f t="shared" si="61"/>
        <v>-14.95</v>
      </c>
      <c r="M257" s="15">
        <f t="shared" si="62"/>
        <v>0</v>
      </c>
      <c r="N257" s="15">
        <f t="shared" si="63"/>
        <v>-1.5</v>
      </c>
      <c r="O257" s="15">
        <f t="shared" si="64"/>
        <v>282.55</v>
      </c>
      <c r="R257" s="16" t="s">
        <v>3214</v>
      </c>
      <c r="S257" s="16" t="s">
        <v>3215</v>
      </c>
      <c r="T257" s="16" t="s">
        <v>3069</v>
      </c>
      <c r="U257" s="16" t="s">
        <v>3216</v>
      </c>
      <c r="V257" s="16" t="s">
        <v>3217</v>
      </c>
      <c r="W257" s="16" t="s">
        <v>76</v>
      </c>
      <c r="X257" s="16" t="s">
        <v>77</v>
      </c>
      <c r="Y257" s="16" t="s">
        <v>3218</v>
      </c>
      <c r="Z257" s="16" t="s">
        <v>3219</v>
      </c>
      <c r="AA257" s="16" t="s">
        <v>799</v>
      </c>
      <c r="AB257" s="16" t="s">
        <v>1114</v>
      </c>
      <c r="AC257" s="16" t="s">
        <v>2569</v>
      </c>
      <c r="AD257" s="16" t="s">
        <v>3220</v>
      </c>
      <c r="AE257" s="16" t="s">
        <v>84</v>
      </c>
      <c r="AF257" s="16" t="s">
        <v>3221</v>
      </c>
      <c r="AG257" s="16">
        <v>299</v>
      </c>
      <c r="AH257" s="16">
        <v>299</v>
      </c>
      <c r="AI257" s="17">
        <v>299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 t="s">
        <v>137</v>
      </c>
      <c r="AP257" s="16" t="s">
        <v>3222</v>
      </c>
      <c r="AQ257" s="16" t="s">
        <v>3223</v>
      </c>
      <c r="AR257" s="16" t="s">
        <v>88</v>
      </c>
      <c r="AS257" s="16" t="s">
        <v>3224</v>
      </c>
      <c r="AT257" s="16">
        <v>14.95</v>
      </c>
      <c r="AU257" s="16" t="s">
        <v>90</v>
      </c>
      <c r="AV257" s="16">
        <v>1.5</v>
      </c>
      <c r="AW257" s="16" t="s">
        <v>115</v>
      </c>
      <c r="AX257" s="16" t="s">
        <v>116</v>
      </c>
      <c r="AY257" s="16" t="s">
        <v>117</v>
      </c>
      <c r="AZ257" s="16" t="s">
        <v>118</v>
      </c>
      <c r="BA257" s="16" t="s">
        <v>119</v>
      </c>
      <c r="BB257" s="16">
        <v>0</v>
      </c>
      <c r="BC257" s="16" t="s">
        <v>84</v>
      </c>
      <c r="BD257" s="16" t="s">
        <v>90</v>
      </c>
      <c r="BE257" s="16" t="s">
        <v>971</v>
      </c>
      <c r="BF257" s="16" t="s">
        <v>972</v>
      </c>
      <c r="BG257" s="16" t="s">
        <v>973</v>
      </c>
      <c r="BH257" s="16" t="s">
        <v>974</v>
      </c>
      <c r="BI257" s="16" t="s">
        <v>811</v>
      </c>
      <c r="BJ257" s="16">
        <v>299</v>
      </c>
      <c r="BK257" s="16">
        <v>299</v>
      </c>
      <c r="BL257" s="16">
        <v>299</v>
      </c>
      <c r="BM257" s="16" t="s">
        <v>96</v>
      </c>
      <c r="BN257" s="16">
        <v>1</v>
      </c>
      <c r="BO257" s="16" t="s">
        <v>84</v>
      </c>
      <c r="BP257" s="16" t="s">
        <v>84</v>
      </c>
      <c r="BQ257" s="16" t="s">
        <v>84</v>
      </c>
      <c r="BR257" s="16" t="s">
        <v>97</v>
      </c>
      <c r="BS257" s="16" t="s">
        <v>98</v>
      </c>
      <c r="BT257" s="16">
        <v>0</v>
      </c>
    </row>
    <row r="258" s="1" customFormat="1" ht="16" customHeight="1" spans="1:72">
      <c r="A258" s="14">
        <f t="shared" si="52"/>
        <v>2025</v>
      </c>
      <c r="B258" s="14">
        <f t="shared" si="53"/>
        <v>8</v>
      </c>
      <c r="C258" s="14" t="str">
        <f t="shared" si="54"/>
        <v>3729696522492065536</v>
      </c>
      <c r="D258" s="14" cm="1">
        <f t="array" ref="D258">SUMPRODUCT(($R$2:$R$374=C258)*1)</f>
        <v>1</v>
      </c>
      <c r="E258" s="14" cm="1">
        <f t="array" ref="E258">SUMPRODUCT(($R$2:R258=C258)*1)</f>
        <v>1</v>
      </c>
      <c r="F258" s="15" t="str">
        <f t="shared" si="55"/>
        <v>Z1581-白色-S</v>
      </c>
      <c r="G258" s="14" t="str">
        <f t="shared" si="56"/>
        <v>Z1581</v>
      </c>
      <c r="H258" s="15">
        <f t="shared" si="57"/>
        <v>1</v>
      </c>
      <c r="I258" s="14">
        <f t="shared" si="58"/>
        <v>289</v>
      </c>
      <c r="J258" s="15">
        <f t="shared" si="59"/>
        <v>0</v>
      </c>
      <c r="K258" s="15">
        <f t="shared" si="60"/>
        <v>0</v>
      </c>
      <c r="L258" s="15">
        <f t="shared" si="61"/>
        <v>-14.45</v>
      </c>
      <c r="M258" s="15">
        <f t="shared" si="62"/>
        <v>0</v>
      </c>
      <c r="N258" s="15">
        <f t="shared" si="63"/>
        <v>-1.5</v>
      </c>
      <c r="O258" s="15">
        <f t="shared" si="64"/>
        <v>273.05</v>
      </c>
      <c r="R258" s="16" t="s">
        <v>3225</v>
      </c>
      <c r="S258" s="16" t="s">
        <v>3226</v>
      </c>
      <c r="T258" s="16" t="s">
        <v>3227</v>
      </c>
      <c r="U258" s="16" t="s">
        <v>3228</v>
      </c>
      <c r="V258" s="16" t="s">
        <v>3229</v>
      </c>
      <c r="W258" s="16" t="s">
        <v>76</v>
      </c>
      <c r="X258" s="16" t="s">
        <v>77</v>
      </c>
      <c r="Y258" s="16" t="s">
        <v>188</v>
      </c>
      <c r="Z258" s="16" t="s">
        <v>3230</v>
      </c>
      <c r="AA258" s="16" t="s">
        <v>1547</v>
      </c>
      <c r="AB258" s="16" t="s">
        <v>3231</v>
      </c>
      <c r="AC258" s="16" t="s">
        <v>3232</v>
      </c>
      <c r="AD258" s="16" t="s">
        <v>3233</v>
      </c>
      <c r="AE258" s="16" t="s">
        <v>84</v>
      </c>
      <c r="AF258" s="16" t="s">
        <v>84</v>
      </c>
      <c r="AG258" s="16">
        <v>289</v>
      </c>
      <c r="AH258" s="16">
        <v>289</v>
      </c>
      <c r="AI258" s="17">
        <v>289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 t="s">
        <v>137</v>
      </c>
      <c r="AP258" s="16" t="s">
        <v>3234</v>
      </c>
      <c r="AQ258" s="16" t="s">
        <v>3235</v>
      </c>
      <c r="AR258" s="16" t="s">
        <v>88</v>
      </c>
      <c r="AS258" s="16" t="s">
        <v>3236</v>
      </c>
      <c r="AT258" s="16">
        <v>14.45</v>
      </c>
      <c r="AU258" s="16" t="s">
        <v>90</v>
      </c>
      <c r="AV258" s="16">
        <v>1.5</v>
      </c>
      <c r="AW258" s="16" t="s">
        <v>115</v>
      </c>
      <c r="AX258" s="16" t="s">
        <v>116</v>
      </c>
      <c r="AY258" s="16" t="s">
        <v>117</v>
      </c>
      <c r="AZ258" s="16" t="s">
        <v>118</v>
      </c>
      <c r="BA258" s="16" t="s">
        <v>119</v>
      </c>
      <c r="BB258" s="16">
        <v>0</v>
      </c>
      <c r="BC258" s="16" t="s">
        <v>84</v>
      </c>
      <c r="BD258" s="16" t="s">
        <v>90</v>
      </c>
      <c r="BE258" s="16" t="s">
        <v>419</v>
      </c>
      <c r="BF258" s="16" t="s">
        <v>420</v>
      </c>
      <c r="BG258" s="16" t="s">
        <v>421</v>
      </c>
      <c r="BH258" s="16" t="s">
        <v>2497</v>
      </c>
      <c r="BI258" s="16" t="s">
        <v>1519</v>
      </c>
      <c r="BJ258" s="16">
        <v>289</v>
      </c>
      <c r="BK258" s="16">
        <v>289</v>
      </c>
      <c r="BL258" s="16">
        <v>289</v>
      </c>
      <c r="BM258" s="16" t="s">
        <v>96</v>
      </c>
      <c r="BN258" s="16">
        <v>1</v>
      </c>
      <c r="BO258" s="16" t="s">
        <v>84</v>
      </c>
      <c r="BP258" s="16" t="s">
        <v>84</v>
      </c>
      <c r="BQ258" s="16" t="s">
        <v>84</v>
      </c>
      <c r="BR258" s="16" t="s">
        <v>97</v>
      </c>
      <c r="BS258" s="16" t="s">
        <v>98</v>
      </c>
      <c r="BT258" s="16">
        <v>0</v>
      </c>
    </row>
    <row r="259" s="1" customFormat="1" ht="16" customHeight="1" spans="1:72">
      <c r="A259" s="14">
        <f t="shared" si="52"/>
        <v>2025</v>
      </c>
      <c r="B259" s="14">
        <f t="shared" si="53"/>
        <v>8</v>
      </c>
      <c r="C259" s="14" t="str">
        <f t="shared" si="54"/>
        <v>3729696483134547200</v>
      </c>
      <c r="D259" s="14" cm="1">
        <f t="array" ref="D259">SUMPRODUCT(($R$2:$R$374=C259)*1)</f>
        <v>1</v>
      </c>
      <c r="E259" s="14" cm="1">
        <f t="array" ref="E259">SUMPRODUCT(($R$2:R259=C259)*1)</f>
        <v>1</v>
      </c>
      <c r="F259" s="15" t="str">
        <f t="shared" si="55"/>
        <v>Z2295-黑色-S</v>
      </c>
      <c r="G259" s="14" t="str">
        <f t="shared" si="56"/>
        <v>Z2295</v>
      </c>
      <c r="H259" s="15">
        <f t="shared" si="57"/>
        <v>1</v>
      </c>
      <c r="I259" s="14">
        <f t="shared" si="58"/>
        <v>179</v>
      </c>
      <c r="J259" s="15">
        <f t="shared" si="59"/>
        <v>0</v>
      </c>
      <c r="K259" s="15">
        <f t="shared" si="60"/>
        <v>0</v>
      </c>
      <c r="L259" s="15">
        <f t="shared" si="61"/>
        <v>-8.95</v>
      </c>
      <c r="M259" s="15">
        <f t="shared" si="62"/>
        <v>0</v>
      </c>
      <c r="N259" s="15">
        <f t="shared" si="63"/>
        <v>-1.5</v>
      </c>
      <c r="O259" s="15">
        <f t="shared" si="64"/>
        <v>168.55</v>
      </c>
      <c r="R259" s="16" t="s">
        <v>3237</v>
      </c>
      <c r="S259" s="16" t="s">
        <v>3238</v>
      </c>
      <c r="T259" s="16" t="s">
        <v>3239</v>
      </c>
      <c r="U259" s="16" t="s">
        <v>3240</v>
      </c>
      <c r="V259" s="16" t="s">
        <v>3241</v>
      </c>
      <c r="W259" s="16" t="s">
        <v>76</v>
      </c>
      <c r="X259" s="16" t="s">
        <v>77</v>
      </c>
      <c r="Y259" s="16" t="s">
        <v>3242</v>
      </c>
      <c r="Z259" s="16" t="s">
        <v>3243</v>
      </c>
      <c r="AA259" s="16" t="s">
        <v>280</v>
      </c>
      <c r="AB259" s="16" t="s">
        <v>852</v>
      </c>
      <c r="AC259" s="16" t="s">
        <v>3244</v>
      </c>
      <c r="AD259" s="16" t="s">
        <v>3245</v>
      </c>
      <c r="AE259" s="16" t="s">
        <v>84</v>
      </c>
      <c r="AF259" s="16" t="s">
        <v>84</v>
      </c>
      <c r="AG259" s="16">
        <v>179</v>
      </c>
      <c r="AH259" s="16">
        <v>179</v>
      </c>
      <c r="AI259" s="17">
        <v>179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 t="s">
        <v>85</v>
      </c>
      <c r="AP259" s="16" t="s">
        <v>3246</v>
      </c>
      <c r="AQ259" s="16" t="s">
        <v>3247</v>
      </c>
      <c r="AR259" s="16" t="s">
        <v>88</v>
      </c>
      <c r="AS259" s="16" t="s">
        <v>3248</v>
      </c>
      <c r="AT259" s="16">
        <v>8.95</v>
      </c>
      <c r="AU259" s="16" t="s">
        <v>90</v>
      </c>
      <c r="AV259" s="16">
        <v>1.5</v>
      </c>
      <c r="AW259" s="16" t="s">
        <v>115</v>
      </c>
      <c r="AX259" s="16" t="s">
        <v>116</v>
      </c>
      <c r="AY259" s="16" t="s">
        <v>117</v>
      </c>
      <c r="AZ259" s="16" t="s">
        <v>118</v>
      </c>
      <c r="BA259" s="16" t="s">
        <v>119</v>
      </c>
      <c r="BB259" s="16">
        <v>0</v>
      </c>
      <c r="BC259" s="16" t="s">
        <v>84</v>
      </c>
      <c r="BD259" s="16" t="s">
        <v>90</v>
      </c>
      <c r="BE259" s="16" t="s">
        <v>3048</v>
      </c>
      <c r="BF259" s="16" t="s">
        <v>3049</v>
      </c>
      <c r="BG259" s="16" t="s">
        <v>3050</v>
      </c>
      <c r="BH259" s="16" t="s">
        <v>3249</v>
      </c>
      <c r="BI259" s="16" t="s">
        <v>2618</v>
      </c>
      <c r="BJ259" s="16">
        <v>179</v>
      </c>
      <c r="BK259" s="16">
        <v>179</v>
      </c>
      <c r="BL259" s="16">
        <v>179</v>
      </c>
      <c r="BM259" s="16" t="s">
        <v>96</v>
      </c>
      <c r="BN259" s="16">
        <v>1</v>
      </c>
      <c r="BO259" s="16" t="s">
        <v>84</v>
      </c>
      <c r="BP259" s="16" t="s">
        <v>84</v>
      </c>
      <c r="BQ259" s="16" t="s">
        <v>84</v>
      </c>
      <c r="BR259" s="16" t="s">
        <v>97</v>
      </c>
      <c r="BS259" s="16" t="s">
        <v>98</v>
      </c>
      <c r="BT259" s="16">
        <v>0</v>
      </c>
    </row>
    <row r="260" s="1" customFormat="1" ht="16" customHeight="1" spans="1:72">
      <c r="A260" s="14">
        <f t="shared" si="52"/>
        <v>2025</v>
      </c>
      <c r="B260" s="14">
        <f t="shared" si="53"/>
        <v>8</v>
      </c>
      <c r="C260" s="14" t="str">
        <f t="shared" si="54"/>
        <v>3729696392460510464</v>
      </c>
      <c r="D260" s="14" cm="1">
        <f t="array" ref="D260">SUMPRODUCT(($R$2:$R$374=C260)*1)</f>
        <v>1</v>
      </c>
      <c r="E260" s="14" cm="1">
        <f t="array" ref="E260">SUMPRODUCT(($R$2:R260=C260)*1)</f>
        <v>1</v>
      </c>
      <c r="F260" s="15" t="str">
        <f t="shared" si="55"/>
        <v>Z2183-米白色-L</v>
      </c>
      <c r="G260" s="14" t="str">
        <f t="shared" si="56"/>
        <v>Z2183</v>
      </c>
      <c r="H260" s="15">
        <f t="shared" si="57"/>
        <v>1</v>
      </c>
      <c r="I260" s="14">
        <f t="shared" si="58"/>
        <v>129</v>
      </c>
      <c r="J260" s="15">
        <f t="shared" si="59"/>
        <v>0</v>
      </c>
      <c r="K260" s="15">
        <f t="shared" si="60"/>
        <v>10</v>
      </c>
      <c r="L260" s="15">
        <f t="shared" si="61"/>
        <v>-6.45</v>
      </c>
      <c r="M260" s="15">
        <f t="shared" si="62"/>
        <v>0</v>
      </c>
      <c r="N260" s="15">
        <f t="shared" si="63"/>
        <v>-1.5</v>
      </c>
      <c r="O260" s="15">
        <f t="shared" si="64"/>
        <v>131.05</v>
      </c>
      <c r="R260" s="16" t="s">
        <v>3250</v>
      </c>
      <c r="S260" s="16" t="s">
        <v>3251</v>
      </c>
      <c r="T260" s="16" t="s">
        <v>3252</v>
      </c>
      <c r="U260" s="16" t="s">
        <v>3253</v>
      </c>
      <c r="V260" s="16" t="s">
        <v>3254</v>
      </c>
      <c r="W260" s="16" t="s">
        <v>76</v>
      </c>
      <c r="X260" s="16" t="s">
        <v>77</v>
      </c>
      <c r="Y260" s="16" t="s">
        <v>692</v>
      </c>
      <c r="Z260" s="16" t="s">
        <v>3255</v>
      </c>
      <c r="AA260" s="16" t="s">
        <v>207</v>
      </c>
      <c r="AB260" s="16" t="s">
        <v>2066</v>
      </c>
      <c r="AC260" s="16" t="s">
        <v>3256</v>
      </c>
      <c r="AD260" s="16" t="s">
        <v>3257</v>
      </c>
      <c r="AE260" s="16" t="s">
        <v>84</v>
      </c>
      <c r="AF260" s="16" t="s">
        <v>84</v>
      </c>
      <c r="AG260" s="16">
        <v>129</v>
      </c>
      <c r="AH260" s="16">
        <v>139</v>
      </c>
      <c r="AI260" s="17">
        <v>139</v>
      </c>
      <c r="AJ260" s="16">
        <v>10</v>
      </c>
      <c r="AK260" s="16">
        <v>0</v>
      </c>
      <c r="AL260" s="16">
        <v>0</v>
      </c>
      <c r="AM260" s="16">
        <v>0</v>
      </c>
      <c r="AN260" s="16">
        <v>0</v>
      </c>
      <c r="AO260" s="16" t="s">
        <v>85</v>
      </c>
      <c r="AP260" s="16" t="s">
        <v>3258</v>
      </c>
      <c r="AQ260" s="16" t="s">
        <v>3259</v>
      </c>
      <c r="AR260" s="16" t="s">
        <v>88</v>
      </c>
      <c r="AS260" s="16" t="s">
        <v>3260</v>
      </c>
      <c r="AT260" s="16">
        <v>6.45</v>
      </c>
      <c r="AU260" s="16" t="s">
        <v>90</v>
      </c>
      <c r="AV260" s="16">
        <v>1.5</v>
      </c>
      <c r="AW260" s="16" t="s">
        <v>115</v>
      </c>
      <c r="AX260" s="16" t="s">
        <v>116</v>
      </c>
      <c r="AY260" s="16" t="s">
        <v>117</v>
      </c>
      <c r="AZ260" s="16" t="s">
        <v>118</v>
      </c>
      <c r="BA260" s="16" t="s">
        <v>119</v>
      </c>
      <c r="BB260" s="16">
        <v>0</v>
      </c>
      <c r="BC260" s="16" t="s">
        <v>84</v>
      </c>
      <c r="BD260" s="16" t="s">
        <v>90</v>
      </c>
      <c r="BE260" s="16" t="s">
        <v>610</v>
      </c>
      <c r="BF260" s="16" t="s">
        <v>611</v>
      </c>
      <c r="BG260" s="16" t="s">
        <v>612</v>
      </c>
      <c r="BH260" s="16" t="s">
        <v>1241</v>
      </c>
      <c r="BI260" s="16" t="s">
        <v>1242</v>
      </c>
      <c r="BJ260" s="16">
        <v>129</v>
      </c>
      <c r="BK260" s="16">
        <v>129</v>
      </c>
      <c r="BL260" s="16">
        <v>129</v>
      </c>
      <c r="BM260" s="16" t="s">
        <v>96</v>
      </c>
      <c r="BN260" s="16">
        <v>1</v>
      </c>
      <c r="BO260" s="16" t="s">
        <v>84</v>
      </c>
      <c r="BP260" s="16" t="s">
        <v>84</v>
      </c>
      <c r="BQ260" s="16" t="s">
        <v>84</v>
      </c>
      <c r="BR260" s="16" t="s">
        <v>97</v>
      </c>
      <c r="BS260" s="16" t="s">
        <v>98</v>
      </c>
      <c r="BT260" s="16">
        <v>0</v>
      </c>
    </row>
    <row r="261" s="1" customFormat="1" ht="16" customHeight="1" spans="1:72">
      <c r="A261" s="14">
        <f t="shared" si="52"/>
        <v>2025</v>
      </c>
      <c r="B261" s="14">
        <f t="shared" si="53"/>
        <v>8</v>
      </c>
      <c r="C261" s="14" t="str">
        <f t="shared" si="54"/>
        <v>3729696157218779392</v>
      </c>
      <c r="D261" s="14" cm="1">
        <f t="array" ref="D261">SUMPRODUCT(($R$2:$R$374=C261)*1)</f>
        <v>1</v>
      </c>
      <c r="E261" s="14" cm="1">
        <f t="array" ref="E261">SUMPRODUCT(($R$2:R261=C261)*1)</f>
        <v>1</v>
      </c>
      <c r="F261" s="15" t="str">
        <f t="shared" si="55"/>
        <v>Z2215-蓝色-M</v>
      </c>
      <c r="G261" s="14" t="str">
        <f t="shared" si="56"/>
        <v>Z2215</v>
      </c>
      <c r="H261" s="15">
        <f t="shared" si="57"/>
        <v>1</v>
      </c>
      <c r="I261" s="14">
        <f t="shared" si="58"/>
        <v>299</v>
      </c>
      <c r="J261" s="15">
        <f t="shared" si="59"/>
        <v>0</v>
      </c>
      <c r="K261" s="15">
        <f t="shared" si="60"/>
        <v>0</v>
      </c>
      <c r="L261" s="15">
        <f t="shared" si="61"/>
        <v>-2.99</v>
      </c>
      <c r="M261" s="15">
        <f t="shared" si="62"/>
        <v>0</v>
      </c>
      <c r="N261" s="15">
        <f t="shared" si="63"/>
        <v>-1.5</v>
      </c>
      <c r="O261" s="15">
        <f t="shared" si="64"/>
        <v>294.51</v>
      </c>
      <c r="R261" s="16" t="s">
        <v>3261</v>
      </c>
      <c r="S261" s="16" t="s">
        <v>3262</v>
      </c>
      <c r="T261" s="16" t="s">
        <v>3088</v>
      </c>
      <c r="U261" s="16" t="s">
        <v>3263</v>
      </c>
      <c r="V261" s="16" t="s">
        <v>3264</v>
      </c>
      <c r="W261" s="16" t="s">
        <v>76</v>
      </c>
      <c r="X261" s="16" t="s">
        <v>77</v>
      </c>
      <c r="Y261" s="16" t="s">
        <v>3265</v>
      </c>
      <c r="Z261" s="16" t="s">
        <v>3266</v>
      </c>
      <c r="AA261" s="16" t="s">
        <v>1649</v>
      </c>
      <c r="AB261" s="16" t="s">
        <v>3267</v>
      </c>
      <c r="AC261" s="16" t="s">
        <v>3268</v>
      </c>
      <c r="AD261" s="16" t="s">
        <v>3269</v>
      </c>
      <c r="AE261" s="16" t="s">
        <v>84</v>
      </c>
      <c r="AF261" s="16" t="s">
        <v>3270</v>
      </c>
      <c r="AG261" s="16">
        <v>299</v>
      </c>
      <c r="AH261" s="16">
        <v>299</v>
      </c>
      <c r="AI261" s="17">
        <v>299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 t="s">
        <v>85</v>
      </c>
      <c r="AP261" s="16" t="s">
        <v>3271</v>
      </c>
      <c r="AQ261" s="16" t="s">
        <v>3272</v>
      </c>
      <c r="AR261" s="16" t="s">
        <v>88</v>
      </c>
      <c r="AS261" s="16" t="s">
        <v>3273</v>
      </c>
      <c r="AT261" s="16">
        <v>2.99</v>
      </c>
      <c r="AU261" s="16" t="s">
        <v>90</v>
      </c>
      <c r="AV261" s="16">
        <v>1.5</v>
      </c>
      <c r="AW261" s="16" t="s">
        <v>90</v>
      </c>
      <c r="AX261" s="16" t="s">
        <v>90</v>
      </c>
      <c r="AY261" s="16" t="s">
        <v>90</v>
      </c>
      <c r="AZ261" s="16" t="s">
        <v>90</v>
      </c>
      <c r="BA261" s="16" t="s">
        <v>90</v>
      </c>
      <c r="BB261" s="16">
        <v>0</v>
      </c>
      <c r="BC261" s="16"/>
      <c r="BD261" s="16" t="s">
        <v>90</v>
      </c>
      <c r="BE261" s="16" t="s">
        <v>971</v>
      </c>
      <c r="BF261" s="16" t="s">
        <v>972</v>
      </c>
      <c r="BG261" s="16" t="s">
        <v>973</v>
      </c>
      <c r="BH261" s="16" t="s">
        <v>974</v>
      </c>
      <c r="BI261" s="16" t="s">
        <v>811</v>
      </c>
      <c r="BJ261" s="16">
        <v>299</v>
      </c>
      <c r="BK261" s="16">
        <v>299</v>
      </c>
      <c r="BL261" s="16">
        <v>299</v>
      </c>
      <c r="BM261" s="16" t="s">
        <v>96</v>
      </c>
      <c r="BN261" s="16">
        <v>1</v>
      </c>
      <c r="BO261" s="16" t="s">
        <v>84</v>
      </c>
      <c r="BP261" s="16" t="s">
        <v>84</v>
      </c>
      <c r="BQ261" s="16" t="s">
        <v>84</v>
      </c>
      <c r="BR261" s="16" t="s">
        <v>97</v>
      </c>
      <c r="BS261" s="16" t="s">
        <v>98</v>
      </c>
      <c r="BT261" s="16">
        <v>0</v>
      </c>
    </row>
    <row r="262" s="1" customFormat="1" ht="16" customHeight="1" spans="1:72">
      <c r="A262" s="14">
        <f t="shared" si="52"/>
        <v>2025</v>
      </c>
      <c r="B262" s="14">
        <f t="shared" si="53"/>
        <v>8</v>
      </c>
      <c r="C262" s="14" t="str">
        <f t="shared" si="54"/>
        <v>3729695897547321600</v>
      </c>
      <c r="D262" s="14" cm="1">
        <f t="array" ref="D262">SUMPRODUCT(($R$2:$R$374=C262)*1)</f>
        <v>1</v>
      </c>
      <c r="E262" s="14" cm="1">
        <f t="array" ref="E262">SUMPRODUCT(($R$2:R262=C262)*1)</f>
        <v>1</v>
      </c>
      <c r="F262" s="15" t="str">
        <f t="shared" si="55"/>
        <v>Z1581-黑色-L</v>
      </c>
      <c r="G262" s="14" t="str">
        <f t="shared" si="56"/>
        <v>Z1581</v>
      </c>
      <c r="H262" s="15">
        <f t="shared" si="57"/>
        <v>1</v>
      </c>
      <c r="I262" s="14">
        <f t="shared" si="58"/>
        <v>289</v>
      </c>
      <c r="J262" s="15">
        <f t="shared" si="59"/>
        <v>0</v>
      </c>
      <c r="K262" s="15">
        <f t="shared" si="60"/>
        <v>0</v>
      </c>
      <c r="L262" s="15">
        <f t="shared" si="61"/>
        <v>-14.45</v>
      </c>
      <c r="M262" s="15">
        <f t="shared" si="62"/>
        <v>0</v>
      </c>
      <c r="N262" s="15">
        <f t="shared" si="63"/>
        <v>-1.5</v>
      </c>
      <c r="O262" s="15">
        <f t="shared" si="64"/>
        <v>273.05</v>
      </c>
      <c r="R262" s="16" t="s">
        <v>3274</v>
      </c>
      <c r="S262" s="16" t="s">
        <v>3275</v>
      </c>
      <c r="T262" s="16" t="s">
        <v>3276</v>
      </c>
      <c r="U262" s="16" t="s">
        <v>3277</v>
      </c>
      <c r="V262" s="16" t="s">
        <v>3278</v>
      </c>
      <c r="W262" s="16" t="s">
        <v>76</v>
      </c>
      <c r="X262" s="16" t="s">
        <v>77</v>
      </c>
      <c r="Y262" s="16" t="s">
        <v>1256</v>
      </c>
      <c r="Z262" s="16" t="s">
        <v>3279</v>
      </c>
      <c r="AA262" s="16" t="s">
        <v>820</v>
      </c>
      <c r="AB262" s="16" t="s">
        <v>3280</v>
      </c>
      <c r="AC262" s="16" t="s">
        <v>3281</v>
      </c>
      <c r="AD262" s="16" t="s">
        <v>3282</v>
      </c>
      <c r="AE262" s="16" t="s">
        <v>84</v>
      </c>
      <c r="AF262" s="16" t="s">
        <v>84</v>
      </c>
      <c r="AG262" s="16">
        <v>289</v>
      </c>
      <c r="AH262" s="16">
        <v>289</v>
      </c>
      <c r="AI262" s="17">
        <v>289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 t="s">
        <v>137</v>
      </c>
      <c r="AP262" s="16" t="s">
        <v>3283</v>
      </c>
      <c r="AQ262" s="16" t="s">
        <v>3284</v>
      </c>
      <c r="AR262" s="16" t="s">
        <v>88</v>
      </c>
      <c r="AS262" s="16" t="s">
        <v>3285</v>
      </c>
      <c r="AT262" s="16">
        <v>14.45</v>
      </c>
      <c r="AU262" s="16" t="s">
        <v>90</v>
      </c>
      <c r="AV262" s="16">
        <v>1.5</v>
      </c>
      <c r="AW262" s="16" t="s">
        <v>115</v>
      </c>
      <c r="AX262" s="16" t="s">
        <v>116</v>
      </c>
      <c r="AY262" s="16" t="s">
        <v>117</v>
      </c>
      <c r="AZ262" s="16" t="s">
        <v>118</v>
      </c>
      <c r="BA262" s="16" t="s">
        <v>119</v>
      </c>
      <c r="BB262" s="16">
        <v>0</v>
      </c>
      <c r="BC262" s="16" t="s">
        <v>84</v>
      </c>
      <c r="BD262" s="16" t="s">
        <v>90</v>
      </c>
      <c r="BE262" s="16" t="s">
        <v>419</v>
      </c>
      <c r="BF262" s="16" t="s">
        <v>420</v>
      </c>
      <c r="BG262" s="16" t="s">
        <v>421</v>
      </c>
      <c r="BH262" s="16" t="s">
        <v>3286</v>
      </c>
      <c r="BI262" s="16" t="s">
        <v>406</v>
      </c>
      <c r="BJ262" s="16">
        <v>289</v>
      </c>
      <c r="BK262" s="16">
        <v>289</v>
      </c>
      <c r="BL262" s="16">
        <v>289</v>
      </c>
      <c r="BM262" s="16" t="s">
        <v>96</v>
      </c>
      <c r="BN262" s="16">
        <v>1</v>
      </c>
      <c r="BO262" s="16" t="s">
        <v>84</v>
      </c>
      <c r="BP262" s="16" t="s">
        <v>84</v>
      </c>
      <c r="BQ262" s="16" t="s">
        <v>84</v>
      </c>
      <c r="BR262" s="16" t="s">
        <v>97</v>
      </c>
      <c r="BS262" s="16" t="s">
        <v>98</v>
      </c>
      <c r="BT262" s="16">
        <v>0</v>
      </c>
    </row>
    <row r="263" s="1" customFormat="1" ht="16" customHeight="1" spans="1:72">
      <c r="A263" s="14">
        <f t="shared" si="52"/>
        <v>2025</v>
      </c>
      <c r="B263" s="14">
        <f t="shared" si="53"/>
        <v>8</v>
      </c>
      <c r="C263" s="14" t="str">
        <f t="shared" si="54"/>
        <v>3729695360950608640</v>
      </c>
      <c r="D263" s="14" cm="1">
        <f t="array" ref="D263">SUMPRODUCT(($R$2:$R$374=C263)*1)</f>
        <v>1</v>
      </c>
      <c r="E263" s="14" cm="1">
        <f t="array" ref="E263">SUMPRODUCT(($R$2:R263=C263)*1)</f>
        <v>1</v>
      </c>
      <c r="F263" s="15" t="str">
        <f t="shared" si="55"/>
        <v>Z1581-黑色-L</v>
      </c>
      <c r="G263" s="14" t="str">
        <f t="shared" si="56"/>
        <v>Z1581</v>
      </c>
      <c r="H263" s="15">
        <f t="shared" si="57"/>
        <v>1</v>
      </c>
      <c r="I263" s="14">
        <f t="shared" si="58"/>
        <v>289</v>
      </c>
      <c r="J263" s="15">
        <f t="shared" si="59"/>
        <v>0</v>
      </c>
      <c r="K263" s="15">
        <f t="shared" si="60"/>
        <v>0</v>
      </c>
      <c r="L263" s="15">
        <f t="shared" si="61"/>
        <v>-14.45</v>
      </c>
      <c r="M263" s="15">
        <f t="shared" si="62"/>
        <v>0</v>
      </c>
      <c r="N263" s="15">
        <f t="shared" si="63"/>
        <v>-1.5</v>
      </c>
      <c r="O263" s="15">
        <f t="shared" si="64"/>
        <v>273.05</v>
      </c>
      <c r="R263" s="16" t="s">
        <v>3287</v>
      </c>
      <c r="S263" s="16" t="s">
        <v>3288</v>
      </c>
      <c r="T263" s="16" t="s">
        <v>3289</v>
      </c>
      <c r="U263" s="16" t="s">
        <v>3290</v>
      </c>
      <c r="V263" s="16" t="s">
        <v>3291</v>
      </c>
      <c r="W263" s="16" t="s">
        <v>76</v>
      </c>
      <c r="X263" s="16" t="s">
        <v>77</v>
      </c>
      <c r="Y263" s="16" t="s">
        <v>1510</v>
      </c>
      <c r="Z263" s="16" t="s">
        <v>3292</v>
      </c>
      <c r="AA263" s="16" t="s">
        <v>384</v>
      </c>
      <c r="AB263" s="16" t="s">
        <v>3293</v>
      </c>
      <c r="AC263" s="16" t="s">
        <v>3294</v>
      </c>
      <c r="AD263" s="16" t="s">
        <v>3295</v>
      </c>
      <c r="AE263" s="16" t="s">
        <v>84</v>
      </c>
      <c r="AF263" s="16" t="s">
        <v>84</v>
      </c>
      <c r="AG263" s="16">
        <v>289</v>
      </c>
      <c r="AH263" s="16">
        <v>289</v>
      </c>
      <c r="AI263" s="17">
        <v>289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 t="s">
        <v>85</v>
      </c>
      <c r="AP263" s="16" t="s">
        <v>3296</v>
      </c>
      <c r="AQ263" s="16" t="s">
        <v>3297</v>
      </c>
      <c r="AR263" s="16" t="s">
        <v>88</v>
      </c>
      <c r="AS263" s="16" t="s">
        <v>3298</v>
      </c>
      <c r="AT263" s="16">
        <v>14.45</v>
      </c>
      <c r="AU263" s="16" t="s">
        <v>90</v>
      </c>
      <c r="AV263" s="16">
        <v>1.5</v>
      </c>
      <c r="AW263" s="16" t="s">
        <v>115</v>
      </c>
      <c r="AX263" s="16" t="s">
        <v>116</v>
      </c>
      <c r="AY263" s="16" t="s">
        <v>117</v>
      </c>
      <c r="AZ263" s="16" t="s">
        <v>118</v>
      </c>
      <c r="BA263" s="16" t="s">
        <v>119</v>
      </c>
      <c r="BB263" s="16">
        <v>0</v>
      </c>
      <c r="BC263" s="16" t="s">
        <v>84</v>
      </c>
      <c r="BD263" s="16" t="s">
        <v>90</v>
      </c>
      <c r="BE263" s="16" t="s">
        <v>419</v>
      </c>
      <c r="BF263" s="16" t="s">
        <v>420</v>
      </c>
      <c r="BG263" s="16" t="s">
        <v>421</v>
      </c>
      <c r="BH263" s="16" t="s">
        <v>3286</v>
      </c>
      <c r="BI263" s="16" t="s">
        <v>406</v>
      </c>
      <c r="BJ263" s="16">
        <v>289</v>
      </c>
      <c r="BK263" s="16">
        <v>289</v>
      </c>
      <c r="BL263" s="16">
        <v>289</v>
      </c>
      <c r="BM263" s="16" t="s">
        <v>96</v>
      </c>
      <c r="BN263" s="16">
        <v>1</v>
      </c>
      <c r="BO263" s="16" t="s">
        <v>84</v>
      </c>
      <c r="BP263" s="16" t="s">
        <v>84</v>
      </c>
      <c r="BQ263" s="16" t="s">
        <v>84</v>
      </c>
      <c r="BR263" s="16" t="s">
        <v>97</v>
      </c>
      <c r="BS263" s="16" t="s">
        <v>98</v>
      </c>
      <c r="BT263" s="16">
        <v>0</v>
      </c>
    </row>
    <row r="264" s="1" customFormat="1" ht="16" customHeight="1" spans="1:72">
      <c r="A264" s="14">
        <f t="shared" si="52"/>
        <v>2025</v>
      </c>
      <c r="B264" s="14">
        <f t="shared" si="53"/>
        <v>8</v>
      </c>
      <c r="C264" s="14" t="str">
        <f t="shared" si="54"/>
        <v>3729695222672530944</v>
      </c>
      <c r="D264" s="14" cm="1">
        <f t="array" ref="D264">SUMPRODUCT(($R$2:$R$374=C264)*1)</f>
        <v>1</v>
      </c>
      <c r="E264" s="14" cm="1">
        <f t="array" ref="E264">SUMPRODUCT(($R$2:R264=C264)*1)</f>
        <v>1</v>
      </c>
      <c r="F264" s="15" t="str">
        <f t="shared" si="55"/>
        <v>Z1581-黑色-M</v>
      </c>
      <c r="G264" s="14" t="str">
        <f t="shared" si="56"/>
        <v>Z1581</v>
      </c>
      <c r="H264" s="15">
        <f t="shared" si="57"/>
        <v>1</v>
      </c>
      <c r="I264" s="14">
        <f t="shared" si="58"/>
        <v>289</v>
      </c>
      <c r="J264" s="15">
        <f t="shared" si="59"/>
        <v>0</v>
      </c>
      <c r="K264" s="15">
        <f t="shared" si="60"/>
        <v>0</v>
      </c>
      <c r="L264" s="15">
        <f t="shared" si="61"/>
        <v>-14.45</v>
      </c>
      <c r="M264" s="15">
        <f t="shared" si="62"/>
        <v>0</v>
      </c>
      <c r="N264" s="15">
        <f t="shared" si="63"/>
        <v>-1.5</v>
      </c>
      <c r="O264" s="15">
        <f t="shared" si="64"/>
        <v>273.05</v>
      </c>
      <c r="R264" s="16" t="s">
        <v>3299</v>
      </c>
      <c r="S264" s="16" t="s">
        <v>3300</v>
      </c>
      <c r="T264" s="16" t="s">
        <v>3055</v>
      </c>
      <c r="U264" s="16" t="s">
        <v>3301</v>
      </c>
      <c r="V264" s="16" t="s">
        <v>3302</v>
      </c>
      <c r="W264" s="16" t="s">
        <v>76</v>
      </c>
      <c r="X264" s="16" t="s">
        <v>77</v>
      </c>
      <c r="Y264" s="16" t="s">
        <v>761</v>
      </c>
      <c r="Z264" s="16" t="s">
        <v>3303</v>
      </c>
      <c r="AA264" s="16" t="s">
        <v>482</v>
      </c>
      <c r="AB264" s="16" t="s">
        <v>483</v>
      </c>
      <c r="AC264" s="16" t="s">
        <v>3304</v>
      </c>
      <c r="AD264" s="16" t="s">
        <v>3305</v>
      </c>
      <c r="AE264" s="16" t="s">
        <v>84</v>
      </c>
      <c r="AF264" s="16" t="s">
        <v>84</v>
      </c>
      <c r="AG264" s="16">
        <v>289</v>
      </c>
      <c r="AH264" s="16">
        <v>289</v>
      </c>
      <c r="AI264" s="17">
        <v>289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 t="s">
        <v>137</v>
      </c>
      <c r="AP264" s="16" t="s">
        <v>3306</v>
      </c>
      <c r="AQ264" s="16" t="s">
        <v>3307</v>
      </c>
      <c r="AR264" s="16" t="s">
        <v>88</v>
      </c>
      <c r="AS264" s="16" t="s">
        <v>3308</v>
      </c>
      <c r="AT264" s="16">
        <v>14.45</v>
      </c>
      <c r="AU264" s="16" t="s">
        <v>90</v>
      </c>
      <c r="AV264" s="16">
        <v>1.5</v>
      </c>
      <c r="AW264" s="16" t="s">
        <v>115</v>
      </c>
      <c r="AX264" s="16" t="s">
        <v>116</v>
      </c>
      <c r="AY264" s="16" t="s">
        <v>117</v>
      </c>
      <c r="AZ264" s="16" t="s">
        <v>118</v>
      </c>
      <c r="BA264" s="16" t="s">
        <v>119</v>
      </c>
      <c r="BB264" s="16">
        <v>0</v>
      </c>
      <c r="BC264" s="16" t="s">
        <v>84</v>
      </c>
      <c r="BD264" s="16" t="s">
        <v>90</v>
      </c>
      <c r="BE264" s="16" t="s">
        <v>419</v>
      </c>
      <c r="BF264" s="16" t="s">
        <v>420</v>
      </c>
      <c r="BG264" s="16" t="s">
        <v>421</v>
      </c>
      <c r="BH264" s="16" t="s">
        <v>422</v>
      </c>
      <c r="BI264" s="16" t="s">
        <v>308</v>
      </c>
      <c r="BJ264" s="16">
        <v>289</v>
      </c>
      <c r="BK264" s="16">
        <v>289</v>
      </c>
      <c r="BL264" s="16">
        <v>289</v>
      </c>
      <c r="BM264" s="16" t="s">
        <v>96</v>
      </c>
      <c r="BN264" s="16">
        <v>1</v>
      </c>
      <c r="BO264" s="16" t="s">
        <v>84</v>
      </c>
      <c r="BP264" s="16" t="s">
        <v>84</v>
      </c>
      <c r="BQ264" s="16" t="s">
        <v>84</v>
      </c>
      <c r="BR264" s="16" t="s">
        <v>97</v>
      </c>
      <c r="BS264" s="16" t="s">
        <v>98</v>
      </c>
      <c r="BT264" s="16">
        <v>0</v>
      </c>
    </row>
    <row r="265" s="1" customFormat="1" ht="16" customHeight="1" spans="1:72">
      <c r="A265" s="14">
        <f t="shared" si="52"/>
        <v>2025</v>
      </c>
      <c r="B265" s="14">
        <f t="shared" si="53"/>
        <v>8</v>
      </c>
      <c r="C265" s="14" t="str">
        <f t="shared" si="54"/>
        <v>3729694626251677440</v>
      </c>
      <c r="D265" s="14" cm="1">
        <f t="array" ref="D265">SUMPRODUCT(($R$2:$R$374=C265)*1)</f>
        <v>1</v>
      </c>
      <c r="E265" s="14" cm="1">
        <f t="array" ref="E265">SUMPRODUCT(($R$2:R265=C265)*1)</f>
        <v>1</v>
      </c>
      <c r="F265" s="15" t="str">
        <f t="shared" si="55"/>
        <v>Z2215-蓝色-M</v>
      </c>
      <c r="G265" s="14" t="str">
        <f t="shared" si="56"/>
        <v>Z2215</v>
      </c>
      <c r="H265" s="15">
        <f t="shared" si="57"/>
        <v>1</v>
      </c>
      <c r="I265" s="14">
        <f t="shared" si="58"/>
        <v>299</v>
      </c>
      <c r="J265" s="15">
        <f t="shared" si="59"/>
        <v>0</v>
      </c>
      <c r="K265" s="15">
        <f t="shared" si="60"/>
        <v>0</v>
      </c>
      <c r="L265" s="15">
        <f t="shared" si="61"/>
        <v>-14.95</v>
      </c>
      <c r="M265" s="15">
        <f t="shared" si="62"/>
        <v>0</v>
      </c>
      <c r="N265" s="15">
        <f t="shared" si="63"/>
        <v>-1.5</v>
      </c>
      <c r="O265" s="15">
        <f t="shared" si="64"/>
        <v>282.55</v>
      </c>
      <c r="R265" s="16" t="s">
        <v>3309</v>
      </c>
      <c r="S265" s="16" t="s">
        <v>3310</v>
      </c>
      <c r="T265" s="16" t="s">
        <v>3069</v>
      </c>
      <c r="U265" s="16" t="s">
        <v>3311</v>
      </c>
      <c r="V265" s="16" t="s">
        <v>3312</v>
      </c>
      <c r="W265" s="16" t="s">
        <v>76</v>
      </c>
      <c r="X265" s="16" t="s">
        <v>77</v>
      </c>
      <c r="Y265" s="16" t="s">
        <v>3313</v>
      </c>
      <c r="Z265" s="16" t="s">
        <v>3314</v>
      </c>
      <c r="AA265" s="16" t="s">
        <v>107</v>
      </c>
      <c r="AB265" s="16" t="s">
        <v>456</v>
      </c>
      <c r="AC265" s="16" t="s">
        <v>3315</v>
      </c>
      <c r="AD265" s="16" t="s">
        <v>3316</v>
      </c>
      <c r="AE265" s="16" t="s">
        <v>84</v>
      </c>
      <c r="AF265" s="16" t="s">
        <v>84</v>
      </c>
      <c r="AG265" s="16">
        <v>299</v>
      </c>
      <c r="AH265" s="16">
        <v>299</v>
      </c>
      <c r="AI265" s="17">
        <v>299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 t="s">
        <v>85</v>
      </c>
      <c r="AP265" s="16" t="s">
        <v>3317</v>
      </c>
      <c r="AQ265" s="16" t="s">
        <v>3318</v>
      </c>
      <c r="AR265" s="16" t="s">
        <v>88</v>
      </c>
      <c r="AS265" s="16" t="s">
        <v>3319</v>
      </c>
      <c r="AT265" s="16">
        <v>14.95</v>
      </c>
      <c r="AU265" s="16" t="s">
        <v>90</v>
      </c>
      <c r="AV265" s="16">
        <v>1.5</v>
      </c>
      <c r="AW265" s="16" t="s">
        <v>115</v>
      </c>
      <c r="AX265" s="16" t="s">
        <v>116</v>
      </c>
      <c r="AY265" s="16" t="s">
        <v>117</v>
      </c>
      <c r="AZ265" s="16" t="s">
        <v>118</v>
      </c>
      <c r="BA265" s="16" t="s">
        <v>119</v>
      </c>
      <c r="BB265" s="16">
        <v>0</v>
      </c>
      <c r="BC265" s="16" t="s">
        <v>84</v>
      </c>
      <c r="BD265" s="16" t="s">
        <v>90</v>
      </c>
      <c r="BE265" s="16" t="s">
        <v>971</v>
      </c>
      <c r="BF265" s="16" t="s">
        <v>972</v>
      </c>
      <c r="BG265" s="16" t="s">
        <v>973</v>
      </c>
      <c r="BH265" s="16" t="s">
        <v>974</v>
      </c>
      <c r="BI265" s="16" t="s">
        <v>811</v>
      </c>
      <c r="BJ265" s="16">
        <v>299</v>
      </c>
      <c r="BK265" s="16">
        <v>299</v>
      </c>
      <c r="BL265" s="16">
        <v>299</v>
      </c>
      <c r="BM265" s="16" t="s">
        <v>96</v>
      </c>
      <c r="BN265" s="16">
        <v>1</v>
      </c>
      <c r="BO265" s="16" t="s">
        <v>84</v>
      </c>
      <c r="BP265" s="16" t="s">
        <v>84</v>
      </c>
      <c r="BQ265" s="16" t="s">
        <v>84</v>
      </c>
      <c r="BR265" s="16" t="s">
        <v>97</v>
      </c>
      <c r="BS265" s="16" t="s">
        <v>98</v>
      </c>
      <c r="BT265" s="16">
        <v>0</v>
      </c>
    </row>
    <row r="266" s="1" customFormat="1" ht="16" customHeight="1" spans="1:72">
      <c r="A266" s="14">
        <f t="shared" si="52"/>
        <v>2025</v>
      </c>
      <c r="B266" s="14">
        <f t="shared" si="53"/>
        <v>8</v>
      </c>
      <c r="C266" s="14" t="str">
        <f t="shared" si="54"/>
        <v>3729694379063260672</v>
      </c>
      <c r="D266" s="14" cm="1">
        <f t="array" ref="D266">SUMPRODUCT(($R$2:$R$374=C266)*1)</f>
        <v>1</v>
      </c>
      <c r="E266" s="14" cm="1">
        <f t="array" ref="E266">SUMPRODUCT(($R$2:R266=C266)*1)</f>
        <v>1</v>
      </c>
      <c r="F266" s="15" t="str">
        <f t="shared" si="55"/>
        <v>Z2285-灰色-L</v>
      </c>
      <c r="G266" s="14" t="str">
        <f t="shared" si="56"/>
        <v>Z2285</v>
      </c>
      <c r="H266" s="15">
        <f t="shared" si="57"/>
        <v>1</v>
      </c>
      <c r="I266" s="14">
        <f t="shared" si="58"/>
        <v>129</v>
      </c>
      <c r="J266" s="15">
        <f t="shared" si="59"/>
        <v>0</v>
      </c>
      <c r="K266" s="15">
        <f t="shared" si="60"/>
        <v>0</v>
      </c>
      <c r="L266" s="15">
        <f t="shared" si="61"/>
        <v>-6.45</v>
      </c>
      <c r="M266" s="15">
        <f t="shared" si="62"/>
        <v>0</v>
      </c>
      <c r="N266" s="15">
        <f t="shared" si="63"/>
        <v>-1.5</v>
      </c>
      <c r="O266" s="15">
        <f t="shared" si="64"/>
        <v>121.05</v>
      </c>
      <c r="R266" s="16" t="s">
        <v>3320</v>
      </c>
      <c r="S266" s="16" t="s">
        <v>3321</v>
      </c>
      <c r="T266" s="16" t="s">
        <v>3322</v>
      </c>
      <c r="U266" s="16" t="s">
        <v>3323</v>
      </c>
      <c r="V266" s="16" t="s">
        <v>3324</v>
      </c>
      <c r="W266" s="16" t="s">
        <v>76</v>
      </c>
      <c r="X266" s="16" t="s">
        <v>77</v>
      </c>
      <c r="Y266" s="16" t="s">
        <v>188</v>
      </c>
      <c r="Z266" s="16" t="s">
        <v>3325</v>
      </c>
      <c r="AA266" s="16" t="s">
        <v>107</v>
      </c>
      <c r="AB266" s="16" t="s">
        <v>108</v>
      </c>
      <c r="AC266" s="16" t="s">
        <v>3326</v>
      </c>
      <c r="AD266" s="16" t="s">
        <v>3327</v>
      </c>
      <c r="AE266" s="16" t="s">
        <v>84</v>
      </c>
      <c r="AF266" s="16" t="s">
        <v>84</v>
      </c>
      <c r="AG266" s="16">
        <v>129</v>
      </c>
      <c r="AH266" s="16">
        <v>129</v>
      </c>
      <c r="AI266" s="17">
        <v>129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 t="s">
        <v>85</v>
      </c>
      <c r="AP266" s="16" t="s">
        <v>3328</v>
      </c>
      <c r="AQ266" s="16" t="s">
        <v>3329</v>
      </c>
      <c r="AR266" s="16" t="s">
        <v>88</v>
      </c>
      <c r="AS266" s="16" t="s">
        <v>3330</v>
      </c>
      <c r="AT266" s="16">
        <v>6.45</v>
      </c>
      <c r="AU266" s="16" t="s">
        <v>90</v>
      </c>
      <c r="AV266" s="16">
        <v>1.5</v>
      </c>
      <c r="AW266" s="16" t="s">
        <v>115</v>
      </c>
      <c r="AX266" s="16" t="s">
        <v>116</v>
      </c>
      <c r="AY266" s="16" t="s">
        <v>117</v>
      </c>
      <c r="AZ266" s="16" t="s">
        <v>118</v>
      </c>
      <c r="BA266" s="16" t="s">
        <v>119</v>
      </c>
      <c r="BB266" s="16">
        <v>0</v>
      </c>
      <c r="BC266" s="16" t="s">
        <v>84</v>
      </c>
      <c r="BD266" s="16" t="s">
        <v>90</v>
      </c>
      <c r="BE266" s="16" t="s">
        <v>2868</v>
      </c>
      <c r="BF266" s="16" t="s">
        <v>2869</v>
      </c>
      <c r="BG266" s="16" t="s">
        <v>2870</v>
      </c>
      <c r="BH266" s="16" t="s">
        <v>3331</v>
      </c>
      <c r="BI266" s="16" t="s">
        <v>3332</v>
      </c>
      <c r="BJ266" s="16">
        <v>129</v>
      </c>
      <c r="BK266" s="16">
        <v>129</v>
      </c>
      <c r="BL266" s="16">
        <v>129</v>
      </c>
      <c r="BM266" s="16" t="s">
        <v>96</v>
      </c>
      <c r="BN266" s="16">
        <v>1</v>
      </c>
      <c r="BO266" s="16" t="s">
        <v>84</v>
      </c>
      <c r="BP266" s="16" t="s">
        <v>84</v>
      </c>
      <c r="BQ266" s="16" t="s">
        <v>84</v>
      </c>
      <c r="BR266" s="16" t="s">
        <v>97</v>
      </c>
      <c r="BS266" s="16" t="s">
        <v>98</v>
      </c>
      <c r="BT266" s="16">
        <v>0</v>
      </c>
    </row>
    <row r="267" s="1" customFormat="1" ht="16" customHeight="1" spans="1:72">
      <c r="A267" s="14">
        <f t="shared" si="52"/>
        <v>2025</v>
      </c>
      <c r="B267" s="14">
        <f t="shared" si="53"/>
        <v>8</v>
      </c>
      <c r="C267" s="14" t="str">
        <f t="shared" si="54"/>
        <v>3729694056102113536</v>
      </c>
      <c r="D267" s="14" cm="1">
        <f t="array" ref="D267">SUMPRODUCT(($R$2:$R$374=C267)*1)</f>
        <v>1</v>
      </c>
      <c r="E267" s="14" cm="1">
        <f t="array" ref="E267">SUMPRODUCT(($R$2:R267=C267)*1)</f>
        <v>1</v>
      </c>
      <c r="F267" s="15" t="str">
        <f t="shared" si="55"/>
        <v>P110-项链</v>
      </c>
      <c r="G267" s="14" t="str">
        <f t="shared" si="56"/>
        <v>P110</v>
      </c>
      <c r="H267" s="15">
        <f t="shared" si="57"/>
        <v>1</v>
      </c>
      <c r="I267" s="14">
        <f t="shared" si="58"/>
        <v>289</v>
      </c>
      <c r="J267" s="15">
        <f t="shared" si="59"/>
        <v>0</v>
      </c>
      <c r="K267" s="15">
        <f t="shared" si="60"/>
        <v>0</v>
      </c>
      <c r="L267" s="15">
        <f t="shared" si="61"/>
        <v>-14.45</v>
      </c>
      <c r="M267" s="15">
        <f t="shared" si="62"/>
        <v>0</v>
      </c>
      <c r="N267" s="15">
        <f t="shared" si="63"/>
        <v>-1.98</v>
      </c>
      <c r="O267" s="15">
        <f t="shared" si="64"/>
        <v>272.57</v>
      </c>
      <c r="R267" s="16" t="s">
        <v>3333</v>
      </c>
      <c r="S267" s="16" t="s">
        <v>3334</v>
      </c>
      <c r="T267" s="16" t="s">
        <v>2689</v>
      </c>
      <c r="U267" s="16" t="s">
        <v>3335</v>
      </c>
      <c r="V267" s="16" t="s">
        <v>3336</v>
      </c>
      <c r="W267" s="16" t="s">
        <v>76</v>
      </c>
      <c r="X267" s="16" t="s">
        <v>77</v>
      </c>
      <c r="Y267" s="16" t="s">
        <v>3337</v>
      </c>
      <c r="Z267" s="16" t="s">
        <v>986</v>
      </c>
      <c r="AA267" s="16" t="s">
        <v>171</v>
      </c>
      <c r="AB267" s="16" t="s">
        <v>172</v>
      </c>
      <c r="AC267" s="16" t="s">
        <v>987</v>
      </c>
      <c r="AD267" s="16" t="s">
        <v>3338</v>
      </c>
      <c r="AE267" s="16" t="s">
        <v>84</v>
      </c>
      <c r="AF267" s="16" t="s">
        <v>84</v>
      </c>
      <c r="AG267" s="16">
        <v>289</v>
      </c>
      <c r="AH267" s="16">
        <v>289</v>
      </c>
      <c r="AI267" s="17">
        <v>289</v>
      </c>
      <c r="AJ267" s="16">
        <v>0</v>
      </c>
      <c r="AK267" s="16">
        <v>0</v>
      </c>
      <c r="AL267" s="16">
        <v>0</v>
      </c>
      <c r="AM267" s="16">
        <v>0</v>
      </c>
      <c r="AN267" s="16">
        <v>0</v>
      </c>
      <c r="AO267" s="16" t="s">
        <v>85</v>
      </c>
      <c r="AP267" s="16" t="s">
        <v>3339</v>
      </c>
      <c r="AQ267" s="16" t="s">
        <v>3340</v>
      </c>
      <c r="AR267" s="16" t="s">
        <v>88</v>
      </c>
      <c r="AS267" s="16" t="s">
        <v>3341</v>
      </c>
      <c r="AT267" s="16">
        <v>14.45</v>
      </c>
      <c r="AU267" s="16" t="s">
        <v>90</v>
      </c>
      <c r="AV267" s="16">
        <v>1.98</v>
      </c>
      <c r="AW267" s="16" t="s">
        <v>115</v>
      </c>
      <c r="AX267" s="16" t="s">
        <v>116</v>
      </c>
      <c r="AY267" s="16" t="s">
        <v>117</v>
      </c>
      <c r="AZ267" s="16" t="s">
        <v>118</v>
      </c>
      <c r="BA267" s="16" t="s">
        <v>119</v>
      </c>
      <c r="BB267" s="16">
        <v>0</v>
      </c>
      <c r="BC267" s="16" t="s">
        <v>84</v>
      </c>
      <c r="BD267" s="16" t="s">
        <v>90</v>
      </c>
      <c r="BE267" s="16" t="s">
        <v>2699</v>
      </c>
      <c r="BF267" s="16" t="s">
        <v>2700</v>
      </c>
      <c r="BG267" s="16" t="s">
        <v>2701</v>
      </c>
      <c r="BH267" s="16" t="s">
        <v>2702</v>
      </c>
      <c r="BI267" s="16" t="s">
        <v>2703</v>
      </c>
      <c r="BJ267" s="16">
        <v>289</v>
      </c>
      <c r="BK267" s="16">
        <v>289</v>
      </c>
      <c r="BL267" s="16">
        <v>289</v>
      </c>
      <c r="BM267" s="16" t="s">
        <v>96</v>
      </c>
      <c r="BN267" s="16">
        <v>1</v>
      </c>
      <c r="BO267" s="16" t="s">
        <v>84</v>
      </c>
      <c r="BP267" s="16" t="s">
        <v>84</v>
      </c>
      <c r="BQ267" s="16" t="s">
        <v>84</v>
      </c>
      <c r="BR267" s="16" t="s">
        <v>97</v>
      </c>
      <c r="BS267" s="16" t="s">
        <v>98</v>
      </c>
      <c r="BT267" s="16">
        <v>0</v>
      </c>
    </row>
    <row r="268" s="1" customFormat="1" ht="16" customHeight="1" spans="1:72">
      <c r="A268" s="14">
        <f t="shared" si="52"/>
        <v>2025</v>
      </c>
      <c r="B268" s="14">
        <f t="shared" si="53"/>
        <v>8</v>
      </c>
      <c r="C268" s="14" t="str">
        <f t="shared" si="54"/>
        <v>3729694036738578944</v>
      </c>
      <c r="D268" s="14" cm="1">
        <f t="array" ref="D268">SUMPRODUCT(($R$2:$R$374=C268)*1)</f>
        <v>1</v>
      </c>
      <c r="E268" s="14" cm="1">
        <f t="array" ref="E268">SUMPRODUCT(($R$2:R268=C268)*1)</f>
        <v>1</v>
      </c>
      <c r="F268" s="15" t="str">
        <f t="shared" si="55"/>
        <v>Z2285-灰色-M</v>
      </c>
      <c r="G268" s="14" t="str">
        <f t="shared" si="56"/>
        <v>Z2285</v>
      </c>
      <c r="H268" s="15">
        <f t="shared" si="57"/>
        <v>1</v>
      </c>
      <c r="I268" s="14">
        <f t="shared" si="58"/>
        <v>129</v>
      </c>
      <c r="J268" s="15">
        <f t="shared" si="59"/>
        <v>0</v>
      </c>
      <c r="K268" s="15">
        <f t="shared" si="60"/>
        <v>0</v>
      </c>
      <c r="L268" s="15">
        <f t="shared" si="61"/>
        <v>-6.45</v>
      </c>
      <c r="M268" s="15">
        <f t="shared" si="62"/>
        <v>0</v>
      </c>
      <c r="N268" s="15">
        <f t="shared" si="63"/>
        <v>-1.5</v>
      </c>
      <c r="O268" s="15">
        <f t="shared" si="64"/>
        <v>121.05</v>
      </c>
      <c r="R268" s="16" t="s">
        <v>3342</v>
      </c>
      <c r="S268" s="16" t="s">
        <v>3343</v>
      </c>
      <c r="T268" s="16" t="s">
        <v>3344</v>
      </c>
      <c r="U268" s="16" t="s">
        <v>3345</v>
      </c>
      <c r="V268" s="16" t="s">
        <v>3346</v>
      </c>
      <c r="W268" s="16" t="s">
        <v>76</v>
      </c>
      <c r="X268" s="16" t="s">
        <v>77</v>
      </c>
      <c r="Y268" s="16" t="s">
        <v>241</v>
      </c>
      <c r="Z268" s="16" t="s">
        <v>170</v>
      </c>
      <c r="AA268" s="16" t="s">
        <v>171</v>
      </c>
      <c r="AB268" s="16" t="s">
        <v>172</v>
      </c>
      <c r="AC268" s="16" t="s">
        <v>173</v>
      </c>
      <c r="AD268" s="16" t="s">
        <v>3347</v>
      </c>
      <c r="AE268" s="16" t="s">
        <v>84</v>
      </c>
      <c r="AF268" s="16" t="s">
        <v>84</v>
      </c>
      <c r="AG268" s="16">
        <v>129</v>
      </c>
      <c r="AH268" s="16">
        <v>129</v>
      </c>
      <c r="AI268" s="17">
        <v>129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 t="s">
        <v>85</v>
      </c>
      <c r="AP268" s="16" t="s">
        <v>3348</v>
      </c>
      <c r="AQ268" s="16" t="s">
        <v>3349</v>
      </c>
      <c r="AR268" s="16" t="s">
        <v>88</v>
      </c>
      <c r="AS268" s="16" t="s">
        <v>3350</v>
      </c>
      <c r="AT268" s="16">
        <v>6.45</v>
      </c>
      <c r="AU268" s="16" t="s">
        <v>90</v>
      </c>
      <c r="AV268" s="16">
        <v>1.5</v>
      </c>
      <c r="AW268" s="16" t="s">
        <v>115</v>
      </c>
      <c r="AX268" s="16" t="s">
        <v>116</v>
      </c>
      <c r="AY268" s="16" t="s">
        <v>117</v>
      </c>
      <c r="AZ268" s="16" t="s">
        <v>118</v>
      </c>
      <c r="BA268" s="16" t="s">
        <v>119</v>
      </c>
      <c r="BB268" s="16">
        <v>0</v>
      </c>
      <c r="BC268" s="16" t="s">
        <v>84</v>
      </c>
      <c r="BD268" s="16" t="s">
        <v>90</v>
      </c>
      <c r="BE268" s="16" t="s">
        <v>2868</v>
      </c>
      <c r="BF268" s="16" t="s">
        <v>2869</v>
      </c>
      <c r="BG268" s="16" t="s">
        <v>2870</v>
      </c>
      <c r="BH268" s="16" t="s">
        <v>3145</v>
      </c>
      <c r="BI268" s="16" t="s">
        <v>3146</v>
      </c>
      <c r="BJ268" s="16">
        <v>129</v>
      </c>
      <c r="BK268" s="16">
        <v>129</v>
      </c>
      <c r="BL268" s="16">
        <v>129</v>
      </c>
      <c r="BM268" s="16" t="s">
        <v>96</v>
      </c>
      <c r="BN268" s="16">
        <v>1</v>
      </c>
      <c r="BO268" s="16" t="s">
        <v>84</v>
      </c>
      <c r="BP268" s="16" t="s">
        <v>84</v>
      </c>
      <c r="BQ268" s="16" t="s">
        <v>84</v>
      </c>
      <c r="BR268" s="16" t="s">
        <v>97</v>
      </c>
      <c r="BS268" s="16" t="s">
        <v>98</v>
      </c>
      <c r="BT268" s="16">
        <v>0</v>
      </c>
    </row>
    <row r="269" s="1" customFormat="1" ht="16" customHeight="1" spans="1:72">
      <c r="A269" s="14">
        <f t="shared" si="52"/>
        <v>2025</v>
      </c>
      <c r="B269" s="14">
        <f t="shared" si="53"/>
        <v>8</v>
      </c>
      <c r="C269" s="14" t="str">
        <f t="shared" si="54"/>
        <v>3729694030213813248</v>
      </c>
      <c r="D269" s="14" cm="1">
        <f t="array" ref="D269">SUMPRODUCT(($R$2:$R$374=C269)*1)</f>
        <v>1</v>
      </c>
      <c r="E269" s="14" cm="1">
        <f t="array" ref="E269">SUMPRODUCT(($R$2:R269=C269)*1)</f>
        <v>1</v>
      </c>
      <c r="F269" s="15" t="str">
        <f t="shared" si="55"/>
        <v>Z2285-黑色-M</v>
      </c>
      <c r="G269" s="14" t="str">
        <f t="shared" si="56"/>
        <v>Z2285</v>
      </c>
      <c r="H269" s="15">
        <f t="shared" si="57"/>
        <v>1</v>
      </c>
      <c r="I269" s="14">
        <f t="shared" si="58"/>
        <v>129</v>
      </c>
      <c r="J269" s="15">
        <f t="shared" si="59"/>
        <v>0</v>
      </c>
      <c r="K269" s="15">
        <f t="shared" si="60"/>
        <v>0</v>
      </c>
      <c r="L269" s="15">
        <f t="shared" si="61"/>
        <v>-6.45</v>
      </c>
      <c r="M269" s="15">
        <f t="shared" si="62"/>
        <v>0</v>
      </c>
      <c r="N269" s="15">
        <f t="shared" si="63"/>
        <v>-1.5</v>
      </c>
      <c r="O269" s="15">
        <f t="shared" si="64"/>
        <v>121.05</v>
      </c>
      <c r="R269" s="16" t="s">
        <v>3351</v>
      </c>
      <c r="S269" s="16" t="s">
        <v>3352</v>
      </c>
      <c r="T269" s="16" t="s">
        <v>3353</v>
      </c>
      <c r="U269" s="16" t="s">
        <v>3354</v>
      </c>
      <c r="V269" s="16" t="s">
        <v>3355</v>
      </c>
      <c r="W269" s="16" t="s">
        <v>76</v>
      </c>
      <c r="X269" s="16" t="s">
        <v>77</v>
      </c>
      <c r="Y269" s="16" t="s">
        <v>1256</v>
      </c>
      <c r="Z269" s="16" t="s">
        <v>3356</v>
      </c>
      <c r="AA269" s="16" t="s">
        <v>153</v>
      </c>
      <c r="AB269" s="16" t="s">
        <v>153</v>
      </c>
      <c r="AC269" s="16" t="s">
        <v>3357</v>
      </c>
      <c r="AD269" s="16" t="s">
        <v>3358</v>
      </c>
      <c r="AE269" s="16" t="s">
        <v>84</v>
      </c>
      <c r="AF269" s="16" t="s">
        <v>84</v>
      </c>
      <c r="AG269" s="16">
        <v>129</v>
      </c>
      <c r="AH269" s="16">
        <v>129</v>
      </c>
      <c r="AI269" s="17">
        <v>129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 t="s">
        <v>85</v>
      </c>
      <c r="AP269" s="16" t="s">
        <v>3359</v>
      </c>
      <c r="AQ269" s="16" t="s">
        <v>3360</v>
      </c>
      <c r="AR269" s="16" t="s">
        <v>88</v>
      </c>
      <c r="AS269" s="16" t="s">
        <v>3361</v>
      </c>
      <c r="AT269" s="16">
        <v>6.45</v>
      </c>
      <c r="AU269" s="16" t="s">
        <v>90</v>
      </c>
      <c r="AV269" s="16">
        <v>1.5</v>
      </c>
      <c r="AW269" s="16" t="s">
        <v>115</v>
      </c>
      <c r="AX269" s="16" t="s">
        <v>116</v>
      </c>
      <c r="AY269" s="16" t="s">
        <v>117</v>
      </c>
      <c r="AZ269" s="16" t="s">
        <v>118</v>
      </c>
      <c r="BA269" s="16" t="s">
        <v>119</v>
      </c>
      <c r="BB269" s="16">
        <v>0</v>
      </c>
      <c r="BC269" s="16" t="s">
        <v>84</v>
      </c>
      <c r="BD269" s="16" t="s">
        <v>90</v>
      </c>
      <c r="BE269" s="16" t="s">
        <v>2868</v>
      </c>
      <c r="BF269" s="16" t="s">
        <v>2869</v>
      </c>
      <c r="BG269" s="16" t="s">
        <v>2870</v>
      </c>
      <c r="BH269" s="16" t="s">
        <v>3362</v>
      </c>
      <c r="BI269" s="16" t="s">
        <v>308</v>
      </c>
      <c r="BJ269" s="16">
        <v>129</v>
      </c>
      <c r="BK269" s="16">
        <v>129</v>
      </c>
      <c r="BL269" s="16">
        <v>129</v>
      </c>
      <c r="BM269" s="16" t="s">
        <v>96</v>
      </c>
      <c r="BN269" s="16">
        <v>1</v>
      </c>
      <c r="BO269" s="16" t="s">
        <v>84</v>
      </c>
      <c r="BP269" s="16" t="s">
        <v>84</v>
      </c>
      <c r="BQ269" s="16" t="s">
        <v>84</v>
      </c>
      <c r="BR269" s="16" t="s">
        <v>97</v>
      </c>
      <c r="BS269" s="16" t="s">
        <v>98</v>
      </c>
      <c r="BT269" s="16">
        <v>0</v>
      </c>
    </row>
    <row r="270" s="1" customFormat="1" ht="16" customHeight="1" spans="1:72">
      <c r="A270" s="14">
        <f t="shared" si="52"/>
        <v>2025</v>
      </c>
      <c r="B270" s="14">
        <f t="shared" si="53"/>
        <v>8</v>
      </c>
      <c r="C270" s="14" t="str">
        <f t="shared" si="54"/>
        <v>3729694024292507392</v>
      </c>
      <c r="D270" s="14" cm="1">
        <f t="array" ref="D270">SUMPRODUCT(($R$2:$R$374=C270)*1)</f>
        <v>1</v>
      </c>
      <c r="E270" s="14" cm="1">
        <f t="array" ref="E270">SUMPRODUCT(($R$2:R270=C270)*1)</f>
        <v>1</v>
      </c>
      <c r="F270" s="15" t="str">
        <f t="shared" si="55"/>
        <v>Z2309-白色-M</v>
      </c>
      <c r="G270" s="14" t="str">
        <f t="shared" si="56"/>
        <v>Z2309</v>
      </c>
      <c r="H270" s="15">
        <f t="shared" si="57"/>
        <v>1</v>
      </c>
      <c r="I270" s="14">
        <f t="shared" si="58"/>
        <v>289</v>
      </c>
      <c r="J270" s="15">
        <f t="shared" si="59"/>
        <v>0</v>
      </c>
      <c r="K270" s="15">
        <f t="shared" si="60"/>
        <v>0</v>
      </c>
      <c r="L270" s="15">
        <f t="shared" si="61"/>
        <v>-14.45</v>
      </c>
      <c r="M270" s="15">
        <f t="shared" si="62"/>
        <v>0</v>
      </c>
      <c r="N270" s="15">
        <f t="shared" si="63"/>
        <v>-1.5</v>
      </c>
      <c r="O270" s="15">
        <f t="shared" si="64"/>
        <v>273.05</v>
      </c>
      <c r="R270" s="16" t="s">
        <v>3363</v>
      </c>
      <c r="S270" s="16" t="s">
        <v>3364</v>
      </c>
      <c r="T270" s="16" t="s">
        <v>3365</v>
      </c>
      <c r="U270" s="16" t="s">
        <v>3366</v>
      </c>
      <c r="V270" s="16" t="s">
        <v>3367</v>
      </c>
      <c r="W270" s="16" t="s">
        <v>76</v>
      </c>
      <c r="X270" s="16" t="s">
        <v>77</v>
      </c>
      <c r="Y270" s="16" t="s">
        <v>2430</v>
      </c>
      <c r="Z270" s="16" t="s">
        <v>2328</v>
      </c>
      <c r="AA270" s="16" t="s">
        <v>107</v>
      </c>
      <c r="AB270" s="16" t="s">
        <v>456</v>
      </c>
      <c r="AC270" s="16" t="s">
        <v>2329</v>
      </c>
      <c r="AD270" s="16" t="s">
        <v>3368</v>
      </c>
      <c r="AE270" s="16" t="s">
        <v>84</v>
      </c>
      <c r="AF270" s="16" t="s">
        <v>84</v>
      </c>
      <c r="AG270" s="16">
        <v>289</v>
      </c>
      <c r="AH270" s="16">
        <v>289</v>
      </c>
      <c r="AI270" s="17">
        <v>289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 t="s">
        <v>85</v>
      </c>
      <c r="AP270" s="16" t="s">
        <v>3369</v>
      </c>
      <c r="AQ270" s="16" t="s">
        <v>3370</v>
      </c>
      <c r="AR270" s="16" t="s">
        <v>88</v>
      </c>
      <c r="AS270" s="16" t="s">
        <v>3371</v>
      </c>
      <c r="AT270" s="16">
        <v>14.45</v>
      </c>
      <c r="AU270" s="16" t="s">
        <v>90</v>
      </c>
      <c r="AV270" s="16">
        <v>1.5</v>
      </c>
      <c r="AW270" s="16" t="s">
        <v>115</v>
      </c>
      <c r="AX270" s="16" t="s">
        <v>116</v>
      </c>
      <c r="AY270" s="16" t="s">
        <v>117</v>
      </c>
      <c r="AZ270" s="16" t="s">
        <v>118</v>
      </c>
      <c r="BA270" s="16" t="s">
        <v>119</v>
      </c>
      <c r="BB270" s="16">
        <v>0</v>
      </c>
      <c r="BC270" s="16" t="s">
        <v>84</v>
      </c>
      <c r="BD270" s="16" t="s">
        <v>90</v>
      </c>
      <c r="BE270" s="16" t="s">
        <v>3372</v>
      </c>
      <c r="BF270" s="16" t="s">
        <v>3373</v>
      </c>
      <c r="BG270" s="16" t="s">
        <v>3374</v>
      </c>
      <c r="BH270" s="16" t="s">
        <v>3375</v>
      </c>
      <c r="BI270" s="16" t="s">
        <v>3376</v>
      </c>
      <c r="BJ270" s="16">
        <v>289</v>
      </c>
      <c r="BK270" s="16">
        <v>289</v>
      </c>
      <c r="BL270" s="16">
        <v>289</v>
      </c>
      <c r="BM270" s="16" t="s">
        <v>96</v>
      </c>
      <c r="BN270" s="16">
        <v>1</v>
      </c>
      <c r="BO270" s="16" t="s">
        <v>84</v>
      </c>
      <c r="BP270" s="16" t="s">
        <v>84</v>
      </c>
      <c r="BQ270" s="16" t="s">
        <v>84</v>
      </c>
      <c r="BR270" s="16" t="s">
        <v>97</v>
      </c>
      <c r="BS270" s="16" t="s">
        <v>98</v>
      </c>
      <c r="BT270" s="16">
        <v>0</v>
      </c>
    </row>
    <row r="271" s="1" customFormat="1" ht="16" customHeight="1" spans="1:72">
      <c r="A271" s="14">
        <f t="shared" si="52"/>
        <v>2025</v>
      </c>
      <c r="B271" s="14">
        <f t="shared" si="53"/>
        <v>8</v>
      </c>
      <c r="C271" s="14" t="str">
        <f t="shared" si="54"/>
        <v>3729693963369454080</v>
      </c>
      <c r="D271" s="14" cm="1">
        <f t="array" ref="D271">SUMPRODUCT(($R$2:$R$374=C271)*1)</f>
        <v>1</v>
      </c>
      <c r="E271" s="14" cm="1">
        <f t="array" ref="E271">SUMPRODUCT(($R$2:R271=C271)*1)</f>
        <v>1</v>
      </c>
      <c r="F271" s="15" t="str">
        <f t="shared" si="55"/>
        <v>Z2285-灰色-S</v>
      </c>
      <c r="G271" s="14" t="str">
        <f t="shared" si="56"/>
        <v>Z2285</v>
      </c>
      <c r="H271" s="15">
        <f t="shared" si="57"/>
        <v>1</v>
      </c>
      <c r="I271" s="14">
        <f t="shared" si="58"/>
        <v>129</v>
      </c>
      <c r="J271" s="15">
        <f t="shared" si="59"/>
        <v>0</v>
      </c>
      <c r="K271" s="15">
        <f t="shared" si="60"/>
        <v>0</v>
      </c>
      <c r="L271" s="15">
        <f t="shared" si="61"/>
        <v>-6.45</v>
      </c>
      <c r="M271" s="15">
        <f t="shared" si="62"/>
        <v>0</v>
      </c>
      <c r="N271" s="15">
        <f t="shared" si="63"/>
        <v>-1.5</v>
      </c>
      <c r="O271" s="15">
        <f t="shared" si="64"/>
        <v>121.05</v>
      </c>
      <c r="R271" s="16" t="s">
        <v>3377</v>
      </c>
      <c r="S271" s="16" t="s">
        <v>3378</v>
      </c>
      <c r="T271" s="16" t="s">
        <v>3379</v>
      </c>
      <c r="U271" s="16" t="s">
        <v>3380</v>
      </c>
      <c r="V271" s="16" t="s">
        <v>3381</v>
      </c>
      <c r="W271" s="16" t="s">
        <v>76</v>
      </c>
      <c r="X271" s="16" t="s">
        <v>77</v>
      </c>
      <c r="Y271" s="16" t="s">
        <v>3382</v>
      </c>
      <c r="Z271" s="16" t="s">
        <v>2328</v>
      </c>
      <c r="AA271" s="16" t="s">
        <v>107</v>
      </c>
      <c r="AB271" s="16" t="s">
        <v>456</v>
      </c>
      <c r="AC271" s="16" t="s">
        <v>2329</v>
      </c>
      <c r="AD271" s="16" t="s">
        <v>3383</v>
      </c>
      <c r="AE271" s="16" t="s">
        <v>84</v>
      </c>
      <c r="AF271" s="16" t="s">
        <v>84</v>
      </c>
      <c r="AG271" s="16">
        <v>129</v>
      </c>
      <c r="AH271" s="16">
        <v>129</v>
      </c>
      <c r="AI271" s="17">
        <v>129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 t="s">
        <v>137</v>
      </c>
      <c r="AP271" s="16" t="s">
        <v>3384</v>
      </c>
      <c r="AQ271" s="16" t="s">
        <v>3385</v>
      </c>
      <c r="AR271" s="16" t="s">
        <v>88</v>
      </c>
      <c r="AS271" s="16" t="s">
        <v>3386</v>
      </c>
      <c r="AT271" s="16">
        <v>6.45</v>
      </c>
      <c r="AU271" s="16" t="s">
        <v>90</v>
      </c>
      <c r="AV271" s="16">
        <v>1.5</v>
      </c>
      <c r="AW271" s="16" t="s">
        <v>115</v>
      </c>
      <c r="AX271" s="16" t="s">
        <v>116</v>
      </c>
      <c r="AY271" s="16" t="s">
        <v>117</v>
      </c>
      <c r="AZ271" s="16" t="s">
        <v>118</v>
      </c>
      <c r="BA271" s="16" t="s">
        <v>119</v>
      </c>
      <c r="BB271" s="16">
        <v>0</v>
      </c>
      <c r="BC271" s="16" t="s">
        <v>84</v>
      </c>
      <c r="BD271" s="16" t="s">
        <v>90</v>
      </c>
      <c r="BE271" s="16" t="s">
        <v>2868</v>
      </c>
      <c r="BF271" s="16" t="s">
        <v>2869</v>
      </c>
      <c r="BG271" s="16" t="s">
        <v>2870</v>
      </c>
      <c r="BH271" s="16" t="s">
        <v>2871</v>
      </c>
      <c r="BI271" s="16" t="s">
        <v>2872</v>
      </c>
      <c r="BJ271" s="16">
        <v>129</v>
      </c>
      <c r="BK271" s="16">
        <v>129</v>
      </c>
      <c r="BL271" s="16">
        <v>129</v>
      </c>
      <c r="BM271" s="16" t="s">
        <v>96</v>
      </c>
      <c r="BN271" s="16">
        <v>1</v>
      </c>
      <c r="BO271" s="16" t="s">
        <v>84</v>
      </c>
      <c r="BP271" s="16" t="s">
        <v>84</v>
      </c>
      <c r="BQ271" s="16" t="s">
        <v>84</v>
      </c>
      <c r="BR271" s="16" t="s">
        <v>97</v>
      </c>
      <c r="BS271" s="16" t="s">
        <v>98</v>
      </c>
      <c r="BT271" s="16">
        <v>0</v>
      </c>
    </row>
    <row r="272" s="1" customFormat="1" ht="16" customHeight="1" spans="1:72">
      <c r="A272" s="14">
        <f t="shared" si="52"/>
        <v>2025</v>
      </c>
      <c r="B272" s="14">
        <f t="shared" si="53"/>
        <v>8</v>
      </c>
      <c r="C272" s="14" t="str">
        <f t="shared" si="54"/>
        <v>3729693939776500480</v>
      </c>
      <c r="D272" s="14" cm="1">
        <f t="array" ref="D272">SUMPRODUCT(($R$2:$R$374=C272)*1)</f>
        <v>1</v>
      </c>
      <c r="E272" s="14" cm="1">
        <f t="array" ref="E272">SUMPRODUCT(($R$2:R272=C272)*1)</f>
        <v>1</v>
      </c>
      <c r="F272" s="15" t="str">
        <f t="shared" si="55"/>
        <v>Z2285-灰色-M</v>
      </c>
      <c r="G272" s="14" t="str">
        <f t="shared" si="56"/>
        <v>Z2285</v>
      </c>
      <c r="H272" s="15">
        <f t="shared" si="57"/>
        <v>1</v>
      </c>
      <c r="I272" s="14">
        <f t="shared" si="58"/>
        <v>129</v>
      </c>
      <c r="J272" s="15">
        <f t="shared" si="59"/>
        <v>0</v>
      </c>
      <c r="K272" s="15">
        <f t="shared" si="60"/>
        <v>0</v>
      </c>
      <c r="L272" s="15">
        <f t="shared" si="61"/>
        <v>-6.45</v>
      </c>
      <c r="M272" s="15">
        <f t="shared" si="62"/>
        <v>0</v>
      </c>
      <c r="N272" s="15">
        <f t="shared" si="63"/>
        <v>-1.5</v>
      </c>
      <c r="O272" s="15">
        <f t="shared" si="64"/>
        <v>121.05</v>
      </c>
      <c r="R272" s="16" t="s">
        <v>3387</v>
      </c>
      <c r="S272" s="16" t="s">
        <v>3388</v>
      </c>
      <c r="T272" s="16" t="s">
        <v>3344</v>
      </c>
      <c r="U272" s="16" t="s">
        <v>3389</v>
      </c>
      <c r="V272" s="16" t="s">
        <v>3390</v>
      </c>
      <c r="W272" s="16" t="s">
        <v>76</v>
      </c>
      <c r="X272" s="16" t="s">
        <v>77</v>
      </c>
      <c r="Y272" s="16" t="s">
        <v>3391</v>
      </c>
      <c r="Z272" s="16" t="s">
        <v>3392</v>
      </c>
      <c r="AA272" s="16" t="s">
        <v>430</v>
      </c>
      <c r="AB272" s="16" t="s">
        <v>430</v>
      </c>
      <c r="AC272" s="16" t="s">
        <v>3393</v>
      </c>
      <c r="AD272" s="16" t="s">
        <v>3394</v>
      </c>
      <c r="AE272" s="16" t="s">
        <v>84</v>
      </c>
      <c r="AF272" s="16" t="s">
        <v>84</v>
      </c>
      <c r="AG272" s="16">
        <v>129</v>
      </c>
      <c r="AH272" s="16">
        <v>129</v>
      </c>
      <c r="AI272" s="17">
        <v>129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 t="s">
        <v>85</v>
      </c>
      <c r="AP272" s="16" t="s">
        <v>3395</v>
      </c>
      <c r="AQ272" s="16" t="s">
        <v>3396</v>
      </c>
      <c r="AR272" s="16" t="s">
        <v>88</v>
      </c>
      <c r="AS272" s="16" t="s">
        <v>3397</v>
      </c>
      <c r="AT272" s="16">
        <v>6.45</v>
      </c>
      <c r="AU272" s="16" t="s">
        <v>90</v>
      </c>
      <c r="AV272" s="16">
        <v>1.5</v>
      </c>
      <c r="AW272" s="16" t="s">
        <v>115</v>
      </c>
      <c r="AX272" s="16" t="s">
        <v>116</v>
      </c>
      <c r="AY272" s="16" t="s">
        <v>117</v>
      </c>
      <c r="AZ272" s="16" t="s">
        <v>118</v>
      </c>
      <c r="BA272" s="16" t="s">
        <v>119</v>
      </c>
      <c r="BB272" s="16">
        <v>0</v>
      </c>
      <c r="BC272" s="16" t="s">
        <v>84</v>
      </c>
      <c r="BD272" s="16" t="s">
        <v>90</v>
      </c>
      <c r="BE272" s="16" t="s">
        <v>2868</v>
      </c>
      <c r="BF272" s="16" t="s">
        <v>2869</v>
      </c>
      <c r="BG272" s="16" t="s">
        <v>2870</v>
      </c>
      <c r="BH272" s="16" t="s">
        <v>3145</v>
      </c>
      <c r="BI272" s="16" t="s">
        <v>3146</v>
      </c>
      <c r="BJ272" s="16">
        <v>129</v>
      </c>
      <c r="BK272" s="16">
        <v>129</v>
      </c>
      <c r="BL272" s="16">
        <v>129</v>
      </c>
      <c r="BM272" s="16" t="s">
        <v>96</v>
      </c>
      <c r="BN272" s="16">
        <v>1</v>
      </c>
      <c r="BO272" s="16" t="s">
        <v>84</v>
      </c>
      <c r="BP272" s="16" t="s">
        <v>84</v>
      </c>
      <c r="BQ272" s="16" t="s">
        <v>84</v>
      </c>
      <c r="BR272" s="16" t="s">
        <v>97</v>
      </c>
      <c r="BS272" s="16" t="s">
        <v>98</v>
      </c>
      <c r="BT272" s="16">
        <v>0</v>
      </c>
    </row>
    <row r="273" s="1" customFormat="1" ht="16" customHeight="1" spans="1:72">
      <c r="A273" s="14">
        <f t="shared" si="52"/>
        <v>2025</v>
      </c>
      <c r="B273" s="14">
        <f t="shared" si="53"/>
        <v>8</v>
      </c>
      <c r="C273" s="14" t="str">
        <f t="shared" si="54"/>
        <v>3729693940703703040</v>
      </c>
      <c r="D273" s="14" cm="1">
        <f t="array" ref="D273">SUMPRODUCT(($R$2:$R$374=C273)*1)</f>
        <v>1</v>
      </c>
      <c r="E273" s="14" cm="1">
        <f t="array" ref="E273">SUMPRODUCT(($R$2:R273=C273)*1)</f>
        <v>1</v>
      </c>
      <c r="F273" s="15" t="str">
        <f t="shared" si="55"/>
        <v>Z2295-黑色-M</v>
      </c>
      <c r="G273" s="14" t="str">
        <f t="shared" si="56"/>
        <v>Z2295</v>
      </c>
      <c r="H273" s="15">
        <f t="shared" si="57"/>
        <v>1</v>
      </c>
      <c r="I273" s="14">
        <f t="shared" si="58"/>
        <v>179</v>
      </c>
      <c r="J273" s="15">
        <f t="shared" si="59"/>
        <v>0</v>
      </c>
      <c r="K273" s="15">
        <f t="shared" si="60"/>
        <v>0</v>
      </c>
      <c r="L273" s="15">
        <f t="shared" si="61"/>
        <v>-8.95</v>
      </c>
      <c r="M273" s="15">
        <f t="shared" si="62"/>
        <v>0</v>
      </c>
      <c r="N273" s="15">
        <f t="shared" si="63"/>
        <v>-1.5</v>
      </c>
      <c r="O273" s="15">
        <f t="shared" si="64"/>
        <v>168.55</v>
      </c>
      <c r="R273" s="16" t="s">
        <v>3398</v>
      </c>
      <c r="S273" s="16" t="s">
        <v>3399</v>
      </c>
      <c r="T273" s="16" t="s">
        <v>3400</v>
      </c>
      <c r="U273" s="16" t="s">
        <v>3401</v>
      </c>
      <c r="V273" s="16" t="s">
        <v>3402</v>
      </c>
      <c r="W273" s="16" t="s">
        <v>76</v>
      </c>
      <c r="X273" s="16" t="s">
        <v>77</v>
      </c>
      <c r="Y273" s="16" t="s">
        <v>1687</v>
      </c>
      <c r="Z273" s="16" t="s">
        <v>3403</v>
      </c>
      <c r="AA273" s="16" t="s">
        <v>820</v>
      </c>
      <c r="AB273" s="16" t="s">
        <v>3280</v>
      </c>
      <c r="AC273" s="16" t="s">
        <v>3404</v>
      </c>
      <c r="AD273" s="16" t="s">
        <v>3405</v>
      </c>
      <c r="AE273" s="16" t="s">
        <v>84</v>
      </c>
      <c r="AF273" s="16" t="s">
        <v>84</v>
      </c>
      <c r="AG273" s="16">
        <v>179</v>
      </c>
      <c r="AH273" s="16">
        <v>179</v>
      </c>
      <c r="AI273" s="17">
        <v>179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 t="s">
        <v>85</v>
      </c>
      <c r="AP273" s="16" t="s">
        <v>3406</v>
      </c>
      <c r="AQ273" s="16" t="s">
        <v>3407</v>
      </c>
      <c r="AR273" s="16" t="s">
        <v>88</v>
      </c>
      <c r="AS273" s="16" t="s">
        <v>3408</v>
      </c>
      <c r="AT273" s="16">
        <v>8.95</v>
      </c>
      <c r="AU273" s="16" t="s">
        <v>90</v>
      </c>
      <c r="AV273" s="16">
        <v>1.5</v>
      </c>
      <c r="AW273" s="16" t="s">
        <v>115</v>
      </c>
      <c r="AX273" s="16" t="s">
        <v>116</v>
      </c>
      <c r="AY273" s="16" t="s">
        <v>117</v>
      </c>
      <c r="AZ273" s="16" t="s">
        <v>118</v>
      </c>
      <c r="BA273" s="16" t="s">
        <v>119</v>
      </c>
      <c r="BB273" s="16">
        <v>0</v>
      </c>
      <c r="BC273" s="16" t="s">
        <v>84</v>
      </c>
      <c r="BD273" s="16" t="s">
        <v>90</v>
      </c>
      <c r="BE273" s="16" t="s">
        <v>3048</v>
      </c>
      <c r="BF273" s="16" t="s">
        <v>3049</v>
      </c>
      <c r="BG273" s="16" t="s">
        <v>3050</v>
      </c>
      <c r="BH273" s="16" t="s">
        <v>3051</v>
      </c>
      <c r="BI273" s="16" t="s">
        <v>3052</v>
      </c>
      <c r="BJ273" s="16">
        <v>179</v>
      </c>
      <c r="BK273" s="16">
        <v>179</v>
      </c>
      <c r="BL273" s="16">
        <v>179</v>
      </c>
      <c r="BM273" s="16" t="s">
        <v>96</v>
      </c>
      <c r="BN273" s="16">
        <v>1</v>
      </c>
      <c r="BO273" s="16" t="s">
        <v>84</v>
      </c>
      <c r="BP273" s="16" t="s">
        <v>84</v>
      </c>
      <c r="BQ273" s="16" t="s">
        <v>84</v>
      </c>
      <c r="BR273" s="16" t="s">
        <v>97</v>
      </c>
      <c r="BS273" s="16" t="s">
        <v>98</v>
      </c>
      <c r="BT273" s="16">
        <v>0</v>
      </c>
    </row>
    <row r="274" s="1" customFormat="1" ht="16" customHeight="1" spans="1:72">
      <c r="A274" s="14">
        <f t="shared" si="52"/>
        <v>2025</v>
      </c>
      <c r="B274" s="14">
        <f t="shared" si="53"/>
        <v>8</v>
      </c>
      <c r="C274" s="14" t="str">
        <f t="shared" si="54"/>
        <v>3729693877837635072</v>
      </c>
      <c r="D274" s="14" cm="1">
        <f t="array" ref="D274">SUMPRODUCT(($R$2:$R$374=C274)*1)</f>
        <v>1</v>
      </c>
      <c r="E274" s="14" cm="1">
        <f t="array" ref="E274">SUMPRODUCT(($R$2:R274=C274)*1)</f>
        <v>1</v>
      </c>
      <c r="F274" s="15" t="str">
        <f t="shared" si="55"/>
        <v>Z2285-灰色-M</v>
      </c>
      <c r="G274" s="14" t="str">
        <f t="shared" si="56"/>
        <v>Z2285</v>
      </c>
      <c r="H274" s="15">
        <f t="shared" si="57"/>
        <v>0</v>
      </c>
      <c r="I274" s="14">
        <f t="shared" si="58"/>
        <v>0</v>
      </c>
      <c r="J274" s="15">
        <f t="shared" si="59"/>
        <v>0</v>
      </c>
      <c r="K274" s="15">
        <f t="shared" si="60"/>
        <v>0</v>
      </c>
      <c r="L274" s="15">
        <f t="shared" si="61"/>
        <v>0</v>
      </c>
      <c r="M274" s="15">
        <f t="shared" si="62"/>
        <v>0</v>
      </c>
      <c r="N274" s="15">
        <f t="shared" si="63"/>
        <v>0</v>
      </c>
      <c r="O274" s="15">
        <f t="shared" si="64"/>
        <v>0</v>
      </c>
      <c r="R274" s="16" t="s">
        <v>3409</v>
      </c>
      <c r="S274" s="16" t="s">
        <v>3410</v>
      </c>
      <c r="T274" s="16" t="s">
        <v>3344</v>
      </c>
      <c r="U274" s="16" t="s">
        <v>3411</v>
      </c>
      <c r="V274" s="16" t="s">
        <v>3412</v>
      </c>
      <c r="W274" s="16" t="s">
        <v>104</v>
      </c>
      <c r="X274" s="16" t="s">
        <v>77</v>
      </c>
      <c r="Y274" s="16" t="s">
        <v>241</v>
      </c>
      <c r="Z274" s="16" t="s">
        <v>3413</v>
      </c>
      <c r="AA274" s="16" t="s">
        <v>107</v>
      </c>
      <c r="AB274" s="16" t="s">
        <v>1025</v>
      </c>
      <c r="AC274" s="16" t="s">
        <v>3414</v>
      </c>
      <c r="AD274" s="16" t="s">
        <v>3415</v>
      </c>
      <c r="AE274" s="16" t="s">
        <v>84</v>
      </c>
      <c r="AF274" s="16" t="s">
        <v>3416</v>
      </c>
      <c r="AG274" s="16">
        <v>129</v>
      </c>
      <c r="AH274" s="16">
        <v>129</v>
      </c>
      <c r="AI274" s="17">
        <v>129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 t="s">
        <v>85</v>
      </c>
      <c r="AP274" s="16" t="s">
        <v>3417</v>
      </c>
      <c r="AQ274" s="16" t="s">
        <v>3418</v>
      </c>
      <c r="AR274" s="16" t="s">
        <v>88</v>
      </c>
      <c r="AS274" s="16" t="s">
        <v>3419</v>
      </c>
      <c r="AT274" s="16">
        <v>0</v>
      </c>
      <c r="AU274" s="16" t="s">
        <v>90</v>
      </c>
      <c r="AV274" s="16">
        <v>1.5</v>
      </c>
      <c r="AW274" s="16" t="s">
        <v>115</v>
      </c>
      <c r="AX274" s="16" t="s">
        <v>116</v>
      </c>
      <c r="AY274" s="16" t="s">
        <v>117</v>
      </c>
      <c r="AZ274" s="16" t="s">
        <v>118</v>
      </c>
      <c r="BA274" s="16" t="s">
        <v>119</v>
      </c>
      <c r="BB274" s="16">
        <v>0</v>
      </c>
      <c r="BC274" s="16" t="s">
        <v>84</v>
      </c>
      <c r="BD274" s="16" t="s">
        <v>90</v>
      </c>
      <c r="BE274" s="16" t="s">
        <v>2868</v>
      </c>
      <c r="BF274" s="16" t="s">
        <v>2869</v>
      </c>
      <c r="BG274" s="16" t="s">
        <v>2870</v>
      </c>
      <c r="BH274" s="16" t="s">
        <v>3145</v>
      </c>
      <c r="BI274" s="16" t="s">
        <v>3146</v>
      </c>
      <c r="BJ274" s="16">
        <v>129</v>
      </c>
      <c r="BK274" s="16">
        <v>129</v>
      </c>
      <c r="BL274" s="16">
        <v>129</v>
      </c>
      <c r="BM274" s="16" t="s">
        <v>96</v>
      </c>
      <c r="BN274" s="16">
        <v>1</v>
      </c>
      <c r="BO274" s="16" t="s">
        <v>84</v>
      </c>
      <c r="BP274" s="16" t="s">
        <v>84</v>
      </c>
      <c r="BQ274" s="16" t="s">
        <v>84</v>
      </c>
      <c r="BR274" s="16" t="s">
        <v>97</v>
      </c>
      <c r="BS274" s="16" t="s">
        <v>125</v>
      </c>
      <c r="BT274" s="16">
        <v>129</v>
      </c>
    </row>
    <row r="275" s="1" customFormat="1" ht="16" customHeight="1" spans="1:72">
      <c r="A275" s="14">
        <f t="shared" si="52"/>
        <v>2025</v>
      </c>
      <c r="B275" s="14">
        <f t="shared" si="53"/>
        <v>8</v>
      </c>
      <c r="C275" s="14" t="str">
        <f t="shared" si="54"/>
        <v>3729693847235206400</v>
      </c>
      <c r="D275" s="14" cm="1">
        <f t="array" ref="D275">SUMPRODUCT(($R$2:$R$374=C275)*1)</f>
        <v>1</v>
      </c>
      <c r="E275" s="14" cm="1">
        <f t="array" ref="E275">SUMPRODUCT(($R$2:R275=C275)*1)</f>
        <v>1</v>
      </c>
      <c r="F275" s="15" t="str">
        <f t="shared" si="55"/>
        <v>Z2215-蓝色-M</v>
      </c>
      <c r="G275" s="14" t="str">
        <f t="shared" si="56"/>
        <v>Z2215</v>
      </c>
      <c r="H275" s="15">
        <f t="shared" si="57"/>
        <v>1</v>
      </c>
      <c r="I275" s="14">
        <f t="shared" si="58"/>
        <v>299</v>
      </c>
      <c r="J275" s="15">
        <f t="shared" si="59"/>
        <v>0</v>
      </c>
      <c r="K275" s="15">
        <f t="shared" si="60"/>
        <v>0</v>
      </c>
      <c r="L275" s="15">
        <f t="shared" si="61"/>
        <v>-14.95</v>
      </c>
      <c r="M275" s="15">
        <f t="shared" si="62"/>
        <v>0</v>
      </c>
      <c r="N275" s="15">
        <f t="shared" si="63"/>
        <v>-1.5</v>
      </c>
      <c r="O275" s="15">
        <f t="shared" si="64"/>
        <v>282.55</v>
      </c>
      <c r="R275" s="16" t="s">
        <v>3420</v>
      </c>
      <c r="S275" s="16" t="s">
        <v>3421</v>
      </c>
      <c r="T275" s="16" t="s">
        <v>3069</v>
      </c>
      <c r="U275" s="16" t="s">
        <v>3422</v>
      </c>
      <c r="V275" s="16" t="s">
        <v>3423</v>
      </c>
      <c r="W275" s="16" t="s">
        <v>76</v>
      </c>
      <c r="X275" s="16" t="s">
        <v>77</v>
      </c>
      <c r="Y275" s="16" t="s">
        <v>1510</v>
      </c>
      <c r="Z275" s="16" t="s">
        <v>2480</v>
      </c>
      <c r="AA275" s="16" t="s">
        <v>1547</v>
      </c>
      <c r="AB275" s="16" t="s">
        <v>1548</v>
      </c>
      <c r="AC275" s="16" t="s">
        <v>2481</v>
      </c>
      <c r="AD275" s="16" t="s">
        <v>2482</v>
      </c>
      <c r="AE275" s="16" t="s">
        <v>84</v>
      </c>
      <c r="AF275" s="16" t="s">
        <v>84</v>
      </c>
      <c r="AG275" s="16">
        <v>299</v>
      </c>
      <c r="AH275" s="16">
        <v>299</v>
      </c>
      <c r="AI275" s="17">
        <v>299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 t="s">
        <v>85</v>
      </c>
      <c r="AP275" s="16" t="s">
        <v>3424</v>
      </c>
      <c r="AQ275" s="16" t="s">
        <v>3425</v>
      </c>
      <c r="AR275" s="16" t="s">
        <v>88</v>
      </c>
      <c r="AS275" s="16" t="s">
        <v>3426</v>
      </c>
      <c r="AT275" s="16">
        <v>14.95</v>
      </c>
      <c r="AU275" s="16" t="s">
        <v>90</v>
      </c>
      <c r="AV275" s="16">
        <v>1.5</v>
      </c>
      <c r="AW275" s="16" t="s">
        <v>115</v>
      </c>
      <c r="AX275" s="16" t="s">
        <v>116</v>
      </c>
      <c r="AY275" s="16" t="s">
        <v>117</v>
      </c>
      <c r="AZ275" s="16" t="s">
        <v>118</v>
      </c>
      <c r="BA275" s="16" t="s">
        <v>119</v>
      </c>
      <c r="BB275" s="16">
        <v>0</v>
      </c>
      <c r="BC275" s="16" t="s">
        <v>84</v>
      </c>
      <c r="BD275" s="16" t="s">
        <v>90</v>
      </c>
      <c r="BE275" s="16" t="s">
        <v>971</v>
      </c>
      <c r="BF275" s="16" t="s">
        <v>972</v>
      </c>
      <c r="BG275" s="16" t="s">
        <v>973</v>
      </c>
      <c r="BH275" s="16" t="s">
        <v>974</v>
      </c>
      <c r="BI275" s="16" t="s">
        <v>811</v>
      </c>
      <c r="BJ275" s="16">
        <v>299</v>
      </c>
      <c r="BK275" s="16">
        <v>299</v>
      </c>
      <c r="BL275" s="16">
        <v>299</v>
      </c>
      <c r="BM275" s="16" t="s">
        <v>96</v>
      </c>
      <c r="BN275" s="16">
        <v>1</v>
      </c>
      <c r="BO275" s="16" t="s">
        <v>84</v>
      </c>
      <c r="BP275" s="16" t="s">
        <v>84</v>
      </c>
      <c r="BQ275" s="16" t="s">
        <v>84</v>
      </c>
      <c r="BR275" s="16" t="s">
        <v>97</v>
      </c>
      <c r="BS275" s="16" t="s">
        <v>98</v>
      </c>
      <c r="BT275" s="16">
        <v>0</v>
      </c>
    </row>
    <row r="276" s="1" customFormat="1" ht="16" customHeight="1" spans="1:72">
      <c r="A276" s="14">
        <f t="shared" si="52"/>
        <v>2025</v>
      </c>
      <c r="B276" s="14">
        <f t="shared" si="53"/>
        <v>8</v>
      </c>
      <c r="C276" s="14" t="str">
        <f t="shared" si="54"/>
        <v>3729693841424528128</v>
      </c>
      <c r="D276" s="14" cm="1">
        <f t="array" ref="D276">SUMPRODUCT(($R$2:$R$374=C276)*1)</f>
        <v>1</v>
      </c>
      <c r="E276" s="14" cm="1">
        <f t="array" ref="E276">SUMPRODUCT(($R$2:R276=C276)*1)</f>
        <v>1</v>
      </c>
      <c r="F276" s="15" t="str">
        <f t="shared" si="55"/>
        <v>Z2295-黑色-M</v>
      </c>
      <c r="G276" s="14" t="str">
        <f t="shared" si="56"/>
        <v>Z2295</v>
      </c>
      <c r="H276" s="15">
        <f t="shared" si="57"/>
        <v>1</v>
      </c>
      <c r="I276" s="14">
        <f t="shared" si="58"/>
        <v>179</v>
      </c>
      <c r="J276" s="15">
        <f t="shared" si="59"/>
        <v>0</v>
      </c>
      <c r="K276" s="15">
        <f t="shared" si="60"/>
        <v>0</v>
      </c>
      <c r="L276" s="15">
        <f t="shared" si="61"/>
        <v>-8.95</v>
      </c>
      <c r="M276" s="15">
        <f t="shared" si="62"/>
        <v>0</v>
      </c>
      <c r="N276" s="15">
        <f t="shared" si="63"/>
        <v>-1.5</v>
      </c>
      <c r="O276" s="15">
        <f t="shared" si="64"/>
        <v>168.55</v>
      </c>
      <c r="R276" s="16" t="s">
        <v>3427</v>
      </c>
      <c r="S276" s="16" t="s">
        <v>3428</v>
      </c>
      <c r="T276" s="16" t="s">
        <v>3400</v>
      </c>
      <c r="U276" s="16" t="s">
        <v>3429</v>
      </c>
      <c r="V276" s="16" t="s">
        <v>3430</v>
      </c>
      <c r="W276" s="16" t="s">
        <v>76</v>
      </c>
      <c r="X276" s="16" t="s">
        <v>77</v>
      </c>
      <c r="Y276" s="16" t="s">
        <v>1687</v>
      </c>
      <c r="Z276" s="16" t="s">
        <v>3403</v>
      </c>
      <c r="AA276" s="16" t="s">
        <v>820</v>
      </c>
      <c r="AB276" s="16" t="s">
        <v>3280</v>
      </c>
      <c r="AC276" s="16" t="s">
        <v>3404</v>
      </c>
      <c r="AD276" s="16" t="s">
        <v>3431</v>
      </c>
      <c r="AE276" s="16" t="s">
        <v>84</v>
      </c>
      <c r="AF276" s="16" t="s">
        <v>84</v>
      </c>
      <c r="AG276" s="16">
        <v>179</v>
      </c>
      <c r="AH276" s="16">
        <v>179</v>
      </c>
      <c r="AI276" s="17">
        <v>179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 t="s">
        <v>85</v>
      </c>
      <c r="AP276" s="16" t="s">
        <v>3432</v>
      </c>
      <c r="AQ276" s="16" t="s">
        <v>3433</v>
      </c>
      <c r="AR276" s="16" t="s">
        <v>88</v>
      </c>
      <c r="AS276" s="16" t="s">
        <v>3434</v>
      </c>
      <c r="AT276" s="16">
        <v>8.95</v>
      </c>
      <c r="AU276" s="16" t="s">
        <v>90</v>
      </c>
      <c r="AV276" s="16">
        <v>1.5</v>
      </c>
      <c r="AW276" s="16" t="s">
        <v>115</v>
      </c>
      <c r="AX276" s="16" t="s">
        <v>116</v>
      </c>
      <c r="AY276" s="16" t="s">
        <v>117</v>
      </c>
      <c r="AZ276" s="16" t="s">
        <v>118</v>
      </c>
      <c r="BA276" s="16" t="s">
        <v>119</v>
      </c>
      <c r="BB276" s="16">
        <v>0</v>
      </c>
      <c r="BC276" s="16" t="s">
        <v>84</v>
      </c>
      <c r="BD276" s="16" t="s">
        <v>90</v>
      </c>
      <c r="BE276" s="16" t="s">
        <v>3048</v>
      </c>
      <c r="BF276" s="16" t="s">
        <v>3049</v>
      </c>
      <c r="BG276" s="16" t="s">
        <v>3050</v>
      </c>
      <c r="BH276" s="16" t="s">
        <v>3051</v>
      </c>
      <c r="BI276" s="16" t="s">
        <v>3052</v>
      </c>
      <c r="BJ276" s="16">
        <v>179</v>
      </c>
      <c r="BK276" s="16">
        <v>179</v>
      </c>
      <c r="BL276" s="16">
        <v>179</v>
      </c>
      <c r="BM276" s="16" t="s">
        <v>96</v>
      </c>
      <c r="BN276" s="16">
        <v>1</v>
      </c>
      <c r="BO276" s="16" t="s">
        <v>84</v>
      </c>
      <c r="BP276" s="16" t="s">
        <v>84</v>
      </c>
      <c r="BQ276" s="16" t="s">
        <v>84</v>
      </c>
      <c r="BR276" s="16" t="s">
        <v>97</v>
      </c>
      <c r="BS276" s="16" t="s">
        <v>98</v>
      </c>
      <c r="BT276" s="16">
        <v>0</v>
      </c>
    </row>
    <row r="277" s="1" customFormat="1" ht="16" customHeight="1" spans="1:72">
      <c r="A277" s="14">
        <f t="shared" si="52"/>
        <v>2025</v>
      </c>
      <c r="B277" s="14">
        <f t="shared" si="53"/>
        <v>8</v>
      </c>
      <c r="C277" s="14" t="str">
        <f t="shared" si="54"/>
        <v>3729693836020423680</v>
      </c>
      <c r="D277" s="14" cm="1">
        <f t="array" ref="D277">SUMPRODUCT(($R$2:$R$374=C277)*1)</f>
        <v>1</v>
      </c>
      <c r="E277" s="14" cm="1">
        <f t="array" ref="E277">SUMPRODUCT(($R$2:R277=C277)*1)</f>
        <v>1</v>
      </c>
      <c r="F277" s="15" t="str">
        <f t="shared" si="55"/>
        <v>Z2215-蓝色-M</v>
      </c>
      <c r="G277" s="14" t="str">
        <f t="shared" si="56"/>
        <v>Z2215</v>
      </c>
      <c r="H277" s="15">
        <f t="shared" si="57"/>
        <v>1</v>
      </c>
      <c r="I277" s="14">
        <f t="shared" si="58"/>
        <v>299</v>
      </c>
      <c r="J277" s="15">
        <f t="shared" si="59"/>
        <v>0</v>
      </c>
      <c r="K277" s="15">
        <f t="shared" si="60"/>
        <v>0</v>
      </c>
      <c r="L277" s="15">
        <f t="shared" si="61"/>
        <v>-2.99</v>
      </c>
      <c r="M277" s="15">
        <f t="shared" si="62"/>
        <v>0</v>
      </c>
      <c r="N277" s="15">
        <f t="shared" si="63"/>
        <v>-1.5</v>
      </c>
      <c r="O277" s="15">
        <f t="shared" si="64"/>
        <v>294.51</v>
      </c>
      <c r="R277" s="16" t="s">
        <v>3435</v>
      </c>
      <c r="S277" s="16" t="s">
        <v>3436</v>
      </c>
      <c r="T277" s="16" t="s">
        <v>3069</v>
      </c>
      <c r="U277" s="16" t="s">
        <v>3437</v>
      </c>
      <c r="V277" s="16" t="s">
        <v>3438</v>
      </c>
      <c r="W277" s="16" t="s">
        <v>76</v>
      </c>
      <c r="X277" s="16" t="s">
        <v>77</v>
      </c>
      <c r="Y277" s="16" t="s">
        <v>1256</v>
      </c>
      <c r="Z277" s="16" t="s">
        <v>79</v>
      </c>
      <c r="AA277" s="16" t="s">
        <v>80</v>
      </c>
      <c r="AB277" s="16" t="s">
        <v>81</v>
      </c>
      <c r="AC277" s="16" t="s">
        <v>82</v>
      </c>
      <c r="AD277" s="16" t="s">
        <v>3439</v>
      </c>
      <c r="AE277" s="16" t="s">
        <v>84</v>
      </c>
      <c r="AF277" s="16" t="s">
        <v>84</v>
      </c>
      <c r="AG277" s="16">
        <v>299</v>
      </c>
      <c r="AH277" s="16">
        <v>299</v>
      </c>
      <c r="AI277" s="17">
        <v>299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 t="s">
        <v>137</v>
      </c>
      <c r="AP277" s="16" t="s">
        <v>3440</v>
      </c>
      <c r="AQ277" s="16" t="s">
        <v>3441</v>
      </c>
      <c r="AR277" s="16" t="s">
        <v>88</v>
      </c>
      <c r="AS277" s="16" t="s">
        <v>3442</v>
      </c>
      <c r="AT277" s="16">
        <v>2.99</v>
      </c>
      <c r="AU277" s="16" t="s">
        <v>90</v>
      </c>
      <c r="AV277" s="16">
        <v>1.5</v>
      </c>
      <c r="AW277" s="16" t="s">
        <v>90</v>
      </c>
      <c r="AX277" s="16" t="s">
        <v>90</v>
      </c>
      <c r="AY277" s="16" t="s">
        <v>90</v>
      </c>
      <c r="AZ277" s="16" t="s">
        <v>90</v>
      </c>
      <c r="BA277" s="16" t="s">
        <v>90</v>
      </c>
      <c r="BB277" s="16">
        <v>0</v>
      </c>
      <c r="BC277" s="16"/>
      <c r="BD277" s="16" t="s">
        <v>90</v>
      </c>
      <c r="BE277" s="16" t="s">
        <v>971</v>
      </c>
      <c r="BF277" s="16" t="s">
        <v>972</v>
      </c>
      <c r="BG277" s="16" t="s">
        <v>973</v>
      </c>
      <c r="BH277" s="16" t="s">
        <v>974</v>
      </c>
      <c r="BI277" s="16" t="s">
        <v>811</v>
      </c>
      <c r="BJ277" s="16">
        <v>299</v>
      </c>
      <c r="BK277" s="16">
        <v>299</v>
      </c>
      <c r="BL277" s="16">
        <v>299</v>
      </c>
      <c r="BM277" s="16" t="s">
        <v>96</v>
      </c>
      <c r="BN277" s="16">
        <v>1</v>
      </c>
      <c r="BO277" s="16" t="s">
        <v>84</v>
      </c>
      <c r="BP277" s="16" t="s">
        <v>84</v>
      </c>
      <c r="BQ277" s="16" t="s">
        <v>84</v>
      </c>
      <c r="BR277" s="16" t="s">
        <v>97</v>
      </c>
      <c r="BS277" s="16" t="s">
        <v>98</v>
      </c>
      <c r="BT277" s="16">
        <v>0</v>
      </c>
    </row>
    <row r="278" s="1" customFormat="1" ht="16" customHeight="1" spans="1:72">
      <c r="A278" s="14">
        <f t="shared" si="52"/>
        <v>2025</v>
      </c>
      <c r="B278" s="14">
        <f t="shared" si="53"/>
        <v>8</v>
      </c>
      <c r="C278" s="14" t="str">
        <f t="shared" si="54"/>
        <v>3729693826485200128</v>
      </c>
      <c r="D278" s="14" cm="1">
        <f t="array" ref="D278">SUMPRODUCT(($R$2:$R$374=C278)*1)</f>
        <v>1</v>
      </c>
      <c r="E278" s="14" cm="1">
        <f t="array" ref="E278">SUMPRODUCT(($R$2:R278=C278)*1)</f>
        <v>1</v>
      </c>
      <c r="F278" s="15" t="str">
        <f t="shared" si="55"/>
        <v>Z2295-黑色-M</v>
      </c>
      <c r="G278" s="14" t="str">
        <f t="shared" si="56"/>
        <v>Z2295</v>
      </c>
      <c r="H278" s="15">
        <f t="shared" si="57"/>
        <v>1</v>
      </c>
      <c r="I278" s="14">
        <f t="shared" si="58"/>
        <v>179</v>
      </c>
      <c r="J278" s="15">
        <f t="shared" si="59"/>
        <v>0</v>
      </c>
      <c r="K278" s="15">
        <f t="shared" si="60"/>
        <v>0</v>
      </c>
      <c r="L278" s="15">
        <f t="shared" si="61"/>
        <v>-8.95</v>
      </c>
      <c r="M278" s="15">
        <f t="shared" si="62"/>
        <v>0</v>
      </c>
      <c r="N278" s="15">
        <f t="shared" si="63"/>
        <v>-1.5</v>
      </c>
      <c r="O278" s="15">
        <f t="shared" si="64"/>
        <v>168.55</v>
      </c>
      <c r="R278" s="16" t="s">
        <v>3443</v>
      </c>
      <c r="S278" s="16" t="s">
        <v>3444</v>
      </c>
      <c r="T278" s="16" t="s">
        <v>3400</v>
      </c>
      <c r="U278" s="16" t="s">
        <v>3445</v>
      </c>
      <c r="V278" s="16" t="s">
        <v>3446</v>
      </c>
      <c r="W278" s="16" t="s">
        <v>76</v>
      </c>
      <c r="X278" s="16" t="s">
        <v>77</v>
      </c>
      <c r="Y278" s="16" t="s">
        <v>1687</v>
      </c>
      <c r="Z278" s="16" t="s">
        <v>3403</v>
      </c>
      <c r="AA278" s="16" t="s">
        <v>820</v>
      </c>
      <c r="AB278" s="16" t="s">
        <v>3280</v>
      </c>
      <c r="AC278" s="16" t="s">
        <v>3404</v>
      </c>
      <c r="AD278" s="16" t="s">
        <v>3431</v>
      </c>
      <c r="AE278" s="16" t="s">
        <v>84</v>
      </c>
      <c r="AF278" s="16" t="s">
        <v>84</v>
      </c>
      <c r="AG278" s="16">
        <v>179</v>
      </c>
      <c r="AH278" s="16">
        <v>179</v>
      </c>
      <c r="AI278" s="17">
        <v>179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 t="s">
        <v>85</v>
      </c>
      <c r="AP278" s="16" t="s">
        <v>3447</v>
      </c>
      <c r="AQ278" s="16" t="s">
        <v>3448</v>
      </c>
      <c r="AR278" s="16" t="s">
        <v>88</v>
      </c>
      <c r="AS278" s="16" t="s">
        <v>3449</v>
      </c>
      <c r="AT278" s="16">
        <v>8.95</v>
      </c>
      <c r="AU278" s="16" t="s">
        <v>90</v>
      </c>
      <c r="AV278" s="16">
        <v>1.5</v>
      </c>
      <c r="AW278" s="16" t="s">
        <v>115</v>
      </c>
      <c r="AX278" s="16" t="s">
        <v>116</v>
      </c>
      <c r="AY278" s="16" t="s">
        <v>117</v>
      </c>
      <c r="AZ278" s="16" t="s">
        <v>118</v>
      </c>
      <c r="BA278" s="16" t="s">
        <v>119</v>
      </c>
      <c r="BB278" s="16">
        <v>0</v>
      </c>
      <c r="BC278" s="16" t="s">
        <v>84</v>
      </c>
      <c r="BD278" s="16" t="s">
        <v>90</v>
      </c>
      <c r="BE278" s="16" t="s">
        <v>3048</v>
      </c>
      <c r="BF278" s="16" t="s">
        <v>3049</v>
      </c>
      <c r="BG278" s="16" t="s">
        <v>3050</v>
      </c>
      <c r="BH278" s="16" t="s">
        <v>3051</v>
      </c>
      <c r="BI278" s="16" t="s">
        <v>3052</v>
      </c>
      <c r="BJ278" s="16">
        <v>179</v>
      </c>
      <c r="BK278" s="16">
        <v>179</v>
      </c>
      <c r="BL278" s="16">
        <v>179</v>
      </c>
      <c r="BM278" s="16" t="s">
        <v>96</v>
      </c>
      <c r="BN278" s="16">
        <v>1</v>
      </c>
      <c r="BO278" s="16" t="s">
        <v>84</v>
      </c>
      <c r="BP278" s="16" t="s">
        <v>84</v>
      </c>
      <c r="BQ278" s="16" t="s">
        <v>84</v>
      </c>
      <c r="BR278" s="16" t="s">
        <v>97</v>
      </c>
      <c r="BS278" s="16" t="s">
        <v>98</v>
      </c>
      <c r="BT278" s="16">
        <v>0</v>
      </c>
    </row>
    <row r="279" s="1" customFormat="1" ht="16" customHeight="1" spans="1:72">
      <c r="A279" s="14">
        <f t="shared" si="52"/>
        <v>2025</v>
      </c>
      <c r="B279" s="14">
        <f t="shared" si="53"/>
        <v>8</v>
      </c>
      <c r="C279" s="14" t="str">
        <f t="shared" si="54"/>
        <v>3729693798884581888</v>
      </c>
      <c r="D279" s="14" cm="1">
        <f t="array" ref="D279">SUMPRODUCT(($R$2:$R$374=C279)*1)</f>
        <v>1</v>
      </c>
      <c r="E279" s="14" cm="1">
        <f t="array" ref="E279">SUMPRODUCT(($R$2:R279=C279)*1)</f>
        <v>1</v>
      </c>
      <c r="F279" s="15" t="str">
        <f t="shared" si="55"/>
        <v>Z2295-黑色-M</v>
      </c>
      <c r="G279" s="14" t="str">
        <f t="shared" si="56"/>
        <v>Z2295</v>
      </c>
      <c r="H279" s="15">
        <f t="shared" si="57"/>
        <v>1</v>
      </c>
      <c r="I279" s="14">
        <f t="shared" si="58"/>
        <v>179</v>
      </c>
      <c r="J279" s="15">
        <f t="shared" si="59"/>
        <v>0</v>
      </c>
      <c r="K279" s="15">
        <f t="shared" si="60"/>
        <v>0</v>
      </c>
      <c r="L279" s="15">
        <f t="shared" si="61"/>
        <v>-8.95</v>
      </c>
      <c r="M279" s="15">
        <f t="shared" si="62"/>
        <v>0</v>
      </c>
      <c r="N279" s="15">
        <f t="shared" si="63"/>
        <v>-1.5</v>
      </c>
      <c r="O279" s="15">
        <f t="shared" si="64"/>
        <v>168.55</v>
      </c>
      <c r="R279" s="16" t="s">
        <v>3450</v>
      </c>
      <c r="S279" s="16" t="s">
        <v>3451</v>
      </c>
      <c r="T279" s="16" t="s">
        <v>3400</v>
      </c>
      <c r="U279" s="16" t="s">
        <v>3452</v>
      </c>
      <c r="V279" s="16" t="s">
        <v>3453</v>
      </c>
      <c r="W279" s="16" t="s">
        <v>76</v>
      </c>
      <c r="X279" s="16" t="s">
        <v>77</v>
      </c>
      <c r="Y279" s="16" t="s">
        <v>950</v>
      </c>
      <c r="Z279" s="16" t="s">
        <v>3454</v>
      </c>
      <c r="AA279" s="16" t="s">
        <v>80</v>
      </c>
      <c r="AB279" s="16" t="s">
        <v>442</v>
      </c>
      <c r="AC279" s="16" t="s">
        <v>3455</v>
      </c>
      <c r="AD279" s="16" t="s">
        <v>3456</v>
      </c>
      <c r="AE279" s="16" t="s">
        <v>84</v>
      </c>
      <c r="AF279" s="16" t="s">
        <v>84</v>
      </c>
      <c r="AG279" s="16">
        <v>179</v>
      </c>
      <c r="AH279" s="16">
        <v>179</v>
      </c>
      <c r="AI279" s="17">
        <v>179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 t="s">
        <v>137</v>
      </c>
      <c r="AP279" s="16" t="s">
        <v>3457</v>
      </c>
      <c r="AQ279" s="16" t="s">
        <v>3458</v>
      </c>
      <c r="AR279" s="16" t="s">
        <v>88</v>
      </c>
      <c r="AS279" s="16" t="s">
        <v>3459</v>
      </c>
      <c r="AT279" s="16">
        <v>8.95</v>
      </c>
      <c r="AU279" s="16" t="s">
        <v>90</v>
      </c>
      <c r="AV279" s="16">
        <v>1.5</v>
      </c>
      <c r="AW279" s="16" t="s">
        <v>115</v>
      </c>
      <c r="AX279" s="16" t="s">
        <v>116</v>
      </c>
      <c r="AY279" s="16" t="s">
        <v>117</v>
      </c>
      <c r="AZ279" s="16" t="s">
        <v>118</v>
      </c>
      <c r="BA279" s="16" t="s">
        <v>119</v>
      </c>
      <c r="BB279" s="16">
        <v>0</v>
      </c>
      <c r="BC279" s="16" t="s">
        <v>84</v>
      </c>
      <c r="BD279" s="16" t="s">
        <v>90</v>
      </c>
      <c r="BE279" s="16" t="s">
        <v>3048</v>
      </c>
      <c r="BF279" s="16" t="s">
        <v>3049</v>
      </c>
      <c r="BG279" s="16" t="s">
        <v>3050</v>
      </c>
      <c r="BH279" s="16" t="s">
        <v>3051</v>
      </c>
      <c r="BI279" s="16" t="s">
        <v>3052</v>
      </c>
      <c r="BJ279" s="16">
        <v>179</v>
      </c>
      <c r="BK279" s="16">
        <v>179</v>
      </c>
      <c r="BL279" s="16">
        <v>179</v>
      </c>
      <c r="BM279" s="16" t="s">
        <v>96</v>
      </c>
      <c r="BN279" s="16">
        <v>1</v>
      </c>
      <c r="BO279" s="16" t="s">
        <v>84</v>
      </c>
      <c r="BP279" s="16" t="s">
        <v>84</v>
      </c>
      <c r="BQ279" s="16" t="s">
        <v>84</v>
      </c>
      <c r="BR279" s="16" t="s">
        <v>97</v>
      </c>
      <c r="BS279" s="16" t="s">
        <v>98</v>
      </c>
      <c r="BT279" s="16">
        <v>0</v>
      </c>
    </row>
    <row r="280" s="1" customFormat="1" ht="16" customHeight="1" spans="1:72">
      <c r="A280" s="14">
        <f t="shared" si="52"/>
        <v>2025</v>
      </c>
      <c r="B280" s="14">
        <f t="shared" si="53"/>
        <v>8</v>
      </c>
      <c r="C280" s="14" t="str">
        <f t="shared" si="54"/>
        <v>3729693750768317184</v>
      </c>
      <c r="D280" s="14" cm="1">
        <f t="array" ref="D280">SUMPRODUCT(($R$2:$R$374=C280)*1)</f>
        <v>1</v>
      </c>
      <c r="E280" s="14" cm="1">
        <f t="array" ref="E280">SUMPRODUCT(($R$2:R280=C280)*1)</f>
        <v>1</v>
      </c>
      <c r="F280" s="15" t="str">
        <f t="shared" si="55"/>
        <v>Z2278-黑色-M</v>
      </c>
      <c r="G280" s="14" t="str">
        <f t="shared" si="56"/>
        <v>Z2278</v>
      </c>
      <c r="H280" s="15">
        <f t="shared" si="57"/>
        <v>1</v>
      </c>
      <c r="I280" s="14">
        <f t="shared" si="58"/>
        <v>229</v>
      </c>
      <c r="J280" s="15">
        <f t="shared" si="59"/>
        <v>0</v>
      </c>
      <c r="K280" s="15">
        <f t="shared" si="60"/>
        <v>0</v>
      </c>
      <c r="L280" s="15">
        <f t="shared" si="61"/>
        <v>-11.45</v>
      </c>
      <c r="M280" s="15">
        <f t="shared" si="62"/>
        <v>0</v>
      </c>
      <c r="N280" s="15">
        <f t="shared" si="63"/>
        <v>-1.5</v>
      </c>
      <c r="O280" s="15">
        <f t="shared" si="64"/>
        <v>216.05</v>
      </c>
      <c r="R280" s="16" t="s">
        <v>3460</v>
      </c>
      <c r="S280" s="16" t="s">
        <v>3461</v>
      </c>
      <c r="T280" s="16" t="s">
        <v>3462</v>
      </c>
      <c r="U280" s="16" t="s">
        <v>3463</v>
      </c>
      <c r="V280" s="16" t="s">
        <v>3464</v>
      </c>
      <c r="W280" s="16" t="s">
        <v>76</v>
      </c>
      <c r="X280" s="16" t="s">
        <v>77</v>
      </c>
      <c r="Y280" s="16" t="s">
        <v>1510</v>
      </c>
      <c r="Z280" s="16" t="s">
        <v>2480</v>
      </c>
      <c r="AA280" s="16" t="s">
        <v>1547</v>
      </c>
      <c r="AB280" s="16" t="s">
        <v>1548</v>
      </c>
      <c r="AC280" s="16" t="s">
        <v>2481</v>
      </c>
      <c r="AD280" s="16" t="s">
        <v>2482</v>
      </c>
      <c r="AE280" s="16" t="s">
        <v>84</v>
      </c>
      <c r="AF280" s="16" t="s">
        <v>84</v>
      </c>
      <c r="AG280" s="16">
        <v>229</v>
      </c>
      <c r="AH280" s="16">
        <v>229</v>
      </c>
      <c r="AI280" s="17">
        <v>229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 t="s">
        <v>85</v>
      </c>
      <c r="AP280" s="16" t="s">
        <v>3465</v>
      </c>
      <c r="AQ280" s="16" t="s">
        <v>3466</v>
      </c>
      <c r="AR280" s="16" t="s">
        <v>88</v>
      </c>
      <c r="AS280" s="16" t="s">
        <v>3467</v>
      </c>
      <c r="AT280" s="16">
        <v>11.45</v>
      </c>
      <c r="AU280" s="16" t="s">
        <v>90</v>
      </c>
      <c r="AV280" s="16">
        <v>1.5</v>
      </c>
      <c r="AW280" s="16" t="s">
        <v>115</v>
      </c>
      <c r="AX280" s="16" t="s">
        <v>116</v>
      </c>
      <c r="AY280" s="16" t="s">
        <v>117</v>
      </c>
      <c r="AZ280" s="16" t="s">
        <v>118</v>
      </c>
      <c r="BA280" s="16" t="s">
        <v>119</v>
      </c>
      <c r="BB280" s="16">
        <v>0</v>
      </c>
      <c r="BC280" s="16" t="s">
        <v>84</v>
      </c>
      <c r="BD280" s="16" t="s">
        <v>90</v>
      </c>
      <c r="BE280" s="16" t="s">
        <v>141</v>
      </c>
      <c r="BF280" s="16" t="s">
        <v>142</v>
      </c>
      <c r="BG280" s="16" t="s">
        <v>143</v>
      </c>
      <c r="BH280" s="16" t="s">
        <v>2598</v>
      </c>
      <c r="BI280" s="16" t="s">
        <v>2599</v>
      </c>
      <c r="BJ280" s="16">
        <v>229</v>
      </c>
      <c r="BK280" s="16">
        <v>229</v>
      </c>
      <c r="BL280" s="16">
        <v>229</v>
      </c>
      <c r="BM280" s="16" t="s">
        <v>96</v>
      </c>
      <c r="BN280" s="16">
        <v>1</v>
      </c>
      <c r="BO280" s="16" t="s">
        <v>84</v>
      </c>
      <c r="BP280" s="16" t="s">
        <v>84</v>
      </c>
      <c r="BQ280" s="16" t="s">
        <v>84</v>
      </c>
      <c r="BR280" s="16" t="s">
        <v>97</v>
      </c>
      <c r="BS280" s="16" t="s">
        <v>98</v>
      </c>
      <c r="BT280" s="16">
        <v>0</v>
      </c>
    </row>
    <row r="281" s="1" customFormat="1" ht="16" customHeight="1" spans="1:72">
      <c r="A281" s="14">
        <f t="shared" si="52"/>
        <v>2025</v>
      </c>
      <c r="B281" s="14">
        <f t="shared" si="53"/>
        <v>8</v>
      </c>
      <c r="C281" s="14" t="str">
        <f t="shared" si="54"/>
        <v>3729693748852825344</v>
      </c>
      <c r="D281" s="14" cm="1">
        <f t="array" ref="D281">SUMPRODUCT(($R$2:$R$374=C281)*1)</f>
        <v>1</v>
      </c>
      <c r="E281" s="14" cm="1">
        <f t="array" ref="E281">SUMPRODUCT(($R$2:R281=C281)*1)</f>
        <v>1</v>
      </c>
      <c r="F281" s="15" t="str">
        <f t="shared" si="55"/>
        <v>Z2278-黑色-L</v>
      </c>
      <c r="G281" s="14" t="str">
        <f t="shared" si="56"/>
        <v>Z2278</v>
      </c>
      <c r="H281" s="15">
        <f t="shared" si="57"/>
        <v>1</v>
      </c>
      <c r="I281" s="14">
        <f t="shared" si="58"/>
        <v>229</v>
      </c>
      <c r="J281" s="15">
        <f t="shared" si="59"/>
        <v>0</v>
      </c>
      <c r="K281" s="15">
        <f t="shared" si="60"/>
        <v>0</v>
      </c>
      <c r="L281" s="15">
        <f t="shared" si="61"/>
        <v>-11.45</v>
      </c>
      <c r="M281" s="15">
        <f t="shared" si="62"/>
        <v>0</v>
      </c>
      <c r="N281" s="15">
        <f t="shared" si="63"/>
        <v>-1.5</v>
      </c>
      <c r="O281" s="15">
        <f t="shared" si="64"/>
        <v>216.05</v>
      </c>
      <c r="R281" s="16" t="s">
        <v>3468</v>
      </c>
      <c r="S281" s="16" t="s">
        <v>3469</v>
      </c>
      <c r="T281" s="16" t="s">
        <v>3470</v>
      </c>
      <c r="U281" s="16" t="s">
        <v>3471</v>
      </c>
      <c r="V281" s="16" t="s">
        <v>3472</v>
      </c>
      <c r="W281" s="16" t="s">
        <v>76</v>
      </c>
      <c r="X281" s="16" t="s">
        <v>77</v>
      </c>
      <c r="Y281" s="16" t="s">
        <v>297</v>
      </c>
      <c r="Z281" s="16" t="s">
        <v>2328</v>
      </c>
      <c r="AA281" s="16" t="s">
        <v>107</v>
      </c>
      <c r="AB281" s="16" t="s">
        <v>456</v>
      </c>
      <c r="AC281" s="16" t="s">
        <v>2329</v>
      </c>
      <c r="AD281" s="16" t="s">
        <v>3473</v>
      </c>
      <c r="AE281" s="16" t="s">
        <v>84</v>
      </c>
      <c r="AF281" s="16" t="s">
        <v>84</v>
      </c>
      <c r="AG281" s="16">
        <v>229</v>
      </c>
      <c r="AH281" s="16">
        <v>229</v>
      </c>
      <c r="AI281" s="17">
        <v>229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 t="s">
        <v>137</v>
      </c>
      <c r="AP281" s="16" t="s">
        <v>3474</v>
      </c>
      <c r="AQ281" s="16" t="s">
        <v>3475</v>
      </c>
      <c r="AR281" s="16" t="s">
        <v>88</v>
      </c>
      <c r="AS281" s="16" t="s">
        <v>3476</v>
      </c>
      <c r="AT281" s="16">
        <v>11.45</v>
      </c>
      <c r="AU281" s="16" t="s">
        <v>90</v>
      </c>
      <c r="AV281" s="16">
        <v>1.5</v>
      </c>
      <c r="AW281" s="16" t="s">
        <v>115</v>
      </c>
      <c r="AX281" s="16" t="s">
        <v>116</v>
      </c>
      <c r="AY281" s="16" t="s">
        <v>117</v>
      </c>
      <c r="AZ281" s="16" t="s">
        <v>118</v>
      </c>
      <c r="BA281" s="16" t="s">
        <v>119</v>
      </c>
      <c r="BB281" s="16">
        <v>0</v>
      </c>
      <c r="BC281" s="16" t="s">
        <v>84</v>
      </c>
      <c r="BD281" s="16" t="s">
        <v>90</v>
      </c>
      <c r="BE281" s="16" t="s">
        <v>141</v>
      </c>
      <c r="BF281" s="16" t="s">
        <v>142</v>
      </c>
      <c r="BG281" s="16" t="s">
        <v>143</v>
      </c>
      <c r="BH281" s="16" t="s">
        <v>2234</v>
      </c>
      <c r="BI281" s="16" t="s">
        <v>2211</v>
      </c>
      <c r="BJ281" s="16">
        <v>229</v>
      </c>
      <c r="BK281" s="16">
        <v>229</v>
      </c>
      <c r="BL281" s="16">
        <v>229</v>
      </c>
      <c r="BM281" s="16" t="s">
        <v>96</v>
      </c>
      <c r="BN281" s="16">
        <v>1</v>
      </c>
      <c r="BO281" s="16" t="s">
        <v>84</v>
      </c>
      <c r="BP281" s="16" t="s">
        <v>84</v>
      </c>
      <c r="BQ281" s="16" t="s">
        <v>84</v>
      </c>
      <c r="BR281" s="16" t="s">
        <v>97</v>
      </c>
      <c r="BS281" s="16" t="s">
        <v>98</v>
      </c>
      <c r="BT281" s="16">
        <v>0</v>
      </c>
    </row>
    <row r="282" s="1" customFormat="1" ht="16" customHeight="1" spans="1:72">
      <c r="A282" s="14">
        <f t="shared" si="52"/>
        <v>2025</v>
      </c>
      <c r="B282" s="14">
        <f t="shared" si="53"/>
        <v>8</v>
      </c>
      <c r="C282" s="14" t="str">
        <f t="shared" si="54"/>
        <v>3729693603415071232</v>
      </c>
      <c r="D282" s="14" cm="1">
        <f t="array" ref="D282">SUMPRODUCT(($R$2:$R$374=C282)*1)</f>
        <v>1</v>
      </c>
      <c r="E282" s="14" cm="1">
        <f t="array" ref="E282">SUMPRODUCT(($R$2:R282=C282)*1)</f>
        <v>1</v>
      </c>
      <c r="F282" s="15" t="str">
        <f t="shared" si="55"/>
        <v>Z2278-黑色-M</v>
      </c>
      <c r="G282" s="14" t="str">
        <f t="shared" si="56"/>
        <v>Z2278</v>
      </c>
      <c r="H282" s="15">
        <f t="shared" si="57"/>
        <v>1</v>
      </c>
      <c r="I282" s="14">
        <f t="shared" si="58"/>
        <v>229</v>
      </c>
      <c r="J282" s="15">
        <f t="shared" si="59"/>
        <v>0</v>
      </c>
      <c r="K282" s="15">
        <f t="shared" si="60"/>
        <v>0</v>
      </c>
      <c r="L282" s="15">
        <f t="shared" si="61"/>
        <v>-11.45</v>
      </c>
      <c r="M282" s="15">
        <f t="shared" si="62"/>
        <v>0</v>
      </c>
      <c r="N282" s="15">
        <f t="shared" si="63"/>
        <v>-1.5</v>
      </c>
      <c r="O282" s="15">
        <f t="shared" si="64"/>
        <v>216.05</v>
      </c>
      <c r="R282" s="16" t="s">
        <v>3477</v>
      </c>
      <c r="S282" s="16" t="s">
        <v>3478</v>
      </c>
      <c r="T282" s="16" t="s">
        <v>3479</v>
      </c>
      <c r="U282" s="16" t="s">
        <v>3480</v>
      </c>
      <c r="V282" s="16" t="s">
        <v>3481</v>
      </c>
      <c r="W282" s="16" t="s">
        <v>76</v>
      </c>
      <c r="X282" s="16" t="s">
        <v>77</v>
      </c>
      <c r="Y282" s="16" t="s">
        <v>543</v>
      </c>
      <c r="Z282" s="16" t="s">
        <v>3482</v>
      </c>
      <c r="AA282" s="16" t="s">
        <v>384</v>
      </c>
      <c r="AB282" s="16" t="s">
        <v>621</v>
      </c>
      <c r="AC282" s="16" t="s">
        <v>3483</v>
      </c>
      <c r="AD282" s="16" t="s">
        <v>3484</v>
      </c>
      <c r="AE282" s="16" t="s">
        <v>84</v>
      </c>
      <c r="AF282" s="16" t="s">
        <v>84</v>
      </c>
      <c r="AG282" s="16">
        <v>229</v>
      </c>
      <c r="AH282" s="16">
        <v>229</v>
      </c>
      <c r="AI282" s="17">
        <v>229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 t="s">
        <v>137</v>
      </c>
      <c r="AP282" s="16" t="s">
        <v>3485</v>
      </c>
      <c r="AQ282" s="16" t="s">
        <v>3486</v>
      </c>
      <c r="AR282" s="16" t="s">
        <v>88</v>
      </c>
      <c r="AS282" s="16" t="s">
        <v>3487</v>
      </c>
      <c r="AT282" s="16">
        <v>11.45</v>
      </c>
      <c r="AU282" s="16" t="s">
        <v>90</v>
      </c>
      <c r="AV282" s="16">
        <v>1.5</v>
      </c>
      <c r="AW282" s="16" t="s">
        <v>115</v>
      </c>
      <c r="AX282" s="16" t="s">
        <v>116</v>
      </c>
      <c r="AY282" s="16" t="s">
        <v>117</v>
      </c>
      <c r="AZ282" s="16" t="s">
        <v>118</v>
      </c>
      <c r="BA282" s="16" t="s">
        <v>119</v>
      </c>
      <c r="BB282" s="16">
        <v>0</v>
      </c>
      <c r="BC282" s="16" t="s">
        <v>84</v>
      </c>
      <c r="BD282" s="16" t="s">
        <v>90</v>
      </c>
      <c r="BE282" s="16" t="s">
        <v>141</v>
      </c>
      <c r="BF282" s="16" t="s">
        <v>142</v>
      </c>
      <c r="BG282" s="16" t="s">
        <v>143</v>
      </c>
      <c r="BH282" s="16" t="s">
        <v>2598</v>
      </c>
      <c r="BI282" s="16" t="s">
        <v>2599</v>
      </c>
      <c r="BJ282" s="16">
        <v>229</v>
      </c>
      <c r="BK282" s="16">
        <v>229</v>
      </c>
      <c r="BL282" s="16">
        <v>229</v>
      </c>
      <c r="BM282" s="16" t="s">
        <v>96</v>
      </c>
      <c r="BN282" s="16">
        <v>1</v>
      </c>
      <c r="BO282" s="16" t="s">
        <v>84</v>
      </c>
      <c r="BP282" s="16" t="s">
        <v>84</v>
      </c>
      <c r="BQ282" s="16" t="s">
        <v>84</v>
      </c>
      <c r="BR282" s="16" t="s">
        <v>97</v>
      </c>
      <c r="BS282" s="16" t="s">
        <v>98</v>
      </c>
      <c r="BT282" s="16">
        <v>0</v>
      </c>
    </row>
    <row r="283" s="1" customFormat="1" ht="16" customHeight="1" spans="1:72">
      <c r="A283" s="14">
        <f t="shared" si="52"/>
        <v>2025</v>
      </c>
      <c r="B283" s="14">
        <f t="shared" si="53"/>
        <v>8</v>
      </c>
      <c r="C283" s="14" t="str">
        <f t="shared" si="54"/>
        <v>3729693598862160640</v>
      </c>
      <c r="D283" s="14" cm="1">
        <f t="array" ref="D283">SUMPRODUCT(($R$2:$R$374=C283)*1)</f>
        <v>1</v>
      </c>
      <c r="E283" s="14" cm="1">
        <f t="array" ref="E283">SUMPRODUCT(($R$2:R283=C283)*1)</f>
        <v>1</v>
      </c>
      <c r="F283" s="15" t="str">
        <f t="shared" si="55"/>
        <v>Z2278-黑色-M</v>
      </c>
      <c r="G283" s="14" t="str">
        <f t="shared" si="56"/>
        <v>Z2278</v>
      </c>
      <c r="H283" s="15">
        <f t="shared" si="57"/>
        <v>1</v>
      </c>
      <c r="I283" s="14">
        <f t="shared" si="58"/>
        <v>229</v>
      </c>
      <c r="J283" s="15">
        <f t="shared" si="59"/>
        <v>0</v>
      </c>
      <c r="K283" s="15">
        <f t="shared" si="60"/>
        <v>0</v>
      </c>
      <c r="L283" s="15">
        <f t="shared" si="61"/>
        <v>-11.45</v>
      </c>
      <c r="M283" s="15">
        <f t="shared" si="62"/>
        <v>0</v>
      </c>
      <c r="N283" s="15">
        <f t="shared" si="63"/>
        <v>-1.5</v>
      </c>
      <c r="O283" s="15">
        <f t="shared" si="64"/>
        <v>216.05</v>
      </c>
      <c r="R283" s="16" t="s">
        <v>3488</v>
      </c>
      <c r="S283" s="16" t="s">
        <v>3489</v>
      </c>
      <c r="T283" s="16" t="s">
        <v>3490</v>
      </c>
      <c r="U283" s="16" t="s">
        <v>3491</v>
      </c>
      <c r="V283" s="16" t="s">
        <v>3492</v>
      </c>
      <c r="W283" s="16" t="s">
        <v>76</v>
      </c>
      <c r="X283" s="16" t="s">
        <v>77</v>
      </c>
      <c r="Y283" s="16" t="s">
        <v>1585</v>
      </c>
      <c r="Z283" s="16" t="s">
        <v>3493</v>
      </c>
      <c r="AA283" s="16" t="s">
        <v>80</v>
      </c>
      <c r="AB283" s="16" t="s">
        <v>3494</v>
      </c>
      <c r="AC283" s="16" t="s">
        <v>3495</v>
      </c>
      <c r="AD283" s="16" t="s">
        <v>3496</v>
      </c>
      <c r="AE283" s="16" t="s">
        <v>84</v>
      </c>
      <c r="AF283" s="16" t="s">
        <v>84</v>
      </c>
      <c r="AG283" s="16">
        <v>229</v>
      </c>
      <c r="AH283" s="16">
        <v>229</v>
      </c>
      <c r="AI283" s="17">
        <v>229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 t="s">
        <v>137</v>
      </c>
      <c r="AP283" s="16" t="s">
        <v>3497</v>
      </c>
      <c r="AQ283" s="16" t="s">
        <v>3498</v>
      </c>
      <c r="AR283" s="16" t="s">
        <v>88</v>
      </c>
      <c r="AS283" s="16" t="s">
        <v>3499</v>
      </c>
      <c r="AT283" s="16">
        <v>11.45</v>
      </c>
      <c r="AU283" s="16" t="s">
        <v>90</v>
      </c>
      <c r="AV283" s="16">
        <v>1.5</v>
      </c>
      <c r="AW283" s="16" t="s">
        <v>115</v>
      </c>
      <c r="AX283" s="16" t="s">
        <v>116</v>
      </c>
      <c r="AY283" s="16" t="s">
        <v>117</v>
      </c>
      <c r="AZ283" s="16" t="s">
        <v>118</v>
      </c>
      <c r="BA283" s="16" t="s">
        <v>119</v>
      </c>
      <c r="BB283" s="16">
        <v>0</v>
      </c>
      <c r="BC283" s="16" t="s">
        <v>84</v>
      </c>
      <c r="BD283" s="16" t="s">
        <v>90</v>
      </c>
      <c r="BE283" s="16" t="s">
        <v>141</v>
      </c>
      <c r="BF283" s="16" t="s">
        <v>142</v>
      </c>
      <c r="BG283" s="16" t="s">
        <v>143</v>
      </c>
      <c r="BH283" s="16" t="s">
        <v>2598</v>
      </c>
      <c r="BI283" s="16" t="s">
        <v>2599</v>
      </c>
      <c r="BJ283" s="16">
        <v>229</v>
      </c>
      <c r="BK283" s="16">
        <v>229</v>
      </c>
      <c r="BL283" s="16">
        <v>229</v>
      </c>
      <c r="BM283" s="16" t="s">
        <v>96</v>
      </c>
      <c r="BN283" s="16">
        <v>1</v>
      </c>
      <c r="BO283" s="16" t="s">
        <v>84</v>
      </c>
      <c r="BP283" s="16" t="s">
        <v>84</v>
      </c>
      <c r="BQ283" s="16" t="s">
        <v>84</v>
      </c>
      <c r="BR283" s="16" t="s">
        <v>97</v>
      </c>
      <c r="BS283" s="16" t="s">
        <v>98</v>
      </c>
      <c r="BT283" s="16">
        <v>0</v>
      </c>
    </row>
    <row r="284" s="1" customFormat="1" ht="16" customHeight="1" spans="1:72">
      <c r="A284" s="14">
        <f t="shared" si="52"/>
        <v>2025</v>
      </c>
      <c r="B284" s="14">
        <f t="shared" si="53"/>
        <v>8</v>
      </c>
      <c r="C284" s="14" t="str">
        <f t="shared" si="54"/>
        <v>3729693594109746176</v>
      </c>
      <c r="D284" s="14" cm="1">
        <f t="array" ref="D284">SUMPRODUCT(($R$2:$R$374=C284)*1)</f>
        <v>1</v>
      </c>
      <c r="E284" s="14" cm="1">
        <f t="array" ref="E284">SUMPRODUCT(($R$2:R284=C284)*1)</f>
        <v>1</v>
      </c>
      <c r="F284" s="15" t="str">
        <f t="shared" si="55"/>
        <v>Z2278-黑色-M</v>
      </c>
      <c r="G284" s="14" t="str">
        <f t="shared" si="56"/>
        <v>Z2278</v>
      </c>
      <c r="H284" s="15">
        <f t="shared" si="57"/>
        <v>1</v>
      </c>
      <c r="I284" s="14">
        <f t="shared" si="58"/>
        <v>229</v>
      </c>
      <c r="J284" s="15">
        <f t="shared" si="59"/>
        <v>0</v>
      </c>
      <c r="K284" s="15">
        <f t="shared" si="60"/>
        <v>0</v>
      </c>
      <c r="L284" s="15">
        <f t="shared" si="61"/>
        <v>-11.45</v>
      </c>
      <c r="M284" s="15">
        <f t="shared" si="62"/>
        <v>0</v>
      </c>
      <c r="N284" s="15">
        <f t="shared" si="63"/>
        <v>-1.5</v>
      </c>
      <c r="O284" s="15">
        <f t="shared" si="64"/>
        <v>216.05</v>
      </c>
      <c r="R284" s="16" t="s">
        <v>3500</v>
      </c>
      <c r="S284" s="16" t="s">
        <v>3501</v>
      </c>
      <c r="T284" s="16" t="s">
        <v>3502</v>
      </c>
      <c r="U284" s="16" t="s">
        <v>3503</v>
      </c>
      <c r="V284" s="16" t="s">
        <v>3504</v>
      </c>
      <c r="W284" s="16" t="s">
        <v>76</v>
      </c>
      <c r="X284" s="16" t="s">
        <v>77</v>
      </c>
      <c r="Y284" s="16" t="s">
        <v>964</v>
      </c>
      <c r="Z284" s="16" t="s">
        <v>965</v>
      </c>
      <c r="AA284" s="16" t="s">
        <v>107</v>
      </c>
      <c r="AB284" s="16" t="s">
        <v>190</v>
      </c>
      <c r="AC284" s="16" t="s">
        <v>966</v>
      </c>
      <c r="AD284" s="16" t="s">
        <v>967</v>
      </c>
      <c r="AE284" s="16" t="s">
        <v>84</v>
      </c>
      <c r="AF284" s="16" t="s">
        <v>84</v>
      </c>
      <c r="AG284" s="16">
        <v>229</v>
      </c>
      <c r="AH284" s="16">
        <v>229</v>
      </c>
      <c r="AI284" s="17">
        <v>229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 t="s">
        <v>137</v>
      </c>
      <c r="AP284" s="16" t="s">
        <v>3505</v>
      </c>
      <c r="AQ284" s="16" t="s">
        <v>3506</v>
      </c>
      <c r="AR284" s="16" t="s">
        <v>88</v>
      </c>
      <c r="AS284" s="16" t="s">
        <v>3507</v>
      </c>
      <c r="AT284" s="16">
        <v>11.45</v>
      </c>
      <c r="AU284" s="16" t="s">
        <v>90</v>
      </c>
      <c r="AV284" s="16">
        <v>1.5</v>
      </c>
      <c r="AW284" s="16" t="s">
        <v>115</v>
      </c>
      <c r="AX284" s="16" t="s">
        <v>116</v>
      </c>
      <c r="AY284" s="16" t="s">
        <v>117</v>
      </c>
      <c r="AZ284" s="16" t="s">
        <v>118</v>
      </c>
      <c r="BA284" s="16" t="s">
        <v>119</v>
      </c>
      <c r="BB284" s="16">
        <v>0</v>
      </c>
      <c r="BC284" s="16" t="s">
        <v>84</v>
      </c>
      <c r="BD284" s="16" t="s">
        <v>90</v>
      </c>
      <c r="BE284" s="16" t="s">
        <v>141</v>
      </c>
      <c r="BF284" s="16" t="s">
        <v>142</v>
      </c>
      <c r="BG284" s="16" t="s">
        <v>143</v>
      </c>
      <c r="BH284" s="16" t="s">
        <v>2598</v>
      </c>
      <c r="BI284" s="16" t="s">
        <v>2599</v>
      </c>
      <c r="BJ284" s="16">
        <v>229</v>
      </c>
      <c r="BK284" s="16">
        <v>229</v>
      </c>
      <c r="BL284" s="16">
        <v>229</v>
      </c>
      <c r="BM284" s="16" t="s">
        <v>96</v>
      </c>
      <c r="BN284" s="16">
        <v>1</v>
      </c>
      <c r="BO284" s="16" t="s">
        <v>84</v>
      </c>
      <c r="BP284" s="16" t="s">
        <v>84</v>
      </c>
      <c r="BQ284" s="16" t="s">
        <v>84</v>
      </c>
      <c r="BR284" s="16" t="s">
        <v>97</v>
      </c>
      <c r="BS284" s="16" t="s">
        <v>98</v>
      </c>
      <c r="BT284" s="16">
        <v>0</v>
      </c>
    </row>
    <row r="285" s="1" customFormat="1" ht="16" customHeight="1" spans="1:72">
      <c r="A285" s="14">
        <f t="shared" si="52"/>
        <v>2025</v>
      </c>
      <c r="B285" s="14">
        <f t="shared" si="53"/>
        <v>8</v>
      </c>
      <c r="C285" s="14" t="str">
        <f t="shared" si="54"/>
        <v>3729693574839540224</v>
      </c>
      <c r="D285" s="14" cm="1">
        <f t="array" ref="D285">SUMPRODUCT(($R$2:$R$374=C285)*1)</f>
        <v>1</v>
      </c>
      <c r="E285" s="14" cm="1">
        <f t="array" ref="E285">SUMPRODUCT(($R$2:R285=C285)*1)</f>
        <v>1</v>
      </c>
      <c r="F285" s="15" t="str">
        <f t="shared" si="55"/>
        <v>Z2278-黑色-M</v>
      </c>
      <c r="G285" s="14" t="str">
        <f t="shared" si="56"/>
        <v>Z2278</v>
      </c>
      <c r="H285" s="15">
        <f t="shared" si="57"/>
        <v>1</v>
      </c>
      <c r="I285" s="14">
        <f t="shared" si="58"/>
        <v>229</v>
      </c>
      <c r="J285" s="15">
        <f t="shared" si="59"/>
        <v>0</v>
      </c>
      <c r="K285" s="15">
        <f t="shared" si="60"/>
        <v>0</v>
      </c>
      <c r="L285" s="15">
        <f t="shared" si="61"/>
        <v>-11.45</v>
      </c>
      <c r="M285" s="15">
        <f t="shared" si="62"/>
        <v>0</v>
      </c>
      <c r="N285" s="15">
        <f t="shared" si="63"/>
        <v>-1.5</v>
      </c>
      <c r="O285" s="15">
        <f t="shared" si="64"/>
        <v>216.05</v>
      </c>
      <c r="R285" s="16" t="s">
        <v>3508</v>
      </c>
      <c r="S285" s="16" t="s">
        <v>3509</v>
      </c>
      <c r="T285" s="16" t="s">
        <v>3510</v>
      </c>
      <c r="U285" s="16" t="s">
        <v>3511</v>
      </c>
      <c r="V285" s="16" t="s">
        <v>3512</v>
      </c>
      <c r="W285" s="16" t="s">
        <v>76</v>
      </c>
      <c r="X285" s="16" t="s">
        <v>77</v>
      </c>
      <c r="Y285" s="16" t="s">
        <v>510</v>
      </c>
      <c r="Z285" s="16" t="s">
        <v>3513</v>
      </c>
      <c r="AA285" s="16" t="s">
        <v>884</v>
      </c>
      <c r="AB285" s="16" t="s">
        <v>885</v>
      </c>
      <c r="AC285" s="16" t="s">
        <v>3514</v>
      </c>
      <c r="AD285" s="16" t="s">
        <v>3515</v>
      </c>
      <c r="AE285" s="16" t="s">
        <v>84</v>
      </c>
      <c r="AF285" s="16" t="s">
        <v>84</v>
      </c>
      <c r="AG285" s="16">
        <v>229</v>
      </c>
      <c r="AH285" s="16">
        <v>229</v>
      </c>
      <c r="AI285" s="17">
        <v>229</v>
      </c>
      <c r="AJ285" s="16">
        <v>0</v>
      </c>
      <c r="AK285" s="16">
        <v>0</v>
      </c>
      <c r="AL285" s="16">
        <v>0</v>
      </c>
      <c r="AM285" s="16">
        <v>0</v>
      </c>
      <c r="AN285" s="16">
        <v>0</v>
      </c>
      <c r="AO285" s="16" t="s">
        <v>85</v>
      </c>
      <c r="AP285" s="16" t="s">
        <v>3516</v>
      </c>
      <c r="AQ285" s="16" t="s">
        <v>3517</v>
      </c>
      <c r="AR285" s="16" t="s">
        <v>88</v>
      </c>
      <c r="AS285" s="16" t="s">
        <v>3518</v>
      </c>
      <c r="AT285" s="16">
        <v>11.45</v>
      </c>
      <c r="AU285" s="16" t="s">
        <v>90</v>
      </c>
      <c r="AV285" s="16">
        <v>1.5</v>
      </c>
      <c r="AW285" s="16" t="s">
        <v>115</v>
      </c>
      <c r="AX285" s="16" t="s">
        <v>116</v>
      </c>
      <c r="AY285" s="16" t="s">
        <v>117</v>
      </c>
      <c r="AZ285" s="16" t="s">
        <v>118</v>
      </c>
      <c r="BA285" s="16" t="s">
        <v>119</v>
      </c>
      <c r="BB285" s="16">
        <v>0</v>
      </c>
      <c r="BC285" s="16" t="s">
        <v>84</v>
      </c>
      <c r="BD285" s="16" t="s">
        <v>90</v>
      </c>
      <c r="BE285" s="16" t="s">
        <v>141</v>
      </c>
      <c r="BF285" s="16" t="s">
        <v>142</v>
      </c>
      <c r="BG285" s="16" t="s">
        <v>143</v>
      </c>
      <c r="BH285" s="16" t="s">
        <v>2598</v>
      </c>
      <c r="BI285" s="16" t="s">
        <v>2599</v>
      </c>
      <c r="BJ285" s="16">
        <v>229</v>
      </c>
      <c r="BK285" s="16">
        <v>229</v>
      </c>
      <c r="BL285" s="16">
        <v>229</v>
      </c>
      <c r="BM285" s="16" t="s">
        <v>96</v>
      </c>
      <c r="BN285" s="16">
        <v>1</v>
      </c>
      <c r="BO285" s="16" t="s">
        <v>84</v>
      </c>
      <c r="BP285" s="16" t="s">
        <v>84</v>
      </c>
      <c r="BQ285" s="16" t="s">
        <v>84</v>
      </c>
      <c r="BR285" s="16" t="s">
        <v>97</v>
      </c>
      <c r="BS285" s="16" t="s">
        <v>98</v>
      </c>
      <c r="BT285" s="16">
        <v>0</v>
      </c>
    </row>
    <row r="286" s="1" customFormat="1" ht="16" customHeight="1" spans="1:72">
      <c r="A286" s="14">
        <f t="shared" si="52"/>
        <v>2025</v>
      </c>
      <c r="B286" s="14">
        <f t="shared" si="53"/>
        <v>8</v>
      </c>
      <c r="C286" s="14" t="str">
        <f t="shared" si="54"/>
        <v>3729693506838343936</v>
      </c>
      <c r="D286" s="14" cm="1">
        <f t="array" ref="D286">SUMPRODUCT(($R$2:$R$374=C286)*1)</f>
        <v>1</v>
      </c>
      <c r="E286" s="14" cm="1">
        <f t="array" ref="E286">SUMPRODUCT(($R$2:R286=C286)*1)</f>
        <v>1</v>
      </c>
      <c r="F286" s="15" t="str">
        <f t="shared" si="55"/>
        <v>Z2215-蓝色-S</v>
      </c>
      <c r="G286" s="14" t="str">
        <f t="shared" si="56"/>
        <v>Z2215</v>
      </c>
      <c r="H286" s="15">
        <f t="shared" si="57"/>
        <v>1</v>
      </c>
      <c r="I286" s="14">
        <f t="shared" si="58"/>
        <v>299</v>
      </c>
      <c r="J286" s="15">
        <f t="shared" si="59"/>
        <v>0</v>
      </c>
      <c r="K286" s="15">
        <f t="shared" si="60"/>
        <v>0</v>
      </c>
      <c r="L286" s="15">
        <f t="shared" si="61"/>
        <v>-14.95</v>
      </c>
      <c r="M286" s="15">
        <f t="shared" si="62"/>
        <v>0</v>
      </c>
      <c r="N286" s="15">
        <f t="shared" si="63"/>
        <v>-1.5</v>
      </c>
      <c r="O286" s="15">
        <f t="shared" si="64"/>
        <v>282.55</v>
      </c>
      <c r="R286" s="16" t="s">
        <v>3519</v>
      </c>
      <c r="S286" s="16" t="s">
        <v>3520</v>
      </c>
      <c r="T286" s="16" t="s">
        <v>3069</v>
      </c>
      <c r="U286" s="16" t="s">
        <v>3521</v>
      </c>
      <c r="V286" s="16" t="s">
        <v>3522</v>
      </c>
      <c r="W286" s="16" t="s">
        <v>76</v>
      </c>
      <c r="X286" s="16" t="s">
        <v>77</v>
      </c>
      <c r="Y286" s="16" t="s">
        <v>761</v>
      </c>
      <c r="Z286" s="16" t="s">
        <v>1308</v>
      </c>
      <c r="AA286" s="16" t="s">
        <v>430</v>
      </c>
      <c r="AB286" s="16" t="s">
        <v>430</v>
      </c>
      <c r="AC286" s="16" t="s">
        <v>1309</v>
      </c>
      <c r="AD286" s="16" t="s">
        <v>3523</v>
      </c>
      <c r="AE286" s="16" t="s">
        <v>84</v>
      </c>
      <c r="AF286" s="16" t="s">
        <v>84</v>
      </c>
      <c r="AG286" s="16">
        <v>299</v>
      </c>
      <c r="AH286" s="16">
        <v>299</v>
      </c>
      <c r="AI286" s="17">
        <v>299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 t="s">
        <v>137</v>
      </c>
      <c r="AP286" s="16" t="s">
        <v>3524</v>
      </c>
      <c r="AQ286" s="16" t="s">
        <v>3525</v>
      </c>
      <c r="AR286" s="16" t="s">
        <v>88</v>
      </c>
      <c r="AS286" s="16" t="s">
        <v>3526</v>
      </c>
      <c r="AT286" s="16">
        <v>14.95</v>
      </c>
      <c r="AU286" s="16" t="s">
        <v>90</v>
      </c>
      <c r="AV286" s="16">
        <v>1.5</v>
      </c>
      <c r="AW286" s="16" t="s">
        <v>115</v>
      </c>
      <c r="AX286" s="16" t="s">
        <v>116</v>
      </c>
      <c r="AY286" s="16" t="s">
        <v>117</v>
      </c>
      <c r="AZ286" s="16" t="s">
        <v>118</v>
      </c>
      <c r="BA286" s="16" t="s">
        <v>119</v>
      </c>
      <c r="BB286" s="16">
        <v>0</v>
      </c>
      <c r="BC286" s="16" t="s">
        <v>84</v>
      </c>
      <c r="BD286" s="16" t="s">
        <v>90</v>
      </c>
      <c r="BE286" s="16" t="s">
        <v>971</v>
      </c>
      <c r="BF286" s="16" t="s">
        <v>972</v>
      </c>
      <c r="BG286" s="16" t="s">
        <v>973</v>
      </c>
      <c r="BH286" s="16" t="s">
        <v>3527</v>
      </c>
      <c r="BI286" s="16" t="s">
        <v>1725</v>
      </c>
      <c r="BJ286" s="16">
        <v>299</v>
      </c>
      <c r="BK286" s="16">
        <v>299</v>
      </c>
      <c r="BL286" s="16">
        <v>299</v>
      </c>
      <c r="BM286" s="16" t="s">
        <v>96</v>
      </c>
      <c r="BN286" s="16">
        <v>1</v>
      </c>
      <c r="BO286" s="16" t="s">
        <v>84</v>
      </c>
      <c r="BP286" s="16" t="s">
        <v>84</v>
      </c>
      <c r="BQ286" s="16" t="s">
        <v>84</v>
      </c>
      <c r="BR286" s="16" t="s">
        <v>97</v>
      </c>
      <c r="BS286" s="16" t="s">
        <v>98</v>
      </c>
      <c r="BT286" s="16">
        <v>0</v>
      </c>
    </row>
    <row r="287" s="1" customFormat="1" ht="16" customHeight="1" spans="1:72">
      <c r="A287" s="14">
        <f t="shared" si="52"/>
        <v>2025</v>
      </c>
      <c r="B287" s="14">
        <f t="shared" si="53"/>
        <v>8</v>
      </c>
      <c r="C287" s="14" t="str">
        <f t="shared" si="54"/>
        <v>3729693503773619200</v>
      </c>
      <c r="D287" s="14" cm="1">
        <f t="array" ref="D287">SUMPRODUCT(($R$2:$R$374=C287)*1)</f>
        <v>1</v>
      </c>
      <c r="E287" s="14" cm="1">
        <f t="array" ref="E287">SUMPRODUCT(($R$2:R287=C287)*1)</f>
        <v>1</v>
      </c>
      <c r="F287" s="15" t="str">
        <f t="shared" si="55"/>
        <v>Z2215-蓝色-M</v>
      </c>
      <c r="G287" s="14" t="str">
        <f t="shared" si="56"/>
        <v>Z2215</v>
      </c>
      <c r="H287" s="15">
        <f t="shared" si="57"/>
        <v>1</v>
      </c>
      <c r="I287" s="14">
        <f t="shared" si="58"/>
        <v>299</v>
      </c>
      <c r="J287" s="15">
        <f t="shared" si="59"/>
        <v>0</v>
      </c>
      <c r="K287" s="15">
        <f t="shared" si="60"/>
        <v>0</v>
      </c>
      <c r="L287" s="15">
        <f t="shared" si="61"/>
        <v>-14.95</v>
      </c>
      <c r="M287" s="15">
        <f t="shared" si="62"/>
        <v>0</v>
      </c>
      <c r="N287" s="15">
        <f t="shared" si="63"/>
        <v>-1.5</v>
      </c>
      <c r="O287" s="15">
        <f t="shared" si="64"/>
        <v>282.55</v>
      </c>
      <c r="R287" s="16" t="s">
        <v>3528</v>
      </c>
      <c r="S287" s="16" t="s">
        <v>3529</v>
      </c>
      <c r="T287" s="16" t="s">
        <v>3069</v>
      </c>
      <c r="U287" s="16" t="s">
        <v>3530</v>
      </c>
      <c r="V287" s="16" t="s">
        <v>3531</v>
      </c>
      <c r="W287" s="16" t="s">
        <v>76</v>
      </c>
      <c r="X287" s="16" t="s">
        <v>77</v>
      </c>
      <c r="Y287" s="16" t="s">
        <v>964</v>
      </c>
      <c r="Z287" s="16" t="s">
        <v>1006</v>
      </c>
      <c r="AA287" s="16" t="s">
        <v>107</v>
      </c>
      <c r="AB287" s="16" t="s">
        <v>1007</v>
      </c>
      <c r="AC287" s="16" t="s">
        <v>1008</v>
      </c>
      <c r="AD287" s="16" t="s">
        <v>3532</v>
      </c>
      <c r="AE287" s="16" t="s">
        <v>84</v>
      </c>
      <c r="AF287" s="16" t="s">
        <v>84</v>
      </c>
      <c r="AG287" s="16">
        <v>299</v>
      </c>
      <c r="AH287" s="16">
        <v>299</v>
      </c>
      <c r="AI287" s="17">
        <v>299</v>
      </c>
      <c r="AJ287" s="16">
        <v>0</v>
      </c>
      <c r="AK287" s="16">
        <v>0</v>
      </c>
      <c r="AL287" s="16">
        <v>0</v>
      </c>
      <c r="AM287" s="16">
        <v>0</v>
      </c>
      <c r="AN287" s="16">
        <v>0</v>
      </c>
      <c r="AO287" s="16" t="s">
        <v>137</v>
      </c>
      <c r="AP287" s="16" t="s">
        <v>3520</v>
      </c>
      <c r="AQ287" s="16" t="s">
        <v>3533</v>
      </c>
      <c r="AR287" s="16" t="s">
        <v>88</v>
      </c>
      <c r="AS287" s="16" t="s">
        <v>3534</v>
      </c>
      <c r="AT287" s="16">
        <v>14.95</v>
      </c>
      <c r="AU287" s="16" t="s">
        <v>90</v>
      </c>
      <c r="AV287" s="16">
        <v>1.5</v>
      </c>
      <c r="AW287" s="16" t="s">
        <v>115</v>
      </c>
      <c r="AX287" s="16" t="s">
        <v>116</v>
      </c>
      <c r="AY287" s="16" t="s">
        <v>117</v>
      </c>
      <c r="AZ287" s="16" t="s">
        <v>118</v>
      </c>
      <c r="BA287" s="16" t="s">
        <v>119</v>
      </c>
      <c r="BB287" s="16">
        <v>0</v>
      </c>
      <c r="BC287" s="16" t="s">
        <v>84</v>
      </c>
      <c r="BD287" s="16" t="s">
        <v>90</v>
      </c>
      <c r="BE287" s="16" t="s">
        <v>971</v>
      </c>
      <c r="BF287" s="16" t="s">
        <v>972</v>
      </c>
      <c r="BG287" s="16" t="s">
        <v>973</v>
      </c>
      <c r="BH287" s="16" t="s">
        <v>974</v>
      </c>
      <c r="BI287" s="16" t="s">
        <v>811</v>
      </c>
      <c r="BJ287" s="16">
        <v>299</v>
      </c>
      <c r="BK287" s="16">
        <v>299</v>
      </c>
      <c r="BL287" s="16">
        <v>299</v>
      </c>
      <c r="BM287" s="16" t="s">
        <v>96</v>
      </c>
      <c r="BN287" s="16">
        <v>1</v>
      </c>
      <c r="BO287" s="16" t="s">
        <v>84</v>
      </c>
      <c r="BP287" s="16" t="s">
        <v>84</v>
      </c>
      <c r="BQ287" s="16" t="s">
        <v>84</v>
      </c>
      <c r="BR287" s="16" t="s">
        <v>97</v>
      </c>
      <c r="BS287" s="16" t="s">
        <v>98</v>
      </c>
      <c r="BT287" s="16">
        <v>0</v>
      </c>
    </row>
    <row r="288" s="1" customFormat="1" ht="16" customHeight="1" spans="1:72">
      <c r="A288" s="14">
        <f t="shared" si="52"/>
        <v>2025</v>
      </c>
      <c r="B288" s="14">
        <f t="shared" si="53"/>
        <v>8</v>
      </c>
      <c r="C288" s="14" t="str">
        <f t="shared" si="54"/>
        <v>3729693503834174464</v>
      </c>
      <c r="D288" s="14" cm="1">
        <f t="array" ref="D288">SUMPRODUCT(($R$2:$R$374=C288)*1)</f>
        <v>1</v>
      </c>
      <c r="E288" s="14" cm="1">
        <f t="array" ref="E288">SUMPRODUCT(($R$2:R288=C288)*1)</f>
        <v>1</v>
      </c>
      <c r="F288" s="15" t="str">
        <f t="shared" si="55"/>
        <v>Z2215-蓝色-S</v>
      </c>
      <c r="G288" s="14" t="str">
        <f t="shared" si="56"/>
        <v>Z2215</v>
      </c>
      <c r="H288" s="15">
        <f t="shared" si="57"/>
        <v>1</v>
      </c>
      <c r="I288" s="14">
        <f t="shared" si="58"/>
        <v>299</v>
      </c>
      <c r="J288" s="15">
        <f t="shared" si="59"/>
        <v>0</v>
      </c>
      <c r="K288" s="15">
        <f t="shared" si="60"/>
        <v>0</v>
      </c>
      <c r="L288" s="15">
        <f t="shared" si="61"/>
        <v>-14.95</v>
      </c>
      <c r="M288" s="15">
        <f t="shared" si="62"/>
        <v>0</v>
      </c>
      <c r="N288" s="15">
        <f t="shared" si="63"/>
        <v>-1.5</v>
      </c>
      <c r="O288" s="15">
        <f t="shared" si="64"/>
        <v>282.55</v>
      </c>
      <c r="R288" s="16" t="s">
        <v>3535</v>
      </c>
      <c r="S288" s="16" t="s">
        <v>3536</v>
      </c>
      <c r="T288" s="16" t="s">
        <v>3069</v>
      </c>
      <c r="U288" s="16" t="s">
        <v>3537</v>
      </c>
      <c r="V288" s="16" t="s">
        <v>3538</v>
      </c>
      <c r="W288" s="16" t="s">
        <v>76</v>
      </c>
      <c r="X288" s="16" t="s">
        <v>77</v>
      </c>
      <c r="Y288" s="16" t="s">
        <v>3539</v>
      </c>
      <c r="Z288" s="16" t="s">
        <v>3540</v>
      </c>
      <c r="AA288" s="16" t="s">
        <v>262</v>
      </c>
      <c r="AB288" s="16" t="s">
        <v>1705</v>
      </c>
      <c r="AC288" s="16" t="s">
        <v>3541</v>
      </c>
      <c r="AD288" s="16" t="s">
        <v>3542</v>
      </c>
      <c r="AE288" s="16" t="s">
        <v>84</v>
      </c>
      <c r="AF288" s="16" t="s">
        <v>84</v>
      </c>
      <c r="AG288" s="16">
        <v>299</v>
      </c>
      <c r="AH288" s="16">
        <v>299</v>
      </c>
      <c r="AI288" s="17">
        <v>299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 t="s">
        <v>85</v>
      </c>
      <c r="AP288" s="16" t="s">
        <v>3543</v>
      </c>
      <c r="AQ288" s="16" t="s">
        <v>3544</v>
      </c>
      <c r="AR288" s="16" t="s">
        <v>88</v>
      </c>
      <c r="AS288" s="16" t="s">
        <v>3545</v>
      </c>
      <c r="AT288" s="16">
        <v>14.95</v>
      </c>
      <c r="AU288" s="16" t="s">
        <v>90</v>
      </c>
      <c r="AV288" s="16">
        <v>1.5</v>
      </c>
      <c r="AW288" s="16" t="s">
        <v>115</v>
      </c>
      <c r="AX288" s="16" t="s">
        <v>116</v>
      </c>
      <c r="AY288" s="16" t="s">
        <v>117</v>
      </c>
      <c r="AZ288" s="16" t="s">
        <v>118</v>
      </c>
      <c r="BA288" s="16" t="s">
        <v>119</v>
      </c>
      <c r="BB288" s="16">
        <v>0</v>
      </c>
      <c r="BC288" s="16" t="s">
        <v>84</v>
      </c>
      <c r="BD288" s="16" t="s">
        <v>90</v>
      </c>
      <c r="BE288" s="16" t="s">
        <v>971</v>
      </c>
      <c r="BF288" s="16" t="s">
        <v>972</v>
      </c>
      <c r="BG288" s="16" t="s">
        <v>973</v>
      </c>
      <c r="BH288" s="16" t="s">
        <v>3527</v>
      </c>
      <c r="BI288" s="16" t="s">
        <v>1725</v>
      </c>
      <c r="BJ288" s="16">
        <v>299</v>
      </c>
      <c r="BK288" s="16">
        <v>299</v>
      </c>
      <c r="BL288" s="16">
        <v>299</v>
      </c>
      <c r="BM288" s="16" t="s">
        <v>96</v>
      </c>
      <c r="BN288" s="16">
        <v>1</v>
      </c>
      <c r="BO288" s="16" t="s">
        <v>84</v>
      </c>
      <c r="BP288" s="16" t="s">
        <v>84</v>
      </c>
      <c r="BQ288" s="16" t="s">
        <v>84</v>
      </c>
      <c r="BR288" s="16" t="s">
        <v>97</v>
      </c>
      <c r="BS288" s="16" t="s">
        <v>98</v>
      </c>
      <c r="BT288" s="16">
        <v>0</v>
      </c>
    </row>
    <row r="289" s="1" customFormat="1" ht="16" customHeight="1" spans="1:72">
      <c r="A289" s="14">
        <f t="shared" si="52"/>
        <v>2025</v>
      </c>
      <c r="B289" s="14">
        <f t="shared" si="53"/>
        <v>8</v>
      </c>
      <c r="C289" s="14" t="str">
        <f t="shared" si="54"/>
        <v>3729693228678918912</v>
      </c>
      <c r="D289" s="14" cm="1">
        <f t="array" ref="D289">SUMPRODUCT(($R$2:$R$374=C289)*1)</f>
        <v>1</v>
      </c>
      <c r="E289" s="14" cm="1">
        <f t="array" ref="E289">SUMPRODUCT(($R$2:R289=C289)*1)</f>
        <v>1</v>
      </c>
      <c r="F289" s="15" t="str">
        <f t="shared" si="55"/>
        <v>Z2309-白色-L</v>
      </c>
      <c r="G289" s="14" t="str">
        <f t="shared" si="56"/>
        <v>Z2309</v>
      </c>
      <c r="H289" s="15">
        <f t="shared" si="57"/>
        <v>1</v>
      </c>
      <c r="I289" s="14">
        <f t="shared" si="58"/>
        <v>289</v>
      </c>
      <c r="J289" s="15">
        <f t="shared" si="59"/>
        <v>0</v>
      </c>
      <c r="K289" s="15">
        <f t="shared" si="60"/>
        <v>0</v>
      </c>
      <c r="L289" s="15">
        <f t="shared" si="61"/>
        <v>-14.45</v>
      </c>
      <c r="M289" s="15">
        <f t="shared" si="62"/>
        <v>0</v>
      </c>
      <c r="N289" s="15">
        <f t="shared" si="63"/>
        <v>-1.5</v>
      </c>
      <c r="O289" s="15">
        <f t="shared" si="64"/>
        <v>273.05</v>
      </c>
      <c r="R289" s="16" t="s">
        <v>3546</v>
      </c>
      <c r="S289" s="16" t="s">
        <v>3547</v>
      </c>
      <c r="T289" s="16" t="s">
        <v>3548</v>
      </c>
      <c r="U289" s="16" t="s">
        <v>3549</v>
      </c>
      <c r="V289" s="16" t="s">
        <v>3550</v>
      </c>
      <c r="W289" s="16" t="s">
        <v>76</v>
      </c>
      <c r="X289" s="16" t="s">
        <v>77</v>
      </c>
      <c r="Y289" s="16" t="s">
        <v>1585</v>
      </c>
      <c r="Z289" s="16" t="s">
        <v>3551</v>
      </c>
      <c r="AA289" s="16" t="s">
        <v>1547</v>
      </c>
      <c r="AB289" s="16" t="s">
        <v>3552</v>
      </c>
      <c r="AC289" s="16" t="s">
        <v>3553</v>
      </c>
      <c r="AD289" s="16" t="s">
        <v>3554</v>
      </c>
      <c r="AE289" s="16" t="s">
        <v>84</v>
      </c>
      <c r="AF289" s="16" t="s">
        <v>84</v>
      </c>
      <c r="AG289" s="16">
        <v>289</v>
      </c>
      <c r="AH289" s="16">
        <v>289</v>
      </c>
      <c r="AI289" s="17">
        <v>289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 t="s">
        <v>85</v>
      </c>
      <c r="AP289" s="16" t="s">
        <v>3555</v>
      </c>
      <c r="AQ289" s="16" t="s">
        <v>3556</v>
      </c>
      <c r="AR289" s="16" t="s">
        <v>88</v>
      </c>
      <c r="AS289" s="16" t="s">
        <v>3557</v>
      </c>
      <c r="AT289" s="16">
        <v>14.45</v>
      </c>
      <c r="AU289" s="16" t="s">
        <v>90</v>
      </c>
      <c r="AV289" s="16">
        <v>1.5</v>
      </c>
      <c r="AW289" s="16" t="s">
        <v>115</v>
      </c>
      <c r="AX289" s="16" t="s">
        <v>116</v>
      </c>
      <c r="AY289" s="16" t="s">
        <v>117</v>
      </c>
      <c r="AZ289" s="16" t="s">
        <v>118</v>
      </c>
      <c r="BA289" s="16" t="s">
        <v>119</v>
      </c>
      <c r="BB289" s="16">
        <v>0</v>
      </c>
      <c r="BC289" s="16" t="s">
        <v>84</v>
      </c>
      <c r="BD289" s="16" t="s">
        <v>90</v>
      </c>
      <c r="BE289" s="16" t="s">
        <v>3372</v>
      </c>
      <c r="BF289" s="16" t="s">
        <v>3373</v>
      </c>
      <c r="BG289" s="16" t="s">
        <v>3374</v>
      </c>
      <c r="BH289" s="16" t="s">
        <v>3558</v>
      </c>
      <c r="BI289" s="16" t="s">
        <v>3559</v>
      </c>
      <c r="BJ289" s="16">
        <v>289</v>
      </c>
      <c r="BK289" s="16">
        <v>289</v>
      </c>
      <c r="BL289" s="16">
        <v>289</v>
      </c>
      <c r="BM289" s="16" t="s">
        <v>96</v>
      </c>
      <c r="BN289" s="16">
        <v>1</v>
      </c>
      <c r="BO289" s="16" t="s">
        <v>84</v>
      </c>
      <c r="BP289" s="16" t="s">
        <v>84</v>
      </c>
      <c r="BQ289" s="16" t="s">
        <v>84</v>
      </c>
      <c r="BR289" s="16" t="s">
        <v>97</v>
      </c>
      <c r="BS289" s="16" t="s">
        <v>98</v>
      </c>
      <c r="BT289" s="16">
        <v>0</v>
      </c>
    </row>
    <row r="290" s="1" customFormat="1" ht="16" customHeight="1" spans="1:72">
      <c r="A290" s="14">
        <f t="shared" si="52"/>
        <v>2025</v>
      </c>
      <c r="B290" s="14">
        <f t="shared" si="53"/>
        <v>8</v>
      </c>
      <c r="C290" s="14" t="str">
        <f t="shared" si="54"/>
        <v>3729693228750743552</v>
      </c>
      <c r="D290" s="14" cm="1">
        <f t="array" ref="D290">SUMPRODUCT(($R$2:$R$374=C290)*1)</f>
        <v>1</v>
      </c>
      <c r="E290" s="14" cm="1">
        <f t="array" ref="E290">SUMPRODUCT(($R$2:R290=C290)*1)</f>
        <v>1</v>
      </c>
      <c r="F290" s="15" t="str">
        <f t="shared" si="55"/>
        <v>Z2309-白色-M</v>
      </c>
      <c r="G290" s="14" t="str">
        <f t="shared" si="56"/>
        <v>Z2309</v>
      </c>
      <c r="H290" s="15">
        <f t="shared" si="57"/>
        <v>1</v>
      </c>
      <c r="I290" s="14">
        <f t="shared" si="58"/>
        <v>289</v>
      </c>
      <c r="J290" s="15">
        <f t="shared" si="59"/>
        <v>0</v>
      </c>
      <c r="K290" s="15">
        <f t="shared" si="60"/>
        <v>0</v>
      </c>
      <c r="L290" s="15">
        <f t="shared" si="61"/>
        <v>-14.45</v>
      </c>
      <c r="M290" s="15">
        <f t="shared" si="62"/>
        <v>0</v>
      </c>
      <c r="N290" s="15">
        <f t="shared" si="63"/>
        <v>-1.5</v>
      </c>
      <c r="O290" s="15">
        <f t="shared" si="64"/>
        <v>273.05</v>
      </c>
      <c r="R290" s="16" t="s">
        <v>3560</v>
      </c>
      <c r="S290" s="16" t="s">
        <v>3547</v>
      </c>
      <c r="T290" s="16" t="s">
        <v>3365</v>
      </c>
      <c r="U290" s="16" t="s">
        <v>3561</v>
      </c>
      <c r="V290" s="16" t="s">
        <v>3562</v>
      </c>
      <c r="W290" s="16" t="s">
        <v>76</v>
      </c>
      <c r="X290" s="16" t="s">
        <v>77</v>
      </c>
      <c r="Y290" s="16" t="s">
        <v>3563</v>
      </c>
      <c r="Z290" s="16" t="s">
        <v>3564</v>
      </c>
      <c r="AA290" s="16" t="s">
        <v>369</v>
      </c>
      <c r="AB290" s="16" t="s">
        <v>3565</v>
      </c>
      <c r="AC290" s="16" t="s">
        <v>3566</v>
      </c>
      <c r="AD290" s="16" t="s">
        <v>3567</v>
      </c>
      <c r="AE290" s="16" t="s">
        <v>84</v>
      </c>
      <c r="AF290" s="16" t="s">
        <v>84</v>
      </c>
      <c r="AG290" s="16">
        <v>289</v>
      </c>
      <c r="AH290" s="16">
        <v>289</v>
      </c>
      <c r="AI290" s="17">
        <v>289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 t="s">
        <v>137</v>
      </c>
      <c r="AP290" s="16" t="s">
        <v>3568</v>
      </c>
      <c r="AQ290" s="16" t="s">
        <v>3569</v>
      </c>
      <c r="AR290" s="16" t="s">
        <v>88</v>
      </c>
      <c r="AS290" s="16" t="s">
        <v>3570</v>
      </c>
      <c r="AT290" s="16">
        <v>14.45</v>
      </c>
      <c r="AU290" s="16" t="s">
        <v>90</v>
      </c>
      <c r="AV290" s="16">
        <v>1.5</v>
      </c>
      <c r="AW290" s="16" t="s">
        <v>115</v>
      </c>
      <c r="AX290" s="16" t="s">
        <v>116</v>
      </c>
      <c r="AY290" s="16" t="s">
        <v>117</v>
      </c>
      <c r="AZ290" s="16" t="s">
        <v>118</v>
      </c>
      <c r="BA290" s="16" t="s">
        <v>119</v>
      </c>
      <c r="BB290" s="16">
        <v>0</v>
      </c>
      <c r="BC290" s="16" t="s">
        <v>84</v>
      </c>
      <c r="BD290" s="16" t="s">
        <v>90</v>
      </c>
      <c r="BE290" s="16" t="s">
        <v>3372</v>
      </c>
      <c r="BF290" s="16" t="s">
        <v>3373</v>
      </c>
      <c r="BG290" s="16" t="s">
        <v>3374</v>
      </c>
      <c r="BH290" s="16" t="s">
        <v>3375</v>
      </c>
      <c r="BI290" s="16" t="s">
        <v>3376</v>
      </c>
      <c r="BJ290" s="16">
        <v>289</v>
      </c>
      <c r="BK290" s="16">
        <v>289</v>
      </c>
      <c r="BL290" s="16">
        <v>289</v>
      </c>
      <c r="BM290" s="16" t="s">
        <v>96</v>
      </c>
      <c r="BN290" s="16">
        <v>1</v>
      </c>
      <c r="BO290" s="16" t="s">
        <v>84</v>
      </c>
      <c r="BP290" s="16" t="s">
        <v>84</v>
      </c>
      <c r="BQ290" s="16" t="s">
        <v>84</v>
      </c>
      <c r="BR290" s="16" t="s">
        <v>97</v>
      </c>
      <c r="BS290" s="16" t="s">
        <v>98</v>
      </c>
      <c r="BT290" s="16">
        <v>0</v>
      </c>
    </row>
    <row r="291" s="1" customFormat="1" ht="16" customHeight="1" spans="1:72">
      <c r="A291" s="14">
        <f t="shared" si="52"/>
        <v>2025</v>
      </c>
      <c r="B291" s="14">
        <f t="shared" si="53"/>
        <v>8</v>
      </c>
      <c r="C291" s="14" t="str">
        <f t="shared" si="54"/>
        <v>3729693201135449088</v>
      </c>
      <c r="D291" s="14" cm="1">
        <f t="array" ref="D291">SUMPRODUCT(($R$2:$R$374=C291)*1)</f>
        <v>1</v>
      </c>
      <c r="E291" s="14" cm="1">
        <f t="array" ref="E291">SUMPRODUCT(($R$2:R291=C291)*1)</f>
        <v>1</v>
      </c>
      <c r="F291" s="15" t="str">
        <f t="shared" si="55"/>
        <v>Z2309-白色-M</v>
      </c>
      <c r="G291" s="14" t="str">
        <f t="shared" si="56"/>
        <v>Z2309</v>
      </c>
      <c r="H291" s="15">
        <f t="shared" si="57"/>
        <v>1</v>
      </c>
      <c r="I291" s="14">
        <f t="shared" si="58"/>
        <v>289</v>
      </c>
      <c r="J291" s="15">
        <f t="shared" si="59"/>
        <v>0</v>
      </c>
      <c r="K291" s="15">
        <f t="shared" si="60"/>
        <v>0</v>
      </c>
      <c r="L291" s="15">
        <f t="shared" si="61"/>
        <v>-14.45</v>
      </c>
      <c r="M291" s="15">
        <f t="shared" si="62"/>
        <v>0</v>
      </c>
      <c r="N291" s="15">
        <f t="shared" si="63"/>
        <v>-1.5</v>
      </c>
      <c r="O291" s="15">
        <f t="shared" si="64"/>
        <v>273.05</v>
      </c>
      <c r="R291" s="16" t="s">
        <v>3571</v>
      </c>
      <c r="S291" s="16" t="s">
        <v>3572</v>
      </c>
      <c r="T291" s="16" t="s">
        <v>3573</v>
      </c>
      <c r="U291" s="16" t="s">
        <v>3574</v>
      </c>
      <c r="V291" s="16" t="s">
        <v>3575</v>
      </c>
      <c r="W291" s="16" t="s">
        <v>76</v>
      </c>
      <c r="X291" s="16" t="s">
        <v>77</v>
      </c>
      <c r="Y291" s="16" t="s">
        <v>3576</v>
      </c>
      <c r="Z291" s="16" t="s">
        <v>3577</v>
      </c>
      <c r="AA291" s="16" t="s">
        <v>763</v>
      </c>
      <c r="AB291" s="16" t="s">
        <v>763</v>
      </c>
      <c r="AC291" s="16" t="s">
        <v>3578</v>
      </c>
      <c r="AD291" s="16" t="s">
        <v>3579</v>
      </c>
      <c r="AE291" s="16" t="s">
        <v>84</v>
      </c>
      <c r="AF291" s="16" t="s">
        <v>84</v>
      </c>
      <c r="AG291" s="16">
        <v>289</v>
      </c>
      <c r="AH291" s="16">
        <v>289</v>
      </c>
      <c r="AI291" s="17">
        <v>289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 t="s">
        <v>85</v>
      </c>
      <c r="AP291" s="16" t="s">
        <v>3580</v>
      </c>
      <c r="AQ291" s="16" t="s">
        <v>3581</v>
      </c>
      <c r="AR291" s="16" t="s">
        <v>88</v>
      </c>
      <c r="AS291" s="16" t="s">
        <v>3582</v>
      </c>
      <c r="AT291" s="16">
        <v>14.45</v>
      </c>
      <c r="AU291" s="16" t="s">
        <v>90</v>
      </c>
      <c r="AV291" s="16">
        <v>1.5</v>
      </c>
      <c r="AW291" s="16" t="s">
        <v>115</v>
      </c>
      <c r="AX291" s="16" t="s">
        <v>116</v>
      </c>
      <c r="AY291" s="16" t="s">
        <v>117</v>
      </c>
      <c r="AZ291" s="16" t="s">
        <v>118</v>
      </c>
      <c r="BA291" s="16" t="s">
        <v>119</v>
      </c>
      <c r="BB291" s="16">
        <v>0</v>
      </c>
      <c r="BC291" s="16" t="s">
        <v>84</v>
      </c>
      <c r="BD291" s="16" t="s">
        <v>90</v>
      </c>
      <c r="BE291" s="16" t="s">
        <v>3372</v>
      </c>
      <c r="BF291" s="16" t="s">
        <v>3373</v>
      </c>
      <c r="BG291" s="16" t="s">
        <v>3374</v>
      </c>
      <c r="BH291" s="16" t="s">
        <v>3375</v>
      </c>
      <c r="BI291" s="16" t="s">
        <v>3376</v>
      </c>
      <c r="BJ291" s="16">
        <v>289</v>
      </c>
      <c r="BK291" s="16">
        <v>289</v>
      </c>
      <c r="BL291" s="16">
        <v>289</v>
      </c>
      <c r="BM291" s="16" t="s">
        <v>96</v>
      </c>
      <c r="BN291" s="16">
        <v>1</v>
      </c>
      <c r="BO291" s="16" t="s">
        <v>84</v>
      </c>
      <c r="BP291" s="16" t="s">
        <v>84</v>
      </c>
      <c r="BQ291" s="16" t="s">
        <v>84</v>
      </c>
      <c r="BR291" s="16" t="s">
        <v>97</v>
      </c>
      <c r="BS291" s="16" t="s">
        <v>98</v>
      </c>
      <c r="BT291" s="16">
        <v>0</v>
      </c>
    </row>
    <row r="292" s="1" customFormat="1" ht="16" customHeight="1" spans="1:72">
      <c r="A292" s="14">
        <f t="shared" si="52"/>
        <v>2025</v>
      </c>
      <c r="B292" s="14">
        <f t="shared" si="53"/>
        <v>8</v>
      </c>
      <c r="C292" s="14" t="str">
        <f t="shared" si="54"/>
        <v>3729693200991008000</v>
      </c>
      <c r="D292" s="14" cm="1">
        <f t="array" ref="D292">SUMPRODUCT(($R$2:$R$374=C292)*1)</f>
        <v>1</v>
      </c>
      <c r="E292" s="14" cm="1">
        <f t="array" ref="E292">SUMPRODUCT(($R$2:R292=C292)*1)</f>
        <v>1</v>
      </c>
      <c r="F292" s="15" t="str">
        <f t="shared" si="55"/>
        <v>Z2309-白色-S</v>
      </c>
      <c r="G292" s="14" t="str">
        <f t="shared" si="56"/>
        <v>Z2309</v>
      </c>
      <c r="H292" s="15">
        <f t="shared" si="57"/>
        <v>1</v>
      </c>
      <c r="I292" s="14">
        <f t="shared" si="58"/>
        <v>289</v>
      </c>
      <c r="J292" s="15">
        <f t="shared" si="59"/>
        <v>0</v>
      </c>
      <c r="K292" s="15">
        <f t="shared" si="60"/>
        <v>0</v>
      </c>
      <c r="L292" s="15">
        <f t="shared" si="61"/>
        <v>-14.45</v>
      </c>
      <c r="M292" s="15">
        <f t="shared" si="62"/>
        <v>0</v>
      </c>
      <c r="N292" s="15">
        <f t="shared" si="63"/>
        <v>0</v>
      </c>
      <c r="O292" s="15">
        <f t="shared" si="64"/>
        <v>274.55</v>
      </c>
      <c r="R292" s="16" t="s">
        <v>3583</v>
      </c>
      <c r="S292" s="16" t="s">
        <v>3584</v>
      </c>
      <c r="T292" s="16" t="s">
        <v>3573</v>
      </c>
      <c r="U292" s="16" t="s">
        <v>3585</v>
      </c>
      <c r="V292" s="16" t="s">
        <v>3586</v>
      </c>
      <c r="W292" s="16" t="s">
        <v>76</v>
      </c>
      <c r="X292" s="16" t="s">
        <v>77</v>
      </c>
      <c r="Y292" s="16" t="s">
        <v>188</v>
      </c>
      <c r="Z292" s="16" t="s">
        <v>1056</v>
      </c>
      <c r="AA292" s="16" t="s">
        <v>369</v>
      </c>
      <c r="AB292" s="16" t="s">
        <v>1057</v>
      </c>
      <c r="AC292" s="16" t="s">
        <v>1058</v>
      </c>
      <c r="AD292" s="16" t="s">
        <v>3587</v>
      </c>
      <c r="AE292" s="16" t="s">
        <v>84</v>
      </c>
      <c r="AF292" s="16" t="s">
        <v>84</v>
      </c>
      <c r="AG292" s="16">
        <v>289</v>
      </c>
      <c r="AH292" s="16">
        <v>289</v>
      </c>
      <c r="AI292" s="17">
        <v>289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 t="s">
        <v>85</v>
      </c>
      <c r="AP292" s="16" t="s">
        <v>3588</v>
      </c>
      <c r="AQ292" s="16" t="s">
        <v>3589</v>
      </c>
      <c r="AR292" s="16" t="s">
        <v>88</v>
      </c>
      <c r="AS292" s="16" t="s">
        <v>3590</v>
      </c>
      <c r="AT292" s="16">
        <v>14.45</v>
      </c>
      <c r="AU292" s="16" t="s">
        <v>90</v>
      </c>
      <c r="AV292" s="16" t="s">
        <v>90</v>
      </c>
      <c r="AW292" s="16" t="s">
        <v>115</v>
      </c>
      <c r="AX292" s="16" t="s">
        <v>116</v>
      </c>
      <c r="AY292" s="16" t="s">
        <v>117</v>
      </c>
      <c r="AZ292" s="16" t="s">
        <v>118</v>
      </c>
      <c r="BA292" s="16" t="s">
        <v>119</v>
      </c>
      <c r="BB292" s="16">
        <v>0</v>
      </c>
      <c r="BC292" s="16" t="s">
        <v>84</v>
      </c>
      <c r="BD292" s="16" t="s">
        <v>90</v>
      </c>
      <c r="BE292" s="16" t="s">
        <v>3372</v>
      </c>
      <c r="BF292" s="16" t="s">
        <v>3373</v>
      </c>
      <c r="BG292" s="16" t="s">
        <v>3374</v>
      </c>
      <c r="BH292" s="16" t="s">
        <v>3591</v>
      </c>
      <c r="BI292" s="16" t="s">
        <v>3592</v>
      </c>
      <c r="BJ292" s="16">
        <v>289</v>
      </c>
      <c r="BK292" s="16">
        <v>289</v>
      </c>
      <c r="BL292" s="16">
        <v>289</v>
      </c>
      <c r="BM292" s="16" t="s">
        <v>96</v>
      </c>
      <c r="BN292" s="16">
        <v>1</v>
      </c>
      <c r="BO292" s="16" t="s">
        <v>84</v>
      </c>
      <c r="BP292" s="16" t="s">
        <v>84</v>
      </c>
      <c r="BQ292" s="16" t="s">
        <v>84</v>
      </c>
      <c r="BR292" s="16" t="s">
        <v>97</v>
      </c>
      <c r="BS292" s="16" t="s">
        <v>98</v>
      </c>
      <c r="BT292" s="16">
        <v>0</v>
      </c>
    </row>
    <row r="293" s="1" customFormat="1" ht="16" customHeight="1" spans="1:72">
      <c r="A293" s="14">
        <f t="shared" si="52"/>
        <v>2025</v>
      </c>
      <c r="B293" s="14">
        <f t="shared" si="53"/>
        <v>8</v>
      </c>
      <c r="C293" s="14" t="str">
        <f t="shared" si="54"/>
        <v>3729693199682902528</v>
      </c>
      <c r="D293" s="14" cm="1">
        <f t="array" ref="D293">SUMPRODUCT(($R$2:$R$374=C293)*1)</f>
        <v>1</v>
      </c>
      <c r="E293" s="14" cm="1">
        <f t="array" ref="E293">SUMPRODUCT(($R$2:R293=C293)*1)</f>
        <v>1</v>
      </c>
      <c r="F293" s="15" t="str">
        <f t="shared" si="55"/>
        <v>Z2309-白色-M</v>
      </c>
      <c r="G293" s="14" t="str">
        <f t="shared" si="56"/>
        <v>Z2309</v>
      </c>
      <c r="H293" s="15">
        <f t="shared" si="57"/>
        <v>1</v>
      </c>
      <c r="I293" s="14">
        <f t="shared" si="58"/>
        <v>289</v>
      </c>
      <c r="J293" s="15">
        <f t="shared" si="59"/>
        <v>0</v>
      </c>
      <c r="K293" s="15">
        <f t="shared" si="60"/>
        <v>0</v>
      </c>
      <c r="L293" s="15">
        <f t="shared" si="61"/>
        <v>-14.45</v>
      </c>
      <c r="M293" s="15">
        <f t="shared" si="62"/>
        <v>0</v>
      </c>
      <c r="N293" s="15">
        <f t="shared" si="63"/>
        <v>-1.5</v>
      </c>
      <c r="O293" s="15">
        <f t="shared" si="64"/>
        <v>273.05</v>
      </c>
      <c r="R293" s="16" t="s">
        <v>3593</v>
      </c>
      <c r="S293" s="16" t="s">
        <v>3594</v>
      </c>
      <c r="T293" s="16" t="s">
        <v>3365</v>
      </c>
      <c r="U293" s="16" t="s">
        <v>3595</v>
      </c>
      <c r="V293" s="16" t="s">
        <v>3596</v>
      </c>
      <c r="W293" s="16" t="s">
        <v>76</v>
      </c>
      <c r="X293" s="16" t="s">
        <v>77</v>
      </c>
      <c r="Y293" s="16" t="s">
        <v>3597</v>
      </c>
      <c r="Z293" s="16" t="s">
        <v>638</v>
      </c>
      <c r="AA293" s="16" t="s">
        <v>430</v>
      </c>
      <c r="AB293" s="16" t="s">
        <v>430</v>
      </c>
      <c r="AC293" s="16" t="s">
        <v>639</v>
      </c>
      <c r="AD293" s="16" t="s">
        <v>3598</v>
      </c>
      <c r="AE293" s="16" t="s">
        <v>84</v>
      </c>
      <c r="AF293" s="16" t="s">
        <v>84</v>
      </c>
      <c r="AG293" s="16">
        <v>289</v>
      </c>
      <c r="AH293" s="16">
        <v>289</v>
      </c>
      <c r="AI293" s="17">
        <v>289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 t="s">
        <v>85</v>
      </c>
      <c r="AP293" s="16" t="s">
        <v>3599</v>
      </c>
      <c r="AQ293" s="16" t="s">
        <v>3600</v>
      </c>
      <c r="AR293" s="16" t="s">
        <v>88</v>
      </c>
      <c r="AS293" s="16" t="s">
        <v>3601</v>
      </c>
      <c r="AT293" s="16">
        <v>14.45</v>
      </c>
      <c r="AU293" s="16" t="s">
        <v>90</v>
      </c>
      <c r="AV293" s="16">
        <v>1.5</v>
      </c>
      <c r="AW293" s="16" t="s">
        <v>115</v>
      </c>
      <c r="AX293" s="16" t="s">
        <v>116</v>
      </c>
      <c r="AY293" s="16" t="s">
        <v>117</v>
      </c>
      <c r="AZ293" s="16" t="s">
        <v>118</v>
      </c>
      <c r="BA293" s="16" t="s">
        <v>119</v>
      </c>
      <c r="BB293" s="16">
        <v>0</v>
      </c>
      <c r="BC293" s="16" t="s">
        <v>84</v>
      </c>
      <c r="BD293" s="16" t="s">
        <v>90</v>
      </c>
      <c r="BE293" s="16" t="s">
        <v>3372</v>
      </c>
      <c r="BF293" s="16" t="s">
        <v>3373</v>
      </c>
      <c r="BG293" s="16" t="s">
        <v>3374</v>
      </c>
      <c r="BH293" s="16" t="s">
        <v>3375</v>
      </c>
      <c r="BI293" s="16" t="s">
        <v>3376</v>
      </c>
      <c r="BJ293" s="16">
        <v>289</v>
      </c>
      <c r="BK293" s="16">
        <v>289</v>
      </c>
      <c r="BL293" s="16">
        <v>289</v>
      </c>
      <c r="BM293" s="16" t="s">
        <v>96</v>
      </c>
      <c r="BN293" s="16">
        <v>1</v>
      </c>
      <c r="BO293" s="16" t="s">
        <v>84</v>
      </c>
      <c r="BP293" s="16" t="s">
        <v>84</v>
      </c>
      <c r="BQ293" s="16" t="s">
        <v>84</v>
      </c>
      <c r="BR293" s="16" t="s">
        <v>97</v>
      </c>
      <c r="BS293" s="16" t="s">
        <v>98</v>
      </c>
      <c r="BT293" s="16">
        <v>0</v>
      </c>
    </row>
    <row r="294" s="1" customFormat="1" ht="16" customHeight="1" spans="1:72">
      <c r="A294" s="14">
        <f t="shared" ref="A294:A357" si="65">IFERROR(YEAR(V294),"")</f>
        <v>2025</v>
      </c>
      <c r="B294" s="14">
        <f t="shared" ref="B294:B357" si="66">IFERROR(MONTH(V294),"")</f>
        <v>8</v>
      </c>
      <c r="C294" s="14" t="str">
        <f t="shared" ref="C294:C357" si="67">R294</f>
        <v>3729693197381806080</v>
      </c>
      <c r="D294" s="14" cm="1">
        <f t="array" ref="D294">SUMPRODUCT(($R$2:$R$374=C294)*1)</f>
        <v>1</v>
      </c>
      <c r="E294" s="14" cm="1">
        <f t="array" ref="E294">SUMPRODUCT(($R$2:R294=C294)*1)</f>
        <v>1</v>
      </c>
      <c r="F294" s="15" t="str">
        <f t="shared" ref="F294:F357" si="68">BH294</f>
        <v>Z2309-白色-M</v>
      </c>
      <c r="G294" s="14" t="str">
        <f t="shared" ref="G294:G357" si="69">LEFT(F294,FIND("-",F294)-1)</f>
        <v>Z2309</v>
      </c>
      <c r="H294" s="15">
        <f t="shared" ref="H294:H357" si="70">IF(AND(BR294="已发货",BT294&lt;BL294,W294="已完成"),BN294,0)</f>
        <v>1</v>
      </c>
      <c r="I294" s="14">
        <f t="shared" ref="I294:I357" si="71">IF(H294=0,BJ294-BT294,H294*BJ294-BT294)</f>
        <v>289</v>
      </c>
      <c r="J294" s="15">
        <f t="shared" ref="J294:J357" si="72">IF(AND(H294&gt;0,E294=1),SUM(AK294:AN294),-SUM(AK294:AN294))</f>
        <v>0</v>
      </c>
      <c r="K294" s="15">
        <f t="shared" ref="K294:K357" si="73">AJ294</f>
        <v>0</v>
      </c>
      <c r="L294" s="15">
        <f t="shared" ref="L294:L357" si="74">IF(E294=1,-SUM(AT294:AU294),0)</f>
        <v>-14.45</v>
      </c>
      <c r="M294" s="15">
        <f t="shared" ref="M294:M357" si="75">IF(AND(E294=1,H294&gt;0),-SUM(BB294),0)</f>
        <v>0</v>
      </c>
      <c r="N294" s="15">
        <f t="shared" ref="N294:N357" si="76">IF(AND(E294=1,H294&gt;0),-SUM(AV294),0)</f>
        <v>-1.5</v>
      </c>
      <c r="O294" s="15">
        <f t="shared" ref="O294:O357" si="77">SUM(I294:N294)</f>
        <v>273.05</v>
      </c>
      <c r="R294" s="16" t="s">
        <v>3602</v>
      </c>
      <c r="S294" s="16" t="s">
        <v>3603</v>
      </c>
      <c r="T294" s="16" t="s">
        <v>3365</v>
      </c>
      <c r="U294" s="16" t="s">
        <v>3604</v>
      </c>
      <c r="V294" s="16" t="s">
        <v>3605</v>
      </c>
      <c r="W294" s="16" t="s">
        <v>76</v>
      </c>
      <c r="X294" s="16" t="s">
        <v>77</v>
      </c>
      <c r="Y294" s="16" t="s">
        <v>3606</v>
      </c>
      <c r="Z294" s="16" t="s">
        <v>1308</v>
      </c>
      <c r="AA294" s="16" t="s">
        <v>430</v>
      </c>
      <c r="AB294" s="16" t="s">
        <v>430</v>
      </c>
      <c r="AC294" s="16" t="s">
        <v>1309</v>
      </c>
      <c r="AD294" s="16" t="s">
        <v>3607</v>
      </c>
      <c r="AE294" s="16" t="s">
        <v>84</v>
      </c>
      <c r="AF294" s="16" t="s">
        <v>84</v>
      </c>
      <c r="AG294" s="16">
        <v>289</v>
      </c>
      <c r="AH294" s="16">
        <v>289</v>
      </c>
      <c r="AI294" s="17">
        <v>289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 t="s">
        <v>85</v>
      </c>
      <c r="AP294" s="16" t="s">
        <v>3608</v>
      </c>
      <c r="AQ294" s="16" t="s">
        <v>3609</v>
      </c>
      <c r="AR294" s="16" t="s">
        <v>88</v>
      </c>
      <c r="AS294" s="16" t="s">
        <v>3610</v>
      </c>
      <c r="AT294" s="16">
        <v>14.45</v>
      </c>
      <c r="AU294" s="16" t="s">
        <v>90</v>
      </c>
      <c r="AV294" s="16">
        <v>1.5</v>
      </c>
      <c r="AW294" s="16" t="s">
        <v>115</v>
      </c>
      <c r="AX294" s="16" t="s">
        <v>116</v>
      </c>
      <c r="AY294" s="16" t="s">
        <v>117</v>
      </c>
      <c r="AZ294" s="16" t="s">
        <v>118</v>
      </c>
      <c r="BA294" s="16" t="s">
        <v>119</v>
      </c>
      <c r="BB294" s="16">
        <v>0</v>
      </c>
      <c r="BC294" s="16" t="s">
        <v>84</v>
      </c>
      <c r="BD294" s="16" t="s">
        <v>90</v>
      </c>
      <c r="BE294" s="16" t="s">
        <v>3372</v>
      </c>
      <c r="BF294" s="16" t="s">
        <v>3373</v>
      </c>
      <c r="BG294" s="16" t="s">
        <v>3374</v>
      </c>
      <c r="BH294" s="16" t="s">
        <v>3375</v>
      </c>
      <c r="BI294" s="16" t="s">
        <v>3376</v>
      </c>
      <c r="BJ294" s="16">
        <v>289</v>
      </c>
      <c r="BK294" s="16">
        <v>289</v>
      </c>
      <c r="BL294" s="16">
        <v>289</v>
      </c>
      <c r="BM294" s="16" t="s">
        <v>96</v>
      </c>
      <c r="BN294" s="16">
        <v>1</v>
      </c>
      <c r="BO294" s="16" t="s">
        <v>84</v>
      </c>
      <c r="BP294" s="16" t="s">
        <v>84</v>
      </c>
      <c r="BQ294" s="16" t="s">
        <v>84</v>
      </c>
      <c r="BR294" s="16" t="s">
        <v>97</v>
      </c>
      <c r="BS294" s="16" t="s">
        <v>98</v>
      </c>
      <c r="BT294" s="16">
        <v>0</v>
      </c>
    </row>
    <row r="295" s="1" customFormat="1" ht="16" customHeight="1" spans="1:72">
      <c r="A295" s="14">
        <f t="shared" si="65"/>
        <v>2025</v>
      </c>
      <c r="B295" s="14">
        <f t="shared" si="66"/>
        <v>8</v>
      </c>
      <c r="C295" s="14" t="str">
        <f t="shared" si="67"/>
        <v>3729693195619934976</v>
      </c>
      <c r="D295" s="14" cm="1">
        <f t="array" ref="D295">SUMPRODUCT(($R$2:$R$374=C295)*1)</f>
        <v>1</v>
      </c>
      <c r="E295" s="14" cm="1">
        <f t="array" ref="E295">SUMPRODUCT(($R$2:R295=C295)*1)</f>
        <v>1</v>
      </c>
      <c r="F295" s="15" t="str">
        <f t="shared" si="68"/>
        <v>Z2309-白色-S</v>
      </c>
      <c r="G295" s="14" t="str">
        <f t="shared" si="69"/>
        <v>Z2309</v>
      </c>
      <c r="H295" s="15">
        <f t="shared" si="70"/>
        <v>1</v>
      </c>
      <c r="I295" s="14">
        <f t="shared" si="71"/>
        <v>289</v>
      </c>
      <c r="J295" s="15">
        <f t="shared" si="72"/>
        <v>0</v>
      </c>
      <c r="K295" s="15">
        <f t="shared" si="73"/>
        <v>0</v>
      </c>
      <c r="L295" s="15">
        <f t="shared" si="74"/>
        <v>-14.45</v>
      </c>
      <c r="M295" s="15">
        <f t="shared" si="75"/>
        <v>0</v>
      </c>
      <c r="N295" s="15">
        <f t="shared" si="76"/>
        <v>-1.5</v>
      </c>
      <c r="O295" s="15">
        <f t="shared" si="77"/>
        <v>273.05</v>
      </c>
      <c r="R295" s="16" t="s">
        <v>3611</v>
      </c>
      <c r="S295" s="16" t="s">
        <v>3612</v>
      </c>
      <c r="T295" s="16" t="s">
        <v>3573</v>
      </c>
      <c r="U295" s="16" t="s">
        <v>3613</v>
      </c>
      <c r="V295" s="16" t="s">
        <v>3614</v>
      </c>
      <c r="W295" s="16" t="s">
        <v>76</v>
      </c>
      <c r="X295" s="16" t="s">
        <v>77</v>
      </c>
      <c r="Y295" s="16" t="s">
        <v>3615</v>
      </c>
      <c r="Z295" s="16" t="s">
        <v>79</v>
      </c>
      <c r="AA295" s="16" t="s">
        <v>80</v>
      </c>
      <c r="AB295" s="16" t="s">
        <v>81</v>
      </c>
      <c r="AC295" s="16" t="s">
        <v>82</v>
      </c>
      <c r="AD295" s="16" t="s">
        <v>3616</v>
      </c>
      <c r="AE295" s="16" t="s">
        <v>84</v>
      </c>
      <c r="AF295" s="16" t="s">
        <v>84</v>
      </c>
      <c r="AG295" s="16">
        <v>289</v>
      </c>
      <c r="AH295" s="16">
        <v>289</v>
      </c>
      <c r="AI295" s="17">
        <v>289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 t="s">
        <v>85</v>
      </c>
      <c r="AP295" s="16" t="s">
        <v>3617</v>
      </c>
      <c r="AQ295" s="16" t="s">
        <v>3618</v>
      </c>
      <c r="AR295" s="16" t="s">
        <v>88</v>
      </c>
      <c r="AS295" s="16" t="s">
        <v>3619</v>
      </c>
      <c r="AT295" s="16">
        <v>14.45</v>
      </c>
      <c r="AU295" s="16" t="s">
        <v>90</v>
      </c>
      <c r="AV295" s="16">
        <v>1.5</v>
      </c>
      <c r="AW295" s="16" t="s">
        <v>115</v>
      </c>
      <c r="AX295" s="16" t="s">
        <v>116</v>
      </c>
      <c r="AY295" s="16" t="s">
        <v>117</v>
      </c>
      <c r="AZ295" s="16" t="s">
        <v>118</v>
      </c>
      <c r="BA295" s="16" t="s">
        <v>119</v>
      </c>
      <c r="BB295" s="16">
        <v>0</v>
      </c>
      <c r="BC295" s="16" t="s">
        <v>84</v>
      </c>
      <c r="BD295" s="16" t="s">
        <v>90</v>
      </c>
      <c r="BE295" s="16" t="s">
        <v>3372</v>
      </c>
      <c r="BF295" s="16" t="s">
        <v>3373</v>
      </c>
      <c r="BG295" s="16" t="s">
        <v>3374</v>
      </c>
      <c r="BH295" s="16" t="s">
        <v>3591</v>
      </c>
      <c r="BI295" s="16" t="s">
        <v>3592</v>
      </c>
      <c r="BJ295" s="16">
        <v>289</v>
      </c>
      <c r="BK295" s="16">
        <v>289</v>
      </c>
      <c r="BL295" s="16">
        <v>289</v>
      </c>
      <c r="BM295" s="16" t="s">
        <v>96</v>
      </c>
      <c r="BN295" s="16">
        <v>1</v>
      </c>
      <c r="BO295" s="16" t="s">
        <v>84</v>
      </c>
      <c r="BP295" s="16" t="s">
        <v>84</v>
      </c>
      <c r="BQ295" s="16" t="s">
        <v>84</v>
      </c>
      <c r="BR295" s="16" t="s">
        <v>97</v>
      </c>
      <c r="BS295" s="16" t="s">
        <v>98</v>
      </c>
      <c r="BT295" s="16">
        <v>0</v>
      </c>
    </row>
    <row r="296" s="1" customFormat="1" ht="16" customHeight="1" spans="1:72">
      <c r="A296" s="14">
        <f t="shared" si="65"/>
        <v>2025</v>
      </c>
      <c r="B296" s="14">
        <f t="shared" si="66"/>
        <v>8</v>
      </c>
      <c r="C296" s="14" t="str">
        <f t="shared" si="67"/>
        <v>3729693194257570304</v>
      </c>
      <c r="D296" s="14" cm="1">
        <f t="array" ref="D296">SUMPRODUCT(($R$2:$R$374=C296)*1)</f>
        <v>1</v>
      </c>
      <c r="E296" s="14" cm="1">
        <f t="array" ref="E296">SUMPRODUCT(($R$2:R296=C296)*1)</f>
        <v>1</v>
      </c>
      <c r="F296" s="15" t="str">
        <f t="shared" si="68"/>
        <v>Z2309-白色-M</v>
      </c>
      <c r="G296" s="14" t="str">
        <f t="shared" si="69"/>
        <v>Z2309</v>
      </c>
      <c r="H296" s="15">
        <f t="shared" si="70"/>
        <v>1</v>
      </c>
      <c r="I296" s="14">
        <f t="shared" si="71"/>
        <v>289</v>
      </c>
      <c r="J296" s="15">
        <f t="shared" si="72"/>
        <v>0</v>
      </c>
      <c r="K296" s="15">
        <f t="shared" si="73"/>
        <v>0</v>
      </c>
      <c r="L296" s="15">
        <f t="shared" si="74"/>
        <v>-14.45</v>
      </c>
      <c r="M296" s="15">
        <f t="shared" si="75"/>
        <v>0</v>
      </c>
      <c r="N296" s="15">
        <f t="shared" si="76"/>
        <v>-1.5</v>
      </c>
      <c r="O296" s="15">
        <f t="shared" si="77"/>
        <v>273.05</v>
      </c>
      <c r="R296" s="16" t="s">
        <v>3620</v>
      </c>
      <c r="S296" s="16" t="s">
        <v>3621</v>
      </c>
      <c r="T296" s="16" t="s">
        <v>3365</v>
      </c>
      <c r="U296" s="16" t="s">
        <v>3622</v>
      </c>
      <c r="V296" s="16" t="s">
        <v>3623</v>
      </c>
      <c r="W296" s="16" t="s">
        <v>76</v>
      </c>
      <c r="X296" s="16" t="s">
        <v>77</v>
      </c>
      <c r="Y296" s="16" t="s">
        <v>1256</v>
      </c>
      <c r="Z296" s="16" t="s">
        <v>3356</v>
      </c>
      <c r="AA296" s="16" t="s">
        <v>153</v>
      </c>
      <c r="AB296" s="16" t="s">
        <v>153</v>
      </c>
      <c r="AC296" s="16" t="s">
        <v>3357</v>
      </c>
      <c r="AD296" s="16" t="s">
        <v>3358</v>
      </c>
      <c r="AE296" s="16" t="s">
        <v>84</v>
      </c>
      <c r="AF296" s="16" t="s">
        <v>84</v>
      </c>
      <c r="AG296" s="16">
        <v>289</v>
      </c>
      <c r="AH296" s="16">
        <v>289</v>
      </c>
      <c r="AI296" s="17">
        <v>289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 t="s">
        <v>85</v>
      </c>
      <c r="AP296" s="16" t="s">
        <v>3624</v>
      </c>
      <c r="AQ296" s="16" t="s">
        <v>3625</v>
      </c>
      <c r="AR296" s="16" t="s">
        <v>88</v>
      </c>
      <c r="AS296" s="16" t="s">
        <v>3626</v>
      </c>
      <c r="AT296" s="16">
        <v>14.45</v>
      </c>
      <c r="AU296" s="16" t="s">
        <v>90</v>
      </c>
      <c r="AV296" s="16">
        <v>1.5</v>
      </c>
      <c r="AW296" s="16" t="s">
        <v>115</v>
      </c>
      <c r="AX296" s="16" t="s">
        <v>116</v>
      </c>
      <c r="AY296" s="16" t="s">
        <v>117</v>
      </c>
      <c r="AZ296" s="16" t="s">
        <v>118</v>
      </c>
      <c r="BA296" s="16" t="s">
        <v>119</v>
      </c>
      <c r="BB296" s="16">
        <v>0</v>
      </c>
      <c r="BC296" s="16" t="s">
        <v>84</v>
      </c>
      <c r="BD296" s="16" t="s">
        <v>90</v>
      </c>
      <c r="BE296" s="16" t="s">
        <v>3372</v>
      </c>
      <c r="BF296" s="16" t="s">
        <v>3373</v>
      </c>
      <c r="BG296" s="16" t="s">
        <v>3374</v>
      </c>
      <c r="BH296" s="16" t="s">
        <v>3375</v>
      </c>
      <c r="BI296" s="16" t="s">
        <v>3376</v>
      </c>
      <c r="BJ296" s="16">
        <v>289</v>
      </c>
      <c r="BK296" s="16">
        <v>289</v>
      </c>
      <c r="BL296" s="16">
        <v>289</v>
      </c>
      <c r="BM296" s="16" t="s">
        <v>96</v>
      </c>
      <c r="BN296" s="16">
        <v>1</v>
      </c>
      <c r="BO296" s="16" t="s">
        <v>84</v>
      </c>
      <c r="BP296" s="16" t="s">
        <v>84</v>
      </c>
      <c r="BQ296" s="16" t="s">
        <v>84</v>
      </c>
      <c r="BR296" s="16" t="s">
        <v>97</v>
      </c>
      <c r="BS296" s="16" t="s">
        <v>98</v>
      </c>
      <c r="BT296" s="16">
        <v>0</v>
      </c>
    </row>
    <row r="297" s="1" customFormat="1" ht="16" customHeight="1" spans="1:72">
      <c r="A297" s="14">
        <f t="shared" si="65"/>
        <v>2025</v>
      </c>
      <c r="B297" s="14">
        <f t="shared" si="66"/>
        <v>8</v>
      </c>
      <c r="C297" s="14" t="str">
        <f t="shared" si="67"/>
        <v>3729692699548594944</v>
      </c>
      <c r="D297" s="14" cm="1">
        <f t="array" ref="D297">SUMPRODUCT(($R$2:$R$374=C297)*1)</f>
        <v>1</v>
      </c>
      <c r="E297" s="14" cm="1">
        <f t="array" ref="E297">SUMPRODUCT(($R$2:R297=C297)*1)</f>
        <v>1</v>
      </c>
      <c r="F297" s="15" t="str">
        <f t="shared" si="68"/>
        <v>P110-项链</v>
      </c>
      <c r="G297" s="14" t="str">
        <f t="shared" si="69"/>
        <v>P110</v>
      </c>
      <c r="H297" s="15">
        <f t="shared" si="70"/>
        <v>1</v>
      </c>
      <c r="I297" s="14">
        <f t="shared" si="71"/>
        <v>289</v>
      </c>
      <c r="J297" s="15">
        <f t="shared" si="72"/>
        <v>0</v>
      </c>
      <c r="K297" s="15">
        <f t="shared" si="73"/>
        <v>0</v>
      </c>
      <c r="L297" s="15">
        <f t="shared" si="74"/>
        <v>-2.89</v>
      </c>
      <c r="M297" s="15">
        <f t="shared" si="75"/>
        <v>0</v>
      </c>
      <c r="N297" s="15">
        <f t="shared" si="76"/>
        <v>-1.98</v>
      </c>
      <c r="O297" s="15">
        <f t="shared" si="77"/>
        <v>284.13</v>
      </c>
      <c r="R297" s="16" t="s">
        <v>3627</v>
      </c>
      <c r="S297" s="16" t="s">
        <v>3628</v>
      </c>
      <c r="T297" s="16" t="s">
        <v>2689</v>
      </c>
      <c r="U297" s="16" t="s">
        <v>3629</v>
      </c>
      <c r="V297" s="16" t="s">
        <v>3630</v>
      </c>
      <c r="W297" s="16" t="s">
        <v>76</v>
      </c>
      <c r="X297" s="16" t="s">
        <v>77</v>
      </c>
      <c r="Y297" s="16" t="s">
        <v>188</v>
      </c>
      <c r="Z297" s="16" t="s">
        <v>3631</v>
      </c>
      <c r="AA297" s="16" t="s">
        <v>80</v>
      </c>
      <c r="AB297" s="16" t="s">
        <v>442</v>
      </c>
      <c r="AC297" s="16" t="s">
        <v>3632</v>
      </c>
      <c r="AD297" s="16" t="s">
        <v>3633</v>
      </c>
      <c r="AE297" s="16" t="s">
        <v>84</v>
      </c>
      <c r="AF297" s="16" t="s">
        <v>84</v>
      </c>
      <c r="AG297" s="16">
        <v>289</v>
      </c>
      <c r="AH297" s="16">
        <v>289</v>
      </c>
      <c r="AI297" s="17">
        <v>289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 t="s">
        <v>85</v>
      </c>
      <c r="AP297" s="16" t="s">
        <v>3634</v>
      </c>
      <c r="AQ297" s="16" t="s">
        <v>3635</v>
      </c>
      <c r="AR297" s="16" t="s">
        <v>88</v>
      </c>
      <c r="AS297" s="16" t="s">
        <v>3636</v>
      </c>
      <c r="AT297" s="16">
        <v>2.89</v>
      </c>
      <c r="AU297" s="16" t="s">
        <v>90</v>
      </c>
      <c r="AV297" s="16">
        <v>1.98</v>
      </c>
      <c r="AW297" s="16" t="s">
        <v>90</v>
      </c>
      <c r="AX297" s="16" t="s">
        <v>90</v>
      </c>
      <c r="AY297" s="16" t="s">
        <v>90</v>
      </c>
      <c r="AZ297" s="16" t="s">
        <v>90</v>
      </c>
      <c r="BA297" s="16" t="s">
        <v>90</v>
      </c>
      <c r="BB297" s="16">
        <v>0</v>
      </c>
      <c r="BC297" s="16"/>
      <c r="BD297" s="16" t="s">
        <v>90</v>
      </c>
      <c r="BE297" s="16" t="s">
        <v>2699</v>
      </c>
      <c r="BF297" s="16" t="s">
        <v>2700</v>
      </c>
      <c r="BG297" s="16" t="s">
        <v>2701</v>
      </c>
      <c r="BH297" s="16" t="s">
        <v>2702</v>
      </c>
      <c r="BI297" s="16" t="s">
        <v>2703</v>
      </c>
      <c r="BJ297" s="16">
        <v>289</v>
      </c>
      <c r="BK297" s="16">
        <v>289</v>
      </c>
      <c r="BL297" s="16">
        <v>289</v>
      </c>
      <c r="BM297" s="16" t="s">
        <v>96</v>
      </c>
      <c r="BN297" s="16">
        <v>1</v>
      </c>
      <c r="BO297" s="16" t="s">
        <v>84</v>
      </c>
      <c r="BP297" s="16" t="s">
        <v>84</v>
      </c>
      <c r="BQ297" s="16" t="s">
        <v>84</v>
      </c>
      <c r="BR297" s="16" t="s">
        <v>97</v>
      </c>
      <c r="BS297" s="16" t="s">
        <v>98</v>
      </c>
      <c r="BT297" s="16">
        <v>0</v>
      </c>
    </row>
    <row r="298" s="1" customFormat="1" ht="16" customHeight="1" spans="1:72">
      <c r="A298" s="14">
        <f t="shared" si="65"/>
        <v>2025</v>
      </c>
      <c r="B298" s="14">
        <f t="shared" si="66"/>
        <v>8</v>
      </c>
      <c r="C298" s="14" t="str">
        <f t="shared" si="67"/>
        <v>3729692661844155648</v>
      </c>
      <c r="D298" s="14" cm="1">
        <f t="array" ref="D298">SUMPRODUCT(($R$2:$R$374=C298)*1)</f>
        <v>1</v>
      </c>
      <c r="E298" s="14" cm="1">
        <f t="array" ref="E298">SUMPRODUCT(($R$2:R298=C298)*1)</f>
        <v>1</v>
      </c>
      <c r="F298" s="15" t="str">
        <f t="shared" si="68"/>
        <v>Z1581-白色-M</v>
      </c>
      <c r="G298" s="14" t="str">
        <f t="shared" si="69"/>
        <v>Z1581</v>
      </c>
      <c r="H298" s="15">
        <f t="shared" si="70"/>
        <v>1</v>
      </c>
      <c r="I298" s="14">
        <f t="shared" si="71"/>
        <v>289</v>
      </c>
      <c r="J298" s="15">
        <f t="shared" si="72"/>
        <v>0</v>
      </c>
      <c r="K298" s="15">
        <f t="shared" si="73"/>
        <v>0</v>
      </c>
      <c r="L298" s="15">
        <f t="shared" si="74"/>
        <v>-2.89</v>
      </c>
      <c r="M298" s="15">
        <f t="shared" si="75"/>
        <v>0</v>
      </c>
      <c r="N298" s="15">
        <f t="shared" si="76"/>
        <v>-1.5</v>
      </c>
      <c r="O298" s="15">
        <f t="shared" si="77"/>
        <v>284.61</v>
      </c>
      <c r="R298" s="16" t="s">
        <v>3637</v>
      </c>
      <c r="S298" s="16" t="s">
        <v>3638</v>
      </c>
      <c r="T298" s="16" t="s">
        <v>3170</v>
      </c>
      <c r="U298" s="16" t="s">
        <v>3639</v>
      </c>
      <c r="V298" s="16" t="s">
        <v>3640</v>
      </c>
      <c r="W298" s="16" t="s">
        <v>76</v>
      </c>
      <c r="X298" s="16" t="s">
        <v>77</v>
      </c>
      <c r="Y298" s="16" t="s">
        <v>1510</v>
      </c>
      <c r="Z298" s="16" t="s">
        <v>3641</v>
      </c>
      <c r="AA298" s="16" t="s">
        <v>153</v>
      </c>
      <c r="AB298" s="16" t="s">
        <v>153</v>
      </c>
      <c r="AC298" s="16" t="s">
        <v>3642</v>
      </c>
      <c r="AD298" s="16" t="s">
        <v>3643</v>
      </c>
      <c r="AE298" s="16" t="s">
        <v>84</v>
      </c>
      <c r="AF298" s="16" t="s">
        <v>84</v>
      </c>
      <c r="AG298" s="16">
        <v>289</v>
      </c>
      <c r="AH298" s="16">
        <v>289</v>
      </c>
      <c r="AI298" s="17">
        <v>289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 t="s">
        <v>85</v>
      </c>
      <c r="AP298" s="16" t="s">
        <v>3644</v>
      </c>
      <c r="AQ298" s="16" t="s">
        <v>3645</v>
      </c>
      <c r="AR298" s="16" t="s">
        <v>88</v>
      </c>
      <c r="AS298" s="16" t="s">
        <v>3646</v>
      </c>
      <c r="AT298" s="16">
        <v>2.89</v>
      </c>
      <c r="AU298" s="16" t="s">
        <v>90</v>
      </c>
      <c r="AV298" s="16">
        <v>1.5</v>
      </c>
      <c r="AW298" s="16" t="s">
        <v>90</v>
      </c>
      <c r="AX298" s="16" t="s">
        <v>90</v>
      </c>
      <c r="AY298" s="16" t="s">
        <v>90</v>
      </c>
      <c r="AZ298" s="16" t="s">
        <v>90</v>
      </c>
      <c r="BA298" s="16" t="s">
        <v>90</v>
      </c>
      <c r="BB298" s="16">
        <v>0</v>
      </c>
      <c r="BC298" s="16"/>
      <c r="BD298" s="16" t="s">
        <v>90</v>
      </c>
      <c r="BE298" s="16" t="s">
        <v>419</v>
      </c>
      <c r="BF298" s="16" t="s">
        <v>420</v>
      </c>
      <c r="BG298" s="16" t="s">
        <v>421</v>
      </c>
      <c r="BH298" s="16" t="s">
        <v>715</v>
      </c>
      <c r="BI298" s="16" t="s">
        <v>716</v>
      </c>
      <c r="BJ298" s="16">
        <v>289</v>
      </c>
      <c r="BK298" s="16">
        <v>289</v>
      </c>
      <c r="BL298" s="16">
        <v>289</v>
      </c>
      <c r="BM298" s="16" t="s">
        <v>96</v>
      </c>
      <c r="BN298" s="16">
        <v>1</v>
      </c>
      <c r="BO298" s="16" t="s">
        <v>84</v>
      </c>
      <c r="BP298" s="16" t="s">
        <v>84</v>
      </c>
      <c r="BQ298" s="16" t="s">
        <v>84</v>
      </c>
      <c r="BR298" s="16" t="s">
        <v>97</v>
      </c>
      <c r="BS298" s="16" t="s">
        <v>98</v>
      </c>
      <c r="BT298" s="16">
        <v>0</v>
      </c>
    </row>
    <row r="299" s="1" customFormat="1" ht="16" customHeight="1" spans="1:72">
      <c r="A299" s="14">
        <f t="shared" si="65"/>
        <v>2025</v>
      </c>
      <c r="B299" s="14">
        <f t="shared" si="66"/>
        <v>8</v>
      </c>
      <c r="C299" s="14" t="str">
        <f t="shared" si="67"/>
        <v>3729692614952887808</v>
      </c>
      <c r="D299" s="14" cm="1">
        <f t="array" ref="D299">SUMPRODUCT(($R$2:$R$374=C299)*1)</f>
        <v>1</v>
      </c>
      <c r="E299" s="14" cm="1">
        <f t="array" ref="E299">SUMPRODUCT(($R$2:R299=C299)*1)</f>
        <v>1</v>
      </c>
      <c r="F299" s="15" t="str">
        <f t="shared" si="68"/>
        <v>Z2285-灰色-M</v>
      </c>
      <c r="G299" s="14" t="str">
        <f t="shared" si="69"/>
        <v>Z2285</v>
      </c>
      <c r="H299" s="15">
        <f t="shared" si="70"/>
        <v>1</v>
      </c>
      <c r="I299" s="14">
        <f t="shared" si="71"/>
        <v>129</v>
      </c>
      <c r="J299" s="15">
        <f t="shared" si="72"/>
        <v>0</v>
      </c>
      <c r="K299" s="15">
        <f t="shared" si="73"/>
        <v>0</v>
      </c>
      <c r="L299" s="15">
        <f t="shared" si="74"/>
        <v>-6.45</v>
      </c>
      <c r="M299" s="15">
        <f t="shared" si="75"/>
        <v>0</v>
      </c>
      <c r="N299" s="15">
        <f t="shared" si="76"/>
        <v>-1.5</v>
      </c>
      <c r="O299" s="15">
        <f t="shared" si="77"/>
        <v>121.05</v>
      </c>
      <c r="R299" s="16" t="s">
        <v>3647</v>
      </c>
      <c r="S299" s="16" t="s">
        <v>3648</v>
      </c>
      <c r="T299" s="16" t="s">
        <v>3344</v>
      </c>
      <c r="U299" s="16" t="s">
        <v>3649</v>
      </c>
      <c r="V299" s="16" t="s">
        <v>3650</v>
      </c>
      <c r="W299" s="16" t="s">
        <v>76</v>
      </c>
      <c r="X299" s="16" t="s">
        <v>77</v>
      </c>
      <c r="Y299" s="16" t="s">
        <v>797</v>
      </c>
      <c r="Z299" s="16" t="s">
        <v>152</v>
      </c>
      <c r="AA299" s="16" t="s">
        <v>153</v>
      </c>
      <c r="AB299" s="16" t="s">
        <v>153</v>
      </c>
      <c r="AC299" s="16" t="s">
        <v>154</v>
      </c>
      <c r="AD299" s="16" t="s">
        <v>3651</v>
      </c>
      <c r="AE299" s="16" t="s">
        <v>84</v>
      </c>
      <c r="AF299" s="16" t="s">
        <v>84</v>
      </c>
      <c r="AG299" s="16">
        <v>129</v>
      </c>
      <c r="AH299" s="16">
        <v>129</v>
      </c>
      <c r="AI299" s="17">
        <v>129</v>
      </c>
      <c r="AJ299" s="16">
        <v>0</v>
      </c>
      <c r="AK299" s="16">
        <v>0</v>
      </c>
      <c r="AL299" s="16">
        <v>0</v>
      </c>
      <c r="AM299" s="16">
        <v>0</v>
      </c>
      <c r="AN299" s="16">
        <v>0</v>
      </c>
      <c r="AO299" s="16" t="s">
        <v>85</v>
      </c>
      <c r="AP299" s="16" t="s">
        <v>3652</v>
      </c>
      <c r="AQ299" s="16" t="s">
        <v>3653</v>
      </c>
      <c r="AR299" s="16" t="s">
        <v>88</v>
      </c>
      <c r="AS299" s="16" t="s">
        <v>3654</v>
      </c>
      <c r="AT299" s="16">
        <v>6.45</v>
      </c>
      <c r="AU299" s="16" t="s">
        <v>90</v>
      </c>
      <c r="AV299" s="16">
        <v>1.5</v>
      </c>
      <c r="AW299" s="16" t="s">
        <v>115</v>
      </c>
      <c r="AX299" s="16" t="s">
        <v>116</v>
      </c>
      <c r="AY299" s="16" t="s">
        <v>117</v>
      </c>
      <c r="AZ299" s="16" t="s">
        <v>118</v>
      </c>
      <c r="BA299" s="16" t="s">
        <v>119</v>
      </c>
      <c r="BB299" s="16">
        <v>0</v>
      </c>
      <c r="BC299" s="16" t="s">
        <v>84</v>
      </c>
      <c r="BD299" s="16" t="s">
        <v>90</v>
      </c>
      <c r="BE299" s="16" t="s">
        <v>2868</v>
      </c>
      <c r="BF299" s="16" t="s">
        <v>2869</v>
      </c>
      <c r="BG299" s="16" t="s">
        <v>2870</v>
      </c>
      <c r="BH299" s="16" t="s">
        <v>3145</v>
      </c>
      <c r="BI299" s="16" t="s">
        <v>3146</v>
      </c>
      <c r="BJ299" s="16">
        <v>129</v>
      </c>
      <c r="BK299" s="16">
        <v>129</v>
      </c>
      <c r="BL299" s="16">
        <v>129</v>
      </c>
      <c r="BM299" s="16" t="s">
        <v>96</v>
      </c>
      <c r="BN299" s="16">
        <v>1</v>
      </c>
      <c r="BO299" s="16" t="s">
        <v>84</v>
      </c>
      <c r="BP299" s="16" t="s">
        <v>84</v>
      </c>
      <c r="BQ299" s="16" t="s">
        <v>84</v>
      </c>
      <c r="BR299" s="16" t="s">
        <v>97</v>
      </c>
      <c r="BS299" s="16" t="s">
        <v>98</v>
      </c>
      <c r="BT299" s="16">
        <v>0</v>
      </c>
    </row>
    <row r="300" s="1" customFormat="1" ht="16" customHeight="1" spans="1:72">
      <c r="A300" s="14">
        <f t="shared" si="65"/>
        <v>2025</v>
      </c>
      <c r="B300" s="14">
        <f t="shared" si="66"/>
        <v>8</v>
      </c>
      <c r="C300" s="14" t="str">
        <f t="shared" si="67"/>
        <v>3729692246143284480</v>
      </c>
      <c r="D300" s="14" cm="1">
        <f t="array" ref="D300">SUMPRODUCT(($R$2:$R$374=C300)*1)</f>
        <v>1</v>
      </c>
      <c r="E300" s="14" cm="1">
        <f t="array" ref="E300">SUMPRODUCT(($R$2:R300=C300)*1)</f>
        <v>1</v>
      </c>
      <c r="F300" s="15" t="str">
        <f t="shared" si="68"/>
        <v>Z1581-白色-S</v>
      </c>
      <c r="G300" s="14" t="str">
        <f t="shared" si="69"/>
        <v>Z1581</v>
      </c>
      <c r="H300" s="15">
        <f t="shared" si="70"/>
        <v>1</v>
      </c>
      <c r="I300" s="14">
        <f t="shared" si="71"/>
        <v>289</v>
      </c>
      <c r="J300" s="15">
        <f t="shared" si="72"/>
        <v>0</v>
      </c>
      <c r="K300" s="15">
        <f t="shared" si="73"/>
        <v>0</v>
      </c>
      <c r="L300" s="15">
        <f t="shared" si="74"/>
        <v>-14.45</v>
      </c>
      <c r="M300" s="15">
        <f t="shared" si="75"/>
        <v>0</v>
      </c>
      <c r="N300" s="15">
        <f t="shared" si="76"/>
        <v>-1.5</v>
      </c>
      <c r="O300" s="15">
        <f t="shared" si="77"/>
        <v>273.05</v>
      </c>
      <c r="R300" s="16" t="s">
        <v>3655</v>
      </c>
      <c r="S300" s="16" t="s">
        <v>3656</v>
      </c>
      <c r="T300" s="16" t="s">
        <v>3657</v>
      </c>
      <c r="U300" s="16" t="s">
        <v>3658</v>
      </c>
      <c r="V300" s="16" t="s">
        <v>3659</v>
      </c>
      <c r="W300" s="16" t="s">
        <v>76</v>
      </c>
      <c r="X300" s="16" t="s">
        <v>77</v>
      </c>
      <c r="Y300" s="16" t="s">
        <v>761</v>
      </c>
      <c r="Z300" s="16" t="s">
        <v>1235</v>
      </c>
      <c r="AA300" s="16" t="s">
        <v>80</v>
      </c>
      <c r="AB300" s="16" t="s">
        <v>655</v>
      </c>
      <c r="AC300" s="16" t="s">
        <v>1236</v>
      </c>
      <c r="AD300" s="16" t="s">
        <v>3660</v>
      </c>
      <c r="AE300" s="16" t="s">
        <v>84</v>
      </c>
      <c r="AF300" s="16" t="s">
        <v>84</v>
      </c>
      <c r="AG300" s="16">
        <v>289</v>
      </c>
      <c r="AH300" s="16">
        <v>289</v>
      </c>
      <c r="AI300" s="17">
        <v>289</v>
      </c>
      <c r="AJ300" s="16">
        <v>0</v>
      </c>
      <c r="AK300" s="16">
        <v>0</v>
      </c>
      <c r="AL300" s="16">
        <v>0</v>
      </c>
      <c r="AM300" s="16">
        <v>0</v>
      </c>
      <c r="AN300" s="16">
        <v>0</v>
      </c>
      <c r="AO300" s="16" t="s">
        <v>137</v>
      </c>
      <c r="AP300" s="16" t="s">
        <v>3661</v>
      </c>
      <c r="AQ300" s="16" t="s">
        <v>3662</v>
      </c>
      <c r="AR300" s="16" t="s">
        <v>88</v>
      </c>
      <c r="AS300" s="16" t="s">
        <v>3663</v>
      </c>
      <c r="AT300" s="16">
        <v>14.45</v>
      </c>
      <c r="AU300" s="16" t="s">
        <v>90</v>
      </c>
      <c r="AV300" s="16">
        <v>1.5</v>
      </c>
      <c r="AW300" s="16" t="s">
        <v>115</v>
      </c>
      <c r="AX300" s="16" t="s">
        <v>116</v>
      </c>
      <c r="AY300" s="16" t="s">
        <v>117</v>
      </c>
      <c r="AZ300" s="16" t="s">
        <v>118</v>
      </c>
      <c r="BA300" s="16" t="s">
        <v>119</v>
      </c>
      <c r="BB300" s="16">
        <v>0</v>
      </c>
      <c r="BC300" s="16" t="s">
        <v>84</v>
      </c>
      <c r="BD300" s="16" t="s">
        <v>90</v>
      </c>
      <c r="BE300" s="16" t="s">
        <v>419</v>
      </c>
      <c r="BF300" s="16" t="s">
        <v>420</v>
      </c>
      <c r="BG300" s="16" t="s">
        <v>421</v>
      </c>
      <c r="BH300" s="16" t="s">
        <v>2497</v>
      </c>
      <c r="BI300" s="16" t="s">
        <v>1519</v>
      </c>
      <c r="BJ300" s="16">
        <v>289</v>
      </c>
      <c r="BK300" s="16">
        <v>289</v>
      </c>
      <c r="BL300" s="16">
        <v>289</v>
      </c>
      <c r="BM300" s="16" t="s">
        <v>96</v>
      </c>
      <c r="BN300" s="16">
        <v>1</v>
      </c>
      <c r="BO300" s="16" t="s">
        <v>84</v>
      </c>
      <c r="BP300" s="16" t="s">
        <v>84</v>
      </c>
      <c r="BQ300" s="16" t="s">
        <v>84</v>
      </c>
      <c r="BR300" s="16" t="s">
        <v>97</v>
      </c>
      <c r="BS300" s="16" t="s">
        <v>98</v>
      </c>
      <c r="BT300" s="16">
        <v>0</v>
      </c>
    </row>
    <row r="301" s="1" customFormat="1" ht="16" customHeight="1" spans="1:72">
      <c r="A301" s="14">
        <f t="shared" si="65"/>
        <v>2025</v>
      </c>
      <c r="B301" s="14">
        <f t="shared" si="66"/>
        <v>8</v>
      </c>
      <c r="C301" s="14" t="str">
        <f t="shared" si="67"/>
        <v>3729692238332175872</v>
      </c>
      <c r="D301" s="14" cm="1">
        <f t="array" ref="D301">SUMPRODUCT(($R$2:$R$374=C301)*1)</f>
        <v>1</v>
      </c>
      <c r="E301" s="14" cm="1">
        <f t="array" ref="E301">SUMPRODUCT(($R$2:R301=C301)*1)</f>
        <v>1</v>
      </c>
      <c r="F301" s="15" t="str">
        <f t="shared" si="68"/>
        <v>Z1581-白色-M</v>
      </c>
      <c r="G301" s="14" t="str">
        <f t="shared" si="69"/>
        <v>Z1581</v>
      </c>
      <c r="H301" s="15">
        <f t="shared" si="70"/>
        <v>1</v>
      </c>
      <c r="I301" s="14">
        <f t="shared" si="71"/>
        <v>289</v>
      </c>
      <c r="J301" s="15">
        <f t="shared" si="72"/>
        <v>0</v>
      </c>
      <c r="K301" s="15">
        <f t="shared" si="73"/>
        <v>0</v>
      </c>
      <c r="L301" s="15">
        <f t="shared" si="74"/>
        <v>-14.45</v>
      </c>
      <c r="M301" s="15">
        <f t="shared" si="75"/>
        <v>0</v>
      </c>
      <c r="N301" s="15">
        <f t="shared" si="76"/>
        <v>-1.5</v>
      </c>
      <c r="O301" s="15">
        <f t="shared" si="77"/>
        <v>273.05</v>
      </c>
      <c r="R301" s="16" t="s">
        <v>3664</v>
      </c>
      <c r="S301" s="16" t="s">
        <v>3665</v>
      </c>
      <c r="T301" s="16" t="s">
        <v>3170</v>
      </c>
      <c r="U301" s="16" t="s">
        <v>3666</v>
      </c>
      <c r="V301" s="16" t="s">
        <v>3667</v>
      </c>
      <c r="W301" s="16" t="s">
        <v>76</v>
      </c>
      <c r="X301" s="16" t="s">
        <v>77</v>
      </c>
      <c r="Y301" s="16" t="s">
        <v>950</v>
      </c>
      <c r="Z301" s="16" t="s">
        <v>3668</v>
      </c>
      <c r="AA301" s="16" t="s">
        <v>107</v>
      </c>
      <c r="AB301" s="16" t="s">
        <v>3669</v>
      </c>
      <c r="AC301" s="16" t="s">
        <v>3670</v>
      </c>
      <c r="AD301" s="16" t="s">
        <v>3671</v>
      </c>
      <c r="AE301" s="16" t="s">
        <v>84</v>
      </c>
      <c r="AF301" s="16" t="s">
        <v>84</v>
      </c>
      <c r="AG301" s="16">
        <v>289</v>
      </c>
      <c r="AH301" s="16">
        <v>289</v>
      </c>
      <c r="AI301" s="17">
        <v>289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 t="s">
        <v>137</v>
      </c>
      <c r="AP301" s="16" t="s">
        <v>3672</v>
      </c>
      <c r="AQ301" s="16" t="s">
        <v>3673</v>
      </c>
      <c r="AR301" s="16" t="s">
        <v>88</v>
      </c>
      <c r="AS301" s="16" t="s">
        <v>3674</v>
      </c>
      <c r="AT301" s="16">
        <v>14.45</v>
      </c>
      <c r="AU301" s="16" t="s">
        <v>90</v>
      </c>
      <c r="AV301" s="16">
        <v>1.5</v>
      </c>
      <c r="AW301" s="16" t="s">
        <v>115</v>
      </c>
      <c r="AX301" s="16" t="s">
        <v>116</v>
      </c>
      <c r="AY301" s="16" t="s">
        <v>117</v>
      </c>
      <c r="AZ301" s="16" t="s">
        <v>118</v>
      </c>
      <c r="BA301" s="16" t="s">
        <v>119</v>
      </c>
      <c r="BB301" s="16">
        <v>0</v>
      </c>
      <c r="BC301" s="16" t="s">
        <v>84</v>
      </c>
      <c r="BD301" s="16" t="s">
        <v>90</v>
      </c>
      <c r="BE301" s="16" t="s">
        <v>419</v>
      </c>
      <c r="BF301" s="16" t="s">
        <v>420</v>
      </c>
      <c r="BG301" s="16" t="s">
        <v>421</v>
      </c>
      <c r="BH301" s="16" t="s">
        <v>715</v>
      </c>
      <c r="BI301" s="16" t="s">
        <v>716</v>
      </c>
      <c r="BJ301" s="16">
        <v>289</v>
      </c>
      <c r="BK301" s="16">
        <v>289</v>
      </c>
      <c r="BL301" s="16">
        <v>289</v>
      </c>
      <c r="BM301" s="16" t="s">
        <v>96</v>
      </c>
      <c r="BN301" s="16">
        <v>1</v>
      </c>
      <c r="BO301" s="16" t="s">
        <v>84</v>
      </c>
      <c r="BP301" s="16" t="s">
        <v>84</v>
      </c>
      <c r="BQ301" s="16" t="s">
        <v>84</v>
      </c>
      <c r="BR301" s="16" t="s">
        <v>97</v>
      </c>
      <c r="BS301" s="16" t="s">
        <v>98</v>
      </c>
      <c r="BT301" s="16">
        <v>0</v>
      </c>
    </row>
    <row r="302" s="1" customFormat="1" ht="16" customHeight="1" spans="1:72">
      <c r="A302" s="14">
        <f t="shared" si="65"/>
        <v>2025</v>
      </c>
      <c r="B302" s="14">
        <f t="shared" si="66"/>
        <v>8</v>
      </c>
      <c r="C302" s="14" t="str">
        <f t="shared" si="67"/>
        <v>3729692228116165888</v>
      </c>
      <c r="D302" s="14" cm="1">
        <f t="array" ref="D302">SUMPRODUCT(($R$2:$R$374=C302)*1)</f>
        <v>1</v>
      </c>
      <c r="E302" s="14" cm="1">
        <f t="array" ref="E302">SUMPRODUCT(($R$2:R302=C302)*1)</f>
        <v>1</v>
      </c>
      <c r="F302" s="15" t="str">
        <f t="shared" si="68"/>
        <v>Z2183-黑色-XL</v>
      </c>
      <c r="G302" s="14" t="str">
        <f t="shared" si="69"/>
        <v>Z2183</v>
      </c>
      <c r="H302" s="15">
        <f t="shared" si="70"/>
        <v>0</v>
      </c>
      <c r="I302" s="14">
        <f t="shared" si="71"/>
        <v>0</v>
      </c>
      <c r="J302" s="15">
        <f t="shared" si="72"/>
        <v>0</v>
      </c>
      <c r="K302" s="15">
        <f t="shared" si="73"/>
        <v>10</v>
      </c>
      <c r="L302" s="15">
        <f t="shared" si="74"/>
        <v>0</v>
      </c>
      <c r="M302" s="15">
        <f t="shared" si="75"/>
        <v>0</v>
      </c>
      <c r="N302" s="15">
        <f t="shared" si="76"/>
        <v>0</v>
      </c>
      <c r="O302" s="15">
        <f t="shared" si="77"/>
        <v>10</v>
      </c>
      <c r="R302" s="16" t="s">
        <v>3675</v>
      </c>
      <c r="S302" s="16" t="s">
        <v>3676</v>
      </c>
      <c r="T302" s="16" t="s">
        <v>3677</v>
      </c>
      <c r="U302" s="16" t="s">
        <v>90</v>
      </c>
      <c r="V302" s="16" t="s">
        <v>3678</v>
      </c>
      <c r="W302" s="16" t="s">
        <v>104</v>
      </c>
      <c r="X302" s="16" t="s">
        <v>77</v>
      </c>
      <c r="Y302" s="16" t="s">
        <v>1636</v>
      </c>
      <c r="Z302" s="16" t="s">
        <v>3255</v>
      </c>
      <c r="AA302" s="16" t="s">
        <v>207</v>
      </c>
      <c r="AB302" s="16" t="s">
        <v>2066</v>
      </c>
      <c r="AC302" s="16" t="s">
        <v>3256</v>
      </c>
      <c r="AD302" s="16" t="s">
        <v>3679</v>
      </c>
      <c r="AE302" s="16" t="s">
        <v>84</v>
      </c>
      <c r="AF302" s="16" t="s">
        <v>3680</v>
      </c>
      <c r="AG302" s="16">
        <v>129</v>
      </c>
      <c r="AH302" s="16">
        <v>139</v>
      </c>
      <c r="AI302" s="17">
        <v>139</v>
      </c>
      <c r="AJ302" s="16">
        <v>10</v>
      </c>
      <c r="AK302" s="16">
        <v>0</v>
      </c>
      <c r="AL302" s="16">
        <v>0</v>
      </c>
      <c r="AM302" s="16">
        <v>0</v>
      </c>
      <c r="AN302" s="16">
        <v>0</v>
      </c>
      <c r="AO302" s="16" t="s">
        <v>137</v>
      </c>
      <c r="AP302" s="16" t="s">
        <v>3681</v>
      </c>
      <c r="AQ302" s="16" t="s">
        <v>3682</v>
      </c>
      <c r="AR302" s="16" t="s">
        <v>88</v>
      </c>
      <c r="AS302" s="16" t="s">
        <v>3683</v>
      </c>
      <c r="AT302" s="16">
        <v>0</v>
      </c>
      <c r="AU302" s="16" t="s">
        <v>90</v>
      </c>
      <c r="AV302" s="16">
        <v>1.5</v>
      </c>
      <c r="AW302" s="16" t="s">
        <v>90</v>
      </c>
      <c r="AX302" s="16" t="s">
        <v>90</v>
      </c>
      <c r="AY302" s="16" t="s">
        <v>90</v>
      </c>
      <c r="AZ302" s="16" t="s">
        <v>90</v>
      </c>
      <c r="BA302" s="16" t="s">
        <v>90</v>
      </c>
      <c r="BB302" s="16">
        <v>0</v>
      </c>
      <c r="BC302" s="16"/>
      <c r="BD302" s="16" t="s">
        <v>90</v>
      </c>
      <c r="BE302" s="16" t="s">
        <v>610</v>
      </c>
      <c r="BF302" s="16" t="s">
        <v>611</v>
      </c>
      <c r="BG302" s="16" t="s">
        <v>612</v>
      </c>
      <c r="BH302" s="16" t="s">
        <v>613</v>
      </c>
      <c r="BI302" s="16" t="s">
        <v>614</v>
      </c>
      <c r="BJ302" s="16">
        <v>129</v>
      </c>
      <c r="BK302" s="16">
        <v>129</v>
      </c>
      <c r="BL302" s="16">
        <v>129</v>
      </c>
      <c r="BM302" s="16" t="s">
        <v>96</v>
      </c>
      <c r="BN302" s="16">
        <v>1</v>
      </c>
      <c r="BO302" s="16" t="s">
        <v>84</v>
      </c>
      <c r="BP302" s="16" t="s">
        <v>84</v>
      </c>
      <c r="BQ302" s="16" t="s">
        <v>84</v>
      </c>
      <c r="BR302" s="16" t="s">
        <v>97</v>
      </c>
      <c r="BS302" s="16" t="s">
        <v>125</v>
      </c>
      <c r="BT302" s="16">
        <v>129</v>
      </c>
    </row>
    <row r="303" s="1" customFormat="1" ht="16" customHeight="1" spans="1:72">
      <c r="A303" s="14">
        <f t="shared" si="65"/>
        <v>2025</v>
      </c>
      <c r="B303" s="14">
        <f t="shared" si="66"/>
        <v>8</v>
      </c>
      <c r="C303" s="14" t="str">
        <f t="shared" si="67"/>
        <v>3729692189174674176</v>
      </c>
      <c r="D303" s="14" cm="1">
        <f t="array" ref="D303">SUMPRODUCT(($R$2:$R$374=C303)*1)</f>
        <v>1</v>
      </c>
      <c r="E303" s="14" cm="1">
        <f t="array" ref="E303">SUMPRODUCT(($R$2:R303=C303)*1)</f>
        <v>1</v>
      </c>
      <c r="F303" s="15" t="str">
        <f t="shared" si="68"/>
        <v>Z2183-黑色-L</v>
      </c>
      <c r="G303" s="14" t="str">
        <f t="shared" si="69"/>
        <v>Z2183</v>
      </c>
      <c r="H303" s="15">
        <f t="shared" si="70"/>
        <v>1</v>
      </c>
      <c r="I303" s="14">
        <f t="shared" si="71"/>
        <v>129</v>
      </c>
      <c r="J303" s="15">
        <f t="shared" si="72"/>
        <v>0</v>
      </c>
      <c r="K303" s="15">
        <f t="shared" si="73"/>
        <v>0</v>
      </c>
      <c r="L303" s="15">
        <f t="shared" si="74"/>
        <v>-6.45</v>
      </c>
      <c r="M303" s="15">
        <f t="shared" si="75"/>
        <v>0</v>
      </c>
      <c r="N303" s="15">
        <f t="shared" si="76"/>
        <v>-1.5</v>
      </c>
      <c r="O303" s="15">
        <f t="shared" si="77"/>
        <v>121.05</v>
      </c>
      <c r="R303" s="16" t="s">
        <v>3684</v>
      </c>
      <c r="S303" s="16" t="s">
        <v>3685</v>
      </c>
      <c r="T303" s="16" t="s">
        <v>3686</v>
      </c>
      <c r="U303" s="16" t="s">
        <v>3687</v>
      </c>
      <c r="V303" s="16" t="s">
        <v>3688</v>
      </c>
      <c r="W303" s="16" t="s">
        <v>76</v>
      </c>
      <c r="X303" s="16" t="s">
        <v>77</v>
      </c>
      <c r="Y303" s="16" t="s">
        <v>330</v>
      </c>
      <c r="Z303" s="16" t="s">
        <v>3689</v>
      </c>
      <c r="AA303" s="16" t="s">
        <v>430</v>
      </c>
      <c r="AB303" s="16" t="s">
        <v>430</v>
      </c>
      <c r="AC303" s="16" t="s">
        <v>3690</v>
      </c>
      <c r="AD303" s="16" t="s">
        <v>3691</v>
      </c>
      <c r="AE303" s="16" t="s">
        <v>84</v>
      </c>
      <c r="AF303" s="16" t="s">
        <v>84</v>
      </c>
      <c r="AG303" s="16">
        <v>129</v>
      </c>
      <c r="AH303" s="16">
        <v>129</v>
      </c>
      <c r="AI303" s="17">
        <v>129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 t="s">
        <v>137</v>
      </c>
      <c r="AP303" s="16" t="s">
        <v>3692</v>
      </c>
      <c r="AQ303" s="16" t="s">
        <v>3693</v>
      </c>
      <c r="AR303" s="16" t="s">
        <v>88</v>
      </c>
      <c r="AS303" s="16" t="s">
        <v>3694</v>
      </c>
      <c r="AT303" s="16">
        <v>6.45</v>
      </c>
      <c r="AU303" s="16" t="s">
        <v>90</v>
      </c>
      <c r="AV303" s="16">
        <v>1.5</v>
      </c>
      <c r="AW303" s="16" t="s">
        <v>115</v>
      </c>
      <c r="AX303" s="16" t="s">
        <v>116</v>
      </c>
      <c r="AY303" s="16" t="s">
        <v>117</v>
      </c>
      <c r="AZ303" s="16" t="s">
        <v>118</v>
      </c>
      <c r="BA303" s="16" t="s">
        <v>119</v>
      </c>
      <c r="BB303" s="16">
        <v>0</v>
      </c>
      <c r="BC303" s="16" t="s">
        <v>84</v>
      </c>
      <c r="BD303" s="16" t="s">
        <v>90</v>
      </c>
      <c r="BE303" s="16" t="s">
        <v>610</v>
      </c>
      <c r="BF303" s="16" t="s">
        <v>611</v>
      </c>
      <c r="BG303" s="16" t="s">
        <v>612</v>
      </c>
      <c r="BH303" s="16" t="s">
        <v>1174</v>
      </c>
      <c r="BI303" s="16" t="s">
        <v>1175</v>
      </c>
      <c r="BJ303" s="16">
        <v>129</v>
      </c>
      <c r="BK303" s="16">
        <v>129</v>
      </c>
      <c r="BL303" s="16">
        <v>129</v>
      </c>
      <c r="BM303" s="16" t="s">
        <v>96</v>
      </c>
      <c r="BN303" s="16">
        <v>1</v>
      </c>
      <c r="BO303" s="16" t="s">
        <v>84</v>
      </c>
      <c r="BP303" s="16" t="s">
        <v>84</v>
      </c>
      <c r="BQ303" s="16" t="s">
        <v>84</v>
      </c>
      <c r="BR303" s="16" t="s">
        <v>97</v>
      </c>
      <c r="BS303" s="16" t="s">
        <v>98</v>
      </c>
      <c r="BT303" s="16">
        <v>0</v>
      </c>
    </row>
    <row r="304" s="1" customFormat="1" ht="16" customHeight="1" spans="1:72">
      <c r="A304" s="14">
        <f t="shared" si="65"/>
        <v>2025</v>
      </c>
      <c r="B304" s="14">
        <f t="shared" si="66"/>
        <v>8</v>
      </c>
      <c r="C304" s="14" t="str">
        <f t="shared" si="67"/>
        <v>3729692101540460032</v>
      </c>
      <c r="D304" s="14" cm="1">
        <f t="array" ref="D304">SUMPRODUCT(($R$2:$R$374=C304)*1)</f>
        <v>1</v>
      </c>
      <c r="E304" s="14" cm="1">
        <f t="array" ref="E304">SUMPRODUCT(($R$2:R304=C304)*1)</f>
        <v>1</v>
      </c>
      <c r="F304" s="15" t="str">
        <f t="shared" si="68"/>
        <v>Z1581-白色-S</v>
      </c>
      <c r="G304" s="14" t="str">
        <f t="shared" si="69"/>
        <v>Z1581</v>
      </c>
      <c r="H304" s="15">
        <f t="shared" si="70"/>
        <v>1</v>
      </c>
      <c r="I304" s="14">
        <f t="shared" si="71"/>
        <v>289</v>
      </c>
      <c r="J304" s="15">
        <f t="shared" si="72"/>
        <v>0</v>
      </c>
      <c r="K304" s="15">
        <f t="shared" si="73"/>
        <v>0</v>
      </c>
      <c r="L304" s="15">
        <f t="shared" si="74"/>
        <v>-14.45</v>
      </c>
      <c r="M304" s="15">
        <f t="shared" si="75"/>
        <v>0</v>
      </c>
      <c r="N304" s="15">
        <f t="shared" si="76"/>
        <v>-1.5</v>
      </c>
      <c r="O304" s="15">
        <f t="shared" si="77"/>
        <v>273.05</v>
      </c>
      <c r="R304" s="16" t="s">
        <v>3695</v>
      </c>
      <c r="S304" s="16" t="s">
        <v>3696</v>
      </c>
      <c r="T304" s="16" t="s">
        <v>3697</v>
      </c>
      <c r="U304" s="16" t="s">
        <v>3698</v>
      </c>
      <c r="V304" s="16" t="s">
        <v>3699</v>
      </c>
      <c r="W304" s="16" t="s">
        <v>76</v>
      </c>
      <c r="X304" s="16" t="s">
        <v>77</v>
      </c>
      <c r="Y304" s="16" t="s">
        <v>188</v>
      </c>
      <c r="Z304" s="16" t="s">
        <v>3689</v>
      </c>
      <c r="AA304" s="16" t="s">
        <v>430</v>
      </c>
      <c r="AB304" s="16" t="s">
        <v>430</v>
      </c>
      <c r="AC304" s="16" t="s">
        <v>3690</v>
      </c>
      <c r="AD304" s="16" t="s">
        <v>3700</v>
      </c>
      <c r="AE304" s="16" t="s">
        <v>84</v>
      </c>
      <c r="AF304" s="16" t="s">
        <v>84</v>
      </c>
      <c r="AG304" s="16">
        <v>289</v>
      </c>
      <c r="AH304" s="16">
        <v>289</v>
      </c>
      <c r="AI304" s="17">
        <v>289</v>
      </c>
      <c r="AJ304" s="16">
        <v>0</v>
      </c>
      <c r="AK304" s="16">
        <v>0</v>
      </c>
      <c r="AL304" s="16">
        <v>0</v>
      </c>
      <c r="AM304" s="16">
        <v>0</v>
      </c>
      <c r="AN304" s="16">
        <v>0</v>
      </c>
      <c r="AO304" s="16" t="s">
        <v>137</v>
      </c>
      <c r="AP304" s="16" t="s">
        <v>3701</v>
      </c>
      <c r="AQ304" s="16" t="s">
        <v>3702</v>
      </c>
      <c r="AR304" s="16" t="s">
        <v>88</v>
      </c>
      <c r="AS304" s="16" t="s">
        <v>3703</v>
      </c>
      <c r="AT304" s="16">
        <v>14.45</v>
      </c>
      <c r="AU304" s="16" t="s">
        <v>90</v>
      </c>
      <c r="AV304" s="16">
        <v>1.5</v>
      </c>
      <c r="AW304" s="16" t="s">
        <v>115</v>
      </c>
      <c r="AX304" s="16" t="s">
        <v>116</v>
      </c>
      <c r="AY304" s="16" t="s">
        <v>117</v>
      </c>
      <c r="AZ304" s="16" t="s">
        <v>118</v>
      </c>
      <c r="BA304" s="16" t="s">
        <v>119</v>
      </c>
      <c r="BB304" s="16">
        <v>0</v>
      </c>
      <c r="BC304" s="16" t="s">
        <v>84</v>
      </c>
      <c r="BD304" s="16" t="s">
        <v>90</v>
      </c>
      <c r="BE304" s="16" t="s">
        <v>419</v>
      </c>
      <c r="BF304" s="16" t="s">
        <v>420</v>
      </c>
      <c r="BG304" s="16" t="s">
        <v>421</v>
      </c>
      <c r="BH304" s="16" t="s">
        <v>2497</v>
      </c>
      <c r="BI304" s="16" t="s">
        <v>1519</v>
      </c>
      <c r="BJ304" s="16">
        <v>289</v>
      </c>
      <c r="BK304" s="16">
        <v>289</v>
      </c>
      <c r="BL304" s="16">
        <v>289</v>
      </c>
      <c r="BM304" s="16" t="s">
        <v>96</v>
      </c>
      <c r="BN304" s="16">
        <v>1</v>
      </c>
      <c r="BO304" s="16" t="s">
        <v>84</v>
      </c>
      <c r="BP304" s="16" t="s">
        <v>84</v>
      </c>
      <c r="BQ304" s="16" t="s">
        <v>84</v>
      </c>
      <c r="BR304" s="16" t="s">
        <v>97</v>
      </c>
      <c r="BS304" s="16" t="s">
        <v>98</v>
      </c>
      <c r="BT304" s="16">
        <v>0</v>
      </c>
    </row>
    <row r="305" s="1" customFormat="1" ht="16" customHeight="1" spans="1:72">
      <c r="A305" s="14">
        <f t="shared" si="65"/>
        <v>2025</v>
      </c>
      <c r="B305" s="14">
        <f t="shared" si="66"/>
        <v>8</v>
      </c>
      <c r="C305" s="14" t="str">
        <f t="shared" si="67"/>
        <v>3729692056802964993</v>
      </c>
      <c r="D305" s="14" cm="1">
        <f t="array" ref="D305">SUMPRODUCT(($R$2:$R$374=C305)*1)</f>
        <v>1</v>
      </c>
      <c r="E305" s="14" cm="1">
        <f t="array" ref="E305">SUMPRODUCT(($R$2:R305=C305)*1)</f>
        <v>1</v>
      </c>
      <c r="F305" s="15" t="str">
        <f t="shared" si="68"/>
        <v>P110-项链</v>
      </c>
      <c r="G305" s="14" t="str">
        <f t="shared" si="69"/>
        <v>P110</v>
      </c>
      <c r="H305" s="15">
        <f t="shared" si="70"/>
        <v>1</v>
      </c>
      <c r="I305" s="14">
        <f t="shared" si="71"/>
        <v>289</v>
      </c>
      <c r="J305" s="15">
        <f t="shared" si="72"/>
        <v>0</v>
      </c>
      <c r="K305" s="15">
        <f t="shared" si="73"/>
        <v>0</v>
      </c>
      <c r="L305" s="15">
        <f t="shared" si="74"/>
        <v>-14.45</v>
      </c>
      <c r="M305" s="15">
        <f t="shared" si="75"/>
        <v>0</v>
      </c>
      <c r="N305" s="15">
        <f t="shared" si="76"/>
        <v>-1.98</v>
      </c>
      <c r="O305" s="15">
        <f t="shared" si="77"/>
        <v>272.57</v>
      </c>
      <c r="R305" s="16" t="s">
        <v>3704</v>
      </c>
      <c r="S305" s="16" t="s">
        <v>3705</v>
      </c>
      <c r="T305" s="16" t="s">
        <v>3706</v>
      </c>
      <c r="U305" s="16" t="s">
        <v>3707</v>
      </c>
      <c r="V305" s="16" t="s">
        <v>3708</v>
      </c>
      <c r="W305" s="16" t="s">
        <v>76</v>
      </c>
      <c r="X305" s="16" t="s">
        <v>77</v>
      </c>
      <c r="Y305" s="16" t="s">
        <v>950</v>
      </c>
      <c r="Z305" s="16" t="s">
        <v>3709</v>
      </c>
      <c r="AA305" s="16" t="s">
        <v>107</v>
      </c>
      <c r="AB305" s="16" t="s">
        <v>3710</v>
      </c>
      <c r="AC305" s="16" t="s">
        <v>3711</v>
      </c>
      <c r="AD305" s="16" t="s">
        <v>3712</v>
      </c>
      <c r="AE305" s="16" t="s">
        <v>84</v>
      </c>
      <c r="AF305" s="16" t="s">
        <v>84</v>
      </c>
      <c r="AG305" s="16">
        <v>289</v>
      </c>
      <c r="AH305" s="16">
        <v>289</v>
      </c>
      <c r="AI305" s="17">
        <v>289</v>
      </c>
      <c r="AJ305" s="16">
        <v>0</v>
      </c>
      <c r="AK305" s="16">
        <v>0</v>
      </c>
      <c r="AL305" s="16">
        <v>0</v>
      </c>
      <c r="AM305" s="16">
        <v>0</v>
      </c>
      <c r="AN305" s="16">
        <v>0</v>
      </c>
      <c r="AO305" s="16" t="s">
        <v>85</v>
      </c>
      <c r="AP305" s="16" t="s">
        <v>3713</v>
      </c>
      <c r="AQ305" s="16" t="s">
        <v>3714</v>
      </c>
      <c r="AR305" s="16" t="s">
        <v>88</v>
      </c>
      <c r="AS305" s="16" t="s">
        <v>3715</v>
      </c>
      <c r="AT305" s="16">
        <v>14.45</v>
      </c>
      <c r="AU305" s="16" t="s">
        <v>90</v>
      </c>
      <c r="AV305" s="16">
        <v>1.98</v>
      </c>
      <c r="AW305" s="16" t="s">
        <v>115</v>
      </c>
      <c r="AX305" s="16" t="s">
        <v>116</v>
      </c>
      <c r="AY305" s="16" t="s">
        <v>117</v>
      </c>
      <c r="AZ305" s="16" t="s">
        <v>118</v>
      </c>
      <c r="BA305" s="16" t="s">
        <v>119</v>
      </c>
      <c r="BB305" s="16">
        <v>0</v>
      </c>
      <c r="BC305" s="16" t="s">
        <v>84</v>
      </c>
      <c r="BD305" s="16" t="s">
        <v>90</v>
      </c>
      <c r="BE305" s="16" t="s">
        <v>2699</v>
      </c>
      <c r="BF305" s="16" t="s">
        <v>2700</v>
      </c>
      <c r="BG305" s="16" t="s">
        <v>2701</v>
      </c>
      <c r="BH305" s="16" t="s">
        <v>2702</v>
      </c>
      <c r="BI305" s="16" t="s">
        <v>2703</v>
      </c>
      <c r="BJ305" s="16">
        <v>289</v>
      </c>
      <c r="BK305" s="16">
        <v>289</v>
      </c>
      <c r="BL305" s="16">
        <v>289</v>
      </c>
      <c r="BM305" s="16" t="s">
        <v>96</v>
      </c>
      <c r="BN305" s="16">
        <v>1</v>
      </c>
      <c r="BO305" s="16" t="s">
        <v>84</v>
      </c>
      <c r="BP305" s="16" t="s">
        <v>84</v>
      </c>
      <c r="BQ305" s="16" t="s">
        <v>84</v>
      </c>
      <c r="BR305" s="16" t="s">
        <v>97</v>
      </c>
      <c r="BS305" s="16" t="s">
        <v>98</v>
      </c>
      <c r="BT305" s="16">
        <v>0</v>
      </c>
    </row>
    <row r="306" s="1" customFormat="1" ht="16" customHeight="1" spans="1:72">
      <c r="A306" s="14">
        <f t="shared" si="65"/>
        <v>2025</v>
      </c>
      <c r="B306" s="14">
        <f t="shared" si="66"/>
        <v>8</v>
      </c>
      <c r="C306" s="14" t="str">
        <f t="shared" si="67"/>
        <v>3729692049973590016</v>
      </c>
      <c r="D306" s="14" cm="1">
        <f t="array" ref="D306">SUMPRODUCT(($R$2:$R$374=C306)*1)</f>
        <v>1</v>
      </c>
      <c r="E306" s="14" cm="1">
        <f t="array" ref="E306">SUMPRODUCT(($R$2:R306=C306)*1)</f>
        <v>1</v>
      </c>
      <c r="F306" s="15" t="str">
        <f t="shared" si="68"/>
        <v>P110-项链</v>
      </c>
      <c r="G306" s="14" t="str">
        <f t="shared" si="69"/>
        <v>P110</v>
      </c>
      <c r="H306" s="15">
        <f t="shared" si="70"/>
        <v>1</v>
      </c>
      <c r="I306" s="14">
        <f t="shared" si="71"/>
        <v>289</v>
      </c>
      <c r="J306" s="15">
        <f t="shared" si="72"/>
        <v>0</v>
      </c>
      <c r="K306" s="15">
        <f t="shared" si="73"/>
        <v>0</v>
      </c>
      <c r="L306" s="15">
        <f t="shared" si="74"/>
        <v>-14.45</v>
      </c>
      <c r="M306" s="15">
        <f t="shared" si="75"/>
        <v>0</v>
      </c>
      <c r="N306" s="15">
        <f t="shared" si="76"/>
        <v>-1.98</v>
      </c>
      <c r="O306" s="15">
        <f t="shared" si="77"/>
        <v>272.57</v>
      </c>
      <c r="R306" s="16" t="s">
        <v>3716</v>
      </c>
      <c r="S306" s="16" t="s">
        <v>3717</v>
      </c>
      <c r="T306" s="16" t="s">
        <v>3706</v>
      </c>
      <c r="U306" s="16" t="s">
        <v>3718</v>
      </c>
      <c r="V306" s="16" t="s">
        <v>3719</v>
      </c>
      <c r="W306" s="16" t="s">
        <v>76</v>
      </c>
      <c r="X306" s="16" t="s">
        <v>77</v>
      </c>
      <c r="Y306" s="16" t="s">
        <v>692</v>
      </c>
      <c r="Z306" s="16" t="s">
        <v>152</v>
      </c>
      <c r="AA306" s="16" t="s">
        <v>153</v>
      </c>
      <c r="AB306" s="16" t="s">
        <v>153</v>
      </c>
      <c r="AC306" s="16" t="s">
        <v>154</v>
      </c>
      <c r="AD306" s="16" t="s">
        <v>3720</v>
      </c>
      <c r="AE306" s="16" t="s">
        <v>84</v>
      </c>
      <c r="AF306" s="16" t="s">
        <v>84</v>
      </c>
      <c r="AG306" s="16">
        <v>289</v>
      </c>
      <c r="AH306" s="16">
        <v>289</v>
      </c>
      <c r="AI306" s="17">
        <v>289</v>
      </c>
      <c r="AJ306" s="16">
        <v>0</v>
      </c>
      <c r="AK306" s="16">
        <v>0</v>
      </c>
      <c r="AL306" s="16">
        <v>0</v>
      </c>
      <c r="AM306" s="16">
        <v>0</v>
      </c>
      <c r="AN306" s="16">
        <v>0</v>
      </c>
      <c r="AO306" s="16" t="s">
        <v>85</v>
      </c>
      <c r="AP306" s="16" t="s">
        <v>3721</v>
      </c>
      <c r="AQ306" s="16" t="s">
        <v>3722</v>
      </c>
      <c r="AR306" s="16" t="s">
        <v>88</v>
      </c>
      <c r="AS306" s="16" t="s">
        <v>3723</v>
      </c>
      <c r="AT306" s="16">
        <v>14.45</v>
      </c>
      <c r="AU306" s="16" t="s">
        <v>90</v>
      </c>
      <c r="AV306" s="16">
        <v>1.98</v>
      </c>
      <c r="AW306" s="16" t="s">
        <v>115</v>
      </c>
      <c r="AX306" s="16" t="s">
        <v>116</v>
      </c>
      <c r="AY306" s="16" t="s">
        <v>117</v>
      </c>
      <c r="AZ306" s="16" t="s">
        <v>118</v>
      </c>
      <c r="BA306" s="16" t="s">
        <v>119</v>
      </c>
      <c r="BB306" s="16">
        <v>0</v>
      </c>
      <c r="BC306" s="16" t="s">
        <v>84</v>
      </c>
      <c r="BD306" s="16" t="s">
        <v>90</v>
      </c>
      <c r="BE306" s="16" t="s">
        <v>2699</v>
      </c>
      <c r="BF306" s="16" t="s">
        <v>2700</v>
      </c>
      <c r="BG306" s="16" t="s">
        <v>2701</v>
      </c>
      <c r="BH306" s="16" t="s">
        <v>2702</v>
      </c>
      <c r="BI306" s="16" t="s">
        <v>2703</v>
      </c>
      <c r="BJ306" s="16">
        <v>289</v>
      </c>
      <c r="BK306" s="16">
        <v>289</v>
      </c>
      <c r="BL306" s="16">
        <v>289</v>
      </c>
      <c r="BM306" s="16" t="s">
        <v>96</v>
      </c>
      <c r="BN306" s="16">
        <v>1</v>
      </c>
      <c r="BO306" s="16" t="s">
        <v>84</v>
      </c>
      <c r="BP306" s="16" t="s">
        <v>84</v>
      </c>
      <c r="BQ306" s="16" t="s">
        <v>84</v>
      </c>
      <c r="BR306" s="16" t="s">
        <v>97</v>
      </c>
      <c r="BS306" s="16" t="s">
        <v>98</v>
      </c>
      <c r="BT306" s="16">
        <v>0</v>
      </c>
    </row>
    <row r="307" s="1" customFormat="1" ht="16" customHeight="1" spans="1:72">
      <c r="A307" s="14">
        <f t="shared" si="65"/>
        <v>2025</v>
      </c>
      <c r="B307" s="14">
        <f t="shared" si="66"/>
        <v>8</v>
      </c>
      <c r="C307" s="14" t="str">
        <f t="shared" si="67"/>
        <v>3729692014807758080</v>
      </c>
      <c r="D307" s="14" cm="1">
        <f t="array" ref="D307">SUMPRODUCT(($R$2:$R$374=C307)*1)</f>
        <v>1</v>
      </c>
      <c r="E307" s="14" cm="1">
        <f t="array" ref="E307">SUMPRODUCT(($R$2:R307=C307)*1)</f>
        <v>1</v>
      </c>
      <c r="F307" s="15" t="str">
        <f t="shared" si="68"/>
        <v>Z858-黑色-S</v>
      </c>
      <c r="G307" s="14" t="str">
        <f t="shared" si="69"/>
        <v>Z858</v>
      </c>
      <c r="H307" s="15">
        <f t="shared" si="70"/>
        <v>1</v>
      </c>
      <c r="I307" s="14">
        <f t="shared" si="71"/>
        <v>269</v>
      </c>
      <c r="J307" s="15">
        <f t="shared" si="72"/>
        <v>0</v>
      </c>
      <c r="K307" s="15">
        <f t="shared" si="73"/>
        <v>0</v>
      </c>
      <c r="L307" s="15">
        <f t="shared" si="74"/>
        <v>-13.45</v>
      </c>
      <c r="M307" s="15">
        <f t="shared" si="75"/>
        <v>0</v>
      </c>
      <c r="N307" s="15">
        <f t="shared" si="76"/>
        <v>-1.5</v>
      </c>
      <c r="O307" s="15">
        <f t="shared" si="77"/>
        <v>254.05</v>
      </c>
      <c r="R307" s="16" t="s">
        <v>3724</v>
      </c>
      <c r="S307" s="16" t="s">
        <v>3725</v>
      </c>
      <c r="T307" s="16" t="s">
        <v>3726</v>
      </c>
      <c r="U307" s="16" t="s">
        <v>3727</v>
      </c>
      <c r="V307" s="16" t="s">
        <v>3728</v>
      </c>
      <c r="W307" s="16" t="s">
        <v>76</v>
      </c>
      <c r="X307" s="16" t="s">
        <v>77</v>
      </c>
      <c r="Y307" s="16" t="s">
        <v>188</v>
      </c>
      <c r="Z307" s="16" t="s">
        <v>3689</v>
      </c>
      <c r="AA307" s="16" t="s">
        <v>430</v>
      </c>
      <c r="AB307" s="16" t="s">
        <v>430</v>
      </c>
      <c r="AC307" s="16" t="s">
        <v>3690</v>
      </c>
      <c r="AD307" s="16" t="s">
        <v>3700</v>
      </c>
      <c r="AE307" s="16" t="s">
        <v>84</v>
      </c>
      <c r="AF307" s="16" t="s">
        <v>84</v>
      </c>
      <c r="AG307" s="16">
        <v>269</v>
      </c>
      <c r="AH307" s="16">
        <v>269</v>
      </c>
      <c r="AI307" s="17">
        <v>269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 t="s">
        <v>137</v>
      </c>
      <c r="AP307" s="16" t="s">
        <v>3729</v>
      </c>
      <c r="AQ307" s="16" t="s">
        <v>3730</v>
      </c>
      <c r="AR307" s="16" t="s">
        <v>88</v>
      </c>
      <c r="AS307" s="16" t="s">
        <v>3731</v>
      </c>
      <c r="AT307" s="16">
        <v>13.45</v>
      </c>
      <c r="AU307" s="16" t="s">
        <v>90</v>
      </c>
      <c r="AV307" s="16">
        <v>1.5</v>
      </c>
      <c r="AW307" s="16" t="s">
        <v>115</v>
      </c>
      <c r="AX307" s="16" t="s">
        <v>116</v>
      </c>
      <c r="AY307" s="16" t="s">
        <v>117</v>
      </c>
      <c r="AZ307" s="16" t="s">
        <v>118</v>
      </c>
      <c r="BA307" s="16" t="s">
        <v>119</v>
      </c>
      <c r="BB307" s="16">
        <v>0</v>
      </c>
      <c r="BC307" s="16" t="s">
        <v>84</v>
      </c>
      <c r="BD307" s="16" t="s">
        <v>90</v>
      </c>
      <c r="BE307" s="16" t="s">
        <v>2614</v>
      </c>
      <c r="BF307" s="16" t="s">
        <v>2615</v>
      </c>
      <c r="BG307" s="16" t="s">
        <v>2616</v>
      </c>
      <c r="BH307" s="16" t="s">
        <v>2617</v>
      </c>
      <c r="BI307" s="16" t="s">
        <v>2618</v>
      </c>
      <c r="BJ307" s="16">
        <v>269</v>
      </c>
      <c r="BK307" s="16">
        <v>269</v>
      </c>
      <c r="BL307" s="16">
        <v>269</v>
      </c>
      <c r="BM307" s="16" t="s">
        <v>96</v>
      </c>
      <c r="BN307" s="16">
        <v>1</v>
      </c>
      <c r="BO307" s="16" t="s">
        <v>84</v>
      </c>
      <c r="BP307" s="16" t="s">
        <v>84</v>
      </c>
      <c r="BQ307" s="16" t="s">
        <v>84</v>
      </c>
      <c r="BR307" s="16" t="s">
        <v>97</v>
      </c>
      <c r="BS307" s="16" t="s">
        <v>98</v>
      </c>
      <c r="BT307" s="16">
        <v>0</v>
      </c>
    </row>
    <row r="308" s="1" customFormat="1" ht="16" customHeight="1" spans="1:72">
      <c r="A308" s="14">
        <f t="shared" si="65"/>
        <v>2025</v>
      </c>
      <c r="B308" s="14">
        <f t="shared" si="66"/>
        <v>8</v>
      </c>
      <c r="C308" s="14" t="str">
        <f t="shared" si="67"/>
        <v>3729691913532879105</v>
      </c>
      <c r="D308" s="14" cm="1">
        <f t="array" ref="D308">SUMPRODUCT(($R$2:$R$374=C308)*1)</f>
        <v>1</v>
      </c>
      <c r="E308" s="14" cm="1">
        <f t="array" ref="E308">SUMPRODUCT(($R$2:R308=C308)*1)</f>
        <v>1</v>
      </c>
      <c r="F308" s="15" t="str">
        <f t="shared" si="68"/>
        <v>P110-项链</v>
      </c>
      <c r="G308" s="14" t="str">
        <f t="shared" si="69"/>
        <v>P110</v>
      </c>
      <c r="H308" s="15">
        <f t="shared" si="70"/>
        <v>1</v>
      </c>
      <c r="I308" s="14">
        <f t="shared" si="71"/>
        <v>289</v>
      </c>
      <c r="J308" s="15">
        <f t="shared" si="72"/>
        <v>0</v>
      </c>
      <c r="K308" s="15">
        <f t="shared" si="73"/>
        <v>0</v>
      </c>
      <c r="L308" s="15">
        <f t="shared" si="74"/>
        <v>-14.45</v>
      </c>
      <c r="M308" s="15">
        <f t="shared" si="75"/>
        <v>0</v>
      </c>
      <c r="N308" s="15">
        <f t="shared" si="76"/>
        <v>-1.98</v>
      </c>
      <c r="O308" s="15">
        <f t="shared" si="77"/>
        <v>272.57</v>
      </c>
      <c r="R308" s="16" t="s">
        <v>3732</v>
      </c>
      <c r="S308" s="16" t="s">
        <v>3733</v>
      </c>
      <c r="T308" s="16" t="s">
        <v>3706</v>
      </c>
      <c r="U308" s="16" t="s">
        <v>3734</v>
      </c>
      <c r="V308" s="16" t="s">
        <v>3735</v>
      </c>
      <c r="W308" s="16" t="s">
        <v>76</v>
      </c>
      <c r="X308" s="16" t="s">
        <v>77</v>
      </c>
      <c r="Y308" s="16" t="s">
        <v>3736</v>
      </c>
      <c r="Z308" s="16" t="s">
        <v>3737</v>
      </c>
      <c r="AA308" s="16" t="s">
        <v>763</v>
      </c>
      <c r="AB308" s="16" t="s">
        <v>763</v>
      </c>
      <c r="AC308" s="16" t="s">
        <v>3738</v>
      </c>
      <c r="AD308" s="16" t="s">
        <v>3739</v>
      </c>
      <c r="AE308" s="16" t="s">
        <v>84</v>
      </c>
      <c r="AF308" s="16" t="s">
        <v>84</v>
      </c>
      <c r="AG308" s="16">
        <v>289</v>
      </c>
      <c r="AH308" s="16">
        <v>289</v>
      </c>
      <c r="AI308" s="17">
        <v>289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 t="s">
        <v>85</v>
      </c>
      <c r="AP308" s="16" t="s">
        <v>3740</v>
      </c>
      <c r="AQ308" s="16" t="s">
        <v>3741</v>
      </c>
      <c r="AR308" s="16" t="s">
        <v>88</v>
      </c>
      <c r="AS308" s="16" t="s">
        <v>3742</v>
      </c>
      <c r="AT308" s="16">
        <v>14.45</v>
      </c>
      <c r="AU308" s="16" t="s">
        <v>90</v>
      </c>
      <c r="AV308" s="16">
        <v>1.98</v>
      </c>
      <c r="AW308" s="16" t="s">
        <v>115</v>
      </c>
      <c r="AX308" s="16" t="s">
        <v>116</v>
      </c>
      <c r="AY308" s="16" t="s">
        <v>117</v>
      </c>
      <c r="AZ308" s="16" t="s">
        <v>118</v>
      </c>
      <c r="BA308" s="16" t="s">
        <v>119</v>
      </c>
      <c r="BB308" s="16">
        <v>0</v>
      </c>
      <c r="BC308" s="16" t="s">
        <v>84</v>
      </c>
      <c r="BD308" s="16" t="s">
        <v>90</v>
      </c>
      <c r="BE308" s="16" t="s">
        <v>2699</v>
      </c>
      <c r="BF308" s="16" t="s">
        <v>2700</v>
      </c>
      <c r="BG308" s="16" t="s">
        <v>2701</v>
      </c>
      <c r="BH308" s="16" t="s">
        <v>2702</v>
      </c>
      <c r="BI308" s="16" t="s">
        <v>2703</v>
      </c>
      <c r="BJ308" s="16">
        <v>289</v>
      </c>
      <c r="BK308" s="16">
        <v>289</v>
      </c>
      <c r="BL308" s="16">
        <v>289</v>
      </c>
      <c r="BM308" s="16" t="s">
        <v>96</v>
      </c>
      <c r="BN308" s="16">
        <v>1</v>
      </c>
      <c r="BO308" s="16" t="s">
        <v>84</v>
      </c>
      <c r="BP308" s="16" t="s">
        <v>84</v>
      </c>
      <c r="BQ308" s="16" t="s">
        <v>84</v>
      </c>
      <c r="BR308" s="16" t="s">
        <v>97</v>
      </c>
      <c r="BS308" s="16" t="s">
        <v>98</v>
      </c>
      <c r="BT308" s="16">
        <v>0</v>
      </c>
    </row>
    <row r="309" s="1" customFormat="1" ht="16" customHeight="1" spans="1:72">
      <c r="A309" s="14">
        <f t="shared" si="65"/>
        <v>2025</v>
      </c>
      <c r="B309" s="14">
        <f t="shared" si="66"/>
        <v>8</v>
      </c>
      <c r="C309" s="14" t="str">
        <f t="shared" si="67"/>
        <v>3729691887002072064</v>
      </c>
      <c r="D309" s="14" cm="1">
        <f t="array" ref="D309">SUMPRODUCT(($R$2:$R$374=C309)*1)</f>
        <v>1</v>
      </c>
      <c r="E309" s="14" cm="1">
        <f t="array" ref="E309">SUMPRODUCT(($R$2:R309=C309)*1)</f>
        <v>1</v>
      </c>
      <c r="F309" s="15" t="str">
        <f t="shared" si="68"/>
        <v>Z2183-黑色-M</v>
      </c>
      <c r="G309" s="14" t="str">
        <f t="shared" si="69"/>
        <v>Z2183</v>
      </c>
      <c r="H309" s="15">
        <f t="shared" si="70"/>
        <v>0</v>
      </c>
      <c r="I309" s="14">
        <f t="shared" si="71"/>
        <v>0</v>
      </c>
      <c r="J309" s="15">
        <f t="shared" si="72"/>
        <v>0</v>
      </c>
      <c r="K309" s="15">
        <f t="shared" si="73"/>
        <v>10</v>
      </c>
      <c r="L309" s="15">
        <f t="shared" si="74"/>
        <v>0</v>
      </c>
      <c r="M309" s="15">
        <f t="shared" si="75"/>
        <v>0</v>
      </c>
      <c r="N309" s="15">
        <f t="shared" si="76"/>
        <v>0</v>
      </c>
      <c r="O309" s="15">
        <f t="shared" si="77"/>
        <v>10</v>
      </c>
      <c r="R309" s="16" t="s">
        <v>3743</v>
      </c>
      <c r="S309" s="16" t="s">
        <v>3744</v>
      </c>
      <c r="T309" s="16" t="s">
        <v>3745</v>
      </c>
      <c r="U309" s="16" t="s">
        <v>90</v>
      </c>
      <c r="V309" s="16" t="s">
        <v>3746</v>
      </c>
      <c r="W309" s="16" t="s">
        <v>104</v>
      </c>
      <c r="X309" s="16" t="s">
        <v>77</v>
      </c>
      <c r="Y309" s="16" t="s">
        <v>543</v>
      </c>
      <c r="Z309" s="16" t="s">
        <v>3747</v>
      </c>
      <c r="AA309" s="16" t="s">
        <v>207</v>
      </c>
      <c r="AB309" s="16" t="s">
        <v>3748</v>
      </c>
      <c r="AC309" s="16" t="s">
        <v>3749</v>
      </c>
      <c r="AD309" s="16" t="s">
        <v>3750</v>
      </c>
      <c r="AE309" s="16" t="s">
        <v>84</v>
      </c>
      <c r="AF309" s="16" t="s">
        <v>3751</v>
      </c>
      <c r="AG309" s="16">
        <v>129</v>
      </c>
      <c r="AH309" s="16">
        <v>139</v>
      </c>
      <c r="AI309" s="17">
        <v>139</v>
      </c>
      <c r="AJ309" s="16">
        <v>10</v>
      </c>
      <c r="AK309" s="16">
        <v>0</v>
      </c>
      <c r="AL309" s="16">
        <v>0</v>
      </c>
      <c r="AM309" s="16">
        <v>0</v>
      </c>
      <c r="AN309" s="16">
        <v>0</v>
      </c>
      <c r="AO309" s="16" t="s">
        <v>85</v>
      </c>
      <c r="AP309" s="16" t="s">
        <v>3752</v>
      </c>
      <c r="AQ309" s="16" t="s">
        <v>3753</v>
      </c>
      <c r="AR309" s="16" t="s">
        <v>88</v>
      </c>
      <c r="AS309" s="16" t="s">
        <v>3754</v>
      </c>
      <c r="AT309" s="16">
        <v>0</v>
      </c>
      <c r="AU309" s="16" t="s">
        <v>90</v>
      </c>
      <c r="AV309" s="16" t="s">
        <v>90</v>
      </c>
      <c r="AW309" s="16" t="s">
        <v>115</v>
      </c>
      <c r="AX309" s="16" t="s">
        <v>116</v>
      </c>
      <c r="AY309" s="16" t="s">
        <v>117</v>
      </c>
      <c r="AZ309" s="16" t="s">
        <v>118</v>
      </c>
      <c r="BA309" s="16" t="s">
        <v>119</v>
      </c>
      <c r="BB309" s="16">
        <v>0</v>
      </c>
      <c r="BC309" s="16" t="s">
        <v>84</v>
      </c>
      <c r="BD309" s="16" t="s">
        <v>90</v>
      </c>
      <c r="BE309" s="16" t="s">
        <v>610</v>
      </c>
      <c r="BF309" s="16" t="s">
        <v>611</v>
      </c>
      <c r="BG309" s="16" t="s">
        <v>612</v>
      </c>
      <c r="BH309" s="16" t="s">
        <v>685</v>
      </c>
      <c r="BI309" s="16" t="s">
        <v>686</v>
      </c>
      <c r="BJ309" s="16">
        <v>129</v>
      </c>
      <c r="BK309" s="16">
        <v>129</v>
      </c>
      <c r="BL309" s="16">
        <v>129</v>
      </c>
      <c r="BM309" s="16" t="s">
        <v>96</v>
      </c>
      <c r="BN309" s="16">
        <v>1</v>
      </c>
      <c r="BO309" s="16" t="s">
        <v>84</v>
      </c>
      <c r="BP309" s="16" t="s">
        <v>84</v>
      </c>
      <c r="BQ309" s="16" t="s">
        <v>84</v>
      </c>
      <c r="BR309" s="16" t="s">
        <v>97</v>
      </c>
      <c r="BS309" s="16" t="s">
        <v>125</v>
      </c>
      <c r="BT309" s="16">
        <v>129</v>
      </c>
    </row>
    <row r="310" s="1" customFormat="1" ht="16" customHeight="1" spans="1:72">
      <c r="A310" s="14">
        <f t="shared" si="65"/>
        <v>2025</v>
      </c>
      <c r="B310" s="14">
        <f t="shared" si="66"/>
        <v>8</v>
      </c>
      <c r="C310" s="14" t="str">
        <f t="shared" si="67"/>
        <v>3729691861707796736</v>
      </c>
      <c r="D310" s="14" cm="1">
        <f t="array" ref="D310">SUMPRODUCT(($R$2:$R$374=C310)*1)</f>
        <v>1</v>
      </c>
      <c r="E310" s="14" cm="1">
        <f t="array" ref="E310">SUMPRODUCT(($R$2:R310=C310)*1)</f>
        <v>1</v>
      </c>
      <c r="F310" s="15" t="str">
        <f t="shared" si="68"/>
        <v>Z2215-蓝色-S</v>
      </c>
      <c r="G310" s="14" t="str">
        <f t="shared" si="69"/>
        <v>Z2215</v>
      </c>
      <c r="H310" s="15">
        <f t="shared" si="70"/>
        <v>1</v>
      </c>
      <c r="I310" s="14">
        <f t="shared" si="71"/>
        <v>299</v>
      </c>
      <c r="J310" s="15">
        <f t="shared" si="72"/>
        <v>0</v>
      </c>
      <c r="K310" s="15">
        <f t="shared" si="73"/>
        <v>0</v>
      </c>
      <c r="L310" s="15">
        <f t="shared" si="74"/>
        <v>-14.95</v>
      </c>
      <c r="M310" s="15">
        <f t="shared" si="75"/>
        <v>0</v>
      </c>
      <c r="N310" s="15">
        <f t="shared" si="76"/>
        <v>-1.5</v>
      </c>
      <c r="O310" s="15">
        <f t="shared" si="77"/>
        <v>282.55</v>
      </c>
      <c r="R310" s="16" t="s">
        <v>3755</v>
      </c>
      <c r="S310" s="16" t="s">
        <v>3756</v>
      </c>
      <c r="T310" s="16" t="s">
        <v>3088</v>
      </c>
      <c r="U310" s="16" t="s">
        <v>3757</v>
      </c>
      <c r="V310" s="16" t="s">
        <v>3758</v>
      </c>
      <c r="W310" s="16" t="s">
        <v>76</v>
      </c>
      <c r="X310" s="16" t="s">
        <v>77</v>
      </c>
      <c r="Y310" s="16" t="s">
        <v>3759</v>
      </c>
      <c r="Z310" s="16" t="s">
        <v>3760</v>
      </c>
      <c r="AA310" s="16" t="s">
        <v>369</v>
      </c>
      <c r="AB310" s="16" t="s">
        <v>1057</v>
      </c>
      <c r="AC310" s="16" t="s">
        <v>3761</v>
      </c>
      <c r="AD310" s="16" t="s">
        <v>3762</v>
      </c>
      <c r="AE310" s="16" t="s">
        <v>84</v>
      </c>
      <c r="AF310" s="16" t="s">
        <v>84</v>
      </c>
      <c r="AG310" s="16">
        <v>299</v>
      </c>
      <c r="AH310" s="16">
        <v>299</v>
      </c>
      <c r="AI310" s="17">
        <v>299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 t="s">
        <v>85</v>
      </c>
      <c r="AP310" s="16" t="s">
        <v>3763</v>
      </c>
      <c r="AQ310" s="16" t="s">
        <v>3764</v>
      </c>
      <c r="AR310" s="16" t="s">
        <v>88</v>
      </c>
      <c r="AS310" s="16" t="s">
        <v>3765</v>
      </c>
      <c r="AT310" s="16">
        <v>14.95</v>
      </c>
      <c r="AU310" s="16" t="s">
        <v>90</v>
      </c>
      <c r="AV310" s="16">
        <v>1.5</v>
      </c>
      <c r="AW310" s="16" t="s">
        <v>115</v>
      </c>
      <c r="AX310" s="16" t="s">
        <v>116</v>
      </c>
      <c r="AY310" s="16" t="s">
        <v>117</v>
      </c>
      <c r="AZ310" s="16" t="s">
        <v>118</v>
      </c>
      <c r="BA310" s="16" t="s">
        <v>119</v>
      </c>
      <c r="BB310" s="16">
        <v>0</v>
      </c>
      <c r="BC310" s="16" t="s">
        <v>84</v>
      </c>
      <c r="BD310" s="16" t="s">
        <v>90</v>
      </c>
      <c r="BE310" s="16" t="s">
        <v>971</v>
      </c>
      <c r="BF310" s="16" t="s">
        <v>972</v>
      </c>
      <c r="BG310" s="16" t="s">
        <v>973</v>
      </c>
      <c r="BH310" s="16" t="s">
        <v>3527</v>
      </c>
      <c r="BI310" s="16" t="s">
        <v>1725</v>
      </c>
      <c r="BJ310" s="16">
        <v>299</v>
      </c>
      <c r="BK310" s="16">
        <v>299</v>
      </c>
      <c r="BL310" s="16">
        <v>299</v>
      </c>
      <c r="BM310" s="16" t="s">
        <v>96</v>
      </c>
      <c r="BN310" s="16">
        <v>1</v>
      </c>
      <c r="BO310" s="16" t="s">
        <v>84</v>
      </c>
      <c r="BP310" s="16" t="s">
        <v>84</v>
      </c>
      <c r="BQ310" s="16" t="s">
        <v>84</v>
      </c>
      <c r="BR310" s="16" t="s">
        <v>97</v>
      </c>
      <c r="BS310" s="16" t="s">
        <v>98</v>
      </c>
      <c r="BT310" s="16">
        <v>0</v>
      </c>
    </row>
    <row r="311" s="1" customFormat="1" ht="16" customHeight="1" spans="1:72">
      <c r="A311" s="14">
        <f t="shared" si="65"/>
        <v>2025</v>
      </c>
      <c r="B311" s="14">
        <f t="shared" si="66"/>
        <v>8</v>
      </c>
      <c r="C311" s="14" t="str">
        <f t="shared" si="67"/>
        <v>3729691855052481024</v>
      </c>
      <c r="D311" s="14" cm="1">
        <f t="array" ref="D311">SUMPRODUCT(($R$2:$R$374=C311)*1)</f>
        <v>1</v>
      </c>
      <c r="E311" s="14" cm="1">
        <f t="array" ref="E311">SUMPRODUCT(($R$2:R311=C311)*1)</f>
        <v>1</v>
      </c>
      <c r="F311" s="15" t="str">
        <f t="shared" si="68"/>
        <v>Z2215-蓝色-M</v>
      </c>
      <c r="G311" s="14" t="str">
        <f t="shared" si="69"/>
        <v>Z2215</v>
      </c>
      <c r="H311" s="15">
        <f t="shared" si="70"/>
        <v>1</v>
      </c>
      <c r="I311" s="14">
        <f t="shared" si="71"/>
        <v>299</v>
      </c>
      <c r="J311" s="15">
        <f t="shared" si="72"/>
        <v>0</v>
      </c>
      <c r="K311" s="15">
        <f t="shared" si="73"/>
        <v>0</v>
      </c>
      <c r="L311" s="15">
        <f t="shared" si="74"/>
        <v>-14.95</v>
      </c>
      <c r="M311" s="15">
        <f t="shared" si="75"/>
        <v>0</v>
      </c>
      <c r="N311" s="15">
        <f t="shared" si="76"/>
        <v>-1.5</v>
      </c>
      <c r="O311" s="15">
        <f t="shared" si="77"/>
        <v>282.55</v>
      </c>
      <c r="R311" s="16" t="s">
        <v>3766</v>
      </c>
      <c r="S311" s="16" t="s">
        <v>3767</v>
      </c>
      <c r="T311" s="16" t="s">
        <v>3768</v>
      </c>
      <c r="U311" s="16" t="s">
        <v>3769</v>
      </c>
      <c r="V311" s="16" t="s">
        <v>3770</v>
      </c>
      <c r="W311" s="16" t="s">
        <v>76</v>
      </c>
      <c r="X311" s="16" t="s">
        <v>77</v>
      </c>
      <c r="Y311" s="16" t="s">
        <v>3771</v>
      </c>
      <c r="Z311" s="16" t="s">
        <v>638</v>
      </c>
      <c r="AA311" s="16" t="s">
        <v>430</v>
      </c>
      <c r="AB311" s="16" t="s">
        <v>430</v>
      </c>
      <c r="AC311" s="16" t="s">
        <v>639</v>
      </c>
      <c r="AD311" s="16" t="s">
        <v>3772</v>
      </c>
      <c r="AE311" s="16" t="s">
        <v>84</v>
      </c>
      <c r="AF311" s="16" t="s">
        <v>84</v>
      </c>
      <c r="AG311" s="16">
        <v>299</v>
      </c>
      <c r="AH311" s="16">
        <v>299</v>
      </c>
      <c r="AI311" s="17">
        <v>299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 t="s">
        <v>137</v>
      </c>
      <c r="AP311" s="16" t="s">
        <v>3773</v>
      </c>
      <c r="AQ311" s="16" t="s">
        <v>3774</v>
      </c>
      <c r="AR311" s="16" t="s">
        <v>88</v>
      </c>
      <c r="AS311" s="16" t="s">
        <v>3775</v>
      </c>
      <c r="AT311" s="16">
        <v>14.95</v>
      </c>
      <c r="AU311" s="16" t="s">
        <v>90</v>
      </c>
      <c r="AV311" s="16">
        <v>1.5</v>
      </c>
      <c r="AW311" s="16" t="s">
        <v>115</v>
      </c>
      <c r="AX311" s="16" t="s">
        <v>116</v>
      </c>
      <c r="AY311" s="16" t="s">
        <v>117</v>
      </c>
      <c r="AZ311" s="16" t="s">
        <v>118</v>
      </c>
      <c r="BA311" s="16" t="s">
        <v>119</v>
      </c>
      <c r="BB311" s="16">
        <v>0</v>
      </c>
      <c r="BC311" s="16" t="s">
        <v>84</v>
      </c>
      <c r="BD311" s="16" t="s">
        <v>90</v>
      </c>
      <c r="BE311" s="16" t="s">
        <v>971</v>
      </c>
      <c r="BF311" s="16" t="s">
        <v>972</v>
      </c>
      <c r="BG311" s="16" t="s">
        <v>973</v>
      </c>
      <c r="BH311" s="16" t="s">
        <v>974</v>
      </c>
      <c r="BI311" s="16" t="s">
        <v>811</v>
      </c>
      <c r="BJ311" s="16">
        <v>299</v>
      </c>
      <c r="BK311" s="16">
        <v>299</v>
      </c>
      <c r="BL311" s="16">
        <v>299</v>
      </c>
      <c r="BM311" s="16" t="s">
        <v>96</v>
      </c>
      <c r="BN311" s="16">
        <v>1</v>
      </c>
      <c r="BO311" s="16" t="s">
        <v>84</v>
      </c>
      <c r="BP311" s="16" t="s">
        <v>84</v>
      </c>
      <c r="BQ311" s="16" t="s">
        <v>84</v>
      </c>
      <c r="BR311" s="16" t="s">
        <v>97</v>
      </c>
      <c r="BS311" s="16" t="s">
        <v>98</v>
      </c>
      <c r="BT311" s="16">
        <v>0</v>
      </c>
    </row>
    <row r="312" s="1" customFormat="1" ht="16" customHeight="1" spans="1:72">
      <c r="A312" s="14">
        <f t="shared" si="65"/>
        <v>2025</v>
      </c>
      <c r="B312" s="14">
        <f t="shared" si="66"/>
        <v>8</v>
      </c>
      <c r="C312" s="14" t="str">
        <f t="shared" si="67"/>
        <v>3729691852541929472</v>
      </c>
      <c r="D312" s="14" cm="1">
        <f t="array" ref="D312">SUMPRODUCT(($R$2:$R$374=C312)*1)</f>
        <v>1</v>
      </c>
      <c r="E312" s="14" cm="1">
        <f t="array" ref="E312">SUMPRODUCT(($R$2:R312=C312)*1)</f>
        <v>1</v>
      </c>
      <c r="F312" s="15" t="str">
        <f t="shared" si="68"/>
        <v>Z2215-蓝色-M</v>
      </c>
      <c r="G312" s="14" t="str">
        <f t="shared" si="69"/>
        <v>Z2215</v>
      </c>
      <c r="H312" s="15">
        <f t="shared" si="70"/>
        <v>1</v>
      </c>
      <c r="I312" s="14">
        <f t="shared" si="71"/>
        <v>299</v>
      </c>
      <c r="J312" s="15">
        <f t="shared" si="72"/>
        <v>0</v>
      </c>
      <c r="K312" s="15">
        <f t="shared" si="73"/>
        <v>0</v>
      </c>
      <c r="L312" s="15">
        <f t="shared" si="74"/>
        <v>-14.95</v>
      </c>
      <c r="M312" s="15">
        <f t="shared" si="75"/>
        <v>0</v>
      </c>
      <c r="N312" s="15">
        <f t="shared" si="76"/>
        <v>-1.5</v>
      </c>
      <c r="O312" s="15">
        <f t="shared" si="77"/>
        <v>282.55</v>
      </c>
      <c r="R312" s="16" t="s">
        <v>3776</v>
      </c>
      <c r="S312" s="16" t="s">
        <v>3777</v>
      </c>
      <c r="T312" s="16" t="s">
        <v>3778</v>
      </c>
      <c r="U312" s="16" t="s">
        <v>3779</v>
      </c>
      <c r="V312" s="16" t="s">
        <v>3780</v>
      </c>
      <c r="W312" s="16" t="s">
        <v>76</v>
      </c>
      <c r="X312" s="16" t="s">
        <v>77</v>
      </c>
      <c r="Y312" s="16" t="s">
        <v>188</v>
      </c>
      <c r="Z312" s="16" t="s">
        <v>3781</v>
      </c>
      <c r="AA312" s="16" t="s">
        <v>384</v>
      </c>
      <c r="AB312" s="16" t="s">
        <v>3782</v>
      </c>
      <c r="AC312" s="16" t="s">
        <v>3783</v>
      </c>
      <c r="AD312" s="16" t="s">
        <v>3784</v>
      </c>
      <c r="AE312" s="16" t="s">
        <v>84</v>
      </c>
      <c r="AF312" s="16" t="s">
        <v>84</v>
      </c>
      <c r="AG312" s="16">
        <v>299</v>
      </c>
      <c r="AH312" s="16">
        <v>299</v>
      </c>
      <c r="AI312" s="17">
        <v>299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 t="s">
        <v>85</v>
      </c>
      <c r="AP312" s="16" t="s">
        <v>3785</v>
      </c>
      <c r="AQ312" s="16" t="s">
        <v>3786</v>
      </c>
      <c r="AR312" s="16" t="s">
        <v>88</v>
      </c>
      <c r="AS312" s="16" t="s">
        <v>3787</v>
      </c>
      <c r="AT312" s="16">
        <v>14.95</v>
      </c>
      <c r="AU312" s="16" t="s">
        <v>90</v>
      </c>
      <c r="AV312" s="16">
        <v>1.5</v>
      </c>
      <c r="AW312" s="16" t="s">
        <v>115</v>
      </c>
      <c r="AX312" s="16" t="s">
        <v>116</v>
      </c>
      <c r="AY312" s="16" t="s">
        <v>117</v>
      </c>
      <c r="AZ312" s="16" t="s">
        <v>118</v>
      </c>
      <c r="BA312" s="16" t="s">
        <v>119</v>
      </c>
      <c r="BB312" s="16">
        <v>0</v>
      </c>
      <c r="BC312" s="16" t="s">
        <v>84</v>
      </c>
      <c r="BD312" s="16" t="s">
        <v>90</v>
      </c>
      <c r="BE312" s="16" t="s">
        <v>971</v>
      </c>
      <c r="BF312" s="16" t="s">
        <v>972</v>
      </c>
      <c r="BG312" s="16" t="s">
        <v>973</v>
      </c>
      <c r="BH312" s="16" t="s">
        <v>974</v>
      </c>
      <c r="BI312" s="16" t="s">
        <v>811</v>
      </c>
      <c r="BJ312" s="16">
        <v>299</v>
      </c>
      <c r="BK312" s="16">
        <v>299</v>
      </c>
      <c r="BL312" s="16">
        <v>299</v>
      </c>
      <c r="BM312" s="16" t="s">
        <v>96</v>
      </c>
      <c r="BN312" s="16">
        <v>1</v>
      </c>
      <c r="BO312" s="16" t="s">
        <v>84</v>
      </c>
      <c r="BP312" s="16" t="s">
        <v>84</v>
      </c>
      <c r="BQ312" s="16" t="s">
        <v>84</v>
      </c>
      <c r="BR312" s="16" t="s">
        <v>97</v>
      </c>
      <c r="BS312" s="16" t="s">
        <v>98</v>
      </c>
      <c r="BT312" s="16">
        <v>0</v>
      </c>
    </row>
    <row r="313" s="1" customFormat="1" ht="16" customHeight="1" spans="1:72">
      <c r="A313" s="14">
        <f t="shared" si="65"/>
        <v>2025</v>
      </c>
      <c r="B313" s="14">
        <f t="shared" si="66"/>
        <v>8</v>
      </c>
      <c r="C313" s="14" t="str">
        <f t="shared" si="67"/>
        <v>3729691852203498752</v>
      </c>
      <c r="D313" s="14" cm="1">
        <f t="array" ref="D313">SUMPRODUCT(($R$2:$R$374=C313)*1)</f>
        <v>1</v>
      </c>
      <c r="E313" s="14" cm="1">
        <f t="array" ref="E313">SUMPRODUCT(($R$2:R313=C313)*1)</f>
        <v>1</v>
      </c>
      <c r="F313" s="15" t="str">
        <f t="shared" si="68"/>
        <v>Z2215-蓝色-L</v>
      </c>
      <c r="G313" s="14" t="str">
        <f t="shared" si="69"/>
        <v>Z2215</v>
      </c>
      <c r="H313" s="15">
        <f t="shared" si="70"/>
        <v>0</v>
      </c>
      <c r="I313" s="14">
        <f t="shared" si="71"/>
        <v>0</v>
      </c>
      <c r="J313" s="15">
        <f t="shared" si="72"/>
        <v>0</v>
      </c>
      <c r="K313" s="15">
        <f t="shared" si="73"/>
        <v>0</v>
      </c>
      <c r="L313" s="15">
        <f t="shared" si="74"/>
        <v>0</v>
      </c>
      <c r="M313" s="15">
        <f t="shared" si="75"/>
        <v>0</v>
      </c>
      <c r="N313" s="15">
        <f t="shared" si="76"/>
        <v>0</v>
      </c>
      <c r="O313" s="15">
        <f t="shared" si="77"/>
        <v>0</v>
      </c>
      <c r="R313" s="16" t="s">
        <v>3788</v>
      </c>
      <c r="S313" s="16" t="s">
        <v>3789</v>
      </c>
      <c r="T313" s="16" t="s">
        <v>3069</v>
      </c>
      <c r="U313" s="16" t="s">
        <v>90</v>
      </c>
      <c r="V313" s="16" t="s">
        <v>3790</v>
      </c>
      <c r="W313" s="16" t="s">
        <v>104</v>
      </c>
      <c r="X313" s="16" t="s">
        <v>77</v>
      </c>
      <c r="Y313" s="16" t="s">
        <v>692</v>
      </c>
      <c r="Z313" s="16" t="s">
        <v>3791</v>
      </c>
      <c r="AA313" s="16" t="s">
        <v>332</v>
      </c>
      <c r="AB313" s="16" t="s">
        <v>3792</v>
      </c>
      <c r="AC313" s="16" t="s">
        <v>3793</v>
      </c>
      <c r="AD313" s="16" t="s">
        <v>1824</v>
      </c>
      <c r="AE313" s="16" t="s">
        <v>84</v>
      </c>
      <c r="AF313" s="16" t="s">
        <v>3794</v>
      </c>
      <c r="AG313" s="16">
        <v>299</v>
      </c>
      <c r="AH313" s="16">
        <v>299</v>
      </c>
      <c r="AI313" s="17">
        <v>299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 t="s">
        <v>85</v>
      </c>
      <c r="AP313" s="16" t="s">
        <v>3795</v>
      </c>
      <c r="AQ313" s="16" t="s">
        <v>3796</v>
      </c>
      <c r="AR313" s="16" t="s">
        <v>88</v>
      </c>
      <c r="AS313" s="16" t="s">
        <v>3797</v>
      </c>
      <c r="AT313" s="16">
        <v>0</v>
      </c>
      <c r="AU313" s="16" t="s">
        <v>90</v>
      </c>
      <c r="AV313" s="16">
        <v>1.5</v>
      </c>
      <c r="AW313" s="16" t="s">
        <v>115</v>
      </c>
      <c r="AX313" s="16" t="s">
        <v>116</v>
      </c>
      <c r="AY313" s="16" t="s">
        <v>117</v>
      </c>
      <c r="AZ313" s="16" t="s">
        <v>118</v>
      </c>
      <c r="BA313" s="16" t="s">
        <v>119</v>
      </c>
      <c r="BB313" s="16">
        <v>0</v>
      </c>
      <c r="BC313" s="16" t="s">
        <v>84</v>
      </c>
      <c r="BD313" s="16" t="s">
        <v>90</v>
      </c>
      <c r="BE313" s="16" t="s">
        <v>971</v>
      </c>
      <c r="BF313" s="16" t="s">
        <v>972</v>
      </c>
      <c r="BG313" s="16" t="s">
        <v>973</v>
      </c>
      <c r="BH313" s="16" t="s">
        <v>3798</v>
      </c>
      <c r="BI313" s="16" t="s">
        <v>2000</v>
      </c>
      <c r="BJ313" s="16">
        <v>299</v>
      </c>
      <c r="BK313" s="16">
        <v>299</v>
      </c>
      <c r="BL313" s="16">
        <v>299</v>
      </c>
      <c r="BM313" s="16" t="s">
        <v>96</v>
      </c>
      <c r="BN313" s="16">
        <v>1</v>
      </c>
      <c r="BO313" s="16" t="s">
        <v>84</v>
      </c>
      <c r="BP313" s="16" t="s">
        <v>84</v>
      </c>
      <c r="BQ313" s="16" t="s">
        <v>84</v>
      </c>
      <c r="BR313" s="16" t="s">
        <v>97</v>
      </c>
      <c r="BS313" s="16" t="s">
        <v>125</v>
      </c>
      <c r="BT313" s="16">
        <v>299</v>
      </c>
    </row>
    <row r="314" s="1" customFormat="1" ht="16" customHeight="1" spans="1:72">
      <c r="A314" s="14">
        <f t="shared" si="65"/>
        <v>2025</v>
      </c>
      <c r="B314" s="14">
        <f t="shared" si="66"/>
        <v>8</v>
      </c>
      <c r="C314" s="14" t="str">
        <f t="shared" si="67"/>
        <v>3729691732001037824</v>
      </c>
      <c r="D314" s="14" cm="1">
        <f t="array" ref="D314">SUMPRODUCT(($R$2:$R$374=C314)*1)</f>
        <v>1</v>
      </c>
      <c r="E314" s="14" cm="1">
        <f t="array" ref="E314">SUMPRODUCT(($R$2:R314=C314)*1)</f>
        <v>1</v>
      </c>
      <c r="F314" s="15" t="str">
        <f t="shared" si="68"/>
        <v>Z858-黑色-L</v>
      </c>
      <c r="G314" s="14" t="str">
        <f t="shared" si="69"/>
        <v>Z858</v>
      </c>
      <c r="H314" s="15">
        <f t="shared" si="70"/>
        <v>1</v>
      </c>
      <c r="I314" s="14">
        <f t="shared" si="71"/>
        <v>269</v>
      </c>
      <c r="J314" s="15">
        <f t="shared" si="72"/>
        <v>0</v>
      </c>
      <c r="K314" s="15">
        <f t="shared" si="73"/>
        <v>0</v>
      </c>
      <c r="L314" s="15">
        <f t="shared" si="74"/>
        <v>-13.45</v>
      </c>
      <c r="M314" s="15">
        <f t="shared" si="75"/>
        <v>0</v>
      </c>
      <c r="N314" s="15">
        <f t="shared" si="76"/>
        <v>-1.5</v>
      </c>
      <c r="O314" s="15">
        <f t="shared" si="77"/>
        <v>254.05</v>
      </c>
      <c r="R314" s="16" t="s">
        <v>3799</v>
      </c>
      <c r="S314" s="16" t="s">
        <v>3800</v>
      </c>
      <c r="T314" s="16" t="s">
        <v>3726</v>
      </c>
      <c r="U314" s="16" t="s">
        <v>3801</v>
      </c>
      <c r="V314" s="16" t="s">
        <v>3802</v>
      </c>
      <c r="W314" s="16" t="s">
        <v>76</v>
      </c>
      <c r="X314" s="16" t="s">
        <v>77</v>
      </c>
      <c r="Y314" s="16" t="s">
        <v>1992</v>
      </c>
      <c r="Z314" s="16" t="s">
        <v>3803</v>
      </c>
      <c r="AA314" s="16" t="s">
        <v>1649</v>
      </c>
      <c r="AB314" s="16" t="s">
        <v>3267</v>
      </c>
      <c r="AC314" s="16" t="s">
        <v>3804</v>
      </c>
      <c r="AD314" s="16" t="s">
        <v>3805</v>
      </c>
      <c r="AE314" s="16" t="s">
        <v>84</v>
      </c>
      <c r="AF314" s="16" t="s">
        <v>84</v>
      </c>
      <c r="AG314" s="16">
        <v>269</v>
      </c>
      <c r="AH314" s="16">
        <v>269</v>
      </c>
      <c r="AI314" s="17">
        <v>269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 t="s">
        <v>85</v>
      </c>
      <c r="AP314" s="16" t="s">
        <v>3806</v>
      </c>
      <c r="AQ314" s="16" t="s">
        <v>3807</v>
      </c>
      <c r="AR314" s="16" t="s">
        <v>88</v>
      </c>
      <c r="AS314" s="16" t="s">
        <v>3808</v>
      </c>
      <c r="AT314" s="16">
        <v>13.45</v>
      </c>
      <c r="AU314" s="16" t="s">
        <v>90</v>
      </c>
      <c r="AV314" s="16">
        <v>1.5</v>
      </c>
      <c r="AW314" s="16" t="s">
        <v>115</v>
      </c>
      <c r="AX314" s="16" t="s">
        <v>116</v>
      </c>
      <c r="AY314" s="16" t="s">
        <v>117</v>
      </c>
      <c r="AZ314" s="16" t="s">
        <v>118</v>
      </c>
      <c r="BA314" s="16" t="s">
        <v>119</v>
      </c>
      <c r="BB314" s="16">
        <v>0</v>
      </c>
      <c r="BC314" s="16" t="s">
        <v>84</v>
      </c>
      <c r="BD314" s="16" t="s">
        <v>90</v>
      </c>
      <c r="BE314" s="16" t="s">
        <v>2614</v>
      </c>
      <c r="BF314" s="16" t="s">
        <v>2615</v>
      </c>
      <c r="BG314" s="16" t="s">
        <v>2616</v>
      </c>
      <c r="BH314" s="16" t="s">
        <v>3809</v>
      </c>
      <c r="BI314" s="16" t="s">
        <v>324</v>
      </c>
      <c r="BJ314" s="16">
        <v>269</v>
      </c>
      <c r="BK314" s="16">
        <v>269</v>
      </c>
      <c r="BL314" s="16">
        <v>269</v>
      </c>
      <c r="BM314" s="16" t="s">
        <v>96</v>
      </c>
      <c r="BN314" s="16">
        <v>1</v>
      </c>
      <c r="BO314" s="16" t="s">
        <v>84</v>
      </c>
      <c r="BP314" s="16" t="s">
        <v>84</v>
      </c>
      <c r="BQ314" s="16" t="s">
        <v>84</v>
      </c>
      <c r="BR314" s="16" t="s">
        <v>97</v>
      </c>
      <c r="BS314" s="16" t="s">
        <v>98</v>
      </c>
      <c r="BT314" s="16">
        <v>0</v>
      </c>
    </row>
    <row r="315" s="1" customFormat="1" ht="16" customHeight="1" spans="1:72">
      <c r="A315" s="14">
        <f t="shared" si="65"/>
        <v>2025</v>
      </c>
      <c r="B315" s="14">
        <f t="shared" si="66"/>
        <v>8</v>
      </c>
      <c r="C315" s="14" t="str">
        <f t="shared" si="67"/>
        <v>3729691714018223360</v>
      </c>
      <c r="D315" s="14" cm="1">
        <f t="array" ref="D315">SUMPRODUCT(($R$2:$R$374=C315)*1)</f>
        <v>1</v>
      </c>
      <c r="E315" s="14" cm="1">
        <f t="array" ref="E315">SUMPRODUCT(($R$2:R315=C315)*1)</f>
        <v>1</v>
      </c>
      <c r="F315" s="15" t="str">
        <f t="shared" si="68"/>
        <v>Z858-黑色-L</v>
      </c>
      <c r="G315" s="14" t="str">
        <f t="shared" si="69"/>
        <v>Z858</v>
      </c>
      <c r="H315" s="15">
        <f t="shared" si="70"/>
        <v>1</v>
      </c>
      <c r="I315" s="14">
        <f t="shared" si="71"/>
        <v>269</v>
      </c>
      <c r="J315" s="15">
        <f t="shared" si="72"/>
        <v>0</v>
      </c>
      <c r="K315" s="15">
        <f t="shared" si="73"/>
        <v>0</v>
      </c>
      <c r="L315" s="15">
        <f t="shared" si="74"/>
        <v>-13.45</v>
      </c>
      <c r="M315" s="15">
        <f t="shared" si="75"/>
        <v>0</v>
      </c>
      <c r="N315" s="15">
        <f t="shared" si="76"/>
        <v>-1.5</v>
      </c>
      <c r="O315" s="15">
        <f t="shared" si="77"/>
        <v>254.05</v>
      </c>
      <c r="R315" s="16" t="s">
        <v>3810</v>
      </c>
      <c r="S315" s="16" t="s">
        <v>3811</v>
      </c>
      <c r="T315" s="16" t="s">
        <v>3726</v>
      </c>
      <c r="U315" s="16" t="s">
        <v>3812</v>
      </c>
      <c r="V315" s="16" t="s">
        <v>3813</v>
      </c>
      <c r="W315" s="16" t="s">
        <v>76</v>
      </c>
      <c r="X315" s="16" t="s">
        <v>77</v>
      </c>
      <c r="Y315" s="16" t="s">
        <v>692</v>
      </c>
      <c r="Z315" s="16" t="s">
        <v>3814</v>
      </c>
      <c r="AA315" s="16" t="s">
        <v>799</v>
      </c>
      <c r="AB315" s="16" t="s">
        <v>1614</v>
      </c>
      <c r="AC315" s="16" t="s">
        <v>3815</v>
      </c>
      <c r="AD315" s="16" t="s">
        <v>3816</v>
      </c>
      <c r="AE315" s="16" t="s">
        <v>84</v>
      </c>
      <c r="AF315" s="16" t="s">
        <v>84</v>
      </c>
      <c r="AG315" s="16">
        <v>269</v>
      </c>
      <c r="AH315" s="16">
        <v>269</v>
      </c>
      <c r="AI315" s="17">
        <v>269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 t="s">
        <v>137</v>
      </c>
      <c r="AP315" s="16" t="s">
        <v>3817</v>
      </c>
      <c r="AQ315" s="16" t="s">
        <v>3818</v>
      </c>
      <c r="AR315" s="16" t="s">
        <v>88</v>
      </c>
      <c r="AS315" s="16" t="s">
        <v>3819</v>
      </c>
      <c r="AT315" s="16">
        <v>13.45</v>
      </c>
      <c r="AU315" s="16" t="s">
        <v>90</v>
      </c>
      <c r="AV315" s="16">
        <v>1.5</v>
      </c>
      <c r="AW315" s="16" t="s">
        <v>115</v>
      </c>
      <c r="AX315" s="16" t="s">
        <v>116</v>
      </c>
      <c r="AY315" s="16" t="s">
        <v>117</v>
      </c>
      <c r="AZ315" s="16" t="s">
        <v>118</v>
      </c>
      <c r="BA315" s="16" t="s">
        <v>119</v>
      </c>
      <c r="BB315" s="16">
        <v>0</v>
      </c>
      <c r="BC315" s="16" t="s">
        <v>84</v>
      </c>
      <c r="BD315" s="16" t="s">
        <v>90</v>
      </c>
      <c r="BE315" s="16" t="s">
        <v>2614</v>
      </c>
      <c r="BF315" s="16" t="s">
        <v>2615</v>
      </c>
      <c r="BG315" s="16" t="s">
        <v>2616</v>
      </c>
      <c r="BH315" s="16" t="s">
        <v>3809</v>
      </c>
      <c r="BI315" s="16" t="s">
        <v>324</v>
      </c>
      <c r="BJ315" s="16">
        <v>269</v>
      </c>
      <c r="BK315" s="16">
        <v>269</v>
      </c>
      <c r="BL315" s="16">
        <v>269</v>
      </c>
      <c r="BM315" s="16" t="s">
        <v>96</v>
      </c>
      <c r="BN315" s="16">
        <v>1</v>
      </c>
      <c r="BO315" s="16" t="s">
        <v>84</v>
      </c>
      <c r="BP315" s="16" t="s">
        <v>84</v>
      </c>
      <c r="BQ315" s="16" t="s">
        <v>84</v>
      </c>
      <c r="BR315" s="16" t="s">
        <v>97</v>
      </c>
      <c r="BS315" s="16" t="s">
        <v>2322</v>
      </c>
      <c r="BT315" s="16">
        <v>0</v>
      </c>
    </row>
    <row r="316" s="1" customFormat="1" ht="16" customHeight="1" spans="1:72">
      <c r="A316" s="14">
        <f t="shared" si="65"/>
        <v>2025</v>
      </c>
      <c r="B316" s="14">
        <f t="shared" si="66"/>
        <v>8</v>
      </c>
      <c r="C316" s="14" t="str">
        <f t="shared" si="67"/>
        <v>3729691709498597632</v>
      </c>
      <c r="D316" s="14" cm="1">
        <f t="array" ref="D316">SUMPRODUCT(($R$2:$R$374=C316)*1)</f>
        <v>1</v>
      </c>
      <c r="E316" s="14" cm="1">
        <f t="array" ref="E316">SUMPRODUCT(($R$2:R316=C316)*1)</f>
        <v>1</v>
      </c>
      <c r="F316" s="15" t="str">
        <f t="shared" si="68"/>
        <v>Z858-黑色-M</v>
      </c>
      <c r="G316" s="14" t="str">
        <f t="shared" si="69"/>
        <v>Z858</v>
      </c>
      <c r="H316" s="15">
        <f t="shared" si="70"/>
        <v>1</v>
      </c>
      <c r="I316" s="14">
        <f t="shared" si="71"/>
        <v>269</v>
      </c>
      <c r="J316" s="15">
        <f t="shared" si="72"/>
        <v>0</v>
      </c>
      <c r="K316" s="15">
        <f t="shared" si="73"/>
        <v>10</v>
      </c>
      <c r="L316" s="15">
        <f t="shared" si="74"/>
        <v>-13.45</v>
      </c>
      <c r="M316" s="15">
        <f t="shared" si="75"/>
        <v>0</v>
      </c>
      <c r="N316" s="15">
        <f t="shared" si="76"/>
        <v>-1.5</v>
      </c>
      <c r="O316" s="15">
        <f t="shared" si="77"/>
        <v>264.05</v>
      </c>
      <c r="R316" s="16" t="s">
        <v>3820</v>
      </c>
      <c r="S316" s="16" t="s">
        <v>3821</v>
      </c>
      <c r="T316" s="16" t="s">
        <v>3822</v>
      </c>
      <c r="U316" s="16" t="s">
        <v>3823</v>
      </c>
      <c r="V316" s="16" t="s">
        <v>3824</v>
      </c>
      <c r="W316" s="16" t="s">
        <v>76</v>
      </c>
      <c r="X316" s="16" t="s">
        <v>77</v>
      </c>
      <c r="Y316" s="16" t="s">
        <v>3825</v>
      </c>
      <c r="Z316" s="16" t="s">
        <v>3826</v>
      </c>
      <c r="AA316" s="16" t="s">
        <v>207</v>
      </c>
      <c r="AB316" s="16" t="s">
        <v>3827</v>
      </c>
      <c r="AC316" s="16" t="s">
        <v>3828</v>
      </c>
      <c r="AD316" s="16" t="s">
        <v>3829</v>
      </c>
      <c r="AE316" s="16" t="s">
        <v>84</v>
      </c>
      <c r="AF316" s="16" t="s">
        <v>84</v>
      </c>
      <c r="AG316" s="16">
        <v>269</v>
      </c>
      <c r="AH316" s="16">
        <v>279</v>
      </c>
      <c r="AI316" s="17">
        <v>279</v>
      </c>
      <c r="AJ316" s="16">
        <v>10</v>
      </c>
      <c r="AK316" s="16">
        <v>0</v>
      </c>
      <c r="AL316" s="16">
        <v>0</v>
      </c>
      <c r="AM316" s="16">
        <v>0</v>
      </c>
      <c r="AN316" s="16">
        <v>0</v>
      </c>
      <c r="AO316" s="16" t="s">
        <v>137</v>
      </c>
      <c r="AP316" s="16" t="s">
        <v>3830</v>
      </c>
      <c r="AQ316" s="16" t="s">
        <v>3831</v>
      </c>
      <c r="AR316" s="16" t="s">
        <v>88</v>
      </c>
      <c r="AS316" s="16" t="s">
        <v>3832</v>
      </c>
      <c r="AT316" s="16">
        <v>13.45</v>
      </c>
      <c r="AU316" s="16" t="s">
        <v>90</v>
      </c>
      <c r="AV316" s="16">
        <v>1.5</v>
      </c>
      <c r="AW316" s="16" t="s">
        <v>115</v>
      </c>
      <c r="AX316" s="16" t="s">
        <v>116</v>
      </c>
      <c r="AY316" s="16" t="s">
        <v>117</v>
      </c>
      <c r="AZ316" s="16" t="s">
        <v>118</v>
      </c>
      <c r="BA316" s="16" t="s">
        <v>119</v>
      </c>
      <c r="BB316" s="16">
        <v>0</v>
      </c>
      <c r="BC316" s="16" t="s">
        <v>84</v>
      </c>
      <c r="BD316" s="16" t="s">
        <v>90</v>
      </c>
      <c r="BE316" s="16" t="s">
        <v>2614</v>
      </c>
      <c r="BF316" s="16" t="s">
        <v>2615</v>
      </c>
      <c r="BG316" s="16" t="s">
        <v>2616</v>
      </c>
      <c r="BH316" s="16" t="s">
        <v>3833</v>
      </c>
      <c r="BI316" s="16" t="s">
        <v>273</v>
      </c>
      <c r="BJ316" s="16">
        <v>269</v>
      </c>
      <c r="BK316" s="16">
        <v>269</v>
      </c>
      <c r="BL316" s="16">
        <v>269</v>
      </c>
      <c r="BM316" s="16" t="s">
        <v>96</v>
      </c>
      <c r="BN316" s="16">
        <v>1</v>
      </c>
      <c r="BO316" s="16" t="s">
        <v>84</v>
      </c>
      <c r="BP316" s="16" t="s">
        <v>84</v>
      </c>
      <c r="BQ316" s="16" t="s">
        <v>84</v>
      </c>
      <c r="BR316" s="16" t="s">
        <v>97</v>
      </c>
      <c r="BS316" s="16" t="s">
        <v>98</v>
      </c>
      <c r="BT316" s="16">
        <v>0</v>
      </c>
    </row>
    <row r="317" s="1" customFormat="1" ht="16" customHeight="1" spans="1:72">
      <c r="A317" s="14">
        <f t="shared" si="65"/>
        <v>2025</v>
      </c>
      <c r="B317" s="14">
        <f t="shared" si="66"/>
        <v>8</v>
      </c>
      <c r="C317" s="14" t="str">
        <f t="shared" si="67"/>
        <v>3729691708976403456</v>
      </c>
      <c r="D317" s="14" cm="1">
        <f t="array" ref="D317">SUMPRODUCT(($R$2:$R$374=C317)*1)</f>
        <v>1</v>
      </c>
      <c r="E317" s="14" cm="1">
        <f t="array" ref="E317">SUMPRODUCT(($R$2:R317=C317)*1)</f>
        <v>1</v>
      </c>
      <c r="F317" s="15" t="str">
        <f t="shared" si="68"/>
        <v>Z858-黑色-L</v>
      </c>
      <c r="G317" s="14" t="str">
        <f t="shared" si="69"/>
        <v>Z858</v>
      </c>
      <c r="H317" s="15">
        <f t="shared" si="70"/>
        <v>1</v>
      </c>
      <c r="I317" s="14">
        <f t="shared" si="71"/>
        <v>269</v>
      </c>
      <c r="J317" s="15">
        <f t="shared" si="72"/>
        <v>0</v>
      </c>
      <c r="K317" s="15">
        <f t="shared" si="73"/>
        <v>0</v>
      </c>
      <c r="L317" s="15">
        <f t="shared" si="74"/>
        <v>-13.45</v>
      </c>
      <c r="M317" s="15">
        <f t="shared" si="75"/>
        <v>0</v>
      </c>
      <c r="N317" s="15">
        <f t="shared" si="76"/>
        <v>-1.5</v>
      </c>
      <c r="O317" s="15">
        <f t="shared" si="77"/>
        <v>254.05</v>
      </c>
      <c r="R317" s="16" t="s">
        <v>3834</v>
      </c>
      <c r="S317" s="16" t="s">
        <v>3835</v>
      </c>
      <c r="T317" s="16" t="s">
        <v>3726</v>
      </c>
      <c r="U317" s="16" t="s">
        <v>3836</v>
      </c>
      <c r="V317" s="16" t="s">
        <v>3837</v>
      </c>
      <c r="W317" s="16" t="s">
        <v>76</v>
      </c>
      <c r="X317" s="16" t="s">
        <v>77</v>
      </c>
      <c r="Y317" s="16" t="s">
        <v>1510</v>
      </c>
      <c r="Z317" s="16" t="s">
        <v>3838</v>
      </c>
      <c r="AA317" s="16" t="s">
        <v>1365</v>
      </c>
      <c r="AB317" s="16" t="s">
        <v>3839</v>
      </c>
      <c r="AC317" s="16" t="s">
        <v>3840</v>
      </c>
      <c r="AD317" s="16" t="s">
        <v>3841</v>
      </c>
      <c r="AE317" s="16" t="s">
        <v>84</v>
      </c>
      <c r="AF317" s="16" t="s">
        <v>84</v>
      </c>
      <c r="AG317" s="16">
        <v>269</v>
      </c>
      <c r="AH317" s="16">
        <v>269</v>
      </c>
      <c r="AI317" s="17">
        <v>269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 t="s">
        <v>137</v>
      </c>
      <c r="AP317" s="16" t="s">
        <v>3842</v>
      </c>
      <c r="AQ317" s="16" t="s">
        <v>3843</v>
      </c>
      <c r="AR317" s="16" t="s">
        <v>88</v>
      </c>
      <c r="AS317" s="16" t="s">
        <v>3844</v>
      </c>
      <c r="AT317" s="16">
        <v>13.45</v>
      </c>
      <c r="AU317" s="16" t="s">
        <v>90</v>
      </c>
      <c r="AV317" s="16">
        <v>1.5</v>
      </c>
      <c r="AW317" s="16" t="s">
        <v>115</v>
      </c>
      <c r="AX317" s="16" t="s">
        <v>116</v>
      </c>
      <c r="AY317" s="16" t="s">
        <v>117</v>
      </c>
      <c r="AZ317" s="16" t="s">
        <v>118</v>
      </c>
      <c r="BA317" s="16" t="s">
        <v>119</v>
      </c>
      <c r="BB317" s="16">
        <v>0</v>
      </c>
      <c r="BC317" s="16" t="s">
        <v>84</v>
      </c>
      <c r="BD317" s="16" t="s">
        <v>90</v>
      </c>
      <c r="BE317" s="16" t="s">
        <v>2614</v>
      </c>
      <c r="BF317" s="16" t="s">
        <v>2615</v>
      </c>
      <c r="BG317" s="16" t="s">
        <v>2616</v>
      </c>
      <c r="BH317" s="16" t="s">
        <v>3809</v>
      </c>
      <c r="BI317" s="16" t="s">
        <v>324</v>
      </c>
      <c r="BJ317" s="16">
        <v>269</v>
      </c>
      <c r="BK317" s="16">
        <v>269</v>
      </c>
      <c r="BL317" s="16">
        <v>269</v>
      </c>
      <c r="BM317" s="16" t="s">
        <v>96</v>
      </c>
      <c r="BN317" s="16">
        <v>1</v>
      </c>
      <c r="BO317" s="16" t="s">
        <v>84</v>
      </c>
      <c r="BP317" s="16" t="s">
        <v>84</v>
      </c>
      <c r="BQ317" s="16" t="s">
        <v>84</v>
      </c>
      <c r="BR317" s="16" t="s">
        <v>97</v>
      </c>
      <c r="BS317" s="16" t="s">
        <v>98</v>
      </c>
      <c r="BT317" s="16">
        <v>0</v>
      </c>
    </row>
    <row r="318" s="1" customFormat="1" ht="16" customHeight="1" spans="1:72">
      <c r="A318" s="14">
        <f t="shared" si="65"/>
        <v>2025</v>
      </c>
      <c r="B318" s="14">
        <f t="shared" si="66"/>
        <v>8</v>
      </c>
      <c r="C318" s="14" t="str">
        <f t="shared" si="67"/>
        <v>3729691709137893376</v>
      </c>
      <c r="D318" s="14" cm="1">
        <f t="array" ref="D318">SUMPRODUCT(($R$2:$R$374=C318)*1)</f>
        <v>1</v>
      </c>
      <c r="E318" s="14" cm="1">
        <f t="array" ref="E318">SUMPRODUCT(($R$2:R318=C318)*1)</f>
        <v>1</v>
      </c>
      <c r="F318" s="15" t="str">
        <f t="shared" si="68"/>
        <v>Z858-黑色-L</v>
      </c>
      <c r="G318" s="14" t="str">
        <f t="shared" si="69"/>
        <v>Z858</v>
      </c>
      <c r="H318" s="15">
        <f t="shared" si="70"/>
        <v>1</v>
      </c>
      <c r="I318" s="14">
        <f t="shared" si="71"/>
        <v>269</v>
      </c>
      <c r="J318" s="15">
        <f t="shared" si="72"/>
        <v>0</v>
      </c>
      <c r="K318" s="15">
        <f t="shared" si="73"/>
        <v>0</v>
      </c>
      <c r="L318" s="15">
        <f t="shared" si="74"/>
        <v>-13.45</v>
      </c>
      <c r="M318" s="15">
        <f t="shared" si="75"/>
        <v>0</v>
      </c>
      <c r="N318" s="15">
        <f t="shared" si="76"/>
        <v>-1.5</v>
      </c>
      <c r="O318" s="15">
        <f t="shared" si="77"/>
        <v>254.05</v>
      </c>
      <c r="R318" s="16" t="s">
        <v>3845</v>
      </c>
      <c r="S318" s="16" t="s">
        <v>3835</v>
      </c>
      <c r="T318" s="16" t="s">
        <v>3726</v>
      </c>
      <c r="U318" s="16" t="s">
        <v>3846</v>
      </c>
      <c r="V318" s="16" t="s">
        <v>3847</v>
      </c>
      <c r="W318" s="16" t="s">
        <v>76</v>
      </c>
      <c r="X318" s="16" t="s">
        <v>77</v>
      </c>
      <c r="Y318" s="16" t="s">
        <v>1594</v>
      </c>
      <c r="Z318" s="16" t="s">
        <v>1595</v>
      </c>
      <c r="AA318" s="16" t="s">
        <v>153</v>
      </c>
      <c r="AB318" s="16" t="s">
        <v>153</v>
      </c>
      <c r="AC318" s="16" t="s">
        <v>1596</v>
      </c>
      <c r="AD318" s="16" t="s">
        <v>1597</v>
      </c>
      <c r="AE318" s="16" t="s">
        <v>84</v>
      </c>
      <c r="AF318" s="16" t="s">
        <v>84</v>
      </c>
      <c r="AG318" s="16">
        <v>269</v>
      </c>
      <c r="AH318" s="16">
        <v>269</v>
      </c>
      <c r="AI318" s="17">
        <v>269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 t="s">
        <v>137</v>
      </c>
      <c r="AP318" s="16" t="s">
        <v>3848</v>
      </c>
      <c r="AQ318" s="16" t="s">
        <v>3849</v>
      </c>
      <c r="AR318" s="16" t="s">
        <v>88</v>
      </c>
      <c r="AS318" s="16" t="s">
        <v>3850</v>
      </c>
      <c r="AT318" s="16">
        <v>13.45</v>
      </c>
      <c r="AU318" s="16" t="s">
        <v>90</v>
      </c>
      <c r="AV318" s="16">
        <v>1.5</v>
      </c>
      <c r="AW318" s="16" t="s">
        <v>115</v>
      </c>
      <c r="AX318" s="16" t="s">
        <v>116</v>
      </c>
      <c r="AY318" s="16" t="s">
        <v>117</v>
      </c>
      <c r="AZ318" s="16" t="s">
        <v>118</v>
      </c>
      <c r="BA318" s="16" t="s">
        <v>119</v>
      </c>
      <c r="BB318" s="16">
        <v>0</v>
      </c>
      <c r="BC318" s="16" t="s">
        <v>84</v>
      </c>
      <c r="BD318" s="16" t="s">
        <v>90</v>
      </c>
      <c r="BE318" s="16" t="s">
        <v>2614</v>
      </c>
      <c r="BF318" s="16" t="s">
        <v>2615</v>
      </c>
      <c r="BG318" s="16" t="s">
        <v>2616</v>
      </c>
      <c r="BH318" s="16" t="s">
        <v>3809</v>
      </c>
      <c r="BI318" s="16" t="s">
        <v>324</v>
      </c>
      <c r="BJ318" s="16">
        <v>269</v>
      </c>
      <c r="BK318" s="16">
        <v>269</v>
      </c>
      <c r="BL318" s="16">
        <v>269</v>
      </c>
      <c r="BM318" s="16" t="s">
        <v>96</v>
      </c>
      <c r="BN318" s="16">
        <v>1</v>
      </c>
      <c r="BO318" s="16" t="s">
        <v>84</v>
      </c>
      <c r="BP318" s="16" t="s">
        <v>84</v>
      </c>
      <c r="BQ318" s="16" t="s">
        <v>84</v>
      </c>
      <c r="BR318" s="16" t="s">
        <v>97</v>
      </c>
      <c r="BS318" s="16" t="s">
        <v>98</v>
      </c>
      <c r="BT318" s="16">
        <v>0</v>
      </c>
    </row>
    <row r="319" s="1" customFormat="1" ht="16" customHeight="1" spans="1:72">
      <c r="A319" s="14">
        <f t="shared" si="65"/>
        <v>2025</v>
      </c>
      <c r="B319" s="14">
        <f t="shared" si="66"/>
        <v>8</v>
      </c>
      <c r="C319" s="14" t="str">
        <f t="shared" si="67"/>
        <v>3729691707352686336</v>
      </c>
      <c r="D319" s="14" cm="1">
        <f t="array" ref="D319">SUMPRODUCT(($R$2:$R$374=C319)*1)</f>
        <v>1</v>
      </c>
      <c r="E319" s="14" cm="1">
        <f t="array" ref="E319">SUMPRODUCT(($R$2:R319=C319)*1)</f>
        <v>1</v>
      </c>
      <c r="F319" s="15" t="str">
        <f t="shared" si="68"/>
        <v>Z858-黑色-S</v>
      </c>
      <c r="G319" s="14" t="str">
        <f t="shared" si="69"/>
        <v>Z858</v>
      </c>
      <c r="H319" s="15">
        <f t="shared" si="70"/>
        <v>1</v>
      </c>
      <c r="I319" s="14">
        <f t="shared" si="71"/>
        <v>269</v>
      </c>
      <c r="J319" s="15">
        <f t="shared" si="72"/>
        <v>0</v>
      </c>
      <c r="K319" s="15">
        <f t="shared" si="73"/>
        <v>0</v>
      </c>
      <c r="L319" s="15">
        <f t="shared" si="74"/>
        <v>-13.45</v>
      </c>
      <c r="M319" s="15">
        <f t="shared" si="75"/>
        <v>0</v>
      </c>
      <c r="N319" s="15">
        <f t="shared" si="76"/>
        <v>-1.5</v>
      </c>
      <c r="O319" s="15">
        <f t="shared" si="77"/>
        <v>254.05</v>
      </c>
      <c r="R319" s="16" t="s">
        <v>3851</v>
      </c>
      <c r="S319" s="16" t="s">
        <v>3852</v>
      </c>
      <c r="T319" s="16" t="s">
        <v>3853</v>
      </c>
      <c r="U319" s="16" t="s">
        <v>3854</v>
      </c>
      <c r="V319" s="16" t="s">
        <v>3855</v>
      </c>
      <c r="W319" s="16" t="s">
        <v>76</v>
      </c>
      <c r="X319" s="16" t="s">
        <v>77</v>
      </c>
      <c r="Y319" s="16" t="s">
        <v>3856</v>
      </c>
      <c r="Z319" s="16" t="s">
        <v>2396</v>
      </c>
      <c r="AA319" s="16" t="s">
        <v>107</v>
      </c>
      <c r="AB319" s="16" t="s">
        <v>2397</v>
      </c>
      <c r="AC319" s="16" t="s">
        <v>2398</v>
      </c>
      <c r="AD319" s="16" t="s">
        <v>3857</v>
      </c>
      <c r="AE319" s="16" t="s">
        <v>84</v>
      </c>
      <c r="AF319" s="16" t="s">
        <v>84</v>
      </c>
      <c r="AG319" s="16">
        <v>269</v>
      </c>
      <c r="AH319" s="16">
        <v>269</v>
      </c>
      <c r="AI319" s="17">
        <v>269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 t="s">
        <v>137</v>
      </c>
      <c r="AP319" s="16" t="s">
        <v>3835</v>
      </c>
      <c r="AQ319" s="16" t="s">
        <v>3858</v>
      </c>
      <c r="AR319" s="16" t="s">
        <v>88</v>
      </c>
      <c r="AS319" s="16" t="s">
        <v>3859</v>
      </c>
      <c r="AT319" s="16">
        <v>13.45</v>
      </c>
      <c r="AU319" s="16" t="s">
        <v>90</v>
      </c>
      <c r="AV319" s="16">
        <v>1.5</v>
      </c>
      <c r="AW319" s="16" t="s">
        <v>115</v>
      </c>
      <c r="AX319" s="16" t="s">
        <v>116</v>
      </c>
      <c r="AY319" s="16" t="s">
        <v>117</v>
      </c>
      <c r="AZ319" s="16" t="s">
        <v>118</v>
      </c>
      <c r="BA319" s="16" t="s">
        <v>119</v>
      </c>
      <c r="BB319" s="16">
        <v>0</v>
      </c>
      <c r="BC319" s="16" t="s">
        <v>84</v>
      </c>
      <c r="BD319" s="16" t="s">
        <v>90</v>
      </c>
      <c r="BE319" s="16" t="s">
        <v>2614</v>
      </c>
      <c r="BF319" s="16" t="s">
        <v>2615</v>
      </c>
      <c r="BG319" s="16" t="s">
        <v>2616</v>
      </c>
      <c r="BH319" s="16" t="s">
        <v>2617</v>
      </c>
      <c r="BI319" s="16" t="s">
        <v>2618</v>
      </c>
      <c r="BJ319" s="16">
        <v>269</v>
      </c>
      <c r="BK319" s="16">
        <v>269</v>
      </c>
      <c r="BL319" s="16">
        <v>269</v>
      </c>
      <c r="BM319" s="16" t="s">
        <v>96</v>
      </c>
      <c r="BN319" s="16">
        <v>1</v>
      </c>
      <c r="BO319" s="16" t="s">
        <v>84</v>
      </c>
      <c r="BP319" s="16" t="s">
        <v>84</v>
      </c>
      <c r="BQ319" s="16" t="s">
        <v>84</v>
      </c>
      <c r="BR319" s="16" t="s">
        <v>97</v>
      </c>
      <c r="BS319" s="16" t="s">
        <v>98</v>
      </c>
      <c r="BT319" s="16">
        <v>0</v>
      </c>
    </row>
    <row r="320" s="1" customFormat="1" ht="16" customHeight="1" spans="1:72">
      <c r="A320" s="14">
        <f t="shared" si="65"/>
        <v>2025</v>
      </c>
      <c r="B320" s="14">
        <f t="shared" si="66"/>
        <v>8</v>
      </c>
      <c r="C320" s="14" t="str">
        <f t="shared" si="67"/>
        <v>3729691645016155648</v>
      </c>
      <c r="D320" s="14" cm="1">
        <f t="array" ref="D320">SUMPRODUCT(($R$2:$R$374=C320)*1)</f>
        <v>1</v>
      </c>
      <c r="E320" s="14" cm="1">
        <f t="array" ref="E320">SUMPRODUCT(($R$2:R320=C320)*1)</f>
        <v>1</v>
      </c>
      <c r="F320" s="15" t="str">
        <f t="shared" si="68"/>
        <v>Z2183-黑色-L</v>
      </c>
      <c r="G320" s="14" t="str">
        <f t="shared" si="69"/>
        <v>Z2183</v>
      </c>
      <c r="H320" s="15">
        <f t="shared" si="70"/>
        <v>1</v>
      </c>
      <c r="I320" s="14">
        <f t="shared" si="71"/>
        <v>129</v>
      </c>
      <c r="J320" s="15">
        <f t="shared" si="72"/>
        <v>0</v>
      </c>
      <c r="K320" s="15">
        <f t="shared" si="73"/>
        <v>0</v>
      </c>
      <c r="L320" s="15">
        <f t="shared" si="74"/>
        <v>-6.45</v>
      </c>
      <c r="M320" s="15">
        <f t="shared" si="75"/>
        <v>0</v>
      </c>
      <c r="N320" s="15">
        <f t="shared" si="76"/>
        <v>-1.5</v>
      </c>
      <c r="O320" s="15">
        <f t="shared" si="77"/>
        <v>121.05</v>
      </c>
      <c r="R320" s="16" t="s">
        <v>3860</v>
      </c>
      <c r="S320" s="16" t="s">
        <v>3861</v>
      </c>
      <c r="T320" s="16" t="s">
        <v>3862</v>
      </c>
      <c r="U320" s="16" t="s">
        <v>3863</v>
      </c>
      <c r="V320" s="16" t="s">
        <v>3864</v>
      </c>
      <c r="W320" s="16" t="s">
        <v>76</v>
      </c>
      <c r="X320" s="16" t="s">
        <v>77</v>
      </c>
      <c r="Y320" s="16" t="s">
        <v>692</v>
      </c>
      <c r="Z320" s="16" t="s">
        <v>3865</v>
      </c>
      <c r="AA320" s="16" t="s">
        <v>80</v>
      </c>
      <c r="AB320" s="16" t="s">
        <v>920</v>
      </c>
      <c r="AC320" s="16" t="s">
        <v>3866</v>
      </c>
      <c r="AD320" s="16" t="s">
        <v>3867</v>
      </c>
      <c r="AE320" s="16" t="s">
        <v>84</v>
      </c>
      <c r="AF320" s="16" t="s">
        <v>84</v>
      </c>
      <c r="AG320" s="16">
        <v>129</v>
      </c>
      <c r="AH320" s="16">
        <v>129</v>
      </c>
      <c r="AI320" s="17">
        <v>129</v>
      </c>
      <c r="AJ320" s="16">
        <v>0</v>
      </c>
      <c r="AK320" s="16">
        <v>0</v>
      </c>
      <c r="AL320" s="16">
        <v>0</v>
      </c>
      <c r="AM320" s="16">
        <v>0</v>
      </c>
      <c r="AN320" s="16">
        <v>0</v>
      </c>
      <c r="AO320" s="16" t="s">
        <v>85</v>
      </c>
      <c r="AP320" s="16" t="s">
        <v>3868</v>
      </c>
      <c r="AQ320" s="16" t="s">
        <v>3869</v>
      </c>
      <c r="AR320" s="16" t="s">
        <v>88</v>
      </c>
      <c r="AS320" s="16" t="s">
        <v>3870</v>
      </c>
      <c r="AT320" s="16">
        <v>6.45</v>
      </c>
      <c r="AU320" s="16" t="s">
        <v>90</v>
      </c>
      <c r="AV320" s="16">
        <v>1.5</v>
      </c>
      <c r="AW320" s="16" t="s">
        <v>115</v>
      </c>
      <c r="AX320" s="16" t="s">
        <v>116</v>
      </c>
      <c r="AY320" s="16" t="s">
        <v>117</v>
      </c>
      <c r="AZ320" s="16" t="s">
        <v>118</v>
      </c>
      <c r="BA320" s="16" t="s">
        <v>119</v>
      </c>
      <c r="BB320" s="16">
        <v>0</v>
      </c>
      <c r="BC320" s="16" t="s">
        <v>84</v>
      </c>
      <c r="BD320" s="16" t="s">
        <v>90</v>
      </c>
      <c r="BE320" s="16" t="s">
        <v>610</v>
      </c>
      <c r="BF320" s="16" t="s">
        <v>611</v>
      </c>
      <c r="BG320" s="16" t="s">
        <v>612</v>
      </c>
      <c r="BH320" s="16" t="s">
        <v>1174</v>
      </c>
      <c r="BI320" s="16" t="s">
        <v>1175</v>
      </c>
      <c r="BJ320" s="16">
        <v>129</v>
      </c>
      <c r="BK320" s="16">
        <v>129</v>
      </c>
      <c r="BL320" s="16">
        <v>129</v>
      </c>
      <c r="BM320" s="16" t="s">
        <v>96</v>
      </c>
      <c r="BN320" s="16">
        <v>1</v>
      </c>
      <c r="BO320" s="16" t="s">
        <v>84</v>
      </c>
      <c r="BP320" s="16" t="s">
        <v>84</v>
      </c>
      <c r="BQ320" s="16" t="s">
        <v>84</v>
      </c>
      <c r="BR320" s="16" t="s">
        <v>97</v>
      </c>
      <c r="BS320" s="16" t="s">
        <v>98</v>
      </c>
      <c r="BT320" s="16">
        <v>0</v>
      </c>
    </row>
    <row r="321" s="1" customFormat="1" ht="16" customHeight="1" spans="1:72">
      <c r="A321" s="14">
        <f t="shared" si="65"/>
        <v>2025</v>
      </c>
      <c r="B321" s="14">
        <f t="shared" si="66"/>
        <v>8</v>
      </c>
      <c r="C321" s="14" t="str">
        <f t="shared" si="67"/>
        <v>3729672710346651136</v>
      </c>
      <c r="D321" s="14" cm="1">
        <f t="array" ref="D321">SUMPRODUCT(($R$2:$R$374=C321)*1)</f>
        <v>1</v>
      </c>
      <c r="E321" s="14" cm="1">
        <f t="array" ref="E321">SUMPRODUCT(($R$2:R321=C321)*1)</f>
        <v>1</v>
      </c>
      <c r="F321" s="15" t="str">
        <f t="shared" si="68"/>
        <v>Z2291-紫色-M</v>
      </c>
      <c r="G321" s="14" t="str">
        <f t="shared" si="69"/>
        <v>Z2291</v>
      </c>
      <c r="H321" s="15">
        <f t="shared" si="70"/>
        <v>1</v>
      </c>
      <c r="I321" s="14">
        <f t="shared" si="71"/>
        <v>189</v>
      </c>
      <c r="J321" s="15">
        <f t="shared" si="72"/>
        <v>0</v>
      </c>
      <c r="K321" s="15">
        <f t="shared" si="73"/>
        <v>0</v>
      </c>
      <c r="L321" s="15">
        <f t="shared" si="74"/>
        <v>-9.45</v>
      </c>
      <c r="M321" s="15">
        <f t="shared" si="75"/>
        <v>0</v>
      </c>
      <c r="N321" s="15">
        <f t="shared" si="76"/>
        <v>-1.5</v>
      </c>
      <c r="O321" s="15">
        <f t="shared" si="77"/>
        <v>178.05</v>
      </c>
      <c r="R321" s="16" t="s">
        <v>3871</v>
      </c>
      <c r="S321" s="16" t="s">
        <v>3872</v>
      </c>
      <c r="T321" s="16" t="s">
        <v>3873</v>
      </c>
      <c r="U321" s="16" t="s">
        <v>3874</v>
      </c>
      <c r="V321" s="16" t="s">
        <v>3875</v>
      </c>
      <c r="W321" s="16" t="s">
        <v>76</v>
      </c>
      <c r="X321" s="16" t="s">
        <v>77</v>
      </c>
      <c r="Y321" s="16" t="s">
        <v>3876</v>
      </c>
      <c r="Z321" s="16" t="s">
        <v>3877</v>
      </c>
      <c r="AA321" s="16" t="s">
        <v>80</v>
      </c>
      <c r="AB321" s="16" t="s">
        <v>1378</v>
      </c>
      <c r="AC321" s="16" t="s">
        <v>3878</v>
      </c>
      <c r="AD321" s="16" t="s">
        <v>3879</v>
      </c>
      <c r="AE321" s="16" t="s">
        <v>84</v>
      </c>
      <c r="AF321" s="16" t="s">
        <v>84</v>
      </c>
      <c r="AG321" s="16">
        <v>189</v>
      </c>
      <c r="AH321" s="16">
        <v>189</v>
      </c>
      <c r="AI321" s="17">
        <v>189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 t="s">
        <v>85</v>
      </c>
      <c r="AP321" s="16" t="s">
        <v>3880</v>
      </c>
      <c r="AQ321" s="16" t="s">
        <v>3881</v>
      </c>
      <c r="AR321" s="16" t="s">
        <v>88</v>
      </c>
      <c r="AS321" s="16" t="s">
        <v>3882</v>
      </c>
      <c r="AT321" s="16">
        <v>9.45</v>
      </c>
      <c r="AU321" s="16" t="s">
        <v>90</v>
      </c>
      <c r="AV321" s="16">
        <v>1.5</v>
      </c>
      <c r="AW321" s="16" t="s">
        <v>115</v>
      </c>
      <c r="AX321" s="16" t="s">
        <v>116</v>
      </c>
      <c r="AY321" s="16" t="s">
        <v>117</v>
      </c>
      <c r="AZ321" s="16" t="s">
        <v>118</v>
      </c>
      <c r="BA321" s="16" t="s">
        <v>119</v>
      </c>
      <c r="BB321" s="16">
        <v>0</v>
      </c>
      <c r="BC321" s="16" t="s">
        <v>84</v>
      </c>
      <c r="BD321" s="16" t="s">
        <v>90</v>
      </c>
      <c r="BE321" s="16" t="s">
        <v>2744</v>
      </c>
      <c r="BF321" s="16" t="s">
        <v>2745</v>
      </c>
      <c r="BG321" s="16" t="s">
        <v>2746</v>
      </c>
      <c r="BH321" s="16" t="s">
        <v>3883</v>
      </c>
      <c r="BI321" s="16" t="s">
        <v>3884</v>
      </c>
      <c r="BJ321" s="16">
        <v>189</v>
      </c>
      <c r="BK321" s="16">
        <v>189</v>
      </c>
      <c r="BL321" s="16">
        <v>189</v>
      </c>
      <c r="BM321" s="16" t="s">
        <v>96</v>
      </c>
      <c r="BN321" s="16">
        <v>1</v>
      </c>
      <c r="BO321" s="16" t="s">
        <v>84</v>
      </c>
      <c r="BP321" s="16" t="s">
        <v>84</v>
      </c>
      <c r="BQ321" s="16" t="s">
        <v>84</v>
      </c>
      <c r="BR321" s="16" t="s">
        <v>97</v>
      </c>
      <c r="BS321" s="16" t="s">
        <v>98</v>
      </c>
      <c r="BT321" s="16">
        <v>0</v>
      </c>
    </row>
    <row r="322" s="1" customFormat="1" ht="16" customHeight="1" spans="1:72">
      <c r="A322" s="14">
        <f t="shared" si="65"/>
        <v>2025</v>
      </c>
      <c r="B322" s="14">
        <f t="shared" si="66"/>
        <v>8</v>
      </c>
      <c r="C322" s="14" t="str">
        <f t="shared" si="67"/>
        <v>3729664490453218560</v>
      </c>
      <c r="D322" s="14" cm="1">
        <f t="array" ref="D322">SUMPRODUCT(($R$2:$R$374=C322)*1)</f>
        <v>1</v>
      </c>
      <c r="E322" s="14" cm="1">
        <f t="array" ref="E322">SUMPRODUCT(($R$2:R322=C322)*1)</f>
        <v>1</v>
      </c>
      <c r="F322" s="15" t="str">
        <f t="shared" si="68"/>
        <v>P105-银色</v>
      </c>
      <c r="G322" s="14" t="str">
        <f t="shared" si="69"/>
        <v>P105</v>
      </c>
      <c r="H322" s="15">
        <f t="shared" si="70"/>
        <v>1</v>
      </c>
      <c r="I322" s="14">
        <f t="shared" si="71"/>
        <v>199</v>
      </c>
      <c r="J322" s="15">
        <f t="shared" si="72"/>
        <v>0</v>
      </c>
      <c r="K322" s="15">
        <f t="shared" si="73"/>
        <v>0</v>
      </c>
      <c r="L322" s="15">
        <f t="shared" si="74"/>
        <v>-1.99</v>
      </c>
      <c r="M322" s="15">
        <f t="shared" si="75"/>
        <v>0</v>
      </c>
      <c r="N322" s="15">
        <f t="shared" si="76"/>
        <v>-1.98</v>
      </c>
      <c r="O322" s="15">
        <f t="shared" si="77"/>
        <v>195.03</v>
      </c>
      <c r="R322" s="16" t="s">
        <v>3885</v>
      </c>
      <c r="S322" s="16" t="s">
        <v>3886</v>
      </c>
      <c r="T322" s="16" t="s">
        <v>3887</v>
      </c>
      <c r="U322" s="16" t="s">
        <v>3888</v>
      </c>
      <c r="V322" s="16" t="s">
        <v>3889</v>
      </c>
      <c r="W322" s="16" t="s">
        <v>76</v>
      </c>
      <c r="X322" s="16" t="s">
        <v>77</v>
      </c>
      <c r="Y322" s="16" t="s">
        <v>529</v>
      </c>
      <c r="Z322" s="16" t="s">
        <v>530</v>
      </c>
      <c r="AA322" s="16" t="s">
        <v>482</v>
      </c>
      <c r="AB322" s="16" t="s">
        <v>483</v>
      </c>
      <c r="AC322" s="16" t="s">
        <v>531</v>
      </c>
      <c r="AD322" s="16" t="s">
        <v>532</v>
      </c>
      <c r="AE322" s="16" t="s">
        <v>84</v>
      </c>
      <c r="AF322" s="16" t="s">
        <v>84</v>
      </c>
      <c r="AG322" s="16">
        <v>199</v>
      </c>
      <c r="AH322" s="16">
        <v>199</v>
      </c>
      <c r="AI322" s="17">
        <v>199</v>
      </c>
      <c r="AJ322" s="16">
        <v>0</v>
      </c>
      <c r="AK322" s="16">
        <v>0</v>
      </c>
      <c r="AL322" s="16">
        <v>0</v>
      </c>
      <c r="AM322" s="16">
        <v>0</v>
      </c>
      <c r="AN322" s="16">
        <v>0</v>
      </c>
      <c r="AO322" s="16" t="s">
        <v>85</v>
      </c>
      <c r="AP322" s="16" t="s">
        <v>3890</v>
      </c>
      <c r="AQ322" s="16" t="s">
        <v>3891</v>
      </c>
      <c r="AR322" s="16" t="s">
        <v>88</v>
      </c>
      <c r="AS322" s="16" t="s">
        <v>3892</v>
      </c>
      <c r="AT322" s="16">
        <v>1.99</v>
      </c>
      <c r="AU322" s="16" t="s">
        <v>90</v>
      </c>
      <c r="AV322" s="16">
        <v>1.98</v>
      </c>
      <c r="AW322" s="16" t="s">
        <v>90</v>
      </c>
      <c r="AX322" s="16" t="s">
        <v>90</v>
      </c>
      <c r="AY322" s="16" t="s">
        <v>90</v>
      </c>
      <c r="AZ322" s="16" t="s">
        <v>90</v>
      </c>
      <c r="BA322" s="16" t="s">
        <v>90</v>
      </c>
      <c r="BB322" s="16">
        <v>0</v>
      </c>
      <c r="BC322" s="16"/>
      <c r="BD322" s="16" t="s">
        <v>90</v>
      </c>
      <c r="BE322" s="16" t="s">
        <v>2813</v>
      </c>
      <c r="BF322" s="16" t="s">
        <v>2814</v>
      </c>
      <c r="BG322" s="16" t="s">
        <v>2815</v>
      </c>
      <c r="BH322" s="16" t="s">
        <v>2816</v>
      </c>
      <c r="BI322" s="16" t="s">
        <v>2817</v>
      </c>
      <c r="BJ322" s="16">
        <v>199</v>
      </c>
      <c r="BK322" s="16">
        <v>199</v>
      </c>
      <c r="BL322" s="16">
        <v>199</v>
      </c>
      <c r="BM322" s="16" t="s">
        <v>96</v>
      </c>
      <c r="BN322" s="16">
        <v>1</v>
      </c>
      <c r="BO322" s="16" t="s">
        <v>84</v>
      </c>
      <c r="BP322" s="16" t="s">
        <v>84</v>
      </c>
      <c r="BQ322" s="16" t="s">
        <v>84</v>
      </c>
      <c r="BR322" s="16" t="s">
        <v>97</v>
      </c>
      <c r="BS322" s="16" t="s">
        <v>98</v>
      </c>
      <c r="BT322" s="16">
        <v>0</v>
      </c>
    </row>
    <row r="323" s="1" customFormat="1" ht="16" customHeight="1" spans="1:72">
      <c r="A323" s="14">
        <f t="shared" si="65"/>
        <v>2025</v>
      </c>
      <c r="B323" s="14">
        <f t="shared" si="66"/>
        <v>8</v>
      </c>
      <c r="C323" s="14" t="str">
        <f t="shared" si="67"/>
        <v>3729653286825244416</v>
      </c>
      <c r="D323" s="14" cm="1">
        <f t="array" ref="D323">SUMPRODUCT(($R$2:$R$374=C323)*1)</f>
        <v>1</v>
      </c>
      <c r="E323" s="14" cm="1">
        <f t="array" ref="E323">SUMPRODUCT(($R$2:R323=C323)*1)</f>
        <v>1</v>
      </c>
      <c r="F323" s="15" t="str">
        <f t="shared" si="68"/>
        <v>Z2183-黑色-L</v>
      </c>
      <c r="G323" s="14" t="str">
        <f t="shared" si="69"/>
        <v>Z2183</v>
      </c>
      <c r="H323" s="15">
        <f t="shared" si="70"/>
        <v>1</v>
      </c>
      <c r="I323" s="14">
        <f t="shared" si="71"/>
        <v>129</v>
      </c>
      <c r="J323" s="15">
        <f t="shared" si="72"/>
        <v>0</v>
      </c>
      <c r="K323" s="15">
        <f t="shared" si="73"/>
        <v>0</v>
      </c>
      <c r="L323" s="15">
        <f t="shared" si="74"/>
        <v>-6.45</v>
      </c>
      <c r="M323" s="15">
        <f t="shared" si="75"/>
        <v>0</v>
      </c>
      <c r="N323" s="15">
        <f t="shared" si="76"/>
        <v>-1.5</v>
      </c>
      <c r="O323" s="15">
        <f t="shared" si="77"/>
        <v>121.05</v>
      </c>
      <c r="R323" s="16" t="s">
        <v>3893</v>
      </c>
      <c r="S323" s="16" t="s">
        <v>3894</v>
      </c>
      <c r="T323" s="16" t="s">
        <v>3895</v>
      </c>
      <c r="U323" s="16" t="s">
        <v>3896</v>
      </c>
      <c r="V323" s="16" t="s">
        <v>3897</v>
      </c>
      <c r="W323" s="16" t="s">
        <v>76</v>
      </c>
      <c r="X323" s="16" t="s">
        <v>77</v>
      </c>
      <c r="Y323" s="16" t="s">
        <v>3898</v>
      </c>
      <c r="Z323" s="16" t="s">
        <v>3540</v>
      </c>
      <c r="AA323" s="16" t="s">
        <v>262</v>
      </c>
      <c r="AB323" s="16" t="s">
        <v>1705</v>
      </c>
      <c r="AC323" s="16" t="s">
        <v>3541</v>
      </c>
      <c r="AD323" s="16" t="s">
        <v>3899</v>
      </c>
      <c r="AE323" s="16" t="s">
        <v>84</v>
      </c>
      <c r="AF323" s="16" t="s">
        <v>84</v>
      </c>
      <c r="AG323" s="16">
        <v>129</v>
      </c>
      <c r="AH323" s="16">
        <v>129</v>
      </c>
      <c r="AI323" s="17">
        <v>129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 t="s">
        <v>85</v>
      </c>
      <c r="AP323" s="16" t="s">
        <v>3900</v>
      </c>
      <c r="AQ323" s="16" t="s">
        <v>3901</v>
      </c>
      <c r="AR323" s="16" t="s">
        <v>88</v>
      </c>
      <c r="AS323" s="16" t="s">
        <v>3902</v>
      </c>
      <c r="AT323" s="16">
        <v>6.45</v>
      </c>
      <c r="AU323" s="16" t="s">
        <v>90</v>
      </c>
      <c r="AV323" s="16">
        <v>1.5</v>
      </c>
      <c r="AW323" s="16" t="s">
        <v>115</v>
      </c>
      <c r="AX323" s="16" t="s">
        <v>116</v>
      </c>
      <c r="AY323" s="16" t="s">
        <v>117</v>
      </c>
      <c r="AZ323" s="16" t="s">
        <v>118</v>
      </c>
      <c r="BA323" s="16" t="s">
        <v>119</v>
      </c>
      <c r="BB323" s="16">
        <v>0</v>
      </c>
      <c r="BC323" s="16" t="s">
        <v>84</v>
      </c>
      <c r="BD323" s="16" t="s">
        <v>90</v>
      </c>
      <c r="BE323" s="16" t="s">
        <v>610</v>
      </c>
      <c r="BF323" s="16" t="s">
        <v>611</v>
      </c>
      <c r="BG323" s="16" t="s">
        <v>612</v>
      </c>
      <c r="BH323" s="16" t="s">
        <v>1174</v>
      </c>
      <c r="BI323" s="16" t="s">
        <v>1175</v>
      </c>
      <c r="BJ323" s="16">
        <v>129</v>
      </c>
      <c r="BK323" s="16">
        <v>129</v>
      </c>
      <c r="BL323" s="16">
        <v>129</v>
      </c>
      <c r="BM323" s="16" t="s">
        <v>96</v>
      </c>
      <c r="BN323" s="16">
        <v>1</v>
      </c>
      <c r="BO323" s="16" t="s">
        <v>84</v>
      </c>
      <c r="BP323" s="16" t="s">
        <v>84</v>
      </c>
      <c r="BQ323" s="16" t="s">
        <v>84</v>
      </c>
      <c r="BR323" s="16" t="s">
        <v>97</v>
      </c>
      <c r="BS323" s="16" t="s">
        <v>98</v>
      </c>
      <c r="BT323" s="16">
        <v>0</v>
      </c>
    </row>
    <row r="324" s="1" customFormat="1" ht="16" customHeight="1" spans="1:72">
      <c r="A324" s="14">
        <f t="shared" si="65"/>
        <v>2025</v>
      </c>
      <c r="B324" s="14">
        <f t="shared" si="66"/>
        <v>8</v>
      </c>
      <c r="C324" s="14" t="str">
        <f t="shared" si="67"/>
        <v>3729652941304246528</v>
      </c>
      <c r="D324" s="14" cm="1">
        <f t="array" ref="D324">SUMPRODUCT(($R$2:$R$374=C324)*1)</f>
        <v>1</v>
      </c>
      <c r="E324" s="14" cm="1">
        <f t="array" ref="E324">SUMPRODUCT(($R$2:R324=C324)*1)</f>
        <v>1</v>
      </c>
      <c r="F324" s="15" t="str">
        <f t="shared" si="68"/>
        <v>Z2183-黑色-M</v>
      </c>
      <c r="G324" s="14" t="str">
        <f t="shared" si="69"/>
        <v>Z2183</v>
      </c>
      <c r="H324" s="15">
        <f t="shared" si="70"/>
        <v>1</v>
      </c>
      <c r="I324" s="14">
        <f t="shared" si="71"/>
        <v>129</v>
      </c>
      <c r="J324" s="15">
        <f t="shared" si="72"/>
        <v>0</v>
      </c>
      <c r="K324" s="15">
        <f t="shared" si="73"/>
        <v>0</v>
      </c>
      <c r="L324" s="15">
        <f t="shared" si="74"/>
        <v>-6.45</v>
      </c>
      <c r="M324" s="15">
        <f t="shared" si="75"/>
        <v>0</v>
      </c>
      <c r="N324" s="15">
        <f t="shared" si="76"/>
        <v>-1.5</v>
      </c>
      <c r="O324" s="15">
        <f t="shared" si="77"/>
        <v>121.05</v>
      </c>
      <c r="R324" s="16" t="s">
        <v>3903</v>
      </c>
      <c r="S324" s="16" t="s">
        <v>3904</v>
      </c>
      <c r="T324" s="16" t="s">
        <v>3905</v>
      </c>
      <c r="U324" s="16" t="s">
        <v>3906</v>
      </c>
      <c r="V324" s="16" t="s">
        <v>3907</v>
      </c>
      <c r="W324" s="16" t="s">
        <v>76</v>
      </c>
      <c r="X324" s="16" t="s">
        <v>77</v>
      </c>
      <c r="Y324" s="16" t="s">
        <v>2430</v>
      </c>
      <c r="Z324" s="16" t="s">
        <v>2273</v>
      </c>
      <c r="AA324" s="16" t="s">
        <v>153</v>
      </c>
      <c r="AB324" s="16" t="s">
        <v>153</v>
      </c>
      <c r="AC324" s="16" t="s">
        <v>2274</v>
      </c>
      <c r="AD324" s="16" t="s">
        <v>3908</v>
      </c>
      <c r="AE324" s="16" t="s">
        <v>84</v>
      </c>
      <c r="AF324" s="16" t="s">
        <v>84</v>
      </c>
      <c r="AG324" s="16">
        <v>129</v>
      </c>
      <c r="AH324" s="16">
        <v>129</v>
      </c>
      <c r="AI324" s="17">
        <v>129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 t="s">
        <v>137</v>
      </c>
      <c r="AP324" s="16" t="s">
        <v>3909</v>
      </c>
      <c r="AQ324" s="16" t="s">
        <v>3910</v>
      </c>
      <c r="AR324" s="16" t="s">
        <v>88</v>
      </c>
      <c r="AS324" s="16" t="s">
        <v>3911</v>
      </c>
      <c r="AT324" s="16">
        <v>6.45</v>
      </c>
      <c r="AU324" s="16" t="s">
        <v>90</v>
      </c>
      <c r="AV324" s="16">
        <v>1.5</v>
      </c>
      <c r="AW324" s="16" t="s">
        <v>115</v>
      </c>
      <c r="AX324" s="16" t="s">
        <v>116</v>
      </c>
      <c r="AY324" s="16" t="s">
        <v>117</v>
      </c>
      <c r="AZ324" s="16" t="s">
        <v>118</v>
      </c>
      <c r="BA324" s="16" t="s">
        <v>119</v>
      </c>
      <c r="BB324" s="16">
        <v>0</v>
      </c>
      <c r="BC324" s="16" t="s">
        <v>84</v>
      </c>
      <c r="BD324" s="16" t="s">
        <v>90</v>
      </c>
      <c r="BE324" s="16" t="s">
        <v>610</v>
      </c>
      <c r="BF324" s="16" t="s">
        <v>611</v>
      </c>
      <c r="BG324" s="16" t="s">
        <v>612</v>
      </c>
      <c r="BH324" s="16" t="s">
        <v>685</v>
      </c>
      <c r="BI324" s="16" t="s">
        <v>686</v>
      </c>
      <c r="BJ324" s="16">
        <v>129</v>
      </c>
      <c r="BK324" s="16">
        <v>129</v>
      </c>
      <c r="BL324" s="16">
        <v>129</v>
      </c>
      <c r="BM324" s="16" t="s">
        <v>96</v>
      </c>
      <c r="BN324" s="16">
        <v>1</v>
      </c>
      <c r="BO324" s="16" t="s">
        <v>84</v>
      </c>
      <c r="BP324" s="16" t="s">
        <v>84</v>
      </c>
      <c r="BQ324" s="16" t="s">
        <v>84</v>
      </c>
      <c r="BR324" s="16" t="s">
        <v>97</v>
      </c>
      <c r="BS324" s="16" t="s">
        <v>98</v>
      </c>
      <c r="BT324" s="16">
        <v>0</v>
      </c>
    </row>
    <row r="325" s="1" customFormat="1" ht="16" customHeight="1" spans="1:72">
      <c r="A325" s="14">
        <f t="shared" si="65"/>
        <v>2025</v>
      </c>
      <c r="B325" s="14">
        <f t="shared" si="66"/>
        <v>8</v>
      </c>
      <c r="C325" s="14" t="str">
        <f t="shared" si="67"/>
        <v>3729652916360197888</v>
      </c>
      <c r="D325" s="14" cm="1">
        <f t="array" ref="D325">SUMPRODUCT(($R$2:$R$374=C325)*1)</f>
        <v>1</v>
      </c>
      <c r="E325" s="14" cm="1">
        <f t="array" ref="E325">SUMPRODUCT(($R$2:R325=C325)*1)</f>
        <v>1</v>
      </c>
      <c r="F325" s="15" t="str">
        <f t="shared" si="68"/>
        <v>Z2183-米白色-M</v>
      </c>
      <c r="G325" s="14" t="str">
        <f t="shared" si="69"/>
        <v>Z2183</v>
      </c>
      <c r="H325" s="15">
        <f t="shared" si="70"/>
        <v>1</v>
      </c>
      <c r="I325" s="14">
        <f t="shared" si="71"/>
        <v>129</v>
      </c>
      <c r="J325" s="15">
        <f t="shared" si="72"/>
        <v>0</v>
      </c>
      <c r="K325" s="15">
        <f t="shared" si="73"/>
        <v>0</v>
      </c>
      <c r="L325" s="15">
        <f t="shared" si="74"/>
        <v>-6.45</v>
      </c>
      <c r="M325" s="15">
        <f t="shared" si="75"/>
        <v>0</v>
      </c>
      <c r="N325" s="15">
        <f t="shared" si="76"/>
        <v>-1.5</v>
      </c>
      <c r="O325" s="15">
        <f t="shared" si="77"/>
        <v>121.05</v>
      </c>
      <c r="R325" s="16" t="s">
        <v>3912</v>
      </c>
      <c r="S325" s="16" t="s">
        <v>3913</v>
      </c>
      <c r="T325" s="16" t="s">
        <v>3914</v>
      </c>
      <c r="U325" s="16" t="s">
        <v>3915</v>
      </c>
      <c r="V325" s="16" t="s">
        <v>3916</v>
      </c>
      <c r="W325" s="16" t="s">
        <v>76</v>
      </c>
      <c r="X325" s="16" t="s">
        <v>77</v>
      </c>
      <c r="Y325" s="16" t="s">
        <v>3917</v>
      </c>
      <c r="Z325" s="16" t="s">
        <v>3152</v>
      </c>
      <c r="AA325" s="16" t="s">
        <v>384</v>
      </c>
      <c r="AB325" s="16" t="s">
        <v>2008</v>
      </c>
      <c r="AC325" s="16" t="s">
        <v>3153</v>
      </c>
      <c r="AD325" s="16" t="s">
        <v>3918</v>
      </c>
      <c r="AE325" s="16" t="s">
        <v>84</v>
      </c>
      <c r="AF325" s="16" t="s">
        <v>84</v>
      </c>
      <c r="AG325" s="16">
        <v>129</v>
      </c>
      <c r="AH325" s="16">
        <v>129</v>
      </c>
      <c r="AI325" s="17">
        <v>129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 t="s">
        <v>137</v>
      </c>
      <c r="AP325" s="16" t="s">
        <v>3919</v>
      </c>
      <c r="AQ325" s="16" t="s">
        <v>3920</v>
      </c>
      <c r="AR325" s="16" t="s">
        <v>88</v>
      </c>
      <c r="AS325" s="16" t="s">
        <v>3921</v>
      </c>
      <c r="AT325" s="16">
        <v>6.45</v>
      </c>
      <c r="AU325" s="16" t="s">
        <v>90</v>
      </c>
      <c r="AV325" s="16">
        <v>1.5</v>
      </c>
      <c r="AW325" s="16" t="s">
        <v>115</v>
      </c>
      <c r="AX325" s="16" t="s">
        <v>116</v>
      </c>
      <c r="AY325" s="16" t="s">
        <v>117</v>
      </c>
      <c r="AZ325" s="16" t="s">
        <v>118</v>
      </c>
      <c r="BA325" s="16" t="s">
        <v>119</v>
      </c>
      <c r="BB325" s="16">
        <v>0</v>
      </c>
      <c r="BC325" s="16" t="s">
        <v>84</v>
      </c>
      <c r="BD325" s="16" t="s">
        <v>90</v>
      </c>
      <c r="BE325" s="16" t="s">
        <v>610</v>
      </c>
      <c r="BF325" s="16" t="s">
        <v>611</v>
      </c>
      <c r="BG325" s="16" t="s">
        <v>612</v>
      </c>
      <c r="BH325" s="16" t="s">
        <v>1141</v>
      </c>
      <c r="BI325" s="16" t="s">
        <v>1142</v>
      </c>
      <c r="BJ325" s="16">
        <v>129</v>
      </c>
      <c r="BK325" s="16">
        <v>129</v>
      </c>
      <c r="BL325" s="16">
        <v>129</v>
      </c>
      <c r="BM325" s="16" t="s">
        <v>96</v>
      </c>
      <c r="BN325" s="16">
        <v>1</v>
      </c>
      <c r="BO325" s="16" t="s">
        <v>84</v>
      </c>
      <c r="BP325" s="16" t="s">
        <v>84</v>
      </c>
      <c r="BQ325" s="16" t="s">
        <v>84</v>
      </c>
      <c r="BR325" s="16" t="s">
        <v>97</v>
      </c>
      <c r="BS325" s="16" t="s">
        <v>98</v>
      </c>
      <c r="BT325" s="16">
        <v>0</v>
      </c>
    </row>
    <row r="326" s="1" customFormat="1" ht="16" customHeight="1" spans="1:72">
      <c r="A326" s="14">
        <f t="shared" si="65"/>
        <v>2025</v>
      </c>
      <c r="B326" s="14">
        <f t="shared" si="66"/>
        <v>8</v>
      </c>
      <c r="C326" s="14" t="str">
        <f t="shared" si="67"/>
        <v>3729652185272296960</v>
      </c>
      <c r="D326" s="14" cm="1">
        <f t="array" ref="D326">SUMPRODUCT(($R$2:$R$374=C326)*1)</f>
        <v>1</v>
      </c>
      <c r="E326" s="14" cm="1">
        <f t="array" ref="E326">SUMPRODUCT(($R$2:R326=C326)*1)</f>
        <v>1</v>
      </c>
      <c r="F326" s="15" t="str">
        <f t="shared" si="68"/>
        <v>Z2183-黑色-M</v>
      </c>
      <c r="G326" s="14" t="str">
        <f t="shared" si="69"/>
        <v>Z2183</v>
      </c>
      <c r="H326" s="15">
        <f t="shared" si="70"/>
        <v>1</v>
      </c>
      <c r="I326" s="14">
        <f t="shared" si="71"/>
        <v>129</v>
      </c>
      <c r="J326" s="15">
        <f t="shared" si="72"/>
        <v>0</v>
      </c>
      <c r="K326" s="15">
        <f t="shared" si="73"/>
        <v>0</v>
      </c>
      <c r="L326" s="15">
        <f t="shared" si="74"/>
        <v>-6.45</v>
      </c>
      <c r="M326" s="15">
        <f t="shared" si="75"/>
        <v>0</v>
      </c>
      <c r="N326" s="15">
        <f t="shared" si="76"/>
        <v>-1.5</v>
      </c>
      <c r="O326" s="15">
        <f t="shared" si="77"/>
        <v>121.05</v>
      </c>
      <c r="R326" s="16" t="s">
        <v>3922</v>
      </c>
      <c r="S326" s="16" t="s">
        <v>3923</v>
      </c>
      <c r="T326" s="16" t="s">
        <v>3924</v>
      </c>
      <c r="U326" s="16" t="s">
        <v>3925</v>
      </c>
      <c r="V326" s="16" t="s">
        <v>3926</v>
      </c>
      <c r="W326" s="16" t="s">
        <v>76</v>
      </c>
      <c r="X326" s="16" t="s">
        <v>77</v>
      </c>
      <c r="Y326" s="16" t="s">
        <v>1917</v>
      </c>
      <c r="Z326" s="16" t="s">
        <v>1918</v>
      </c>
      <c r="AA326" s="16" t="s">
        <v>430</v>
      </c>
      <c r="AB326" s="16" t="s">
        <v>430</v>
      </c>
      <c r="AC326" s="16" t="s">
        <v>1919</v>
      </c>
      <c r="AD326" s="16" t="s">
        <v>1920</v>
      </c>
      <c r="AE326" s="16" t="s">
        <v>84</v>
      </c>
      <c r="AF326" s="16" t="s">
        <v>84</v>
      </c>
      <c r="AG326" s="16">
        <v>129</v>
      </c>
      <c r="AH326" s="16">
        <v>129</v>
      </c>
      <c r="AI326" s="17">
        <v>129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 t="s">
        <v>85</v>
      </c>
      <c r="AP326" s="16" t="s">
        <v>3927</v>
      </c>
      <c r="AQ326" s="16" t="s">
        <v>3928</v>
      </c>
      <c r="AR326" s="16" t="s">
        <v>88</v>
      </c>
      <c r="AS326" s="16" t="s">
        <v>3929</v>
      </c>
      <c r="AT326" s="16">
        <v>6.45</v>
      </c>
      <c r="AU326" s="16" t="s">
        <v>90</v>
      </c>
      <c r="AV326" s="16">
        <v>1.5</v>
      </c>
      <c r="AW326" s="16" t="s">
        <v>115</v>
      </c>
      <c r="AX326" s="16" t="s">
        <v>116</v>
      </c>
      <c r="AY326" s="16" t="s">
        <v>117</v>
      </c>
      <c r="AZ326" s="16" t="s">
        <v>118</v>
      </c>
      <c r="BA326" s="16" t="s">
        <v>119</v>
      </c>
      <c r="BB326" s="16">
        <v>0</v>
      </c>
      <c r="BC326" s="16" t="s">
        <v>84</v>
      </c>
      <c r="BD326" s="16" t="s">
        <v>90</v>
      </c>
      <c r="BE326" s="16" t="s">
        <v>610</v>
      </c>
      <c r="BF326" s="16" t="s">
        <v>611</v>
      </c>
      <c r="BG326" s="16" t="s">
        <v>612</v>
      </c>
      <c r="BH326" s="16" t="s">
        <v>685</v>
      </c>
      <c r="BI326" s="16" t="s">
        <v>686</v>
      </c>
      <c r="BJ326" s="16">
        <v>129</v>
      </c>
      <c r="BK326" s="16">
        <v>129</v>
      </c>
      <c r="BL326" s="16">
        <v>129</v>
      </c>
      <c r="BM326" s="16" t="s">
        <v>96</v>
      </c>
      <c r="BN326" s="16">
        <v>1</v>
      </c>
      <c r="BO326" s="16" t="s">
        <v>84</v>
      </c>
      <c r="BP326" s="16" t="s">
        <v>84</v>
      </c>
      <c r="BQ326" s="16" t="s">
        <v>84</v>
      </c>
      <c r="BR326" s="16" t="s">
        <v>97</v>
      </c>
      <c r="BS326" s="16" t="s">
        <v>98</v>
      </c>
      <c r="BT326" s="16">
        <v>0</v>
      </c>
    </row>
    <row r="327" s="1" customFormat="1" ht="16" customHeight="1" spans="1:72">
      <c r="A327" s="14">
        <f t="shared" si="65"/>
        <v>2025</v>
      </c>
      <c r="B327" s="14">
        <f t="shared" si="66"/>
        <v>8</v>
      </c>
      <c r="C327" s="14" t="str">
        <f t="shared" si="67"/>
        <v>3729652177334836224</v>
      </c>
      <c r="D327" s="14" cm="1">
        <f t="array" ref="D327">SUMPRODUCT(($R$2:$R$374=C327)*1)</f>
        <v>1</v>
      </c>
      <c r="E327" s="14" cm="1">
        <f t="array" ref="E327">SUMPRODUCT(($R$2:R327=C327)*1)</f>
        <v>1</v>
      </c>
      <c r="F327" s="15" t="str">
        <f t="shared" si="68"/>
        <v>Z2183-黑色-M</v>
      </c>
      <c r="G327" s="14" t="str">
        <f t="shared" si="69"/>
        <v>Z2183</v>
      </c>
      <c r="H327" s="15">
        <f t="shared" si="70"/>
        <v>1</v>
      </c>
      <c r="I327" s="14">
        <f t="shared" si="71"/>
        <v>129</v>
      </c>
      <c r="J327" s="15">
        <f t="shared" si="72"/>
        <v>0</v>
      </c>
      <c r="K327" s="15">
        <f t="shared" si="73"/>
        <v>0</v>
      </c>
      <c r="L327" s="15">
        <f t="shared" si="74"/>
        <v>-6.45</v>
      </c>
      <c r="M327" s="15">
        <f t="shared" si="75"/>
        <v>0</v>
      </c>
      <c r="N327" s="15">
        <f t="shared" si="76"/>
        <v>-1.5</v>
      </c>
      <c r="O327" s="15">
        <f t="shared" si="77"/>
        <v>121.05</v>
      </c>
      <c r="R327" s="16" t="s">
        <v>3930</v>
      </c>
      <c r="S327" s="16" t="s">
        <v>3931</v>
      </c>
      <c r="T327" s="16" t="s">
        <v>3932</v>
      </c>
      <c r="U327" s="16" t="s">
        <v>3933</v>
      </c>
      <c r="V327" s="16" t="s">
        <v>3934</v>
      </c>
      <c r="W327" s="16" t="s">
        <v>76</v>
      </c>
      <c r="X327" s="16" t="s">
        <v>77</v>
      </c>
      <c r="Y327" s="16" t="s">
        <v>241</v>
      </c>
      <c r="Z327" s="16" t="s">
        <v>3935</v>
      </c>
      <c r="AA327" s="16" t="s">
        <v>80</v>
      </c>
      <c r="AB327" s="16" t="s">
        <v>81</v>
      </c>
      <c r="AC327" s="16" t="s">
        <v>3936</v>
      </c>
      <c r="AD327" s="16" t="s">
        <v>3937</v>
      </c>
      <c r="AE327" s="16" t="s">
        <v>84</v>
      </c>
      <c r="AF327" s="16" t="s">
        <v>84</v>
      </c>
      <c r="AG327" s="16">
        <v>129</v>
      </c>
      <c r="AH327" s="16">
        <v>129</v>
      </c>
      <c r="AI327" s="17">
        <v>129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 t="s">
        <v>137</v>
      </c>
      <c r="AP327" s="16" t="s">
        <v>3938</v>
      </c>
      <c r="AQ327" s="16" t="s">
        <v>3939</v>
      </c>
      <c r="AR327" s="16" t="s">
        <v>88</v>
      </c>
      <c r="AS327" s="16" t="s">
        <v>3940</v>
      </c>
      <c r="AT327" s="16">
        <v>6.45</v>
      </c>
      <c r="AU327" s="16" t="s">
        <v>90</v>
      </c>
      <c r="AV327" s="16">
        <v>1.5</v>
      </c>
      <c r="AW327" s="16" t="s">
        <v>115</v>
      </c>
      <c r="AX327" s="16" t="s">
        <v>116</v>
      </c>
      <c r="AY327" s="16" t="s">
        <v>117</v>
      </c>
      <c r="AZ327" s="16" t="s">
        <v>118</v>
      </c>
      <c r="BA327" s="16" t="s">
        <v>119</v>
      </c>
      <c r="BB327" s="16">
        <v>0</v>
      </c>
      <c r="BC327" s="16" t="s">
        <v>84</v>
      </c>
      <c r="BD327" s="16" t="s">
        <v>90</v>
      </c>
      <c r="BE327" s="16" t="s">
        <v>610</v>
      </c>
      <c r="BF327" s="16" t="s">
        <v>611</v>
      </c>
      <c r="BG327" s="16" t="s">
        <v>612</v>
      </c>
      <c r="BH327" s="16" t="s">
        <v>685</v>
      </c>
      <c r="BI327" s="16" t="s">
        <v>686</v>
      </c>
      <c r="BJ327" s="16">
        <v>129</v>
      </c>
      <c r="BK327" s="16">
        <v>129</v>
      </c>
      <c r="BL327" s="16">
        <v>129</v>
      </c>
      <c r="BM327" s="16" t="s">
        <v>96</v>
      </c>
      <c r="BN327" s="16">
        <v>1</v>
      </c>
      <c r="BO327" s="16" t="s">
        <v>84</v>
      </c>
      <c r="BP327" s="16" t="s">
        <v>84</v>
      </c>
      <c r="BQ327" s="16" t="s">
        <v>84</v>
      </c>
      <c r="BR327" s="16" t="s">
        <v>97</v>
      </c>
      <c r="BS327" s="16" t="s">
        <v>98</v>
      </c>
      <c r="BT327" s="16">
        <v>0</v>
      </c>
    </row>
    <row r="328" s="1" customFormat="1" ht="16" customHeight="1" spans="1:72">
      <c r="A328" s="14">
        <f t="shared" si="65"/>
        <v>2025</v>
      </c>
      <c r="B328" s="14">
        <f t="shared" si="66"/>
        <v>8</v>
      </c>
      <c r="C328" s="14" t="str">
        <f t="shared" si="67"/>
        <v>3729651751414275840</v>
      </c>
      <c r="D328" s="14" cm="1">
        <f t="array" ref="D328">SUMPRODUCT(($R$2:$R$374=C328)*1)</f>
        <v>1</v>
      </c>
      <c r="E328" s="14" cm="1">
        <f t="array" ref="E328">SUMPRODUCT(($R$2:R328=C328)*1)</f>
        <v>1</v>
      </c>
      <c r="F328" s="15" t="str">
        <f t="shared" si="68"/>
        <v>Z2183-黑色-M</v>
      </c>
      <c r="G328" s="14" t="str">
        <f t="shared" si="69"/>
        <v>Z2183</v>
      </c>
      <c r="H328" s="15">
        <f t="shared" si="70"/>
        <v>1</v>
      </c>
      <c r="I328" s="14">
        <f t="shared" si="71"/>
        <v>129</v>
      </c>
      <c r="J328" s="15">
        <f t="shared" si="72"/>
        <v>0</v>
      </c>
      <c r="K328" s="15">
        <f t="shared" si="73"/>
        <v>0</v>
      </c>
      <c r="L328" s="15">
        <f t="shared" si="74"/>
        <v>-6.45</v>
      </c>
      <c r="M328" s="15">
        <f t="shared" si="75"/>
        <v>0</v>
      </c>
      <c r="N328" s="15">
        <f t="shared" si="76"/>
        <v>-1.5</v>
      </c>
      <c r="O328" s="15">
        <f t="shared" si="77"/>
        <v>121.05</v>
      </c>
      <c r="R328" s="16" t="s">
        <v>3941</v>
      </c>
      <c r="S328" s="16" t="s">
        <v>3942</v>
      </c>
      <c r="T328" s="16" t="s">
        <v>3943</v>
      </c>
      <c r="U328" s="16" t="s">
        <v>3944</v>
      </c>
      <c r="V328" s="16" t="s">
        <v>3945</v>
      </c>
      <c r="W328" s="16" t="s">
        <v>76</v>
      </c>
      <c r="X328" s="16" t="s">
        <v>77</v>
      </c>
      <c r="Y328" s="16" t="s">
        <v>205</v>
      </c>
      <c r="Z328" s="16" t="s">
        <v>3946</v>
      </c>
      <c r="AA328" s="16" t="s">
        <v>1405</v>
      </c>
      <c r="AB328" s="16" t="s">
        <v>3947</v>
      </c>
      <c r="AC328" s="16" t="s">
        <v>3948</v>
      </c>
      <c r="AD328" s="16" t="s">
        <v>3949</v>
      </c>
      <c r="AE328" s="16" t="s">
        <v>84</v>
      </c>
      <c r="AF328" s="16" t="s">
        <v>84</v>
      </c>
      <c r="AG328" s="16">
        <v>129</v>
      </c>
      <c r="AH328" s="16">
        <v>129</v>
      </c>
      <c r="AI328" s="17">
        <v>129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 t="s">
        <v>137</v>
      </c>
      <c r="AP328" s="16" t="s">
        <v>3950</v>
      </c>
      <c r="AQ328" s="16" t="s">
        <v>3951</v>
      </c>
      <c r="AR328" s="16" t="s">
        <v>88</v>
      </c>
      <c r="AS328" s="16" t="s">
        <v>3952</v>
      </c>
      <c r="AT328" s="16">
        <v>6.45</v>
      </c>
      <c r="AU328" s="16" t="s">
        <v>90</v>
      </c>
      <c r="AV328" s="16">
        <v>1.5</v>
      </c>
      <c r="AW328" s="16" t="s">
        <v>115</v>
      </c>
      <c r="AX328" s="16" t="s">
        <v>116</v>
      </c>
      <c r="AY328" s="16" t="s">
        <v>117</v>
      </c>
      <c r="AZ328" s="16" t="s">
        <v>118</v>
      </c>
      <c r="BA328" s="16" t="s">
        <v>119</v>
      </c>
      <c r="BB328" s="16">
        <v>0</v>
      </c>
      <c r="BC328" s="16" t="s">
        <v>84</v>
      </c>
      <c r="BD328" s="16" t="s">
        <v>90</v>
      </c>
      <c r="BE328" s="16" t="s">
        <v>610</v>
      </c>
      <c r="BF328" s="16" t="s">
        <v>611</v>
      </c>
      <c r="BG328" s="16" t="s">
        <v>612</v>
      </c>
      <c r="BH328" s="16" t="s">
        <v>685</v>
      </c>
      <c r="BI328" s="16" t="s">
        <v>686</v>
      </c>
      <c r="BJ328" s="16">
        <v>129</v>
      </c>
      <c r="BK328" s="16">
        <v>129</v>
      </c>
      <c r="BL328" s="16">
        <v>129</v>
      </c>
      <c r="BM328" s="16" t="s">
        <v>96</v>
      </c>
      <c r="BN328" s="16">
        <v>1</v>
      </c>
      <c r="BO328" s="16" t="s">
        <v>84</v>
      </c>
      <c r="BP328" s="16" t="s">
        <v>84</v>
      </c>
      <c r="BQ328" s="16" t="s">
        <v>84</v>
      </c>
      <c r="BR328" s="16" t="s">
        <v>97</v>
      </c>
      <c r="BS328" s="16" t="s">
        <v>98</v>
      </c>
      <c r="BT328" s="16">
        <v>0</v>
      </c>
    </row>
    <row r="329" s="1" customFormat="1" ht="16" customHeight="1" spans="1:72">
      <c r="A329" s="14">
        <f t="shared" si="65"/>
        <v>2025</v>
      </c>
      <c r="B329" s="14">
        <f t="shared" si="66"/>
        <v>8</v>
      </c>
      <c r="C329" s="14" t="str">
        <f t="shared" si="67"/>
        <v>3729650748287760128</v>
      </c>
      <c r="D329" s="14" cm="1">
        <f t="array" ref="D329">SUMPRODUCT(($R$2:$R$374=C329)*1)</f>
        <v>1</v>
      </c>
      <c r="E329" s="14" cm="1">
        <f t="array" ref="E329">SUMPRODUCT(($R$2:R329=C329)*1)</f>
        <v>1</v>
      </c>
      <c r="F329" s="15" t="str">
        <f t="shared" si="68"/>
        <v>Z2183-米白色-M</v>
      </c>
      <c r="G329" s="14" t="str">
        <f t="shared" si="69"/>
        <v>Z2183</v>
      </c>
      <c r="H329" s="15">
        <f t="shared" si="70"/>
        <v>1</v>
      </c>
      <c r="I329" s="14">
        <f t="shared" si="71"/>
        <v>129</v>
      </c>
      <c r="J329" s="15">
        <f t="shared" si="72"/>
        <v>0</v>
      </c>
      <c r="K329" s="15">
        <f t="shared" si="73"/>
        <v>0</v>
      </c>
      <c r="L329" s="15">
        <f t="shared" si="74"/>
        <v>-6.45</v>
      </c>
      <c r="M329" s="15">
        <f t="shared" si="75"/>
        <v>0</v>
      </c>
      <c r="N329" s="15">
        <f t="shared" si="76"/>
        <v>0</v>
      </c>
      <c r="O329" s="15">
        <f t="shared" si="77"/>
        <v>122.55</v>
      </c>
      <c r="R329" s="16" t="s">
        <v>3953</v>
      </c>
      <c r="S329" s="16" t="s">
        <v>3954</v>
      </c>
      <c r="T329" s="16" t="s">
        <v>3955</v>
      </c>
      <c r="U329" s="16" t="s">
        <v>3956</v>
      </c>
      <c r="V329" s="16" t="s">
        <v>3957</v>
      </c>
      <c r="W329" s="16" t="s">
        <v>76</v>
      </c>
      <c r="X329" s="16" t="s">
        <v>77</v>
      </c>
      <c r="Y329" s="16" t="s">
        <v>2077</v>
      </c>
      <c r="Z329" s="16" t="s">
        <v>2078</v>
      </c>
      <c r="AA329" s="16" t="s">
        <v>243</v>
      </c>
      <c r="AB329" s="16" t="s">
        <v>2079</v>
      </c>
      <c r="AC329" s="16" t="s">
        <v>2080</v>
      </c>
      <c r="AD329" s="16" t="s">
        <v>2081</v>
      </c>
      <c r="AE329" s="16" t="s">
        <v>84</v>
      </c>
      <c r="AF329" s="16" t="s">
        <v>84</v>
      </c>
      <c r="AG329" s="16">
        <v>129</v>
      </c>
      <c r="AH329" s="16">
        <v>129</v>
      </c>
      <c r="AI329" s="17">
        <v>129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 t="s">
        <v>137</v>
      </c>
      <c r="AP329" s="16" t="s">
        <v>3958</v>
      </c>
      <c r="AQ329" s="16" t="s">
        <v>3959</v>
      </c>
      <c r="AR329" s="16" t="s">
        <v>88</v>
      </c>
      <c r="AS329" s="16" t="s">
        <v>3960</v>
      </c>
      <c r="AT329" s="16">
        <v>6.45</v>
      </c>
      <c r="AU329" s="16" t="s">
        <v>90</v>
      </c>
      <c r="AV329" s="16" t="s">
        <v>90</v>
      </c>
      <c r="AW329" s="16" t="s">
        <v>115</v>
      </c>
      <c r="AX329" s="16" t="s">
        <v>116</v>
      </c>
      <c r="AY329" s="16" t="s">
        <v>117</v>
      </c>
      <c r="AZ329" s="16" t="s">
        <v>118</v>
      </c>
      <c r="BA329" s="16" t="s">
        <v>119</v>
      </c>
      <c r="BB329" s="16">
        <v>0</v>
      </c>
      <c r="BC329" s="16" t="s">
        <v>84</v>
      </c>
      <c r="BD329" s="16" t="s">
        <v>90</v>
      </c>
      <c r="BE329" s="16" t="s">
        <v>610</v>
      </c>
      <c r="BF329" s="16" t="s">
        <v>611</v>
      </c>
      <c r="BG329" s="16" t="s">
        <v>612</v>
      </c>
      <c r="BH329" s="16" t="s">
        <v>1141</v>
      </c>
      <c r="BI329" s="16" t="s">
        <v>1142</v>
      </c>
      <c r="BJ329" s="16">
        <v>129</v>
      </c>
      <c r="BK329" s="16">
        <v>129</v>
      </c>
      <c r="BL329" s="16">
        <v>129</v>
      </c>
      <c r="BM329" s="16" t="s">
        <v>96</v>
      </c>
      <c r="BN329" s="16">
        <v>1</v>
      </c>
      <c r="BO329" s="16" t="s">
        <v>84</v>
      </c>
      <c r="BP329" s="16" t="s">
        <v>84</v>
      </c>
      <c r="BQ329" s="16" t="s">
        <v>84</v>
      </c>
      <c r="BR329" s="16" t="s">
        <v>97</v>
      </c>
      <c r="BS329" s="16" t="s">
        <v>98</v>
      </c>
      <c r="BT329" s="16">
        <v>0</v>
      </c>
    </row>
    <row r="330" s="1" customFormat="1" ht="16" customHeight="1" spans="1:72">
      <c r="A330" s="14">
        <f t="shared" si="65"/>
        <v>2025</v>
      </c>
      <c r="B330" s="14">
        <f t="shared" si="66"/>
        <v>8</v>
      </c>
      <c r="C330" s="14" t="str">
        <f t="shared" si="67"/>
        <v>3729649988081685504</v>
      </c>
      <c r="D330" s="14" cm="1">
        <f t="array" ref="D330">SUMPRODUCT(($R$2:$R$374=C330)*1)</f>
        <v>1</v>
      </c>
      <c r="E330" s="14" cm="1">
        <f t="array" ref="E330">SUMPRODUCT(($R$2:R330=C330)*1)</f>
        <v>1</v>
      </c>
      <c r="F330" s="15" t="str">
        <f t="shared" si="68"/>
        <v>Z2183-米白色-XL</v>
      </c>
      <c r="G330" s="14" t="str">
        <f t="shared" si="69"/>
        <v>Z2183</v>
      </c>
      <c r="H330" s="15">
        <f t="shared" si="70"/>
        <v>1</v>
      </c>
      <c r="I330" s="14">
        <f t="shared" si="71"/>
        <v>129</v>
      </c>
      <c r="J330" s="15">
        <f t="shared" si="72"/>
        <v>0</v>
      </c>
      <c r="K330" s="15">
        <f t="shared" si="73"/>
        <v>0</v>
      </c>
      <c r="L330" s="15">
        <f t="shared" si="74"/>
        <v>-6.45</v>
      </c>
      <c r="M330" s="15">
        <f t="shared" si="75"/>
        <v>0</v>
      </c>
      <c r="N330" s="15">
        <f t="shared" si="76"/>
        <v>-1.5</v>
      </c>
      <c r="O330" s="15">
        <f t="shared" si="77"/>
        <v>121.05</v>
      </c>
      <c r="R330" s="16" t="s">
        <v>3961</v>
      </c>
      <c r="S330" s="16" t="s">
        <v>3962</v>
      </c>
      <c r="T330" s="16" t="s">
        <v>3963</v>
      </c>
      <c r="U330" s="16" t="s">
        <v>3964</v>
      </c>
      <c r="V330" s="16" t="s">
        <v>3965</v>
      </c>
      <c r="W330" s="16" t="s">
        <v>76</v>
      </c>
      <c r="X330" s="16" t="s">
        <v>77</v>
      </c>
      <c r="Y330" s="16" t="s">
        <v>3966</v>
      </c>
      <c r="Z330" s="16" t="s">
        <v>1566</v>
      </c>
      <c r="AA330" s="16" t="s">
        <v>430</v>
      </c>
      <c r="AB330" s="16" t="s">
        <v>430</v>
      </c>
      <c r="AC330" s="16" t="s">
        <v>1567</v>
      </c>
      <c r="AD330" s="16" t="s">
        <v>3967</v>
      </c>
      <c r="AE330" s="16" t="s">
        <v>84</v>
      </c>
      <c r="AF330" s="16" t="s">
        <v>84</v>
      </c>
      <c r="AG330" s="16">
        <v>129</v>
      </c>
      <c r="AH330" s="16">
        <v>129</v>
      </c>
      <c r="AI330" s="17">
        <v>129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 t="s">
        <v>137</v>
      </c>
      <c r="AP330" s="16" t="s">
        <v>3968</v>
      </c>
      <c r="AQ330" s="16" t="s">
        <v>3969</v>
      </c>
      <c r="AR330" s="16" t="s">
        <v>88</v>
      </c>
      <c r="AS330" s="16" t="s">
        <v>3970</v>
      </c>
      <c r="AT330" s="16">
        <v>6.45</v>
      </c>
      <c r="AU330" s="16" t="s">
        <v>90</v>
      </c>
      <c r="AV330" s="16">
        <v>1.5</v>
      </c>
      <c r="AW330" s="16" t="s">
        <v>115</v>
      </c>
      <c r="AX330" s="16" t="s">
        <v>116</v>
      </c>
      <c r="AY330" s="16" t="s">
        <v>117</v>
      </c>
      <c r="AZ330" s="16" t="s">
        <v>118</v>
      </c>
      <c r="BA330" s="16" t="s">
        <v>119</v>
      </c>
      <c r="BB330" s="16">
        <v>0</v>
      </c>
      <c r="BC330" s="16" t="s">
        <v>84</v>
      </c>
      <c r="BD330" s="16" t="s">
        <v>90</v>
      </c>
      <c r="BE330" s="16" t="s">
        <v>610</v>
      </c>
      <c r="BF330" s="16" t="s">
        <v>611</v>
      </c>
      <c r="BG330" s="16" t="s">
        <v>612</v>
      </c>
      <c r="BH330" s="16" t="s">
        <v>2279</v>
      </c>
      <c r="BI330" s="16" t="s">
        <v>2280</v>
      </c>
      <c r="BJ330" s="16">
        <v>129</v>
      </c>
      <c r="BK330" s="16">
        <v>129</v>
      </c>
      <c r="BL330" s="16">
        <v>129</v>
      </c>
      <c r="BM330" s="16" t="s">
        <v>96</v>
      </c>
      <c r="BN330" s="16">
        <v>1</v>
      </c>
      <c r="BO330" s="16" t="s">
        <v>84</v>
      </c>
      <c r="BP330" s="16" t="s">
        <v>84</v>
      </c>
      <c r="BQ330" s="16" t="s">
        <v>84</v>
      </c>
      <c r="BR330" s="16" t="s">
        <v>97</v>
      </c>
      <c r="BS330" s="16" t="s">
        <v>98</v>
      </c>
      <c r="BT330" s="16">
        <v>0</v>
      </c>
    </row>
    <row r="331" s="1" customFormat="1" ht="16" customHeight="1" spans="1:72">
      <c r="A331" s="14">
        <f t="shared" si="65"/>
        <v>2025</v>
      </c>
      <c r="B331" s="14">
        <f t="shared" si="66"/>
        <v>8</v>
      </c>
      <c r="C331" s="14" t="str">
        <f t="shared" si="67"/>
        <v>3729648941385784832</v>
      </c>
      <c r="D331" s="14" cm="1">
        <f t="array" ref="D331">SUMPRODUCT(($R$2:$R$374=C331)*1)</f>
        <v>1</v>
      </c>
      <c r="E331" s="14" cm="1">
        <f t="array" ref="E331">SUMPRODUCT(($R$2:R331=C331)*1)</f>
        <v>1</v>
      </c>
      <c r="F331" s="15" t="str">
        <f t="shared" si="68"/>
        <v>Z2183-黑色-M</v>
      </c>
      <c r="G331" s="14" t="str">
        <f t="shared" si="69"/>
        <v>Z2183</v>
      </c>
      <c r="H331" s="15">
        <f t="shared" si="70"/>
        <v>1</v>
      </c>
      <c r="I331" s="14">
        <f t="shared" si="71"/>
        <v>129</v>
      </c>
      <c r="J331" s="15">
        <f t="shared" si="72"/>
        <v>0</v>
      </c>
      <c r="K331" s="15">
        <f t="shared" si="73"/>
        <v>0</v>
      </c>
      <c r="L331" s="15">
        <f t="shared" si="74"/>
        <v>-6.45</v>
      </c>
      <c r="M331" s="15">
        <f t="shared" si="75"/>
        <v>0</v>
      </c>
      <c r="N331" s="15">
        <f t="shared" si="76"/>
        <v>-1.5</v>
      </c>
      <c r="O331" s="15">
        <f t="shared" si="77"/>
        <v>121.05</v>
      </c>
      <c r="R331" s="16" t="s">
        <v>3971</v>
      </c>
      <c r="S331" s="16" t="s">
        <v>3972</v>
      </c>
      <c r="T331" s="16" t="s">
        <v>3973</v>
      </c>
      <c r="U331" s="16" t="s">
        <v>3974</v>
      </c>
      <c r="V331" s="16" t="s">
        <v>3975</v>
      </c>
      <c r="W331" s="16" t="s">
        <v>76</v>
      </c>
      <c r="X331" s="16" t="s">
        <v>77</v>
      </c>
      <c r="Y331" s="16" t="s">
        <v>543</v>
      </c>
      <c r="Z331" s="16" t="s">
        <v>1308</v>
      </c>
      <c r="AA331" s="16" t="s">
        <v>430</v>
      </c>
      <c r="AB331" s="16" t="s">
        <v>430</v>
      </c>
      <c r="AC331" s="16" t="s">
        <v>1309</v>
      </c>
      <c r="AD331" s="16" t="s">
        <v>3976</v>
      </c>
      <c r="AE331" s="16" t="s">
        <v>84</v>
      </c>
      <c r="AF331" s="16" t="s">
        <v>84</v>
      </c>
      <c r="AG331" s="16">
        <v>129</v>
      </c>
      <c r="AH331" s="16">
        <v>129</v>
      </c>
      <c r="AI331" s="17">
        <v>129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 t="s">
        <v>137</v>
      </c>
      <c r="AP331" s="16" t="s">
        <v>3977</v>
      </c>
      <c r="AQ331" s="16" t="s">
        <v>3978</v>
      </c>
      <c r="AR331" s="16" t="s">
        <v>88</v>
      </c>
      <c r="AS331" s="16" t="s">
        <v>3979</v>
      </c>
      <c r="AT331" s="16">
        <v>6.45</v>
      </c>
      <c r="AU331" s="16" t="s">
        <v>90</v>
      </c>
      <c r="AV331" s="16">
        <v>1.5</v>
      </c>
      <c r="AW331" s="16" t="s">
        <v>115</v>
      </c>
      <c r="AX331" s="16" t="s">
        <v>116</v>
      </c>
      <c r="AY331" s="16" t="s">
        <v>117</v>
      </c>
      <c r="AZ331" s="16" t="s">
        <v>118</v>
      </c>
      <c r="BA331" s="16" t="s">
        <v>119</v>
      </c>
      <c r="BB331" s="16">
        <v>0</v>
      </c>
      <c r="BC331" s="16" t="s">
        <v>84</v>
      </c>
      <c r="BD331" s="16" t="s">
        <v>90</v>
      </c>
      <c r="BE331" s="16" t="s">
        <v>610</v>
      </c>
      <c r="BF331" s="16" t="s">
        <v>611</v>
      </c>
      <c r="BG331" s="16" t="s">
        <v>612</v>
      </c>
      <c r="BH331" s="16" t="s">
        <v>685</v>
      </c>
      <c r="BI331" s="16" t="s">
        <v>686</v>
      </c>
      <c r="BJ331" s="16">
        <v>129</v>
      </c>
      <c r="BK331" s="16">
        <v>129</v>
      </c>
      <c r="BL331" s="16">
        <v>129</v>
      </c>
      <c r="BM331" s="16" t="s">
        <v>96</v>
      </c>
      <c r="BN331" s="16">
        <v>1</v>
      </c>
      <c r="BO331" s="16" t="s">
        <v>84</v>
      </c>
      <c r="BP331" s="16" t="s">
        <v>84</v>
      </c>
      <c r="BQ331" s="16" t="s">
        <v>84</v>
      </c>
      <c r="BR331" s="16" t="s">
        <v>97</v>
      </c>
      <c r="BS331" s="16" t="s">
        <v>98</v>
      </c>
      <c r="BT331" s="16">
        <v>0</v>
      </c>
    </row>
    <row r="332" s="1" customFormat="1" ht="16" customHeight="1" spans="1:72">
      <c r="A332" s="14">
        <f t="shared" si="65"/>
        <v>2025</v>
      </c>
      <c r="B332" s="14">
        <f t="shared" si="66"/>
        <v>8</v>
      </c>
      <c r="C332" s="14" t="str">
        <f t="shared" si="67"/>
        <v>3729648631274681856</v>
      </c>
      <c r="D332" s="14" cm="1">
        <f t="array" ref="D332">SUMPRODUCT(($R$2:$R$374=C332)*1)</f>
        <v>1</v>
      </c>
      <c r="E332" s="14" cm="1">
        <f t="array" ref="E332">SUMPRODUCT(($R$2:R332=C332)*1)</f>
        <v>1</v>
      </c>
      <c r="F332" s="15" t="str">
        <f t="shared" si="68"/>
        <v>Z2183-米白色-L</v>
      </c>
      <c r="G332" s="14" t="str">
        <f t="shared" si="69"/>
        <v>Z2183</v>
      </c>
      <c r="H332" s="15">
        <f t="shared" si="70"/>
        <v>1</v>
      </c>
      <c r="I332" s="14">
        <f t="shared" si="71"/>
        <v>129</v>
      </c>
      <c r="J332" s="15">
        <f t="shared" si="72"/>
        <v>0</v>
      </c>
      <c r="K332" s="15">
        <f t="shared" si="73"/>
        <v>0</v>
      </c>
      <c r="L332" s="15">
        <f t="shared" si="74"/>
        <v>-6.45</v>
      </c>
      <c r="M332" s="15">
        <f t="shared" si="75"/>
        <v>0</v>
      </c>
      <c r="N332" s="15">
        <f t="shared" si="76"/>
        <v>-1.5</v>
      </c>
      <c r="O332" s="15">
        <f t="shared" si="77"/>
        <v>121.05</v>
      </c>
      <c r="R332" s="16" t="s">
        <v>3980</v>
      </c>
      <c r="S332" s="16" t="s">
        <v>3981</v>
      </c>
      <c r="T332" s="16" t="s">
        <v>3982</v>
      </c>
      <c r="U332" s="16" t="s">
        <v>3983</v>
      </c>
      <c r="V332" s="16" t="s">
        <v>3984</v>
      </c>
      <c r="W332" s="16" t="s">
        <v>76</v>
      </c>
      <c r="X332" s="16" t="s">
        <v>77</v>
      </c>
      <c r="Y332" s="16" t="s">
        <v>1585</v>
      </c>
      <c r="Z332" s="16" t="s">
        <v>3985</v>
      </c>
      <c r="AA332" s="16" t="s">
        <v>799</v>
      </c>
      <c r="AB332" s="16" t="s">
        <v>3986</v>
      </c>
      <c r="AC332" s="16" t="s">
        <v>3987</v>
      </c>
      <c r="AD332" s="16" t="s">
        <v>3988</v>
      </c>
      <c r="AE332" s="16" t="s">
        <v>84</v>
      </c>
      <c r="AF332" s="16" t="s">
        <v>84</v>
      </c>
      <c r="AG332" s="16">
        <v>129</v>
      </c>
      <c r="AH332" s="16">
        <v>129</v>
      </c>
      <c r="AI332" s="17">
        <v>129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 t="s">
        <v>85</v>
      </c>
      <c r="AP332" s="16" t="s">
        <v>3989</v>
      </c>
      <c r="AQ332" s="16" t="s">
        <v>3990</v>
      </c>
      <c r="AR332" s="16" t="s">
        <v>88</v>
      </c>
      <c r="AS332" s="16" t="s">
        <v>3991</v>
      </c>
      <c r="AT332" s="16">
        <v>6.45</v>
      </c>
      <c r="AU332" s="16" t="s">
        <v>90</v>
      </c>
      <c r="AV332" s="16">
        <v>1.5</v>
      </c>
      <c r="AW332" s="16" t="s">
        <v>115</v>
      </c>
      <c r="AX332" s="16" t="s">
        <v>116</v>
      </c>
      <c r="AY332" s="16" t="s">
        <v>117</v>
      </c>
      <c r="AZ332" s="16" t="s">
        <v>118</v>
      </c>
      <c r="BA332" s="16" t="s">
        <v>119</v>
      </c>
      <c r="BB332" s="16">
        <v>0</v>
      </c>
      <c r="BC332" s="16" t="s">
        <v>84</v>
      </c>
      <c r="BD332" s="16" t="s">
        <v>90</v>
      </c>
      <c r="BE332" s="16" t="s">
        <v>610</v>
      </c>
      <c r="BF332" s="16" t="s">
        <v>611</v>
      </c>
      <c r="BG332" s="16" t="s">
        <v>612</v>
      </c>
      <c r="BH332" s="16" t="s">
        <v>1241</v>
      </c>
      <c r="BI332" s="16" t="s">
        <v>1242</v>
      </c>
      <c r="BJ332" s="16">
        <v>129</v>
      </c>
      <c r="BK332" s="16">
        <v>129</v>
      </c>
      <c r="BL332" s="16">
        <v>129</v>
      </c>
      <c r="BM332" s="16" t="s">
        <v>96</v>
      </c>
      <c r="BN332" s="16">
        <v>1</v>
      </c>
      <c r="BO332" s="16" t="s">
        <v>84</v>
      </c>
      <c r="BP332" s="16" t="s">
        <v>84</v>
      </c>
      <c r="BQ332" s="16" t="s">
        <v>84</v>
      </c>
      <c r="BR332" s="16" t="s">
        <v>97</v>
      </c>
      <c r="BS332" s="16" t="s">
        <v>98</v>
      </c>
      <c r="BT332" s="16">
        <v>0</v>
      </c>
    </row>
    <row r="333" s="1" customFormat="1" ht="16" customHeight="1" spans="1:72">
      <c r="A333" s="14">
        <f t="shared" si="65"/>
        <v>2025</v>
      </c>
      <c r="B333" s="14">
        <f t="shared" si="66"/>
        <v>8</v>
      </c>
      <c r="C333" s="14" t="str">
        <f t="shared" si="67"/>
        <v>3729648547897419264</v>
      </c>
      <c r="D333" s="14" cm="1">
        <f t="array" ref="D333">SUMPRODUCT(($R$2:$R$374=C333)*1)</f>
        <v>1</v>
      </c>
      <c r="E333" s="14" cm="1">
        <f t="array" ref="E333">SUMPRODUCT(($R$2:R333=C333)*1)</f>
        <v>1</v>
      </c>
      <c r="F333" s="15" t="str">
        <f t="shared" si="68"/>
        <v>Z2183-黑色-L</v>
      </c>
      <c r="G333" s="14" t="str">
        <f t="shared" si="69"/>
        <v>Z2183</v>
      </c>
      <c r="H333" s="15">
        <f t="shared" si="70"/>
        <v>1</v>
      </c>
      <c r="I333" s="14">
        <f t="shared" si="71"/>
        <v>129</v>
      </c>
      <c r="J333" s="15">
        <f t="shared" si="72"/>
        <v>0</v>
      </c>
      <c r="K333" s="15">
        <f t="shared" si="73"/>
        <v>0</v>
      </c>
      <c r="L333" s="15">
        <f t="shared" si="74"/>
        <v>-6.45</v>
      </c>
      <c r="M333" s="15">
        <f t="shared" si="75"/>
        <v>0</v>
      </c>
      <c r="N333" s="15">
        <f t="shared" si="76"/>
        <v>-1.5</v>
      </c>
      <c r="O333" s="15">
        <f t="shared" si="77"/>
        <v>121.05</v>
      </c>
      <c r="R333" s="16" t="s">
        <v>3992</v>
      </c>
      <c r="S333" s="16" t="s">
        <v>3993</v>
      </c>
      <c r="T333" s="16" t="s">
        <v>3994</v>
      </c>
      <c r="U333" s="16" t="s">
        <v>3995</v>
      </c>
      <c r="V333" s="16" t="s">
        <v>3996</v>
      </c>
      <c r="W333" s="16" t="s">
        <v>76</v>
      </c>
      <c r="X333" s="16" t="s">
        <v>77</v>
      </c>
      <c r="Y333" s="16" t="s">
        <v>3997</v>
      </c>
      <c r="Z333" s="16" t="s">
        <v>3998</v>
      </c>
      <c r="AA333" s="16" t="s">
        <v>107</v>
      </c>
      <c r="AB333" s="16" t="s">
        <v>1025</v>
      </c>
      <c r="AC333" s="16" t="s">
        <v>3999</v>
      </c>
      <c r="AD333" s="16" t="s">
        <v>4000</v>
      </c>
      <c r="AE333" s="16" t="s">
        <v>84</v>
      </c>
      <c r="AF333" s="16" t="s">
        <v>84</v>
      </c>
      <c r="AG333" s="16">
        <v>129</v>
      </c>
      <c r="AH333" s="16">
        <v>129</v>
      </c>
      <c r="AI333" s="17">
        <v>129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 t="s">
        <v>137</v>
      </c>
      <c r="AP333" s="16" t="s">
        <v>4001</v>
      </c>
      <c r="AQ333" s="16" t="s">
        <v>4002</v>
      </c>
      <c r="AR333" s="16" t="s">
        <v>88</v>
      </c>
      <c r="AS333" s="16" t="s">
        <v>4003</v>
      </c>
      <c r="AT333" s="16">
        <v>6.45</v>
      </c>
      <c r="AU333" s="16" t="s">
        <v>90</v>
      </c>
      <c r="AV333" s="16">
        <v>1.5</v>
      </c>
      <c r="AW333" s="16" t="s">
        <v>115</v>
      </c>
      <c r="AX333" s="16" t="s">
        <v>116</v>
      </c>
      <c r="AY333" s="16" t="s">
        <v>117</v>
      </c>
      <c r="AZ333" s="16" t="s">
        <v>118</v>
      </c>
      <c r="BA333" s="16" t="s">
        <v>119</v>
      </c>
      <c r="BB333" s="16">
        <v>0</v>
      </c>
      <c r="BC333" s="16" t="s">
        <v>84</v>
      </c>
      <c r="BD333" s="16" t="s">
        <v>90</v>
      </c>
      <c r="BE333" s="16" t="s">
        <v>610</v>
      </c>
      <c r="BF333" s="16" t="s">
        <v>611</v>
      </c>
      <c r="BG333" s="16" t="s">
        <v>612</v>
      </c>
      <c r="BH333" s="16" t="s">
        <v>1174</v>
      </c>
      <c r="BI333" s="16" t="s">
        <v>1175</v>
      </c>
      <c r="BJ333" s="16">
        <v>129</v>
      </c>
      <c r="BK333" s="16">
        <v>129</v>
      </c>
      <c r="BL333" s="16">
        <v>129</v>
      </c>
      <c r="BM333" s="16" t="s">
        <v>96</v>
      </c>
      <c r="BN333" s="16">
        <v>1</v>
      </c>
      <c r="BO333" s="16" t="s">
        <v>84</v>
      </c>
      <c r="BP333" s="16" t="s">
        <v>84</v>
      </c>
      <c r="BQ333" s="16" t="s">
        <v>84</v>
      </c>
      <c r="BR333" s="16" t="s">
        <v>97</v>
      </c>
      <c r="BS333" s="16" t="s">
        <v>98</v>
      </c>
      <c r="BT333" s="16">
        <v>0</v>
      </c>
    </row>
    <row r="334" s="1" customFormat="1" ht="16" customHeight="1" spans="1:72">
      <c r="A334" s="14">
        <f t="shared" si="65"/>
        <v>2025</v>
      </c>
      <c r="B334" s="14">
        <f t="shared" si="66"/>
        <v>8</v>
      </c>
      <c r="C334" s="14" t="str">
        <f t="shared" si="67"/>
        <v>3729648489842488064</v>
      </c>
      <c r="D334" s="14" cm="1">
        <f t="array" ref="D334">SUMPRODUCT(($R$2:$R$374=C334)*1)</f>
        <v>1</v>
      </c>
      <c r="E334" s="14" cm="1">
        <f t="array" ref="E334">SUMPRODUCT(($R$2:R334=C334)*1)</f>
        <v>1</v>
      </c>
      <c r="F334" s="15" t="str">
        <f t="shared" si="68"/>
        <v>Z2183-黑色-XL</v>
      </c>
      <c r="G334" s="14" t="str">
        <f t="shared" si="69"/>
        <v>Z2183</v>
      </c>
      <c r="H334" s="15">
        <f t="shared" si="70"/>
        <v>1</v>
      </c>
      <c r="I334" s="14">
        <f t="shared" si="71"/>
        <v>129</v>
      </c>
      <c r="J334" s="15">
        <f t="shared" si="72"/>
        <v>0</v>
      </c>
      <c r="K334" s="15">
        <f t="shared" si="73"/>
        <v>0</v>
      </c>
      <c r="L334" s="15">
        <f t="shared" si="74"/>
        <v>-6.45</v>
      </c>
      <c r="M334" s="15">
        <f t="shared" si="75"/>
        <v>0</v>
      </c>
      <c r="N334" s="15">
        <f t="shared" si="76"/>
        <v>-1.5</v>
      </c>
      <c r="O334" s="15">
        <f t="shared" si="77"/>
        <v>121.05</v>
      </c>
      <c r="R334" s="16" t="s">
        <v>4004</v>
      </c>
      <c r="S334" s="16" t="s">
        <v>4005</v>
      </c>
      <c r="T334" s="16" t="s">
        <v>4006</v>
      </c>
      <c r="U334" s="16" t="s">
        <v>4007</v>
      </c>
      <c r="V334" s="16" t="s">
        <v>4008</v>
      </c>
      <c r="W334" s="16" t="s">
        <v>76</v>
      </c>
      <c r="X334" s="16" t="s">
        <v>77</v>
      </c>
      <c r="Y334" s="16" t="s">
        <v>330</v>
      </c>
      <c r="Z334" s="16" t="s">
        <v>4009</v>
      </c>
      <c r="AA334" s="16" t="s">
        <v>1547</v>
      </c>
      <c r="AB334" s="16" t="s">
        <v>1548</v>
      </c>
      <c r="AC334" s="16" t="s">
        <v>4010</v>
      </c>
      <c r="AD334" s="16" t="s">
        <v>4011</v>
      </c>
      <c r="AE334" s="16" t="s">
        <v>84</v>
      </c>
      <c r="AF334" s="16" t="s">
        <v>84</v>
      </c>
      <c r="AG334" s="16">
        <v>129</v>
      </c>
      <c r="AH334" s="16">
        <v>129</v>
      </c>
      <c r="AI334" s="17">
        <v>129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 t="s">
        <v>85</v>
      </c>
      <c r="AP334" s="16" t="s">
        <v>4012</v>
      </c>
      <c r="AQ334" s="16" t="s">
        <v>4013</v>
      </c>
      <c r="AR334" s="16" t="s">
        <v>88</v>
      </c>
      <c r="AS334" s="16" t="s">
        <v>4014</v>
      </c>
      <c r="AT334" s="16">
        <v>6.45</v>
      </c>
      <c r="AU334" s="16" t="s">
        <v>90</v>
      </c>
      <c r="AV334" s="16">
        <v>1.5</v>
      </c>
      <c r="AW334" s="16" t="s">
        <v>115</v>
      </c>
      <c r="AX334" s="16" t="s">
        <v>116</v>
      </c>
      <c r="AY334" s="16" t="s">
        <v>117</v>
      </c>
      <c r="AZ334" s="16" t="s">
        <v>118</v>
      </c>
      <c r="BA334" s="16" t="s">
        <v>119</v>
      </c>
      <c r="BB334" s="16">
        <v>0</v>
      </c>
      <c r="BC334" s="16" t="s">
        <v>84</v>
      </c>
      <c r="BD334" s="16" t="s">
        <v>90</v>
      </c>
      <c r="BE334" s="16" t="s">
        <v>610</v>
      </c>
      <c r="BF334" s="16" t="s">
        <v>611</v>
      </c>
      <c r="BG334" s="16" t="s">
        <v>612</v>
      </c>
      <c r="BH334" s="16" t="s">
        <v>613</v>
      </c>
      <c r="BI334" s="16" t="s">
        <v>614</v>
      </c>
      <c r="BJ334" s="16">
        <v>129</v>
      </c>
      <c r="BK334" s="16">
        <v>129</v>
      </c>
      <c r="BL334" s="16">
        <v>129</v>
      </c>
      <c r="BM334" s="16" t="s">
        <v>96</v>
      </c>
      <c r="BN334" s="16">
        <v>1</v>
      </c>
      <c r="BO334" s="16" t="s">
        <v>84</v>
      </c>
      <c r="BP334" s="16" t="s">
        <v>84</v>
      </c>
      <c r="BQ334" s="16" t="s">
        <v>84</v>
      </c>
      <c r="BR334" s="16" t="s">
        <v>97</v>
      </c>
      <c r="BS334" s="16" t="s">
        <v>98</v>
      </c>
      <c r="BT334" s="16">
        <v>0</v>
      </c>
    </row>
    <row r="335" s="1" customFormat="1" ht="16" customHeight="1" spans="1:72">
      <c r="A335" s="14">
        <f t="shared" si="65"/>
        <v>2025</v>
      </c>
      <c r="B335" s="14">
        <f t="shared" si="66"/>
        <v>8</v>
      </c>
      <c r="C335" s="14" t="str">
        <f t="shared" si="67"/>
        <v>3729648485923169792</v>
      </c>
      <c r="D335" s="14" cm="1">
        <f t="array" ref="D335">SUMPRODUCT(($R$2:$R$374=C335)*1)</f>
        <v>1</v>
      </c>
      <c r="E335" s="14" cm="1">
        <f t="array" ref="E335">SUMPRODUCT(($R$2:R335=C335)*1)</f>
        <v>1</v>
      </c>
      <c r="F335" s="15" t="str">
        <f t="shared" si="68"/>
        <v>Z2183-米白色-XL</v>
      </c>
      <c r="G335" s="14" t="str">
        <f t="shared" si="69"/>
        <v>Z2183</v>
      </c>
      <c r="H335" s="15">
        <f t="shared" si="70"/>
        <v>1</v>
      </c>
      <c r="I335" s="14">
        <f t="shared" si="71"/>
        <v>129</v>
      </c>
      <c r="J335" s="15">
        <f t="shared" si="72"/>
        <v>0</v>
      </c>
      <c r="K335" s="15">
        <f t="shared" si="73"/>
        <v>0</v>
      </c>
      <c r="L335" s="15">
        <f t="shared" si="74"/>
        <v>-6.45</v>
      </c>
      <c r="M335" s="15">
        <f t="shared" si="75"/>
        <v>0</v>
      </c>
      <c r="N335" s="15">
        <f t="shared" si="76"/>
        <v>-1.5</v>
      </c>
      <c r="O335" s="15">
        <f t="shared" si="77"/>
        <v>121.05</v>
      </c>
      <c r="R335" s="16" t="s">
        <v>4015</v>
      </c>
      <c r="S335" s="16" t="s">
        <v>4016</v>
      </c>
      <c r="T335" s="16" t="s">
        <v>4017</v>
      </c>
      <c r="U335" s="16" t="s">
        <v>4018</v>
      </c>
      <c r="V335" s="16" t="s">
        <v>4019</v>
      </c>
      <c r="W335" s="16" t="s">
        <v>76</v>
      </c>
      <c r="X335" s="16" t="s">
        <v>77</v>
      </c>
      <c r="Y335" s="16" t="s">
        <v>1510</v>
      </c>
      <c r="Z335" s="16" t="s">
        <v>1035</v>
      </c>
      <c r="AA335" s="16" t="s">
        <v>153</v>
      </c>
      <c r="AB335" s="16" t="s">
        <v>153</v>
      </c>
      <c r="AC335" s="16" t="s">
        <v>1036</v>
      </c>
      <c r="AD335" s="16" t="s">
        <v>4020</v>
      </c>
      <c r="AE335" s="16" t="s">
        <v>84</v>
      </c>
      <c r="AF335" s="16" t="s">
        <v>84</v>
      </c>
      <c r="AG335" s="16">
        <v>129</v>
      </c>
      <c r="AH335" s="16">
        <v>129</v>
      </c>
      <c r="AI335" s="17">
        <v>129</v>
      </c>
      <c r="AJ335" s="16">
        <v>0</v>
      </c>
      <c r="AK335" s="16">
        <v>0</v>
      </c>
      <c r="AL335" s="16">
        <v>0</v>
      </c>
      <c r="AM335" s="16">
        <v>0</v>
      </c>
      <c r="AN335" s="16">
        <v>0</v>
      </c>
      <c r="AO335" s="16" t="s">
        <v>85</v>
      </c>
      <c r="AP335" s="16" t="s">
        <v>4021</v>
      </c>
      <c r="AQ335" s="16" t="s">
        <v>4022</v>
      </c>
      <c r="AR335" s="16" t="s">
        <v>88</v>
      </c>
      <c r="AS335" s="16" t="s">
        <v>4023</v>
      </c>
      <c r="AT335" s="16">
        <v>6.45</v>
      </c>
      <c r="AU335" s="16" t="s">
        <v>90</v>
      </c>
      <c r="AV335" s="16">
        <v>1.5</v>
      </c>
      <c r="AW335" s="16" t="s">
        <v>115</v>
      </c>
      <c r="AX335" s="16" t="s">
        <v>116</v>
      </c>
      <c r="AY335" s="16" t="s">
        <v>117</v>
      </c>
      <c r="AZ335" s="16" t="s">
        <v>118</v>
      </c>
      <c r="BA335" s="16" t="s">
        <v>119</v>
      </c>
      <c r="BB335" s="16">
        <v>0</v>
      </c>
      <c r="BC335" s="16" t="s">
        <v>84</v>
      </c>
      <c r="BD335" s="16" t="s">
        <v>90</v>
      </c>
      <c r="BE335" s="16" t="s">
        <v>610</v>
      </c>
      <c r="BF335" s="16" t="s">
        <v>611</v>
      </c>
      <c r="BG335" s="16" t="s">
        <v>612</v>
      </c>
      <c r="BH335" s="16" t="s">
        <v>2279</v>
      </c>
      <c r="BI335" s="16" t="s">
        <v>2280</v>
      </c>
      <c r="BJ335" s="16">
        <v>129</v>
      </c>
      <c r="BK335" s="16">
        <v>129</v>
      </c>
      <c r="BL335" s="16">
        <v>129</v>
      </c>
      <c r="BM335" s="16" t="s">
        <v>96</v>
      </c>
      <c r="BN335" s="16">
        <v>1</v>
      </c>
      <c r="BO335" s="16" t="s">
        <v>84</v>
      </c>
      <c r="BP335" s="16" t="s">
        <v>84</v>
      </c>
      <c r="BQ335" s="16" t="s">
        <v>84</v>
      </c>
      <c r="BR335" s="16" t="s">
        <v>97</v>
      </c>
      <c r="BS335" s="16" t="s">
        <v>98</v>
      </c>
      <c r="BT335" s="16">
        <v>0</v>
      </c>
    </row>
    <row r="336" s="1" customFormat="1" ht="16" customHeight="1" spans="1:72">
      <c r="A336" s="14">
        <f t="shared" si="65"/>
        <v>2025</v>
      </c>
      <c r="B336" s="14">
        <f t="shared" si="66"/>
        <v>8</v>
      </c>
      <c r="C336" s="14" t="str">
        <f t="shared" si="67"/>
        <v>3729648475627199488</v>
      </c>
      <c r="D336" s="14" cm="1">
        <f t="array" ref="D336">SUMPRODUCT(($R$2:$R$374=C336)*1)</f>
        <v>1</v>
      </c>
      <c r="E336" s="14" cm="1">
        <f t="array" ref="E336">SUMPRODUCT(($R$2:R336=C336)*1)</f>
        <v>1</v>
      </c>
      <c r="F336" s="15" t="str">
        <f t="shared" si="68"/>
        <v>Z2183-黑色-M</v>
      </c>
      <c r="G336" s="14" t="str">
        <f t="shared" si="69"/>
        <v>Z2183</v>
      </c>
      <c r="H336" s="15">
        <f t="shared" si="70"/>
        <v>1</v>
      </c>
      <c r="I336" s="14">
        <f t="shared" si="71"/>
        <v>129</v>
      </c>
      <c r="J336" s="15">
        <f t="shared" si="72"/>
        <v>0</v>
      </c>
      <c r="K336" s="15">
        <f t="shared" si="73"/>
        <v>0</v>
      </c>
      <c r="L336" s="15">
        <f t="shared" si="74"/>
        <v>-6.45</v>
      </c>
      <c r="M336" s="15">
        <f t="shared" si="75"/>
        <v>0</v>
      </c>
      <c r="N336" s="15">
        <f t="shared" si="76"/>
        <v>-1.5</v>
      </c>
      <c r="O336" s="15">
        <f t="shared" si="77"/>
        <v>121.05</v>
      </c>
      <c r="R336" s="16" t="s">
        <v>4024</v>
      </c>
      <c r="S336" s="16" t="s">
        <v>4025</v>
      </c>
      <c r="T336" s="16" t="s">
        <v>3973</v>
      </c>
      <c r="U336" s="16" t="s">
        <v>4026</v>
      </c>
      <c r="V336" s="16" t="s">
        <v>4027</v>
      </c>
      <c r="W336" s="16" t="s">
        <v>76</v>
      </c>
      <c r="X336" s="16" t="s">
        <v>77</v>
      </c>
      <c r="Y336" s="16" t="s">
        <v>4028</v>
      </c>
      <c r="Z336" s="16" t="s">
        <v>4029</v>
      </c>
      <c r="AA336" s="16" t="s">
        <v>1547</v>
      </c>
      <c r="AB336" s="16" t="s">
        <v>4030</v>
      </c>
      <c r="AC336" s="16" t="s">
        <v>4031</v>
      </c>
      <c r="AD336" s="16" t="s">
        <v>4032</v>
      </c>
      <c r="AE336" s="16" t="s">
        <v>84</v>
      </c>
      <c r="AF336" s="16" t="s">
        <v>84</v>
      </c>
      <c r="AG336" s="16">
        <v>129</v>
      </c>
      <c r="AH336" s="16">
        <v>129</v>
      </c>
      <c r="AI336" s="17">
        <v>129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 t="s">
        <v>137</v>
      </c>
      <c r="AP336" s="16" t="s">
        <v>4033</v>
      </c>
      <c r="AQ336" s="16" t="s">
        <v>4034</v>
      </c>
      <c r="AR336" s="16" t="s">
        <v>88</v>
      </c>
      <c r="AS336" s="16" t="s">
        <v>4035</v>
      </c>
      <c r="AT336" s="16">
        <v>6.45</v>
      </c>
      <c r="AU336" s="16" t="s">
        <v>90</v>
      </c>
      <c r="AV336" s="16">
        <v>1.5</v>
      </c>
      <c r="AW336" s="16" t="s">
        <v>115</v>
      </c>
      <c r="AX336" s="16" t="s">
        <v>116</v>
      </c>
      <c r="AY336" s="16" t="s">
        <v>117</v>
      </c>
      <c r="AZ336" s="16" t="s">
        <v>118</v>
      </c>
      <c r="BA336" s="16" t="s">
        <v>119</v>
      </c>
      <c r="BB336" s="16">
        <v>0</v>
      </c>
      <c r="BC336" s="16" t="s">
        <v>84</v>
      </c>
      <c r="BD336" s="16" t="s">
        <v>90</v>
      </c>
      <c r="BE336" s="16" t="s">
        <v>610</v>
      </c>
      <c r="BF336" s="16" t="s">
        <v>611</v>
      </c>
      <c r="BG336" s="16" t="s">
        <v>612</v>
      </c>
      <c r="BH336" s="16" t="s">
        <v>685</v>
      </c>
      <c r="BI336" s="16" t="s">
        <v>686</v>
      </c>
      <c r="BJ336" s="16">
        <v>129</v>
      </c>
      <c r="BK336" s="16">
        <v>129</v>
      </c>
      <c r="BL336" s="16">
        <v>129</v>
      </c>
      <c r="BM336" s="16" t="s">
        <v>96</v>
      </c>
      <c r="BN336" s="16">
        <v>1</v>
      </c>
      <c r="BO336" s="16" t="s">
        <v>84</v>
      </c>
      <c r="BP336" s="16" t="s">
        <v>84</v>
      </c>
      <c r="BQ336" s="16" t="s">
        <v>84</v>
      </c>
      <c r="BR336" s="16" t="s">
        <v>97</v>
      </c>
      <c r="BS336" s="16" t="s">
        <v>98</v>
      </c>
      <c r="BT336" s="16">
        <v>0</v>
      </c>
    </row>
    <row r="337" s="1" customFormat="1" ht="16" customHeight="1" spans="1:72">
      <c r="A337" s="14">
        <f t="shared" si="65"/>
        <v>2025</v>
      </c>
      <c r="B337" s="14">
        <f t="shared" si="66"/>
        <v>8</v>
      </c>
      <c r="C337" s="14" t="str">
        <f t="shared" si="67"/>
        <v>3729648467964475136</v>
      </c>
      <c r="D337" s="14" cm="1">
        <f t="array" ref="D337">SUMPRODUCT(($R$2:$R$374=C337)*1)</f>
        <v>1</v>
      </c>
      <c r="E337" s="14" cm="1">
        <f t="array" ref="E337">SUMPRODUCT(($R$2:R337=C337)*1)</f>
        <v>1</v>
      </c>
      <c r="F337" s="15" t="str">
        <f t="shared" si="68"/>
        <v>Z2183-米白色-M</v>
      </c>
      <c r="G337" s="14" t="str">
        <f t="shared" si="69"/>
        <v>Z2183</v>
      </c>
      <c r="H337" s="15">
        <f t="shared" si="70"/>
        <v>1</v>
      </c>
      <c r="I337" s="14">
        <f t="shared" si="71"/>
        <v>129</v>
      </c>
      <c r="J337" s="15">
        <f t="shared" si="72"/>
        <v>0</v>
      </c>
      <c r="K337" s="15">
        <f t="shared" si="73"/>
        <v>0</v>
      </c>
      <c r="L337" s="15">
        <f t="shared" si="74"/>
        <v>-6.45</v>
      </c>
      <c r="M337" s="15">
        <f t="shared" si="75"/>
        <v>0</v>
      </c>
      <c r="N337" s="15">
        <f t="shared" si="76"/>
        <v>-1.5</v>
      </c>
      <c r="O337" s="15">
        <f t="shared" si="77"/>
        <v>121.05</v>
      </c>
      <c r="R337" s="16" t="s">
        <v>4036</v>
      </c>
      <c r="S337" s="16" t="s">
        <v>4037</v>
      </c>
      <c r="T337" s="16" t="s">
        <v>4038</v>
      </c>
      <c r="U337" s="16" t="s">
        <v>4039</v>
      </c>
      <c r="V337" s="16" t="s">
        <v>4040</v>
      </c>
      <c r="W337" s="16" t="s">
        <v>76</v>
      </c>
      <c r="X337" s="16" t="s">
        <v>77</v>
      </c>
      <c r="Y337" s="16" t="s">
        <v>4028</v>
      </c>
      <c r="Z337" s="16" t="s">
        <v>4029</v>
      </c>
      <c r="AA337" s="16" t="s">
        <v>1547</v>
      </c>
      <c r="AB337" s="16" t="s">
        <v>4030</v>
      </c>
      <c r="AC337" s="16" t="s">
        <v>4031</v>
      </c>
      <c r="AD337" s="16" t="s">
        <v>4032</v>
      </c>
      <c r="AE337" s="16" t="s">
        <v>84</v>
      </c>
      <c r="AF337" s="16" t="s">
        <v>84</v>
      </c>
      <c r="AG337" s="16">
        <v>129</v>
      </c>
      <c r="AH337" s="16">
        <v>129</v>
      </c>
      <c r="AI337" s="17">
        <v>129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 t="s">
        <v>137</v>
      </c>
      <c r="AP337" s="16" t="s">
        <v>4041</v>
      </c>
      <c r="AQ337" s="16" t="s">
        <v>4042</v>
      </c>
      <c r="AR337" s="16" t="s">
        <v>88</v>
      </c>
      <c r="AS337" s="16" t="s">
        <v>4043</v>
      </c>
      <c r="AT337" s="16">
        <v>6.45</v>
      </c>
      <c r="AU337" s="16" t="s">
        <v>90</v>
      </c>
      <c r="AV337" s="16">
        <v>1.5</v>
      </c>
      <c r="AW337" s="16" t="s">
        <v>115</v>
      </c>
      <c r="AX337" s="16" t="s">
        <v>116</v>
      </c>
      <c r="AY337" s="16" t="s">
        <v>117</v>
      </c>
      <c r="AZ337" s="16" t="s">
        <v>118</v>
      </c>
      <c r="BA337" s="16" t="s">
        <v>119</v>
      </c>
      <c r="BB337" s="16">
        <v>0</v>
      </c>
      <c r="BC337" s="16" t="s">
        <v>84</v>
      </c>
      <c r="BD337" s="16" t="s">
        <v>90</v>
      </c>
      <c r="BE337" s="16" t="s">
        <v>610</v>
      </c>
      <c r="BF337" s="16" t="s">
        <v>611</v>
      </c>
      <c r="BG337" s="16" t="s">
        <v>612</v>
      </c>
      <c r="BH337" s="16" t="s">
        <v>1141</v>
      </c>
      <c r="BI337" s="16" t="s">
        <v>1142</v>
      </c>
      <c r="BJ337" s="16">
        <v>129</v>
      </c>
      <c r="BK337" s="16">
        <v>129</v>
      </c>
      <c r="BL337" s="16">
        <v>129</v>
      </c>
      <c r="BM337" s="16" t="s">
        <v>96</v>
      </c>
      <c r="BN337" s="16">
        <v>1</v>
      </c>
      <c r="BO337" s="16" t="s">
        <v>84</v>
      </c>
      <c r="BP337" s="16" t="s">
        <v>84</v>
      </c>
      <c r="BQ337" s="16" t="s">
        <v>84</v>
      </c>
      <c r="BR337" s="16" t="s">
        <v>97</v>
      </c>
      <c r="BS337" s="16" t="s">
        <v>98</v>
      </c>
      <c r="BT337" s="16">
        <v>0</v>
      </c>
    </row>
    <row r="338" s="1" customFormat="1" ht="16" customHeight="1" spans="1:72">
      <c r="A338" s="14">
        <f t="shared" si="65"/>
        <v>2025</v>
      </c>
      <c r="B338" s="14">
        <f t="shared" si="66"/>
        <v>8</v>
      </c>
      <c r="C338" s="14" t="str">
        <f t="shared" si="67"/>
        <v>3729648372632139776</v>
      </c>
      <c r="D338" s="14" cm="1">
        <f t="array" ref="D338">SUMPRODUCT(($R$2:$R$374=C338)*1)</f>
        <v>1</v>
      </c>
      <c r="E338" s="14" cm="1">
        <f t="array" ref="E338">SUMPRODUCT(($R$2:R338=C338)*1)</f>
        <v>1</v>
      </c>
      <c r="F338" s="15" t="str">
        <f t="shared" si="68"/>
        <v>Z2183-黑色-L</v>
      </c>
      <c r="G338" s="14" t="str">
        <f t="shared" si="69"/>
        <v>Z2183</v>
      </c>
      <c r="H338" s="15">
        <f t="shared" si="70"/>
        <v>1</v>
      </c>
      <c r="I338" s="14">
        <f t="shared" si="71"/>
        <v>129</v>
      </c>
      <c r="J338" s="15">
        <f t="shared" si="72"/>
        <v>0</v>
      </c>
      <c r="K338" s="15">
        <f t="shared" si="73"/>
        <v>0</v>
      </c>
      <c r="L338" s="15">
        <f t="shared" si="74"/>
        <v>-6.45</v>
      </c>
      <c r="M338" s="15">
        <f t="shared" si="75"/>
        <v>0</v>
      </c>
      <c r="N338" s="15">
        <f t="shared" si="76"/>
        <v>-1.5</v>
      </c>
      <c r="O338" s="15">
        <f t="shared" si="77"/>
        <v>121.05</v>
      </c>
      <c r="R338" s="16" t="s">
        <v>4044</v>
      </c>
      <c r="S338" s="16" t="s">
        <v>4045</v>
      </c>
      <c r="T338" s="16" t="s">
        <v>4046</v>
      </c>
      <c r="U338" s="16" t="s">
        <v>4047</v>
      </c>
      <c r="V338" s="16" t="s">
        <v>4048</v>
      </c>
      <c r="W338" s="16" t="s">
        <v>76</v>
      </c>
      <c r="X338" s="16" t="s">
        <v>77</v>
      </c>
      <c r="Y338" s="16" t="s">
        <v>188</v>
      </c>
      <c r="Z338" s="16" t="s">
        <v>4049</v>
      </c>
      <c r="AA338" s="16" t="s">
        <v>332</v>
      </c>
      <c r="AB338" s="16" t="s">
        <v>333</v>
      </c>
      <c r="AC338" s="16" t="s">
        <v>4050</v>
      </c>
      <c r="AD338" s="16" t="s">
        <v>4051</v>
      </c>
      <c r="AE338" s="16" t="s">
        <v>84</v>
      </c>
      <c r="AF338" s="16" t="s">
        <v>84</v>
      </c>
      <c r="AG338" s="16">
        <v>129</v>
      </c>
      <c r="AH338" s="16">
        <v>129</v>
      </c>
      <c r="AI338" s="17">
        <v>129</v>
      </c>
      <c r="AJ338" s="16">
        <v>0</v>
      </c>
      <c r="AK338" s="16">
        <v>0</v>
      </c>
      <c r="AL338" s="16">
        <v>0</v>
      </c>
      <c r="AM338" s="16">
        <v>0</v>
      </c>
      <c r="AN338" s="16">
        <v>0</v>
      </c>
      <c r="AO338" s="16" t="s">
        <v>137</v>
      </c>
      <c r="AP338" s="16" t="s">
        <v>4052</v>
      </c>
      <c r="AQ338" s="16" t="s">
        <v>4053</v>
      </c>
      <c r="AR338" s="16" t="s">
        <v>88</v>
      </c>
      <c r="AS338" s="16" t="s">
        <v>4054</v>
      </c>
      <c r="AT338" s="16">
        <v>6.45</v>
      </c>
      <c r="AU338" s="16" t="s">
        <v>90</v>
      </c>
      <c r="AV338" s="16">
        <v>1.5</v>
      </c>
      <c r="AW338" s="16" t="s">
        <v>115</v>
      </c>
      <c r="AX338" s="16" t="s">
        <v>116</v>
      </c>
      <c r="AY338" s="16" t="s">
        <v>117</v>
      </c>
      <c r="AZ338" s="16" t="s">
        <v>118</v>
      </c>
      <c r="BA338" s="16" t="s">
        <v>119</v>
      </c>
      <c r="BB338" s="16">
        <v>0</v>
      </c>
      <c r="BC338" s="16" t="s">
        <v>84</v>
      </c>
      <c r="BD338" s="16" t="s">
        <v>90</v>
      </c>
      <c r="BE338" s="16" t="s">
        <v>610</v>
      </c>
      <c r="BF338" s="16" t="s">
        <v>611</v>
      </c>
      <c r="BG338" s="16" t="s">
        <v>612</v>
      </c>
      <c r="BH338" s="16" t="s">
        <v>1174</v>
      </c>
      <c r="BI338" s="16" t="s">
        <v>1175</v>
      </c>
      <c r="BJ338" s="16">
        <v>129</v>
      </c>
      <c r="BK338" s="16">
        <v>129</v>
      </c>
      <c r="BL338" s="16">
        <v>129</v>
      </c>
      <c r="BM338" s="16" t="s">
        <v>96</v>
      </c>
      <c r="BN338" s="16">
        <v>1</v>
      </c>
      <c r="BO338" s="16" t="s">
        <v>84</v>
      </c>
      <c r="BP338" s="16" t="s">
        <v>84</v>
      </c>
      <c r="BQ338" s="16" t="s">
        <v>84</v>
      </c>
      <c r="BR338" s="16" t="s">
        <v>97</v>
      </c>
      <c r="BS338" s="16" t="s">
        <v>98</v>
      </c>
      <c r="BT338" s="16">
        <v>0</v>
      </c>
    </row>
    <row r="339" s="1" customFormat="1" ht="16" customHeight="1" spans="1:72">
      <c r="A339" s="14">
        <f t="shared" si="65"/>
        <v>2025</v>
      </c>
      <c r="B339" s="14">
        <f t="shared" si="66"/>
        <v>8</v>
      </c>
      <c r="C339" s="14" t="str">
        <f t="shared" si="67"/>
        <v>3729648148605973504</v>
      </c>
      <c r="D339" s="14" cm="1">
        <f t="array" ref="D339">SUMPRODUCT(($R$2:$R$374=C339)*1)</f>
        <v>1</v>
      </c>
      <c r="E339" s="14" cm="1">
        <f t="array" ref="E339">SUMPRODUCT(($R$2:R339=C339)*1)</f>
        <v>1</v>
      </c>
      <c r="F339" s="15" t="str">
        <f t="shared" si="68"/>
        <v>Z2183-黑色-L</v>
      </c>
      <c r="G339" s="14" t="str">
        <f t="shared" si="69"/>
        <v>Z2183</v>
      </c>
      <c r="H339" s="15">
        <f t="shared" si="70"/>
        <v>1</v>
      </c>
      <c r="I339" s="14">
        <f t="shared" si="71"/>
        <v>129</v>
      </c>
      <c r="J339" s="15">
        <f t="shared" si="72"/>
        <v>0</v>
      </c>
      <c r="K339" s="15">
        <f t="shared" si="73"/>
        <v>0</v>
      </c>
      <c r="L339" s="15">
        <f t="shared" si="74"/>
        <v>-6.45</v>
      </c>
      <c r="M339" s="15">
        <f t="shared" si="75"/>
        <v>0</v>
      </c>
      <c r="N339" s="15">
        <f t="shared" si="76"/>
        <v>-1.5</v>
      </c>
      <c r="O339" s="15">
        <f t="shared" si="77"/>
        <v>121.05</v>
      </c>
      <c r="R339" s="16" t="s">
        <v>4055</v>
      </c>
      <c r="S339" s="16" t="s">
        <v>4056</v>
      </c>
      <c r="T339" s="16" t="s">
        <v>4046</v>
      </c>
      <c r="U339" s="16" t="s">
        <v>4057</v>
      </c>
      <c r="V339" s="16" t="s">
        <v>4058</v>
      </c>
      <c r="W339" s="16" t="s">
        <v>76</v>
      </c>
      <c r="X339" s="16" t="s">
        <v>77</v>
      </c>
      <c r="Y339" s="16" t="s">
        <v>1077</v>
      </c>
      <c r="Z339" s="16" t="s">
        <v>4059</v>
      </c>
      <c r="AA339" s="16" t="s">
        <v>1547</v>
      </c>
      <c r="AB339" s="16" t="s">
        <v>4060</v>
      </c>
      <c r="AC339" s="16" t="s">
        <v>4061</v>
      </c>
      <c r="AD339" s="16" t="s">
        <v>4062</v>
      </c>
      <c r="AE339" s="16" t="s">
        <v>84</v>
      </c>
      <c r="AF339" s="16" t="s">
        <v>84</v>
      </c>
      <c r="AG339" s="16">
        <v>129</v>
      </c>
      <c r="AH339" s="16">
        <v>129</v>
      </c>
      <c r="AI339" s="17">
        <v>129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 t="s">
        <v>137</v>
      </c>
      <c r="AP339" s="16" t="s">
        <v>4063</v>
      </c>
      <c r="AQ339" s="16" t="s">
        <v>4064</v>
      </c>
      <c r="AR339" s="16" t="s">
        <v>88</v>
      </c>
      <c r="AS339" s="16" t="s">
        <v>4065</v>
      </c>
      <c r="AT339" s="16">
        <v>6.45</v>
      </c>
      <c r="AU339" s="16" t="s">
        <v>90</v>
      </c>
      <c r="AV339" s="16">
        <v>1.5</v>
      </c>
      <c r="AW339" s="16" t="s">
        <v>115</v>
      </c>
      <c r="AX339" s="16" t="s">
        <v>116</v>
      </c>
      <c r="AY339" s="16" t="s">
        <v>117</v>
      </c>
      <c r="AZ339" s="16" t="s">
        <v>118</v>
      </c>
      <c r="BA339" s="16" t="s">
        <v>119</v>
      </c>
      <c r="BB339" s="16">
        <v>0</v>
      </c>
      <c r="BC339" s="16" t="s">
        <v>84</v>
      </c>
      <c r="BD339" s="16" t="s">
        <v>90</v>
      </c>
      <c r="BE339" s="16" t="s">
        <v>610</v>
      </c>
      <c r="BF339" s="16" t="s">
        <v>611</v>
      </c>
      <c r="BG339" s="16" t="s">
        <v>612</v>
      </c>
      <c r="BH339" s="16" t="s">
        <v>1174</v>
      </c>
      <c r="BI339" s="16" t="s">
        <v>1175</v>
      </c>
      <c r="BJ339" s="16">
        <v>129</v>
      </c>
      <c r="BK339" s="16">
        <v>129</v>
      </c>
      <c r="BL339" s="16">
        <v>129</v>
      </c>
      <c r="BM339" s="16" t="s">
        <v>96</v>
      </c>
      <c r="BN339" s="16">
        <v>1</v>
      </c>
      <c r="BO339" s="16" t="s">
        <v>84</v>
      </c>
      <c r="BP339" s="16" t="s">
        <v>84</v>
      </c>
      <c r="BQ339" s="16" t="s">
        <v>84</v>
      </c>
      <c r="BR339" s="16" t="s">
        <v>97</v>
      </c>
      <c r="BS339" s="16" t="s">
        <v>98</v>
      </c>
      <c r="BT339" s="16">
        <v>0</v>
      </c>
    </row>
    <row r="340" s="1" customFormat="1" ht="16" customHeight="1" spans="1:72">
      <c r="A340" s="14">
        <f t="shared" si="65"/>
        <v>2025</v>
      </c>
      <c r="B340" s="14">
        <f t="shared" si="66"/>
        <v>8</v>
      </c>
      <c r="C340" s="14" t="str">
        <f t="shared" si="67"/>
        <v>3729648124879844352</v>
      </c>
      <c r="D340" s="14" cm="1">
        <f t="array" ref="D340">SUMPRODUCT(($R$2:$R$374=C340)*1)</f>
        <v>1</v>
      </c>
      <c r="E340" s="14" cm="1">
        <f t="array" ref="E340">SUMPRODUCT(($R$2:R340=C340)*1)</f>
        <v>1</v>
      </c>
      <c r="F340" s="15" t="str">
        <f t="shared" si="68"/>
        <v>Z2183-米白色-L</v>
      </c>
      <c r="G340" s="14" t="str">
        <f t="shared" si="69"/>
        <v>Z2183</v>
      </c>
      <c r="H340" s="15">
        <f t="shared" si="70"/>
        <v>1</v>
      </c>
      <c r="I340" s="14">
        <f t="shared" si="71"/>
        <v>129</v>
      </c>
      <c r="J340" s="15">
        <f t="shared" si="72"/>
        <v>0</v>
      </c>
      <c r="K340" s="15">
        <f t="shared" si="73"/>
        <v>0</v>
      </c>
      <c r="L340" s="15">
        <f t="shared" si="74"/>
        <v>-6.45</v>
      </c>
      <c r="M340" s="15">
        <f t="shared" si="75"/>
        <v>0</v>
      </c>
      <c r="N340" s="15">
        <f t="shared" si="76"/>
        <v>-1.5</v>
      </c>
      <c r="O340" s="15">
        <f t="shared" si="77"/>
        <v>121.05</v>
      </c>
      <c r="R340" s="16" t="s">
        <v>4066</v>
      </c>
      <c r="S340" s="16" t="s">
        <v>4067</v>
      </c>
      <c r="T340" s="16" t="s">
        <v>4068</v>
      </c>
      <c r="U340" s="16" t="s">
        <v>4069</v>
      </c>
      <c r="V340" s="16" t="s">
        <v>4070</v>
      </c>
      <c r="W340" s="16" t="s">
        <v>76</v>
      </c>
      <c r="X340" s="16" t="s">
        <v>77</v>
      </c>
      <c r="Y340" s="16" t="s">
        <v>1005</v>
      </c>
      <c r="Z340" s="16" t="s">
        <v>2357</v>
      </c>
      <c r="AA340" s="16" t="s">
        <v>763</v>
      </c>
      <c r="AB340" s="16" t="s">
        <v>763</v>
      </c>
      <c r="AC340" s="16" t="s">
        <v>2358</v>
      </c>
      <c r="AD340" s="16" t="s">
        <v>4071</v>
      </c>
      <c r="AE340" s="16" t="s">
        <v>84</v>
      </c>
      <c r="AF340" s="16" t="s">
        <v>84</v>
      </c>
      <c r="AG340" s="16">
        <v>129</v>
      </c>
      <c r="AH340" s="16">
        <v>129</v>
      </c>
      <c r="AI340" s="17">
        <v>129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 t="s">
        <v>137</v>
      </c>
      <c r="AP340" s="16" t="s">
        <v>4072</v>
      </c>
      <c r="AQ340" s="16" t="s">
        <v>4073</v>
      </c>
      <c r="AR340" s="16" t="s">
        <v>88</v>
      </c>
      <c r="AS340" s="16" t="s">
        <v>4074</v>
      </c>
      <c r="AT340" s="16">
        <v>6.45</v>
      </c>
      <c r="AU340" s="16" t="s">
        <v>90</v>
      </c>
      <c r="AV340" s="16">
        <v>1.5</v>
      </c>
      <c r="AW340" s="16" t="s">
        <v>115</v>
      </c>
      <c r="AX340" s="16" t="s">
        <v>116</v>
      </c>
      <c r="AY340" s="16" t="s">
        <v>117</v>
      </c>
      <c r="AZ340" s="16" t="s">
        <v>118</v>
      </c>
      <c r="BA340" s="16" t="s">
        <v>119</v>
      </c>
      <c r="BB340" s="16">
        <v>0</v>
      </c>
      <c r="BC340" s="16" t="s">
        <v>84</v>
      </c>
      <c r="BD340" s="16" t="s">
        <v>90</v>
      </c>
      <c r="BE340" s="16" t="s">
        <v>610</v>
      </c>
      <c r="BF340" s="16" t="s">
        <v>611</v>
      </c>
      <c r="BG340" s="16" t="s">
        <v>612</v>
      </c>
      <c r="BH340" s="16" t="s">
        <v>1241</v>
      </c>
      <c r="BI340" s="16" t="s">
        <v>1242</v>
      </c>
      <c r="BJ340" s="16">
        <v>129</v>
      </c>
      <c r="BK340" s="16">
        <v>129</v>
      </c>
      <c r="BL340" s="16">
        <v>129</v>
      </c>
      <c r="BM340" s="16" t="s">
        <v>96</v>
      </c>
      <c r="BN340" s="16">
        <v>1</v>
      </c>
      <c r="BO340" s="16" t="s">
        <v>84</v>
      </c>
      <c r="BP340" s="16" t="s">
        <v>84</v>
      </c>
      <c r="BQ340" s="16" t="s">
        <v>84</v>
      </c>
      <c r="BR340" s="16" t="s">
        <v>97</v>
      </c>
      <c r="BS340" s="16" t="s">
        <v>98</v>
      </c>
      <c r="BT340" s="16">
        <v>0</v>
      </c>
    </row>
    <row r="341" s="1" customFormat="1" ht="16" customHeight="1" spans="1:72">
      <c r="A341" s="14">
        <f t="shared" si="65"/>
        <v>2025</v>
      </c>
      <c r="B341" s="14">
        <f t="shared" si="66"/>
        <v>8</v>
      </c>
      <c r="C341" s="14" t="str">
        <f t="shared" si="67"/>
        <v>3729648086901993728</v>
      </c>
      <c r="D341" s="14" cm="1">
        <f t="array" ref="D341">SUMPRODUCT(($R$2:$R$374=C341)*1)</f>
        <v>1</v>
      </c>
      <c r="E341" s="14" cm="1">
        <f t="array" ref="E341">SUMPRODUCT(($R$2:R341=C341)*1)</f>
        <v>1</v>
      </c>
      <c r="F341" s="15" t="str">
        <f t="shared" si="68"/>
        <v>Z2183-黑色-M</v>
      </c>
      <c r="G341" s="14" t="str">
        <f t="shared" si="69"/>
        <v>Z2183</v>
      </c>
      <c r="H341" s="15">
        <f t="shared" si="70"/>
        <v>1</v>
      </c>
      <c r="I341" s="14">
        <f t="shared" si="71"/>
        <v>129</v>
      </c>
      <c r="J341" s="15">
        <f t="shared" si="72"/>
        <v>0</v>
      </c>
      <c r="K341" s="15">
        <f t="shared" si="73"/>
        <v>0</v>
      </c>
      <c r="L341" s="15">
        <f t="shared" si="74"/>
        <v>-6.45</v>
      </c>
      <c r="M341" s="15">
        <f t="shared" si="75"/>
        <v>0</v>
      </c>
      <c r="N341" s="15">
        <f t="shared" si="76"/>
        <v>0</v>
      </c>
      <c r="O341" s="15">
        <f t="shared" si="77"/>
        <v>122.55</v>
      </c>
      <c r="R341" s="16" t="s">
        <v>4075</v>
      </c>
      <c r="S341" s="16" t="s">
        <v>4076</v>
      </c>
      <c r="T341" s="16" t="s">
        <v>3973</v>
      </c>
      <c r="U341" s="16" t="s">
        <v>4077</v>
      </c>
      <c r="V341" s="16" t="s">
        <v>4078</v>
      </c>
      <c r="W341" s="16" t="s">
        <v>76</v>
      </c>
      <c r="X341" s="16" t="s">
        <v>77</v>
      </c>
      <c r="Y341" s="16" t="s">
        <v>2077</v>
      </c>
      <c r="Z341" s="16" t="s">
        <v>2078</v>
      </c>
      <c r="AA341" s="16" t="s">
        <v>243</v>
      </c>
      <c r="AB341" s="16" t="s">
        <v>2079</v>
      </c>
      <c r="AC341" s="16" t="s">
        <v>2080</v>
      </c>
      <c r="AD341" s="16" t="s">
        <v>2081</v>
      </c>
      <c r="AE341" s="16" t="s">
        <v>84</v>
      </c>
      <c r="AF341" s="16" t="s">
        <v>84</v>
      </c>
      <c r="AG341" s="16">
        <v>129</v>
      </c>
      <c r="AH341" s="16">
        <v>129</v>
      </c>
      <c r="AI341" s="17">
        <v>129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 t="s">
        <v>137</v>
      </c>
      <c r="AP341" s="16" t="s">
        <v>4079</v>
      </c>
      <c r="AQ341" s="16" t="s">
        <v>4080</v>
      </c>
      <c r="AR341" s="16" t="s">
        <v>88</v>
      </c>
      <c r="AS341" s="16" t="s">
        <v>4081</v>
      </c>
      <c r="AT341" s="16">
        <v>6.45</v>
      </c>
      <c r="AU341" s="16" t="s">
        <v>90</v>
      </c>
      <c r="AV341" s="16" t="s">
        <v>90</v>
      </c>
      <c r="AW341" s="16" t="s">
        <v>115</v>
      </c>
      <c r="AX341" s="16" t="s">
        <v>116</v>
      </c>
      <c r="AY341" s="16" t="s">
        <v>117</v>
      </c>
      <c r="AZ341" s="16" t="s">
        <v>118</v>
      </c>
      <c r="BA341" s="16" t="s">
        <v>119</v>
      </c>
      <c r="BB341" s="16">
        <v>0</v>
      </c>
      <c r="BC341" s="16" t="s">
        <v>84</v>
      </c>
      <c r="BD341" s="16" t="s">
        <v>90</v>
      </c>
      <c r="BE341" s="16" t="s">
        <v>610</v>
      </c>
      <c r="BF341" s="16" t="s">
        <v>611</v>
      </c>
      <c r="BG341" s="16" t="s">
        <v>612</v>
      </c>
      <c r="BH341" s="16" t="s">
        <v>685</v>
      </c>
      <c r="BI341" s="16" t="s">
        <v>686</v>
      </c>
      <c r="BJ341" s="16">
        <v>129</v>
      </c>
      <c r="BK341" s="16">
        <v>129</v>
      </c>
      <c r="BL341" s="16">
        <v>129</v>
      </c>
      <c r="BM341" s="16" t="s">
        <v>96</v>
      </c>
      <c r="BN341" s="16">
        <v>1</v>
      </c>
      <c r="BO341" s="16" t="s">
        <v>84</v>
      </c>
      <c r="BP341" s="16" t="s">
        <v>84</v>
      </c>
      <c r="BQ341" s="16" t="s">
        <v>84</v>
      </c>
      <c r="BR341" s="16" t="s">
        <v>97</v>
      </c>
      <c r="BS341" s="16" t="s">
        <v>98</v>
      </c>
      <c r="BT341" s="16">
        <v>0</v>
      </c>
    </row>
    <row r="342" s="1" customFormat="1" ht="16" customHeight="1" spans="1:72">
      <c r="A342" s="14">
        <f t="shared" si="65"/>
        <v>2025</v>
      </c>
      <c r="B342" s="14">
        <f t="shared" si="66"/>
        <v>8</v>
      </c>
      <c r="C342" s="14" t="str">
        <f t="shared" si="67"/>
        <v>3729648050896516608</v>
      </c>
      <c r="D342" s="14" cm="1">
        <f t="array" ref="D342">SUMPRODUCT(($R$2:$R$374=C342)*1)</f>
        <v>1</v>
      </c>
      <c r="E342" s="14" cm="1">
        <f t="array" ref="E342">SUMPRODUCT(($R$2:R342=C342)*1)</f>
        <v>1</v>
      </c>
      <c r="F342" s="15" t="str">
        <f t="shared" si="68"/>
        <v>Z2183-米白色-L</v>
      </c>
      <c r="G342" s="14" t="str">
        <f t="shared" si="69"/>
        <v>Z2183</v>
      </c>
      <c r="H342" s="15">
        <f t="shared" si="70"/>
        <v>1</v>
      </c>
      <c r="I342" s="14">
        <f t="shared" si="71"/>
        <v>129</v>
      </c>
      <c r="J342" s="15">
        <f t="shared" si="72"/>
        <v>0</v>
      </c>
      <c r="K342" s="15">
        <f t="shared" si="73"/>
        <v>0</v>
      </c>
      <c r="L342" s="15">
        <f t="shared" si="74"/>
        <v>-6.45</v>
      </c>
      <c r="M342" s="15">
        <f t="shared" si="75"/>
        <v>0</v>
      </c>
      <c r="N342" s="15">
        <f t="shared" si="76"/>
        <v>-1.5</v>
      </c>
      <c r="O342" s="15">
        <f t="shared" si="77"/>
        <v>121.05</v>
      </c>
      <c r="R342" s="16" t="s">
        <v>4082</v>
      </c>
      <c r="S342" s="16" t="s">
        <v>4083</v>
      </c>
      <c r="T342" s="16" t="s">
        <v>4084</v>
      </c>
      <c r="U342" s="16" t="s">
        <v>4085</v>
      </c>
      <c r="V342" s="16" t="s">
        <v>4086</v>
      </c>
      <c r="W342" s="16" t="s">
        <v>76</v>
      </c>
      <c r="X342" s="16" t="s">
        <v>77</v>
      </c>
      <c r="Y342" s="16" t="s">
        <v>224</v>
      </c>
      <c r="Z342" s="16" t="s">
        <v>3814</v>
      </c>
      <c r="AA342" s="16" t="s">
        <v>799</v>
      </c>
      <c r="AB342" s="16" t="s">
        <v>1614</v>
      </c>
      <c r="AC342" s="16" t="s">
        <v>3815</v>
      </c>
      <c r="AD342" s="16" t="s">
        <v>4087</v>
      </c>
      <c r="AE342" s="16" t="s">
        <v>84</v>
      </c>
      <c r="AF342" s="16" t="s">
        <v>84</v>
      </c>
      <c r="AG342" s="16">
        <v>129</v>
      </c>
      <c r="AH342" s="16">
        <v>129</v>
      </c>
      <c r="AI342" s="17">
        <v>129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 t="s">
        <v>137</v>
      </c>
      <c r="AP342" s="16" t="s">
        <v>4088</v>
      </c>
      <c r="AQ342" s="16" t="s">
        <v>4089</v>
      </c>
      <c r="AR342" s="16" t="s">
        <v>88</v>
      </c>
      <c r="AS342" s="16" t="s">
        <v>4090</v>
      </c>
      <c r="AT342" s="16">
        <v>6.45</v>
      </c>
      <c r="AU342" s="16" t="s">
        <v>90</v>
      </c>
      <c r="AV342" s="16">
        <v>1.5</v>
      </c>
      <c r="AW342" s="16" t="s">
        <v>115</v>
      </c>
      <c r="AX342" s="16" t="s">
        <v>116</v>
      </c>
      <c r="AY342" s="16" t="s">
        <v>117</v>
      </c>
      <c r="AZ342" s="16" t="s">
        <v>118</v>
      </c>
      <c r="BA342" s="16" t="s">
        <v>119</v>
      </c>
      <c r="BB342" s="16">
        <v>0</v>
      </c>
      <c r="BC342" s="16" t="s">
        <v>84</v>
      </c>
      <c r="BD342" s="16" t="s">
        <v>90</v>
      </c>
      <c r="BE342" s="16" t="s">
        <v>610</v>
      </c>
      <c r="BF342" s="16" t="s">
        <v>611</v>
      </c>
      <c r="BG342" s="16" t="s">
        <v>612</v>
      </c>
      <c r="BH342" s="16" t="s">
        <v>1241</v>
      </c>
      <c r="BI342" s="16" t="s">
        <v>1242</v>
      </c>
      <c r="BJ342" s="16">
        <v>129</v>
      </c>
      <c r="BK342" s="16">
        <v>129</v>
      </c>
      <c r="BL342" s="16">
        <v>129</v>
      </c>
      <c r="BM342" s="16" t="s">
        <v>96</v>
      </c>
      <c r="BN342" s="16">
        <v>1</v>
      </c>
      <c r="BO342" s="16" t="s">
        <v>84</v>
      </c>
      <c r="BP342" s="16" t="s">
        <v>84</v>
      </c>
      <c r="BQ342" s="16" t="s">
        <v>84</v>
      </c>
      <c r="BR342" s="16" t="s">
        <v>97</v>
      </c>
      <c r="BS342" s="16" t="s">
        <v>98</v>
      </c>
      <c r="BT342" s="16">
        <v>0</v>
      </c>
    </row>
    <row r="343" s="1" customFormat="1" ht="16" customHeight="1" spans="1:72">
      <c r="A343" s="14">
        <f t="shared" si="65"/>
        <v>2025</v>
      </c>
      <c r="B343" s="14">
        <f t="shared" si="66"/>
        <v>8</v>
      </c>
      <c r="C343" s="14" t="str">
        <f t="shared" si="67"/>
        <v>3729648042884866560</v>
      </c>
      <c r="D343" s="14" cm="1">
        <f t="array" ref="D343">SUMPRODUCT(($R$2:$R$374=C343)*1)</f>
        <v>1</v>
      </c>
      <c r="E343" s="14" cm="1">
        <f t="array" ref="E343">SUMPRODUCT(($R$2:R343=C343)*1)</f>
        <v>1</v>
      </c>
      <c r="F343" s="15" t="str">
        <f t="shared" si="68"/>
        <v>Z2183-黑色-L</v>
      </c>
      <c r="G343" s="14" t="str">
        <f t="shared" si="69"/>
        <v>Z2183</v>
      </c>
      <c r="H343" s="15">
        <f t="shared" si="70"/>
        <v>1</v>
      </c>
      <c r="I343" s="14">
        <f t="shared" si="71"/>
        <v>129</v>
      </c>
      <c r="J343" s="15">
        <f t="shared" si="72"/>
        <v>0</v>
      </c>
      <c r="K343" s="15">
        <f t="shared" si="73"/>
        <v>0</v>
      </c>
      <c r="L343" s="15">
        <f t="shared" si="74"/>
        <v>-6.45</v>
      </c>
      <c r="M343" s="15">
        <f t="shared" si="75"/>
        <v>0</v>
      </c>
      <c r="N343" s="15">
        <f t="shared" si="76"/>
        <v>-1.5</v>
      </c>
      <c r="O343" s="15">
        <f t="shared" si="77"/>
        <v>121.05</v>
      </c>
      <c r="R343" s="16" t="s">
        <v>4091</v>
      </c>
      <c r="S343" s="16" t="s">
        <v>4092</v>
      </c>
      <c r="T343" s="16" t="s">
        <v>4046</v>
      </c>
      <c r="U343" s="16" t="s">
        <v>4093</v>
      </c>
      <c r="V343" s="16" t="s">
        <v>4094</v>
      </c>
      <c r="W343" s="16" t="s">
        <v>76</v>
      </c>
      <c r="X343" s="16" t="s">
        <v>77</v>
      </c>
      <c r="Y343" s="16" t="s">
        <v>224</v>
      </c>
      <c r="Z343" s="16" t="s">
        <v>3814</v>
      </c>
      <c r="AA343" s="16" t="s">
        <v>799</v>
      </c>
      <c r="AB343" s="16" t="s">
        <v>1614</v>
      </c>
      <c r="AC343" s="16" t="s">
        <v>3815</v>
      </c>
      <c r="AD343" s="16" t="s">
        <v>4087</v>
      </c>
      <c r="AE343" s="16" t="s">
        <v>84</v>
      </c>
      <c r="AF343" s="16" t="s">
        <v>84</v>
      </c>
      <c r="AG343" s="16">
        <v>129</v>
      </c>
      <c r="AH343" s="16">
        <v>129</v>
      </c>
      <c r="AI343" s="17">
        <v>129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 t="s">
        <v>137</v>
      </c>
      <c r="AP343" s="16" t="s">
        <v>4095</v>
      </c>
      <c r="AQ343" s="16" t="s">
        <v>4096</v>
      </c>
      <c r="AR343" s="16" t="s">
        <v>88</v>
      </c>
      <c r="AS343" s="16" t="s">
        <v>4097</v>
      </c>
      <c r="AT343" s="16">
        <v>6.45</v>
      </c>
      <c r="AU343" s="16" t="s">
        <v>90</v>
      </c>
      <c r="AV343" s="16">
        <v>1.5</v>
      </c>
      <c r="AW343" s="16" t="s">
        <v>115</v>
      </c>
      <c r="AX343" s="16" t="s">
        <v>116</v>
      </c>
      <c r="AY343" s="16" t="s">
        <v>117</v>
      </c>
      <c r="AZ343" s="16" t="s">
        <v>118</v>
      </c>
      <c r="BA343" s="16" t="s">
        <v>119</v>
      </c>
      <c r="BB343" s="16">
        <v>0</v>
      </c>
      <c r="BC343" s="16" t="s">
        <v>84</v>
      </c>
      <c r="BD343" s="16" t="s">
        <v>90</v>
      </c>
      <c r="BE343" s="16" t="s">
        <v>610</v>
      </c>
      <c r="BF343" s="16" t="s">
        <v>611</v>
      </c>
      <c r="BG343" s="16" t="s">
        <v>612</v>
      </c>
      <c r="BH343" s="16" t="s">
        <v>1174</v>
      </c>
      <c r="BI343" s="16" t="s">
        <v>1175</v>
      </c>
      <c r="BJ343" s="16">
        <v>129</v>
      </c>
      <c r="BK343" s="16">
        <v>129</v>
      </c>
      <c r="BL343" s="16">
        <v>129</v>
      </c>
      <c r="BM343" s="16" t="s">
        <v>96</v>
      </c>
      <c r="BN343" s="16">
        <v>1</v>
      </c>
      <c r="BO343" s="16" t="s">
        <v>84</v>
      </c>
      <c r="BP343" s="16" t="s">
        <v>84</v>
      </c>
      <c r="BQ343" s="16" t="s">
        <v>84</v>
      </c>
      <c r="BR343" s="16" t="s">
        <v>97</v>
      </c>
      <c r="BS343" s="16" t="s">
        <v>98</v>
      </c>
      <c r="BT343" s="16">
        <v>0</v>
      </c>
    </row>
    <row r="344" s="1" customFormat="1" ht="16" customHeight="1" spans="1:72">
      <c r="A344" s="14">
        <f t="shared" si="65"/>
        <v>2025</v>
      </c>
      <c r="B344" s="14">
        <f t="shared" si="66"/>
        <v>8</v>
      </c>
      <c r="C344" s="14" t="str">
        <f t="shared" si="67"/>
        <v>3729648020890726400</v>
      </c>
      <c r="D344" s="14" cm="1">
        <f t="array" ref="D344">SUMPRODUCT(($R$2:$R$374=C344)*1)</f>
        <v>1</v>
      </c>
      <c r="E344" s="14" cm="1">
        <f t="array" ref="E344">SUMPRODUCT(($R$2:R344=C344)*1)</f>
        <v>1</v>
      </c>
      <c r="F344" s="15" t="str">
        <f t="shared" si="68"/>
        <v>Z2183-黑色-M</v>
      </c>
      <c r="G344" s="14" t="str">
        <f t="shared" si="69"/>
        <v>Z2183</v>
      </c>
      <c r="H344" s="15">
        <f t="shared" si="70"/>
        <v>1</v>
      </c>
      <c r="I344" s="14">
        <f t="shared" si="71"/>
        <v>129</v>
      </c>
      <c r="J344" s="15">
        <f t="shared" si="72"/>
        <v>0</v>
      </c>
      <c r="K344" s="15">
        <f t="shared" si="73"/>
        <v>0</v>
      </c>
      <c r="L344" s="15">
        <f t="shared" si="74"/>
        <v>-6.45</v>
      </c>
      <c r="M344" s="15">
        <f t="shared" si="75"/>
        <v>0</v>
      </c>
      <c r="N344" s="15">
        <f t="shared" si="76"/>
        <v>-1.5</v>
      </c>
      <c r="O344" s="15">
        <f t="shared" si="77"/>
        <v>121.05</v>
      </c>
      <c r="R344" s="16" t="s">
        <v>4098</v>
      </c>
      <c r="S344" s="16" t="s">
        <v>4099</v>
      </c>
      <c r="T344" s="16" t="s">
        <v>3973</v>
      </c>
      <c r="U344" s="16" t="s">
        <v>4100</v>
      </c>
      <c r="V344" s="16" t="s">
        <v>4101</v>
      </c>
      <c r="W344" s="16" t="s">
        <v>76</v>
      </c>
      <c r="X344" s="16" t="s">
        <v>77</v>
      </c>
      <c r="Y344" s="16" t="s">
        <v>1159</v>
      </c>
      <c r="Z344" s="16" t="s">
        <v>1235</v>
      </c>
      <c r="AA344" s="16" t="s">
        <v>80</v>
      </c>
      <c r="AB344" s="16" t="s">
        <v>655</v>
      </c>
      <c r="AC344" s="16" t="s">
        <v>1236</v>
      </c>
      <c r="AD344" s="16" t="s">
        <v>4102</v>
      </c>
      <c r="AE344" s="16" t="s">
        <v>84</v>
      </c>
      <c r="AF344" s="16" t="s">
        <v>84</v>
      </c>
      <c r="AG344" s="16">
        <v>129</v>
      </c>
      <c r="AH344" s="16">
        <v>129</v>
      </c>
      <c r="AI344" s="17">
        <v>129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 t="s">
        <v>85</v>
      </c>
      <c r="AP344" s="16" t="s">
        <v>4103</v>
      </c>
      <c r="AQ344" s="16" t="s">
        <v>4104</v>
      </c>
      <c r="AR344" s="16" t="s">
        <v>88</v>
      </c>
      <c r="AS344" s="16" t="s">
        <v>4105</v>
      </c>
      <c r="AT344" s="16">
        <v>6.45</v>
      </c>
      <c r="AU344" s="16" t="s">
        <v>90</v>
      </c>
      <c r="AV344" s="16">
        <v>1.5</v>
      </c>
      <c r="AW344" s="16" t="s">
        <v>115</v>
      </c>
      <c r="AX344" s="16" t="s">
        <v>116</v>
      </c>
      <c r="AY344" s="16" t="s">
        <v>117</v>
      </c>
      <c r="AZ344" s="16" t="s">
        <v>118</v>
      </c>
      <c r="BA344" s="16" t="s">
        <v>119</v>
      </c>
      <c r="BB344" s="16">
        <v>0</v>
      </c>
      <c r="BC344" s="16" t="s">
        <v>84</v>
      </c>
      <c r="BD344" s="16" t="s">
        <v>90</v>
      </c>
      <c r="BE344" s="16" t="s">
        <v>610</v>
      </c>
      <c r="BF344" s="16" t="s">
        <v>611</v>
      </c>
      <c r="BG344" s="16" t="s">
        <v>612</v>
      </c>
      <c r="BH344" s="16" t="s">
        <v>685</v>
      </c>
      <c r="BI344" s="16" t="s">
        <v>686</v>
      </c>
      <c r="BJ344" s="16">
        <v>129</v>
      </c>
      <c r="BK344" s="16">
        <v>129</v>
      </c>
      <c r="BL344" s="16">
        <v>129</v>
      </c>
      <c r="BM344" s="16" t="s">
        <v>96</v>
      </c>
      <c r="BN344" s="16">
        <v>1</v>
      </c>
      <c r="BO344" s="16" t="s">
        <v>84</v>
      </c>
      <c r="BP344" s="16" t="s">
        <v>84</v>
      </c>
      <c r="BQ344" s="16" t="s">
        <v>84</v>
      </c>
      <c r="BR344" s="16" t="s">
        <v>97</v>
      </c>
      <c r="BS344" s="16" t="s">
        <v>98</v>
      </c>
      <c r="BT344" s="16">
        <v>0</v>
      </c>
    </row>
    <row r="345" s="1" customFormat="1" ht="16" customHeight="1" spans="1:72">
      <c r="A345" s="14">
        <f t="shared" si="65"/>
        <v>2025</v>
      </c>
      <c r="B345" s="14">
        <f t="shared" si="66"/>
        <v>8</v>
      </c>
      <c r="C345" s="14" t="str">
        <f t="shared" si="67"/>
        <v>3729648013355654656</v>
      </c>
      <c r="D345" s="14" cm="1">
        <f t="array" ref="D345">SUMPRODUCT(($R$2:$R$374=C345)*1)</f>
        <v>1</v>
      </c>
      <c r="E345" s="14" cm="1">
        <f t="array" ref="E345">SUMPRODUCT(($R$2:R345=C345)*1)</f>
        <v>1</v>
      </c>
      <c r="F345" s="15" t="str">
        <f t="shared" si="68"/>
        <v>Z2183-黑色-L</v>
      </c>
      <c r="G345" s="14" t="str">
        <f t="shared" si="69"/>
        <v>Z2183</v>
      </c>
      <c r="H345" s="15">
        <f t="shared" si="70"/>
        <v>1</v>
      </c>
      <c r="I345" s="14">
        <f t="shared" si="71"/>
        <v>129</v>
      </c>
      <c r="J345" s="15">
        <f t="shared" si="72"/>
        <v>0</v>
      </c>
      <c r="K345" s="15">
        <f t="shared" si="73"/>
        <v>0</v>
      </c>
      <c r="L345" s="15">
        <f t="shared" si="74"/>
        <v>-6.45</v>
      </c>
      <c r="M345" s="15">
        <f t="shared" si="75"/>
        <v>0</v>
      </c>
      <c r="N345" s="15">
        <f t="shared" si="76"/>
        <v>-1.5</v>
      </c>
      <c r="O345" s="15">
        <f t="shared" si="77"/>
        <v>121.05</v>
      </c>
      <c r="R345" s="16" t="s">
        <v>4106</v>
      </c>
      <c r="S345" s="16" t="s">
        <v>4107</v>
      </c>
      <c r="T345" s="16" t="s">
        <v>4046</v>
      </c>
      <c r="U345" s="16" t="s">
        <v>4108</v>
      </c>
      <c r="V345" s="16" t="s">
        <v>4109</v>
      </c>
      <c r="W345" s="16" t="s">
        <v>76</v>
      </c>
      <c r="X345" s="16" t="s">
        <v>77</v>
      </c>
      <c r="Y345" s="16" t="s">
        <v>1585</v>
      </c>
      <c r="Z345" s="16" t="s">
        <v>4110</v>
      </c>
      <c r="AA345" s="16" t="s">
        <v>80</v>
      </c>
      <c r="AB345" s="16" t="s">
        <v>4111</v>
      </c>
      <c r="AC345" s="16" t="s">
        <v>4112</v>
      </c>
      <c r="AD345" s="16" t="s">
        <v>4113</v>
      </c>
      <c r="AE345" s="16" t="s">
        <v>84</v>
      </c>
      <c r="AF345" s="16" t="s">
        <v>84</v>
      </c>
      <c r="AG345" s="16">
        <v>129</v>
      </c>
      <c r="AH345" s="16">
        <v>129</v>
      </c>
      <c r="AI345" s="17">
        <v>129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 t="s">
        <v>137</v>
      </c>
      <c r="AP345" s="16" t="s">
        <v>4114</v>
      </c>
      <c r="AQ345" s="16" t="s">
        <v>4115</v>
      </c>
      <c r="AR345" s="16" t="s">
        <v>88</v>
      </c>
      <c r="AS345" s="16" t="s">
        <v>4116</v>
      </c>
      <c r="AT345" s="16">
        <v>6.45</v>
      </c>
      <c r="AU345" s="16" t="s">
        <v>90</v>
      </c>
      <c r="AV345" s="16">
        <v>1.5</v>
      </c>
      <c r="AW345" s="16" t="s">
        <v>115</v>
      </c>
      <c r="AX345" s="16" t="s">
        <v>116</v>
      </c>
      <c r="AY345" s="16" t="s">
        <v>117</v>
      </c>
      <c r="AZ345" s="16" t="s">
        <v>118</v>
      </c>
      <c r="BA345" s="16" t="s">
        <v>119</v>
      </c>
      <c r="BB345" s="16">
        <v>0</v>
      </c>
      <c r="BC345" s="16" t="s">
        <v>84</v>
      </c>
      <c r="BD345" s="16" t="s">
        <v>90</v>
      </c>
      <c r="BE345" s="16" t="s">
        <v>610</v>
      </c>
      <c r="BF345" s="16" t="s">
        <v>611</v>
      </c>
      <c r="BG345" s="16" t="s">
        <v>612</v>
      </c>
      <c r="BH345" s="16" t="s">
        <v>1174</v>
      </c>
      <c r="BI345" s="16" t="s">
        <v>1175</v>
      </c>
      <c r="BJ345" s="16">
        <v>129</v>
      </c>
      <c r="BK345" s="16">
        <v>129</v>
      </c>
      <c r="BL345" s="16">
        <v>129</v>
      </c>
      <c r="BM345" s="16" t="s">
        <v>96</v>
      </c>
      <c r="BN345" s="16">
        <v>1</v>
      </c>
      <c r="BO345" s="16" t="s">
        <v>84</v>
      </c>
      <c r="BP345" s="16" t="s">
        <v>84</v>
      </c>
      <c r="BQ345" s="16" t="s">
        <v>84</v>
      </c>
      <c r="BR345" s="16" t="s">
        <v>97</v>
      </c>
      <c r="BS345" s="16" t="s">
        <v>98</v>
      </c>
      <c r="BT345" s="16">
        <v>0</v>
      </c>
    </row>
    <row r="346" s="1" customFormat="1" ht="16" customHeight="1" spans="1:72">
      <c r="A346" s="14">
        <f t="shared" si="65"/>
        <v>2025</v>
      </c>
      <c r="B346" s="14">
        <f t="shared" si="66"/>
        <v>8</v>
      </c>
      <c r="C346" s="14" t="str">
        <f t="shared" si="67"/>
        <v>3729648007877106944</v>
      </c>
      <c r="D346" s="14" cm="1">
        <f t="array" ref="D346">SUMPRODUCT(($R$2:$R$374=C346)*1)</f>
        <v>1</v>
      </c>
      <c r="E346" s="14" cm="1">
        <f t="array" ref="E346">SUMPRODUCT(($R$2:R346=C346)*1)</f>
        <v>1</v>
      </c>
      <c r="F346" s="15" t="str">
        <f t="shared" si="68"/>
        <v>Z2183-黑色-L</v>
      </c>
      <c r="G346" s="14" t="str">
        <f t="shared" si="69"/>
        <v>Z2183</v>
      </c>
      <c r="H346" s="15">
        <f t="shared" si="70"/>
        <v>1</v>
      </c>
      <c r="I346" s="14">
        <f t="shared" si="71"/>
        <v>129</v>
      </c>
      <c r="J346" s="15">
        <f t="shared" si="72"/>
        <v>0</v>
      </c>
      <c r="K346" s="15">
        <f t="shared" si="73"/>
        <v>0</v>
      </c>
      <c r="L346" s="15">
        <f t="shared" si="74"/>
        <v>-6.45</v>
      </c>
      <c r="M346" s="15">
        <f t="shared" si="75"/>
        <v>0</v>
      </c>
      <c r="N346" s="15">
        <f t="shared" si="76"/>
        <v>-1.5</v>
      </c>
      <c r="O346" s="15">
        <f t="shared" si="77"/>
        <v>121.05</v>
      </c>
      <c r="R346" s="16" t="s">
        <v>4117</v>
      </c>
      <c r="S346" s="16" t="s">
        <v>4118</v>
      </c>
      <c r="T346" s="16" t="s">
        <v>4046</v>
      </c>
      <c r="U346" s="16" t="s">
        <v>4119</v>
      </c>
      <c r="V346" s="16" t="s">
        <v>4120</v>
      </c>
      <c r="W346" s="16" t="s">
        <v>76</v>
      </c>
      <c r="X346" s="16" t="s">
        <v>77</v>
      </c>
      <c r="Y346" s="16" t="s">
        <v>241</v>
      </c>
      <c r="Z346" s="16" t="s">
        <v>937</v>
      </c>
      <c r="AA346" s="16" t="s">
        <v>153</v>
      </c>
      <c r="AB346" s="16" t="s">
        <v>153</v>
      </c>
      <c r="AC346" s="16" t="s">
        <v>938</v>
      </c>
      <c r="AD346" s="16" t="s">
        <v>4121</v>
      </c>
      <c r="AE346" s="16" t="s">
        <v>84</v>
      </c>
      <c r="AF346" s="16" t="s">
        <v>84</v>
      </c>
      <c r="AG346" s="16">
        <v>129</v>
      </c>
      <c r="AH346" s="16">
        <v>129</v>
      </c>
      <c r="AI346" s="17">
        <v>129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 t="s">
        <v>85</v>
      </c>
      <c r="AP346" s="16" t="s">
        <v>4122</v>
      </c>
      <c r="AQ346" s="16" t="s">
        <v>4123</v>
      </c>
      <c r="AR346" s="16" t="s">
        <v>88</v>
      </c>
      <c r="AS346" s="16" t="s">
        <v>4124</v>
      </c>
      <c r="AT346" s="16">
        <v>6.45</v>
      </c>
      <c r="AU346" s="16" t="s">
        <v>90</v>
      </c>
      <c r="AV346" s="16">
        <v>1.5</v>
      </c>
      <c r="AW346" s="16" t="s">
        <v>115</v>
      </c>
      <c r="AX346" s="16" t="s">
        <v>116</v>
      </c>
      <c r="AY346" s="16" t="s">
        <v>117</v>
      </c>
      <c r="AZ346" s="16" t="s">
        <v>118</v>
      </c>
      <c r="BA346" s="16" t="s">
        <v>119</v>
      </c>
      <c r="BB346" s="16">
        <v>0</v>
      </c>
      <c r="BC346" s="16" t="s">
        <v>84</v>
      </c>
      <c r="BD346" s="16" t="s">
        <v>90</v>
      </c>
      <c r="BE346" s="16" t="s">
        <v>610</v>
      </c>
      <c r="BF346" s="16" t="s">
        <v>611</v>
      </c>
      <c r="BG346" s="16" t="s">
        <v>612</v>
      </c>
      <c r="BH346" s="16" t="s">
        <v>1174</v>
      </c>
      <c r="BI346" s="16" t="s">
        <v>1175</v>
      </c>
      <c r="BJ346" s="16">
        <v>129</v>
      </c>
      <c r="BK346" s="16">
        <v>129</v>
      </c>
      <c r="BL346" s="16">
        <v>129</v>
      </c>
      <c r="BM346" s="16" t="s">
        <v>96</v>
      </c>
      <c r="BN346" s="16">
        <v>1</v>
      </c>
      <c r="BO346" s="16" t="s">
        <v>84</v>
      </c>
      <c r="BP346" s="16" t="s">
        <v>84</v>
      </c>
      <c r="BQ346" s="16" t="s">
        <v>84</v>
      </c>
      <c r="BR346" s="16" t="s">
        <v>97</v>
      </c>
      <c r="BS346" s="16" t="s">
        <v>98</v>
      </c>
      <c r="BT346" s="16">
        <v>0</v>
      </c>
    </row>
    <row r="347" s="1" customFormat="1" ht="16" customHeight="1" spans="1:72">
      <c r="A347" s="14">
        <f t="shared" si="65"/>
        <v>2025</v>
      </c>
      <c r="B347" s="14">
        <f t="shared" si="66"/>
        <v>8</v>
      </c>
      <c r="C347" s="14" t="str">
        <f t="shared" si="67"/>
        <v>3729647936437630464</v>
      </c>
      <c r="D347" s="14" cm="1">
        <f t="array" ref="D347">SUMPRODUCT(($R$2:$R$374=C347)*1)</f>
        <v>1</v>
      </c>
      <c r="E347" s="14" cm="1">
        <f t="array" ref="E347">SUMPRODUCT(($R$2:R347=C347)*1)</f>
        <v>1</v>
      </c>
      <c r="F347" s="15" t="str">
        <f t="shared" si="68"/>
        <v>Z2183-黑色-XL</v>
      </c>
      <c r="G347" s="14" t="str">
        <f t="shared" si="69"/>
        <v>Z2183</v>
      </c>
      <c r="H347" s="15">
        <f t="shared" si="70"/>
        <v>1</v>
      </c>
      <c r="I347" s="14">
        <f t="shared" si="71"/>
        <v>129</v>
      </c>
      <c r="J347" s="15">
        <f t="shared" si="72"/>
        <v>0</v>
      </c>
      <c r="K347" s="15">
        <f t="shared" si="73"/>
        <v>0</v>
      </c>
      <c r="L347" s="15">
        <f t="shared" si="74"/>
        <v>-6.45</v>
      </c>
      <c r="M347" s="15">
        <f t="shared" si="75"/>
        <v>0</v>
      </c>
      <c r="N347" s="15">
        <f t="shared" si="76"/>
        <v>-1.5</v>
      </c>
      <c r="O347" s="15">
        <f t="shared" si="77"/>
        <v>121.05</v>
      </c>
      <c r="R347" s="16" t="s">
        <v>4125</v>
      </c>
      <c r="S347" s="16" t="s">
        <v>4126</v>
      </c>
      <c r="T347" s="16" t="s">
        <v>4006</v>
      </c>
      <c r="U347" s="16" t="s">
        <v>4127</v>
      </c>
      <c r="V347" s="16" t="s">
        <v>4128</v>
      </c>
      <c r="W347" s="16" t="s">
        <v>76</v>
      </c>
      <c r="X347" s="16" t="s">
        <v>77</v>
      </c>
      <c r="Y347" s="16" t="s">
        <v>4129</v>
      </c>
      <c r="Z347" s="16" t="s">
        <v>2019</v>
      </c>
      <c r="AA347" s="16" t="s">
        <v>1206</v>
      </c>
      <c r="AB347" s="16" t="s">
        <v>1206</v>
      </c>
      <c r="AC347" s="16" t="s">
        <v>2020</v>
      </c>
      <c r="AD347" s="16" t="s">
        <v>4130</v>
      </c>
      <c r="AE347" s="16" t="s">
        <v>84</v>
      </c>
      <c r="AF347" s="16" t="s">
        <v>84</v>
      </c>
      <c r="AG347" s="16">
        <v>129</v>
      </c>
      <c r="AH347" s="16">
        <v>129</v>
      </c>
      <c r="AI347" s="17">
        <v>129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 t="s">
        <v>137</v>
      </c>
      <c r="AP347" s="16" t="s">
        <v>4131</v>
      </c>
      <c r="AQ347" s="16" t="s">
        <v>4132</v>
      </c>
      <c r="AR347" s="16" t="s">
        <v>88</v>
      </c>
      <c r="AS347" s="16" t="s">
        <v>4133</v>
      </c>
      <c r="AT347" s="16">
        <v>6.45</v>
      </c>
      <c r="AU347" s="16" t="s">
        <v>90</v>
      </c>
      <c r="AV347" s="16">
        <v>1.5</v>
      </c>
      <c r="AW347" s="16" t="s">
        <v>115</v>
      </c>
      <c r="AX347" s="16" t="s">
        <v>116</v>
      </c>
      <c r="AY347" s="16" t="s">
        <v>117</v>
      </c>
      <c r="AZ347" s="16" t="s">
        <v>118</v>
      </c>
      <c r="BA347" s="16" t="s">
        <v>119</v>
      </c>
      <c r="BB347" s="16">
        <v>0</v>
      </c>
      <c r="BC347" s="16" t="s">
        <v>84</v>
      </c>
      <c r="BD347" s="16" t="s">
        <v>90</v>
      </c>
      <c r="BE347" s="16" t="s">
        <v>610</v>
      </c>
      <c r="BF347" s="16" t="s">
        <v>611</v>
      </c>
      <c r="BG347" s="16" t="s">
        <v>612</v>
      </c>
      <c r="BH347" s="16" t="s">
        <v>613</v>
      </c>
      <c r="BI347" s="16" t="s">
        <v>614</v>
      </c>
      <c r="BJ347" s="16">
        <v>129</v>
      </c>
      <c r="BK347" s="16">
        <v>129</v>
      </c>
      <c r="BL347" s="16">
        <v>129</v>
      </c>
      <c r="BM347" s="16" t="s">
        <v>96</v>
      </c>
      <c r="BN347" s="16">
        <v>1</v>
      </c>
      <c r="BO347" s="16" t="s">
        <v>84</v>
      </c>
      <c r="BP347" s="16" t="s">
        <v>84</v>
      </c>
      <c r="BQ347" s="16" t="s">
        <v>84</v>
      </c>
      <c r="BR347" s="16" t="s">
        <v>97</v>
      </c>
      <c r="BS347" s="16" t="s">
        <v>98</v>
      </c>
      <c r="BT347" s="16">
        <v>0</v>
      </c>
    </row>
    <row r="348" s="1" customFormat="1" ht="16" customHeight="1" spans="1:72">
      <c r="A348" s="14">
        <f t="shared" si="65"/>
        <v>2025</v>
      </c>
      <c r="B348" s="14">
        <f t="shared" si="66"/>
        <v>8</v>
      </c>
      <c r="C348" s="14" t="str">
        <f t="shared" si="67"/>
        <v>3729647882995381504</v>
      </c>
      <c r="D348" s="14" cm="1">
        <f t="array" ref="D348">SUMPRODUCT(($R$2:$R$374=C348)*1)</f>
        <v>1</v>
      </c>
      <c r="E348" s="14" cm="1">
        <f t="array" ref="E348">SUMPRODUCT(($R$2:R348=C348)*1)</f>
        <v>1</v>
      </c>
      <c r="F348" s="15" t="str">
        <f t="shared" si="68"/>
        <v>Z2183-黑色-L</v>
      </c>
      <c r="G348" s="14" t="str">
        <f t="shared" si="69"/>
        <v>Z2183</v>
      </c>
      <c r="H348" s="15">
        <f t="shared" si="70"/>
        <v>1</v>
      </c>
      <c r="I348" s="14">
        <f t="shared" si="71"/>
        <v>129</v>
      </c>
      <c r="J348" s="15">
        <f t="shared" si="72"/>
        <v>0</v>
      </c>
      <c r="K348" s="15">
        <f t="shared" si="73"/>
        <v>0</v>
      </c>
      <c r="L348" s="15">
        <f t="shared" si="74"/>
        <v>-6.45</v>
      </c>
      <c r="M348" s="15">
        <f t="shared" si="75"/>
        <v>0</v>
      </c>
      <c r="N348" s="15">
        <f t="shared" si="76"/>
        <v>-1.5</v>
      </c>
      <c r="O348" s="15">
        <f t="shared" si="77"/>
        <v>121.05</v>
      </c>
      <c r="R348" s="16" t="s">
        <v>4134</v>
      </c>
      <c r="S348" s="16" t="s">
        <v>4135</v>
      </c>
      <c r="T348" s="16" t="s">
        <v>4046</v>
      </c>
      <c r="U348" s="16" t="s">
        <v>4136</v>
      </c>
      <c r="V348" s="16" t="s">
        <v>4137</v>
      </c>
      <c r="W348" s="16" t="s">
        <v>76</v>
      </c>
      <c r="X348" s="16" t="s">
        <v>77</v>
      </c>
      <c r="Y348" s="16" t="s">
        <v>3091</v>
      </c>
      <c r="Z348" s="16" t="s">
        <v>4138</v>
      </c>
      <c r="AA348" s="16" t="s">
        <v>384</v>
      </c>
      <c r="AB348" s="16" t="s">
        <v>621</v>
      </c>
      <c r="AC348" s="16" t="s">
        <v>4139</v>
      </c>
      <c r="AD348" s="16" t="s">
        <v>4140</v>
      </c>
      <c r="AE348" s="16" t="s">
        <v>84</v>
      </c>
      <c r="AF348" s="16" t="s">
        <v>84</v>
      </c>
      <c r="AG348" s="16">
        <v>129</v>
      </c>
      <c r="AH348" s="16">
        <v>129</v>
      </c>
      <c r="AI348" s="17">
        <v>129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 t="s">
        <v>137</v>
      </c>
      <c r="AP348" s="16" t="s">
        <v>4141</v>
      </c>
      <c r="AQ348" s="16" t="s">
        <v>4142</v>
      </c>
      <c r="AR348" s="16" t="s">
        <v>88</v>
      </c>
      <c r="AS348" s="16" t="s">
        <v>4143</v>
      </c>
      <c r="AT348" s="16">
        <v>6.45</v>
      </c>
      <c r="AU348" s="16" t="s">
        <v>90</v>
      </c>
      <c r="AV348" s="16">
        <v>1.5</v>
      </c>
      <c r="AW348" s="16" t="s">
        <v>115</v>
      </c>
      <c r="AX348" s="16" t="s">
        <v>116</v>
      </c>
      <c r="AY348" s="16" t="s">
        <v>117</v>
      </c>
      <c r="AZ348" s="16" t="s">
        <v>118</v>
      </c>
      <c r="BA348" s="16" t="s">
        <v>119</v>
      </c>
      <c r="BB348" s="16">
        <v>0</v>
      </c>
      <c r="BC348" s="16" t="s">
        <v>84</v>
      </c>
      <c r="BD348" s="16" t="s">
        <v>90</v>
      </c>
      <c r="BE348" s="16" t="s">
        <v>610</v>
      </c>
      <c r="BF348" s="16" t="s">
        <v>611</v>
      </c>
      <c r="BG348" s="16" t="s">
        <v>612</v>
      </c>
      <c r="BH348" s="16" t="s">
        <v>1174</v>
      </c>
      <c r="BI348" s="16" t="s">
        <v>1175</v>
      </c>
      <c r="BJ348" s="16">
        <v>129</v>
      </c>
      <c r="BK348" s="16">
        <v>129</v>
      </c>
      <c r="BL348" s="16">
        <v>129</v>
      </c>
      <c r="BM348" s="16" t="s">
        <v>96</v>
      </c>
      <c r="BN348" s="16">
        <v>1</v>
      </c>
      <c r="BO348" s="16" t="s">
        <v>84</v>
      </c>
      <c r="BP348" s="16" t="s">
        <v>84</v>
      </c>
      <c r="BQ348" s="16" t="s">
        <v>84</v>
      </c>
      <c r="BR348" s="16" t="s">
        <v>97</v>
      </c>
      <c r="BS348" s="16" t="s">
        <v>98</v>
      </c>
      <c r="BT348" s="16">
        <v>0</v>
      </c>
    </row>
    <row r="349" s="1" customFormat="1" ht="16" customHeight="1" spans="1:72">
      <c r="A349" s="14">
        <f t="shared" si="65"/>
        <v>2025</v>
      </c>
      <c r="B349" s="14">
        <f t="shared" si="66"/>
        <v>8</v>
      </c>
      <c r="C349" s="14" t="str">
        <f t="shared" si="67"/>
        <v>3729647843413729536</v>
      </c>
      <c r="D349" s="14" cm="1">
        <f t="array" ref="D349">SUMPRODUCT(($R$2:$R$374=C349)*1)</f>
        <v>1</v>
      </c>
      <c r="E349" s="14" cm="1">
        <f t="array" ref="E349">SUMPRODUCT(($R$2:R349=C349)*1)</f>
        <v>1</v>
      </c>
      <c r="F349" s="15" t="str">
        <f t="shared" si="68"/>
        <v>Z2183-黑色-XL</v>
      </c>
      <c r="G349" s="14" t="str">
        <f t="shared" si="69"/>
        <v>Z2183</v>
      </c>
      <c r="H349" s="15">
        <f t="shared" si="70"/>
        <v>1</v>
      </c>
      <c r="I349" s="14">
        <f t="shared" si="71"/>
        <v>129</v>
      </c>
      <c r="J349" s="15">
        <f t="shared" si="72"/>
        <v>0</v>
      </c>
      <c r="K349" s="15">
        <f t="shared" si="73"/>
        <v>0</v>
      </c>
      <c r="L349" s="15">
        <f t="shared" si="74"/>
        <v>-6.45</v>
      </c>
      <c r="M349" s="15">
        <f t="shared" si="75"/>
        <v>0</v>
      </c>
      <c r="N349" s="15">
        <f t="shared" si="76"/>
        <v>-1.5</v>
      </c>
      <c r="O349" s="15">
        <f t="shared" si="77"/>
        <v>121.05</v>
      </c>
      <c r="R349" s="16" t="s">
        <v>4144</v>
      </c>
      <c r="S349" s="16" t="s">
        <v>4145</v>
      </c>
      <c r="T349" s="16" t="s">
        <v>4006</v>
      </c>
      <c r="U349" s="16" t="s">
        <v>4146</v>
      </c>
      <c r="V349" s="16" t="s">
        <v>4147</v>
      </c>
      <c r="W349" s="16" t="s">
        <v>76</v>
      </c>
      <c r="X349" s="16" t="s">
        <v>77</v>
      </c>
      <c r="Y349" s="16" t="s">
        <v>1256</v>
      </c>
      <c r="Z349" s="16" t="s">
        <v>4148</v>
      </c>
      <c r="AA349" s="16" t="s">
        <v>799</v>
      </c>
      <c r="AB349" s="16" t="s">
        <v>4149</v>
      </c>
      <c r="AC349" s="16" t="s">
        <v>4150</v>
      </c>
      <c r="AD349" s="16" t="s">
        <v>4151</v>
      </c>
      <c r="AE349" s="16" t="s">
        <v>84</v>
      </c>
      <c r="AF349" s="16" t="s">
        <v>84</v>
      </c>
      <c r="AG349" s="16">
        <v>129</v>
      </c>
      <c r="AH349" s="16">
        <v>129</v>
      </c>
      <c r="AI349" s="17">
        <v>129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 t="s">
        <v>137</v>
      </c>
      <c r="AP349" s="16" t="s">
        <v>4152</v>
      </c>
      <c r="AQ349" s="16" t="s">
        <v>4153</v>
      </c>
      <c r="AR349" s="16" t="s">
        <v>88</v>
      </c>
      <c r="AS349" s="16" t="s">
        <v>4154</v>
      </c>
      <c r="AT349" s="16">
        <v>6.45</v>
      </c>
      <c r="AU349" s="16" t="s">
        <v>90</v>
      </c>
      <c r="AV349" s="16">
        <v>1.5</v>
      </c>
      <c r="AW349" s="16" t="s">
        <v>115</v>
      </c>
      <c r="AX349" s="16" t="s">
        <v>116</v>
      </c>
      <c r="AY349" s="16" t="s">
        <v>117</v>
      </c>
      <c r="AZ349" s="16" t="s">
        <v>118</v>
      </c>
      <c r="BA349" s="16" t="s">
        <v>119</v>
      </c>
      <c r="BB349" s="16">
        <v>0</v>
      </c>
      <c r="BC349" s="16" t="s">
        <v>84</v>
      </c>
      <c r="BD349" s="16" t="s">
        <v>90</v>
      </c>
      <c r="BE349" s="16" t="s">
        <v>610</v>
      </c>
      <c r="BF349" s="16" t="s">
        <v>611</v>
      </c>
      <c r="BG349" s="16" t="s">
        <v>612</v>
      </c>
      <c r="BH349" s="16" t="s">
        <v>613</v>
      </c>
      <c r="BI349" s="16" t="s">
        <v>614</v>
      </c>
      <c r="BJ349" s="16">
        <v>129</v>
      </c>
      <c r="BK349" s="16">
        <v>129</v>
      </c>
      <c r="BL349" s="16">
        <v>129</v>
      </c>
      <c r="BM349" s="16" t="s">
        <v>96</v>
      </c>
      <c r="BN349" s="16">
        <v>1</v>
      </c>
      <c r="BO349" s="16" t="s">
        <v>84</v>
      </c>
      <c r="BP349" s="16" t="s">
        <v>84</v>
      </c>
      <c r="BQ349" s="16" t="s">
        <v>84</v>
      </c>
      <c r="BR349" s="16" t="s">
        <v>97</v>
      </c>
      <c r="BS349" s="16" t="s">
        <v>98</v>
      </c>
      <c r="BT349" s="16">
        <v>0</v>
      </c>
    </row>
    <row r="350" s="1" customFormat="1" ht="16" customHeight="1" spans="1:72">
      <c r="A350" s="14">
        <f t="shared" si="65"/>
        <v>2025</v>
      </c>
      <c r="B350" s="14">
        <f t="shared" si="66"/>
        <v>8</v>
      </c>
      <c r="C350" s="14" t="str">
        <f t="shared" si="67"/>
        <v>3729608136654988032</v>
      </c>
      <c r="D350" s="14" cm="1">
        <f t="array" ref="D350">SUMPRODUCT(($R$2:$R$374=C350)*1)</f>
        <v>1</v>
      </c>
      <c r="E350" s="14" cm="1">
        <f t="array" ref="E350">SUMPRODUCT(($R$2:R350=C350)*1)</f>
        <v>1</v>
      </c>
      <c r="F350" s="15" t="str">
        <f t="shared" si="68"/>
        <v>Z2265-紫色-L</v>
      </c>
      <c r="G350" s="14" t="str">
        <f t="shared" si="69"/>
        <v>Z2265</v>
      </c>
      <c r="H350" s="15">
        <f t="shared" si="70"/>
        <v>1</v>
      </c>
      <c r="I350" s="14">
        <f t="shared" si="71"/>
        <v>119</v>
      </c>
      <c r="J350" s="15">
        <f t="shared" si="72"/>
        <v>0</v>
      </c>
      <c r="K350" s="15">
        <f t="shared" si="73"/>
        <v>0</v>
      </c>
      <c r="L350" s="15">
        <f t="shared" si="74"/>
        <v>-5.95</v>
      </c>
      <c r="M350" s="15">
        <f t="shared" si="75"/>
        <v>0</v>
      </c>
      <c r="N350" s="15">
        <f t="shared" si="76"/>
        <v>-1.5</v>
      </c>
      <c r="O350" s="15">
        <f t="shared" si="77"/>
        <v>111.55</v>
      </c>
      <c r="R350" s="16" t="s">
        <v>4155</v>
      </c>
      <c r="S350" s="16" t="s">
        <v>4156</v>
      </c>
      <c r="T350" s="16" t="s">
        <v>4157</v>
      </c>
      <c r="U350" s="16" t="s">
        <v>4158</v>
      </c>
      <c r="V350" s="16" t="s">
        <v>4159</v>
      </c>
      <c r="W350" s="16" t="s">
        <v>76</v>
      </c>
      <c r="X350" s="16" t="s">
        <v>77</v>
      </c>
      <c r="Y350" s="16" t="s">
        <v>4160</v>
      </c>
      <c r="Z350" s="16" t="s">
        <v>4161</v>
      </c>
      <c r="AA350" s="16" t="s">
        <v>133</v>
      </c>
      <c r="AB350" s="16" t="s">
        <v>4162</v>
      </c>
      <c r="AC350" s="16" t="s">
        <v>4163</v>
      </c>
      <c r="AD350" s="16" t="s">
        <v>4164</v>
      </c>
      <c r="AE350" s="16" t="s">
        <v>84</v>
      </c>
      <c r="AF350" s="16" t="s">
        <v>84</v>
      </c>
      <c r="AG350" s="16">
        <v>119</v>
      </c>
      <c r="AH350" s="16">
        <v>119</v>
      </c>
      <c r="AI350" s="17">
        <v>119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 t="s">
        <v>137</v>
      </c>
      <c r="AP350" s="16" t="s">
        <v>4165</v>
      </c>
      <c r="AQ350" s="16" t="s">
        <v>4166</v>
      </c>
      <c r="AR350" s="16" t="s">
        <v>88</v>
      </c>
      <c r="AS350" s="16" t="s">
        <v>4167</v>
      </c>
      <c r="AT350" s="16">
        <v>5.95</v>
      </c>
      <c r="AU350" s="16" t="s">
        <v>90</v>
      </c>
      <c r="AV350" s="16">
        <v>1.5</v>
      </c>
      <c r="AW350" s="16" t="s">
        <v>115</v>
      </c>
      <c r="AX350" s="16" t="s">
        <v>116</v>
      </c>
      <c r="AY350" s="16" t="s">
        <v>117</v>
      </c>
      <c r="AZ350" s="16" t="s">
        <v>118</v>
      </c>
      <c r="BA350" s="16" t="s">
        <v>119</v>
      </c>
      <c r="BB350" s="16">
        <v>0</v>
      </c>
      <c r="BC350" s="16" t="s">
        <v>84</v>
      </c>
      <c r="BD350" s="16" t="s">
        <v>90</v>
      </c>
      <c r="BE350" s="16" t="s">
        <v>2854</v>
      </c>
      <c r="BF350" s="16" t="s">
        <v>2855</v>
      </c>
      <c r="BG350" s="16" t="s">
        <v>2856</v>
      </c>
      <c r="BH350" s="16" t="s">
        <v>4168</v>
      </c>
      <c r="BI350" s="16" t="s">
        <v>4169</v>
      </c>
      <c r="BJ350" s="16">
        <v>119</v>
      </c>
      <c r="BK350" s="16">
        <v>119</v>
      </c>
      <c r="BL350" s="16">
        <v>119</v>
      </c>
      <c r="BM350" s="16" t="s">
        <v>96</v>
      </c>
      <c r="BN350" s="16">
        <v>1</v>
      </c>
      <c r="BO350" s="16" t="s">
        <v>84</v>
      </c>
      <c r="BP350" s="16" t="s">
        <v>84</v>
      </c>
      <c r="BQ350" s="16" t="s">
        <v>84</v>
      </c>
      <c r="BR350" s="16" t="s">
        <v>97</v>
      </c>
      <c r="BS350" s="16" t="s">
        <v>98</v>
      </c>
      <c r="BT350" s="16">
        <v>0</v>
      </c>
    </row>
    <row r="351" s="1" customFormat="1" ht="16" customHeight="1" spans="1:72">
      <c r="A351" s="14">
        <f t="shared" si="65"/>
        <v>2025</v>
      </c>
      <c r="B351" s="14">
        <f t="shared" si="66"/>
        <v>8</v>
      </c>
      <c r="C351" s="14" t="str">
        <f t="shared" si="67"/>
        <v>3729607083605768192</v>
      </c>
      <c r="D351" s="14" cm="1">
        <f t="array" ref="D351">SUMPRODUCT(($R$2:$R$374=C351)*1)</f>
        <v>1</v>
      </c>
      <c r="E351" s="14" cm="1">
        <f t="array" ref="E351">SUMPRODUCT(($R$2:R351=C351)*1)</f>
        <v>1</v>
      </c>
      <c r="F351" s="15" t="str">
        <f t="shared" si="68"/>
        <v>Z2265-紫色-M</v>
      </c>
      <c r="G351" s="14" t="str">
        <f t="shared" si="69"/>
        <v>Z2265</v>
      </c>
      <c r="H351" s="15">
        <f t="shared" si="70"/>
        <v>1</v>
      </c>
      <c r="I351" s="14">
        <f t="shared" si="71"/>
        <v>119</v>
      </c>
      <c r="J351" s="15">
        <f t="shared" si="72"/>
        <v>0</v>
      </c>
      <c r="K351" s="15">
        <f t="shared" si="73"/>
        <v>0</v>
      </c>
      <c r="L351" s="15">
        <f t="shared" si="74"/>
        <v>-5.95</v>
      </c>
      <c r="M351" s="15">
        <f t="shared" si="75"/>
        <v>0</v>
      </c>
      <c r="N351" s="15">
        <f t="shared" si="76"/>
        <v>-1.5</v>
      </c>
      <c r="O351" s="15">
        <f t="shared" si="77"/>
        <v>111.55</v>
      </c>
      <c r="R351" s="16" t="s">
        <v>4170</v>
      </c>
      <c r="S351" s="16" t="s">
        <v>4171</v>
      </c>
      <c r="T351" s="16" t="s">
        <v>4157</v>
      </c>
      <c r="U351" s="16" t="s">
        <v>4172</v>
      </c>
      <c r="V351" s="16" t="s">
        <v>4173</v>
      </c>
      <c r="W351" s="16" t="s">
        <v>76</v>
      </c>
      <c r="X351" s="16" t="s">
        <v>77</v>
      </c>
      <c r="Y351" s="16" t="s">
        <v>4174</v>
      </c>
      <c r="Z351" s="16" t="s">
        <v>4175</v>
      </c>
      <c r="AA351" s="16" t="s">
        <v>799</v>
      </c>
      <c r="AB351" s="16" t="s">
        <v>3184</v>
      </c>
      <c r="AC351" s="16" t="s">
        <v>4176</v>
      </c>
      <c r="AD351" s="16" t="s">
        <v>4177</v>
      </c>
      <c r="AE351" s="16" t="s">
        <v>84</v>
      </c>
      <c r="AF351" s="16" t="s">
        <v>84</v>
      </c>
      <c r="AG351" s="16">
        <v>119</v>
      </c>
      <c r="AH351" s="16">
        <v>119</v>
      </c>
      <c r="AI351" s="17">
        <v>119</v>
      </c>
      <c r="AJ351" s="16">
        <v>0</v>
      </c>
      <c r="AK351" s="16">
        <v>0</v>
      </c>
      <c r="AL351" s="16">
        <v>0</v>
      </c>
      <c r="AM351" s="16">
        <v>0</v>
      </c>
      <c r="AN351" s="16">
        <v>0</v>
      </c>
      <c r="AO351" s="16" t="s">
        <v>137</v>
      </c>
      <c r="AP351" s="16" t="s">
        <v>4178</v>
      </c>
      <c r="AQ351" s="16" t="s">
        <v>4179</v>
      </c>
      <c r="AR351" s="16" t="s">
        <v>88</v>
      </c>
      <c r="AS351" s="16" t="s">
        <v>4180</v>
      </c>
      <c r="AT351" s="16">
        <v>5.95</v>
      </c>
      <c r="AU351" s="16" t="s">
        <v>90</v>
      </c>
      <c r="AV351" s="16">
        <v>1.5</v>
      </c>
      <c r="AW351" s="16" t="s">
        <v>115</v>
      </c>
      <c r="AX351" s="16" t="s">
        <v>116</v>
      </c>
      <c r="AY351" s="16" t="s">
        <v>117</v>
      </c>
      <c r="AZ351" s="16" t="s">
        <v>118</v>
      </c>
      <c r="BA351" s="16" t="s">
        <v>119</v>
      </c>
      <c r="BB351" s="16">
        <v>0</v>
      </c>
      <c r="BC351" s="16" t="s">
        <v>84</v>
      </c>
      <c r="BD351" s="16" t="s">
        <v>90</v>
      </c>
      <c r="BE351" s="16" t="s">
        <v>2854</v>
      </c>
      <c r="BF351" s="16" t="s">
        <v>2855</v>
      </c>
      <c r="BG351" s="16" t="s">
        <v>2856</v>
      </c>
      <c r="BH351" s="16" t="s">
        <v>4181</v>
      </c>
      <c r="BI351" s="16" t="s">
        <v>4182</v>
      </c>
      <c r="BJ351" s="16">
        <v>119</v>
      </c>
      <c r="BK351" s="16">
        <v>119</v>
      </c>
      <c r="BL351" s="16">
        <v>119</v>
      </c>
      <c r="BM351" s="16" t="s">
        <v>96</v>
      </c>
      <c r="BN351" s="16">
        <v>1</v>
      </c>
      <c r="BO351" s="16" t="s">
        <v>84</v>
      </c>
      <c r="BP351" s="16" t="s">
        <v>84</v>
      </c>
      <c r="BQ351" s="16" t="s">
        <v>84</v>
      </c>
      <c r="BR351" s="16" t="s">
        <v>97</v>
      </c>
      <c r="BS351" s="16" t="s">
        <v>98</v>
      </c>
      <c r="BT351" s="16">
        <v>0</v>
      </c>
    </row>
    <row r="352" s="1" customFormat="1" ht="16" customHeight="1" spans="1:72">
      <c r="A352" s="14">
        <f t="shared" si="65"/>
        <v>2025</v>
      </c>
      <c r="B352" s="14">
        <f t="shared" si="66"/>
        <v>8</v>
      </c>
      <c r="C352" s="14" t="str">
        <f t="shared" si="67"/>
        <v>3729606756991900672</v>
      </c>
      <c r="D352" s="14" cm="1">
        <f t="array" ref="D352">SUMPRODUCT(($R$2:$R$374=C352)*1)</f>
        <v>1</v>
      </c>
      <c r="E352" s="14" cm="1">
        <f t="array" ref="E352">SUMPRODUCT(($R$2:R352=C352)*1)</f>
        <v>1</v>
      </c>
      <c r="F352" s="15" t="str">
        <f t="shared" si="68"/>
        <v>Z2265-紫色-XL</v>
      </c>
      <c r="G352" s="14" t="str">
        <f t="shared" si="69"/>
        <v>Z2265</v>
      </c>
      <c r="H352" s="15">
        <f t="shared" si="70"/>
        <v>1</v>
      </c>
      <c r="I352" s="14">
        <f t="shared" si="71"/>
        <v>119</v>
      </c>
      <c r="J352" s="15">
        <f t="shared" si="72"/>
        <v>0</v>
      </c>
      <c r="K352" s="15">
        <f t="shared" si="73"/>
        <v>0</v>
      </c>
      <c r="L352" s="15">
        <f t="shared" si="74"/>
        <v>-5.95</v>
      </c>
      <c r="M352" s="15">
        <f t="shared" si="75"/>
        <v>0</v>
      </c>
      <c r="N352" s="15">
        <f t="shared" si="76"/>
        <v>-1.5</v>
      </c>
      <c r="O352" s="15">
        <f t="shared" si="77"/>
        <v>111.55</v>
      </c>
      <c r="R352" s="16" t="s">
        <v>4183</v>
      </c>
      <c r="S352" s="16" t="s">
        <v>4184</v>
      </c>
      <c r="T352" s="16" t="s">
        <v>4157</v>
      </c>
      <c r="U352" s="16" t="s">
        <v>4185</v>
      </c>
      <c r="V352" s="16" t="s">
        <v>4186</v>
      </c>
      <c r="W352" s="16" t="s">
        <v>76</v>
      </c>
      <c r="X352" s="16" t="s">
        <v>77</v>
      </c>
      <c r="Y352" s="16" t="s">
        <v>4187</v>
      </c>
      <c r="Z352" s="16" t="s">
        <v>4188</v>
      </c>
      <c r="AA352" s="16" t="s">
        <v>332</v>
      </c>
      <c r="AB352" s="16" t="s">
        <v>4189</v>
      </c>
      <c r="AC352" s="16" t="s">
        <v>4190</v>
      </c>
      <c r="AD352" s="16" t="s">
        <v>4191</v>
      </c>
      <c r="AE352" s="16" t="s">
        <v>84</v>
      </c>
      <c r="AF352" s="16" t="s">
        <v>84</v>
      </c>
      <c r="AG352" s="16">
        <v>119</v>
      </c>
      <c r="AH352" s="16">
        <v>119</v>
      </c>
      <c r="AI352" s="17">
        <v>119</v>
      </c>
      <c r="AJ352" s="16">
        <v>0</v>
      </c>
      <c r="AK352" s="16">
        <v>0</v>
      </c>
      <c r="AL352" s="16">
        <v>0</v>
      </c>
      <c r="AM352" s="16">
        <v>0</v>
      </c>
      <c r="AN352" s="16">
        <v>0</v>
      </c>
      <c r="AO352" s="16" t="s">
        <v>85</v>
      </c>
      <c r="AP352" s="16" t="s">
        <v>4192</v>
      </c>
      <c r="AQ352" s="16" t="s">
        <v>4193</v>
      </c>
      <c r="AR352" s="16" t="s">
        <v>88</v>
      </c>
      <c r="AS352" s="16" t="s">
        <v>4194</v>
      </c>
      <c r="AT352" s="16">
        <v>5.95</v>
      </c>
      <c r="AU352" s="16" t="s">
        <v>90</v>
      </c>
      <c r="AV352" s="16">
        <v>1.5</v>
      </c>
      <c r="AW352" s="16" t="s">
        <v>115</v>
      </c>
      <c r="AX352" s="16" t="s">
        <v>116</v>
      </c>
      <c r="AY352" s="16" t="s">
        <v>117</v>
      </c>
      <c r="AZ352" s="16" t="s">
        <v>118</v>
      </c>
      <c r="BA352" s="16" t="s">
        <v>119</v>
      </c>
      <c r="BB352" s="16">
        <v>0</v>
      </c>
      <c r="BC352" s="16" t="s">
        <v>84</v>
      </c>
      <c r="BD352" s="16" t="s">
        <v>90</v>
      </c>
      <c r="BE352" s="16" t="s">
        <v>2854</v>
      </c>
      <c r="BF352" s="16" t="s">
        <v>2855</v>
      </c>
      <c r="BG352" s="16" t="s">
        <v>2856</v>
      </c>
      <c r="BH352" s="16" t="s">
        <v>2857</v>
      </c>
      <c r="BI352" s="16" t="s">
        <v>2858</v>
      </c>
      <c r="BJ352" s="16">
        <v>119</v>
      </c>
      <c r="BK352" s="16">
        <v>119</v>
      </c>
      <c r="BL352" s="16">
        <v>119</v>
      </c>
      <c r="BM352" s="16" t="s">
        <v>96</v>
      </c>
      <c r="BN352" s="16">
        <v>1</v>
      </c>
      <c r="BO352" s="16" t="s">
        <v>84</v>
      </c>
      <c r="BP352" s="16" t="s">
        <v>84</v>
      </c>
      <c r="BQ352" s="16" t="s">
        <v>84</v>
      </c>
      <c r="BR352" s="16" t="s">
        <v>97</v>
      </c>
      <c r="BS352" s="16" t="s">
        <v>98</v>
      </c>
      <c r="BT352" s="16">
        <v>0</v>
      </c>
    </row>
    <row r="353" s="1" customFormat="1" ht="16" customHeight="1" spans="1:72">
      <c r="A353" s="14">
        <f t="shared" si="65"/>
        <v>2025</v>
      </c>
      <c r="B353" s="14">
        <f t="shared" si="66"/>
        <v>8</v>
      </c>
      <c r="C353" s="14" t="str">
        <f t="shared" si="67"/>
        <v>3729604074592410880</v>
      </c>
      <c r="D353" s="14" cm="1">
        <f t="array" ref="D353">SUMPRODUCT(($R$2:$R$374=C353)*1)</f>
        <v>1</v>
      </c>
      <c r="E353" s="14" cm="1">
        <f t="array" ref="E353">SUMPRODUCT(($R$2:R353=C353)*1)</f>
        <v>1</v>
      </c>
      <c r="F353" s="15" t="str">
        <f t="shared" si="68"/>
        <v>Z2265-紫色-L</v>
      </c>
      <c r="G353" s="14" t="str">
        <f t="shared" si="69"/>
        <v>Z2265</v>
      </c>
      <c r="H353" s="15">
        <f t="shared" si="70"/>
        <v>1</v>
      </c>
      <c r="I353" s="14">
        <f t="shared" si="71"/>
        <v>119</v>
      </c>
      <c r="J353" s="15">
        <f t="shared" si="72"/>
        <v>0</v>
      </c>
      <c r="K353" s="15">
        <f t="shared" si="73"/>
        <v>0</v>
      </c>
      <c r="L353" s="15">
        <f t="shared" si="74"/>
        <v>-5.95</v>
      </c>
      <c r="M353" s="15">
        <f t="shared" si="75"/>
        <v>0</v>
      </c>
      <c r="N353" s="15">
        <f t="shared" si="76"/>
        <v>-1.5</v>
      </c>
      <c r="O353" s="15">
        <f t="shared" si="77"/>
        <v>111.55</v>
      </c>
      <c r="R353" s="16" t="s">
        <v>4195</v>
      </c>
      <c r="S353" s="16" t="s">
        <v>4196</v>
      </c>
      <c r="T353" s="16" t="s">
        <v>4157</v>
      </c>
      <c r="U353" s="16" t="s">
        <v>4197</v>
      </c>
      <c r="V353" s="16" t="s">
        <v>4198</v>
      </c>
      <c r="W353" s="16" t="s">
        <v>76</v>
      </c>
      <c r="X353" s="16" t="s">
        <v>77</v>
      </c>
      <c r="Y353" s="16" t="s">
        <v>543</v>
      </c>
      <c r="Z353" s="16" t="s">
        <v>4199</v>
      </c>
      <c r="AA353" s="16" t="s">
        <v>262</v>
      </c>
      <c r="AB353" s="16" t="s">
        <v>1705</v>
      </c>
      <c r="AC353" s="16" t="s">
        <v>4200</v>
      </c>
      <c r="AD353" s="16" t="s">
        <v>4201</v>
      </c>
      <c r="AE353" s="16" t="s">
        <v>84</v>
      </c>
      <c r="AF353" s="16" t="s">
        <v>84</v>
      </c>
      <c r="AG353" s="16">
        <v>119</v>
      </c>
      <c r="AH353" s="16">
        <v>119</v>
      </c>
      <c r="AI353" s="17">
        <v>119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 t="s">
        <v>85</v>
      </c>
      <c r="AP353" s="16" t="s">
        <v>4202</v>
      </c>
      <c r="AQ353" s="16" t="s">
        <v>4203</v>
      </c>
      <c r="AR353" s="16" t="s">
        <v>88</v>
      </c>
      <c r="AS353" s="16" t="s">
        <v>4204</v>
      </c>
      <c r="AT353" s="16">
        <v>5.95</v>
      </c>
      <c r="AU353" s="16" t="s">
        <v>90</v>
      </c>
      <c r="AV353" s="16">
        <v>1.5</v>
      </c>
      <c r="AW353" s="16" t="s">
        <v>115</v>
      </c>
      <c r="AX353" s="16" t="s">
        <v>116</v>
      </c>
      <c r="AY353" s="16" t="s">
        <v>117</v>
      </c>
      <c r="AZ353" s="16" t="s">
        <v>118</v>
      </c>
      <c r="BA353" s="16" t="s">
        <v>119</v>
      </c>
      <c r="BB353" s="16">
        <v>0</v>
      </c>
      <c r="BC353" s="16" t="s">
        <v>84</v>
      </c>
      <c r="BD353" s="16" t="s">
        <v>90</v>
      </c>
      <c r="BE353" s="16" t="s">
        <v>2854</v>
      </c>
      <c r="BF353" s="16" t="s">
        <v>2855</v>
      </c>
      <c r="BG353" s="16" t="s">
        <v>2856</v>
      </c>
      <c r="BH353" s="16" t="s">
        <v>4168</v>
      </c>
      <c r="BI353" s="16" t="s">
        <v>4169</v>
      </c>
      <c r="BJ353" s="16">
        <v>119</v>
      </c>
      <c r="BK353" s="16">
        <v>119</v>
      </c>
      <c r="BL353" s="16">
        <v>119</v>
      </c>
      <c r="BM353" s="16" t="s">
        <v>96</v>
      </c>
      <c r="BN353" s="16">
        <v>1</v>
      </c>
      <c r="BO353" s="16" t="s">
        <v>84</v>
      </c>
      <c r="BP353" s="16" t="s">
        <v>84</v>
      </c>
      <c r="BQ353" s="16" t="s">
        <v>84</v>
      </c>
      <c r="BR353" s="16" t="s">
        <v>97</v>
      </c>
      <c r="BS353" s="16" t="s">
        <v>98</v>
      </c>
      <c r="BT353" s="16">
        <v>0</v>
      </c>
    </row>
    <row r="354" s="1" customFormat="1" ht="16" customHeight="1" spans="1:72">
      <c r="A354" s="14">
        <f t="shared" si="65"/>
        <v>2025</v>
      </c>
      <c r="B354" s="14">
        <f t="shared" si="66"/>
        <v>8</v>
      </c>
      <c r="C354" s="14" t="str">
        <f t="shared" si="67"/>
        <v>3729604045462445568</v>
      </c>
      <c r="D354" s="14" cm="1">
        <f t="array" ref="D354">SUMPRODUCT(($R$2:$R$374=C354)*1)</f>
        <v>1</v>
      </c>
      <c r="E354" s="14" cm="1">
        <f t="array" ref="E354">SUMPRODUCT(($R$2:R354=C354)*1)</f>
        <v>1</v>
      </c>
      <c r="F354" s="15" t="str">
        <f t="shared" si="68"/>
        <v>Z2265-紫色-XL</v>
      </c>
      <c r="G354" s="14" t="str">
        <f t="shared" si="69"/>
        <v>Z2265</v>
      </c>
      <c r="H354" s="15">
        <f t="shared" si="70"/>
        <v>1</v>
      </c>
      <c r="I354" s="14">
        <f t="shared" si="71"/>
        <v>119</v>
      </c>
      <c r="J354" s="15">
        <f t="shared" si="72"/>
        <v>0</v>
      </c>
      <c r="K354" s="15">
        <f t="shared" si="73"/>
        <v>0</v>
      </c>
      <c r="L354" s="15">
        <f t="shared" si="74"/>
        <v>-5.95</v>
      </c>
      <c r="M354" s="15">
        <f t="shared" si="75"/>
        <v>0</v>
      </c>
      <c r="N354" s="15">
        <f t="shared" si="76"/>
        <v>-1.5</v>
      </c>
      <c r="O354" s="15">
        <f t="shared" si="77"/>
        <v>111.55</v>
      </c>
      <c r="R354" s="16" t="s">
        <v>4205</v>
      </c>
      <c r="S354" s="16" t="s">
        <v>4206</v>
      </c>
      <c r="T354" s="16" t="s">
        <v>4157</v>
      </c>
      <c r="U354" s="16" t="s">
        <v>4207</v>
      </c>
      <c r="V354" s="16" t="s">
        <v>4208</v>
      </c>
      <c r="W354" s="16" t="s">
        <v>76</v>
      </c>
      <c r="X354" s="16" t="s">
        <v>77</v>
      </c>
      <c r="Y354" s="16" t="s">
        <v>1966</v>
      </c>
      <c r="Z354" s="16" t="s">
        <v>1967</v>
      </c>
      <c r="AA354" s="16" t="s">
        <v>80</v>
      </c>
      <c r="AB354" s="16" t="s">
        <v>655</v>
      </c>
      <c r="AC354" s="16" t="s">
        <v>1968</v>
      </c>
      <c r="AD354" s="16" t="s">
        <v>1969</v>
      </c>
      <c r="AE354" s="16" t="s">
        <v>84</v>
      </c>
      <c r="AF354" s="16" t="s">
        <v>84</v>
      </c>
      <c r="AG354" s="16">
        <v>119</v>
      </c>
      <c r="AH354" s="16">
        <v>119</v>
      </c>
      <c r="AI354" s="17">
        <v>119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 t="s">
        <v>85</v>
      </c>
      <c r="AP354" s="16" t="s">
        <v>4209</v>
      </c>
      <c r="AQ354" s="16" t="s">
        <v>4210</v>
      </c>
      <c r="AR354" s="16" t="s">
        <v>88</v>
      </c>
      <c r="AS354" s="16" t="s">
        <v>4211</v>
      </c>
      <c r="AT354" s="16">
        <v>5.95</v>
      </c>
      <c r="AU354" s="16" t="s">
        <v>90</v>
      </c>
      <c r="AV354" s="16">
        <v>1.5</v>
      </c>
      <c r="AW354" s="16" t="s">
        <v>115</v>
      </c>
      <c r="AX354" s="16" t="s">
        <v>116</v>
      </c>
      <c r="AY354" s="16" t="s">
        <v>117</v>
      </c>
      <c r="AZ354" s="16" t="s">
        <v>118</v>
      </c>
      <c r="BA354" s="16" t="s">
        <v>119</v>
      </c>
      <c r="BB354" s="16">
        <v>0</v>
      </c>
      <c r="BC354" s="16" t="s">
        <v>84</v>
      </c>
      <c r="BD354" s="16" t="s">
        <v>90</v>
      </c>
      <c r="BE354" s="16" t="s">
        <v>2854</v>
      </c>
      <c r="BF354" s="16" t="s">
        <v>2855</v>
      </c>
      <c r="BG354" s="16" t="s">
        <v>2856</v>
      </c>
      <c r="BH354" s="16" t="s">
        <v>2857</v>
      </c>
      <c r="BI354" s="16" t="s">
        <v>2858</v>
      </c>
      <c r="BJ354" s="16">
        <v>119</v>
      </c>
      <c r="BK354" s="16">
        <v>119</v>
      </c>
      <c r="BL354" s="16">
        <v>119</v>
      </c>
      <c r="BM354" s="16" t="s">
        <v>96</v>
      </c>
      <c r="BN354" s="16">
        <v>1</v>
      </c>
      <c r="BO354" s="16" t="s">
        <v>84</v>
      </c>
      <c r="BP354" s="16" t="s">
        <v>84</v>
      </c>
      <c r="BQ354" s="16" t="s">
        <v>84</v>
      </c>
      <c r="BR354" s="16" t="s">
        <v>97</v>
      </c>
      <c r="BS354" s="16" t="s">
        <v>98</v>
      </c>
      <c r="BT354" s="16">
        <v>0</v>
      </c>
    </row>
    <row r="355" s="1" customFormat="1" ht="16" customHeight="1" spans="1:72">
      <c r="A355" s="14">
        <f t="shared" si="65"/>
        <v>2025</v>
      </c>
      <c r="B355" s="14">
        <f t="shared" si="66"/>
        <v>8</v>
      </c>
      <c r="C355" s="14" t="str">
        <f t="shared" si="67"/>
        <v>3729604045741892096</v>
      </c>
      <c r="D355" s="14" cm="1">
        <f t="array" ref="D355">SUMPRODUCT(($R$2:$R$374=C355)*1)</f>
        <v>1</v>
      </c>
      <c r="E355" s="14" cm="1">
        <f t="array" ref="E355">SUMPRODUCT(($R$2:R355=C355)*1)</f>
        <v>1</v>
      </c>
      <c r="F355" s="15" t="str">
        <f t="shared" si="68"/>
        <v>Z2265-紫色-M</v>
      </c>
      <c r="G355" s="14" t="str">
        <f t="shared" si="69"/>
        <v>Z2265</v>
      </c>
      <c r="H355" s="15">
        <f t="shared" si="70"/>
        <v>1</v>
      </c>
      <c r="I355" s="14">
        <f t="shared" si="71"/>
        <v>119</v>
      </c>
      <c r="J355" s="15">
        <f t="shared" si="72"/>
        <v>0</v>
      </c>
      <c r="K355" s="15">
        <f t="shared" si="73"/>
        <v>0</v>
      </c>
      <c r="L355" s="15">
        <f t="shared" si="74"/>
        <v>-5.95</v>
      </c>
      <c r="M355" s="15">
        <f t="shared" si="75"/>
        <v>0</v>
      </c>
      <c r="N355" s="15">
        <f t="shared" si="76"/>
        <v>-1.5</v>
      </c>
      <c r="O355" s="15">
        <f t="shared" si="77"/>
        <v>111.55</v>
      </c>
      <c r="R355" s="16" t="s">
        <v>4212</v>
      </c>
      <c r="S355" s="16" t="s">
        <v>4206</v>
      </c>
      <c r="T355" s="16" t="s">
        <v>4157</v>
      </c>
      <c r="U355" s="16" t="s">
        <v>4213</v>
      </c>
      <c r="V355" s="16" t="s">
        <v>4214</v>
      </c>
      <c r="W355" s="16" t="s">
        <v>76</v>
      </c>
      <c r="X355" s="16" t="s">
        <v>77</v>
      </c>
      <c r="Y355" s="16" t="s">
        <v>510</v>
      </c>
      <c r="Z355" s="16" t="s">
        <v>709</v>
      </c>
      <c r="AA355" s="16" t="s">
        <v>107</v>
      </c>
      <c r="AB355" s="16" t="s">
        <v>190</v>
      </c>
      <c r="AC355" s="16" t="s">
        <v>710</v>
      </c>
      <c r="AD355" s="16" t="s">
        <v>4215</v>
      </c>
      <c r="AE355" s="16" t="s">
        <v>84</v>
      </c>
      <c r="AF355" s="16" t="s">
        <v>84</v>
      </c>
      <c r="AG355" s="16">
        <v>119</v>
      </c>
      <c r="AH355" s="16">
        <v>119</v>
      </c>
      <c r="AI355" s="17">
        <v>119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 t="s">
        <v>85</v>
      </c>
      <c r="AP355" s="16" t="s">
        <v>4216</v>
      </c>
      <c r="AQ355" s="16" t="s">
        <v>4217</v>
      </c>
      <c r="AR355" s="16" t="s">
        <v>88</v>
      </c>
      <c r="AS355" s="16" t="s">
        <v>4218</v>
      </c>
      <c r="AT355" s="16">
        <v>5.95</v>
      </c>
      <c r="AU355" s="16" t="s">
        <v>90</v>
      </c>
      <c r="AV355" s="16">
        <v>1.5</v>
      </c>
      <c r="AW355" s="16" t="s">
        <v>115</v>
      </c>
      <c r="AX355" s="16" t="s">
        <v>116</v>
      </c>
      <c r="AY355" s="16" t="s">
        <v>117</v>
      </c>
      <c r="AZ355" s="16" t="s">
        <v>118</v>
      </c>
      <c r="BA355" s="16" t="s">
        <v>119</v>
      </c>
      <c r="BB355" s="16">
        <v>0</v>
      </c>
      <c r="BC355" s="16" t="s">
        <v>84</v>
      </c>
      <c r="BD355" s="16" t="s">
        <v>90</v>
      </c>
      <c r="BE355" s="16" t="s">
        <v>2854</v>
      </c>
      <c r="BF355" s="16" t="s">
        <v>2855</v>
      </c>
      <c r="BG355" s="16" t="s">
        <v>2856</v>
      </c>
      <c r="BH355" s="16" t="s">
        <v>4181</v>
      </c>
      <c r="BI355" s="16" t="s">
        <v>4182</v>
      </c>
      <c r="BJ355" s="16">
        <v>119</v>
      </c>
      <c r="BK355" s="16">
        <v>119</v>
      </c>
      <c r="BL355" s="16">
        <v>119</v>
      </c>
      <c r="BM355" s="16" t="s">
        <v>96</v>
      </c>
      <c r="BN355" s="16">
        <v>1</v>
      </c>
      <c r="BO355" s="16" t="s">
        <v>84</v>
      </c>
      <c r="BP355" s="16" t="s">
        <v>84</v>
      </c>
      <c r="BQ355" s="16" t="s">
        <v>84</v>
      </c>
      <c r="BR355" s="16" t="s">
        <v>97</v>
      </c>
      <c r="BS355" s="16" t="s">
        <v>98</v>
      </c>
      <c r="BT355" s="16">
        <v>0</v>
      </c>
    </row>
    <row r="356" s="1" customFormat="1" ht="16" customHeight="1" spans="1:72">
      <c r="A356" s="14">
        <f t="shared" si="65"/>
        <v>2025</v>
      </c>
      <c r="B356" s="14">
        <f t="shared" si="66"/>
        <v>8</v>
      </c>
      <c r="C356" s="14" t="str">
        <f t="shared" si="67"/>
        <v>3729604044008338432</v>
      </c>
      <c r="D356" s="14" cm="1">
        <f t="array" ref="D356">SUMPRODUCT(($R$2:$R$374=C356)*1)</f>
        <v>1</v>
      </c>
      <c r="E356" s="14" cm="1">
        <f t="array" ref="E356">SUMPRODUCT(($R$2:R356=C356)*1)</f>
        <v>1</v>
      </c>
      <c r="F356" s="15" t="str">
        <f t="shared" si="68"/>
        <v>Z2265-紫色-L</v>
      </c>
      <c r="G356" s="14" t="str">
        <f t="shared" si="69"/>
        <v>Z2265</v>
      </c>
      <c r="H356" s="15">
        <f t="shared" si="70"/>
        <v>1</v>
      </c>
      <c r="I356" s="14">
        <f t="shared" si="71"/>
        <v>119</v>
      </c>
      <c r="J356" s="15">
        <f t="shared" si="72"/>
        <v>0</v>
      </c>
      <c r="K356" s="15">
        <f t="shared" si="73"/>
        <v>0</v>
      </c>
      <c r="L356" s="15">
        <f t="shared" si="74"/>
        <v>-5.95</v>
      </c>
      <c r="M356" s="15">
        <f t="shared" si="75"/>
        <v>0</v>
      </c>
      <c r="N356" s="15">
        <f t="shared" si="76"/>
        <v>-1.5</v>
      </c>
      <c r="O356" s="15">
        <f t="shared" si="77"/>
        <v>111.55</v>
      </c>
      <c r="R356" s="16" t="s">
        <v>4219</v>
      </c>
      <c r="S356" s="16" t="s">
        <v>4220</v>
      </c>
      <c r="T356" s="16" t="s">
        <v>4157</v>
      </c>
      <c r="U356" s="16" t="s">
        <v>4221</v>
      </c>
      <c r="V356" s="16" t="s">
        <v>4222</v>
      </c>
      <c r="W356" s="16" t="s">
        <v>76</v>
      </c>
      <c r="X356" s="16" t="s">
        <v>77</v>
      </c>
      <c r="Y356" s="16" t="s">
        <v>4223</v>
      </c>
      <c r="Z356" s="16" t="s">
        <v>574</v>
      </c>
      <c r="AA356" s="16" t="s">
        <v>107</v>
      </c>
      <c r="AB356" s="16" t="s">
        <v>190</v>
      </c>
      <c r="AC356" s="16" t="s">
        <v>575</v>
      </c>
      <c r="AD356" s="16" t="s">
        <v>4224</v>
      </c>
      <c r="AE356" s="16" t="s">
        <v>84</v>
      </c>
      <c r="AF356" s="16" t="s">
        <v>84</v>
      </c>
      <c r="AG356" s="16">
        <v>119</v>
      </c>
      <c r="AH356" s="16">
        <v>119</v>
      </c>
      <c r="AI356" s="17">
        <v>119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 t="s">
        <v>85</v>
      </c>
      <c r="AP356" s="16" t="s">
        <v>4216</v>
      </c>
      <c r="AQ356" s="16" t="s">
        <v>4225</v>
      </c>
      <c r="AR356" s="16" t="s">
        <v>88</v>
      </c>
      <c r="AS356" s="16" t="s">
        <v>4226</v>
      </c>
      <c r="AT356" s="16">
        <v>5.95</v>
      </c>
      <c r="AU356" s="16" t="s">
        <v>90</v>
      </c>
      <c r="AV356" s="16">
        <v>1.5</v>
      </c>
      <c r="AW356" s="16" t="s">
        <v>115</v>
      </c>
      <c r="AX356" s="16" t="s">
        <v>116</v>
      </c>
      <c r="AY356" s="16" t="s">
        <v>117</v>
      </c>
      <c r="AZ356" s="16" t="s">
        <v>118</v>
      </c>
      <c r="BA356" s="16" t="s">
        <v>119</v>
      </c>
      <c r="BB356" s="16">
        <v>0</v>
      </c>
      <c r="BC356" s="16" t="s">
        <v>84</v>
      </c>
      <c r="BD356" s="16" t="s">
        <v>90</v>
      </c>
      <c r="BE356" s="16" t="s">
        <v>2854</v>
      </c>
      <c r="BF356" s="16" t="s">
        <v>2855</v>
      </c>
      <c r="BG356" s="16" t="s">
        <v>2856</v>
      </c>
      <c r="BH356" s="16" t="s">
        <v>4168</v>
      </c>
      <c r="BI356" s="16" t="s">
        <v>4169</v>
      </c>
      <c r="BJ356" s="16">
        <v>119</v>
      </c>
      <c r="BK356" s="16">
        <v>119</v>
      </c>
      <c r="BL356" s="16">
        <v>119</v>
      </c>
      <c r="BM356" s="16" t="s">
        <v>96</v>
      </c>
      <c r="BN356" s="16">
        <v>1</v>
      </c>
      <c r="BO356" s="16" t="s">
        <v>84</v>
      </c>
      <c r="BP356" s="16" t="s">
        <v>84</v>
      </c>
      <c r="BQ356" s="16" t="s">
        <v>84</v>
      </c>
      <c r="BR356" s="16" t="s">
        <v>97</v>
      </c>
      <c r="BS356" s="16" t="s">
        <v>98</v>
      </c>
      <c r="BT356" s="16">
        <v>0</v>
      </c>
    </row>
    <row r="357" s="1" customFormat="1" ht="16" customHeight="1" spans="1:72">
      <c r="A357" s="14">
        <f t="shared" si="65"/>
        <v>2025</v>
      </c>
      <c r="B357" s="14">
        <f t="shared" si="66"/>
        <v>8</v>
      </c>
      <c r="C357" s="14" t="str">
        <f t="shared" si="67"/>
        <v>3729602905717744384</v>
      </c>
      <c r="D357" s="14" cm="1">
        <f t="array" ref="D357">SUMPRODUCT(($R$2:$R$374=C357)*1)</f>
        <v>1</v>
      </c>
      <c r="E357" s="14" cm="1">
        <f t="array" ref="E357">SUMPRODUCT(($R$2:R357=C357)*1)</f>
        <v>1</v>
      </c>
      <c r="F357" s="15" t="str">
        <f t="shared" si="68"/>
        <v>P121-黑色-AC001</v>
      </c>
      <c r="G357" s="14" t="str">
        <f t="shared" si="69"/>
        <v>P121</v>
      </c>
      <c r="H357" s="15">
        <f t="shared" si="70"/>
        <v>1</v>
      </c>
      <c r="I357" s="14">
        <f t="shared" si="71"/>
        <v>229</v>
      </c>
      <c r="J357" s="15">
        <f t="shared" si="72"/>
        <v>0</v>
      </c>
      <c r="K357" s="15">
        <f t="shared" si="73"/>
        <v>0</v>
      </c>
      <c r="L357" s="15">
        <f t="shared" si="74"/>
        <v>-11.45</v>
      </c>
      <c r="M357" s="15">
        <f t="shared" si="75"/>
        <v>0</v>
      </c>
      <c r="N357" s="15">
        <f t="shared" si="76"/>
        <v>-1.98</v>
      </c>
      <c r="O357" s="15">
        <f t="shared" si="77"/>
        <v>215.57</v>
      </c>
      <c r="R357" s="16" t="s">
        <v>4227</v>
      </c>
      <c r="S357" s="16" t="s">
        <v>4228</v>
      </c>
      <c r="T357" s="16" t="s">
        <v>4229</v>
      </c>
      <c r="U357" s="16" t="s">
        <v>4230</v>
      </c>
      <c r="V357" s="16" t="s">
        <v>4231</v>
      </c>
      <c r="W357" s="16" t="s">
        <v>76</v>
      </c>
      <c r="X357" s="16" t="s">
        <v>77</v>
      </c>
      <c r="Y357" s="16" t="s">
        <v>4232</v>
      </c>
      <c r="Z357" s="16" t="s">
        <v>4233</v>
      </c>
      <c r="AA357" s="16" t="s">
        <v>107</v>
      </c>
      <c r="AB357" s="16" t="s">
        <v>4234</v>
      </c>
      <c r="AC357" s="16" t="s">
        <v>4235</v>
      </c>
      <c r="AD357" s="16" t="s">
        <v>4236</v>
      </c>
      <c r="AE357" s="16" t="s">
        <v>84</v>
      </c>
      <c r="AF357" s="16" t="s">
        <v>84</v>
      </c>
      <c r="AG357" s="16">
        <v>229</v>
      </c>
      <c r="AH357" s="16">
        <v>229</v>
      </c>
      <c r="AI357" s="17">
        <v>229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 t="s">
        <v>137</v>
      </c>
      <c r="AP357" s="16" t="s">
        <v>4237</v>
      </c>
      <c r="AQ357" s="16" t="s">
        <v>4238</v>
      </c>
      <c r="AR357" s="16" t="s">
        <v>88</v>
      </c>
      <c r="AS357" s="16" t="s">
        <v>4239</v>
      </c>
      <c r="AT357" s="16">
        <v>11.45</v>
      </c>
      <c r="AU357" s="16" t="s">
        <v>90</v>
      </c>
      <c r="AV357" s="16">
        <v>1.98</v>
      </c>
      <c r="AW357" s="16" t="s">
        <v>115</v>
      </c>
      <c r="AX357" s="16" t="s">
        <v>116</v>
      </c>
      <c r="AY357" s="16" t="s">
        <v>117</v>
      </c>
      <c r="AZ357" s="16" t="s">
        <v>118</v>
      </c>
      <c r="BA357" s="16" t="s">
        <v>119</v>
      </c>
      <c r="BB357" s="16">
        <v>0</v>
      </c>
      <c r="BC357" s="16" t="s">
        <v>84</v>
      </c>
      <c r="BD357" s="16" t="s">
        <v>90</v>
      </c>
      <c r="BE357" s="16" t="s">
        <v>4240</v>
      </c>
      <c r="BF357" s="16" t="s">
        <v>4241</v>
      </c>
      <c r="BG357" s="16" t="s">
        <v>4242</v>
      </c>
      <c r="BH357" s="16" t="s">
        <v>4243</v>
      </c>
      <c r="BI357" s="16" t="s">
        <v>84</v>
      </c>
      <c r="BJ357" s="16">
        <v>229</v>
      </c>
      <c r="BK357" s="16">
        <v>229</v>
      </c>
      <c r="BL357" s="16">
        <v>229</v>
      </c>
      <c r="BM357" s="16" t="s">
        <v>96</v>
      </c>
      <c r="BN357" s="16">
        <v>1</v>
      </c>
      <c r="BO357" s="16" t="s">
        <v>84</v>
      </c>
      <c r="BP357" s="16" t="s">
        <v>84</v>
      </c>
      <c r="BQ357" s="16" t="s">
        <v>84</v>
      </c>
      <c r="BR357" s="16" t="s">
        <v>97</v>
      </c>
      <c r="BS357" s="16" t="s">
        <v>98</v>
      </c>
      <c r="BT357" s="16">
        <v>0</v>
      </c>
    </row>
    <row r="358" s="1" customFormat="1" ht="16" customHeight="1" spans="1:72">
      <c r="A358" s="14">
        <f t="shared" ref="A358:A374" si="78">IFERROR(YEAR(V358),"")</f>
        <v>2025</v>
      </c>
      <c r="B358" s="14">
        <f t="shared" ref="B358:B374" si="79">IFERROR(MONTH(V358),"")</f>
        <v>8</v>
      </c>
      <c r="C358" s="14" t="str">
        <f t="shared" ref="C358:C374" si="80">R358</f>
        <v>3729601867248972544</v>
      </c>
      <c r="D358" s="14" cm="1">
        <f t="array" ref="D358">SUMPRODUCT(($R$2:$R$374=C358)*1)</f>
        <v>1</v>
      </c>
      <c r="E358" s="14" cm="1">
        <f t="array" ref="E358">SUMPRODUCT(($R$2:R358=C358)*1)</f>
        <v>1</v>
      </c>
      <c r="F358" s="15" t="str">
        <f t="shared" ref="F358:F374" si="81">BH358</f>
        <v>P121-黑色-AC001</v>
      </c>
      <c r="G358" s="14" t="str">
        <f t="shared" ref="G358:G374" si="82">LEFT(F358,FIND("-",F358)-1)</f>
        <v>P121</v>
      </c>
      <c r="H358" s="15">
        <f t="shared" ref="H358:H374" si="83">IF(AND(BR358="已发货",BT358&lt;BL358,W358="已完成"),BN358,0)</f>
        <v>1</v>
      </c>
      <c r="I358" s="14">
        <f t="shared" ref="I358:I374" si="84">IF(H358=0,BJ358-BT358,H358*BJ358-BT358)</f>
        <v>229</v>
      </c>
      <c r="J358" s="15">
        <f t="shared" ref="J358:J374" si="85">IF(AND(H358&gt;0,E358=1),SUM(AK358:AN358),-SUM(AK358:AN358))</f>
        <v>0</v>
      </c>
      <c r="K358" s="15">
        <f t="shared" ref="K358:K374" si="86">AJ358</f>
        <v>0</v>
      </c>
      <c r="L358" s="15">
        <f t="shared" ref="L358:L374" si="87">IF(E358=1,-SUM(AT358:AU358),0)</f>
        <v>-11.45</v>
      </c>
      <c r="M358" s="15">
        <f t="shared" ref="M358:M374" si="88">IF(AND(E358=1,H358&gt;0),-SUM(BB358),0)</f>
        <v>0</v>
      </c>
      <c r="N358" s="15">
        <f t="shared" ref="N358:N374" si="89">IF(AND(E358=1,H358&gt;0),-SUM(AV358),0)</f>
        <v>-1.98</v>
      </c>
      <c r="O358" s="15">
        <f t="shared" ref="O358:O374" si="90">SUM(I358:N358)</f>
        <v>215.57</v>
      </c>
      <c r="R358" s="16" t="s">
        <v>4244</v>
      </c>
      <c r="S358" s="16" t="s">
        <v>4245</v>
      </c>
      <c r="T358" s="16" t="s">
        <v>4246</v>
      </c>
      <c r="U358" s="16" t="s">
        <v>4247</v>
      </c>
      <c r="V358" s="16" t="s">
        <v>4248</v>
      </c>
      <c r="W358" s="16" t="s">
        <v>76</v>
      </c>
      <c r="X358" s="16" t="s">
        <v>77</v>
      </c>
      <c r="Y358" s="16" t="s">
        <v>241</v>
      </c>
      <c r="Z358" s="16" t="s">
        <v>3737</v>
      </c>
      <c r="AA358" s="16" t="s">
        <v>763</v>
      </c>
      <c r="AB358" s="16" t="s">
        <v>763</v>
      </c>
      <c r="AC358" s="16" t="s">
        <v>3738</v>
      </c>
      <c r="AD358" s="16" t="s">
        <v>4249</v>
      </c>
      <c r="AE358" s="16" t="s">
        <v>84</v>
      </c>
      <c r="AF358" s="16" t="s">
        <v>84</v>
      </c>
      <c r="AG358" s="16">
        <v>229</v>
      </c>
      <c r="AH358" s="16">
        <v>229</v>
      </c>
      <c r="AI358" s="17">
        <v>229</v>
      </c>
      <c r="AJ358" s="16">
        <v>0</v>
      </c>
      <c r="AK358" s="16">
        <v>0</v>
      </c>
      <c r="AL358" s="16">
        <v>0</v>
      </c>
      <c r="AM358" s="16">
        <v>0</v>
      </c>
      <c r="AN358" s="16">
        <v>0</v>
      </c>
      <c r="AO358" s="16" t="s">
        <v>85</v>
      </c>
      <c r="AP358" s="16" t="s">
        <v>4250</v>
      </c>
      <c r="AQ358" s="16" t="s">
        <v>4251</v>
      </c>
      <c r="AR358" s="16" t="s">
        <v>88</v>
      </c>
      <c r="AS358" s="16" t="s">
        <v>4252</v>
      </c>
      <c r="AT358" s="16">
        <v>11.45</v>
      </c>
      <c r="AU358" s="16" t="s">
        <v>90</v>
      </c>
      <c r="AV358" s="16">
        <v>1.98</v>
      </c>
      <c r="AW358" s="16" t="s">
        <v>115</v>
      </c>
      <c r="AX358" s="16" t="s">
        <v>116</v>
      </c>
      <c r="AY358" s="16" t="s">
        <v>117</v>
      </c>
      <c r="AZ358" s="16" t="s">
        <v>118</v>
      </c>
      <c r="BA358" s="16" t="s">
        <v>119</v>
      </c>
      <c r="BB358" s="16">
        <v>0</v>
      </c>
      <c r="BC358" s="16" t="s">
        <v>84</v>
      </c>
      <c r="BD358" s="16" t="s">
        <v>90</v>
      </c>
      <c r="BE358" s="16" t="s">
        <v>4240</v>
      </c>
      <c r="BF358" s="16" t="s">
        <v>4241</v>
      </c>
      <c r="BG358" s="16" t="s">
        <v>4242</v>
      </c>
      <c r="BH358" s="16" t="s">
        <v>4243</v>
      </c>
      <c r="BI358" s="16" t="s">
        <v>84</v>
      </c>
      <c r="BJ358" s="16">
        <v>229</v>
      </c>
      <c r="BK358" s="16">
        <v>229</v>
      </c>
      <c r="BL358" s="16">
        <v>229</v>
      </c>
      <c r="BM358" s="16" t="s">
        <v>96</v>
      </c>
      <c r="BN358" s="16">
        <v>1</v>
      </c>
      <c r="BO358" s="16" t="s">
        <v>84</v>
      </c>
      <c r="BP358" s="16" t="s">
        <v>84</v>
      </c>
      <c r="BQ358" s="16" t="s">
        <v>84</v>
      </c>
      <c r="BR358" s="16" t="s">
        <v>97</v>
      </c>
      <c r="BS358" s="16" t="s">
        <v>98</v>
      </c>
      <c r="BT358" s="16">
        <v>0</v>
      </c>
    </row>
    <row r="359" s="1" customFormat="1" ht="16" customHeight="1" spans="1:72">
      <c r="A359" s="14">
        <f t="shared" si="78"/>
        <v>2025</v>
      </c>
      <c r="B359" s="14">
        <f t="shared" si="79"/>
        <v>8</v>
      </c>
      <c r="C359" s="14" t="str">
        <f t="shared" si="80"/>
        <v>3729601854727136000</v>
      </c>
      <c r="D359" s="14" cm="1">
        <f t="array" ref="D359">SUMPRODUCT(($R$2:$R$374=C359)*1)</f>
        <v>1</v>
      </c>
      <c r="E359" s="14" cm="1">
        <f t="array" ref="E359">SUMPRODUCT(($R$2:R359=C359)*1)</f>
        <v>1</v>
      </c>
      <c r="F359" s="15" t="str">
        <f t="shared" si="81"/>
        <v>P121-黑色-AC001</v>
      </c>
      <c r="G359" s="14" t="str">
        <f t="shared" si="82"/>
        <v>P121</v>
      </c>
      <c r="H359" s="15">
        <f t="shared" si="83"/>
        <v>1</v>
      </c>
      <c r="I359" s="14">
        <f t="shared" si="84"/>
        <v>229</v>
      </c>
      <c r="J359" s="15">
        <f t="shared" si="85"/>
        <v>0</v>
      </c>
      <c r="K359" s="15">
        <f t="shared" si="86"/>
        <v>0</v>
      </c>
      <c r="L359" s="15">
        <f t="shared" si="87"/>
        <v>-11.45</v>
      </c>
      <c r="M359" s="15">
        <f t="shared" si="88"/>
        <v>0</v>
      </c>
      <c r="N359" s="15">
        <f t="shared" si="89"/>
        <v>-1.98</v>
      </c>
      <c r="O359" s="15">
        <f t="shared" si="90"/>
        <v>215.57</v>
      </c>
      <c r="R359" s="16" t="s">
        <v>4253</v>
      </c>
      <c r="S359" s="16" t="s">
        <v>4254</v>
      </c>
      <c r="T359" s="16" t="s">
        <v>4255</v>
      </c>
      <c r="U359" s="16" t="s">
        <v>4256</v>
      </c>
      <c r="V359" s="16" t="s">
        <v>4257</v>
      </c>
      <c r="W359" s="16" t="s">
        <v>76</v>
      </c>
      <c r="X359" s="16" t="s">
        <v>77</v>
      </c>
      <c r="Y359" s="16" t="s">
        <v>4258</v>
      </c>
      <c r="Z359" s="16" t="s">
        <v>4259</v>
      </c>
      <c r="AA359" s="16" t="s">
        <v>262</v>
      </c>
      <c r="AB359" s="16" t="s">
        <v>4260</v>
      </c>
      <c r="AC359" s="16" t="s">
        <v>4261</v>
      </c>
      <c r="AD359" s="16" t="s">
        <v>4262</v>
      </c>
      <c r="AE359" s="16" t="s">
        <v>84</v>
      </c>
      <c r="AF359" s="16" t="s">
        <v>84</v>
      </c>
      <c r="AG359" s="16">
        <v>229</v>
      </c>
      <c r="AH359" s="16">
        <v>229</v>
      </c>
      <c r="AI359" s="17">
        <v>229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 t="s">
        <v>137</v>
      </c>
      <c r="AP359" s="16" t="s">
        <v>4263</v>
      </c>
      <c r="AQ359" s="16" t="s">
        <v>4264</v>
      </c>
      <c r="AR359" s="16" t="s">
        <v>88</v>
      </c>
      <c r="AS359" s="16" t="s">
        <v>4265</v>
      </c>
      <c r="AT359" s="16">
        <v>11.45</v>
      </c>
      <c r="AU359" s="16" t="s">
        <v>90</v>
      </c>
      <c r="AV359" s="16">
        <v>1.98</v>
      </c>
      <c r="AW359" s="16" t="s">
        <v>115</v>
      </c>
      <c r="AX359" s="16" t="s">
        <v>116</v>
      </c>
      <c r="AY359" s="16" t="s">
        <v>117</v>
      </c>
      <c r="AZ359" s="16" t="s">
        <v>118</v>
      </c>
      <c r="BA359" s="16" t="s">
        <v>119</v>
      </c>
      <c r="BB359" s="16">
        <v>0</v>
      </c>
      <c r="BC359" s="16" t="s">
        <v>84</v>
      </c>
      <c r="BD359" s="16" t="s">
        <v>90</v>
      </c>
      <c r="BE359" s="16" t="s">
        <v>4240</v>
      </c>
      <c r="BF359" s="16" t="s">
        <v>4241</v>
      </c>
      <c r="BG359" s="16" t="s">
        <v>4242</v>
      </c>
      <c r="BH359" s="16" t="s">
        <v>4243</v>
      </c>
      <c r="BI359" s="16" t="s">
        <v>84</v>
      </c>
      <c r="BJ359" s="16">
        <v>229</v>
      </c>
      <c r="BK359" s="16">
        <v>229</v>
      </c>
      <c r="BL359" s="16">
        <v>229</v>
      </c>
      <c r="BM359" s="16" t="s">
        <v>96</v>
      </c>
      <c r="BN359" s="16">
        <v>1</v>
      </c>
      <c r="BO359" s="16" t="s">
        <v>84</v>
      </c>
      <c r="BP359" s="16" t="s">
        <v>84</v>
      </c>
      <c r="BQ359" s="16" t="s">
        <v>84</v>
      </c>
      <c r="BR359" s="16" t="s">
        <v>97</v>
      </c>
      <c r="BS359" s="16" t="s">
        <v>98</v>
      </c>
      <c r="BT359" s="16">
        <v>0</v>
      </c>
    </row>
    <row r="360" s="1" customFormat="1" ht="16" customHeight="1" spans="1:72">
      <c r="A360" s="14">
        <f t="shared" si="78"/>
        <v>2025</v>
      </c>
      <c r="B360" s="14">
        <f t="shared" si="79"/>
        <v>8</v>
      </c>
      <c r="C360" s="14" t="str">
        <f t="shared" si="80"/>
        <v>3729601850834031616</v>
      </c>
      <c r="D360" s="14" cm="1">
        <f t="array" ref="D360">SUMPRODUCT(($R$2:$R$374=C360)*1)</f>
        <v>1</v>
      </c>
      <c r="E360" s="14" cm="1">
        <f t="array" ref="E360">SUMPRODUCT(($R$2:R360=C360)*1)</f>
        <v>1</v>
      </c>
      <c r="F360" s="15" t="str">
        <f t="shared" si="81"/>
        <v>P121-黑色-AC001</v>
      </c>
      <c r="G360" s="14" t="str">
        <f t="shared" si="82"/>
        <v>P121</v>
      </c>
      <c r="H360" s="15">
        <f t="shared" si="83"/>
        <v>1</v>
      </c>
      <c r="I360" s="14">
        <f t="shared" si="84"/>
        <v>229</v>
      </c>
      <c r="J360" s="15">
        <f t="shared" si="85"/>
        <v>0</v>
      </c>
      <c r="K360" s="15">
        <f t="shared" si="86"/>
        <v>0</v>
      </c>
      <c r="L360" s="15">
        <f t="shared" si="87"/>
        <v>-11.45</v>
      </c>
      <c r="M360" s="15">
        <f t="shared" si="88"/>
        <v>0</v>
      </c>
      <c r="N360" s="15">
        <f t="shared" si="89"/>
        <v>-1.98</v>
      </c>
      <c r="O360" s="15">
        <f t="shared" si="90"/>
        <v>215.57</v>
      </c>
      <c r="R360" s="16" t="s">
        <v>4266</v>
      </c>
      <c r="S360" s="16" t="s">
        <v>4267</v>
      </c>
      <c r="T360" s="16" t="s">
        <v>4268</v>
      </c>
      <c r="U360" s="16" t="s">
        <v>4269</v>
      </c>
      <c r="V360" s="16" t="s">
        <v>4270</v>
      </c>
      <c r="W360" s="16" t="s">
        <v>76</v>
      </c>
      <c r="X360" s="16" t="s">
        <v>77</v>
      </c>
      <c r="Y360" s="16" t="s">
        <v>1112</v>
      </c>
      <c r="Z360" s="16" t="s">
        <v>4271</v>
      </c>
      <c r="AA360" s="16" t="s">
        <v>171</v>
      </c>
      <c r="AB360" s="16" t="s">
        <v>4272</v>
      </c>
      <c r="AC360" s="16" t="s">
        <v>4273</v>
      </c>
      <c r="AD360" s="16" t="s">
        <v>4274</v>
      </c>
      <c r="AE360" s="16" t="s">
        <v>84</v>
      </c>
      <c r="AF360" s="16" t="s">
        <v>84</v>
      </c>
      <c r="AG360" s="16">
        <v>229</v>
      </c>
      <c r="AH360" s="16">
        <v>229</v>
      </c>
      <c r="AI360" s="17">
        <v>229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 t="s">
        <v>137</v>
      </c>
      <c r="AP360" s="16" t="s">
        <v>4275</v>
      </c>
      <c r="AQ360" s="16" t="s">
        <v>4276</v>
      </c>
      <c r="AR360" s="16" t="s">
        <v>88</v>
      </c>
      <c r="AS360" s="16" t="s">
        <v>4277</v>
      </c>
      <c r="AT360" s="16">
        <v>11.45</v>
      </c>
      <c r="AU360" s="16" t="s">
        <v>90</v>
      </c>
      <c r="AV360" s="16">
        <v>1.98</v>
      </c>
      <c r="AW360" s="16" t="s">
        <v>115</v>
      </c>
      <c r="AX360" s="16" t="s">
        <v>116</v>
      </c>
      <c r="AY360" s="16" t="s">
        <v>117</v>
      </c>
      <c r="AZ360" s="16" t="s">
        <v>118</v>
      </c>
      <c r="BA360" s="16" t="s">
        <v>119</v>
      </c>
      <c r="BB360" s="16">
        <v>0</v>
      </c>
      <c r="BC360" s="16" t="s">
        <v>84</v>
      </c>
      <c r="BD360" s="16" t="s">
        <v>90</v>
      </c>
      <c r="BE360" s="16" t="s">
        <v>4240</v>
      </c>
      <c r="BF360" s="16" t="s">
        <v>4241</v>
      </c>
      <c r="BG360" s="16" t="s">
        <v>4242</v>
      </c>
      <c r="BH360" s="16" t="s">
        <v>4243</v>
      </c>
      <c r="BI360" s="16" t="s">
        <v>84</v>
      </c>
      <c r="BJ360" s="16">
        <v>229</v>
      </c>
      <c r="BK360" s="16">
        <v>229</v>
      </c>
      <c r="BL360" s="16">
        <v>229</v>
      </c>
      <c r="BM360" s="16" t="s">
        <v>96</v>
      </c>
      <c r="BN360" s="16">
        <v>1</v>
      </c>
      <c r="BO360" s="16" t="s">
        <v>84</v>
      </c>
      <c r="BP360" s="16" t="s">
        <v>84</v>
      </c>
      <c r="BQ360" s="16" t="s">
        <v>84</v>
      </c>
      <c r="BR360" s="16" t="s">
        <v>97</v>
      </c>
      <c r="BS360" s="16" t="s">
        <v>98</v>
      </c>
      <c r="BT360" s="16">
        <v>0</v>
      </c>
    </row>
    <row r="361" s="1" customFormat="1" ht="16" customHeight="1" spans="1:72">
      <c r="A361" s="14">
        <f t="shared" si="78"/>
        <v>2025</v>
      </c>
      <c r="B361" s="14">
        <f t="shared" si="79"/>
        <v>8</v>
      </c>
      <c r="C361" s="14" t="str">
        <f t="shared" si="80"/>
        <v>3729601851007316224</v>
      </c>
      <c r="D361" s="14" cm="1">
        <f t="array" ref="D361">SUMPRODUCT(($R$2:$R$374=C361)*1)</f>
        <v>1</v>
      </c>
      <c r="E361" s="14" cm="1">
        <f t="array" ref="E361">SUMPRODUCT(($R$2:R361=C361)*1)</f>
        <v>1</v>
      </c>
      <c r="F361" s="15" t="str">
        <f t="shared" si="81"/>
        <v>P121-黑色-AC001</v>
      </c>
      <c r="G361" s="14" t="str">
        <f t="shared" si="82"/>
        <v>P121</v>
      </c>
      <c r="H361" s="15">
        <f t="shared" si="83"/>
        <v>1</v>
      </c>
      <c r="I361" s="14">
        <f t="shared" si="84"/>
        <v>229</v>
      </c>
      <c r="J361" s="15">
        <f t="shared" si="85"/>
        <v>0</v>
      </c>
      <c r="K361" s="15">
        <f t="shared" si="86"/>
        <v>0</v>
      </c>
      <c r="L361" s="15">
        <f t="shared" si="87"/>
        <v>-11.45</v>
      </c>
      <c r="M361" s="15">
        <f t="shared" si="88"/>
        <v>0</v>
      </c>
      <c r="N361" s="15">
        <f t="shared" si="89"/>
        <v>-1.98</v>
      </c>
      <c r="O361" s="15">
        <f t="shared" si="90"/>
        <v>215.57</v>
      </c>
      <c r="R361" s="16" t="s">
        <v>4278</v>
      </c>
      <c r="S361" s="16" t="s">
        <v>4279</v>
      </c>
      <c r="T361" s="16" t="s">
        <v>4280</v>
      </c>
      <c r="U361" s="16" t="s">
        <v>4281</v>
      </c>
      <c r="V361" s="16" t="s">
        <v>4282</v>
      </c>
      <c r="W361" s="16" t="s">
        <v>76</v>
      </c>
      <c r="X361" s="16" t="s">
        <v>77</v>
      </c>
      <c r="Y361" s="16" t="s">
        <v>2430</v>
      </c>
      <c r="Z361" s="16" t="s">
        <v>4283</v>
      </c>
      <c r="AA361" s="16" t="s">
        <v>280</v>
      </c>
      <c r="AB361" s="16" t="s">
        <v>4284</v>
      </c>
      <c r="AC361" s="16" t="s">
        <v>4285</v>
      </c>
      <c r="AD361" s="16" t="s">
        <v>4286</v>
      </c>
      <c r="AE361" s="16" t="s">
        <v>84</v>
      </c>
      <c r="AF361" s="16" t="s">
        <v>84</v>
      </c>
      <c r="AG361" s="16">
        <v>229</v>
      </c>
      <c r="AH361" s="16">
        <v>229</v>
      </c>
      <c r="AI361" s="17">
        <v>229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 t="s">
        <v>137</v>
      </c>
      <c r="AP361" s="16" t="s">
        <v>4287</v>
      </c>
      <c r="AQ361" s="16" t="s">
        <v>4288</v>
      </c>
      <c r="AR361" s="16" t="s">
        <v>88</v>
      </c>
      <c r="AS361" s="16" t="s">
        <v>4289</v>
      </c>
      <c r="AT361" s="16">
        <v>11.45</v>
      </c>
      <c r="AU361" s="16" t="s">
        <v>90</v>
      </c>
      <c r="AV361" s="16">
        <v>1.98</v>
      </c>
      <c r="AW361" s="16" t="s">
        <v>115</v>
      </c>
      <c r="AX361" s="16" t="s">
        <v>116</v>
      </c>
      <c r="AY361" s="16" t="s">
        <v>117</v>
      </c>
      <c r="AZ361" s="16" t="s">
        <v>118</v>
      </c>
      <c r="BA361" s="16" t="s">
        <v>119</v>
      </c>
      <c r="BB361" s="16">
        <v>0</v>
      </c>
      <c r="BC361" s="16" t="s">
        <v>84</v>
      </c>
      <c r="BD361" s="16" t="s">
        <v>90</v>
      </c>
      <c r="BE361" s="16" t="s">
        <v>4240</v>
      </c>
      <c r="BF361" s="16" t="s">
        <v>4241</v>
      </c>
      <c r="BG361" s="16" t="s">
        <v>4242</v>
      </c>
      <c r="BH361" s="16" t="s">
        <v>4243</v>
      </c>
      <c r="BI361" s="16" t="s">
        <v>84</v>
      </c>
      <c r="BJ361" s="16">
        <v>229</v>
      </c>
      <c r="BK361" s="16">
        <v>229</v>
      </c>
      <c r="BL361" s="16">
        <v>229</v>
      </c>
      <c r="BM361" s="16" t="s">
        <v>96</v>
      </c>
      <c r="BN361" s="16">
        <v>1</v>
      </c>
      <c r="BO361" s="16" t="s">
        <v>84</v>
      </c>
      <c r="BP361" s="16" t="s">
        <v>84</v>
      </c>
      <c r="BQ361" s="16" t="s">
        <v>84</v>
      </c>
      <c r="BR361" s="16" t="s">
        <v>97</v>
      </c>
      <c r="BS361" s="16" t="s">
        <v>98</v>
      </c>
      <c r="BT361" s="16">
        <v>0</v>
      </c>
    </row>
    <row r="362" s="1" customFormat="1" ht="16" customHeight="1" spans="1:72">
      <c r="A362" s="14">
        <f t="shared" si="78"/>
        <v>2025</v>
      </c>
      <c r="B362" s="14">
        <f t="shared" si="79"/>
        <v>8</v>
      </c>
      <c r="C362" s="14" t="str">
        <f t="shared" si="80"/>
        <v>3729601837708226816</v>
      </c>
      <c r="D362" s="14" cm="1">
        <f t="array" ref="D362">SUMPRODUCT(($R$2:$R$374=C362)*1)</f>
        <v>1</v>
      </c>
      <c r="E362" s="14" cm="1">
        <f t="array" ref="E362">SUMPRODUCT(($R$2:R362=C362)*1)</f>
        <v>1</v>
      </c>
      <c r="F362" s="15" t="str">
        <f t="shared" si="81"/>
        <v>P121-黑色-AC001</v>
      </c>
      <c r="G362" s="14" t="str">
        <f t="shared" si="82"/>
        <v>P121</v>
      </c>
      <c r="H362" s="15">
        <f t="shared" si="83"/>
        <v>1</v>
      </c>
      <c r="I362" s="14">
        <f t="shared" si="84"/>
        <v>229</v>
      </c>
      <c r="J362" s="15">
        <f t="shared" si="85"/>
        <v>0</v>
      </c>
      <c r="K362" s="15">
        <f t="shared" si="86"/>
        <v>0</v>
      </c>
      <c r="L362" s="15">
        <f t="shared" si="87"/>
        <v>-11.45</v>
      </c>
      <c r="M362" s="15">
        <f t="shared" si="88"/>
        <v>0</v>
      </c>
      <c r="N362" s="15">
        <f t="shared" si="89"/>
        <v>-1.98</v>
      </c>
      <c r="O362" s="15">
        <f t="shared" si="90"/>
        <v>215.57</v>
      </c>
      <c r="R362" s="16" t="s">
        <v>4290</v>
      </c>
      <c r="S362" s="16" t="s">
        <v>4291</v>
      </c>
      <c r="T362" s="16" t="s">
        <v>4292</v>
      </c>
      <c r="U362" s="16" t="s">
        <v>4293</v>
      </c>
      <c r="V362" s="16" t="s">
        <v>4294</v>
      </c>
      <c r="W362" s="16" t="s">
        <v>76</v>
      </c>
      <c r="X362" s="16" t="s">
        <v>77</v>
      </c>
      <c r="Y362" s="16" t="s">
        <v>4295</v>
      </c>
      <c r="Z362" s="16" t="s">
        <v>331</v>
      </c>
      <c r="AA362" s="16" t="s">
        <v>332</v>
      </c>
      <c r="AB362" s="16" t="s">
        <v>333</v>
      </c>
      <c r="AC362" s="16" t="s">
        <v>334</v>
      </c>
      <c r="AD362" s="16" t="s">
        <v>4296</v>
      </c>
      <c r="AE362" s="16" t="s">
        <v>84</v>
      </c>
      <c r="AF362" s="16" t="s">
        <v>84</v>
      </c>
      <c r="AG362" s="16">
        <v>229</v>
      </c>
      <c r="AH362" s="16">
        <v>229</v>
      </c>
      <c r="AI362" s="17">
        <v>229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 t="s">
        <v>85</v>
      </c>
      <c r="AP362" s="16" t="s">
        <v>4297</v>
      </c>
      <c r="AQ362" s="16" t="s">
        <v>4298</v>
      </c>
      <c r="AR362" s="16" t="s">
        <v>88</v>
      </c>
      <c r="AS362" s="16" t="s">
        <v>4299</v>
      </c>
      <c r="AT362" s="16">
        <v>11.45</v>
      </c>
      <c r="AU362" s="16" t="s">
        <v>90</v>
      </c>
      <c r="AV362" s="16">
        <v>1.98</v>
      </c>
      <c r="AW362" s="16" t="s">
        <v>115</v>
      </c>
      <c r="AX362" s="16" t="s">
        <v>116</v>
      </c>
      <c r="AY362" s="16" t="s">
        <v>117</v>
      </c>
      <c r="AZ362" s="16" t="s">
        <v>118</v>
      </c>
      <c r="BA362" s="16" t="s">
        <v>119</v>
      </c>
      <c r="BB362" s="16">
        <v>0</v>
      </c>
      <c r="BC362" s="16" t="s">
        <v>84</v>
      </c>
      <c r="BD362" s="16" t="s">
        <v>90</v>
      </c>
      <c r="BE362" s="16" t="s">
        <v>4240</v>
      </c>
      <c r="BF362" s="16" t="s">
        <v>4241</v>
      </c>
      <c r="BG362" s="16" t="s">
        <v>4242</v>
      </c>
      <c r="BH362" s="16" t="s">
        <v>4243</v>
      </c>
      <c r="BI362" s="16" t="s">
        <v>84</v>
      </c>
      <c r="BJ362" s="16">
        <v>229</v>
      </c>
      <c r="BK362" s="16">
        <v>229</v>
      </c>
      <c r="BL362" s="16">
        <v>229</v>
      </c>
      <c r="BM362" s="16" t="s">
        <v>96</v>
      </c>
      <c r="BN362" s="16">
        <v>1</v>
      </c>
      <c r="BO362" s="16" t="s">
        <v>84</v>
      </c>
      <c r="BP362" s="16" t="s">
        <v>84</v>
      </c>
      <c r="BQ362" s="16" t="s">
        <v>84</v>
      </c>
      <c r="BR362" s="16" t="s">
        <v>97</v>
      </c>
      <c r="BS362" s="16" t="s">
        <v>98</v>
      </c>
      <c r="BT362" s="16">
        <v>0</v>
      </c>
    </row>
    <row r="363" s="1" customFormat="1" ht="16" customHeight="1" spans="1:72">
      <c r="A363" s="14">
        <f t="shared" si="78"/>
        <v>2025</v>
      </c>
      <c r="B363" s="14">
        <f t="shared" si="79"/>
        <v>8</v>
      </c>
      <c r="C363" s="14" t="str">
        <f t="shared" si="80"/>
        <v>3729601833074571264</v>
      </c>
      <c r="D363" s="14" cm="1">
        <f t="array" ref="D363">SUMPRODUCT(($R$2:$R$374=C363)*1)</f>
        <v>1</v>
      </c>
      <c r="E363" s="14" cm="1">
        <f t="array" ref="E363">SUMPRODUCT(($R$2:R363=C363)*1)</f>
        <v>1</v>
      </c>
      <c r="F363" s="15" t="str">
        <f t="shared" si="81"/>
        <v>P121-黑色-AC001</v>
      </c>
      <c r="G363" s="14" t="str">
        <f t="shared" si="82"/>
        <v>P121</v>
      </c>
      <c r="H363" s="15">
        <f t="shared" si="83"/>
        <v>1</v>
      </c>
      <c r="I363" s="14">
        <f t="shared" si="84"/>
        <v>229</v>
      </c>
      <c r="J363" s="15">
        <f t="shared" si="85"/>
        <v>0</v>
      </c>
      <c r="K363" s="15">
        <f t="shared" si="86"/>
        <v>0</v>
      </c>
      <c r="L363" s="15">
        <f t="shared" si="87"/>
        <v>-11.45</v>
      </c>
      <c r="M363" s="15">
        <f t="shared" si="88"/>
        <v>0</v>
      </c>
      <c r="N363" s="15">
        <f t="shared" si="89"/>
        <v>-1.98</v>
      </c>
      <c r="O363" s="15">
        <f t="shared" si="90"/>
        <v>215.57</v>
      </c>
      <c r="R363" s="16" t="s">
        <v>4300</v>
      </c>
      <c r="S363" s="16" t="s">
        <v>4301</v>
      </c>
      <c r="T363" s="16" t="s">
        <v>4302</v>
      </c>
      <c r="U363" s="16" t="s">
        <v>4303</v>
      </c>
      <c r="V363" s="16" t="s">
        <v>4304</v>
      </c>
      <c r="W363" s="16" t="s">
        <v>76</v>
      </c>
      <c r="X363" s="16" t="s">
        <v>77</v>
      </c>
      <c r="Y363" s="16" t="s">
        <v>761</v>
      </c>
      <c r="Z363" s="16" t="s">
        <v>4305</v>
      </c>
      <c r="AA363" s="16" t="s">
        <v>171</v>
      </c>
      <c r="AB363" s="16" t="s">
        <v>172</v>
      </c>
      <c r="AC363" s="16" t="s">
        <v>4306</v>
      </c>
      <c r="AD363" s="16" t="s">
        <v>4307</v>
      </c>
      <c r="AE363" s="16" t="s">
        <v>84</v>
      </c>
      <c r="AF363" s="16" t="s">
        <v>84</v>
      </c>
      <c r="AG363" s="16">
        <v>229</v>
      </c>
      <c r="AH363" s="16">
        <v>229</v>
      </c>
      <c r="AI363" s="17">
        <v>229</v>
      </c>
      <c r="AJ363" s="16">
        <v>0</v>
      </c>
      <c r="AK363" s="16">
        <v>0</v>
      </c>
      <c r="AL363" s="16">
        <v>0</v>
      </c>
      <c r="AM363" s="16">
        <v>0</v>
      </c>
      <c r="AN363" s="16">
        <v>0</v>
      </c>
      <c r="AO363" s="16" t="s">
        <v>85</v>
      </c>
      <c r="AP363" s="16" t="s">
        <v>4308</v>
      </c>
      <c r="AQ363" s="16" t="s">
        <v>4309</v>
      </c>
      <c r="AR363" s="16" t="s">
        <v>88</v>
      </c>
      <c r="AS363" s="16" t="s">
        <v>4310</v>
      </c>
      <c r="AT363" s="16">
        <v>11.45</v>
      </c>
      <c r="AU363" s="16" t="s">
        <v>90</v>
      </c>
      <c r="AV363" s="16">
        <v>1.98</v>
      </c>
      <c r="AW363" s="16" t="s">
        <v>115</v>
      </c>
      <c r="AX363" s="16" t="s">
        <v>116</v>
      </c>
      <c r="AY363" s="16" t="s">
        <v>117</v>
      </c>
      <c r="AZ363" s="16" t="s">
        <v>118</v>
      </c>
      <c r="BA363" s="16" t="s">
        <v>119</v>
      </c>
      <c r="BB363" s="16">
        <v>0</v>
      </c>
      <c r="BC363" s="16" t="s">
        <v>84</v>
      </c>
      <c r="BD363" s="16" t="s">
        <v>90</v>
      </c>
      <c r="BE363" s="16" t="s">
        <v>4240</v>
      </c>
      <c r="BF363" s="16" t="s">
        <v>4241</v>
      </c>
      <c r="BG363" s="16" t="s">
        <v>4242</v>
      </c>
      <c r="BH363" s="16" t="s">
        <v>4243</v>
      </c>
      <c r="BI363" s="16" t="s">
        <v>84</v>
      </c>
      <c r="BJ363" s="16">
        <v>229</v>
      </c>
      <c r="BK363" s="16">
        <v>229</v>
      </c>
      <c r="BL363" s="16">
        <v>229</v>
      </c>
      <c r="BM363" s="16" t="s">
        <v>96</v>
      </c>
      <c r="BN363" s="16">
        <v>1</v>
      </c>
      <c r="BO363" s="16" t="s">
        <v>84</v>
      </c>
      <c r="BP363" s="16" t="s">
        <v>84</v>
      </c>
      <c r="BQ363" s="16" t="s">
        <v>84</v>
      </c>
      <c r="BR363" s="16" t="s">
        <v>97</v>
      </c>
      <c r="BS363" s="16" t="s">
        <v>98</v>
      </c>
      <c r="BT363" s="16">
        <v>0</v>
      </c>
    </row>
    <row r="364" s="1" customFormat="1" ht="16" customHeight="1" spans="1:72">
      <c r="A364" s="14">
        <f t="shared" si="78"/>
        <v>2025</v>
      </c>
      <c r="B364" s="14">
        <f t="shared" si="79"/>
        <v>8</v>
      </c>
      <c r="C364" s="14" t="str">
        <f t="shared" si="80"/>
        <v>3729601831613373952</v>
      </c>
      <c r="D364" s="14" cm="1">
        <f t="array" ref="D364">SUMPRODUCT(($R$2:$R$374=C364)*1)</f>
        <v>1</v>
      </c>
      <c r="E364" s="14" cm="1">
        <f t="array" ref="E364">SUMPRODUCT(($R$2:R364=C364)*1)</f>
        <v>1</v>
      </c>
      <c r="F364" s="15" t="str">
        <f t="shared" si="81"/>
        <v>P121-黑色-AC001</v>
      </c>
      <c r="G364" s="14" t="str">
        <f t="shared" si="82"/>
        <v>P121</v>
      </c>
      <c r="H364" s="15">
        <f t="shared" si="83"/>
        <v>1</v>
      </c>
      <c r="I364" s="14">
        <f t="shared" si="84"/>
        <v>229</v>
      </c>
      <c r="J364" s="15">
        <f t="shared" si="85"/>
        <v>0</v>
      </c>
      <c r="K364" s="15">
        <f t="shared" si="86"/>
        <v>0</v>
      </c>
      <c r="L364" s="15">
        <f t="shared" si="87"/>
        <v>-11.45</v>
      </c>
      <c r="M364" s="15">
        <f t="shared" si="88"/>
        <v>0</v>
      </c>
      <c r="N364" s="15">
        <f t="shared" si="89"/>
        <v>-1.98</v>
      </c>
      <c r="O364" s="15">
        <f t="shared" si="90"/>
        <v>215.57</v>
      </c>
      <c r="R364" s="16" t="s">
        <v>4311</v>
      </c>
      <c r="S364" s="16" t="s">
        <v>4312</v>
      </c>
      <c r="T364" s="16" t="s">
        <v>4302</v>
      </c>
      <c r="U364" s="16" t="s">
        <v>4313</v>
      </c>
      <c r="V364" s="16" t="s">
        <v>4314</v>
      </c>
      <c r="W364" s="16" t="s">
        <v>76</v>
      </c>
      <c r="X364" s="16" t="s">
        <v>77</v>
      </c>
      <c r="Y364" s="16" t="s">
        <v>797</v>
      </c>
      <c r="Z364" s="16" t="s">
        <v>4315</v>
      </c>
      <c r="AA364" s="16" t="s">
        <v>512</v>
      </c>
      <c r="AB364" s="16" t="s">
        <v>2442</v>
      </c>
      <c r="AC364" s="16" t="s">
        <v>4316</v>
      </c>
      <c r="AD364" s="16" t="s">
        <v>4317</v>
      </c>
      <c r="AE364" s="16" t="s">
        <v>84</v>
      </c>
      <c r="AF364" s="16" t="s">
        <v>84</v>
      </c>
      <c r="AG364" s="16">
        <v>229</v>
      </c>
      <c r="AH364" s="16">
        <v>229</v>
      </c>
      <c r="AI364" s="17">
        <v>229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 t="s">
        <v>137</v>
      </c>
      <c r="AP364" s="16" t="s">
        <v>4318</v>
      </c>
      <c r="AQ364" s="16" t="s">
        <v>4319</v>
      </c>
      <c r="AR364" s="16" t="s">
        <v>88</v>
      </c>
      <c r="AS364" s="16" t="s">
        <v>4320</v>
      </c>
      <c r="AT364" s="16">
        <v>11.45</v>
      </c>
      <c r="AU364" s="16" t="s">
        <v>90</v>
      </c>
      <c r="AV364" s="16">
        <v>1.98</v>
      </c>
      <c r="AW364" s="16" t="s">
        <v>115</v>
      </c>
      <c r="AX364" s="16" t="s">
        <v>116</v>
      </c>
      <c r="AY364" s="16" t="s">
        <v>117</v>
      </c>
      <c r="AZ364" s="16" t="s">
        <v>118</v>
      </c>
      <c r="BA364" s="16" t="s">
        <v>119</v>
      </c>
      <c r="BB364" s="16">
        <v>0</v>
      </c>
      <c r="BC364" s="16" t="s">
        <v>84</v>
      </c>
      <c r="BD364" s="16" t="s">
        <v>90</v>
      </c>
      <c r="BE364" s="16" t="s">
        <v>4240</v>
      </c>
      <c r="BF364" s="16" t="s">
        <v>4241</v>
      </c>
      <c r="BG364" s="16" t="s">
        <v>4242</v>
      </c>
      <c r="BH364" s="16" t="s">
        <v>4243</v>
      </c>
      <c r="BI364" s="16" t="s">
        <v>84</v>
      </c>
      <c r="BJ364" s="16">
        <v>229</v>
      </c>
      <c r="BK364" s="16">
        <v>229</v>
      </c>
      <c r="BL364" s="16">
        <v>229</v>
      </c>
      <c r="BM364" s="16" t="s">
        <v>96</v>
      </c>
      <c r="BN364" s="16">
        <v>1</v>
      </c>
      <c r="BO364" s="16" t="s">
        <v>84</v>
      </c>
      <c r="BP364" s="16" t="s">
        <v>84</v>
      </c>
      <c r="BQ364" s="16" t="s">
        <v>84</v>
      </c>
      <c r="BR364" s="16" t="s">
        <v>97</v>
      </c>
      <c r="BS364" s="16" t="s">
        <v>98</v>
      </c>
      <c r="BT364" s="16">
        <v>0</v>
      </c>
    </row>
    <row r="365" s="1" customFormat="1" ht="16" customHeight="1" spans="1:72">
      <c r="A365" s="14">
        <f t="shared" si="78"/>
        <v>2025</v>
      </c>
      <c r="B365" s="14">
        <f t="shared" si="79"/>
        <v>8</v>
      </c>
      <c r="C365" s="14" t="str">
        <f t="shared" si="80"/>
        <v>3729601831048978689</v>
      </c>
      <c r="D365" s="14" cm="1">
        <f t="array" ref="D365">SUMPRODUCT(($R$2:$R$374=C365)*1)</f>
        <v>1</v>
      </c>
      <c r="E365" s="14" cm="1">
        <f t="array" ref="E365">SUMPRODUCT(($R$2:R365=C365)*1)</f>
        <v>1</v>
      </c>
      <c r="F365" s="15" t="str">
        <f t="shared" si="81"/>
        <v>P121-黑色-AC001</v>
      </c>
      <c r="G365" s="14" t="str">
        <f t="shared" si="82"/>
        <v>P121</v>
      </c>
      <c r="H365" s="15">
        <f t="shared" si="83"/>
        <v>1</v>
      </c>
      <c r="I365" s="14">
        <f t="shared" si="84"/>
        <v>229</v>
      </c>
      <c r="J365" s="15">
        <f t="shared" si="85"/>
        <v>0</v>
      </c>
      <c r="K365" s="15">
        <f t="shared" si="86"/>
        <v>0</v>
      </c>
      <c r="L365" s="15">
        <f t="shared" si="87"/>
        <v>-11.45</v>
      </c>
      <c r="M365" s="15">
        <f t="shared" si="88"/>
        <v>0</v>
      </c>
      <c r="N365" s="15">
        <f t="shared" si="89"/>
        <v>-1.98</v>
      </c>
      <c r="O365" s="15">
        <f t="shared" si="90"/>
        <v>215.57</v>
      </c>
      <c r="R365" s="16" t="s">
        <v>4321</v>
      </c>
      <c r="S365" s="16" t="s">
        <v>4322</v>
      </c>
      <c r="T365" s="16" t="s">
        <v>4302</v>
      </c>
      <c r="U365" s="16" t="s">
        <v>4323</v>
      </c>
      <c r="V365" s="16" t="s">
        <v>4324</v>
      </c>
      <c r="W365" s="16" t="s">
        <v>76</v>
      </c>
      <c r="X365" s="16" t="s">
        <v>77</v>
      </c>
      <c r="Y365" s="16" t="s">
        <v>543</v>
      </c>
      <c r="Z365" s="16" t="s">
        <v>4325</v>
      </c>
      <c r="AA365" s="16" t="s">
        <v>262</v>
      </c>
      <c r="AB365" s="16" t="s">
        <v>1626</v>
      </c>
      <c r="AC365" s="16" t="s">
        <v>4326</v>
      </c>
      <c r="AD365" s="16" t="s">
        <v>4327</v>
      </c>
      <c r="AE365" s="16" t="s">
        <v>84</v>
      </c>
      <c r="AF365" s="16" t="s">
        <v>84</v>
      </c>
      <c r="AG365" s="16">
        <v>229</v>
      </c>
      <c r="AH365" s="16">
        <v>229</v>
      </c>
      <c r="AI365" s="17">
        <v>229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 t="s">
        <v>85</v>
      </c>
      <c r="AP365" s="16" t="s">
        <v>4301</v>
      </c>
      <c r="AQ365" s="16" t="s">
        <v>4328</v>
      </c>
      <c r="AR365" s="16" t="s">
        <v>88</v>
      </c>
      <c r="AS365" s="16" t="s">
        <v>4329</v>
      </c>
      <c r="AT365" s="16">
        <v>11.45</v>
      </c>
      <c r="AU365" s="16" t="s">
        <v>90</v>
      </c>
      <c r="AV365" s="16">
        <v>1.98</v>
      </c>
      <c r="AW365" s="16" t="s">
        <v>115</v>
      </c>
      <c r="AX365" s="16" t="s">
        <v>116</v>
      </c>
      <c r="AY365" s="16" t="s">
        <v>117</v>
      </c>
      <c r="AZ365" s="16" t="s">
        <v>118</v>
      </c>
      <c r="BA365" s="16" t="s">
        <v>119</v>
      </c>
      <c r="BB365" s="16">
        <v>0</v>
      </c>
      <c r="BC365" s="16" t="s">
        <v>84</v>
      </c>
      <c r="BD365" s="16" t="s">
        <v>90</v>
      </c>
      <c r="BE365" s="16" t="s">
        <v>4240</v>
      </c>
      <c r="BF365" s="16" t="s">
        <v>4241</v>
      </c>
      <c r="BG365" s="16" t="s">
        <v>4242</v>
      </c>
      <c r="BH365" s="16" t="s">
        <v>4243</v>
      </c>
      <c r="BI365" s="16" t="s">
        <v>84</v>
      </c>
      <c r="BJ365" s="16">
        <v>229</v>
      </c>
      <c r="BK365" s="16">
        <v>229</v>
      </c>
      <c r="BL365" s="16">
        <v>229</v>
      </c>
      <c r="BM365" s="16" t="s">
        <v>96</v>
      </c>
      <c r="BN365" s="16">
        <v>1</v>
      </c>
      <c r="BO365" s="16" t="s">
        <v>84</v>
      </c>
      <c r="BP365" s="16" t="s">
        <v>84</v>
      </c>
      <c r="BQ365" s="16" t="s">
        <v>84</v>
      </c>
      <c r="BR365" s="16" t="s">
        <v>97</v>
      </c>
      <c r="BS365" s="16" t="s">
        <v>98</v>
      </c>
      <c r="BT365" s="16">
        <v>0</v>
      </c>
    </row>
    <row r="366" s="1" customFormat="1" ht="16" customHeight="1" spans="1:72">
      <c r="A366" s="14">
        <f t="shared" si="78"/>
        <v>2025</v>
      </c>
      <c r="B366" s="14">
        <f t="shared" si="79"/>
        <v>8</v>
      </c>
      <c r="C366" s="14" t="str">
        <f t="shared" si="80"/>
        <v>3729601535239661056</v>
      </c>
      <c r="D366" s="14" cm="1">
        <f t="array" ref="D366">SUMPRODUCT(($R$2:$R$374=C366)*1)</f>
        <v>1</v>
      </c>
      <c r="E366" s="14" cm="1">
        <f t="array" ref="E366">SUMPRODUCT(($R$2:R366=C366)*1)</f>
        <v>1</v>
      </c>
      <c r="F366" s="15" t="str">
        <f t="shared" si="81"/>
        <v>Z2256-粉色-M</v>
      </c>
      <c r="G366" s="14" t="str">
        <f t="shared" si="82"/>
        <v>Z2256</v>
      </c>
      <c r="H366" s="15">
        <f t="shared" si="83"/>
        <v>1</v>
      </c>
      <c r="I366" s="14">
        <f t="shared" si="84"/>
        <v>299</v>
      </c>
      <c r="J366" s="15">
        <f t="shared" si="85"/>
        <v>0</v>
      </c>
      <c r="K366" s="15">
        <f t="shared" si="86"/>
        <v>0</v>
      </c>
      <c r="L366" s="15">
        <f t="shared" si="87"/>
        <v>-2.99</v>
      </c>
      <c r="M366" s="15">
        <f t="shared" si="88"/>
        <v>0</v>
      </c>
      <c r="N366" s="15">
        <f t="shared" si="89"/>
        <v>-1.5</v>
      </c>
      <c r="O366" s="15">
        <f t="shared" si="90"/>
        <v>294.51</v>
      </c>
      <c r="R366" s="16" t="s">
        <v>4330</v>
      </c>
      <c r="S366" s="16" t="s">
        <v>4331</v>
      </c>
      <c r="T366" s="16" t="s">
        <v>4332</v>
      </c>
      <c r="U366" s="16" t="s">
        <v>4333</v>
      </c>
      <c r="V366" s="16" t="s">
        <v>4334</v>
      </c>
      <c r="W366" s="16" t="s">
        <v>76</v>
      </c>
      <c r="X366" s="16" t="s">
        <v>77</v>
      </c>
      <c r="Y366" s="16" t="s">
        <v>4335</v>
      </c>
      <c r="Z366" s="16" t="s">
        <v>965</v>
      </c>
      <c r="AA366" s="16" t="s">
        <v>107</v>
      </c>
      <c r="AB366" s="16" t="s">
        <v>190</v>
      </c>
      <c r="AC366" s="16" t="s">
        <v>966</v>
      </c>
      <c r="AD366" s="16" t="s">
        <v>4336</v>
      </c>
      <c r="AE366" s="16" t="s">
        <v>84</v>
      </c>
      <c r="AF366" s="16" t="s">
        <v>84</v>
      </c>
      <c r="AG366" s="16">
        <v>299</v>
      </c>
      <c r="AH366" s="16">
        <v>299</v>
      </c>
      <c r="AI366" s="17">
        <v>299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 t="s">
        <v>85</v>
      </c>
      <c r="AP366" s="16" t="s">
        <v>4337</v>
      </c>
      <c r="AQ366" s="16" t="s">
        <v>4338</v>
      </c>
      <c r="AR366" s="16" t="s">
        <v>88</v>
      </c>
      <c r="AS366" s="16" t="s">
        <v>4339</v>
      </c>
      <c r="AT366" s="16">
        <v>2.99</v>
      </c>
      <c r="AU366" s="16" t="s">
        <v>90</v>
      </c>
      <c r="AV366" s="16">
        <v>1.5</v>
      </c>
      <c r="AW366" s="16" t="s">
        <v>90</v>
      </c>
      <c r="AX366" s="16" t="s">
        <v>90</v>
      </c>
      <c r="AY366" s="16" t="s">
        <v>90</v>
      </c>
      <c r="AZ366" s="16" t="s">
        <v>90</v>
      </c>
      <c r="BA366" s="16" t="s">
        <v>90</v>
      </c>
      <c r="BB366" s="16">
        <v>0</v>
      </c>
      <c r="BC366" s="16"/>
      <c r="BD366" s="16" t="s">
        <v>90</v>
      </c>
      <c r="BE366" s="16" t="s">
        <v>1925</v>
      </c>
      <c r="BF366" s="16" t="s">
        <v>1926</v>
      </c>
      <c r="BG366" s="16" t="s">
        <v>1927</v>
      </c>
      <c r="BH366" s="16" t="s">
        <v>1928</v>
      </c>
      <c r="BI366" s="16" t="s">
        <v>1929</v>
      </c>
      <c r="BJ366" s="16">
        <v>299</v>
      </c>
      <c r="BK366" s="16">
        <v>299</v>
      </c>
      <c r="BL366" s="16">
        <v>299</v>
      </c>
      <c r="BM366" s="16" t="s">
        <v>96</v>
      </c>
      <c r="BN366" s="16">
        <v>1</v>
      </c>
      <c r="BO366" s="16" t="s">
        <v>84</v>
      </c>
      <c r="BP366" s="16" t="s">
        <v>84</v>
      </c>
      <c r="BQ366" s="16" t="s">
        <v>84</v>
      </c>
      <c r="BR366" s="16" t="s">
        <v>97</v>
      </c>
      <c r="BS366" s="16" t="s">
        <v>98</v>
      </c>
      <c r="BT366" s="16">
        <v>0</v>
      </c>
    </row>
    <row r="367" s="1" customFormat="1" ht="16" customHeight="1" spans="1:72">
      <c r="A367" s="14">
        <f t="shared" si="78"/>
        <v>2025</v>
      </c>
      <c r="B367" s="14">
        <f t="shared" si="79"/>
        <v>8</v>
      </c>
      <c r="C367" s="14" t="str">
        <f t="shared" si="80"/>
        <v>3729601413498681344</v>
      </c>
      <c r="D367" s="14" cm="1">
        <f t="array" ref="D367">SUMPRODUCT(($R$2:$R$374=C367)*1)</f>
        <v>1</v>
      </c>
      <c r="E367" s="14" cm="1">
        <f t="array" ref="E367">SUMPRODUCT(($R$2:R367=C367)*1)</f>
        <v>1</v>
      </c>
      <c r="F367" s="15" t="str">
        <f t="shared" si="81"/>
        <v>Z2291-紫色-M</v>
      </c>
      <c r="G367" s="14" t="str">
        <f t="shared" si="82"/>
        <v>Z2291</v>
      </c>
      <c r="H367" s="15">
        <f t="shared" si="83"/>
        <v>1</v>
      </c>
      <c r="I367" s="14">
        <f t="shared" si="84"/>
        <v>189</v>
      </c>
      <c r="J367" s="15">
        <f t="shared" si="85"/>
        <v>0</v>
      </c>
      <c r="K367" s="15">
        <f t="shared" si="86"/>
        <v>0</v>
      </c>
      <c r="L367" s="15">
        <f t="shared" si="87"/>
        <v>-9.45</v>
      </c>
      <c r="M367" s="15">
        <f t="shared" si="88"/>
        <v>0</v>
      </c>
      <c r="N367" s="15">
        <f t="shared" si="89"/>
        <v>-1.5</v>
      </c>
      <c r="O367" s="15">
        <f t="shared" si="90"/>
        <v>178.05</v>
      </c>
      <c r="R367" s="16" t="s">
        <v>4340</v>
      </c>
      <c r="S367" s="16" t="s">
        <v>4341</v>
      </c>
      <c r="T367" s="16" t="s">
        <v>4342</v>
      </c>
      <c r="U367" s="16" t="s">
        <v>4343</v>
      </c>
      <c r="V367" s="16" t="s">
        <v>4344</v>
      </c>
      <c r="W367" s="16" t="s">
        <v>76</v>
      </c>
      <c r="X367" s="16" t="s">
        <v>77</v>
      </c>
      <c r="Y367" s="16" t="s">
        <v>4345</v>
      </c>
      <c r="Z367" s="16" t="s">
        <v>1918</v>
      </c>
      <c r="AA367" s="16" t="s">
        <v>430</v>
      </c>
      <c r="AB367" s="16" t="s">
        <v>430</v>
      </c>
      <c r="AC367" s="16" t="s">
        <v>1919</v>
      </c>
      <c r="AD367" s="16" t="s">
        <v>4346</v>
      </c>
      <c r="AE367" s="16" t="s">
        <v>84</v>
      </c>
      <c r="AF367" s="16" t="s">
        <v>84</v>
      </c>
      <c r="AG367" s="16">
        <v>189</v>
      </c>
      <c r="AH367" s="16">
        <v>189</v>
      </c>
      <c r="AI367" s="17">
        <v>189</v>
      </c>
      <c r="AJ367" s="16">
        <v>0</v>
      </c>
      <c r="AK367" s="16">
        <v>0</v>
      </c>
      <c r="AL367" s="16">
        <v>0</v>
      </c>
      <c r="AM367" s="16">
        <v>0</v>
      </c>
      <c r="AN367" s="16">
        <v>0</v>
      </c>
      <c r="AO367" s="16" t="s">
        <v>137</v>
      </c>
      <c r="AP367" s="16" t="s">
        <v>4347</v>
      </c>
      <c r="AQ367" s="16" t="s">
        <v>4348</v>
      </c>
      <c r="AR367" s="16" t="s">
        <v>88</v>
      </c>
      <c r="AS367" s="16" t="s">
        <v>4349</v>
      </c>
      <c r="AT367" s="16">
        <v>9.45</v>
      </c>
      <c r="AU367" s="16" t="s">
        <v>90</v>
      </c>
      <c r="AV367" s="16">
        <v>1.5</v>
      </c>
      <c r="AW367" s="16" t="s">
        <v>115</v>
      </c>
      <c r="AX367" s="16" t="s">
        <v>116</v>
      </c>
      <c r="AY367" s="16" t="s">
        <v>117</v>
      </c>
      <c r="AZ367" s="16" t="s">
        <v>118</v>
      </c>
      <c r="BA367" s="16" t="s">
        <v>119</v>
      </c>
      <c r="BB367" s="16">
        <v>0</v>
      </c>
      <c r="BC367" s="16" t="s">
        <v>84</v>
      </c>
      <c r="BD367" s="16" t="s">
        <v>90</v>
      </c>
      <c r="BE367" s="16" t="s">
        <v>2744</v>
      </c>
      <c r="BF367" s="16" t="s">
        <v>2745</v>
      </c>
      <c r="BG367" s="16" t="s">
        <v>2746</v>
      </c>
      <c r="BH367" s="16" t="s">
        <v>3883</v>
      </c>
      <c r="BI367" s="16" t="s">
        <v>3884</v>
      </c>
      <c r="BJ367" s="16">
        <v>189</v>
      </c>
      <c r="BK367" s="16">
        <v>189</v>
      </c>
      <c r="BL367" s="16">
        <v>189</v>
      </c>
      <c r="BM367" s="16" t="s">
        <v>96</v>
      </c>
      <c r="BN367" s="16">
        <v>1</v>
      </c>
      <c r="BO367" s="16" t="s">
        <v>84</v>
      </c>
      <c r="BP367" s="16" t="s">
        <v>84</v>
      </c>
      <c r="BQ367" s="16" t="s">
        <v>84</v>
      </c>
      <c r="BR367" s="16" t="s">
        <v>97</v>
      </c>
      <c r="BS367" s="16" t="s">
        <v>98</v>
      </c>
      <c r="BT367" s="16">
        <v>0</v>
      </c>
    </row>
    <row r="368" s="1" customFormat="1" ht="16" customHeight="1" spans="1:72">
      <c r="A368" s="14">
        <f t="shared" si="78"/>
        <v>2025</v>
      </c>
      <c r="B368" s="14">
        <f t="shared" si="79"/>
        <v>8</v>
      </c>
      <c r="C368" s="14" t="str">
        <f t="shared" si="80"/>
        <v>3729601410545627136</v>
      </c>
      <c r="D368" s="14" cm="1">
        <f t="array" ref="D368">SUMPRODUCT(($R$2:$R$374=C368)*1)</f>
        <v>1</v>
      </c>
      <c r="E368" s="14" cm="1">
        <f t="array" ref="E368">SUMPRODUCT(($R$2:R368=C368)*1)</f>
        <v>1</v>
      </c>
      <c r="F368" s="15" t="str">
        <f t="shared" si="81"/>
        <v>Z2291-紫色-S</v>
      </c>
      <c r="G368" s="14" t="str">
        <f t="shared" si="82"/>
        <v>Z2291</v>
      </c>
      <c r="H368" s="15">
        <f t="shared" si="83"/>
        <v>1</v>
      </c>
      <c r="I368" s="14">
        <f t="shared" si="84"/>
        <v>189</v>
      </c>
      <c r="J368" s="15">
        <f t="shared" si="85"/>
        <v>0</v>
      </c>
      <c r="K368" s="15">
        <f t="shared" si="86"/>
        <v>0</v>
      </c>
      <c r="L368" s="15">
        <f t="shared" si="87"/>
        <v>-9.45</v>
      </c>
      <c r="M368" s="15">
        <f t="shared" si="88"/>
        <v>0</v>
      </c>
      <c r="N368" s="15">
        <f t="shared" si="89"/>
        <v>-1.5</v>
      </c>
      <c r="O368" s="15">
        <f t="shared" si="90"/>
        <v>178.05</v>
      </c>
      <c r="R368" s="16" t="s">
        <v>4350</v>
      </c>
      <c r="S368" s="16" t="s">
        <v>4351</v>
      </c>
      <c r="T368" s="16" t="s">
        <v>4352</v>
      </c>
      <c r="U368" s="16" t="s">
        <v>4353</v>
      </c>
      <c r="V368" s="16" t="s">
        <v>4354</v>
      </c>
      <c r="W368" s="16" t="s">
        <v>76</v>
      </c>
      <c r="X368" s="16" t="s">
        <v>77</v>
      </c>
      <c r="Y368" s="16" t="s">
        <v>4355</v>
      </c>
      <c r="Z368" s="16" t="s">
        <v>4356</v>
      </c>
      <c r="AA368" s="16" t="s">
        <v>1405</v>
      </c>
      <c r="AB368" s="16" t="s">
        <v>4357</v>
      </c>
      <c r="AC368" s="16" t="s">
        <v>4358</v>
      </c>
      <c r="AD368" s="16" t="s">
        <v>4359</v>
      </c>
      <c r="AE368" s="16" t="s">
        <v>84</v>
      </c>
      <c r="AF368" s="16" t="s">
        <v>84</v>
      </c>
      <c r="AG368" s="16">
        <v>189</v>
      </c>
      <c r="AH368" s="16">
        <v>189</v>
      </c>
      <c r="AI368" s="17">
        <v>189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 t="s">
        <v>85</v>
      </c>
      <c r="AP368" s="16" t="s">
        <v>4360</v>
      </c>
      <c r="AQ368" s="16" t="s">
        <v>4361</v>
      </c>
      <c r="AR368" s="16" t="s">
        <v>88</v>
      </c>
      <c r="AS368" s="16" t="s">
        <v>4362</v>
      </c>
      <c r="AT368" s="16">
        <v>9.45</v>
      </c>
      <c r="AU368" s="16" t="s">
        <v>90</v>
      </c>
      <c r="AV368" s="16">
        <v>1.5</v>
      </c>
      <c r="AW368" s="16" t="s">
        <v>115</v>
      </c>
      <c r="AX368" s="16" t="s">
        <v>116</v>
      </c>
      <c r="AY368" s="16" t="s">
        <v>117</v>
      </c>
      <c r="AZ368" s="16" t="s">
        <v>118</v>
      </c>
      <c r="BA368" s="16" t="s">
        <v>119</v>
      </c>
      <c r="BB368" s="16">
        <v>0</v>
      </c>
      <c r="BC368" s="16" t="s">
        <v>84</v>
      </c>
      <c r="BD368" s="16" t="s">
        <v>90</v>
      </c>
      <c r="BE368" s="16" t="s">
        <v>2744</v>
      </c>
      <c r="BF368" s="16" t="s">
        <v>2745</v>
      </c>
      <c r="BG368" s="16" t="s">
        <v>2746</v>
      </c>
      <c r="BH368" s="16" t="s">
        <v>4363</v>
      </c>
      <c r="BI368" s="16" t="s">
        <v>4364</v>
      </c>
      <c r="BJ368" s="16">
        <v>189</v>
      </c>
      <c r="BK368" s="16">
        <v>189</v>
      </c>
      <c r="BL368" s="16">
        <v>189</v>
      </c>
      <c r="BM368" s="16" t="s">
        <v>96</v>
      </c>
      <c r="BN368" s="16">
        <v>1</v>
      </c>
      <c r="BO368" s="16" t="s">
        <v>84</v>
      </c>
      <c r="BP368" s="16" t="s">
        <v>84</v>
      </c>
      <c r="BQ368" s="16" t="s">
        <v>84</v>
      </c>
      <c r="BR368" s="16" t="s">
        <v>97</v>
      </c>
      <c r="BS368" s="16" t="s">
        <v>98</v>
      </c>
      <c r="BT368" s="16">
        <v>0</v>
      </c>
    </row>
    <row r="369" s="1" customFormat="1" ht="16" customHeight="1" spans="1:72">
      <c r="A369" s="14">
        <f t="shared" si="78"/>
        <v>2025</v>
      </c>
      <c r="B369" s="14">
        <f t="shared" si="79"/>
        <v>8</v>
      </c>
      <c r="C369" s="14" t="str">
        <f t="shared" si="80"/>
        <v>3729601405762549760</v>
      </c>
      <c r="D369" s="14" cm="1">
        <f t="array" ref="D369">SUMPRODUCT(($R$2:$R$374=C369)*1)</f>
        <v>1</v>
      </c>
      <c r="E369" s="14" cm="1">
        <f t="array" ref="E369">SUMPRODUCT(($R$2:R369=C369)*1)</f>
        <v>1</v>
      </c>
      <c r="F369" s="15" t="str">
        <f t="shared" si="81"/>
        <v>Z2291-紫色-M</v>
      </c>
      <c r="G369" s="14" t="str">
        <f t="shared" si="82"/>
        <v>Z2291</v>
      </c>
      <c r="H369" s="15">
        <f t="shared" si="83"/>
        <v>1</v>
      </c>
      <c r="I369" s="14">
        <f t="shared" si="84"/>
        <v>189</v>
      </c>
      <c r="J369" s="15">
        <f t="shared" si="85"/>
        <v>0</v>
      </c>
      <c r="K369" s="15">
        <f t="shared" si="86"/>
        <v>0</v>
      </c>
      <c r="L369" s="15">
        <f t="shared" si="87"/>
        <v>-9.45</v>
      </c>
      <c r="M369" s="15">
        <f t="shared" si="88"/>
        <v>0</v>
      </c>
      <c r="N369" s="15">
        <f t="shared" si="89"/>
        <v>-1.5</v>
      </c>
      <c r="O369" s="15">
        <f t="shared" si="90"/>
        <v>178.05</v>
      </c>
      <c r="R369" s="16" t="s">
        <v>4365</v>
      </c>
      <c r="S369" s="16" t="s">
        <v>4366</v>
      </c>
      <c r="T369" s="16" t="s">
        <v>4342</v>
      </c>
      <c r="U369" s="16" t="s">
        <v>4367</v>
      </c>
      <c r="V369" s="16" t="s">
        <v>4368</v>
      </c>
      <c r="W369" s="16" t="s">
        <v>76</v>
      </c>
      <c r="X369" s="16" t="s">
        <v>77</v>
      </c>
      <c r="Y369" s="16" t="s">
        <v>2327</v>
      </c>
      <c r="Z369" s="16" t="s">
        <v>4369</v>
      </c>
      <c r="AA369" s="16" t="s">
        <v>482</v>
      </c>
      <c r="AB369" s="16" t="s">
        <v>4370</v>
      </c>
      <c r="AC369" s="16" t="s">
        <v>4371</v>
      </c>
      <c r="AD369" s="16" t="s">
        <v>4372</v>
      </c>
      <c r="AE369" s="16" t="s">
        <v>84</v>
      </c>
      <c r="AF369" s="16" t="s">
        <v>84</v>
      </c>
      <c r="AG369" s="16">
        <v>189</v>
      </c>
      <c r="AH369" s="16">
        <v>189</v>
      </c>
      <c r="AI369" s="17">
        <v>189</v>
      </c>
      <c r="AJ369" s="16">
        <v>0</v>
      </c>
      <c r="AK369" s="16">
        <v>0</v>
      </c>
      <c r="AL369" s="16">
        <v>0</v>
      </c>
      <c r="AM369" s="16">
        <v>0</v>
      </c>
      <c r="AN369" s="16">
        <v>0</v>
      </c>
      <c r="AO369" s="16" t="s">
        <v>137</v>
      </c>
      <c r="AP369" s="16" t="s">
        <v>4373</v>
      </c>
      <c r="AQ369" s="16" t="s">
        <v>4374</v>
      </c>
      <c r="AR369" s="16" t="s">
        <v>88</v>
      </c>
      <c r="AS369" s="16" t="s">
        <v>4375</v>
      </c>
      <c r="AT369" s="16">
        <v>9.45</v>
      </c>
      <c r="AU369" s="16" t="s">
        <v>90</v>
      </c>
      <c r="AV369" s="16">
        <v>1.5</v>
      </c>
      <c r="AW369" s="16" t="s">
        <v>115</v>
      </c>
      <c r="AX369" s="16" t="s">
        <v>116</v>
      </c>
      <c r="AY369" s="16" t="s">
        <v>117</v>
      </c>
      <c r="AZ369" s="16" t="s">
        <v>118</v>
      </c>
      <c r="BA369" s="16" t="s">
        <v>119</v>
      </c>
      <c r="BB369" s="16">
        <v>0</v>
      </c>
      <c r="BC369" s="16" t="s">
        <v>84</v>
      </c>
      <c r="BD369" s="16" t="s">
        <v>90</v>
      </c>
      <c r="BE369" s="16" t="s">
        <v>2744</v>
      </c>
      <c r="BF369" s="16" t="s">
        <v>2745</v>
      </c>
      <c r="BG369" s="16" t="s">
        <v>2746</v>
      </c>
      <c r="BH369" s="16" t="s">
        <v>3883</v>
      </c>
      <c r="BI369" s="16" t="s">
        <v>3884</v>
      </c>
      <c r="BJ369" s="16">
        <v>189</v>
      </c>
      <c r="BK369" s="16">
        <v>189</v>
      </c>
      <c r="BL369" s="16">
        <v>189</v>
      </c>
      <c r="BM369" s="16" t="s">
        <v>96</v>
      </c>
      <c r="BN369" s="16">
        <v>1</v>
      </c>
      <c r="BO369" s="16" t="s">
        <v>84</v>
      </c>
      <c r="BP369" s="16" t="s">
        <v>84</v>
      </c>
      <c r="BQ369" s="16" t="s">
        <v>84</v>
      </c>
      <c r="BR369" s="16" t="s">
        <v>97</v>
      </c>
      <c r="BS369" s="16" t="s">
        <v>98</v>
      </c>
      <c r="BT369" s="16">
        <v>0</v>
      </c>
    </row>
    <row r="370" s="1" customFormat="1" ht="16" customHeight="1" spans="1:72">
      <c r="A370" s="14">
        <f t="shared" si="78"/>
        <v>2025</v>
      </c>
      <c r="B370" s="14">
        <f t="shared" si="79"/>
        <v>8</v>
      </c>
      <c r="C370" s="14" t="str">
        <f t="shared" si="80"/>
        <v>3729601400074017792</v>
      </c>
      <c r="D370" s="14" cm="1">
        <f t="array" ref="D370">SUMPRODUCT(($R$2:$R$374=C370)*1)</f>
        <v>1</v>
      </c>
      <c r="E370" s="14" cm="1">
        <f t="array" ref="E370">SUMPRODUCT(($R$2:R370=C370)*1)</f>
        <v>1</v>
      </c>
      <c r="F370" s="15" t="str">
        <f t="shared" si="81"/>
        <v>Z2291-紫色-M</v>
      </c>
      <c r="G370" s="14" t="str">
        <f t="shared" si="82"/>
        <v>Z2291</v>
      </c>
      <c r="H370" s="15">
        <f t="shared" si="83"/>
        <v>1</v>
      </c>
      <c r="I370" s="14">
        <f t="shared" si="84"/>
        <v>189</v>
      </c>
      <c r="J370" s="15">
        <f t="shared" si="85"/>
        <v>0</v>
      </c>
      <c r="K370" s="15">
        <f t="shared" si="86"/>
        <v>0</v>
      </c>
      <c r="L370" s="15">
        <f t="shared" si="87"/>
        <v>-9.45</v>
      </c>
      <c r="M370" s="15">
        <f t="shared" si="88"/>
        <v>0</v>
      </c>
      <c r="N370" s="15">
        <f t="shared" si="89"/>
        <v>-1.5</v>
      </c>
      <c r="O370" s="15">
        <f t="shared" si="90"/>
        <v>178.05</v>
      </c>
      <c r="R370" s="16" t="s">
        <v>4376</v>
      </c>
      <c r="S370" s="16" t="s">
        <v>4377</v>
      </c>
      <c r="T370" s="16" t="s">
        <v>4378</v>
      </c>
      <c r="U370" s="16" t="s">
        <v>4379</v>
      </c>
      <c r="V370" s="16" t="s">
        <v>4380</v>
      </c>
      <c r="W370" s="16" t="s">
        <v>76</v>
      </c>
      <c r="X370" s="16" t="s">
        <v>77</v>
      </c>
      <c r="Y370" s="16" t="s">
        <v>205</v>
      </c>
      <c r="Z370" s="16" t="s">
        <v>4381</v>
      </c>
      <c r="AA370" s="16" t="s">
        <v>107</v>
      </c>
      <c r="AB370" s="16" t="s">
        <v>190</v>
      </c>
      <c r="AC370" s="16" t="s">
        <v>4382</v>
      </c>
      <c r="AD370" s="16" t="s">
        <v>4383</v>
      </c>
      <c r="AE370" s="16" t="s">
        <v>84</v>
      </c>
      <c r="AF370" s="16" t="s">
        <v>84</v>
      </c>
      <c r="AG370" s="16">
        <v>189</v>
      </c>
      <c r="AH370" s="16">
        <v>189</v>
      </c>
      <c r="AI370" s="17">
        <v>189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 t="s">
        <v>137</v>
      </c>
      <c r="AP370" s="16" t="s">
        <v>4384</v>
      </c>
      <c r="AQ370" s="16" t="s">
        <v>4385</v>
      </c>
      <c r="AR370" s="16" t="s">
        <v>88</v>
      </c>
      <c r="AS370" s="16" t="s">
        <v>4386</v>
      </c>
      <c r="AT370" s="16">
        <v>9.45</v>
      </c>
      <c r="AU370" s="16" t="s">
        <v>90</v>
      </c>
      <c r="AV370" s="16">
        <v>1.5</v>
      </c>
      <c r="AW370" s="16" t="s">
        <v>115</v>
      </c>
      <c r="AX370" s="16" t="s">
        <v>116</v>
      </c>
      <c r="AY370" s="16" t="s">
        <v>117</v>
      </c>
      <c r="AZ370" s="16" t="s">
        <v>118</v>
      </c>
      <c r="BA370" s="16" t="s">
        <v>119</v>
      </c>
      <c r="BB370" s="16">
        <v>0</v>
      </c>
      <c r="BC370" s="16" t="s">
        <v>84</v>
      </c>
      <c r="BD370" s="16" t="s">
        <v>90</v>
      </c>
      <c r="BE370" s="16" t="s">
        <v>2744</v>
      </c>
      <c r="BF370" s="16" t="s">
        <v>2745</v>
      </c>
      <c r="BG370" s="16" t="s">
        <v>2746</v>
      </c>
      <c r="BH370" s="16" t="s">
        <v>3883</v>
      </c>
      <c r="BI370" s="16" t="s">
        <v>3884</v>
      </c>
      <c r="BJ370" s="16">
        <v>189</v>
      </c>
      <c r="BK370" s="16">
        <v>189</v>
      </c>
      <c r="BL370" s="16">
        <v>189</v>
      </c>
      <c r="BM370" s="16" t="s">
        <v>96</v>
      </c>
      <c r="BN370" s="16">
        <v>1</v>
      </c>
      <c r="BO370" s="16" t="s">
        <v>84</v>
      </c>
      <c r="BP370" s="16" t="s">
        <v>84</v>
      </c>
      <c r="BQ370" s="16" t="s">
        <v>84</v>
      </c>
      <c r="BR370" s="16" t="s">
        <v>97</v>
      </c>
      <c r="BS370" s="16" t="s">
        <v>98</v>
      </c>
      <c r="BT370" s="16">
        <v>0</v>
      </c>
    </row>
    <row r="371" s="1" customFormat="1" ht="16" customHeight="1" spans="1:72">
      <c r="A371" s="14">
        <f t="shared" si="78"/>
        <v>2025</v>
      </c>
      <c r="B371" s="14">
        <f t="shared" si="79"/>
        <v>8</v>
      </c>
      <c r="C371" s="14" t="str">
        <f t="shared" si="80"/>
        <v>3729601399657740032</v>
      </c>
      <c r="D371" s="14" cm="1">
        <f t="array" ref="D371">SUMPRODUCT(($R$2:$R$374=C371)*1)</f>
        <v>1</v>
      </c>
      <c r="E371" s="14" cm="1">
        <f t="array" ref="E371">SUMPRODUCT(($R$2:R371=C371)*1)</f>
        <v>1</v>
      </c>
      <c r="F371" s="15" t="str">
        <f t="shared" si="81"/>
        <v>Z2291-紫色-S</v>
      </c>
      <c r="G371" s="14" t="str">
        <f t="shared" si="82"/>
        <v>Z2291</v>
      </c>
      <c r="H371" s="15">
        <f t="shared" si="83"/>
        <v>1</v>
      </c>
      <c r="I371" s="14">
        <f t="shared" si="84"/>
        <v>189</v>
      </c>
      <c r="J371" s="15">
        <f t="shared" si="85"/>
        <v>0</v>
      </c>
      <c r="K371" s="15">
        <f t="shared" si="86"/>
        <v>0</v>
      </c>
      <c r="L371" s="15">
        <f t="shared" si="87"/>
        <v>-9.45</v>
      </c>
      <c r="M371" s="15">
        <f t="shared" si="88"/>
        <v>0</v>
      </c>
      <c r="N371" s="15">
        <f t="shared" si="89"/>
        <v>-1.5</v>
      </c>
      <c r="O371" s="15">
        <f t="shared" si="90"/>
        <v>178.05</v>
      </c>
      <c r="R371" s="16" t="s">
        <v>4387</v>
      </c>
      <c r="S371" s="16" t="s">
        <v>4388</v>
      </c>
      <c r="T371" s="16" t="s">
        <v>4389</v>
      </c>
      <c r="U371" s="16" t="s">
        <v>4390</v>
      </c>
      <c r="V371" s="16" t="s">
        <v>4391</v>
      </c>
      <c r="W371" s="16" t="s">
        <v>76</v>
      </c>
      <c r="X371" s="16" t="s">
        <v>77</v>
      </c>
      <c r="Y371" s="16" t="s">
        <v>4392</v>
      </c>
      <c r="Z371" s="16" t="s">
        <v>4393</v>
      </c>
      <c r="AA371" s="16" t="s">
        <v>799</v>
      </c>
      <c r="AB371" s="16" t="s">
        <v>3184</v>
      </c>
      <c r="AC371" s="16" t="s">
        <v>4394</v>
      </c>
      <c r="AD371" s="16" t="s">
        <v>4395</v>
      </c>
      <c r="AE371" s="16" t="s">
        <v>84</v>
      </c>
      <c r="AF371" s="16" t="s">
        <v>84</v>
      </c>
      <c r="AG371" s="16">
        <v>189</v>
      </c>
      <c r="AH371" s="16">
        <v>189</v>
      </c>
      <c r="AI371" s="17">
        <v>189</v>
      </c>
      <c r="AJ371" s="16">
        <v>0</v>
      </c>
      <c r="AK371" s="16">
        <v>0</v>
      </c>
      <c r="AL371" s="16">
        <v>0</v>
      </c>
      <c r="AM371" s="16">
        <v>0</v>
      </c>
      <c r="AN371" s="16">
        <v>0</v>
      </c>
      <c r="AO371" s="16" t="s">
        <v>85</v>
      </c>
      <c r="AP371" s="16" t="s">
        <v>4396</v>
      </c>
      <c r="AQ371" s="16" t="s">
        <v>4397</v>
      </c>
      <c r="AR371" s="16" t="s">
        <v>88</v>
      </c>
      <c r="AS371" s="16" t="s">
        <v>4398</v>
      </c>
      <c r="AT371" s="16">
        <v>9.45</v>
      </c>
      <c r="AU371" s="16" t="s">
        <v>90</v>
      </c>
      <c r="AV371" s="16">
        <v>1.5</v>
      </c>
      <c r="AW371" s="16" t="s">
        <v>115</v>
      </c>
      <c r="AX371" s="16" t="s">
        <v>116</v>
      </c>
      <c r="AY371" s="16" t="s">
        <v>117</v>
      </c>
      <c r="AZ371" s="16" t="s">
        <v>118</v>
      </c>
      <c r="BA371" s="16" t="s">
        <v>119</v>
      </c>
      <c r="BB371" s="16">
        <v>0</v>
      </c>
      <c r="BC371" s="16" t="s">
        <v>84</v>
      </c>
      <c r="BD371" s="16" t="s">
        <v>90</v>
      </c>
      <c r="BE371" s="16" t="s">
        <v>2744</v>
      </c>
      <c r="BF371" s="16" t="s">
        <v>2745</v>
      </c>
      <c r="BG371" s="16" t="s">
        <v>2746</v>
      </c>
      <c r="BH371" s="16" t="s">
        <v>4363</v>
      </c>
      <c r="BI371" s="16" t="s">
        <v>4364</v>
      </c>
      <c r="BJ371" s="16">
        <v>189</v>
      </c>
      <c r="BK371" s="16">
        <v>189</v>
      </c>
      <c r="BL371" s="16">
        <v>189</v>
      </c>
      <c r="BM371" s="16" t="s">
        <v>96</v>
      </c>
      <c r="BN371" s="16">
        <v>1</v>
      </c>
      <c r="BO371" s="16" t="s">
        <v>84</v>
      </c>
      <c r="BP371" s="16" t="s">
        <v>84</v>
      </c>
      <c r="BQ371" s="16" t="s">
        <v>84</v>
      </c>
      <c r="BR371" s="16" t="s">
        <v>97</v>
      </c>
      <c r="BS371" s="16" t="s">
        <v>98</v>
      </c>
      <c r="BT371" s="16">
        <v>0</v>
      </c>
    </row>
    <row r="372" s="1" customFormat="1" ht="16" customHeight="1" spans="1:72">
      <c r="A372" s="14">
        <f t="shared" si="78"/>
        <v>2025</v>
      </c>
      <c r="B372" s="14">
        <f t="shared" si="79"/>
        <v>8</v>
      </c>
      <c r="C372" s="14" t="str">
        <f t="shared" si="80"/>
        <v>3729601399191384832</v>
      </c>
      <c r="D372" s="14" cm="1">
        <f t="array" ref="D372">SUMPRODUCT(($R$2:$R$374=C372)*1)</f>
        <v>1</v>
      </c>
      <c r="E372" s="14" cm="1">
        <f t="array" ref="E372">SUMPRODUCT(($R$2:R372=C372)*1)</f>
        <v>1</v>
      </c>
      <c r="F372" s="15" t="str">
        <f t="shared" si="81"/>
        <v>Z2291-紫色-M</v>
      </c>
      <c r="G372" s="14" t="str">
        <f t="shared" si="82"/>
        <v>Z2291</v>
      </c>
      <c r="H372" s="15">
        <f t="shared" si="83"/>
        <v>1</v>
      </c>
      <c r="I372" s="14">
        <f t="shared" si="84"/>
        <v>189</v>
      </c>
      <c r="J372" s="15">
        <f t="shared" si="85"/>
        <v>0</v>
      </c>
      <c r="K372" s="15">
        <f t="shared" si="86"/>
        <v>0</v>
      </c>
      <c r="L372" s="15">
        <f t="shared" si="87"/>
        <v>-9.45</v>
      </c>
      <c r="M372" s="15">
        <f t="shared" si="88"/>
        <v>0</v>
      </c>
      <c r="N372" s="15">
        <f t="shared" si="89"/>
        <v>-1.5</v>
      </c>
      <c r="O372" s="15">
        <f t="shared" si="90"/>
        <v>178.05</v>
      </c>
      <c r="R372" s="16" t="s">
        <v>4399</v>
      </c>
      <c r="S372" s="16" t="s">
        <v>4400</v>
      </c>
      <c r="T372" s="16" t="s">
        <v>4342</v>
      </c>
      <c r="U372" s="16" t="s">
        <v>4401</v>
      </c>
      <c r="V372" s="16" t="s">
        <v>4402</v>
      </c>
      <c r="W372" s="16" t="s">
        <v>76</v>
      </c>
      <c r="X372" s="16" t="s">
        <v>77</v>
      </c>
      <c r="Y372" s="16" t="s">
        <v>1992</v>
      </c>
      <c r="Z372" s="16" t="s">
        <v>1918</v>
      </c>
      <c r="AA372" s="16" t="s">
        <v>430</v>
      </c>
      <c r="AB372" s="16" t="s">
        <v>430</v>
      </c>
      <c r="AC372" s="16" t="s">
        <v>1919</v>
      </c>
      <c r="AD372" s="16" t="s">
        <v>4403</v>
      </c>
      <c r="AE372" s="16" t="s">
        <v>84</v>
      </c>
      <c r="AF372" s="16" t="s">
        <v>84</v>
      </c>
      <c r="AG372" s="16">
        <v>189</v>
      </c>
      <c r="AH372" s="16">
        <v>189</v>
      </c>
      <c r="AI372" s="17">
        <v>189</v>
      </c>
      <c r="AJ372" s="16">
        <v>0</v>
      </c>
      <c r="AK372" s="16">
        <v>0</v>
      </c>
      <c r="AL372" s="16">
        <v>0</v>
      </c>
      <c r="AM372" s="16">
        <v>0</v>
      </c>
      <c r="AN372" s="16">
        <v>0</v>
      </c>
      <c r="AO372" s="16" t="s">
        <v>85</v>
      </c>
      <c r="AP372" s="16" t="s">
        <v>4404</v>
      </c>
      <c r="AQ372" s="16" t="s">
        <v>4405</v>
      </c>
      <c r="AR372" s="16" t="s">
        <v>88</v>
      </c>
      <c r="AS372" s="16" t="s">
        <v>4406</v>
      </c>
      <c r="AT372" s="16">
        <v>9.45</v>
      </c>
      <c r="AU372" s="16" t="s">
        <v>90</v>
      </c>
      <c r="AV372" s="16">
        <v>1.5</v>
      </c>
      <c r="AW372" s="16" t="s">
        <v>115</v>
      </c>
      <c r="AX372" s="16" t="s">
        <v>116</v>
      </c>
      <c r="AY372" s="16" t="s">
        <v>117</v>
      </c>
      <c r="AZ372" s="16" t="s">
        <v>118</v>
      </c>
      <c r="BA372" s="16" t="s">
        <v>119</v>
      </c>
      <c r="BB372" s="16">
        <v>0</v>
      </c>
      <c r="BC372" s="16" t="s">
        <v>84</v>
      </c>
      <c r="BD372" s="16" t="s">
        <v>90</v>
      </c>
      <c r="BE372" s="16" t="s">
        <v>2744</v>
      </c>
      <c r="BF372" s="16" t="s">
        <v>2745</v>
      </c>
      <c r="BG372" s="16" t="s">
        <v>2746</v>
      </c>
      <c r="BH372" s="16" t="s">
        <v>3883</v>
      </c>
      <c r="BI372" s="16" t="s">
        <v>3884</v>
      </c>
      <c r="BJ372" s="16">
        <v>189</v>
      </c>
      <c r="BK372" s="16">
        <v>189</v>
      </c>
      <c r="BL372" s="16">
        <v>189</v>
      </c>
      <c r="BM372" s="16" t="s">
        <v>96</v>
      </c>
      <c r="BN372" s="16">
        <v>1</v>
      </c>
      <c r="BO372" s="16" t="s">
        <v>84</v>
      </c>
      <c r="BP372" s="16" t="s">
        <v>84</v>
      </c>
      <c r="BQ372" s="16" t="s">
        <v>84</v>
      </c>
      <c r="BR372" s="16" t="s">
        <v>97</v>
      </c>
      <c r="BS372" s="16" t="s">
        <v>98</v>
      </c>
      <c r="BT372" s="16">
        <v>0</v>
      </c>
    </row>
    <row r="373" s="1" customFormat="1" ht="16" customHeight="1" spans="1:72">
      <c r="A373" s="14">
        <f t="shared" si="78"/>
        <v>2025</v>
      </c>
      <c r="B373" s="14">
        <f t="shared" si="79"/>
        <v>8</v>
      </c>
      <c r="C373" s="14" t="str">
        <f t="shared" si="80"/>
        <v>3729601397301583616</v>
      </c>
      <c r="D373" s="14" cm="1">
        <f t="array" ref="D373">SUMPRODUCT(($R$2:$R$374=C373)*1)</f>
        <v>1</v>
      </c>
      <c r="E373" s="14" cm="1">
        <f t="array" ref="E373">SUMPRODUCT(($R$2:R373=C373)*1)</f>
        <v>1</v>
      </c>
      <c r="F373" s="15" t="str">
        <f t="shared" si="81"/>
        <v>Z2291-紫色-L</v>
      </c>
      <c r="G373" s="14" t="str">
        <f t="shared" si="82"/>
        <v>Z2291</v>
      </c>
      <c r="H373" s="15">
        <f t="shared" si="83"/>
        <v>1</v>
      </c>
      <c r="I373" s="14">
        <f t="shared" si="84"/>
        <v>189</v>
      </c>
      <c r="J373" s="15">
        <f t="shared" si="85"/>
        <v>0</v>
      </c>
      <c r="K373" s="15">
        <f t="shared" si="86"/>
        <v>0</v>
      </c>
      <c r="L373" s="15">
        <f t="shared" si="87"/>
        <v>-9.45</v>
      </c>
      <c r="M373" s="15">
        <f t="shared" si="88"/>
        <v>0</v>
      </c>
      <c r="N373" s="15">
        <f t="shared" si="89"/>
        <v>-1.5</v>
      </c>
      <c r="O373" s="15">
        <f t="shared" si="90"/>
        <v>178.05</v>
      </c>
      <c r="R373" s="16" t="s">
        <v>4407</v>
      </c>
      <c r="S373" s="16" t="s">
        <v>4408</v>
      </c>
      <c r="T373" s="16" t="s">
        <v>4409</v>
      </c>
      <c r="U373" s="16" t="s">
        <v>4410</v>
      </c>
      <c r="V373" s="16" t="s">
        <v>4411</v>
      </c>
      <c r="W373" s="16" t="s">
        <v>76</v>
      </c>
      <c r="X373" s="16" t="s">
        <v>77</v>
      </c>
      <c r="Y373" s="16" t="s">
        <v>4412</v>
      </c>
      <c r="Z373" s="16" t="s">
        <v>4413</v>
      </c>
      <c r="AA373" s="16" t="s">
        <v>820</v>
      </c>
      <c r="AB373" s="16" t="s">
        <v>2739</v>
      </c>
      <c r="AC373" s="16" t="s">
        <v>4414</v>
      </c>
      <c r="AD373" s="16" t="s">
        <v>4415</v>
      </c>
      <c r="AE373" s="16" t="s">
        <v>84</v>
      </c>
      <c r="AF373" s="16" t="s">
        <v>84</v>
      </c>
      <c r="AG373" s="16">
        <v>189</v>
      </c>
      <c r="AH373" s="16">
        <v>189</v>
      </c>
      <c r="AI373" s="17">
        <v>189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 t="s">
        <v>85</v>
      </c>
      <c r="AP373" s="16" t="s">
        <v>4377</v>
      </c>
      <c r="AQ373" s="16" t="s">
        <v>4416</v>
      </c>
      <c r="AR373" s="16" t="s">
        <v>88</v>
      </c>
      <c r="AS373" s="16" t="s">
        <v>4417</v>
      </c>
      <c r="AT373" s="16">
        <v>9.45</v>
      </c>
      <c r="AU373" s="16" t="s">
        <v>90</v>
      </c>
      <c r="AV373" s="16">
        <v>1.5</v>
      </c>
      <c r="AW373" s="16" t="s">
        <v>115</v>
      </c>
      <c r="AX373" s="16" t="s">
        <v>116</v>
      </c>
      <c r="AY373" s="16" t="s">
        <v>117</v>
      </c>
      <c r="AZ373" s="16" t="s">
        <v>118</v>
      </c>
      <c r="BA373" s="16" t="s">
        <v>119</v>
      </c>
      <c r="BB373" s="16">
        <v>0</v>
      </c>
      <c r="BC373" s="16" t="s">
        <v>84</v>
      </c>
      <c r="BD373" s="16" t="s">
        <v>90</v>
      </c>
      <c r="BE373" s="16" t="s">
        <v>2744</v>
      </c>
      <c r="BF373" s="16" t="s">
        <v>2745</v>
      </c>
      <c r="BG373" s="16" t="s">
        <v>2746</v>
      </c>
      <c r="BH373" s="16" t="s">
        <v>2747</v>
      </c>
      <c r="BI373" s="16" t="s">
        <v>2748</v>
      </c>
      <c r="BJ373" s="16">
        <v>189</v>
      </c>
      <c r="BK373" s="16">
        <v>189</v>
      </c>
      <c r="BL373" s="16">
        <v>189</v>
      </c>
      <c r="BM373" s="16" t="s">
        <v>96</v>
      </c>
      <c r="BN373" s="16">
        <v>1</v>
      </c>
      <c r="BO373" s="16" t="s">
        <v>84</v>
      </c>
      <c r="BP373" s="16" t="s">
        <v>84</v>
      </c>
      <c r="BQ373" s="16" t="s">
        <v>84</v>
      </c>
      <c r="BR373" s="16" t="s">
        <v>97</v>
      </c>
      <c r="BS373" s="16" t="s">
        <v>98</v>
      </c>
      <c r="BT373" s="16">
        <v>0</v>
      </c>
    </row>
    <row r="374" s="1" customFormat="1" ht="16" customHeight="1" spans="1:72">
      <c r="A374" s="14">
        <f t="shared" si="78"/>
        <v>2025</v>
      </c>
      <c r="B374" s="14">
        <f t="shared" si="79"/>
        <v>8</v>
      </c>
      <c r="C374" s="14" t="str">
        <f t="shared" si="80"/>
        <v>3729601396270046720</v>
      </c>
      <c r="D374" s="14" cm="1">
        <f t="array" ref="D374">SUMPRODUCT(($R$2:$R$374=C374)*1)</f>
        <v>1</v>
      </c>
      <c r="E374" s="14" cm="1">
        <f t="array" ref="E374">SUMPRODUCT(($R$2:R374=C374)*1)</f>
        <v>1</v>
      </c>
      <c r="F374" s="15" t="str">
        <f t="shared" si="81"/>
        <v>Z2291-紫色-L</v>
      </c>
      <c r="G374" s="14" t="str">
        <f t="shared" si="82"/>
        <v>Z2291</v>
      </c>
      <c r="H374" s="15">
        <f t="shared" si="83"/>
        <v>1</v>
      </c>
      <c r="I374" s="14">
        <f t="shared" si="84"/>
        <v>189</v>
      </c>
      <c r="J374" s="15">
        <f t="shared" si="85"/>
        <v>0</v>
      </c>
      <c r="K374" s="15">
        <f t="shared" si="86"/>
        <v>0</v>
      </c>
      <c r="L374" s="15">
        <f t="shared" si="87"/>
        <v>-9.45</v>
      </c>
      <c r="M374" s="15">
        <f t="shared" si="88"/>
        <v>0</v>
      </c>
      <c r="N374" s="15">
        <f t="shared" si="89"/>
        <v>-1.5</v>
      </c>
      <c r="O374" s="15">
        <f t="shared" si="90"/>
        <v>178.05</v>
      </c>
      <c r="R374" s="16" t="s">
        <v>4418</v>
      </c>
      <c r="S374" s="16" t="s">
        <v>4419</v>
      </c>
      <c r="T374" s="16" t="s">
        <v>4409</v>
      </c>
      <c r="U374" s="16" t="s">
        <v>4420</v>
      </c>
      <c r="V374" s="16" t="s">
        <v>4421</v>
      </c>
      <c r="W374" s="16" t="s">
        <v>76</v>
      </c>
      <c r="X374" s="16" t="s">
        <v>77</v>
      </c>
      <c r="Y374" s="16" t="s">
        <v>4422</v>
      </c>
      <c r="Z374" s="16" t="s">
        <v>4423</v>
      </c>
      <c r="AA374" s="16" t="s">
        <v>430</v>
      </c>
      <c r="AB374" s="16" t="s">
        <v>430</v>
      </c>
      <c r="AC374" s="16" t="s">
        <v>4424</v>
      </c>
      <c r="AD374" s="16" t="s">
        <v>4425</v>
      </c>
      <c r="AE374" s="16" t="s">
        <v>84</v>
      </c>
      <c r="AF374" s="16" t="s">
        <v>84</v>
      </c>
      <c r="AG374" s="16">
        <v>189</v>
      </c>
      <c r="AH374" s="16">
        <v>189</v>
      </c>
      <c r="AI374" s="17">
        <v>189</v>
      </c>
      <c r="AJ374" s="16">
        <v>0</v>
      </c>
      <c r="AK374" s="16">
        <v>0</v>
      </c>
      <c r="AL374" s="16">
        <v>0</v>
      </c>
      <c r="AM374" s="16">
        <v>0</v>
      </c>
      <c r="AN374" s="16">
        <v>0</v>
      </c>
      <c r="AO374" s="16" t="s">
        <v>137</v>
      </c>
      <c r="AP374" s="16" t="s">
        <v>4426</v>
      </c>
      <c r="AQ374" s="16" t="s">
        <v>4427</v>
      </c>
      <c r="AR374" s="16" t="s">
        <v>88</v>
      </c>
      <c r="AS374" s="16" t="s">
        <v>4428</v>
      </c>
      <c r="AT374" s="16">
        <v>9.45</v>
      </c>
      <c r="AU374" s="16" t="s">
        <v>90</v>
      </c>
      <c r="AV374" s="16">
        <v>1.5</v>
      </c>
      <c r="AW374" s="16" t="s">
        <v>115</v>
      </c>
      <c r="AX374" s="16" t="s">
        <v>116</v>
      </c>
      <c r="AY374" s="16" t="s">
        <v>117</v>
      </c>
      <c r="AZ374" s="16" t="s">
        <v>118</v>
      </c>
      <c r="BA374" s="16" t="s">
        <v>119</v>
      </c>
      <c r="BB374" s="16">
        <v>0</v>
      </c>
      <c r="BC374" s="16" t="s">
        <v>84</v>
      </c>
      <c r="BD374" s="16" t="s">
        <v>90</v>
      </c>
      <c r="BE374" s="16" t="s">
        <v>2744</v>
      </c>
      <c r="BF374" s="16" t="s">
        <v>2745</v>
      </c>
      <c r="BG374" s="16" t="s">
        <v>2746</v>
      </c>
      <c r="BH374" s="16" t="s">
        <v>2747</v>
      </c>
      <c r="BI374" s="16" t="s">
        <v>2748</v>
      </c>
      <c r="BJ374" s="16">
        <v>189</v>
      </c>
      <c r="BK374" s="16">
        <v>189</v>
      </c>
      <c r="BL374" s="16">
        <v>189</v>
      </c>
      <c r="BM374" s="16" t="s">
        <v>96</v>
      </c>
      <c r="BN374" s="16">
        <v>1</v>
      </c>
      <c r="BO374" s="16" t="s">
        <v>84</v>
      </c>
      <c r="BP374" s="16" t="s">
        <v>84</v>
      </c>
      <c r="BQ374" s="16" t="s">
        <v>84</v>
      </c>
      <c r="BR374" s="16" t="s">
        <v>97</v>
      </c>
      <c r="BS374" s="16" t="s">
        <v>98</v>
      </c>
      <c r="BT374" s="16">
        <v>0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视频号订单完成结算时间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jasonlin</cp:lastModifiedBy>
  <dcterms:created xsi:type="dcterms:W3CDTF">2025-10-25T18:15:00Z</dcterms:created>
  <dcterms:modified xsi:type="dcterms:W3CDTF">2025-10-28T11:03:27Z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FCD500AB62894029BA317753F4C9B5D3_13</vt:lpwstr>
  </property>
  <property fmtid="{D5CDD505-2E9C-101B-9397-08002B2CF9AE}" pid="3" name="KSOProductBuildVer">
    <vt:lpwstr>2052-12.1.23540.23540</vt:lpwstr>
  </property>
</Properties>
</file>