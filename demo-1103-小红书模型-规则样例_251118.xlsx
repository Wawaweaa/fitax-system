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840" tabRatio="812" activeTab="1"/>
  </bookViews>
  <sheets>
    <sheet name="小红书-订单明细" sheetId="2" r:id="rId1"/>
    <sheet name="小红书-结算账单" sheetId="3" r:id="rId2"/>
  </sheets>
  <definedNames>
    <definedName name="_xlnm._FilterDatabase" localSheetId="0" hidden="1">'小红书-订单明细'!$A$1:$BS$103</definedName>
    <definedName name="_xlnm._FilterDatabase" localSheetId="1" hidden="1">'小红书-结算账单'!$A$1:$BP$151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U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Y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AL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AM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R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T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U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BB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<sst xmlns="http://schemas.openxmlformats.org/spreadsheetml/2006/main" count="8837" uniqueCount="2035">
  <si>
    <t>订单号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</si>
  <si>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</si>
  <si>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</si>
  <si>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</si>
  <si>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</si>
  <si>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</si>
  <si>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</si>
  <si>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</si>
  <si>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</si>
  <si>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</si>
  <si>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</si>
  <si>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</si>
  <si>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</si>
  <si>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</si>
  <si>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规格ID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</si>
  <si>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</si>
  <si>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</si>
  <si>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</si>
  <si>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</si>
  <si>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</si>
  <si>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</si>
  <si>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</si>
  <si>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</si>
  <si>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</si>
  <si>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</si>
  <si>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</si>
  <si>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</si>
  <si>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</si>
  <si>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</si>
  <si>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</si>
  <si>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</si>
  <si>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</si>
  <si>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</si>
  <si>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</si>
  <si>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</si>
  <si>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</si>
  <si>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</si>
  <si>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</si>
  <si>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</si>
  <si>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</si>
  <si>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</si>
  <si>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</si>
  <si>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</si>
  <si>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</si>
  <si>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</si>
  <si>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</si>
  <si>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</si>
  <si>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</si>
  <si>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</si>
  <si>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</si>
  <si>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</si>
  <si>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</si>
  <si>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</si>
  <si>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</si>
  <si>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</si>
  <si>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</si>
  <si>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</si>
  <si>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</si>
  <si>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</si>
  <si>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</si>
  <si>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</si>
  <si>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</si>
  <si>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</si>
  <si>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</si>
  <si>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</si>
  <si>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</si>
  <si>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</si>
  <si>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</si>
  <si>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</si>
  <si>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商品ID</t>
  </si>
  <si>
    <t>商品名称</t>
  </si>
  <si>
    <t>P771683143371443691</t>
  </si>
  <si>
    <t>已完成</t>
  </si>
  <si>
    <t>无售后</t>
  </si>
  <si>
    <t>预售订单</t>
  </si>
  <si>
    <t/>
  </si>
  <si>
    <t>陆*</t>
  </si>
  <si>
    <t>199****2821</t>
  </si>
  <si>
    <t>上海 上海市 宝山区 ***</t>
  </si>
  <si>
    <t>上海</t>
  </si>
  <si>
    <t>上海市</t>
  </si>
  <si>
    <t>宝山区</t>
  </si>
  <si>
    <t>310113111000</t>
  </si>
  <si>
    <t>6894ac11aa1e7b001555658f</t>
  </si>
  <si>
    <t>XHS-3IRER6T45U68</t>
  </si>
  <si>
    <t>6894ac11aa1e7b001555658e</t>
  </si>
  <si>
    <t>【老板周】复古老钱 新品小众宽松时髦腰果花松紧腰休闲裤 花色 M（100-120斤）</t>
  </si>
  <si>
    <t>花色 M（100-120斤）</t>
  </si>
  <si>
    <t>微信</t>
  </si>
  <si>
    <t>4350802247202508259221136879</t>
  </si>
  <si>
    <t>2025-08-25 22:12:30</t>
  </si>
  <si>
    <t>0.000</t>
  </si>
  <si>
    <t>0.00</t>
  </si>
  <si>
    <t>中通速递</t>
  </si>
  <si>
    <t>73569586895536</t>
  </si>
  <si>
    <t>2025-08-25 22:12:23</t>
  </si>
  <si>
    <t>2025-09-09 22:12:30</t>
  </si>
  <si>
    <t>2025-08-25 22:56:08</t>
  </si>
  <si>
    <t>2025-08-27 16:51:27</t>
  </si>
  <si>
    <t>第三方平台卖家电子库存</t>
  </si>
  <si>
    <t>用户确认收货</t>
  </si>
  <si>
    <t>否</t>
  </si>
  <si>
    <t>LAO BAN ZHOU的店</t>
  </si>
  <si>
    <t>5661009c5e87e718219897ac</t>
  </si>
  <si>
    <t>公司店运费模版</t>
  </si>
  <si>
    <t xml:space="preserve"> 小红书公司</t>
  </si>
  <si>
    <t>Z2338-花色-M</t>
  </si>
  <si>
    <t>6894ac11aa1e7b001555658b</t>
  </si>
  <si>
    <t>【老板周】复古老钱 新品小众宽松时髦腰果花松紧腰休闲裤</t>
  </si>
  <si>
    <t>P771601056297099071</t>
  </si>
  <si>
    <t>已关闭</t>
  </si>
  <si>
    <t>售后完成</t>
  </si>
  <si>
    <t>史*</t>
  </si>
  <si>
    <t>135****5235</t>
  </si>
  <si>
    <t>广东省 江门市 江海区 ***</t>
  </si>
  <si>
    <t>广东省</t>
  </si>
  <si>
    <t>江门市</t>
  </si>
  <si>
    <t>江海区</t>
  </si>
  <si>
    <t>440704001</t>
  </si>
  <si>
    <t>6894b76bf735ce00153807e6</t>
  </si>
  <si>
    <t>XHS-3I9QHHLHJ400</t>
  </si>
  <si>
    <t>6894b76bf735ce00153807e5</t>
  </si>
  <si>
    <t>【老板周】慵懒慵 秋冬新款复古撞色条纹松弛感毛衣 条纹 S（80-100斤）</t>
  </si>
  <si>
    <t>条纹 S（80-100斤）</t>
  </si>
  <si>
    <t>4302302286202508243205233952</t>
  </si>
  <si>
    <t>2025-08-24 23:24:26</t>
  </si>
  <si>
    <t>73569436349866</t>
  </si>
  <si>
    <t>2025-08-24 23:24:16</t>
  </si>
  <si>
    <t>2025-09-08 23:24:26</t>
  </si>
  <si>
    <t>2025-08-24 23:44:31</t>
  </si>
  <si>
    <t>蓝旗</t>
  </si>
  <si>
    <t>;SF3230026344337(收） Z2271-条纹-S*1#</t>
  </si>
  <si>
    <t>67603dc70000000018015c4e</t>
  </si>
  <si>
    <t>Z2271-条纹-S</t>
  </si>
  <si>
    <t>6894b76bf735ce00153807e4</t>
  </si>
  <si>
    <t>【老板周】慵懒慵 秋冬新款复古撞色条纹松弛感毛衣</t>
  </si>
  <si>
    <t>P771077302074017641</t>
  </si>
  <si>
    <t>物流异常</t>
  </si>
  <si>
    <t>周*</t>
  </si>
  <si>
    <t>150****4975</t>
  </si>
  <si>
    <t>内蒙古自治区 鄂尔多斯市 康巴什区 ***</t>
  </si>
  <si>
    <t>内蒙古自治区</t>
  </si>
  <si>
    <t>鄂尔多斯市</t>
  </si>
  <si>
    <t>康巴什区</t>
  </si>
  <si>
    <t>150603</t>
  </si>
  <si>
    <t>6896fe0c6d08080015500893</t>
  </si>
  <si>
    <t>XHS-3EHYVMD8SZR4</t>
  </si>
  <si>
    <t>6896fe0c6d08080015500892</t>
  </si>
  <si>
    <t>650d6e9f000000001603a6ac</t>
  </si>
  <si>
    <t>老板周.</t>
  </si>
  <si>
    <t>【老板周】夏季轻盈 新品圆领气质轻薄不规则透气上衣 黑色 M（80-100斤）</t>
  </si>
  <si>
    <t>黑色 M（80-100斤）</t>
  </si>
  <si>
    <t>4337602246202508189619352845</t>
  </si>
  <si>
    <t>2025-08-18 21:55:09</t>
  </si>
  <si>
    <t>73568731918406</t>
  </si>
  <si>
    <t>2025-08-18 21:55:02</t>
  </si>
  <si>
    <t>2025-09-02 21:55:09</t>
  </si>
  <si>
    <t>2025-08-19 22:18:12</t>
  </si>
  <si>
    <t>2025-08-26 22:18:12</t>
  </si>
  <si>
    <t>系统自动收货</t>
  </si>
  <si>
    <t>拦截;73568592691278(收） Z2183-米白色-M*1#</t>
  </si>
  <si>
    <t>5f8e45b90000000001001f97</t>
  </si>
  <si>
    <t>Z2183-黑色-M</t>
  </si>
  <si>
    <t>6896fe0c6d08080015500891</t>
  </si>
  <si>
    <t>【老板周】夏季轻盈 新品圆领气质轻薄不规则透气上衣</t>
  </si>
  <si>
    <t>6896fe0c6d08080015500899</t>
  </si>
  <si>
    <t>XHS-3EHYVMDNSDTS</t>
  </si>
  <si>
    <t>6896fe0c6d08080015500898</t>
  </si>
  <si>
    <t>【老板周】夏季轻盈 新品圆领气质轻薄不规则透气上衣 米白色 M（80-100斤）</t>
  </si>
  <si>
    <t>米白色 M（80-100斤）</t>
  </si>
  <si>
    <t>73568592691278</t>
  </si>
  <si>
    <t>2025-08-18 22:55:40</t>
  </si>
  <si>
    <t>Z2183-米白色-M</t>
  </si>
  <si>
    <t>P770990197404134041</t>
  </si>
  <si>
    <t>陈**</t>
  </si>
  <si>
    <t>138****3883</t>
  </si>
  <si>
    <t>上海 上海市 长宁区 ***</t>
  </si>
  <si>
    <t>长宁区</t>
  </si>
  <si>
    <t>310105011000</t>
  </si>
  <si>
    <t>68949ffbc34eef001610ef47</t>
  </si>
  <si>
    <t>XHS-3HO32A90HCZK</t>
  </si>
  <si>
    <t>68949ffbc34eef001610ef46</t>
  </si>
  <si>
    <t>【老板周】夏季新款 小众轻盈空气感重工泡泡绉小飞袖上衣 黑色 M（100-120斤）</t>
  </si>
  <si>
    <t>黑色 M（100-120斤）</t>
  </si>
  <si>
    <t>4307502582202508176171663706</t>
  </si>
  <si>
    <t>2025-08-17 21:43:23</t>
  </si>
  <si>
    <t>73568587025232</t>
  </si>
  <si>
    <t>2025-08-17 21:43:17</t>
  </si>
  <si>
    <t>2025-09-01 21:43:23</t>
  </si>
  <si>
    <t>2025-08-18 21:23:31</t>
  </si>
  <si>
    <t>2025-08-25 21:23:33</t>
  </si>
  <si>
    <t>;SF3230107717291(收） Z2308-黑色-M*1#</t>
  </si>
  <si>
    <t>5ef987090000000001001e3d</t>
  </si>
  <si>
    <t>Z2308-黑色-M</t>
  </si>
  <si>
    <t>68949ffbc34eef001610ef43</t>
  </si>
  <si>
    <t>【老板周】夏季新款 小众轻盈空气感重工泡泡绉小飞袖上衣</t>
  </si>
  <si>
    <t>P770990615215304131</t>
  </si>
  <si>
    <t>何*</t>
  </si>
  <si>
    <t>189****1661</t>
  </si>
  <si>
    <t>湖南省 长沙市 雨花区 ***</t>
  </si>
  <si>
    <t>湖南省</t>
  </si>
  <si>
    <t>长沙市</t>
  </si>
  <si>
    <t>雨花区</t>
  </si>
  <si>
    <t>430111</t>
  </si>
  <si>
    <t>6896e3fdd48cf90015433efb</t>
  </si>
  <si>
    <t>XHS-3G6Z6JI0FO5C</t>
  </si>
  <si>
    <t>6896e3fdd48cf90015433efa</t>
  </si>
  <si>
    <t>【老板周】休闲腔调 夏季薄款圆领口袋设计百搭三角T恤 黄绿色 S（80-100斤）</t>
  </si>
  <si>
    <t>黄绿色 S（80-100斤）</t>
  </si>
  <si>
    <t>支付宝</t>
  </si>
  <si>
    <t>2025081722001438351419440818</t>
  </si>
  <si>
    <t>2025-08-17 21:50:20</t>
  </si>
  <si>
    <t>73568444482820</t>
  </si>
  <si>
    <t>2025-08-17 21:50:15</t>
  </si>
  <si>
    <t>2025-09-01 21:50:20</t>
  </si>
  <si>
    <t>2025-08-17 22:55:10</t>
  </si>
  <si>
    <t>2025-08-24 22:55:11</t>
  </si>
  <si>
    <t>肩膀勾线;SF3230325430957(收） Z2233-黄绿色-S*1#</t>
  </si>
  <si>
    <t>5bde6c50d9463d00012dd3b7</t>
  </si>
  <si>
    <t>Z2233-黄绿色-S</t>
  </si>
  <si>
    <t>6896e3fdd48cf90015433eed</t>
  </si>
  <si>
    <t>【老板周】休闲腔调 夏季薄款圆领口袋设计百搭三角T恤</t>
  </si>
  <si>
    <t>P770986869946371481</t>
  </si>
  <si>
    <t>刘**</t>
  </si>
  <si>
    <t>158****3237</t>
  </si>
  <si>
    <t>陕西省 西安市 新城区 ***</t>
  </si>
  <si>
    <t>陕西省</t>
  </si>
  <si>
    <t>西安市</t>
  </si>
  <si>
    <t>新城区</t>
  </si>
  <si>
    <t>610102007</t>
  </si>
  <si>
    <t>689704bae53c1000157cfa9f</t>
  </si>
  <si>
    <t>XHS-3FAGCOT1V85C</t>
  </si>
  <si>
    <t>689704bae53c1000157cfa9e</t>
  </si>
  <si>
    <t>【老板周】法式随性 夏季时髦叠门襟无袖设计感开叉马甲 黑色 M（100-120斤）</t>
  </si>
  <si>
    <t>4306702271202508170222076938</t>
  </si>
  <si>
    <t>2025-08-17 20:47:56</t>
  </si>
  <si>
    <t>73568441965438</t>
  </si>
  <si>
    <t>2025-08-17 20:47:50</t>
  </si>
  <si>
    <t>2025-09-01 20:47:56</t>
  </si>
  <si>
    <t>2025-08-17 21:32:26</t>
  </si>
  <si>
    <t>2025-08-24 21:32:26</t>
  </si>
  <si>
    <t>;SF3289318820600(收） Z2218-黑色-S*1
Z2218-黑色-M*1#</t>
  </si>
  <si>
    <t>5c793a590000000010012874</t>
  </si>
  <si>
    <t>Z2218-黑色-M</t>
  </si>
  <si>
    <t>689704bae53c1000157cfa9b</t>
  </si>
  <si>
    <t>【老板周】法式随性 夏季时髦叠门襟无袖设计感开叉马甲</t>
  </si>
  <si>
    <t>689704bae53c1000157cfa9d</t>
  </si>
  <si>
    <t>XHS-3FAGCOSWVFGG</t>
  </si>
  <si>
    <t>689704bae53c1000157cfa9c</t>
  </si>
  <si>
    <t>【老板周】法式随性 夏季时髦叠门襟无袖设计感开叉马甲 黑色 S（80-100斤）</t>
  </si>
  <si>
    <t>黑色 S（80-100斤）</t>
  </si>
  <si>
    <t>73568576683034</t>
  </si>
  <si>
    <t>2025-08-18 19:43:07</t>
  </si>
  <si>
    <t>2025-08-25 19:43:08</t>
  </si>
  <si>
    <t>Z2218-黑色-S</t>
  </si>
  <si>
    <t>P770986580251454261</t>
  </si>
  <si>
    <t>王**</t>
  </si>
  <si>
    <t>157****7660</t>
  </si>
  <si>
    <t>甘肃省 兰州市 安宁区 ***</t>
  </si>
  <si>
    <t>甘肃省</t>
  </si>
  <si>
    <t>兰州市</t>
  </si>
  <si>
    <t>安宁区</t>
  </si>
  <si>
    <t>620105</t>
  </si>
  <si>
    <t>4336802247202508170250305747</t>
  </si>
  <si>
    <t>2025-08-17 20:43:06</t>
  </si>
  <si>
    <t>73568556568537</t>
  </si>
  <si>
    <t>2025-08-17 20:43:00</t>
  </si>
  <si>
    <t>2025-09-01 20:43:06</t>
  </si>
  <si>
    <t>2025-08-18 17:29:30</t>
  </si>
  <si>
    <t>2025-08-25 17:29:30</t>
  </si>
  <si>
    <t>;JDX042496871681(收） Z2218-黑色-S*1#</t>
  </si>
  <si>
    <t>5a966dd7e8ac2b762a5a6e20</t>
  </si>
  <si>
    <t>P770984511919250241</t>
  </si>
  <si>
    <t>玉**</t>
  </si>
  <si>
    <t>139****3111</t>
  </si>
  <si>
    <t>辽宁省 沈阳市 浑南区 ***</t>
  </si>
  <si>
    <t>辽宁省</t>
  </si>
  <si>
    <t>沈阳市</t>
  </si>
  <si>
    <t>浑南区</t>
  </si>
  <si>
    <t>210112</t>
  </si>
  <si>
    <t>689704bae53c1000157cfaa1</t>
  </si>
  <si>
    <t>XHS-3FAGCOT6V0U8</t>
  </si>
  <si>
    <t>689704bae53c1000157cfaa0</t>
  </si>
  <si>
    <t>【老板周】法式随性 夏季时髦叠门襟无袖设计感开叉马甲 黑色 L（120-135斤）</t>
  </si>
  <si>
    <t>黑色 L（120-135斤）</t>
  </si>
  <si>
    <t>银联</t>
  </si>
  <si>
    <t>432508172008322427418</t>
  </si>
  <si>
    <t>2025-08-17 20:08:37</t>
  </si>
  <si>
    <t>73568436568058</t>
  </si>
  <si>
    <t>2025-08-17 20:08:32</t>
  </si>
  <si>
    <t>2025-09-01 20:08:37</t>
  </si>
  <si>
    <t>2025-08-17 20:35:14</t>
  </si>
  <si>
    <t>2025-08-24 20:35:14</t>
  </si>
  <si>
    <t>;73569281821300(收） Z2218-黑色-L*1#</t>
  </si>
  <si>
    <t>5abc9bade8ac2b23030f3e59</t>
  </si>
  <si>
    <t>Z2218-黑色-L</t>
  </si>
  <si>
    <t>P770983921263440451</t>
  </si>
  <si>
    <t>186****8688</t>
  </si>
  <si>
    <t>内蒙古自治区 呼伦贝尔市 海拉尔区 ***</t>
  </si>
  <si>
    <t>呼伦贝尔市</t>
  </si>
  <si>
    <t>海拉尔区</t>
  </si>
  <si>
    <t>150702101000</t>
  </si>
  <si>
    <t>2025081722001445001452299017</t>
  </si>
  <si>
    <t>2025-08-17 19:58:48</t>
  </si>
  <si>
    <t>73568436950563</t>
  </si>
  <si>
    <t>2025-08-17 19:58:41</t>
  </si>
  <si>
    <t>2025-09-01 19:58:48</t>
  </si>
  <si>
    <t>;SF3280467567718(收） Z2218-黑色-L*1#</t>
  </si>
  <si>
    <t>5a2552fd4eacab6a98c94bb1</t>
  </si>
  <si>
    <t>P770822898182284051</t>
  </si>
  <si>
    <t>何</t>
  </si>
  <si>
    <t>135****0291</t>
  </si>
  <si>
    <t>湖南省 长沙市 岳麓区 ***</t>
  </si>
  <si>
    <t>岳麓区</t>
  </si>
  <si>
    <t>430104005</t>
  </si>
  <si>
    <t>689dee3bbc668f00150ae4a2</t>
  </si>
  <si>
    <t>XHS-3JY88WA16VWG</t>
  </si>
  <si>
    <t>689dee3bbc668f00150ae4a1</t>
  </si>
  <si>
    <t>【老板周】经典慵懒 秋季经典撞色条纹镂空针织上衣 黑白条纹 M（100-135斤）</t>
  </si>
  <si>
    <t>黑白条纹 M（100-135斤）</t>
  </si>
  <si>
    <t>2025081522001457781456456422</t>
  </si>
  <si>
    <t>2025-08-15 23:15:05</t>
  </si>
  <si>
    <t>73568875427704</t>
  </si>
  <si>
    <t>2025-08-15 23:14:58</t>
  </si>
  <si>
    <t>2025-08-30 23:15:05</t>
  </si>
  <si>
    <t>2025-08-21 00:20:35</t>
  </si>
  <si>
    <t>;SF3289575962710(收） Z2376-黑白条纹-M*1#</t>
  </si>
  <si>
    <t>5c1a271e000000000703e641</t>
  </si>
  <si>
    <t>Z2376-黑白条纹-M</t>
  </si>
  <si>
    <t>689dee3bbc668f00150ae49e</t>
  </si>
  <si>
    <t>【老板周】经典慵懒 秋季经典撞色条纹镂空针织上衣</t>
  </si>
  <si>
    <t>P770821520016218311</t>
  </si>
  <si>
    <t>王*</t>
  </si>
  <si>
    <t>138****7966</t>
  </si>
  <si>
    <t>福建省 三明市 沙县区 ***</t>
  </si>
  <si>
    <t>福建省</t>
  </si>
  <si>
    <t>三明市</t>
  </si>
  <si>
    <t>沙县区</t>
  </si>
  <si>
    <t>350405</t>
  </si>
  <si>
    <t>689dee5baa1e7b00156ae7c1</t>
  </si>
  <si>
    <t>XHS-3JY9LAG89YPS</t>
  </si>
  <si>
    <t>689dee5baa1e7b00156ae7c0</t>
  </si>
  <si>
    <t>LAO BAN ZHOU 【老板周】极简主义 秋冬新款复古卷边前短后长针织上衣 灰色 S（80-100斤）</t>
  </si>
  <si>
    <t>灰色 S（80-100斤）</t>
  </si>
  <si>
    <t>微信先用后付</t>
  </si>
  <si>
    <t>2025-08-15 22:52:00</t>
  </si>
  <si>
    <t>73569287102336</t>
  </si>
  <si>
    <t>2025-08-30 22:52:00</t>
  </si>
  <si>
    <t>2025-08-25 19:55:00</t>
  </si>
  <si>
    <t>2025-08-27 17:10:53</t>
  </si>
  <si>
    <t>573725d782ec392b7aac36a5</t>
  </si>
  <si>
    <t>Z2365-灰色-S</t>
  </si>
  <si>
    <t>689dee5baa1e7b00156ae7bb</t>
  </si>
  <si>
    <t>【老板周】极简主义 秋冬新款复古卷边前短后长针织上衣</t>
  </si>
  <si>
    <t>P770818894631507761</t>
  </si>
  <si>
    <t>毛</t>
  </si>
  <si>
    <t>188****0712</t>
  </si>
  <si>
    <t>上海 上海市 杨浦区 ***</t>
  </si>
  <si>
    <t>杨浦区</t>
  </si>
  <si>
    <t>310110006</t>
  </si>
  <si>
    <t>689dee541ea4cb00155e6f97</t>
  </si>
  <si>
    <t>XHS-3JY9BQCVPTDS</t>
  </si>
  <si>
    <t>689dee541ea4cb00155e6f96</t>
  </si>
  <si>
    <t>LAO BAN ZHOU 【老板周】百搭气质 秋冬新款百搭造型感气质三角巾 藏青色</t>
  </si>
  <si>
    <t>藏青色</t>
  </si>
  <si>
    <t>支付宝免密</t>
  </si>
  <si>
    <t>2025081522001459511443799810</t>
  </si>
  <si>
    <t>2025-08-15 22:08:16</t>
  </si>
  <si>
    <t>73569428130248</t>
  </si>
  <si>
    <t>2025-08-15 22:08:14</t>
  </si>
  <si>
    <t>2025-08-30 22:08:16</t>
  </si>
  <si>
    <t>2025-08-24 21:27:21</t>
  </si>
  <si>
    <t>2025-08-27 08:52:15</t>
  </si>
  <si>
    <t>5aaaf92e4eacab0922af9f62</t>
  </si>
  <si>
    <t>Z2380-藏青色</t>
  </si>
  <si>
    <t>689dee541ea4cb00155e6f93</t>
  </si>
  <si>
    <t>【老板周】百搭气质 秋冬新款百搭造型感气质三角巾</t>
  </si>
  <si>
    <t>P770818846205191671</t>
  </si>
  <si>
    <t>方*</t>
  </si>
  <si>
    <t>199****7277</t>
  </si>
  <si>
    <t>山东省 日照市 东港区 ***</t>
  </si>
  <si>
    <t>山东省</t>
  </si>
  <si>
    <t>日照市</t>
  </si>
  <si>
    <t>东港区</t>
  </si>
  <si>
    <t>371102008000</t>
  </si>
  <si>
    <t>6896fe48057f570015d29245</t>
  </si>
  <si>
    <t>XHS-2Z0D3J1YAL8G</t>
  </si>
  <si>
    <t>6896fe48057f570015d29244</t>
  </si>
  <si>
    <t>【老板周】时髦撞色 春季新款假两件显瘦长袖打底T恤上衣 黑色 M（100-120斤）</t>
  </si>
  <si>
    <t>2025081522001446921455566706</t>
  </si>
  <si>
    <t>2025-08-15 22:07:36</t>
  </si>
  <si>
    <t>73569429601749</t>
  </si>
  <si>
    <t>2025-08-15 22:07:26</t>
  </si>
  <si>
    <t>2025-08-30 22:07:36</t>
  </si>
  <si>
    <t>2025-08-24 21:24:18</t>
  </si>
  <si>
    <t>2025-08-27 16:15:17</t>
  </si>
  <si>
    <t>5b219a89e8ac2b2d65a2a890</t>
  </si>
  <si>
    <t>Z1576-黑色-M</t>
  </si>
  <si>
    <t>6896fe48057f570015d29241</t>
  </si>
  <si>
    <t>【老板周】时髦撞色 春季新款假两件显瘦长袖打底T恤上衣</t>
  </si>
  <si>
    <t>P770817653033321541</t>
  </si>
  <si>
    <t>铁</t>
  </si>
  <si>
    <t>188****9286</t>
  </si>
  <si>
    <t>浙江省 绍兴市 诸暨市 ***</t>
  </si>
  <si>
    <t>浙江省</t>
  </si>
  <si>
    <t>绍兴市</t>
  </si>
  <si>
    <t>诸暨市</t>
  </si>
  <si>
    <t>330681005000</t>
  </si>
  <si>
    <t>6896fe67c165480015b3eb01</t>
  </si>
  <si>
    <t>XHS-2Z4TJTXW55OG</t>
  </si>
  <si>
    <t>6896fe67c165480015b3eb00</t>
  </si>
  <si>
    <t>【老板周】舒适休闲 极简短版腰头抽绳设计宽松半身裙 黑色 S（80-100斤）</t>
  </si>
  <si>
    <t>2025081522001420121433136963</t>
  </si>
  <si>
    <t>2025-08-15 21:48:31</t>
  </si>
  <si>
    <t>73569255709053</t>
  </si>
  <si>
    <t>2025-08-15 21:47:33</t>
  </si>
  <si>
    <t>2025-08-30 21:48:31</t>
  </si>
  <si>
    <t>2025-08-23 17:27:48</t>
  </si>
  <si>
    <t>;78934215260877(收） Z1645-黑色-S*1#</t>
  </si>
  <si>
    <t>5b5c85dbe8ac2b5d1dc7f406</t>
  </si>
  <si>
    <t>Z1645-黑色-S</t>
  </si>
  <si>
    <t>6896fe67c165480015b3eaff</t>
  </si>
  <si>
    <t>【老板周】舒适休闲 极简短版腰头抽绳设计宽松半身裙</t>
  </si>
  <si>
    <t>P770815073365177321</t>
  </si>
  <si>
    <t>朱**</t>
  </si>
  <si>
    <t>133****6756</t>
  </si>
  <si>
    <t>江苏省 常州市 钟楼区 ***</t>
  </si>
  <si>
    <t>江苏省</t>
  </si>
  <si>
    <t>常州市</t>
  </si>
  <si>
    <t>钟楼区</t>
  </si>
  <si>
    <t>320404002</t>
  </si>
  <si>
    <t>689dee45c34eef00157e1208</t>
  </si>
  <si>
    <t>XHS-3JY8RM3UZL6O</t>
  </si>
  <si>
    <t>689dee45c34eef00157e1207</t>
  </si>
  <si>
    <t>【老板周】小众日系 秋冬叠穿时髦下摆不规则宽松马甲 灰色 S（80-100斤）</t>
  </si>
  <si>
    <t>4347802469202508151936939245</t>
  </si>
  <si>
    <t>2025-08-15 21:04:40</t>
  </si>
  <si>
    <t>73569144709848</t>
  </si>
  <si>
    <t>2025-08-15 21:04:33</t>
  </si>
  <si>
    <t>2025-08-30 21:04:40</t>
  </si>
  <si>
    <t>2025-08-22 21:16:10</t>
  </si>
  <si>
    <t>;JDX042510841197(收） Z2378-灰色-S*1#</t>
  </si>
  <si>
    <t>5ae3fc4211be1062fa142bc7</t>
  </si>
  <si>
    <t>Z2378-灰色-S</t>
  </si>
  <si>
    <t>689dee45c34eef00157e11fa</t>
  </si>
  <si>
    <t>【老板周】小众日系 秋冬叠穿时髦下摆不规则宽松马甲</t>
  </si>
  <si>
    <t>P770813889954234671</t>
  </si>
  <si>
    <t>仇**</t>
  </si>
  <si>
    <t>139****2227</t>
  </si>
  <si>
    <t>天津 天津市 滨海新区 ***</t>
  </si>
  <si>
    <t>天津</t>
  </si>
  <si>
    <t>天津市</t>
  </si>
  <si>
    <t>滨海新区</t>
  </si>
  <si>
    <t>120116</t>
  </si>
  <si>
    <t>689dee5baa1e7b00156ae7bd</t>
  </si>
  <si>
    <t>XHS-3JY9LAG0S9OG</t>
  </si>
  <si>
    <t>689dee5baa1e7b00156ae7bc</t>
  </si>
  <si>
    <t>LAO BAN ZHOU 【老板周】极简主义 秋冬新款复古卷边前短后长针织上衣 黑色 S（80-100斤）</t>
  </si>
  <si>
    <t>2025081522001400711430980476</t>
  </si>
  <si>
    <t>2025-08-15 20:44:57</t>
  </si>
  <si>
    <t>73569144710903</t>
  </si>
  <si>
    <t>2025-08-15 20:44:50</t>
  </si>
  <si>
    <t>2025-08-30 20:44:57</t>
  </si>
  <si>
    <t>2025-08-22 21:11:54</t>
  </si>
  <si>
    <t>;JDX042517220056(收） Z2365-黑色-S*1#</t>
  </si>
  <si>
    <t>5dac2bc6000000000100347a</t>
  </si>
  <si>
    <t>Z2365-黑色-S</t>
  </si>
  <si>
    <t>P770811839659457301</t>
  </si>
  <si>
    <t>赵**</t>
  </si>
  <si>
    <t>138****7478</t>
  </si>
  <si>
    <t>广东省 佛山市 顺德区 ***</t>
  </si>
  <si>
    <t>佛山市</t>
  </si>
  <si>
    <t>顺德区</t>
  </si>
  <si>
    <t>440606006000</t>
  </si>
  <si>
    <t>4350102250202508157176301480</t>
  </si>
  <si>
    <t>2025-08-15 20:10:46</t>
  </si>
  <si>
    <t>73569424315508</t>
  </si>
  <si>
    <t>2025-08-15 20:10:39</t>
  </si>
  <si>
    <t>2025-08-30 20:10:46</t>
  </si>
  <si>
    <t>2025-08-24 20:19:50</t>
  </si>
  <si>
    <t>2025-08-26 22:28:56</t>
  </si>
  <si>
    <t>6290506300000000210294b2</t>
  </si>
  <si>
    <t>P770809432946213601</t>
  </si>
  <si>
    <t>180****1869</t>
  </si>
  <si>
    <t>安徽省 合肥市 蜀山区 ***</t>
  </si>
  <si>
    <t>安徽省</t>
  </si>
  <si>
    <t>合肥市</t>
  </si>
  <si>
    <t>蜀山区</t>
  </si>
  <si>
    <t>340104</t>
  </si>
  <si>
    <t>689dee5baa1e7b00156ae7c3</t>
  </si>
  <si>
    <t>XHS-3JY9LAGFRNR4</t>
  </si>
  <si>
    <t>689dee5baa1e7b00156ae7c2</t>
  </si>
  <si>
    <t>LAO BAN ZHOU 【老板周】极简主义 秋冬新款复古卷边前短后长针织上衣 灰色 M（100-135斤）</t>
  </si>
  <si>
    <t>灰色 M（100-135斤）</t>
  </si>
  <si>
    <t>4326602241202508159115746828</t>
  </si>
  <si>
    <t>2025-08-15 19:30:40</t>
  </si>
  <si>
    <t>73568592670460</t>
  </si>
  <si>
    <t>2025-08-15 19:30:33</t>
  </si>
  <si>
    <t>2025-08-30 19:30:40</t>
  </si>
  <si>
    <t>2025-08-18 22:35:44</t>
  </si>
  <si>
    <t>2025-08-25 22:35:44</t>
  </si>
  <si>
    <t>;JDX042534359284(收） Z2365-灰色-M*1#</t>
  </si>
  <si>
    <t>5b15fe3ff7e8b96ea4ab300b</t>
  </si>
  <si>
    <t>Z2365-灰色-M</t>
  </si>
  <si>
    <t>P770807071130358401</t>
  </si>
  <si>
    <t>邹*</t>
  </si>
  <si>
    <t>182****1061</t>
  </si>
  <si>
    <t>江苏省 南京市 建邺区 ***</t>
  </si>
  <si>
    <t>南京市</t>
  </si>
  <si>
    <t>建邺区</t>
  </si>
  <si>
    <t>320105001000</t>
  </si>
  <si>
    <t>689dee541ea4cb00155e6f95</t>
  </si>
  <si>
    <t>XHS-3JY9BQCQQ0OW</t>
  </si>
  <si>
    <t>689dee541ea4cb00155e6f94</t>
  </si>
  <si>
    <t>【老板周】百搭气质 秋冬新款百搭造型感气质三角巾 黑色</t>
  </si>
  <si>
    <t>黑色</t>
  </si>
  <si>
    <t>4327402459202508152067557130</t>
  </si>
  <si>
    <t>2025-08-15 18:51:19</t>
  </si>
  <si>
    <t>73568735152201</t>
  </si>
  <si>
    <t>2025-08-15 18:51:11</t>
  </si>
  <si>
    <t>2025-08-30 18:51:19</t>
  </si>
  <si>
    <t>2025-08-19 23:52:01</t>
  </si>
  <si>
    <t>2025-08-26 23:52:01</t>
  </si>
  <si>
    <t>64a58eea000000001003691c</t>
  </si>
  <si>
    <t>Z2380-黑色</t>
  </si>
  <si>
    <t>P770802455479324851</t>
  </si>
  <si>
    <t>童</t>
  </si>
  <si>
    <t>186****5600</t>
  </si>
  <si>
    <t>浙江省 杭州市 萧山区 ***</t>
  </si>
  <si>
    <t>杭州市</t>
  </si>
  <si>
    <t>萧山区</t>
  </si>
  <si>
    <t>330109110</t>
  </si>
  <si>
    <t>XHS-3JFVUELM3W8W</t>
  </si>
  <si>
    <t>689720eeb6005400015a679b</t>
  </si>
  <si>
    <t>【老板周】气质经典 秋冬无缝一体半高领显瘦打底针织 黑色 L（100-120斤）</t>
  </si>
  <si>
    <t>黑色 L（100-120斤）</t>
  </si>
  <si>
    <t>4329902477202508151518076766</t>
  </si>
  <si>
    <t>2025-08-15 17:34:25</t>
  </si>
  <si>
    <t>73569144711713</t>
  </si>
  <si>
    <t>2025-08-15 17:34:15</t>
  </si>
  <si>
    <t>2025-08-30 17:34:25</t>
  </si>
  <si>
    <t>2025-08-22 20:56:19</t>
  </si>
  <si>
    <t>2025-08-27 08:17:40</t>
  </si>
  <si>
    <t>5d6148d8000000000100aeb9</t>
  </si>
  <si>
    <t>Z2351-黑色-L</t>
  </si>
  <si>
    <t>689720eeb6005400015a6797</t>
  </si>
  <si>
    <t>【老板周】气质经典 秋冬无缝一体半高领显瘦打底针织</t>
  </si>
  <si>
    <t>P770802417453059131</t>
  </si>
  <si>
    <t>党*</t>
  </si>
  <si>
    <t>139****6606</t>
  </si>
  <si>
    <t>新疆维吾尔自治区 乌鲁木齐市 天山区 ***</t>
  </si>
  <si>
    <t>新疆维吾尔自治区</t>
  </si>
  <si>
    <t>乌鲁木齐市</t>
  </si>
  <si>
    <t>天山区</t>
  </si>
  <si>
    <t>650102012</t>
  </si>
  <si>
    <t>2025081522001452271435125494</t>
  </si>
  <si>
    <t>2025-08-15 17:35:16</t>
  </si>
  <si>
    <t>10.00</t>
  </si>
  <si>
    <t>73569144711826</t>
  </si>
  <si>
    <t>2025-08-15 17:33:37</t>
  </si>
  <si>
    <t>2025-08-30 17:35:16</t>
  </si>
  <si>
    <t>2025-08-26 22:26:55</t>
  </si>
  <si>
    <t>5a221f7fdb2e6047a150b1e7</t>
  </si>
  <si>
    <t>P770801203180185471</t>
  </si>
  <si>
    <t>四***</t>
  </si>
  <si>
    <t>181****6065</t>
  </si>
  <si>
    <t>广东省 深圳市 宝安区 ***</t>
  </si>
  <si>
    <t>深圳市</t>
  </si>
  <si>
    <t>宝安区</t>
  </si>
  <si>
    <t>440306021000</t>
  </si>
  <si>
    <t>689dee65ae962f0015895c5e</t>
  </si>
  <si>
    <t>XHS-3JY9YVCTEBR4</t>
  </si>
  <si>
    <t>689dee65ae962f0015895c5d</t>
  </si>
  <si>
    <t>LAO BAN ZHOU 【老板周】复古休闲 秋冬细腻柔软连帽单排扣针织上衣 灰色 S（80-100斤）</t>
  </si>
  <si>
    <t>2025081523001435931400346554</t>
  </si>
  <si>
    <t>2025-08-15 17:13:32</t>
  </si>
  <si>
    <t>73568731901762</t>
  </si>
  <si>
    <t>2025-08-15 17:13:23</t>
  </si>
  <si>
    <t>2025-08-30 17:13:32</t>
  </si>
  <si>
    <t>2025-08-19 22:39:49</t>
  </si>
  <si>
    <t>2025-08-26 22:39:49</t>
  </si>
  <si>
    <t>5c37daa6000000000502f411</t>
  </si>
  <si>
    <t>Z2366-灰色-S</t>
  </si>
  <si>
    <t>689dee65ae962f0015895c58</t>
  </si>
  <si>
    <t>【老板周】复古休闲 秋冬细腻柔软连帽单排扣针织上衣</t>
  </si>
  <si>
    <t>P770800342402378981</t>
  </si>
  <si>
    <t>法********</t>
  </si>
  <si>
    <t>183****4792</t>
  </si>
  <si>
    <t>广东省 惠州市 惠阳区 ***</t>
  </si>
  <si>
    <t>惠州市</t>
  </si>
  <si>
    <t>惠阳区</t>
  </si>
  <si>
    <t>441303008000</t>
  </si>
  <si>
    <t>689dee335cb635001516ec70</t>
  </si>
  <si>
    <t>XHS-3JY7U8WB1P1C</t>
  </si>
  <si>
    <t>689dee335cb635001516ec6f</t>
  </si>
  <si>
    <t>LAO BAN ZHOU 【老板周】复古调性 秋冬新款百搭松紧腰分割线廓形九分裤 深藏青色 L（110-125斤）</t>
  </si>
  <si>
    <t>深藏青色 L（110-125斤）</t>
  </si>
  <si>
    <t>2025081522001412281457345278</t>
  </si>
  <si>
    <t>2025-08-15 16:59:08</t>
  </si>
  <si>
    <t>73568735152148</t>
  </si>
  <si>
    <t>2025-08-15 16:59:02</t>
  </si>
  <si>
    <t>2025-08-30 16:59:08</t>
  </si>
  <si>
    <t>2025-08-19 23:53:31</t>
  </si>
  <si>
    <t>2025-08-26 23:53:32</t>
  </si>
  <si>
    <t>5d0a54ca0000000011027781</t>
  </si>
  <si>
    <t>Z2375-深藏青色-L</t>
  </si>
  <si>
    <t>689dee335cb635001516ec6a</t>
  </si>
  <si>
    <t>【老板周】复古调性 秋冬新款百搭松紧腰分割线廓形九分裤</t>
  </si>
  <si>
    <t>P770800341884471531</t>
  </si>
  <si>
    <t>飛*</t>
  </si>
  <si>
    <t>189****4299</t>
  </si>
  <si>
    <t>福建省 厦门市 思明区 ***</t>
  </si>
  <si>
    <t>厦门市</t>
  </si>
  <si>
    <t>思明区</t>
  </si>
  <si>
    <t>350203008</t>
  </si>
  <si>
    <t>689dee335cb635001516ec72</t>
  </si>
  <si>
    <t>XHS-3JY7U8WG1HQ8</t>
  </si>
  <si>
    <t>689dee335cb635001516ec71</t>
  </si>
  <si>
    <t>LAO BAN ZHOU 【老板周】复古调性 秋冬新款百搭松紧腰分割线廓形九分裤 深藏青色 XL（125-140斤）</t>
  </si>
  <si>
    <t>深藏青色 XL（125-140斤）</t>
  </si>
  <si>
    <t>2025081522001420281447898668</t>
  </si>
  <si>
    <t>2025-08-15 16:59:17</t>
  </si>
  <si>
    <t>73568735151749</t>
  </si>
  <si>
    <t>2025-08-30 16:59:17</t>
  </si>
  <si>
    <t>2025-08-19 23:50:59</t>
  </si>
  <si>
    <t>2025-08-26 23:51:00</t>
  </si>
  <si>
    <t>5b56f65411be1079cb320859</t>
  </si>
  <si>
    <t>Z2375-黑色-XL</t>
  </si>
  <si>
    <t>P770800349964423951</t>
  </si>
  <si>
    <t>洛**********</t>
  </si>
  <si>
    <t>138****7815</t>
  </si>
  <si>
    <t>上海 上海市 松江区 ***</t>
  </si>
  <si>
    <t>松江区</t>
  </si>
  <si>
    <t>310117102</t>
  </si>
  <si>
    <t>4331702257202508151255946117</t>
  </si>
  <si>
    <t>73568735152467</t>
  </si>
  <si>
    <t>2025-08-15 16:59:10</t>
  </si>
  <si>
    <t>59c7427f51783a624bf0c129</t>
  </si>
  <si>
    <t>P770800340656114071</t>
  </si>
  <si>
    <t>天********</t>
  </si>
  <si>
    <t>151****5145</t>
  </si>
  <si>
    <t>上海 上海市 青浦区 ***</t>
  </si>
  <si>
    <t>青浦区</t>
  </si>
  <si>
    <t>310118110</t>
  </si>
  <si>
    <t>689dee335cb635001516ec76</t>
  </si>
  <si>
    <t>XHS-3JY7U8WQ1340</t>
  </si>
  <si>
    <t>689dee335cb635001516ec75</t>
  </si>
  <si>
    <t>LAO BAN ZHOU 【老板周】复古调性 秋冬新款百搭松紧腰分割线廓形九分裤 杏色 M（95-110斤）</t>
  </si>
  <si>
    <t>杏色 M（95-110斤）</t>
  </si>
  <si>
    <t>2025081522001407191429949693</t>
  </si>
  <si>
    <t>2025-08-15 16:59:07</t>
  </si>
  <si>
    <t>73568735151897</t>
  </si>
  <si>
    <t>2025-08-15 16:59:00</t>
  </si>
  <si>
    <t>2025-08-30 16:59:07</t>
  </si>
  <si>
    <t>2025-08-19 23:51:25</t>
  </si>
  <si>
    <t>2025-08-26 23:51:25</t>
  </si>
  <si>
    <t>5cf2ea8a0000000012014485</t>
  </si>
  <si>
    <t>Z2375-杏色-M</t>
  </si>
  <si>
    <t>P770800341731245681</t>
  </si>
  <si>
    <t>娜*</t>
  </si>
  <si>
    <t>186****6007</t>
  </si>
  <si>
    <t>浙江省 宁波市 海曙区 ***</t>
  </si>
  <si>
    <t>宁波市</t>
  </si>
  <si>
    <t>海曙区</t>
  </si>
  <si>
    <t>330203008</t>
  </si>
  <si>
    <t>689dee335cb635001516ec6e</t>
  </si>
  <si>
    <t>XHS-3JY7U8W8JSOW</t>
  </si>
  <si>
    <t>689dee335cb635001516ec6d</t>
  </si>
  <si>
    <t>LAO BAN ZHOU 【老板周】复古调性 秋冬新款百搭松紧腰分割线廓形九分裤 深藏青色 M（95-110斤）</t>
  </si>
  <si>
    <t>深藏青色 M（95-110斤）</t>
  </si>
  <si>
    <t>2025081522001404551429034447</t>
  </si>
  <si>
    <t>73568735152189</t>
  </si>
  <si>
    <t>2025-08-15 16:59:01</t>
  </si>
  <si>
    <t>2025-08-30 16:59:10</t>
  </si>
  <si>
    <t>2025-08-19 23:54:36</t>
  </si>
  <si>
    <t>2025-08-26 23:54:36</t>
  </si>
  <si>
    <t>575f9c7982ec395b0b158782</t>
  </si>
  <si>
    <t>Z2375-深藏青色-M</t>
  </si>
  <si>
    <t>P770800350927090411</t>
  </si>
  <si>
    <t>138****2102</t>
  </si>
  <si>
    <t>安徽省 宣城市 宣州区 ***</t>
  </si>
  <si>
    <t>宣城市</t>
  </si>
  <si>
    <t>宣州区</t>
  </si>
  <si>
    <t>341802002</t>
  </si>
  <si>
    <t>4334302258202508158131147276</t>
  </si>
  <si>
    <t>2025-08-15 16:59:15</t>
  </si>
  <si>
    <t>73568735152388</t>
  </si>
  <si>
    <t>2025-08-15 16:59:11</t>
  </si>
  <si>
    <t>2025-08-30 16:59:15</t>
  </si>
  <si>
    <t>57f103df50c4b44080876d63</t>
  </si>
  <si>
    <t>P770800347247449271</t>
  </si>
  <si>
    <t>1****</t>
  </si>
  <si>
    <t>186****0711</t>
  </si>
  <si>
    <t>440306003</t>
  </si>
  <si>
    <t>73568735152069</t>
  </si>
  <si>
    <t>5bd8468373bdbf0001982456</t>
  </si>
  <si>
    <t>P770800356297378821</t>
  </si>
  <si>
    <t>689dee335cb635001516ec78</t>
  </si>
  <si>
    <t>XHS-3JY7U8WV0VSW</t>
  </si>
  <si>
    <t>689dee335cb635001516ec77</t>
  </si>
  <si>
    <t>LAO BAN ZHOU 【老板周】复古调性 秋冬新款百搭松紧腰分割线廓形九分裤 杏色 L（110-125斤）</t>
  </si>
  <si>
    <t>杏色 L（110-125斤）</t>
  </si>
  <si>
    <t>2025081523001412281458634745</t>
  </si>
  <si>
    <t>2025-08-15 16:59:22</t>
  </si>
  <si>
    <t>73568735151922</t>
  </si>
  <si>
    <t>2025-08-15 16:59:16</t>
  </si>
  <si>
    <t>2025-08-30 16:59:22</t>
  </si>
  <si>
    <t>2025-08-19 23:55:20</t>
  </si>
  <si>
    <t>2025-08-26 23:55:20</t>
  </si>
  <si>
    <t>Z2375-杏色-L</t>
  </si>
  <si>
    <t>P770799979667284611</t>
  </si>
  <si>
    <t>2025081522001457781456515826</t>
  </si>
  <si>
    <t>2025-08-15 16:53:07</t>
  </si>
  <si>
    <t>73568592670776</t>
  </si>
  <si>
    <t>2025-08-15 16:52:59</t>
  </si>
  <si>
    <t>2025-08-30 16:53:07</t>
  </si>
  <si>
    <t>2025-08-18 22:30:28</t>
  </si>
  <si>
    <t>2025-08-25 22:30:29</t>
  </si>
  <si>
    <t>;SF3289575962710(收） Z2380-藏青色*1#</t>
  </si>
  <si>
    <t>P770800038248138451</t>
  </si>
  <si>
    <t>l**</t>
  </si>
  <si>
    <t>183****6177</t>
  </si>
  <si>
    <t>四川省 绵阳市 涪城区 ***</t>
  </si>
  <si>
    <t>四川省</t>
  </si>
  <si>
    <t>绵阳市</t>
  </si>
  <si>
    <t>涪城区</t>
  </si>
  <si>
    <t>510703</t>
  </si>
  <si>
    <t>4309702285202508159958080728</t>
  </si>
  <si>
    <t>2025-08-15 16:54:04</t>
  </si>
  <si>
    <t>73568592688365</t>
  </si>
  <si>
    <t>2025-08-15 16:53:58</t>
  </si>
  <si>
    <t>2025-08-30 16:54:04</t>
  </si>
  <si>
    <t>2025-08-18 22:31:19</t>
  </si>
  <si>
    <t>2025-08-25 22:31:19</t>
  </si>
  <si>
    <t>;SF3289877149275(收） Z2380-藏青色*1
Z2380-黑色*1#</t>
  </si>
  <si>
    <t>6067c578000000000100a225</t>
  </si>
  <si>
    <t>73568864925966</t>
  </si>
  <si>
    <t>2025-08-20 20:48:44</t>
  </si>
  <si>
    <t>P770799964547510201</t>
  </si>
  <si>
    <t>段**</t>
  </si>
  <si>
    <t>136****6258</t>
  </si>
  <si>
    <t>福建省 三明市 三元区 ***</t>
  </si>
  <si>
    <t>三元区</t>
  </si>
  <si>
    <t>350403001</t>
  </si>
  <si>
    <t>2025081522001439961455318841</t>
  </si>
  <si>
    <t>2025-08-15 16:52:50</t>
  </si>
  <si>
    <t>73568592670842</t>
  </si>
  <si>
    <t>2025-08-15 16:52:44</t>
  </si>
  <si>
    <t>2025-08-30 16:52:50</t>
  </si>
  <si>
    <t>;SF3230365475335(收） Z2380-黑色*1#</t>
  </si>
  <si>
    <t>5bed014017885e0001f01556</t>
  </si>
  <si>
    <t>P770798353781374661</t>
  </si>
  <si>
    <t>曹**</t>
  </si>
  <si>
    <t>187****3097</t>
  </si>
  <si>
    <t>4316902246202508157348165609</t>
  </si>
  <si>
    <t>2025-08-15 16:26:01</t>
  </si>
  <si>
    <t>73568735151828</t>
  </si>
  <si>
    <t>2025-08-15 16:25:54</t>
  </si>
  <si>
    <t>2025-08-30 16:26:01</t>
  </si>
  <si>
    <t>2025-08-19 23:36:17</t>
  </si>
  <si>
    <t>2025-08-26 23:36:18</t>
  </si>
  <si>
    <t>;JDX042487675994(收） Z2378-灰色-S*1#</t>
  </si>
  <si>
    <t>5a03262d4eacab7812d21919</t>
  </si>
  <si>
    <t>P770798387983284011</t>
  </si>
  <si>
    <t>689d92c8956aac0015f36639</t>
  </si>
  <si>
    <t>XHS-2PMHDZ8YH728</t>
  </si>
  <si>
    <t>689d92c8956aac0015f36638</t>
  </si>
  <si>
    <t>【老板周】舒适经典 新款柔软细腻无缝一体半高领打底衫 黑色 M（100-120斤）</t>
  </si>
  <si>
    <t>2025081522001457781454758034</t>
  </si>
  <si>
    <t>2025-08-15 16:26:34</t>
  </si>
  <si>
    <t>73568864925675</t>
  </si>
  <si>
    <t>2025-08-15 16:26:28</t>
  </si>
  <si>
    <t>2025-08-30 16:26:34</t>
  </si>
  <si>
    <t>2025-08-20 20:38:35</t>
  </si>
  <si>
    <t>;SF3289575962710(收） Z1248-黑色-M*1#</t>
  </si>
  <si>
    <t>Z1248-黑色-M</t>
  </si>
  <si>
    <t>689d92c8956aac0015f3662f</t>
  </si>
  <si>
    <t>【老板周】舒适经典 新款柔软细腻无缝一体半高领打底衫</t>
  </si>
  <si>
    <t>P770798754835129721</t>
  </si>
  <si>
    <t>三*</t>
  </si>
  <si>
    <t>177****6716</t>
  </si>
  <si>
    <t>宁夏回族自治区 银川市 兴庆区 ***</t>
  </si>
  <si>
    <t>宁夏回族自治区</t>
  </si>
  <si>
    <t>银川市</t>
  </si>
  <si>
    <t>兴庆区</t>
  </si>
  <si>
    <t>640104</t>
  </si>
  <si>
    <t>689d92c8956aac0015f3663b</t>
  </si>
  <si>
    <t>XHS-2PMHE0F2J5DS</t>
  </si>
  <si>
    <t>689d92c8956aac0015f3663a</t>
  </si>
  <si>
    <t>【老板周】舒适经典 新款柔软细腻无缝一体半高领打底衫 黑色 L（120-135斤）</t>
  </si>
  <si>
    <t>4334002477202508159661676431</t>
  </si>
  <si>
    <t>2025-08-15 16:32:40</t>
  </si>
  <si>
    <t>73568874677198</t>
  </si>
  <si>
    <t>2025-08-15 16:32:35</t>
  </si>
  <si>
    <t>2025-08-30 16:32:40</t>
  </si>
  <si>
    <t>2025-08-20 23:54:30</t>
  </si>
  <si>
    <t>2025-08-27 10:54:57</t>
  </si>
  <si>
    <t>5eb402c90000000001002da9</t>
  </si>
  <si>
    <t>Z1248-黑色-L</t>
  </si>
  <si>
    <t>P770798117968454421</t>
  </si>
  <si>
    <t>2025081522001422071432990777</t>
  </si>
  <si>
    <t>2025-08-15 16:22:27</t>
  </si>
  <si>
    <t>73568586201255</t>
  </si>
  <si>
    <t>2025-08-15 16:21:58</t>
  </si>
  <si>
    <t>2025-08-30 16:22:27</t>
  </si>
  <si>
    <t>2025-08-18 21:15:14</t>
  </si>
  <si>
    <t>2025-08-25 21:15:15</t>
  </si>
  <si>
    <t>;JDX042496871681(收） Z2365-灰色-S*1#</t>
  </si>
  <si>
    <t>P770798337207284891</t>
  </si>
  <si>
    <t>689dee45c34eef00157e11fe</t>
  </si>
  <si>
    <t>XHS-3JY8RM360LQ8</t>
  </si>
  <si>
    <t>689dee45c34eef00157e11fd</t>
  </si>
  <si>
    <t>【老板周】小众日系 秋冬叠穿时髦下摆不规则宽松马甲 花纱色 M（100-135斤）</t>
  </si>
  <si>
    <t>花纱色 M（100-135斤）</t>
  </si>
  <si>
    <t>2025081522001457781456530401</t>
  </si>
  <si>
    <t>2025-08-15 16:25:44</t>
  </si>
  <si>
    <t>73569148403912</t>
  </si>
  <si>
    <t>2025-08-15 16:25:37</t>
  </si>
  <si>
    <t>2025-08-30 16:25:44</t>
  </si>
  <si>
    <t>2025-08-22 21:57:29</t>
  </si>
  <si>
    <t>;SF3289575962710(收） Z2378-花纱色-M*1#</t>
  </si>
  <si>
    <t>Z2378-花纱色-M</t>
  </si>
  <si>
    <t>P770797478381146081</t>
  </si>
  <si>
    <t>139****3693</t>
  </si>
  <si>
    <t>310118106000</t>
  </si>
  <si>
    <t>689dee2db292580015c1974c</t>
  </si>
  <si>
    <t>XHS-3JY78059ZB40</t>
  </si>
  <si>
    <t>689dee2db292580015c1974b</t>
  </si>
  <si>
    <t>【老板周】通勤质感 秋冬重磅新品半松紧腰垂感口袋西裤 灰色 M（100-120斤）</t>
  </si>
  <si>
    <t>灰色 M（100-120斤）</t>
  </si>
  <si>
    <t>4330002578202508159124990143</t>
  </si>
  <si>
    <t>2025-08-15 16:11:24</t>
  </si>
  <si>
    <t>73569589599965</t>
  </si>
  <si>
    <t>2025-08-15 16:11:18</t>
  </si>
  <si>
    <t>2025-08-30 16:11:24</t>
  </si>
  <si>
    <t>2025-08-25 23:34:04</t>
  </si>
  <si>
    <t>2025-08-27 11:01:59</t>
  </si>
  <si>
    <t>5cf22c5300000000170337ba</t>
  </si>
  <si>
    <t>Z2363-灰色-M</t>
  </si>
  <si>
    <t>689dee2db292580015c19742</t>
  </si>
  <si>
    <t>【老板周】通勤质感 秋冬重磅新品半松紧腰垂感口袋西裤</t>
  </si>
  <si>
    <t>P770797313602194761</t>
  </si>
  <si>
    <t>张**</t>
  </si>
  <si>
    <t>186****1435</t>
  </si>
  <si>
    <t>北京 北京市 通州区 ***</t>
  </si>
  <si>
    <t>北京</t>
  </si>
  <si>
    <t>北京市</t>
  </si>
  <si>
    <t>通州区</t>
  </si>
  <si>
    <t>110112003</t>
  </si>
  <si>
    <t>689d98fa3b9d470015b74589</t>
  </si>
  <si>
    <t>XHS-33LDRKJ82328</t>
  </si>
  <si>
    <t>689d98fa3b9d470015b74588</t>
  </si>
  <si>
    <t>【老板周】小众休闲 春季单口袋翻领设计感廓形百搭衬衫 黑色 L（120-135斤）</t>
  </si>
  <si>
    <t>2025081522001403541431507443</t>
  </si>
  <si>
    <t>2025-08-15 16:08:42</t>
  </si>
  <si>
    <t>73568731901642</t>
  </si>
  <si>
    <t>2025-08-15 16:08:33</t>
  </si>
  <si>
    <t>2025-08-30 16:08:42</t>
  </si>
  <si>
    <t>2025-08-19 22:20:09</t>
  </si>
  <si>
    <t>2025-08-26 22:20:09</t>
  </si>
  <si>
    <t>;SF3230664726480(收） Z1744-黑色-L*1#</t>
  </si>
  <si>
    <t>55edb487e4b1cf15d5cde665</t>
  </si>
  <si>
    <t>Z1744-黑色-L</t>
  </si>
  <si>
    <t>689d98fa3b9d470015b74583</t>
  </si>
  <si>
    <t>【老板周】小众休闲 春季单口袋翻领设计感廓形百搭衬衫</t>
  </si>
  <si>
    <t>P770796465763337081</t>
  </si>
  <si>
    <t>138****2801</t>
  </si>
  <si>
    <t>上海 上海市 浦东新区 ***</t>
  </si>
  <si>
    <t>浦东新区</t>
  </si>
  <si>
    <t>310115</t>
  </si>
  <si>
    <t>XHS-3JXERVVVBFUO</t>
  </si>
  <si>
    <t>689d9a9c731333000196a4cd</t>
  </si>
  <si>
    <t>【老板周】舒适经典 新款柔软细腻无缝一体半高领打底衫 杏色 M（100-120斤）</t>
  </si>
  <si>
    <t>杏色 M（100-120斤）</t>
  </si>
  <si>
    <t>2025081523001470641401813146</t>
  </si>
  <si>
    <t>2025-08-15 15:54:30</t>
  </si>
  <si>
    <t>73568875428093</t>
  </si>
  <si>
    <t>2025-08-15 15:54:26</t>
  </si>
  <si>
    <t>2025-08-30 15:54:30</t>
  </si>
  <si>
    <t>2025-08-21 00:14:51</t>
  </si>
  <si>
    <t>2025-08-27 11:14:15</t>
  </si>
  <si>
    <t>5485cc1fd6e4a92d747bfb90</t>
  </si>
  <si>
    <t>Z1248-杏色-M</t>
  </si>
  <si>
    <t>P770796470293501151</t>
  </si>
  <si>
    <t>庄*</t>
  </si>
  <si>
    <t>187****1622</t>
  </si>
  <si>
    <t>黑龙江省 哈尔滨市 道里区 ***</t>
  </si>
  <si>
    <t>黑龙江省</t>
  </si>
  <si>
    <t>哈尔滨市</t>
  </si>
  <si>
    <t>道里区</t>
  </si>
  <si>
    <t>230102</t>
  </si>
  <si>
    <t>4349902483202508153516961941</t>
  </si>
  <si>
    <t>2025-08-15 15:54:44</t>
  </si>
  <si>
    <t>73568871669615</t>
  </si>
  <si>
    <t>2025-08-30 15:54:44</t>
  </si>
  <si>
    <t>2025-08-20 22:29:50</t>
  </si>
  <si>
    <t>;772046902829039(收） Z1248-黑色-L*1#</t>
  </si>
  <si>
    <t>584821d16a6a6950c491bd8f</t>
  </si>
  <si>
    <t>P770796096694064811</t>
  </si>
  <si>
    <t>I*********</t>
  </si>
  <si>
    <t>191****8044</t>
  </si>
  <si>
    <t>广东省 东莞市 樟木头镇 ***</t>
  </si>
  <si>
    <t>东莞市</t>
  </si>
  <si>
    <t>樟木头镇</t>
  </si>
  <si>
    <t>441900112000</t>
  </si>
  <si>
    <t>689dee45c34eef00157e120a</t>
  </si>
  <si>
    <t>XHS-3JY8RM3ZZDVK</t>
  </si>
  <si>
    <t>689dee45c34eef00157e1209</t>
  </si>
  <si>
    <t>【老板周】小众日系 秋冬叠穿时髦下摆不规则宽松马甲 灰色 M（100-135斤）</t>
  </si>
  <si>
    <t>2025081522001434691415547577</t>
  </si>
  <si>
    <t>2025-08-15 15:48:26</t>
  </si>
  <si>
    <t>73568735151338</t>
  </si>
  <si>
    <t>2025-08-15 15:48:16</t>
  </si>
  <si>
    <t>2025-08-30 15:48:26</t>
  </si>
  <si>
    <t>2025-08-19 23:36:42</t>
  </si>
  <si>
    <t>2025-08-26 23:36:42</t>
  </si>
  <si>
    <t>5f4db7270000000001001385</t>
  </si>
  <si>
    <t>Z2378-灰色-M</t>
  </si>
  <si>
    <t>P770796110033183261</t>
  </si>
  <si>
    <t>134****2812</t>
  </si>
  <si>
    <t>广东省 深圳市 福田区 ***</t>
  </si>
  <si>
    <t>福田区</t>
  </si>
  <si>
    <t>440304007</t>
  </si>
  <si>
    <t>689dee45c34eef00157e11fc</t>
  </si>
  <si>
    <t>XHS-3JY8RM310T1C</t>
  </si>
  <si>
    <t>689dee45c34eef00157e11fb</t>
  </si>
  <si>
    <t>【老板周】小众日系 秋冬叠穿时髦下摆不规则宽松马甲 花纱色 S（80-100斤）</t>
  </si>
  <si>
    <t>花纱色 S（80-100斤）</t>
  </si>
  <si>
    <t>2025081522001482941453653204</t>
  </si>
  <si>
    <t>2025-08-15 15:48:36</t>
  </si>
  <si>
    <t>73569411582317</t>
  </si>
  <si>
    <t>2025-08-15 15:48:30</t>
  </si>
  <si>
    <t>2025-08-30 15:48:36</t>
  </si>
  <si>
    <t>2025-08-24 19:20:35</t>
  </si>
  <si>
    <t>;SF3230032965181(收） Z2378-花纱色-S*1#</t>
  </si>
  <si>
    <t>56f1f9f784edcd70cdc3da52</t>
  </si>
  <si>
    <t>Z2378-花纱色-S</t>
  </si>
  <si>
    <t>P770796097446414361</t>
  </si>
  <si>
    <t>方**</t>
  </si>
  <si>
    <t>152****0022</t>
  </si>
  <si>
    <t>天津 天津市 武清区 ***</t>
  </si>
  <si>
    <t>武清区</t>
  </si>
  <si>
    <t>120114115000</t>
  </si>
  <si>
    <t>2025081522001449701411814067</t>
  </si>
  <si>
    <t>2025-08-15 15:48:27</t>
  </si>
  <si>
    <t>73569144710214</t>
  </si>
  <si>
    <t>2025-08-15 15:48:17</t>
  </si>
  <si>
    <t>2025-08-30 15:48:27</t>
  </si>
  <si>
    <t>2025-08-22 21:27:46</t>
  </si>
  <si>
    <t>;JDX042539808890(收） Z2378-花纱色-S*1#</t>
  </si>
  <si>
    <t>5e46a01d0000000001008d31</t>
  </si>
  <si>
    <t>P770796111496158521</t>
  </si>
  <si>
    <t>李*</t>
  </si>
  <si>
    <t>176****0421</t>
  </si>
  <si>
    <t>陕西省 西安市 未央区 ***</t>
  </si>
  <si>
    <t>未央区</t>
  </si>
  <si>
    <t>610112001</t>
  </si>
  <si>
    <t>2025081522001465651424501445</t>
  </si>
  <si>
    <t>2025-08-15 15:48:35</t>
  </si>
  <si>
    <t>73568735151432</t>
  </si>
  <si>
    <t>2025-08-15 15:48:31</t>
  </si>
  <si>
    <t>2025-08-30 15:48:35</t>
  </si>
  <si>
    <t>5fd34cc20000000001003bc8</t>
  </si>
  <si>
    <t>P770795108315278051</t>
  </si>
  <si>
    <t>136****7066</t>
  </si>
  <si>
    <t>北京 北京市 西城区 ***</t>
  </si>
  <si>
    <t>西城区</t>
  </si>
  <si>
    <t>110102017000</t>
  </si>
  <si>
    <t>689dee2db292580015c19746</t>
  </si>
  <si>
    <t>XHS-3JY7804XHTDS</t>
  </si>
  <si>
    <t>689dee2db292580015c19745</t>
  </si>
  <si>
    <t>【老板周】通勤质感 秋冬重磅新品半松紧腰垂感口袋西裤 黑色 M（100-120斤）</t>
  </si>
  <si>
    <t>2025081522001492241418896447</t>
  </si>
  <si>
    <t>2025-08-15 15:31:56</t>
  </si>
  <si>
    <t>73569432293407</t>
  </si>
  <si>
    <t>2025-08-15 15:31:48</t>
  </si>
  <si>
    <t>2025-08-30 15:31:56</t>
  </si>
  <si>
    <t>2025-08-24 22:12:09</t>
  </si>
  <si>
    <t>2025-08-27 11:49:06</t>
  </si>
  <si>
    <t>;JDX042584202698(收） Z2363-黑色-M*1#</t>
  </si>
  <si>
    <t>5ebe9831000000000101ef7f</t>
  </si>
  <si>
    <t>Z2363-黑色-M</t>
  </si>
  <si>
    <t>P770795407221086221</t>
  </si>
  <si>
    <t>催发货</t>
  </si>
  <si>
    <t>192****0049</t>
  </si>
  <si>
    <t>辽宁省 沈阳市 沈河区 ***</t>
  </si>
  <si>
    <t>沈河区</t>
  </si>
  <si>
    <t>210103</t>
  </si>
  <si>
    <t>4336702239202508150999383593</t>
  </si>
  <si>
    <t>2025-08-15 15:36:55</t>
  </si>
  <si>
    <t>73569432293369</t>
  </si>
  <si>
    <t>2025-08-15 15:36:47</t>
  </si>
  <si>
    <t>2025-08-30 15:36:55</t>
  </si>
  <si>
    <t>2025-08-24 22:08:23</t>
  </si>
  <si>
    <t>2025-08-27 17:23:23</t>
  </si>
  <si>
    <t>5c8ca9040000000012030379</t>
  </si>
  <si>
    <t>P770795400699278151</t>
  </si>
  <si>
    <t>2025081523001492241419507831</t>
  </si>
  <si>
    <t>2025-08-15 15:36:48</t>
  </si>
  <si>
    <t>73569432293009</t>
  </si>
  <si>
    <t>2025-08-15 15:36:40</t>
  </si>
  <si>
    <t>2025-08-30 15:36:48</t>
  </si>
  <si>
    <t>2025-08-27 11:48:59</t>
  </si>
  <si>
    <t>;JDX042584202698(收） Z2363-灰色-M*1#</t>
  </si>
  <si>
    <t>P770795092998457951</t>
  </si>
  <si>
    <t>曹*</t>
  </si>
  <si>
    <t>159****0903</t>
  </si>
  <si>
    <t>北京 北京市 大兴区 ***</t>
  </si>
  <si>
    <t>大兴区</t>
  </si>
  <si>
    <t>110115</t>
  </si>
  <si>
    <t>2025081522001491851430393327</t>
  </si>
  <si>
    <t>2025-08-15 15:31:45</t>
  </si>
  <si>
    <t>73569378742529</t>
  </si>
  <si>
    <t>2025-08-15 15:31:33</t>
  </si>
  <si>
    <t>2025-08-30 15:31:45</t>
  </si>
  <si>
    <t>2025-08-24 14:31:36</t>
  </si>
  <si>
    <t>2025-08-26 22:44:43</t>
  </si>
  <si>
    <t>5af8be4211be105a03654a46</t>
  </si>
  <si>
    <t>P770795098086034121</t>
  </si>
  <si>
    <t>张*</t>
  </si>
  <si>
    <t>173****9346</t>
  </si>
  <si>
    <t>310115105</t>
  </si>
  <si>
    <t>689dee2db292580015c19748</t>
  </si>
  <si>
    <t>XHS-3JY78052HM2O</t>
  </si>
  <si>
    <t>689dee2db292580015c19747</t>
  </si>
  <si>
    <t>【老板周】通勤质感 秋冬重磅新品半松紧腰垂感口袋西裤 黑色 L（120-135斤）</t>
  </si>
  <si>
    <t>2025081522001450481431049812</t>
  </si>
  <si>
    <t>2025-08-15 15:31:50</t>
  </si>
  <si>
    <t>73569590703128</t>
  </si>
  <si>
    <t>2025-08-15 15:31:38</t>
  </si>
  <si>
    <t>2025-08-30 15:31:50</t>
  </si>
  <si>
    <t>2025-08-26 00:10:35</t>
  </si>
  <si>
    <t>2025-08-27 17:06:35</t>
  </si>
  <si>
    <t>;SF3280485190011(收） Z2363-黑色-L*1#</t>
  </si>
  <si>
    <t>6626194c0000000003033a71</t>
  </si>
  <si>
    <t>Z2363-黑色-L</t>
  </si>
  <si>
    <t>P770795099673396171</t>
  </si>
  <si>
    <t>涂**</t>
  </si>
  <si>
    <t>138****0622</t>
  </si>
  <si>
    <t>四川省 成都市 双流区 ***</t>
  </si>
  <si>
    <t>成都市</t>
  </si>
  <si>
    <t>双流区</t>
  </si>
  <si>
    <t>510116003000</t>
  </si>
  <si>
    <t>4316002575202508152432784547</t>
  </si>
  <si>
    <t>2025-08-15 15:31:46</t>
  </si>
  <si>
    <t>73569294175907</t>
  </si>
  <si>
    <t>2025-08-15 15:31:39</t>
  </si>
  <si>
    <t>2025-08-30 15:31:46</t>
  </si>
  <si>
    <t>2025-08-23 23:21:46</t>
  </si>
  <si>
    <t>2025-08-27 14:42:54</t>
  </si>
  <si>
    <t>;SF3239924337345(收） Z2363-灰色-M*1#</t>
  </si>
  <si>
    <t>594b18b95e87e7271006d25a</t>
  </si>
  <si>
    <t>P770795098672334381</t>
  </si>
  <si>
    <t>许**</t>
  </si>
  <si>
    <t>186****0536</t>
  </si>
  <si>
    <t>陕西省 榆林市 横山区 ***</t>
  </si>
  <si>
    <t>榆林市</t>
  </si>
  <si>
    <t>横山区</t>
  </si>
  <si>
    <t>610803</t>
  </si>
  <si>
    <t>689dee2db292580015c1974e</t>
  </si>
  <si>
    <t>XHS-3JY7805CH7GG</t>
  </si>
  <si>
    <t>689dee2db292580015c1974d</t>
  </si>
  <si>
    <t>【老板周】通勤质感 秋冬重磅新品半松紧腰垂感口袋西裤 灰色 L（120-135斤）</t>
  </si>
  <si>
    <t>灰色 L（120-135斤）</t>
  </si>
  <si>
    <t>73569432293621</t>
  </si>
  <si>
    <t>2025-08-30 15:31:39</t>
  </si>
  <si>
    <t>2025-08-24 22:07:19</t>
  </si>
  <si>
    <t>2025-08-27 14:52:25</t>
  </si>
  <si>
    <t>5af3cae811be1017e37263a1</t>
  </si>
  <si>
    <t>Z2363-灰色-L</t>
  </si>
  <si>
    <t>P770795096898414161</t>
  </si>
  <si>
    <t>133****8131</t>
  </si>
  <si>
    <t>上海 上海市 闵行区 ***</t>
  </si>
  <si>
    <t>闵行区</t>
  </si>
  <si>
    <t>310112103000</t>
  </si>
  <si>
    <t>4307802469202508157342709693</t>
  </si>
  <si>
    <t>2025-08-15 15:31:41</t>
  </si>
  <si>
    <t>73569287102422</t>
  </si>
  <si>
    <t>2025-08-15 15:31:37</t>
  </si>
  <si>
    <t>2025-08-30 15:31:41</t>
  </si>
  <si>
    <t>2025-08-23 20:57:59</t>
  </si>
  <si>
    <t>;SF1522073487212(收） Z2363-灰色-M*1#</t>
  </si>
  <si>
    <t>5e57b71f000000000100b1ef</t>
  </si>
  <si>
    <t>P770795097742070261</t>
  </si>
  <si>
    <t>丛**</t>
  </si>
  <si>
    <t>135****8332</t>
  </si>
  <si>
    <t>吉林省 长春市 南关区 ***</t>
  </si>
  <si>
    <t>吉林省</t>
  </si>
  <si>
    <t>长春市</t>
  </si>
  <si>
    <t>南关区</t>
  </si>
  <si>
    <t>220102</t>
  </si>
  <si>
    <t>689dee2db292580015c1974a</t>
  </si>
  <si>
    <t>XHS-3JY78054ZIF4</t>
  </si>
  <si>
    <t>689dee2db292580015c19749</t>
  </si>
  <si>
    <t>【老板周】通勤质感 秋冬重磅新品半松紧腰垂感口袋西裤 灰色 S（80-100斤）</t>
  </si>
  <si>
    <t>4326602467202508159812340740</t>
  </si>
  <si>
    <t>2025-08-15 15:31:43</t>
  </si>
  <si>
    <t>73569432292163</t>
  </si>
  <si>
    <t>2025-08-30 15:31:43</t>
  </si>
  <si>
    <t>2025-08-24 22:08:57</t>
  </si>
  <si>
    <t>加急 拦截;73569432292163(收） Z2363-灰色-S*1#</t>
  </si>
  <si>
    <t>590d488150c4b43cbb96e939</t>
  </si>
  <si>
    <t>Z2363-灰色-S</t>
  </si>
  <si>
    <t>P770794938906198011</t>
  </si>
  <si>
    <t>等*</t>
  </si>
  <si>
    <t>159****5950</t>
  </si>
  <si>
    <t>重庆 重庆市 万州区 ***</t>
  </si>
  <si>
    <t>重庆</t>
  </si>
  <si>
    <t>重庆市</t>
  </si>
  <si>
    <t>万州区</t>
  </si>
  <si>
    <t>500101018000</t>
  </si>
  <si>
    <t>4311002265202508153944380222</t>
  </si>
  <si>
    <t>2025-08-15 15:29:08</t>
  </si>
  <si>
    <t>73569432292321</t>
  </si>
  <si>
    <t>2025-08-15 15:28:59</t>
  </si>
  <si>
    <t>2025-08-30 15:29:08</t>
  </si>
  <si>
    <t>2025-08-27 10:43:58</t>
  </si>
  <si>
    <t>5c615f07000000001b013f8e</t>
  </si>
  <si>
    <t>P770794934880461651</t>
  </si>
  <si>
    <t>郭**</t>
  </si>
  <si>
    <t>135****2037</t>
  </si>
  <si>
    <t>广东省 广州市 番禺区 ***</t>
  </si>
  <si>
    <t>广州市</t>
  </si>
  <si>
    <t>番禺区</t>
  </si>
  <si>
    <t>440113012</t>
  </si>
  <si>
    <t>2025081522001403291453515521</t>
  </si>
  <si>
    <t>2025-08-15 15:29:03</t>
  </si>
  <si>
    <t>73569287101396</t>
  </si>
  <si>
    <t>2025-08-15 15:28:55</t>
  </si>
  <si>
    <t>2025-08-30 15:29:03</t>
  </si>
  <si>
    <t>2025-08-26 22:58:44</t>
  </si>
  <si>
    <t>571a4b9a4775a74ab677dd1c</t>
  </si>
  <si>
    <t>P770794618887352631</t>
  </si>
  <si>
    <t>159****5120</t>
  </si>
  <si>
    <t>110102</t>
  </si>
  <si>
    <t>689d92c8956aac0015f36637</t>
  </si>
  <si>
    <t>XHS-2PMHDY7HMXHC</t>
  </si>
  <si>
    <t>689d92c8956aac0015f36636</t>
  </si>
  <si>
    <t>【老板周】舒适经典 新款柔软细腻无缝一体半高领打底衫 黑色 S（80-100斤）</t>
  </si>
  <si>
    <t>4314902586202508158568930623</t>
  </si>
  <si>
    <t>2025-08-15 15:23:44</t>
  </si>
  <si>
    <t>73568871667396</t>
  </si>
  <si>
    <t>2025-08-15 15:23:39</t>
  </si>
  <si>
    <t>2025-08-30 15:23:44</t>
  </si>
  <si>
    <t>2025-08-20 22:31:23</t>
  </si>
  <si>
    <t>2025-08-27 10:33:20</t>
  </si>
  <si>
    <t>5627508c447608016830a2bf</t>
  </si>
  <si>
    <t>Z1248-黑色-S</t>
  </si>
  <si>
    <t>P770794262760472121</t>
  </si>
  <si>
    <t>米*</t>
  </si>
  <si>
    <t>138****1008</t>
  </si>
  <si>
    <t>江苏省 苏州市 太仓市 ***</t>
  </si>
  <si>
    <t>苏州市</t>
  </si>
  <si>
    <t>太仓市</t>
  </si>
  <si>
    <t>320585403000</t>
  </si>
  <si>
    <t>4319502252202508152954273060</t>
  </si>
  <si>
    <t>2025-08-15 15:17:47</t>
  </si>
  <si>
    <t>73568871666050</t>
  </si>
  <si>
    <t>2025-08-15 15:17:43</t>
  </si>
  <si>
    <t>2025-08-30 15:17:47</t>
  </si>
  <si>
    <t>;JDX042520199702(收） Z1248-黑色-S*1#</t>
  </si>
  <si>
    <t>58a2e1dc69aa52071ba94c00</t>
  </si>
  <si>
    <t>P770794525672392531</t>
  </si>
  <si>
    <t>吴**</t>
  </si>
  <si>
    <t>188****1225</t>
  </si>
  <si>
    <t>广东省 珠海市 香洲区 ***</t>
  </si>
  <si>
    <t>珠海市</t>
  </si>
  <si>
    <t>香洲区</t>
  </si>
  <si>
    <t>440402102000</t>
  </si>
  <si>
    <t>2025081523001435301455746655</t>
  </si>
  <si>
    <t>2025-08-15 15:22:16</t>
  </si>
  <si>
    <t>73568735150528</t>
  </si>
  <si>
    <t>2025-08-15 15:22:05</t>
  </si>
  <si>
    <t>2025-08-30 15:22:16</t>
  </si>
  <si>
    <t>5dd08c5f0000000001004592</t>
  </si>
  <si>
    <t>P770794257861206101</t>
  </si>
  <si>
    <t>181****8680</t>
  </si>
  <si>
    <t>310113103000</t>
  </si>
  <si>
    <t>4313502286202508158189547016</t>
  </si>
  <si>
    <t>2025-08-15 15:17:45</t>
  </si>
  <si>
    <t>73568871665081</t>
  </si>
  <si>
    <t>2025-08-15 15:17:38</t>
  </si>
  <si>
    <t>2025-08-30 15:17:45</t>
  </si>
  <si>
    <t>2025-08-27 09:37:58</t>
  </si>
  <si>
    <t>红旗</t>
  </si>
  <si>
    <t>Z1248小礼物;补发(6127889)#;补发73569574884104</t>
  </si>
  <si>
    <t>5a589de34eacab61267bc6ae</t>
  </si>
  <si>
    <t>P770794446611478281</t>
  </si>
  <si>
    <t>郝**</t>
  </si>
  <si>
    <t>150****1320</t>
  </si>
  <si>
    <t>内蒙古自治区 呼和浩特市 回民区 ***</t>
  </si>
  <si>
    <t>呼和浩特市</t>
  </si>
  <si>
    <t>回民区</t>
  </si>
  <si>
    <t>150103</t>
  </si>
  <si>
    <t>2025081522001419551423053635</t>
  </si>
  <si>
    <t>2025-08-15 15:20:56</t>
  </si>
  <si>
    <t>73568875428052</t>
  </si>
  <si>
    <t>2025-08-15 15:20:46</t>
  </si>
  <si>
    <t>2025-08-30 15:20:56</t>
  </si>
  <si>
    <t>;73569356446260(收） Z2378-花纱色-S*1#</t>
  </si>
  <si>
    <t>5da81c91000000000100a656</t>
  </si>
  <si>
    <t>P770794260083193631</t>
  </si>
  <si>
    <t>7**</t>
  </si>
  <si>
    <t>136****1561</t>
  </si>
  <si>
    <t>广西壮族自治区 柳州市 城中区 ***</t>
  </si>
  <si>
    <t>广西壮族自治区</t>
  </si>
  <si>
    <t>柳州市</t>
  </si>
  <si>
    <t>城中区</t>
  </si>
  <si>
    <t>450202005000</t>
  </si>
  <si>
    <t>4332402475202508159443479448</t>
  </si>
  <si>
    <t>73568871666182</t>
  </si>
  <si>
    <t>2025-08-15 15:17:40</t>
  </si>
  <si>
    <t>2025-08-27 12:31:45</t>
  </si>
  <si>
    <t>是</t>
  </si>
  <si>
    <t>Z1248小礼物;补发(6127893)#;补发73569574884385</t>
  </si>
  <si>
    <t>5ace005b4eacab4013550665</t>
  </si>
  <si>
    <t>P770794613000337021</t>
  </si>
  <si>
    <t>2025081522001470641402028241</t>
  </si>
  <si>
    <t>2025-08-15 15:23:40</t>
  </si>
  <si>
    <t>73568864925236</t>
  </si>
  <si>
    <t>2025-08-15 15:23:33</t>
  </si>
  <si>
    <t>2025-08-30 15:23:40</t>
  </si>
  <si>
    <t>2025-08-27 11:14:53</t>
  </si>
  <si>
    <t>P770794057829472761</t>
  </si>
  <si>
    <t>4303302579202508152843431070</t>
  </si>
  <si>
    <t>2025-08-15 15:14:23</t>
  </si>
  <si>
    <t>73568874677040</t>
  </si>
  <si>
    <t>2025-08-15 15:14:18</t>
  </si>
  <si>
    <t>2025-08-30 15:14:23</t>
  </si>
  <si>
    <t>2025-08-20 23:49:17</t>
  </si>
  <si>
    <t>;JDX042520199702(收） Z2378-花纱色-S*1#</t>
  </si>
  <si>
    <t>P770794027175352691</t>
  </si>
  <si>
    <t>4313702240202508155196574523</t>
  </si>
  <si>
    <t>2025-08-15 15:13:53</t>
  </si>
  <si>
    <t>73568874677514</t>
  </si>
  <si>
    <t>2025-08-15 15:13:47</t>
  </si>
  <si>
    <t>2025-08-30 15:13:53</t>
  </si>
  <si>
    <t>2025-08-27 10:33:35</t>
  </si>
  <si>
    <t>P770794042509304891</t>
  </si>
  <si>
    <t>138****6762</t>
  </si>
  <si>
    <t>新疆维吾尔自治区 乌鲁木齐市 水磨沟区 ***</t>
  </si>
  <si>
    <t>水磨沟区</t>
  </si>
  <si>
    <t>650105</t>
  </si>
  <si>
    <t>4330102235202508158090006582</t>
  </si>
  <si>
    <t>2025-08-15 15:14:10</t>
  </si>
  <si>
    <t>73568871665896</t>
  </si>
  <si>
    <t>2025-08-15 15:14:02</t>
  </si>
  <si>
    <t>2025-08-30 15:14:10</t>
  </si>
  <si>
    <t>2025-08-20 22:37:00</t>
  </si>
  <si>
    <t>2025-08-25 00:10:29</t>
  </si>
  <si>
    <t>;SF3230042266135(收） Z2378-花纱色-M*1#</t>
  </si>
  <si>
    <t>5cde3dda00000000050330bd</t>
  </si>
  <si>
    <t>P770794018572034931</t>
  </si>
  <si>
    <t>胖*</t>
  </si>
  <si>
    <t>158****0396</t>
  </si>
  <si>
    <t>浙江省 温州市 苍南县 ***</t>
  </si>
  <si>
    <t>温州市</t>
  </si>
  <si>
    <t>苍南县</t>
  </si>
  <si>
    <t>330327100000</t>
  </si>
  <si>
    <t>4348502245202508159628346390</t>
  </si>
  <si>
    <t>2025-08-15 15:13:44</t>
  </si>
  <si>
    <t>73568735151312</t>
  </si>
  <si>
    <t>2025-08-15 15:13:38</t>
  </si>
  <si>
    <t>2025-08-30 15:13:44</t>
  </si>
  <si>
    <t>2025-08-19 23:37:09</t>
  </si>
  <si>
    <t>2025-08-26 23:37:09</t>
  </si>
  <si>
    <t>62788d0c0000000010005c63</t>
  </si>
  <si>
    <t>P770794019971106161</t>
  </si>
  <si>
    <t>138****0996</t>
  </si>
  <si>
    <t>4343402237202508155774463952</t>
  </si>
  <si>
    <t>2025-08-15 15:13:46</t>
  </si>
  <si>
    <t>73568735151287</t>
  </si>
  <si>
    <t>2025-08-15 15:13:40</t>
  </si>
  <si>
    <t>2025-08-30 15:13:46</t>
  </si>
  <si>
    <t>2025-08-19 23:25:35</t>
  </si>
  <si>
    <t>2025-08-26 23:25:35</t>
  </si>
  <si>
    <t>5a791d6ddb2e6075f46e5388</t>
  </si>
  <si>
    <t>P770794020008329151</t>
  </si>
  <si>
    <t>杨**</t>
  </si>
  <si>
    <t>152****7878</t>
  </si>
  <si>
    <t>山东省 滨州市 沾化区 ***</t>
  </si>
  <si>
    <t>滨州市</t>
  </si>
  <si>
    <t>沾化区</t>
  </si>
  <si>
    <t>371603001000</t>
  </si>
  <si>
    <t>2025081523001498651431776212</t>
  </si>
  <si>
    <t>2025-08-15 15:14:06</t>
  </si>
  <si>
    <t>73568874677726</t>
  </si>
  <si>
    <t>2025-08-30 15:14:06</t>
  </si>
  <si>
    <t>;JDX042515159145(收） Z2378-花纱色-S*1#</t>
  </si>
  <si>
    <t>5a9517cc4eacab5b758a2332</t>
  </si>
  <si>
    <t>P770793869532382601</t>
  </si>
  <si>
    <t>180****1532</t>
  </si>
  <si>
    <t>上海 上海市 普陀区 ***</t>
  </si>
  <si>
    <t>普陀区</t>
  </si>
  <si>
    <t>310107</t>
  </si>
  <si>
    <t>4339602479202508159867562177</t>
  </si>
  <si>
    <t>2025-08-15 15:11:16</t>
  </si>
  <si>
    <t>73568735150543</t>
  </si>
  <si>
    <t>2025-08-15 15:11:09</t>
  </si>
  <si>
    <t>2025-08-30 15:11:16</t>
  </si>
  <si>
    <t>;SF3230865560918(收） Z2378-灰色-M*1#</t>
  </si>
  <si>
    <t>5b2e5e756b58b75a69c5fce8</t>
  </si>
  <si>
    <t>P770794020316255331</t>
  </si>
  <si>
    <t>9*****</t>
  </si>
  <si>
    <t>180****7809</t>
  </si>
  <si>
    <t>广东省 中山市 板芙镇 ***</t>
  </si>
  <si>
    <t>中山市</t>
  </si>
  <si>
    <t>板芙镇</t>
  </si>
  <si>
    <t>442000115000</t>
  </si>
  <si>
    <t>4319602253202508154825309425</t>
  </si>
  <si>
    <t>73568735151141</t>
  </si>
  <si>
    <t>5c27b7140000000005039e8f</t>
  </si>
  <si>
    <t>P770794018587272501</t>
  </si>
  <si>
    <t>139****7729</t>
  </si>
  <si>
    <t>浙江省 嘉兴市 南湖区 ***</t>
  </si>
  <si>
    <t>嘉兴市</t>
  </si>
  <si>
    <t>南湖区</t>
  </si>
  <si>
    <t>330402014</t>
  </si>
  <si>
    <t>2025081522001401441437615721</t>
  </si>
  <si>
    <t>73568735151019</t>
  </si>
  <si>
    <t>;773373691988931(收） Z2378-花纱色-M*1#</t>
  </si>
  <si>
    <t>5d1dcd5f0000000016022c66</t>
  </si>
  <si>
    <t>P770794019357298741</t>
  </si>
  <si>
    <t>黄**</t>
  </si>
  <si>
    <t>138****8611</t>
  </si>
  <si>
    <t>江苏省 泰州市 靖江市 ***</t>
  </si>
  <si>
    <t>泰州市</t>
  </si>
  <si>
    <t>靖江市</t>
  </si>
  <si>
    <t>321282</t>
  </si>
  <si>
    <t>2025081522001418651441975041</t>
  </si>
  <si>
    <t>2025-08-15 15:13:45</t>
  </si>
  <si>
    <t>73568735150252</t>
  </si>
  <si>
    <t>2025-08-15 15:13:39</t>
  </si>
  <si>
    <t>2025-08-30 15:13:45</t>
  </si>
  <si>
    <t>5bae3990dc55cf000120d032</t>
  </si>
  <si>
    <t>P770794018286221631</t>
  </si>
  <si>
    <t>137****8275</t>
  </si>
  <si>
    <t>440113015000</t>
  </si>
  <si>
    <t>2025081523001422461431672573</t>
  </si>
  <si>
    <t>2025-08-15 15:13:48</t>
  </si>
  <si>
    <t>73568735150648</t>
  </si>
  <si>
    <t>2025-08-30 15:13:48</t>
  </si>
  <si>
    <t>5f8ad074000000000101c803</t>
  </si>
  <si>
    <t>P770794020469428631</t>
  </si>
  <si>
    <t>s***</t>
  </si>
  <si>
    <t>136****8881</t>
  </si>
  <si>
    <t>四川省 成都市 郫都区 ***</t>
  </si>
  <si>
    <t>郫都区</t>
  </si>
  <si>
    <t>510124108</t>
  </si>
  <si>
    <t>2025081522001444341440753302</t>
  </si>
  <si>
    <t>73568735150081</t>
  </si>
  <si>
    <t>2025-08-30 15:13:47</t>
  </si>
  <si>
    <t>5481bc0cd6e4a968faed64db</t>
  </si>
  <si>
    <t>P770794019497300331</t>
  </si>
  <si>
    <t>丁**</t>
  </si>
  <si>
    <t>137****8267</t>
  </si>
  <si>
    <t>310113109000</t>
  </si>
  <si>
    <t>4350902465202508157181310652</t>
  </si>
  <si>
    <t>73568735150597</t>
  </si>
  <si>
    <t>5558a9d167bc653fc2f3e4ab</t>
  </si>
  <si>
    <t>P770794019068036511</t>
  </si>
  <si>
    <t>张</t>
  </si>
  <si>
    <t>157****8966</t>
  </si>
  <si>
    <t>内蒙古自治区 鄂尔多斯市 伊金霍洛旗 ***</t>
  </si>
  <si>
    <t>伊金霍洛旗</t>
  </si>
  <si>
    <t>150627</t>
  </si>
  <si>
    <t>2025081523001418451412697964</t>
  </si>
  <si>
    <t>2025-08-15 15:13:50</t>
  </si>
  <si>
    <t>73568735150939</t>
  </si>
  <si>
    <t>2025-08-30 15:13:50</t>
  </si>
  <si>
    <t>59dcb65fde5fb43d22d6e00f</t>
  </si>
  <si>
    <t>P770794018206458841</t>
  </si>
  <si>
    <t>阎**</t>
  </si>
  <si>
    <t>139****3167</t>
  </si>
  <si>
    <t>甘肃省 兰州市 城关区 ***</t>
  </si>
  <si>
    <t>城关区</t>
  </si>
  <si>
    <t>620102</t>
  </si>
  <si>
    <t>2025081522001415121422827257</t>
  </si>
  <si>
    <t>73568735151466</t>
  </si>
  <si>
    <t>;JDX042497264569(收） Z2378-花纱色-M*1#</t>
  </si>
  <si>
    <t>5b601fae4eacab6cf4db9917</t>
  </si>
  <si>
    <t>P770794017000112911</t>
  </si>
  <si>
    <t>小**</t>
  </si>
  <si>
    <t>138****1113</t>
  </si>
  <si>
    <t>江苏省 苏州市 姑苏区 ***</t>
  </si>
  <si>
    <t>姑苏区</t>
  </si>
  <si>
    <t>320508024000</t>
  </si>
  <si>
    <t>2025081522001401121429359236</t>
  </si>
  <si>
    <t>73568735151417</t>
  </si>
  <si>
    <t>2025-08-15 15:13:37</t>
  </si>
  <si>
    <t>560a02243397db0e6720e25a</t>
  </si>
  <si>
    <t>P770643835711413521</t>
  </si>
  <si>
    <t>181****5302</t>
  </si>
  <si>
    <t>河南省 郑州市 郑州经济技术开发区 ***</t>
  </si>
  <si>
    <t>河南省</t>
  </si>
  <si>
    <t>郑州市</t>
  </si>
  <si>
    <t>郑州经济技术开发区</t>
  </si>
  <si>
    <t>410171561000</t>
  </si>
  <si>
    <t>2025081322001479671408881982</t>
  </si>
  <si>
    <t>2025-08-13 21:30:46</t>
  </si>
  <si>
    <t>73568874685735</t>
  </si>
  <si>
    <t>2025-08-13 21:30:36</t>
  </si>
  <si>
    <t>2025-08-28 21:30:46</t>
  </si>
  <si>
    <t>2025-08-20 23:50:55</t>
  </si>
  <si>
    <t>;SF3289570487093(收） Z1576-黑色-S*1
Z1645-黑色-S*1#</t>
  </si>
  <si>
    <t>58c5584c5e87e743058ba819</t>
  </si>
  <si>
    <t>6896fe48057f570015d29243</t>
  </si>
  <si>
    <t>XHS-2Z0D3IBQCYKG</t>
  </si>
  <si>
    <t>6896fe48057f570015d29242</t>
  </si>
  <si>
    <t>【老板周】时髦撞色 春季新款假两件显瘦长袖打底T恤上衣 黑色 S（80-100斤）</t>
  </si>
  <si>
    <t>73569012203279</t>
  </si>
  <si>
    <t>2025-08-21 23:19:25</t>
  </si>
  <si>
    <t>Z1576-黑色-S</t>
  </si>
  <si>
    <t>6896fe5c3b9d47001590a857</t>
  </si>
  <si>
    <t>XHS-31AJPPHCTL34</t>
  </si>
  <si>
    <t>6896fe5c3b9d47001590a856</t>
  </si>
  <si>
    <t>【老板周】日系极简 春季新品圆领简约设计感无袖马甲 黑色 S（80-100斤）</t>
  </si>
  <si>
    <t>Z1640-黑色-S</t>
  </si>
  <si>
    <t>6896fe5c3b9d47001590a855</t>
  </si>
  <si>
    <t>【老板周】日系极简 春季新品圆领简约设计感无袖马甲</t>
  </si>
  <si>
    <t>P770645825682316701</t>
  </si>
  <si>
    <t>罗</t>
  </si>
  <si>
    <t>139****6727</t>
  </si>
  <si>
    <t>310117105000</t>
  </si>
  <si>
    <t>4303502284202508134947847381</t>
  </si>
  <si>
    <t>2025-08-13 22:03:51</t>
  </si>
  <si>
    <t>73569012203440</t>
  </si>
  <si>
    <t>2025-08-13 22:03:45</t>
  </si>
  <si>
    <t>2025-08-28 22:03:51</t>
  </si>
  <si>
    <t>2025-08-27 06:17:55</t>
  </si>
  <si>
    <t>5e940fa200000000010067c3</t>
  </si>
  <si>
    <t>P770645880641023381</t>
  </si>
  <si>
    <t>陈*</t>
  </si>
  <si>
    <t>177****1409</t>
  </si>
  <si>
    <t>重庆 重庆市 江津区 ***</t>
  </si>
  <si>
    <t>江津区</t>
  </si>
  <si>
    <t>500116006</t>
  </si>
  <si>
    <t>4348702586202508138748925665</t>
  </si>
  <si>
    <t>2025-08-13 22:04:56</t>
  </si>
  <si>
    <t>73569012202336</t>
  </si>
  <si>
    <t>2025-08-13 22:04:40</t>
  </si>
  <si>
    <t>2025-08-28 22:04:56</t>
  </si>
  <si>
    <t>2025-08-21 23:19:26</t>
  </si>
  <si>
    <t>;JDX042521186517(收） Z1576-黑色-M*1#</t>
  </si>
  <si>
    <t>618892ca0000000010007c31</t>
  </si>
  <si>
    <t>P770638780093456882</t>
  </si>
  <si>
    <t>181****8041</t>
  </si>
  <si>
    <t>440306004</t>
  </si>
  <si>
    <t>6896fe335cb63500154f597a</t>
  </si>
  <si>
    <t>XHS-2Z0FTLHATY4G</t>
  </si>
  <si>
    <t>6896fe335cb63500154f5979</t>
  </si>
  <si>
    <t>【老板周】松弛感 春夏新款简约休闲宽松阔腿弯刀私服裤 黑色 M（100-120斤）</t>
  </si>
  <si>
    <t>2025-08-13 20:06:25</t>
  </si>
  <si>
    <t>73568731902560</t>
  </si>
  <si>
    <t>2025-08-13 20:06:20</t>
  </si>
  <si>
    <t>2025-08-28 20:06:25</t>
  </si>
  <si>
    <t>2025-08-19 22:48:51</t>
  </si>
  <si>
    <t>2025-08-26 22:48:51</t>
  </si>
  <si>
    <t>5ad200f54eacab2e0d3580f1</t>
  </si>
  <si>
    <t>Z1581-黑色-M</t>
  </si>
  <si>
    <t>6896fe335cb63500154f5970</t>
  </si>
  <si>
    <t>【老板周】松弛感 春夏新款简约休闲宽松阔腿弯刀私服裤</t>
  </si>
  <si>
    <t>P770637065043122801</t>
  </si>
  <si>
    <t>橘*</t>
  </si>
  <si>
    <t>188****3517</t>
  </si>
  <si>
    <t>广西壮族自治区 南宁市 青秀区 ***</t>
  </si>
  <si>
    <t>南宁市</t>
  </si>
  <si>
    <t>青秀区</t>
  </si>
  <si>
    <t>450103</t>
  </si>
  <si>
    <t>6896fe335cb63500154f5974</t>
  </si>
  <si>
    <t>XHS-2Z0FTJ3XWUM8</t>
  </si>
  <si>
    <t>6896fe335cb63500154f5973</t>
  </si>
  <si>
    <t>【老板周】松弛感 春夏新款简约休闲宽松阔腿弯刀私服裤 白色 M（100-120斤）</t>
  </si>
  <si>
    <t>白色 M（100-120斤）</t>
  </si>
  <si>
    <t>4350602266202508138211126988</t>
  </si>
  <si>
    <t>2025-08-13 19:38:00</t>
  </si>
  <si>
    <t>73568731902440</t>
  </si>
  <si>
    <t>2025-08-13 19:37:45</t>
  </si>
  <si>
    <t>2025-08-28 19:38:00</t>
  </si>
  <si>
    <t>2025-08-19 22:29:58</t>
  </si>
  <si>
    <t>2025-08-26 22:29:58</t>
  </si>
  <si>
    <t>57629b8f50c4b43c0b5f0f18</t>
  </si>
  <si>
    <t>Z1581-白色-M</t>
  </si>
  <si>
    <t>P770629227939064881</t>
  </si>
  <si>
    <t>冯**</t>
  </si>
  <si>
    <t>156****4106</t>
  </si>
  <si>
    <t>北京 北京市 平谷区 ***</t>
  </si>
  <si>
    <t>平谷区</t>
  </si>
  <si>
    <t>110117005000</t>
  </si>
  <si>
    <t>6894abfd581ea2001544ce83</t>
  </si>
  <si>
    <t>XHS-3IRG3JNKD98G</t>
  </si>
  <si>
    <t>6894abfd581ea2001544ce82</t>
  </si>
  <si>
    <t>【老板周】法式复古 秋冬新品不规则纹理白天鹅针织上衣 米白色 L（120-135斤）</t>
  </si>
  <si>
    <t>米白色 L（120-135斤）</t>
  </si>
  <si>
    <t>2025-08-13 17:27:09</t>
  </si>
  <si>
    <t>73569291685753</t>
  </si>
  <si>
    <t>2025-08-13 17:27:08</t>
  </si>
  <si>
    <t>2025-08-28 17:27:09</t>
  </si>
  <si>
    <t>2025-08-23 22:17:49</t>
  </si>
  <si>
    <t>2025-08-27 07:04:23</t>
  </si>
  <si>
    <t>60364dbb0000000001000844</t>
  </si>
  <si>
    <t>Z2333-米白色-L</t>
  </si>
  <si>
    <t>6894abfd581ea2001544ce7d</t>
  </si>
  <si>
    <t>【老板周】法式复古 秋冬新品不规则纹理白天鹅针织上衣</t>
  </si>
  <si>
    <t>P770633097859472931</t>
  </si>
  <si>
    <t>文**</t>
  </si>
  <si>
    <t>138****5050</t>
  </si>
  <si>
    <t>辽宁省 沈阳市 苏家屯区 ***</t>
  </si>
  <si>
    <t>苏家屯区</t>
  </si>
  <si>
    <t>210111</t>
  </si>
  <si>
    <t>6896fe335cb63500154f597c</t>
  </si>
  <si>
    <t>XHS-2Z0FTM8FFZEO</t>
  </si>
  <si>
    <t>6896fe335cb63500154f597b</t>
  </si>
  <si>
    <t>【老板周】松弛感 春夏新款简约休闲宽松阔腿弯刀私服裤 黑色 L（120-135斤）</t>
  </si>
  <si>
    <t>2025081322001471731419169749</t>
  </si>
  <si>
    <t>2025-08-13 18:31:44</t>
  </si>
  <si>
    <t>73568731902281</t>
  </si>
  <si>
    <t>2025-08-13 18:31:38</t>
  </si>
  <si>
    <t>2025-08-28 18:31:44</t>
  </si>
  <si>
    <t>2025-08-19 22:17:32</t>
  </si>
  <si>
    <t>2025-08-26 22:17:33</t>
  </si>
  <si>
    <t>;772046773695972(收） Z1581-黑色-L*1#</t>
  </si>
  <si>
    <t>5c2cd2ef0000000007037223</t>
  </si>
  <si>
    <t>Z1581-黑色-L</t>
  </si>
  <si>
    <t>P770628663394212021</t>
  </si>
  <si>
    <t>风*</t>
  </si>
  <si>
    <t>182****6980</t>
  </si>
  <si>
    <t>河南省 南阳市 唐河县 ***</t>
  </si>
  <si>
    <t>南阳市</t>
  </si>
  <si>
    <t>唐河县</t>
  </si>
  <si>
    <t>411328101000</t>
  </si>
  <si>
    <t>6894abfd581ea2001544ce81</t>
  </si>
  <si>
    <t>XHS-3IRG3JNFDGJK</t>
  </si>
  <si>
    <t>6894abfd581ea2001544ce80</t>
  </si>
  <si>
    <t>【老板周】法式复古 秋冬新品不规则纹理白天鹅针织上衣 米白色 M（100-120斤）</t>
  </si>
  <si>
    <t>米白色 M（100-120斤）</t>
  </si>
  <si>
    <t>2025081322001411221414995144</t>
  </si>
  <si>
    <t>2025-08-13 17:17:55</t>
  </si>
  <si>
    <t>73569291686316</t>
  </si>
  <si>
    <t>2025-08-13 17:17:43</t>
  </si>
  <si>
    <t>2025-08-28 17:17:55</t>
  </si>
  <si>
    <t>2025-08-23 22:19:03</t>
  </si>
  <si>
    <t>;SF3230189229018(收） Z2333-米白色-M*1#</t>
  </si>
  <si>
    <t>5fc21a700000000001005077</t>
  </si>
  <si>
    <t>Z2333-米白色-M</t>
  </si>
  <si>
    <t>P770625887719453891</t>
  </si>
  <si>
    <t>138****1310</t>
  </si>
  <si>
    <t>天津 天津市 河西区 ***</t>
  </si>
  <si>
    <t>河西区</t>
  </si>
  <si>
    <t>120103003</t>
  </si>
  <si>
    <t>689b434256a70c0015776468</t>
  </si>
  <si>
    <t>XHS-3JR16LNXWRGG</t>
  </si>
  <si>
    <t>689b434256a70c0015776467</t>
  </si>
  <si>
    <t>LAO BAN ZHOU 【老板周】休闲经典 秋冬新品时髦百搭牛仔破洞背带裤 牛仔蓝色 L（120-135斤）</t>
  </si>
  <si>
    <t>牛仔蓝色 L（120-135斤）</t>
  </si>
  <si>
    <t>2025081322001463681445754321</t>
  </si>
  <si>
    <t>2025-08-13 16:31:38</t>
  </si>
  <si>
    <t>73568436949837</t>
  </si>
  <si>
    <t>2025-08-13 16:31:27</t>
  </si>
  <si>
    <t>2025-08-28 16:31:38</t>
  </si>
  <si>
    <t>2025-08-17 20:43:59</t>
  </si>
  <si>
    <t>2025-08-24 20:43:59</t>
  </si>
  <si>
    <t>;JDX042558273617(收） Z2284-牛仔蓝色-L*1#</t>
  </si>
  <si>
    <t>574a54625e87e71443ed2da8</t>
  </si>
  <si>
    <t>Z2284-牛仔蓝色-L</t>
  </si>
  <si>
    <t>689b434256a70c0015776462</t>
  </si>
  <si>
    <t>【老板周】休闲经典 秋冬新品时髦百搭牛仔破洞背带裤</t>
  </si>
  <si>
    <t>P770388218319370581</t>
  </si>
  <si>
    <t>唐**</t>
  </si>
  <si>
    <t>138****6293</t>
  </si>
  <si>
    <t>浙江省 绍兴市 越城区 ***</t>
  </si>
  <si>
    <t>越城区</t>
  </si>
  <si>
    <t>330602006000</t>
  </si>
  <si>
    <t>6894abfd581ea2001544ce7f</t>
  </si>
  <si>
    <t>XHS-3IRG3JNADNUO</t>
  </si>
  <si>
    <t>6894abfd581ea2001544ce7e</t>
  </si>
  <si>
    <t>【老板周】法式复古 秋冬新品不规则纹理白天鹅针织上衣 米白色 S（80-100斤）</t>
  </si>
  <si>
    <t>米白色 S（80-100斤）</t>
  </si>
  <si>
    <t>4304702266202508100505551309</t>
  </si>
  <si>
    <t>2025-08-10 22:30:26</t>
  </si>
  <si>
    <t>73568735150240</t>
  </si>
  <si>
    <t>2025-08-10 22:30:18</t>
  </si>
  <si>
    <t>2025-08-25 22:30:26</t>
  </si>
  <si>
    <t>2025-08-19 23:24:11</t>
  </si>
  <si>
    <t>2025-08-26 23:24:11</t>
  </si>
  <si>
    <t>5890a2d76a6a690a36528a3e</t>
  </si>
  <si>
    <t>Z2333-米白色-S</t>
  </si>
  <si>
    <t>P770388132291000981</t>
  </si>
  <si>
    <t>J******</t>
  </si>
  <si>
    <t>150****6385</t>
  </si>
  <si>
    <t>辽宁省 沈阳市 和平区 ***</t>
  </si>
  <si>
    <t>和平区</t>
  </si>
  <si>
    <t>210102</t>
  </si>
  <si>
    <t>2025081022001411621442949422</t>
  </si>
  <si>
    <t>2025-08-10 22:28:58</t>
  </si>
  <si>
    <t>73568735151325</t>
  </si>
  <si>
    <t>2025-08-10 22:28:52</t>
  </si>
  <si>
    <t>2025-08-25 22:28:58</t>
  </si>
  <si>
    <t>2025-08-19 23:24:06</t>
  </si>
  <si>
    <t>2025-08-26 23:24:06</t>
  </si>
  <si>
    <t>5759b61150c4b432a713734c</t>
  </si>
  <si>
    <t>P770381824712038751</t>
  </si>
  <si>
    <t>已改地址</t>
  </si>
  <si>
    <t>贺*</t>
  </si>
  <si>
    <t>136****5810</t>
  </si>
  <si>
    <t>山东省 青岛市 市北区 ***</t>
  </si>
  <si>
    <t>青岛市</t>
  </si>
  <si>
    <t>市北区</t>
  </si>
  <si>
    <t>370203035000</t>
  </si>
  <si>
    <t>68970ccdfe39ac0015b91516</t>
  </si>
  <si>
    <t>XHS-31Z6WPZ8ZG1S</t>
  </si>
  <si>
    <t>68970ccdfe39ac0015b91515</t>
  </si>
  <si>
    <t>【老板周】复古英伦 极简设计立体剪裁无领廓形外套 黑色 L（120-135斤）</t>
  </si>
  <si>
    <t>4324602291202508101380702260</t>
  </si>
  <si>
    <t>2025-08-10 20:43:53</t>
  </si>
  <si>
    <t>73568444479401</t>
  </si>
  <si>
    <t>2025-08-10 20:43:44</t>
  </si>
  <si>
    <t>2025-08-25 20:43:53</t>
  </si>
  <si>
    <t>2025-08-17 22:17:32</t>
  </si>
  <si>
    <t>2025-08-24 22:17:32</t>
  </si>
  <si>
    <t>;JDX042514972942(收） Z1688-黑色-L*1#</t>
  </si>
  <si>
    <t>598eec1f5e87e77b1b9d8e14</t>
  </si>
  <si>
    <t>Z1688-黑色-L</t>
  </si>
  <si>
    <t>68970ccdfe39ac0015b91510</t>
  </si>
  <si>
    <t>【老板周】复古英伦 极简设计立体剪裁无领廓形外套</t>
  </si>
  <si>
    <t>P770450992956407491</t>
  </si>
  <si>
    <t>令*</t>
  </si>
  <si>
    <t>139****0198</t>
  </si>
  <si>
    <t>江苏省 南京市 鼓楼区 ***</t>
  </si>
  <si>
    <t>鼓楼区</t>
  </si>
  <si>
    <t>320106004000</t>
  </si>
  <si>
    <t>6896fe0c6d08080015500897</t>
  </si>
  <si>
    <t>XHS-3EHYVMDISL4W</t>
  </si>
  <si>
    <t>6896fe0c6d08080015500896</t>
  </si>
  <si>
    <t>【老板周】夏季轻盈 新品圆领气质轻薄不规则透气上衣 黑色 XL（120-135斤）</t>
  </si>
  <si>
    <t>黑色 XL（120-135斤）</t>
  </si>
  <si>
    <t>4350202571202508117674522708</t>
  </si>
  <si>
    <t>2025-08-11 15:56:40</t>
  </si>
  <si>
    <t>73568587024805</t>
  </si>
  <si>
    <t>2025-08-11 15:56:33</t>
  </si>
  <si>
    <t>2025-08-26 15:56:40</t>
  </si>
  <si>
    <t>2025-08-18 21:22:40</t>
  </si>
  <si>
    <t>2025-08-25 21:22:40</t>
  </si>
  <si>
    <t>;JDX042627226783(收） Z2183-黑色-XL*1#</t>
  </si>
  <si>
    <t>590833fb6a6a692fae5bf779</t>
  </si>
  <si>
    <t>Z2183-黑色-XL</t>
  </si>
  <si>
    <t>P770367158896295821</t>
  </si>
  <si>
    <t>任**</t>
  </si>
  <si>
    <t>155****7855</t>
  </si>
  <si>
    <t>河南省 驻马店市 驿城区 ***</t>
  </si>
  <si>
    <t>驻马店市</t>
  </si>
  <si>
    <t>驿城区</t>
  </si>
  <si>
    <t>411702560</t>
  </si>
  <si>
    <t>4301302476202508106956897163</t>
  </si>
  <si>
    <t>2025-08-10 16:39:25</t>
  </si>
  <si>
    <t>73568735151047</t>
  </si>
  <si>
    <t>2025-08-10 16:39:19</t>
  </si>
  <si>
    <t>2025-08-25 16:39:25</t>
  </si>
  <si>
    <t>59e062c844363b30f6a635bc</t>
  </si>
  <si>
    <t>P770368565398098151</t>
  </si>
  <si>
    <t>孙*</t>
  </si>
  <si>
    <t>186****6469</t>
  </si>
  <si>
    <t>210112019000</t>
  </si>
  <si>
    <t>6896fe335cb63500154f5972</t>
  </si>
  <si>
    <t>XHS-2Z0FTICW0FSW</t>
  </si>
  <si>
    <t>6896fe335cb63500154f5971</t>
  </si>
  <si>
    <t>【老板周】松弛感 春夏新款简约休闲宽松阔腿弯刀私服裤 白色 S（80-100斤）</t>
  </si>
  <si>
    <t>白色 S（80-100斤）</t>
  </si>
  <si>
    <t>2025081022001423741445185826</t>
  </si>
  <si>
    <t>2025-08-10 17:02:58</t>
  </si>
  <si>
    <t>73568735151182</t>
  </si>
  <si>
    <t>2025-08-10 17:02:45</t>
  </si>
  <si>
    <t>2025-08-25 17:02:58</t>
  </si>
  <si>
    <t>2025-08-19 23:42:34</t>
  </si>
  <si>
    <t>2025-08-26 23:42:35</t>
  </si>
  <si>
    <t>59ff31844eacab1697d24a79</t>
  </si>
  <si>
    <t>Z1581-白色-S</t>
  </si>
  <si>
    <t>P770376704723157681</t>
  </si>
  <si>
    <t>159****8552</t>
  </si>
  <si>
    <t>6896fe5c3b9d47001590a85b</t>
  </si>
  <si>
    <t>XHS-31AJPPHPB2TC</t>
  </si>
  <si>
    <t>6896fe5c3b9d47001590a85a</t>
  </si>
  <si>
    <t>【老板周】日系极简 春季新品圆领简约设计感无袖马甲 黑色 L（120-135斤）</t>
  </si>
  <si>
    <t>2025081022001473501431899573</t>
  </si>
  <si>
    <t>2025-08-10 19:18:30</t>
  </si>
  <si>
    <t>73569295930221</t>
  </si>
  <si>
    <t>2025-08-10 19:18:24</t>
  </si>
  <si>
    <t>2025-08-25 19:18:30</t>
  </si>
  <si>
    <t>2025-08-24 00:29:28</t>
  </si>
  <si>
    <t>;SF3230105023507(收） Z1640-黑色-L*1#</t>
  </si>
  <si>
    <t>558e7773c2bdeb562f568ff8</t>
  </si>
  <si>
    <t>Z1640-黑色-L</t>
  </si>
  <si>
    <t>年</t>
  </si>
  <si>
    <t>月</t>
  </si>
  <si>
    <t>订单行数</t>
  </si>
  <si>
    <t>订单序位</t>
  </si>
  <si>
    <t>平台商品编码</t>
  </si>
  <si>
    <t>商品编码</t>
  </si>
  <si>
    <t>销售数量</t>
  </si>
  <si>
    <t>应收客户</t>
  </si>
  <si>
    <t>应收平台</t>
  </si>
  <si>
    <t>收价外收费</t>
  </si>
  <si>
    <t>扣平台佣金用</t>
  </si>
  <si>
    <t>扣分销佣金</t>
  </si>
  <si>
    <t>扣其它费用</t>
  </si>
  <si>
    <t>应到账金额</t>
  </si>
  <si>
    <t>备注</t>
  </si>
  <si>
    <t>留用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</si>
  <si>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</si>
  <si>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</si>
  <si>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</si>
  <si>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</si>
  <si>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</si>
  <si>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</si>
  <si>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</si>
  <si>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</si>
  <si>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</si>
  <si>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</si>
  <si>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</si>
  <si>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</si>
  <si>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</si>
  <si>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</si>
  <si>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</si>
  <si>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</si>
  <si>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</si>
  <si>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</si>
  <si>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</si>
  <si>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</si>
  <si>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</si>
  <si>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</si>
  <si>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</si>
  <si>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</si>
  <si>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</si>
  <si>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</si>
  <si>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</si>
  <si>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</si>
  <si>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</si>
  <si>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</si>
  <si>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</si>
  <si>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</si>
  <si>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</si>
  <si>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</si>
  <si>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</si>
  <si>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</si>
  <si>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</si>
  <si>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R5640749128652672</t>
  </si>
  <si>
    <t>2025-08-31 14:13:53</t>
  </si>
  <si>
    <t>2025-08-31 22:10:26</t>
  </si>
  <si>
    <t>退款</t>
  </si>
  <si>
    <t>店铺余额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</si>
  <si>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</si>
  <si>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&gt;T</t>
    </r>
    <r>
      <rPr>
        <sz val="9"/>
        <color theme="1"/>
        <rFont val="宋体"/>
        <charset val="134"/>
      </rPr>
      <t>恤</t>
    </r>
  </si>
  <si>
    <r>
      <rPr>
        <sz val="9"/>
        <color theme="1"/>
        <rFont val="宋体"/>
        <charset val="134"/>
      </rPr>
      <t>老板周</t>
    </r>
    <r>
      <rPr>
        <sz val="9"/>
        <color theme="1"/>
        <rFont val="Arial"/>
        <charset val="134"/>
      </rPr>
      <t>.</t>
    </r>
  </si>
  <si>
    <t>达人带货</t>
  </si>
  <si>
    <t>2025-08-25 21:22:41</t>
  </si>
  <si>
    <t>结算入账</t>
  </si>
  <si>
    <t>2025-08-31 17:54:09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</si>
  <si>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</si>
  <si>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西装裤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正装裤</t>
    </r>
  </si>
  <si>
    <t>2025-08-31 17:40:23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</si>
  <si>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</si>
  <si>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毛针织衫</t>
    </r>
  </si>
  <si>
    <t>2025-08-31 17:24:56</t>
  </si>
  <si>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新品小众宽松时髦腰果花松紧腰休闲裤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</si>
  <si>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休闲裤</t>
    </r>
  </si>
  <si>
    <t>R8603412185555555</t>
  </si>
  <si>
    <t>2025-08-27 18:38:57</t>
  </si>
  <si>
    <t>2025-08-31 17:18:01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</si>
  <si>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</si>
  <si>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R1925024178435962</t>
  </si>
  <si>
    <t>2025-08-17 20:08:31</t>
  </si>
  <si>
    <t>2025-08-27 17:06:50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</si>
  <si>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</si>
  <si>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马夹</t>
    </r>
  </si>
  <si>
    <t>R1203875175623359</t>
  </si>
  <si>
    <t>2025-08-24 20:11:22</t>
  </si>
  <si>
    <t>2025-08-31 17:08:33</t>
  </si>
  <si>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极简设计立体剪裁无领廓形外套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</si>
  <si>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短外套</t>
    </r>
  </si>
  <si>
    <t>2025-08-27 16:58:50</t>
  </si>
  <si>
    <t>2025-08-31 16:46:31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</si>
  <si>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</si>
  <si>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R6845442155679510</t>
  </si>
  <si>
    <t>2025-08-24 10:33:34</t>
  </si>
  <si>
    <t>2025-08-31 16:38:40</t>
  </si>
  <si>
    <t>R5145426155617207</t>
  </si>
  <si>
    <t>2025-08-24 10:33:44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</si>
  <si>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</si>
  <si>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16:24:28</t>
  </si>
  <si>
    <t>2025-08-27 16:24:29</t>
  </si>
  <si>
    <t>R5423467132482381</t>
  </si>
  <si>
    <t>2025-08-15 20:44:49</t>
  </si>
  <si>
    <t>2025-08-25 17:13:43</t>
  </si>
  <si>
    <t>2025-08-31 16:38:36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</si>
  <si>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</si>
  <si>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16:20:07</t>
  </si>
  <si>
    <t>R0645884157385706</t>
  </si>
  <si>
    <t>2025-08-24 10:56:35</t>
  </si>
  <si>
    <t>2025-08-31 16:28:41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</si>
  <si>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</si>
  <si>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2025-08-27 16:18:15</t>
  </si>
  <si>
    <t>R3238260190940580</t>
  </si>
  <si>
    <t>2025-08-29 10:31:02</t>
  </si>
  <si>
    <t>2025-08-31 16:18:01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</si>
  <si>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</si>
  <si>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R4641436114866881</t>
  </si>
  <si>
    <t>2025-08-25 17:52:36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</si>
  <si>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</si>
  <si>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R0930489179160166</t>
  </si>
  <si>
    <t>2025-08-26 12:45:50</t>
  </si>
  <si>
    <t>2025-08-27 16:07:44</t>
  </si>
  <si>
    <t>R0832915122860985</t>
  </si>
  <si>
    <t>2025-08-24 17:52:27</t>
  </si>
  <si>
    <t>2025-08-31 16:18:00</t>
  </si>
  <si>
    <t>2025-08-27 16:05:05</t>
  </si>
  <si>
    <t>R2315768193245155</t>
  </si>
  <si>
    <t>2025-08-27 15:44:52</t>
  </si>
  <si>
    <t>2025-08-31 15:58:32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</si>
  <si>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</si>
  <si>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15:44:50</t>
  </si>
  <si>
    <t>R9709907173119522</t>
  </si>
  <si>
    <t>2025-08-26 11:51:51</t>
  </si>
  <si>
    <t>2025-08-31 15:47:53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</si>
  <si>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秋冬新款复古撞色条纹松弛感毛衣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条纹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</si>
  <si>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毛衣</t>
    </r>
  </si>
  <si>
    <t>2025-08-27 15:33:25</t>
  </si>
  <si>
    <t>R2947276140633243</t>
  </si>
  <si>
    <t>2025-08-15 15:14:17</t>
  </si>
  <si>
    <t>2025-08-25 11:49:57</t>
  </si>
  <si>
    <t>2025-08-31 15:38:21</t>
  </si>
  <si>
    <t>R6047212140616203</t>
  </si>
  <si>
    <t>2025-08-15 15:17:42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</si>
  <si>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</si>
  <si>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家居服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打底衣</t>
    </r>
  </si>
  <si>
    <t>2025-08-27 15:28:03</t>
  </si>
  <si>
    <t>2025-08-31 15:25:56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</si>
  <si>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</si>
  <si>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2025-08-31 15:15:19</t>
  </si>
  <si>
    <t>R4813845165840954</t>
  </si>
  <si>
    <t>2025-08-23 12:45:29</t>
  </si>
  <si>
    <t>2025-08-31 14:58:04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</si>
  <si>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</si>
  <si>
    <r>
      <rPr>
        <sz val="9"/>
        <color theme="1"/>
        <rFont val="宋体"/>
        <charset val="134"/>
      </rPr>
      <t>服饰配件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皮带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帽子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丝巾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披肩</t>
    </r>
  </si>
  <si>
    <t>R4813845165856171</t>
  </si>
  <si>
    <t>2025-08-23 12:55:22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</si>
  <si>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</si>
  <si>
    <t>R6517732120696464</t>
  </si>
  <si>
    <t>2025-08-24 19:50:23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</si>
  <si>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</si>
  <si>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14:44:36</t>
  </si>
  <si>
    <t>2025-08-27 14:46:38</t>
  </si>
  <si>
    <t>R4102338144623173</t>
  </si>
  <si>
    <t>2025-08-25 14:12:58</t>
  </si>
  <si>
    <t>2025-08-31 14:38:22</t>
  </si>
  <si>
    <t>2025-08-27 14:20:40</t>
  </si>
  <si>
    <t>R6728461164648415</t>
  </si>
  <si>
    <t>2025-08-27 14:18:33</t>
  </si>
  <si>
    <t>2025-08-31 14:28:00</t>
  </si>
  <si>
    <t>R0728489164679306</t>
  </si>
  <si>
    <t>R8328401169215658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</si>
  <si>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</si>
  <si>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R8228405164600003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</si>
  <si>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黑白条纹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</si>
  <si>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R1527805166706445</t>
  </si>
  <si>
    <t>2025-08-28 11:45:00</t>
  </si>
  <si>
    <t>2025-08-31 14:18:21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</si>
  <si>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</si>
  <si>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R9927815166637890</t>
  </si>
  <si>
    <t>R6344045174935685</t>
  </si>
  <si>
    <t>2025-08-27 15:24:48</t>
  </si>
  <si>
    <t>R9350115148146774</t>
  </si>
  <si>
    <t>2025-08-24 21:46:31</t>
  </si>
  <si>
    <t>2025-08-31 14:18:20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</si>
  <si>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</si>
  <si>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14:00:06</t>
  </si>
  <si>
    <t>R0219476121665775</t>
  </si>
  <si>
    <t>2025-08-24 12:07:11</t>
  </si>
  <si>
    <t>2025-08-31 14:07:16</t>
  </si>
  <si>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春季单口袋翻领设计感廓形百搭衬衫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</si>
  <si>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衬衫</t>
    </r>
  </si>
  <si>
    <t>2025-08-27 13:56:03</t>
  </si>
  <si>
    <t>R0413404195862919</t>
  </si>
  <si>
    <t>2025-08-25 16:01:04</t>
  </si>
  <si>
    <t>2025-08-31 13:58:03</t>
  </si>
  <si>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小众轻盈空气感重工泡泡绉小飞袖上衣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</si>
  <si>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R8137466135191193</t>
  </si>
  <si>
    <t>2025-08-15 16:25:53</t>
  </si>
  <si>
    <t>2025-08-25 16:14:30</t>
  </si>
  <si>
    <t>2025-08-27 13:48:11</t>
  </si>
  <si>
    <t>2025-08-27 13:41:04</t>
  </si>
  <si>
    <t>R4621360104909250</t>
  </si>
  <si>
    <t>2025-08-15 19:30:32</t>
  </si>
  <si>
    <t>2025-08-25 16:10:49</t>
  </si>
  <si>
    <t>2025-08-31 13:27:42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</si>
  <si>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</si>
  <si>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2025-08-27 13:17:15</t>
  </si>
  <si>
    <t>2025-08-31 13:00:49</t>
  </si>
  <si>
    <t>R1945389187966553</t>
  </si>
  <si>
    <t>2025-08-30 16:28:36</t>
  </si>
  <si>
    <t>2025-08-31 12:15:26</t>
  </si>
  <si>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秋冬新品时髦百搭牛仔破洞背带裤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牛仔蓝色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</si>
  <si>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连体衣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裤</t>
    </r>
  </si>
  <si>
    <t>R1141352150688208</t>
  </si>
  <si>
    <t>2025-08-13 21:30:35</t>
  </si>
  <si>
    <t>2025-08-25 10:31:17</t>
  </si>
  <si>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极简短版腰头抽绳设计宽松半身裙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</si>
  <si>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半身裙</t>
    </r>
  </si>
  <si>
    <t>R1141352150668192</t>
  </si>
  <si>
    <t>2025-08-25 10:32:17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</si>
  <si>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</si>
  <si>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R1141352150628113</t>
  </si>
  <si>
    <t>2025-08-24 23:50:33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</si>
  <si>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</si>
  <si>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11:52:32</t>
  </si>
  <si>
    <t>R4637148133227398</t>
  </si>
  <si>
    <t>2025-08-17 20:47:49</t>
  </si>
  <si>
    <t>2025-08-25 12:32:23</t>
  </si>
  <si>
    <t>2025-08-31 11:59:48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</si>
  <si>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</si>
  <si>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R4637148133202968</t>
  </si>
  <si>
    <t>2025-08-25 12:31:23</t>
  </si>
  <si>
    <t>R9421202111594216</t>
  </si>
  <si>
    <t>2025-08-25 17:50:58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</si>
  <si>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</si>
  <si>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R1530413144788905</t>
  </si>
  <si>
    <t>2025-08-25 09:49:42</t>
  </si>
  <si>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夏季薄款圆领口袋设计百搭三角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黄绿色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</si>
  <si>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11:35:16</t>
  </si>
  <si>
    <t>2025-08-27 11:37:31</t>
  </si>
  <si>
    <t>2025-08-27 11:35:49</t>
  </si>
  <si>
    <t>2025-08-15 15:54:25</t>
  </si>
  <si>
    <t>2025-08-31 11:47:24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</si>
  <si>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</si>
  <si>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R3318326126160277</t>
  </si>
  <si>
    <t>2025-08-25 20:54:30</t>
  </si>
  <si>
    <t>2025-08-31 11:46:59</t>
  </si>
  <si>
    <t>2025-08-27 11:24:41</t>
  </si>
  <si>
    <t>2025-08-31 11:41:04</t>
  </si>
  <si>
    <t>R5947293108593952</t>
  </si>
  <si>
    <t>2025-08-13 18:31:37</t>
  </si>
  <si>
    <t>2025-08-27 11:09:08</t>
  </si>
  <si>
    <t>2025-08-31 11:29:41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</si>
  <si>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</si>
  <si>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11:09:07</t>
  </si>
  <si>
    <t>2025-08-15 16:32:34</t>
  </si>
  <si>
    <t>2025-08-31 11:18:56</t>
  </si>
  <si>
    <t>2025-08-15 15:28:58</t>
  </si>
  <si>
    <t>2025-08-31 11:18:21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</si>
  <si>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</si>
  <si>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R8727250146668891</t>
  </si>
  <si>
    <t>2025-08-25 14:28:40</t>
  </si>
  <si>
    <t>2025-08-31 11:09:17</t>
  </si>
  <si>
    <t>2025-08-27 10:49:39</t>
  </si>
  <si>
    <t>2025-08-31 11:02:24</t>
  </si>
  <si>
    <t>2025-08-15 15:23:38</t>
  </si>
  <si>
    <t>2025-08-31 11:02:02</t>
  </si>
  <si>
    <t>R9841416122823869</t>
  </si>
  <si>
    <t>2025-08-15 15:31:36</t>
  </si>
  <si>
    <t>2025-08-27 10:36:55</t>
  </si>
  <si>
    <t>2025-08-31 10:48:24</t>
  </si>
  <si>
    <t>R3332154112866328</t>
  </si>
  <si>
    <t>2025-08-25 22:25:34</t>
  </si>
  <si>
    <t>2025-08-27 10:35:24</t>
  </si>
  <si>
    <t>2025-08-27 10:36:35</t>
  </si>
  <si>
    <t>R4751020114022398</t>
  </si>
  <si>
    <t>2025-08-26 10:37:32</t>
  </si>
  <si>
    <t>2025-08-31 10:48:22</t>
  </si>
  <si>
    <t>2025-08-27 10:33:10</t>
  </si>
  <si>
    <t>R1147828149607596</t>
  </si>
  <si>
    <t>2025-08-24 17:56:12</t>
  </si>
  <si>
    <t>2025-08-31 10:18:22</t>
  </si>
  <si>
    <t>2025-08-27 10:01:50</t>
  </si>
  <si>
    <t>2025-08-15 15:17:37</t>
  </si>
  <si>
    <t>2025-08-31 09:57:03</t>
  </si>
  <si>
    <t>2025-08-31 09:00:28</t>
  </si>
  <si>
    <t>2025-08-31 08:24:46</t>
  </si>
  <si>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秋冬无缝一体半高领显瘦打底针织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</si>
  <si>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2025-08-13 17:27:07</t>
  </si>
  <si>
    <t>2025-08-31 07:12:30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</si>
  <si>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</si>
  <si>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R4207026192578684</t>
  </si>
  <si>
    <t>2025-08-27 06:54:20</t>
  </si>
  <si>
    <t>2025-08-31 07:00:40</t>
  </si>
  <si>
    <t>2025-08-27 06:54:08</t>
  </si>
  <si>
    <t>2025-08-31 06:22:21</t>
  </si>
  <si>
    <t>2025-08-10 16:39:18</t>
  </si>
  <si>
    <t>2025-08-26 23:24:07</t>
  </si>
  <si>
    <t>2025-08-31 00:38:36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</si>
  <si>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</si>
  <si>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惊喜回归券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</si>
  <si>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2025-08-31 00:25:47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</si>
  <si>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</si>
  <si>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R7401764168672366</t>
  </si>
  <si>
    <t>2025-08-20 21:02:20</t>
  </si>
  <si>
    <t>2025-08-31 00:25:46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</si>
  <si>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</si>
  <si>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2025-08-26 22:18:13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</si>
  <si>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</si>
  <si>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00:25:39</t>
  </si>
  <si>
    <t>2025-08-31 00:25:21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</si>
  <si>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</si>
  <si>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00:25:14</t>
  </si>
  <si>
    <t>2025-08-31 00:25:02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</si>
  <si>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</si>
  <si>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</si>
  <si>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t>2025-08-31 00:24:53</t>
  </si>
  <si>
    <t>2025-08-15 15:28:54</t>
  </si>
  <si>
    <t>2025-08-31 00:24:49</t>
  </si>
  <si>
    <t>2025-08-31 00:24:46</t>
  </si>
  <si>
    <t>2025-08-31 00:24:44</t>
  </si>
  <si>
    <t>2025-08-31 00:24:17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</si>
  <si>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</si>
  <si>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2025-08-31 00:24:05</t>
  </si>
  <si>
    <t>2025-08-31 00:24:03</t>
  </si>
  <si>
    <t>2025-08-31 00:23:37</t>
  </si>
  <si>
    <t>2025-08-31 00:22:52</t>
  </si>
  <si>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秋冬细腻柔软连帽单排扣针织上衣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</si>
  <si>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00:22:07</t>
  </si>
  <si>
    <t>2025-08-31 00:22:03</t>
  </si>
  <si>
    <t>2025-08-31 00:22:01</t>
  </si>
  <si>
    <t>2025-08-31 00:21:58</t>
  </si>
  <si>
    <t>2025-08-31 00:21:41</t>
  </si>
  <si>
    <t>2025-08-31 00:21:40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</si>
  <si>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</si>
  <si>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2025-08-31 00:21:37</t>
  </si>
  <si>
    <t>2025-08-31 00:21:16</t>
  </si>
  <si>
    <t>2025-08-31 00:21:11</t>
  </si>
  <si>
    <t>2025-08-31 00:21:03</t>
  </si>
  <si>
    <t>2025-08-31 00:21:00</t>
  </si>
  <si>
    <t>2025-08-31 00:20:43</t>
  </si>
  <si>
    <t>2025-08-31 00:20:17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</si>
  <si>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125-140</t>
    </r>
    <r>
      <rPr>
        <sz val="9"/>
        <color theme="1"/>
        <rFont val="宋体"/>
        <charset val="134"/>
      </rPr>
      <t>斤）</t>
    </r>
  </si>
  <si>
    <t>2025-08-31 00:19:59</t>
  </si>
  <si>
    <t>2025-08-31 00:19:52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</si>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</sst>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0"/>
      <name val="Microsoft YaHei"/>
      <charset val="134"/>
    </font>
    <font>
      <b/>
      <sz val="9"/>
      <color rgb="FFFF0000"/>
      <name val="Microsoft YaHei"/>
      <charset val="134"/>
    </font>
    <font>
      <sz val="9"/>
      <color theme="1"/>
      <name val="宋体-简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方正书宋_GBK"/>
      <charset val="134"/>
    </font>
    <font>
      <sz val="9"/>
      <color rgb="FF000000"/>
      <name val="宋体"/>
      <charset val="0"/>
      <scheme val="minor"/>
    </font>
    <font>
      <sz val="9"/>
      <name val="方正书宋_GBK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43" fontId="6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 wrapText="1"/>
    </xf>
    <xf numFmtId="0" fontId="1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  <xf numFmtId="0" fontId="1" fillId="5" borderId="6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3" fillId="2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43" fontId="13" fillId="2" borderId="0" xfId="0" applyNumberFormat="1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43" fontId="14" fillId="2" borderId="7" xfId="0" applyNumberFormat="1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3" fillId="2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S102"/>
  <sheetViews>
    <sheetView zoomScale="85" zoomScaleNormal="85" workbookViewId="0">
      <pane xSplit="1" ySplit="1" topLeftCell="B68" activePane="bottomRight" state="frozen"/>
      <selection/>
      <selection pane="topRight"/>
      <selection pane="bottomLeft"/>
      <selection pane="bottomRight" activeCell="A1" sqref="A$1:A$1048576"/>
    </sheetView>
  </sheetViews>
  <sheetFormatPr defaultColWidth="8.84615384615385" defaultRowHeight="16.8"/>
  <cols>
    <col min="1" max="1" width="22.9519230769231" style="40" customWidth="1"/>
    <col min="2" max="2" width="16.8269230769231" style="41" customWidth="1"/>
    <col min="3" max="4" width="16" style="41"/>
    <col min="5" max="5" width="11.8653846153846" style="41" customWidth="1"/>
    <col min="6" max="7" width="16" style="41"/>
    <col min="8" max="8" width="46.7692307692308" style="41" customWidth="1"/>
    <col min="9" max="12" width="16" style="41"/>
    <col min="13" max="13" width="27.4230769230769" style="41" customWidth="1"/>
    <col min="14" max="14" width="24.3173076923077" style="41" customWidth="1"/>
    <col min="15" max="15" width="26.3942307692308" style="40" customWidth="1"/>
    <col min="16" max="16" width="27.3365384615385" style="41" customWidth="1"/>
    <col min="17" max="17" width="16" style="41"/>
    <col min="18" max="18" width="48.8461538461538" style="41" customWidth="1"/>
    <col min="19" max="19" width="25.6346153846154" style="41" customWidth="1"/>
    <col min="20" max="20" width="16" style="40"/>
    <col min="21" max="23" width="8.85576923076923" style="41" customWidth="1"/>
    <col min="24" max="24" width="16" style="42"/>
    <col min="25" max="25" width="16" style="40"/>
    <col min="26" max="30" width="16" style="41"/>
    <col min="31" max="31" width="34.6538461538462" style="41" customWidth="1"/>
    <col min="32" max="32" width="16" style="41"/>
    <col min="33" max="33" width="10.875" style="41" customWidth="1"/>
    <col min="34" max="37" width="16" style="41"/>
    <col min="38" max="38" width="16" style="40"/>
    <col min="39" max="50" width="16" style="41"/>
    <col min="51" max="51" width="21.7884615384615" style="41" customWidth="1"/>
    <col min="52" max="52" width="16" style="41"/>
    <col min="53" max="53" width="21.7884615384615" style="41" customWidth="1"/>
    <col min="54" max="68" width="16" style="41"/>
    <col min="69" max="69" width="16" style="40"/>
    <col min="70" max="70" width="26.9038461538462" style="41" customWidth="1"/>
    <col min="71" max="71" width="63.0480769230769" style="43" customWidth="1"/>
  </cols>
  <sheetData>
    <row r="1" s="39" customFormat="1" ht="58" spans="1:71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6" t="s">
        <v>13</v>
      </c>
      <c r="O1" s="44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4" t="s">
        <v>19</v>
      </c>
      <c r="U1" s="45" t="s">
        <v>20</v>
      </c>
      <c r="V1" s="45" t="s">
        <v>21</v>
      </c>
      <c r="W1" s="45" t="s">
        <v>22</v>
      </c>
      <c r="X1" s="47" t="s">
        <v>23</v>
      </c>
      <c r="Y1" s="44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45" t="s">
        <v>34</v>
      </c>
      <c r="AJ1" s="45" t="s">
        <v>35</v>
      </c>
      <c r="AK1" s="45" t="s">
        <v>36</v>
      </c>
      <c r="AL1" s="44" t="s">
        <v>37</v>
      </c>
      <c r="AM1" s="45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45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45" t="s">
        <v>60</v>
      </c>
      <c r="BJ1" s="45" t="s">
        <v>61</v>
      </c>
      <c r="BK1" s="45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44" t="s">
        <v>68</v>
      </c>
      <c r="BR1" s="45" t="s">
        <v>69</v>
      </c>
      <c r="BS1" s="48" t="s">
        <v>70</v>
      </c>
    </row>
    <row r="2" spans="1:71">
      <c r="A2" s="40" t="s">
        <v>71</v>
      </c>
      <c r="B2" s="41" t="s">
        <v>72</v>
      </c>
      <c r="C2" s="41" t="s">
        <v>73</v>
      </c>
      <c r="D2" s="41" t="s">
        <v>74</v>
      </c>
      <c r="E2" s="41" t="s">
        <v>75</v>
      </c>
      <c r="F2" s="41" t="s">
        <v>76</v>
      </c>
      <c r="G2" s="41" t="s">
        <v>77</v>
      </c>
      <c r="H2" s="41" t="s">
        <v>78</v>
      </c>
      <c r="I2" s="41" t="s">
        <v>79</v>
      </c>
      <c r="J2" s="41" t="s">
        <v>80</v>
      </c>
      <c r="K2" s="41" t="s">
        <v>81</v>
      </c>
      <c r="L2" s="41" t="s">
        <v>82</v>
      </c>
      <c r="M2" s="41" t="s">
        <v>83</v>
      </c>
      <c r="N2" s="41" t="s">
        <v>84</v>
      </c>
      <c r="O2" s="40" t="s">
        <v>85</v>
      </c>
      <c r="P2" s="41" t="s">
        <v>75</v>
      </c>
      <c r="Q2" s="41" t="s">
        <v>75</v>
      </c>
      <c r="R2" s="41" t="s">
        <v>86</v>
      </c>
      <c r="S2" s="41" t="s">
        <v>87</v>
      </c>
      <c r="T2" s="49">
        <v>1</v>
      </c>
      <c r="U2" s="41" t="s">
        <v>75</v>
      </c>
      <c r="V2" s="41" t="s">
        <v>75</v>
      </c>
      <c r="W2" s="50">
        <v>249</v>
      </c>
      <c r="X2" s="49">
        <v>249</v>
      </c>
      <c r="Y2" s="49">
        <v>0</v>
      </c>
      <c r="Z2" s="50">
        <v>0</v>
      </c>
      <c r="AA2" s="41" t="s">
        <v>75</v>
      </c>
      <c r="AB2" s="50">
        <v>0</v>
      </c>
      <c r="AC2" s="50">
        <v>249</v>
      </c>
      <c r="AD2" s="41" t="s">
        <v>88</v>
      </c>
      <c r="AE2" s="41" t="s">
        <v>89</v>
      </c>
      <c r="AF2" s="41" t="s">
        <v>75</v>
      </c>
      <c r="AG2" s="41" t="s">
        <v>75</v>
      </c>
      <c r="AH2" s="41" t="s">
        <v>75</v>
      </c>
      <c r="AI2" s="41" t="s">
        <v>90</v>
      </c>
      <c r="AJ2" s="41" t="s">
        <v>75</v>
      </c>
      <c r="AK2" s="41" t="s">
        <v>91</v>
      </c>
      <c r="AL2" s="40" t="s">
        <v>92</v>
      </c>
      <c r="AM2" s="41" t="s">
        <v>93</v>
      </c>
      <c r="AN2" s="41" t="s">
        <v>94</v>
      </c>
      <c r="AO2" s="41" t="s">
        <v>75</v>
      </c>
      <c r="AP2" s="41" t="s">
        <v>75</v>
      </c>
      <c r="AQ2" s="41" t="s">
        <v>75</v>
      </c>
      <c r="AR2" s="41" t="s">
        <v>75</v>
      </c>
      <c r="AS2" s="41" t="s">
        <v>75</v>
      </c>
      <c r="AT2" s="41" t="s">
        <v>75</v>
      </c>
      <c r="AU2" s="41" t="s">
        <v>75</v>
      </c>
      <c r="AV2" s="41" t="s">
        <v>95</v>
      </c>
      <c r="AW2" s="41" t="s">
        <v>75</v>
      </c>
      <c r="AX2" s="41" t="s">
        <v>75</v>
      </c>
      <c r="AY2" s="41" t="s">
        <v>96</v>
      </c>
      <c r="AZ2" s="41" t="s">
        <v>97</v>
      </c>
      <c r="BA2" s="41" t="s">
        <v>98</v>
      </c>
      <c r="BB2" s="41" t="s">
        <v>99</v>
      </c>
      <c r="BC2" s="41" t="s">
        <v>100</v>
      </c>
      <c r="BD2" s="41" t="s">
        <v>101</v>
      </c>
      <c r="BE2" s="41" t="s">
        <v>75</v>
      </c>
      <c r="BF2" s="41" t="s">
        <v>75</v>
      </c>
      <c r="BG2" s="41" t="s">
        <v>75</v>
      </c>
      <c r="BH2" s="41" t="s">
        <v>75</v>
      </c>
      <c r="BI2" s="41" t="s">
        <v>102</v>
      </c>
      <c r="BJ2" s="41" t="s">
        <v>103</v>
      </c>
      <c r="BK2" s="41" t="s">
        <v>104</v>
      </c>
      <c r="BL2" s="41" t="s">
        <v>105</v>
      </c>
      <c r="BM2" s="41" t="s">
        <v>75</v>
      </c>
      <c r="BN2" s="41" t="s">
        <v>75</v>
      </c>
      <c r="BO2" s="41" t="s">
        <v>75</v>
      </c>
      <c r="BP2" s="41" t="s">
        <v>75</v>
      </c>
      <c r="BQ2" s="40" t="s">
        <v>106</v>
      </c>
      <c r="BR2" s="41" t="s">
        <v>107</v>
      </c>
      <c r="BS2" s="43" t="s">
        <v>108</v>
      </c>
    </row>
    <row r="3" spans="1:71">
      <c r="A3" s="40" t="s">
        <v>109</v>
      </c>
      <c r="B3" s="41" t="s">
        <v>110</v>
      </c>
      <c r="C3" s="41" t="s">
        <v>111</v>
      </c>
      <c r="D3" s="41" t="s">
        <v>74</v>
      </c>
      <c r="E3" s="41" t="s">
        <v>75</v>
      </c>
      <c r="F3" s="41" t="s">
        <v>112</v>
      </c>
      <c r="G3" s="41" t="s">
        <v>113</v>
      </c>
      <c r="H3" s="41" t="s">
        <v>114</v>
      </c>
      <c r="I3" s="41" t="s">
        <v>115</v>
      </c>
      <c r="J3" s="41" t="s">
        <v>116</v>
      </c>
      <c r="K3" s="41" t="s">
        <v>117</v>
      </c>
      <c r="L3" s="41" t="s">
        <v>118</v>
      </c>
      <c r="M3" s="41" t="s">
        <v>119</v>
      </c>
      <c r="N3" s="41" t="s">
        <v>120</v>
      </c>
      <c r="O3" s="40" t="s">
        <v>121</v>
      </c>
      <c r="P3" s="41" t="s">
        <v>75</v>
      </c>
      <c r="Q3" s="41" t="s">
        <v>75</v>
      </c>
      <c r="R3" s="41" t="s">
        <v>122</v>
      </c>
      <c r="S3" s="41" t="s">
        <v>123</v>
      </c>
      <c r="T3" s="49">
        <v>1</v>
      </c>
      <c r="U3" s="41" t="s">
        <v>75</v>
      </c>
      <c r="V3" s="41" t="s">
        <v>75</v>
      </c>
      <c r="W3" s="50">
        <v>289</v>
      </c>
      <c r="X3" s="49">
        <v>289</v>
      </c>
      <c r="Y3" s="49">
        <v>0</v>
      </c>
      <c r="Z3" s="50">
        <v>0</v>
      </c>
      <c r="AA3" s="41" t="s">
        <v>75</v>
      </c>
      <c r="AB3" s="50">
        <v>0</v>
      </c>
      <c r="AC3" s="50">
        <v>289</v>
      </c>
      <c r="AD3" s="41" t="s">
        <v>88</v>
      </c>
      <c r="AE3" s="41" t="s">
        <v>124</v>
      </c>
      <c r="AF3" s="41" t="s">
        <v>75</v>
      </c>
      <c r="AG3" s="41" t="s">
        <v>75</v>
      </c>
      <c r="AH3" s="41" t="s">
        <v>75</v>
      </c>
      <c r="AI3" s="41" t="s">
        <v>125</v>
      </c>
      <c r="AJ3" s="41" t="s">
        <v>75</v>
      </c>
      <c r="AK3" s="41" t="s">
        <v>91</v>
      </c>
      <c r="AL3" s="40" t="s">
        <v>92</v>
      </c>
      <c r="AM3" s="41" t="s">
        <v>93</v>
      </c>
      <c r="AN3" s="41" t="s">
        <v>126</v>
      </c>
      <c r="AO3" s="41" t="s">
        <v>75</v>
      </c>
      <c r="AP3" s="41" t="s">
        <v>75</v>
      </c>
      <c r="AQ3" s="41" t="s">
        <v>75</v>
      </c>
      <c r="AR3" s="41" t="s">
        <v>75</v>
      </c>
      <c r="AS3" s="41" t="s">
        <v>75</v>
      </c>
      <c r="AT3" s="41" t="s">
        <v>75</v>
      </c>
      <c r="AU3" s="41" t="s">
        <v>75</v>
      </c>
      <c r="AV3" s="41" t="s">
        <v>127</v>
      </c>
      <c r="AW3" s="41" t="s">
        <v>75</v>
      </c>
      <c r="AX3" s="41" t="s">
        <v>75</v>
      </c>
      <c r="AY3" s="41" t="s">
        <v>128</v>
      </c>
      <c r="AZ3" s="41" t="s">
        <v>129</v>
      </c>
      <c r="BA3" s="41" t="s">
        <v>75</v>
      </c>
      <c r="BB3" s="41" t="s">
        <v>99</v>
      </c>
      <c r="BC3" s="41" t="s">
        <v>75</v>
      </c>
      <c r="BD3" s="41" t="s">
        <v>101</v>
      </c>
      <c r="BE3" s="41" t="s">
        <v>75</v>
      </c>
      <c r="BF3" s="41" t="s">
        <v>130</v>
      </c>
      <c r="BG3" s="41" t="s">
        <v>131</v>
      </c>
      <c r="BH3" s="41" t="s">
        <v>75</v>
      </c>
      <c r="BI3" s="41" t="s">
        <v>102</v>
      </c>
      <c r="BJ3" s="41" t="s">
        <v>132</v>
      </c>
      <c r="BK3" s="41" t="s">
        <v>104</v>
      </c>
      <c r="BL3" s="41" t="s">
        <v>105</v>
      </c>
      <c r="BM3" s="41" t="s">
        <v>75</v>
      </c>
      <c r="BN3" s="41" t="s">
        <v>75</v>
      </c>
      <c r="BO3" s="41" t="s">
        <v>75</v>
      </c>
      <c r="BP3" s="41" t="s">
        <v>75</v>
      </c>
      <c r="BQ3" s="40" t="s">
        <v>133</v>
      </c>
      <c r="BR3" s="41" t="s">
        <v>134</v>
      </c>
      <c r="BS3" s="43" t="s">
        <v>135</v>
      </c>
    </row>
    <row r="4" spans="1:71">
      <c r="A4" s="40" t="s">
        <v>136</v>
      </c>
      <c r="B4" s="41" t="s">
        <v>72</v>
      </c>
      <c r="C4" s="41" t="s">
        <v>73</v>
      </c>
      <c r="D4" s="41" t="s">
        <v>74</v>
      </c>
      <c r="E4" s="41" t="s">
        <v>137</v>
      </c>
      <c r="F4" s="41" t="s">
        <v>138</v>
      </c>
      <c r="G4" s="41" t="s">
        <v>139</v>
      </c>
      <c r="H4" s="41" t="s">
        <v>140</v>
      </c>
      <c r="I4" s="41" t="s">
        <v>141</v>
      </c>
      <c r="J4" s="41" t="s">
        <v>142</v>
      </c>
      <c r="K4" s="41" t="s">
        <v>143</v>
      </c>
      <c r="L4" s="41" t="s">
        <v>144</v>
      </c>
      <c r="M4" s="41" t="s">
        <v>145</v>
      </c>
      <c r="N4" s="41" t="s">
        <v>146</v>
      </c>
      <c r="O4" s="40" t="s">
        <v>147</v>
      </c>
      <c r="P4" s="41" t="s">
        <v>148</v>
      </c>
      <c r="Q4" s="41" t="s">
        <v>149</v>
      </c>
      <c r="R4" s="41" t="s">
        <v>150</v>
      </c>
      <c r="S4" s="41" t="s">
        <v>151</v>
      </c>
      <c r="T4" s="49">
        <v>1</v>
      </c>
      <c r="U4" s="41" t="s">
        <v>75</v>
      </c>
      <c r="V4" s="41" t="s">
        <v>75</v>
      </c>
      <c r="W4" s="50">
        <v>129</v>
      </c>
      <c r="X4" s="49">
        <v>129</v>
      </c>
      <c r="Y4" s="49">
        <v>0</v>
      </c>
      <c r="Z4" s="50">
        <v>0</v>
      </c>
      <c r="AA4" s="41" t="s">
        <v>75</v>
      </c>
      <c r="AB4" s="50">
        <v>0</v>
      </c>
      <c r="AC4" s="50">
        <v>129</v>
      </c>
      <c r="AD4" s="41" t="s">
        <v>88</v>
      </c>
      <c r="AE4" s="41" t="s">
        <v>152</v>
      </c>
      <c r="AF4" s="41" t="s">
        <v>75</v>
      </c>
      <c r="AG4" s="41" t="s">
        <v>75</v>
      </c>
      <c r="AH4" s="41" t="s">
        <v>75</v>
      </c>
      <c r="AI4" s="41" t="s">
        <v>153</v>
      </c>
      <c r="AJ4" s="41" t="s">
        <v>75</v>
      </c>
      <c r="AK4" s="41" t="s">
        <v>91</v>
      </c>
      <c r="AL4" s="40" t="s">
        <v>92</v>
      </c>
      <c r="AM4" s="41" t="s">
        <v>93</v>
      </c>
      <c r="AN4" s="41" t="s">
        <v>154</v>
      </c>
      <c r="AO4" s="41" t="s">
        <v>75</v>
      </c>
      <c r="AP4" s="41" t="s">
        <v>75</v>
      </c>
      <c r="AQ4" s="41" t="s">
        <v>75</v>
      </c>
      <c r="AR4" s="41" t="s">
        <v>75</v>
      </c>
      <c r="AS4" s="41" t="s">
        <v>75</v>
      </c>
      <c r="AT4" s="41" t="s">
        <v>75</v>
      </c>
      <c r="AU4" s="41" t="s">
        <v>75</v>
      </c>
      <c r="AV4" s="41" t="s">
        <v>155</v>
      </c>
      <c r="AW4" s="41" t="s">
        <v>75</v>
      </c>
      <c r="AX4" s="41" t="s">
        <v>75</v>
      </c>
      <c r="AY4" s="41" t="s">
        <v>156</v>
      </c>
      <c r="AZ4" s="41" t="s">
        <v>157</v>
      </c>
      <c r="BA4" s="41" t="s">
        <v>158</v>
      </c>
      <c r="BB4" s="41" t="s">
        <v>99</v>
      </c>
      <c r="BC4" s="41" t="s">
        <v>159</v>
      </c>
      <c r="BD4" s="41" t="s">
        <v>101</v>
      </c>
      <c r="BE4" s="41" t="s">
        <v>75</v>
      </c>
      <c r="BF4" s="41" t="s">
        <v>130</v>
      </c>
      <c r="BG4" s="41" t="s">
        <v>160</v>
      </c>
      <c r="BH4" s="41" t="s">
        <v>75</v>
      </c>
      <c r="BI4" s="41" t="s">
        <v>102</v>
      </c>
      <c r="BJ4" s="41" t="s">
        <v>161</v>
      </c>
      <c r="BK4" s="41" t="s">
        <v>104</v>
      </c>
      <c r="BL4" s="41" t="s">
        <v>105</v>
      </c>
      <c r="BM4" s="41" t="s">
        <v>75</v>
      </c>
      <c r="BN4" s="41" t="s">
        <v>75</v>
      </c>
      <c r="BO4" s="41" t="s">
        <v>75</v>
      </c>
      <c r="BP4" s="41" t="s">
        <v>75</v>
      </c>
      <c r="BQ4" s="40" t="s">
        <v>162</v>
      </c>
      <c r="BR4" s="41" t="s">
        <v>163</v>
      </c>
      <c r="BS4" s="43" t="s">
        <v>164</v>
      </c>
    </row>
    <row r="5" spans="1:71">
      <c r="A5" s="40" t="s">
        <v>136</v>
      </c>
      <c r="B5" s="41" t="s">
        <v>72</v>
      </c>
      <c r="C5" s="41" t="s">
        <v>111</v>
      </c>
      <c r="D5" s="41" t="s">
        <v>74</v>
      </c>
      <c r="E5" s="41" t="s">
        <v>137</v>
      </c>
      <c r="F5" s="41" t="s">
        <v>138</v>
      </c>
      <c r="G5" s="41" t="s">
        <v>139</v>
      </c>
      <c r="H5" s="41" t="s">
        <v>140</v>
      </c>
      <c r="I5" s="41" t="s">
        <v>141</v>
      </c>
      <c r="J5" s="41" t="s">
        <v>142</v>
      </c>
      <c r="K5" s="41" t="s">
        <v>143</v>
      </c>
      <c r="L5" s="41" t="s">
        <v>144</v>
      </c>
      <c r="M5" s="41" t="s">
        <v>165</v>
      </c>
      <c r="N5" s="41" t="s">
        <v>166</v>
      </c>
      <c r="O5" s="40" t="s">
        <v>167</v>
      </c>
      <c r="P5" s="41" t="s">
        <v>148</v>
      </c>
      <c r="Q5" s="41" t="s">
        <v>149</v>
      </c>
      <c r="R5" s="41" t="s">
        <v>168</v>
      </c>
      <c r="S5" s="41" t="s">
        <v>169</v>
      </c>
      <c r="T5" s="49">
        <v>1</v>
      </c>
      <c r="U5" s="41" t="s">
        <v>75</v>
      </c>
      <c r="V5" s="41" t="s">
        <v>75</v>
      </c>
      <c r="W5" s="50">
        <v>129</v>
      </c>
      <c r="X5" s="49">
        <v>129</v>
      </c>
      <c r="Y5" s="49">
        <v>0</v>
      </c>
      <c r="Z5" s="50">
        <v>0</v>
      </c>
      <c r="AA5" s="41" t="s">
        <v>75</v>
      </c>
      <c r="AB5" s="50">
        <v>0</v>
      </c>
      <c r="AC5" s="50">
        <v>129</v>
      </c>
      <c r="AD5" s="41" t="s">
        <v>88</v>
      </c>
      <c r="AE5" s="41" t="s">
        <v>152</v>
      </c>
      <c r="AF5" s="41" t="s">
        <v>75</v>
      </c>
      <c r="AG5" s="41" t="s">
        <v>75</v>
      </c>
      <c r="AH5" s="41" t="s">
        <v>75</v>
      </c>
      <c r="AI5" s="41" t="s">
        <v>153</v>
      </c>
      <c r="AJ5" s="41" t="s">
        <v>75</v>
      </c>
      <c r="AK5" s="41" t="s">
        <v>91</v>
      </c>
      <c r="AL5" s="40" t="s">
        <v>92</v>
      </c>
      <c r="AM5" s="41" t="s">
        <v>93</v>
      </c>
      <c r="AN5" s="41" t="s">
        <v>170</v>
      </c>
      <c r="AO5" s="41" t="s">
        <v>75</v>
      </c>
      <c r="AP5" s="41" t="s">
        <v>75</v>
      </c>
      <c r="AQ5" s="41" t="s">
        <v>75</v>
      </c>
      <c r="AR5" s="41" t="s">
        <v>75</v>
      </c>
      <c r="AS5" s="41" t="s">
        <v>75</v>
      </c>
      <c r="AT5" s="41" t="s">
        <v>75</v>
      </c>
      <c r="AU5" s="41" t="s">
        <v>75</v>
      </c>
      <c r="AV5" s="41" t="s">
        <v>155</v>
      </c>
      <c r="AW5" s="41" t="s">
        <v>75</v>
      </c>
      <c r="AX5" s="41" t="s">
        <v>75</v>
      </c>
      <c r="AY5" s="41" t="s">
        <v>156</v>
      </c>
      <c r="AZ5" s="41" t="s">
        <v>171</v>
      </c>
      <c r="BA5" s="41" t="s">
        <v>75</v>
      </c>
      <c r="BB5" s="41" t="s">
        <v>99</v>
      </c>
      <c r="BC5" s="41" t="s">
        <v>75</v>
      </c>
      <c r="BD5" s="41" t="s">
        <v>101</v>
      </c>
      <c r="BE5" s="41" t="s">
        <v>75</v>
      </c>
      <c r="BF5" s="41" t="s">
        <v>130</v>
      </c>
      <c r="BG5" s="41" t="s">
        <v>160</v>
      </c>
      <c r="BH5" s="41" t="s">
        <v>75</v>
      </c>
      <c r="BI5" s="41" t="s">
        <v>102</v>
      </c>
      <c r="BJ5" s="41" t="s">
        <v>161</v>
      </c>
      <c r="BK5" s="41" t="s">
        <v>104</v>
      </c>
      <c r="BL5" s="41" t="s">
        <v>105</v>
      </c>
      <c r="BM5" s="41" t="s">
        <v>75</v>
      </c>
      <c r="BN5" s="41" t="s">
        <v>75</v>
      </c>
      <c r="BO5" s="41" t="s">
        <v>75</v>
      </c>
      <c r="BP5" s="41" t="s">
        <v>75</v>
      </c>
      <c r="BQ5" s="40" t="s">
        <v>172</v>
      </c>
      <c r="BR5" s="41" t="s">
        <v>163</v>
      </c>
      <c r="BS5" s="43" t="s">
        <v>164</v>
      </c>
    </row>
    <row r="6" spans="1:71">
      <c r="A6" s="40" t="s">
        <v>173</v>
      </c>
      <c r="B6" s="41" t="s">
        <v>110</v>
      </c>
      <c r="C6" s="41" t="s">
        <v>111</v>
      </c>
      <c r="D6" s="41" t="s">
        <v>74</v>
      </c>
      <c r="E6" s="41" t="s">
        <v>75</v>
      </c>
      <c r="F6" s="41" t="s">
        <v>174</v>
      </c>
      <c r="G6" s="41" t="s">
        <v>175</v>
      </c>
      <c r="H6" s="41" t="s">
        <v>176</v>
      </c>
      <c r="I6" s="41" t="s">
        <v>79</v>
      </c>
      <c r="J6" s="41" t="s">
        <v>80</v>
      </c>
      <c r="K6" s="41" t="s">
        <v>177</v>
      </c>
      <c r="L6" s="41" t="s">
        <v>178</v>
      </c>
      <c r="M6" s="41" t="s">
        <v>179</v>
      </c>
      <c r="N6" s="41" t="s">
        <v>180</v>
      </c>
      <c r="O6" s="40" t="s">
        <v>181</v>
      </c>
      <c r="P6" s="41" t="s">
        <v>148</v>
      </c>
      <c r="Q6" s="41" t="s">
        <v>149</v>
      </c>
      <c r="R6" s="41" t="s">
        <v>182</v>
      </c>
      <c r="S6" s="41" t="s">
        <v>183</v>
      </c>
      <c r="T6" s="49">
        <v>1</v>
      </c>
      <c r="U6" s="41" t="s">
        <v>75</v>
      </c>
      <c r="V6" s="41" t="s">
        <v>75</v>
      </c>
      <c r="W6" s="50">
        <v>339</v>
      </c>
      <c r="X6" s="49">
        <v>339</v>
      </c>
      <c r="Y6" s="49">
        <v>0</v>
      </c>
      <c r="Z6" s="50">
        <v>0</v>
      </c>
      <c r="AA6" s="41" t="s">
        <v>75</v>
      </c>
      <c r="AB6" s="50">
        <v>0</v>
      </c>
      <c r="AC6" s="50">
        <v>339</v>
      </c>
      <c r="AD6" s="41" t="s">
        <v>88</v>
      </c>
      <c r="AE6" s="41" t="s">
        <v>184</v>
      </c>
      <c r="AF6" s="41" t="s">
        <v>75</v>
      </c>
      <c r="AG6" s="41" t="s">
        <v>75</v>
      </c>
      <c r="AH6" s="41" t="s">
        <v>75</v>
      </c>
      <c r="AI6" s="41" t="s">
        <v>185</v>
      </c>
      <c r="AJ6" s="41" t="s">
        <v>75</v>
      </c>
      <c r="AK6" s="41" t="s">
        <v>91</v>
      </c>
      <c r="AL6" s="40" t="s">
        <v>92</v>
      </c>
      <c r="AM6" s="41" t="s">
        <v>93</v>
      </c>
      <c r="AN6" s="41" t="s">
        <v>186</v>
      </c>
      <c r="AO6" s="41" t="s">
        <v>75</v>
      </c>
      <c r="AP6" s="41" t="s">
        <v>75</v>
      </c>
      <c r="AQ6" s="41" t="s">
        <v>75</v>
      </c>
      <c r="AR6" s="41" t="s">
        <v>75</v>
      </c>
      <c r="AS6" s="41" t="s">
        <v>75</v>
      </c>
      <c r="AT6" s="41" t="s">
        <v>75</v>
      </c>
      <c r="AU6" s="41" t="s">
        <v>75</v>
      </c>
      <c r="AV6" s="41" t="s">
        <v>187</v>
      </c>
      <c r="AW6" s="41" t="s">
        <v>75</v>
      </c>
      <c r="AX6" s="41" t="s">
        <v>75</v>
      </c>
      <c r="AY6" s="41" t="s">
        <v>188</v>
      </c>
      <c r="AZ6" s="41" t="s">
        <v>189</v>
      </c>
      <c r="BA6" s="41" t="s">
        <v>190</v>
      </c>
      <c r="BB6" s="41" t="s">
        <v>99</v>
      </c>
      <c r="BC6" s="41" t="s">
        <v>159</v>
      </c>
      <c r="BD6" s="41" t="s">
        <v>101</v>
      </c>
      <c r="BE6" s="41" t="s">
        <v>75</v>
      </c>
      <c r="BF6" s="41" t="s">
        <v>130</v>
      </c>
      <c r="BG6" s="41" t="s">
        <v>191</v>
      </c>
      <c r="BH6" s="41" t="s">
        <v>75</v>
      </c>
      <c r="BI6" s="41" t="s">
        <v>102</v>
      </c>
      <c r="BJ6" s="41" t="s">
        <v>192</v>
      </c>
      <c r="BK6" s="41" t="s">
        <v>104</v>
      </c>
      <c r="BL6" s="41" t="s">
        <v>105</v>
      </c>
      <c r="BM6" s="41" t="s">
        <v>75</v>
      </c>
      <c r="BN6" s="41" t="s">
        <v>75</v>
      </c>
      <c r="BO6" s="41" t="s">
        <v>75</v>
      </c>
      <c r="BP6" s="41" t="s">
        <v>75</v>
      </c>
      <c r="BQ6" s="40" t="s">
        <v>193</v>
      </c>
      <c r="BR6" s="41" t="s">
        <v>194</v>
      </c>
      <c r="BS6" s="43" t="s">
        <v>195</v>
      </c>
    </row>
    <row r="7" spans="1:71">
      <c r="A7" s="40" t="s">
        <v>196</v>
      </c>
      <c r="B7" s="41" t="s">
        <v>110</v>
      </c>
      <c r="C7" s="41" t="s">
        <v>111</v>
      </c>
      <c r="D7" s="41" t="s">
        <v>74</v>
      </c>
      <c r="E7" s="41" t="s">
        <v>75</v>
      </c>
      <c r="F7" s="41" t="s">
        <v>197</v>
      </c>
      <c r="G7" s="41" t="s">
        <v>198</v>
      </c>
      <c r="H7" s="41" t="s">
        <v>199</v>
      </c>
      <c r="I7" s="41" t="s">
        <v>200</v>
      </c>
      <c r="J7" s="41" t="s">
        <v>201</v>
      </c>
      <c r="K7" s="41" t="s">
        <v>202</v>
      </c>
      <c r="L7" s="41" t="s">
        <v>203</v>
      </c>
      <c r="M7" s="41" t="s">
        <v>204</v>
      </c>
      <c r="N7" s="41" t="s">
        <v>205</v>
      </c>
      <c r="O7" s="40" t="s">
        <v>206</v>
      </c>
      <c r="P7" s="41" t="s">
        <v>148</v>
      </c>
      <c r="Q7" s="41" t="s">
        <v>149</v>
      </c>
      <c r="R7" s="41" t="s">
        <v>207</v>
      </c>
      <c r="S7" s="41" t="s">
        <v>208</v>
      </c>
      <c r="T7" s="49">
        <v>1</v>
      </c>
      <c r="U7" s="41" t="s">
        <v>75</v>
      </c>
      <c r="V7" s="41" t="s">
        <v>75</v>
      </c>
      <c r="W7" s="50">
        <v>269</v>
      </c>
      <c r="X7" s="49">
        <v>269</v>
      </c>
      <c r="Y7" s="49">
        <v>0</v>
      </c>
      <c r="Z7" s="50">
        <v>0</v>
      </c>
      <c r="AA7" s="41" t="s">
        <v>75</v>
      </c>
      <c r="AB7" s="50">
        <v>0</v>
      </c>
      <c r="AC7" s="50">
        <v>269</v>
      </c>
      <c r="AD7" s="41" t="s">
        <v>209</v>
      </c>
      <c r="AE7" s="41" t="s">
        <v>210</v>
      </c>
      <c r="AF7" s="41" t="s">
        <v>75</v>
      </c>
      <c r="AG7" s="41" t="s">
        <v>75</v>
      </c>
      <c r="AH7" s="41" t="s">
        <v>75</v>
      </c>
      <c r="AI7" s="41" t="s">
        <v>211</v>
      </c>
      <c r="AJ7" s="41" t="s">
        <v>75</v>
      </c>
      <c r="AK7" s="41" t="s">
        <v>91</v>
      </c>
      <c r="AL7" s="40" t="s">
        <v>92</v>
      </c>
      <c r="AM7" s="41" t="s">
        <v>93</v>
      </c>
      <c r="AN7" s="41" t="s">
        <v>212</v>
      </c>
      <c r="AO7" s="41" t="s">
        <v>75</v>
      </c>
      <c r="AP7" s="41" t="s">
        <v>75</v>
      </c>
      <c r="AQ7" s="41" t="s">
        <v>75</v>
      </c>
      <c r="AR7" s="41" t="s">
        <v>75</v>
      </c>
      <c r="AS7" s="41" t="s">
        <v>75</v>
      </c>
      <c r="AT7" s="41" t="s">
        <v>75</v>
      </c>
      <c r="AU7" s="41" t="s">
        <v>75</v>
      </c>
      <c r="AV7" s="41" t="s">
        <v>213</v>
      </c>
      <c r="AW7" s="41" t="s">
        <v>75</v>
      </c>
      <c r="AX7" s="41" t="s">
        <v>75</v>
      </c>
      <c r="AY7" s="41" t="s">
        <v>214</v>
      </c>
      <c r="AZ7" s="41" t="s">
        <v>215</v>
      </c>
      <c r="BA7" s="41" t="s">
        <v>216</v>
      </c>
      <c r="BB7" s="41" t="s">
        <v>99</v>
      </c>
      <c r="BC7" s="41" t="s">
        <v>159</v>
      </c>
      <c r="BD7" s="41" t="s">
        <v>101</v>
      </c>
      <c r="BE7" s="41" t="s">
        <v>75</v>
      </c>
      <c r="BF7" s="41" t="s">
        <v>130</v>
      </c>
      <c r="BG7" s="41" t="s">
        <v>217</v>
      </c>
      <c r="BH7" s="41" t="s">
        <v>75</v>
      </c>
      <c r="BI7" s="41" t="s">
        <v>102</v>
      </c>
      <c r="BJ7" s="41" t="s">
        <v>218</v>
      </c>
      <c r="BK7" s="41" t="s">
        <v>104</v>
      </c>
      <c r="BL7" s="41" t="s">
        <v>105</v>
      </c>
      <c r="BM7" s="41" t="s">
        <v>75</v>
      </c>
      <c r="BN7" s="41" t="s">
        <v>75</v>
      </c>
      <c r="BO7" s="41" t="s">
        <v>75</v>
      </c>
      <c r="BP7" s="41" t="s">
        <v>75</v>
      </c>
      <c r="BQ7" s="40" t="s">
        <v>219</v>
      </c>
      <c r="BR7" s="41" t="s">
        <v>220</v>
      </c>
      <c r="BS7" s="43" t="s">
        <v>221</v>
      </c>
    </row>
    <row r="8" spans="1:71">
      <c r="A8" s="40" t="s">
        <v>222</v>
      </c>
      <c r="B8" s="41" t="s">
        <v>110</v>
      </c>
      <c r="C8" s="41" t="s">
        <v>111</v>
      </c>
      <c r="D8" s="41" t="s">
        <v>74</v>
      </c>
      <c r="E8" s="41" t="s">
        <v>75</v>
      </c>
      <c r="F8" s="41" t="s">
        <v>223</v>
      </c>
      <c r="G8" s="41" t="s">
        <v>224</v>
      </c>
      <c r="H8" s="41" t="s">
        <v>225</v>
      </c>
      <c r="I8" s="41" t="s">
        <v>226</v>
      </c>
      <c r="J8" s="41" t="s">
        <v>227</v>
      </c>
      <c r="K8" s="41" t="s">
        <v>228</v>
      </c>
      <c r="L8" s="41" t="s">
        <v>229</v>
      </c>
      <c r="M8" s="41" t="s">
        <v>230</v>
      </c>
      <c r="N8" s="41" t="s">
        <v>231</v>
      </c>
      <c r="O8" s="40" t="s">
        <v>232</v>
      </c>
      <c r="P8" s="41" t="s">
        <v>148</v>
      </c>
      <c r="Q8" s="41" t="s">
        <v>149</v>
      </c>
      <c r="R8" s="41" t="s">
        <v>233</v>
      </c>
      <c r="S8" s="41" t="s">
        <v>183</v>
      </c>
      <c r="T8" s="49">
        <v>1</v>
      </c>
      <c r="U8" s="41" t="s">
        <v>75</v>
      </c>
      <c r="V8" s="41" t="s">
        <v>75</v>
      </c>
      <c r="W8" s="50">
        <v>229</v>
      </c>
      <c r="X8" s="49">
        <v>229</v>
      </c>
      <c r="Y8" s="49">
        <v>0</v>
      </c>
      <c r="Z8" s="50">
        <v>0</v>
      </c>
      <c r="AA8" s="41" t="s">
        <v>75</v>
      </c>
      <c r="AB8" s="50">
        <v>0</v>
      </c>
      <c r="AC8" s="50">
        <v>229</v>
      </c>
      <c r="AD8" s="41" t="s">
        <v>88</v>
      </c>
      <c r="AE8" s="41" t="s">
        <v>234</v>
      </c>
      <c r="AF8" s="41" t="s">
        <v>75</v>
      </c>
      <c r="AG8" s="41" t="s">
        <v>75</v>
      </c>
      <c r="AH8" s="41" t="s">
        <v>75</v>
      </c>
      <c r="AI8" s="41" t="s">
        <v>235</v>
      </c>
      <c r="AJ8" s="41" t="s">
        <v>75</v>
      </c>
      <c r="AK8" s="41" t="s">
        <v>91</v>
      </c>
      <c r="AL8" s="40" t="s">
        <v>92</v>
      </c>
      <c r="AM8" s="41" t="s">
        <v>93</v>
      </c>
      <c r="AN8" s="41" t="s">
        <v>236</v>
      </c>
      <c r="AO8" s="41" t="s">
        <v>75</v>
      </c>
      <c r="AP8" s="41" t="s">
        <v>75</v>
      </c>
      <c r="AQ8" s="41" t="s">
        <v>75</v>
      </c>
      <c r="AR8" s="41" t="s">
        <v>75</v>
      </c>
      <c r="AS8" s="41" t="s">
        <v>75</v>
      </c>
      <c r="AT8" s="41" t="s">
        <v>75</v>
      </c>
      <c r="AU8" s="41" t="s">
        <v>75</v>
      </c>
      <c r="AV8" s="41" t="s">
        <v>237</v>
      </c>
      <c r="AW8" s="41" t="s">
        <v>75</v>
      </c>
      <c r="AX8" s="41" t="s">
        <v>75</v>
      </c>
      <c r="AY8" s="41" t="s">
        <v>238</v>
      </c>
      <c r="AZ8" s="41" t="s">
        <v>239</v>
      </c>
      <c r="BA8" s="41" t="s">
        <v>240</v>
      </c>
      <c r="BB8" s="41" t="s">
        <v>99</v>
      </c>
      <c r="BC8" s="41" t="s">
        <v>159</v>
      </c>
      <c r="BD8" s="41" t="s">
        <v>101</v>
      </c>
      <c r="BE8" s="41" t="s">
        <v>75</v>
      </c>
      <c r="BF8" s="41" t="s">
        <v>130</v>
      </c>
      <c r="BG8" s="41" t="s">
        <v>241</v>
      </c>
      <c r="BH8" s="41" t="s">
        <v>75</v>
      </c>
      <c r="BI8" s="41" t="s">
        <v>102</v>
      </c>
      <c r="BJ8" s="41" t="s">
        <v>242</v>
      </c>
      <c r="BK8" s="41" t="s">
        <v>104</v>
      </c>
      <c r="BL8" s="41" t="s">
        <v>105</v>
      </c>
      <c r="BM8" s="41" t="s">
        <v>75</v>
      </c>
      <c r="BN8" s="41" t="s">
        <v>75</v>
      </c>
      <c r="BO8" s="41" t="s">
        <v>75</v>
      </c>
      <c r="BP8" s="41" t="s">
        <v>75</v>
      </c>
      <c r="BQ8" s="40" t="s">
        <v>243</v>
      </c>
      <c r="BR8" s="41" t="s">
        <v>244</v>
      </c>
      <c r="BS8" s="43" t="s">
        <v>245</v>
      </c>
    </row>
    <row r="9" spans="1:71">
      <c r="A9" s="40" t="s">
        <v>222</v>
      </c>
      <c r="B9" s="41" t="s">
        <v>110</v>
      </c>
      <c r="C9" s="41" t="s">
        <v>111</v>
      </c>
      <c r="D9" s="41" t="s">
        <v>74</v>
      </c>
      <c r="E9" s="41" t="s">
        <v>75</v>
      </c>
      <c r="F9" s="41" t="s">
        <v>223</v>
      </c>
      <c r="G9" s="41" t="s">
        <v>224</v>
      </c>
      <c r="H9" s="41" t="s">
        <v>225</v>
      </c>
      <c r="I9" s="41" t="s">
        <v>226</v>
      </c>
      <c r="J9" s="41" t="s">
        <v>227</v>
      </c>
      <c r="K9" s="41" t="s">
        <v>228</v>
      </c>
      <c r="L9" s="41" t="s">
        <v>229</v>
      </c>
      <c r="M9" s="41" t="s">
        <v>246</v>
      </c>
      <c r="N9" s="41" t="s">
        <v>247</v>
      </c>
      <c r="O9" s="40" t="s">
        <v>248</v>
      </c>
      <c r="P9" s="41" t="s">
        <v>148</v>
      </c>
      <c r="Q9" s="41" t="s">
        <v>149</v>
      </c>
      <c r="R9" s="41" t="s">
        <v>249</v>
      </c>
      <c r="S9" s="41" t="s">
        <v>250</v>
      </c>
      <c r="T9" s="49">
        <v>1</v>
      </c>
      <c r="U9" s="41" t="s">
        <v>75</v>
      </c>
      <c r="V9" s="41" t="s">
        <v>75</v>
      </c>
      <c r="W9" s="50">
        <v>229</v>
      </c>
      <c r="X9" s="49">
        <v>229</v>
      </c>
      <c r="Y9" s="49">
        <v>0</v>
      </c>
      <c r="Z9" s="50">
        <v>0</v>
      </c>
      <c r="AA9" s="41" t="s">
        <v>75</v>
      </c>
      <c r="AB9" s="50">
        <v>0</v>
      </c>
      <c r="AC9" s="50">
        <v>229</v>
      </c>
      <c r="AD9" s="41" t="s">
        <v>88</v>
      </c>
      <c r="AE9" s="41" t="s">
        <v>234</v>
      </c>
      <c r="AF9" s="41" t="s">
        <v>75</v>
      </c>
      <c r="AG9" s="41" t="s">
        <v>75</v>
      </c>
      <c r="AH9" s="41" t="s">
        <v>75</v>
      </c>
      <c r="AI9" s="41" t="s">
        <v>235</v>
      </c>
      <c r="AJ9" s="41" t="s">
        <v>75</v>
      </c>
      <c r="AK9" s="41" t="s">
        <v>91</v>
      </c>
      <c r="AL9" s="40" t="s">
        <v>92</v>
      </c>
      <c r="AM9" s="41" t="s">
        <v>93</v>
      </c>
      <c r="AN9" s="41" t="s">
        <v>251</v>
      </c>
      <c r="AO9" s="41" t="s">
        <v>75</v>
      </c>
      <c r="AP9" s="41" t="s">
        <v>75</v>
      </c>
      <c r="AQ9" s="41" t="s">
        <v>75</v>
      </c>
      <c r="AR9" s="41" t="s">
        <v>75</v>
      </c>
      <c r="AS9" s="41" t="s">
        <v>75</v>
      </c>
      <c r="AT9" s="41" t="s">
        <v>75</v>
      </c>
      <c r="AU9" s="41" t="s">
        <v>75</v>
      </c>
      <c r="AV9" s="41" t="s">
        <v>237</v>
      </c>
      <c r="AW9" s="41" t="s">
        <v>75</v>
      </c>
      <c r="AX9" s="41" t="s">
        <v>75</v>
      </c>
      <c r="AY9" s="41" t="s">
        <v>238</v>
      </c>
      <c r="AZ9" s="41" t="s">
        <v>252</v>
      </c>
      <c r="BA9" s="41" t="s">
        <v>253</v>
      </c>
      <c r="BB9" s="41" t="s">
        <v>99</v>
      </c>
      <c r="BC9" s="41" t="s">
        <v>159</v>
      </c>
      <c r="BD9" s="41" t="s">
        <v>101</v>
      </c>
      <c r="BE9" s="41" t="s">
        <v>75</v>
      </c>
      <c r="BF9" s="41" t="s">
        <v>130</v>
      </c>
      <c r="BG9" s="41" t="s">
        <v>241</v>
      </c>
      <c r="BH9" s="41" t="s">
        <v>75</v>
      </c>
      <c r="BI9" s="41" t="s">
        <v>102</v>
      </c>
      <c r="BJ9" s="41" t="s">
        <v>242</v>
      </c>
      <c r="BK9" s="41" t="s">
        <v>104</v>
      </c>
      <c r="BL9" s="41" t="s">
        <v>105</v>
      </c>
      <c r="BM9" s="41" t="s">
        <v>75</v>
      </c>
      <c r="BN9" s="41" t="s">
        <v>75</v>
      </c>
      <c r="BO9" s="41" t="s">
        <v>75</v>
      </c>
      <c r="BP9" s="41" t="s">
        <v>75</v>
      </c>
      <c r="BQ9" s="40" t="s">
        <v>254</v>
      </c>
      <c r="BR9" s="41" t="s">
        <v>244</v>
      </c>
      <c r="BS9" s="43" t="s">
        <v>245</v>
      </c>
    </row>
    <row r="10" spans="1:71">
      <c r="A10" s="40" t="s">
        <v>255</v>
      </c>
      <c r="B10" s="41" t="s">
        <v>110</v>
      </c>
      <c r="C10" s="41" t="s">
        <v>111</v>
      </c>
      <c r="D10" s="41" t="s">
        <v>74</v>
      </c>
      <c r="E10" s="41" t="s">
        <v>75</v>
      </c>
      <c r="F10" s="41" t="s">
        <v>256</v>
      </c>
      <c r="G10" s="41" t="s">
        <v>257</v>
      </c>
      <c r="H10" s="41" t="s">
        <v>258</v>
      </c>
      <c r="I10" s="41" t="s">
        <v>259</v>
      </c>
      <c r="J10" s="41" t="s">
        <v>260</v>
      </c>
      <c r="K10" s="41" t="s">
        <v>261</v>
      </c>
      <c r="L10" s="41" t="s">
        <v>262</v>
      </c>
      <c r="M10" s="41" t="s">
        <v>246</v>
      </c>
      <c r="N10" s="41" t="s">
        <v>247</v>
      </c>
      <c r="O10" s="40" t="s">
        <v>248</v>
      </c>
      <c r="P10" s="41" t="s">
        <v>148</v>
      </c>
      <c r="Q10" s="41" t="s">
        <v>149</v>
      </c>
      <c r="R10" s="41" t="s">
        <v>249</v>
      </c>
      <c r="S10" s="41" t="s">
        <v>250</v>
      </c>
      <c r="T10" s="49">
        <v>1</v>
      </c>
      <c r="U10" s="41" t="s">
        <v>75</v>
      </c>
      <c r="V10" s="41" t="s">
        <v>75</v>
      </c>
      <c r="W10" s="50">
        <v>229</v>
      </c>
      <c r="X10" s="49">
        <v>229</v>
      </c>
      <c r="Y10" s="49">
        <v>0</v>
      </c>
      <c r="Z10" s="50">
        <v>0</v>
      </c>
      <c r="AA10" s="41" t="s">
        <v>75</v>
      </c>
      <c r="AB10" s="50">
        <v>0</v>
      </c>
      <c r="AC10" s="50">
        <v>229</v>
      </c>
      <c r="AD10" s="41" t="s">
        <v>88</v>
      </c>
      <c r="AE10" s="41" t="s">
        <v>263</v>
      </c>
      <c r="AF10" s="41" t="s">
        <v>75</v>
      </c>
      <c r="AG10" s="41" t="s">
        <v>75</v>
      </c>
      <c r="AH10" s="41" t="s">
        <v>75</v>
      </c>
      <c r="AI10" s="41" t="s">
        <v>264</v>
      </c>
      <c r="AJ10" s="41" t="s">
        <v>75</v>
      </c>
      <c r="AK10" s="41" t="s">
        <v>91</v>
      </c>
      <c r="AL10" s="40" t="s">
        <v>92</v>
      </c>
      <c r="AM10" s="41" t="s">
        <v>93</v>
      </c>
      <c r="AN10" s="41" t="s">
        <v>265</v>
      </c>
      <c r="AO10" s="41" t="s">
        <v>75</v>
      </c>
      <c r="AP10" s="41" t="s">
        <v>75</v>
      </c>
      <c r="AQ10" s="41" t="s">
        <v>75</v>
      </c>
      <c r="AR10" s="41" t="s">
        <v>75</v>
      </c>
      <c r="AS10" s="41" t="s">
        <v>75</v>
      </c>
      <c r="AT10" s="41" t="s">
        <v>75</v>
      </c>
      <c r="AU10" s="41" t="s">
        <v>75</v>
      </c>
      <c r="AV10" s="41" t="s">
        <v>266</v>
      </c>
      <c r="AW10" s="41" t="s">
        <v>75</v>
      </c>
      <c r="AX10" s="41" t="s">
        <v>75</v>
      </c>
      <c r="AY10" s="41" t="s">
        <v>267</v>
      </c>
      <c r="AZ10" s="41" t="s">
        <v>268</v>
      </c>
      <c r="BA10" s="41" t="s">
        <v>269</v>
      </c>
      <c r="BB10" s="41" t="s">
        <v>99</v>
      </c>
      <c r="BC10" s="41" t="s">
        <v>159</v>
      </c>
      <c r="BD10" s="41" t="s">
        <v>101</v>
      </c>
      <c r="BE10" s="41" t="s">
        <v>75</v>
      </c>
      <c r="BF10" s="41" t="s">
        <v>130</v>
      </c>
      <c r="BG10" s="41" t="s">
        <v>270</v>
      </c>
      <c r="BH10" s="41" t="s">
        <v>75</v>
      </c>
      <c r="BI10" s="41" t="s">
        <v>102</v>
      </c>
      <c r="BJ10" s="41" t="s">
        <v>271</v>
      </c>
      <c r="BK10" s="41" t="s">
        <v>104</v>
      </c>
      <c r="BL10" s="41" t="s">
        <v>105</v>
      </c>
      <c r="BM10" s="41" t="s">
        <v>75</v>
      </c>
      <c r="BN10" s="41" t="s">
        <v>75</v>
      </c>
      <c r="BO10" s="41" t="s">
        <v>75</v>
      </c>
      <c r="BP10" s="41" t="s">
        <v>75</v>
      </c>
      <c r="BQ10" s="40" t="s">
        <v>254</v>
      </c>
      <c r="BR10" s="41" t="s">
        <v>244</v>
      </c>
      <c r="BS10" s="43" t="s">
        <v>245</v>
      </c>
    </row>
    <row r="11" spans="1:71">
      <c r="A11" s="40" t="s">
        <v>272</v>
      </c>
      <c r="B11" s="41" t="s">
        <v>110</v>
      </c>
      <c r="C11" s="41" t="s">
        <v>111</v>
      </c>
      <c r="D11" s="41" t="s">
        <v>74</v>
      </c>
      <c r="E11" s="41" t="s">
        <v>75</v>
      </c>
      <c r="F11" s="41" t="s">
        <v>273</v>
      </c>
      <c r="G11" s="41" t="s">
        <v>274</v>
      </c>
      <c r="H11" s="41" t="s">
        <v>275</v>
      </c>
      <c r="I11" s="41" t="s">
        <v>276</v>
      </c>
      <c r="J11" s="41" t="s">
        <v>277</v>
      </c>
      <c r="K11" s="41" t="s">
        <v>278</v>
      </c>
      <c r="L11" s="41" t="s">
        <v>279</v>
      </c>
      <c r="M11" s="41" t="s">
        <v>280</v>
      </c>
      <c r="N11" s="41" t="s">
        <v>281</v>
      </c>
      <c r="O11" s="40" t="s">
        <v>282</v>
      </c>
      <c r="P11" s="41" t="s">
        <v>148</v>
      </c>
      <c r="Q11" s="41" t="s">
        <v>149</v>
      </c>
      <c r="R11" s="41" t="s">
        <v>283</v>
      </c>
      <c r="S11" s="41" t="s">
        <v>284</v>
      </c>
      <c r="T11" s="49">
        <v>1</v>
      </c>
      <c r="U11" s="41" t="s">
        <v>75</v>
      </c>
      <c r="V11" s="41" t="s">
        <v>75</v>
      </c>
      <c r="W11" s="50">
        <v>229</v>
      </c>
      <c r="X11" s="49">
        <v>229</v>
      </c>
      <c r="Y11" s="49">
        <v>0</v>
      </c>
      <c r="Z11" s="50">
        <v>0</v>
      </c>
      <c r="AA11" s="41" t="s">
        <v>75</v>
      </c>
      <c r="AB11" s="50">
        <v>0</v>
      </c>
      <c r="AC11" s="50">
        <v>229</v>
      </c>
      <c r="AD11" s="41" t="s">
        <v>285</v>
      </c>
      <c r="AE11" s="41" t="s">
        <v>286</v>
      </c>
      <c r="AF11" s="41" t="s">
        <v>75</v>
      </c>
      <c r="AG11" s="41" t="s">
        <v>75</v>
      </c>
      <c r="AH11" s="41" t="s">
        <v>75</v>
      </c>
      <c r="AI11" s="41" t="s">
        <v>287</v>
      </c>
      <c r="AJ11" s="41" t="s">
        <v>75</v>
      </c>
      <c r="AK11" s="41" t="s">
        <v>91</v>
      </c>
      <c r="AL11" s="40" t="s">
        <v>92</v>
      </c>
      <c r="AM11" s="41" t="s">
        <v>93</v>
      </c>
      <c r="AN11" s="41" t="s">
        <v>288</v>
      </c>
      <c r="AO11" s="41" t="s">
        <v>75</v>
      </c>
      <c r="AP11" s="41" t="s">
        <v>75</v>
      </c>
      <c r="AQ11" s="41" t="s">
        <v>75</v>
      </c>
      <c r="AR11" s="41" t="s">
        <v>75</v>
      </c>
      <c r="AS11" s="41" t="s">
        <v>75</v>
      </c>
      <c r="AT11" s="41" t="s">
        <v>75</v>
      </c>
      <c r="AU11" s="41" t="s">
        <v>75</v>
      </c>
      <c r="AV11" s="41" t="s">
        <v>289</v>
      </c>
      <c r="AW11" s="41" t="s">
        <v>75</v>
      </c>
      <c r="AX11" s="41" t="s">
        <v>75</v>
      </c>
      <c r="AY11" s="41" t="s">
        <v>290</v>
      </c>
      <c r="AZ11" s="41" t="s">
        <v>291</v>
      </c>
      <c r="BA11" s="41" t="s">
        <v>292</v>
      </c>
      <c r="BB11" s="41" t="s">
        <v>99</v>
      </c>
      <c r="BC11" s="41" t="s">
        <v>159</v>
      </c>
      <c r="BD11" s="41" t="s">
        <v>101</v>
      </c>
      <c r="BE11" s="41" t="s">
        <v>75</v>
      </c>
      <c r="BF11" s="41" t="s">
        <v>130</v>
      </c>
      <c r="BG11" s="41" t="s">
        <v>293</v>
      </c>
      <c r="BH11" s="41" t="s">
        <v>75</v>
      </c>
      <c r="BI11" s="41" t="s">
        <v>102</v>
      </c>
      <c r="BJ11" s="41" t="s">
        <v>294</v>
      </c>
      <c r="BK11" s="41" t="s">
        <v>104</v>
      </c>
      <c r="BL11" s="41" t="s">
        <v>105</v>
      </c>
      <c r="BM11" s="41" t="s">
        <v>75</v>
      </c>
      <c r="BN11" s="41" t="s">
        <v>75</v>
      </c>
      <c r="BO11" s="41" t="s">
        <v>75</v>
      </c>
      <c r="BP11" s="41" t="s">
        <v>75</v>
      </c>
      <c r="BQ11" s="40" t="s">
        <v>295</v>
      </c>
      <c r="BR11" s="41" t="s">
        <v>244</v>
      </c>
      <c r="BS11" s="43" t="s">
        <v>245</v>
      </c>
    </row>
    <row r="12" spans="1:71">
      <c r="A12" s="40" t="s">
        <v>296</v>
      </c>
      <c r="B12" s="41" t="s">
        <v>72</v>
      </c>
      <c r="C12" s="41" t="s">
        <v>111</v>
      </c>
      <c r="D12" s="41" t="s">
        <v>74</v>
      </c>
      <c r="E12" s="41" t="s">
        <v>75</v>
      </c>
      <c r="F12" s="41" t="s">
        <v>256</v>
      </c>
      <c r="G12" s="41" t="s">
        <v>297</v>
      </c>
      <c r="H12" s="41" t="s">
        <v>298</v>
      </c>
      <c r="I12" s="41" t="s">
        <v>141</v>
      </c>
      <c r="J12" s="41" t="s">
        <v>299</v>
      </c>
      <c r="K12" s="41" t="s">
        <v>300</v>
      </c>
      <c r="L12" s="41" t="s">
        <v>301</v>
      </c>
      <c r="M12" s="41" t="s">
        <v>280</v>
      </c>
      <c r="N12" s="41" t="s">
        <v>281</v>
      </c>
      <c r="O12" s="40" t="s">
        <v>282</v>
      </c>
      <c r="P12" s="41" t="s">
        <v>148</v>
      </c>
      <c r="Q12" s="41" t="s">
        <v>149</v>
      </c>
      <c r="R12" s="41" t="s">
        <v>283</v>
      </c>
      <c r="S12" s="41" t="s">
        <v>284</v>
      </c>
      <c r="T12" s="49">
        <v>1</v>
      </c>
      <c r="U12" s="41" t="s">
        <v>75</v>
      </c>
      <c r="V12" s="41" t="s">
        <v>75</v>
      </c>
      <c r="W12" s="50">
        <v>229</v>
      </c>
      <c r="X12" s="49">
        <v>229</v>
      </c>
      <c r="Y12" s="49">
        <v>0</v>
      </c>
      <c r="Z12" s="50">
        <v>0</v>
      </c>
      <c r="AA12" s="41" t="s">
        <v>75</v>
      </c>
      <c r="AB12" s="50">
        <v>0</v>
      </c>
      <c r="AC12" s="50">
        <v>229</v>
      </c>
      <c r="AD12" s="41" t="s">
        <v>209</v>
      </c>
      <c r="AE12" s="41" t="s">
        <v>302</v>
      </c>
      <c r="AF12" s="41" t="s">
        <v>75</v>
      </c>
      <c r="AG12" s="41" t="s">
        <v>75</v>
      </c>
      <c r="AH12" s="41" t="s">
        <v>75</v>
      </c>
      <c r="AI12" s="41" t="s">
        <v>303</v>
      </c>
      <c r="AJ12" s="41" t="s">
        <v>75</v>
      </c>
      <c r="AK12" s="41" t="s">
        <v>91</v>
      </c>
      <c r="AL12" s="40" t="s">
        <v>92</v>
      </c>
      <c r="AM12" s="41" t="s">
        <v>93</v>
      </c>
      <c r="AN12" s="41" t="s">
        <v>304</v>
      </c>
      <c r="AO12" s="41" t="s">
        <v>75</v>
      </c>
      <c r="AP12" s="41" t="s">
        <v>75</v>
      </c>
      <c r="AQ12" s="41" t="s">
        <v>75</v>
      </c>
      <c r="AR12" s="41" t="s">
        <v>75</v>
      </c>
      <c r="AS12" s="41" t="s">
        <v>75</v>
      </c>
      <c r="AT12" s="41" t="s">
        <v>75</v>
      </c>
      <c r="AU12" s="41" t="s">
        <v>75</v>
      </c>
      <c r="AV12" s="41" t="s">
        <v>305</v>
      </c>
      <c r="AW12" s="41" t="s">
        <v>75</v>
      </c>
      <c r="AX12" s="41" t="s">
        <v>75</v>
      </c>
      <c r="AY12" s="41" t="s">
        <v>306</v>
      </c>
      <c r="AZ12" s="41" t="s">
        <v>291</v>
      </c>
      <c r="BA12" s="41" t="s">
        <v>292</v>
      </c>
      <c r="BB12" s="41" t="s">
        <v>99</v>
      </c>
      <c r="BC12" s="41" t="s">
        <v>159</v>
      </c>
      <c r="BD12" s="41" t="s">
        <v>101</v>
      </c>
      <c r="BE12" s="41" t="s">
        <v>75</v>
      </c>
      <c r="BF12" s="41" t="s">
        <v>130</v>
      </c>
      <c r="BG12" s="41" t="s">
        <v>307</v>
      </c>
      <c r="BH12" s="41" t="s">
        <v>75</v>
      </c>
      <c r="BI12" s="41" t="s">
        <v>102</v>
      </c>
      <c r="BJ12" s="41" t="s">
        <v>308</v>
      </c>
      <c r="BK12" s="41" t="s">
        <v>104</v>
      </c>
      <c r="BL12" s="41" t="s">
        <v>105</v>
      </c>
      <c r="BM12" s="41" t="s">
        <v>75</v>
      </c>
      <c r="BN12" s="41" t="s">
        <v>75</v>
      </c>
      <c r="BO12" s="41" t="s">
        <v>75</v>
      </c>
      <c r="BP12" s="41" t="s">
        <v>75</v>
      </c>
      <c r="BQ12" s="40" t="s">
        <v>295</v>
      </c>
      <c r="BR12" s="41" t="s">
        <v>244</v>
      </c>
      <c r="BS12" s="43" t="s">
        <v>245</v>
      </c>
    </row>
    <row r="13" spans="1:71">
      <c r="A13" s="40" t="s">
        <v>309</v>
      </c>
      <c r="B13" s="41" t="s">
        <v>110</v>
      </c>
      <c r="C13" s="41" t="s">
        <v>111</v>
      </c>
      <c r="D13" s="41" t="s">
        <v>74</v>
      </c>
      <c r="E13" s="41" t="s">
        <v>75</v>
      </c>
      <c r="F13" s="41" t="s">
        <v>310</v>
      </c>
      <c r="G13" s="41" t="s">
        <v>311</v>
      </c>
      <c r="H13" s="41" t="s">
        <v>312</v>
      </c>
      <c r="I13" s="41" t="s">
        <v>200</v>
      </c>
      <c r="J13" s="41" t="s">
        <v>201</v>
      </c>
      <c r="K13" s="41" t="s">
        <v>313</v>
      </c>
      <c r="L13" s="41" t="s">
        <v>314</v>
      </c>
      <c r="M13" s="41" t="s">
        <v>315</v>
      </c>
      <c r="N13" s="41" t="s">
        <v>316</v>
      </c>
      <c r="O13" s="40" t="s">
        <v>317</v>
      </c>
      <c r="P13" s="41" t="s">
        <v>148</v>
      </c>
      <c r="Q13" s="41" t="s">
        <v>149</v>
      </c>
      <c r="R13" s="41" t="s">
        <v>318</v>
      </c>
      <c r="S13" s="41" t="s">
        <v>319</v>
      </c>
      <c r="T13" s="49">
        <v>1</v>
      </c>
      <c r="U13" s="41" t="s">
        <v>75</v>
      </c>
      <c r="V13" s="41" t="s">
        <v>75</v>
      </c>
      <c r="W13" s="50">
        <v>219</v>
      </c>
      <c r="X13" s="49">
        <v>219</v>
      </c>
      <c r="Y13" s="49">
        <v>0</v>
      </c>
      <c r="Z13" s="50">
        <v>0</v>
      </c>
      <c r="AA13" s="41" t="s">
        <v>75</v>
      </c>
      <c r="AB13" s="50">
        <v>0</v>
      </c>
      <c r="AC13" s="50">
        <v>219</v>
      </c>
      <c r="AD13" s="41" t="s">
        <v>209</v>
      </c>
      <c r="AE13" s="41" t="s">
        <v>320</v>
      </c>
      <c r="AF13" s="41" t="s">
        <v>75</v>
      </c>
      <c r="AG13" s="41" t="s">
        <v>75</v>
      </c>
      <c r="AH13" s="41" t="s">
        <v>75</v>
      </c>
      <c r="AI13" s="41" t="s">
        <v>321</v>
      </c>
      <c r="AJ13" s="41" t="s">
        <v>75</v>
      </c>
      <c r="AK13" s="41" t="s">
        <v>91</v>
      </c>
      <c r="AL13" s="40" t="s">
        <v>92</v>
      </c>
      <c r="AM13" s="41" t="s">
        <v>93</v>
      </c>
      <c r="AN13" s="41" t="s">
        <v>322</v>
      </c>
      <c r="AO13" s="41" t="s">
        <v>75</v>
      </c>
      <c r="AP13" s="41" t="s">
        <v>75</v>
      </c>
      <c r="AQ13" s="41" t="s">
        <v>75</v>
      </c>
      <c r="AR13" s="41" t="s">
        <v>75</v>
      </c>
      <c r="AS13" s="41" t="s">
        <v>75</v>
      </c>
      <c r="AT13" s="41" t="s">
        <v>75</v>
      </c>
      <c r="AU13" s="41" t="s">
        <v>75</v>
      </c>
      <c r="AV13" s="41" t="s">
        <v>323</v>
      </c>
      <c r="AW13" s="41" t="s">
        <v>75</v>
      </c>
      <c r="AX13" s="41" t="s">
        <v>75</v>
      </c>
      <c r="AY13" s="41" t="s">
        <v>324</v>
      </c>
      <c r="AZ13" s="41" t="s">
        <v>325</v>
      </c>
      <c r="BA13" s="41" t="s">
        <v>75</v>
      </c>
      <c r="BB13" s="41" t="s">
        <v>99</v>
      </c>
      <c r="BC13" s="41" t="s">
        <v>75</v>
      </c>
      <c r="BD13" s="41" t="s">
        <v>101</v>
      </c>
      <c r="BE13" s="41" t="s">
        <v>75</v>
      </c>
      <c r="BF13" s="41" t="s">
        <v>130</v>
      </c>
      <c r="BG13" s="41" t="s">
        <v>326</v>
      </c>
      <c r="BH13" s="41" t="s">
        <v>75</v>
      </c>
      <c r="BI13" s="41" t="s">
        <v>102</v>
      </c>
      <c r="BJ13" s="41" t="s">
        <v>327</v>
      </c>
      <c r="BK13" s="41" t="s">
        <v>104</v>
      </c>
      <c r="BL13" s="41" t="s">
        <v>105</v>
      </c>
      <c r="BM13" s="41" t="s">
        <v>75</v>
      </c>
      <c r="BN13" s="41" t="s">
        <v>75</v>
      </c>
      <c r="BO13" s="41" t="s">
        <v>75</v>
      </c>
      <c r="BP13" s="41" t="s">
        <v>75</v>
      </c>
      <c r="BQ13" s="40" t="s">
        <v>328</v>
      </c>
      <c r="BR13" s="41" t="s">
        <v>329</v>
      </c>
      <c r="BS13" s="43" t="s">
        <v>330</v>
      </c>
    </row>
    <row r="14" spans="1:71">
      <c r="A14" s="40" t="s">
        <v>331</v>
      </c>
      <c r="B14" s="41" t="s">
        <v>72</v>
      </c>
      <c r="C14" s="41" t="s">
        <v>73</v>
      </c>
      <c r="D14" s="41" t="s">
        <v>74</v>
      </c>
      <c r="E14" s="41" t="s">
        <v>75</v>
      </c>
      <c r="F14" s="41" t="s">
        <v>332</v>
      </c>
      <c r="G14" s="41" t="s">
        <v>333</v>
      </c>
      <c r="H14" s="41" t="s">
        <v>334</v>
      </c>
      <c r="I14" s="41" t="s">
        <v>335</v>
      </c>
      <c r="J14" s="41" t="s">
        <v>336</v>
      </c>
      <c r="K14" s="41" t="s">
        <v>337</v>
      </c>
      <c r="L14" s="41" t="s">
        <v>338</v>
      </c>
      <c r="M14" s="41" t="s">
        <v>339</v>
      </c>
      <c r="N14" s="41" t="s">
        <v>340</v>
      </c>
      <c r="O14" s="40" t="s">
        <v>341</v>
      </c>
      <c r="P14" s="41" t="s">
        <v>148</v>
      </c>
      <c r="Q14" s="41" t="s">
        <v>149</v>
      </c>
      <c r="R14" s="41" t="s">
        <v>342</v>
      </c>
      <c r="S14" s="41" t="s">
        <v>343</v>
      </c>
      <c r="T14" s="49">
        <v>1</v>
      </c>
      <c r="U14" s="41" t="s">
        <v>75</v>
      </c>
      <c r="V14" s="41" t="s">
        <v>75</v>
      </c>
      <c r="W14" s="50">
        <v>219</v>
      </c>
      <c r="X14" s="49">
        <v>219</v>
      </c>
      <c r="Y14" s="49">
        <v>0</v>
      </c>
      <c r="Z14" s="50">
        <v>0</v>
      </c>
      <c r="AA14" s="41" t="s">
        <v>75</v>
      </c>
      <c r="AB14" s="50">
        <v>0</v>
      </c>
      <c r="AC14" s="50">
        <v>219</v>
      </c>
      <c r="AD14" s="41" t="s">
        <v>344</v>
      </c>
      <c r="AE14" s="41" t="s">
        <v>75</v>
      </c>
      <c r="AF14" s="41" t="s">
        <v>75</v>
      </c>
      <c r="AG14" s="41" t="s">
        <v>75</v>
      </c>
      <c r="AH14" s="41" t="s">
        <v>75</v>
      </c>
      <c r="AI14" s="41" t="s">
        <v>345</v>
      </c>
      <c r="AJ14" s="41" t="s">
        <v>75</v>
      </c>
      <c r="AK14" s="41" t="s">
        <v>91</v>
      </c>
      <c r="AL14" s="40" t="s">
        <v>92</v>
      </c>
      <c r="AM14" s="41" t="s">
        <v>93</v>
      </c>
      <c r="AN14" s="41" t="s">
        <v>346</v>
      </c>
      <c r="AO14" s="41" t="s">
        <v>75</v>
      </c>
      <c r="AP14" s="41" t="s">
        <v>75</v>
      </c>
      <c r="AQ14" s="41" t="s">
        <v>75</v>
      </c>
      <c r="AR14" s="41" t="s">
        <v>75</v>
      </c>
      <c r="AS14" s="41" t="s">
        <v>75</v>
      </c>
      <c r="AT14" s="41" t="s">
        <v>75</v>
      </c>
      <c r="AU14" s="41" t="s">
        <v>75</v>
      </c>
      <c r="AV14" s="41" t="s">
        <v>345</v>
      </c>
      <c r="AW14" s="41" t="s">
        <v>75</v>
      </c>
      <c r="AX14" s="41" t="s">
        <v>75</v>
      </c>
      <c r="AY14" s="41" t="s">
        <v>347</v>
      </c>
      <c r="AZ14" s="41" t="s">
        <v>348</v>
      </c>
      <c r="BA14" s="41" t="s">
        <v>349</v>
      </c>
      <c r="BB14" s="41" t="s">
        <v>99</v>
      </c>
      <c r="BC14" s="41" t="s">
        <v>100</v>
      </c>
      <c r="BD14" s="41" t="s">
        <v>101</v>
      </c>
      <c r="BE14" s="41" t="s">
        <v>75</v>
      </c>
      <c r="BF14" s="41" t="s">
        <v>75</v>
      </c>
      <c r="BG14" s="41" t="s">
        <v>75</v>
      </c>
      <c r="BH14" s="41" t="s">
        <v>75</v>
      </c>
      <c r="BI14" s="41" t="s">
        <v>102</v>
      </c>
      <c r="BJ14" s="41" t="s">
        <v>350</v>
      </c>
      <c r="BK14" s="41" t="s">
        <v>104</v>
      </c>
      <c r="BL14" s="41" t="s">
        <v>105</v>
      </c>
      <c r="BM14" s="41" t="s">
        <v>75</v>
      </c>
      <c r="BN14" s="41" t="s">
        <v>75</v>
      </c>
      <c r="BO14" s="41" t="s">
        <v>75</v>
      </c>
      <c r="BP14" s="41" t="s">
        <v>75</v>
      </c>
      <c r="BQ14" s="40" t="s">
        <v>351</v>
      </c>
      <c r="BR14" s="41" t="s">
        <v>352</v>
      </c>
      <c r="BS14" s="43" t="s">
        <v>353</v>
      </c>
    </row>
    <row r="15" spans="1:71">
      <c r="A15" s="40" t="s">
        <v>354</v>
      </c>
      <c r="B15" s="41" t="s">
        <v>72</v>
      </c>
      <c r="C15" s="41" t="s">
        <v>73</v>
      </c>
      <c r="D15" s="41" t="s">
        <v>74</v>
      </c>
      <c r="E15" s="41" t="s">
        <v>75</v>
      </c>
      <c r="F15" s="41" t="s">
        <v>355</v>
      </c>
      <c r="G15" s="41" t="s">
        <v>356</v>
      </c>
      <c r="H15" s="41" t="s">
        <v>357</v>
      </c>
      <c r="I15" s="41" t="s">
        <v>79</v>
      </c>
      <c r="J15" s="41" t="s">
        <v>80</v>
      </c>
      <c r="K15" s="41" t="s">
        <v>358</v>
      </c>
      <c r="L15" s="41" t="s">
        <v>359</v>
      </c>
      <c r="M15" s="41" t="s">
        <v>360</v>
      </c>
      <c r="N15" s="41" t="s">
        <v>361</v>
      </c>
      <c r="O15" s="40" t="s">
        <v>362</v>
      </c>
      <c r="P15" s="41" t="s">
        <v>148</v>
      </c>
      <c r="Q15" s="41" t="s">
        <v>149</v>
      </c>
      <c r="R15" s="41" t="s">
        <v>363</v>
      </c>
      <c r="S15" s="41" t="s">
        <v>364</v>
      </c>
      <c r="T15" s="49">
        <v>1</v>
      </c>
      <c r="U15" s="41" t="s">
        <v>75</v>
      </c>
      <c r="V15" s="41" t="s">
        <v>75</v>
      </c>
      <c r="W15" s="50">
        <v>199</v>
      </c>
      <c r="X15" s="49">
        <v>199</v>
      </c>
      <c r="Y15" s="49">
        <v>0</v>
      </c>
      <c r="Z15" s="50">
        <v>0</v>
      </c>
      <c r="AA15" s="41" t="s">
        <v>75</v>
      </c>
      <c r="AB15" s="50">
        <v>0</v>
      </c>
      <c r="AC15" s="50">
        <v>199</v>
      </c>
      <c r="AD15" s="41" t="s">
        <v>365</v>
      </c>
      <c r="AE15" s="41" t="s">
        <v>366</v>
      </c>
      <c r="AF15" s="41" t="s">
        <v>75</v>
      </c>
      <c r="AG15" s="41" t="s">
        <v>75</v>
      </c>
      <c r="AH15" s="41" t="s">
        <v>75</v>
      </c>
      <c r="AI15" s="41" t="s">
        <v>367</v>
      </c>
      <c r="AJ15" s="41" t="s">
        <v>75</v>
      </c>
      <c r="AK15" s="41" t="s">
        <v>91</v>
      </c>
      <c r="AL15" s="40" t="s">
        <v>92</v>
      </c>
      <c r="AM15" s="41" t="s">
        <v>93</v>
      </c>
      <c r="AN15" s="41" t="s">
        <v>368</v>
      </c>
      <c r="AO15" s="41" t="s">
        <v>75</v>
      </c>
      <c r="AP15" s="41" t="s">
        <v>75</v>
      </c>
      <c r="AQ15" s="41" t="s">
        <v>75</v>
      </c>
      <c r="AR15" s="41" t="s">
        <v>75</v>
      </c>
      <c r="AS15" s="41" t="s">
        <v>75</v>
      </c>
      <c r="AT15" s="41" t="s">
        <v>75</v>
      </c>
      <c r="AU15" s="41" t="s">
        <v>75</v>
      </c>
      <c r="AV15" s="41" t="s">
        <v>369</v>
      </c>
      <c r="AW15" s="41" t="s">
        <v>75</v>
      </c>
      <c r="AX15" s="41" t="s">
        <v>75</v>
      </c>
      <c r="AY15" s="41" t="s">
        <v>370</v>
      </c>
      <c r="AZ15" s="41" t="s">
        <v>371</v>
      </c>
      <c r="BA15" s="41" t="s">
        <v>372</v>
      </c>
      <c r="BB15" s="41" t="s">
        <v>99</v>
      </c>
      <c r="BC15" s="41" t="s">
        <v>100</v>
      </c>
      <c r="BD15" s="41" t="s">
        <v>101</v>
      </c>
      <c r="BE15" s="41" t="s">
        <v>75</v>
      </c>
      <c r="BF15" s="41" t="s">
        <v>75</v>
      </c>
      <c r="BG15" s="41" t="s">
        <v>75</v>
      </c>
      <c r="BH15" s="41" t="s">
        <v>75</v>
      </c>
      <c r="BI15" s="41" t="s">
        <v>102</v>
      </c>
      <c r="BJ15" s="41" t="s">
        <v>373</v>
      </c>
      <c r="BK15" s="41" t="s">
        <v>104</v>
      </c>
      <c r="BL15" s="41" t="s">
        <v>105</v>
      </c>
      <c r="BM15" s="41" t="s">
        <v>75</v>
      </c>
      <c r="BN15" s="41" t="s">
        <v>75</v>
      </c>
      <c r="BO15" s="41" t="s">
        <v>75</v>
      </c>
      <c r="BP15" s="41" t="s">
        <v>75</v>
      </c>
      <c r="BQ15" s="40" t="s">
        <v>374</v>
      </c>
      <c r="BR15" s="41" t="s">
        <v>375</v>
      </c>
      <c r="BS15" s="43" t="s">
        <v>376</v>
      </c>
    </row>
    <row r="16" spans="1:71">
      <c r="A16" s="40" t="s">
        <v>377</v>
      </c>
      <c r="B16" s="41" t="s">
        <v>72</v>
      </c>
      <c r="C16" s="41" t="s">
        <v>73</v>
      </c>
      <c r="D16" s="41" t="s">
        <v>74</v>
      </c>
      <c r="E16" s="41" t="s">
        <v>75</v>
      </c>
      <c r="F16" s="41" t="s">
        <v>378</v>
      </c>
      <c r="G16" s="41" t="s">
        <v>379</v>
      </c>
      <c r="H16" s="41" t="s">
        <v>380</v>
      </c>
      <c r="I16" s="41" t="s">
        <v>381</v>
      </c>
      <c r="J16" s="41" t="s">
        <v>382</v>
      </c>
      <c r="K16" s="41" t="s">
        <v>383</v>
      </c>
      <c r="L16" s="41" t="s">
        <v>384</v>
      </c>
      <c r="M16" s="41" t="s">
        <v>385</v>
      </c>
      <c r="N16" s="41" t="s">
        <v>386</v>
      </c>
      <c r="O16" s="40" t="s">
        <v>387</v>
      </c>
      <c r="P16" s="41" t="s">
        <v>148</v>
      </c>
      <c r="Q16" s="41" t="s">
        <v>149</v>
      </c>
      <c r="R16" s="41" t="s">
        <v>388</v>
      </c>
      <c r="S16" s="41" t="s">
        <v>183</v>
      </c>
      <c r="T16" s="49">
        <v>1</v>
      </c>
      <c r="U16" s="41" t="s">
        <v>75</v>
      </c>
      <c r="V16" s="41" t="s">
        <v>75</v>
      </c>
      <c r="W16" s="50">
        <v>199</v>
      </c>
      <c r="X16" s="49">
        <v>199</v>
      </c>
      <c r="Y16" s="49">
        <v>0</v>
      </c>
      <c r="Z16" s="50">
        <v>0</v>
      </c>
      <c r="AA16" s="41" t="s">
        <v>75</v>
      </c>
      <c r="AB16" s="50">
        <v>0</v>
      </c>
      <c r="AC16" s="50">
        <v>199</v>
      </c>
      <c r="AD16" s="41" t="s">
        <v>209</v>
      </c>
      <c r="AE16" s="41" t="s">
        <v>389</v>
      </c>
      <c r="AF16" s="41" t="s">
        <v>75</v>
      </c>
      <c r="AG16" s="41" t="s">
        <v>75</v>
      </c>
      <c r="AH16" s="41" t="s">
        <v>75</v>
      </c>
      <c r="AI16" s="41" t="s">
        <v>390</v>
      </c>
      <c r="AJ16" s="41" t="s">
        <v>75</v>
      </c>
      <c r="AK16" s="41" t="s">
        <v>91</v>
      </c>
      <c r="AL16" s="40" t="s">
        <v>92</v>
      </c>
      <c r="AM16" s="41" t="s">
        <v>93</v>
      </c>
      <c r="AN16" s="41" t="s">
        <v>391</v>
      </c>
      <c r="AO16" s="41" t="s">
        <v>75</v>
      </c>
      <c r="AP16" s="41" t="s">
        <v>75</v>
      </c>
      <c r="AQ16" s="41" t="s">
        <v>75</v>
      </c>
      <c r="AR16" s="41" t="s">
        <v>75</v>
      </c>
      <c r="AS16" s="41" t="s">
        <v>75</v>
      </c>
      <c r="AT16" s="41" t="s">
        <v>75</v>
      </c>
      <c r="AU16" s="41" t="s">
        <v>75</v>
      </c>
      <c r="AV16" s="41" t="s">
        <v>392</v>
      </c>
      <c r="AW16" s="41" t="s">
        <v>75</v>
      </c>
      <c r="AX16" s="41" t="s">
        <v>75</v>
      </c>
      <c r="AY16" s="41" t="s">
        <v>393</v>
      </c>
      <c r="AZ16" s="41" t="s">
        <v>394</v>
      </c>
      <c r="BA16" s="41" t="s">
        <v>395</v>
      </c>
      <c r="BB16" s="41" t="s">
        <v>99</v>
      </c>
      <c r="BC16" s="41" t="s">
        <v>100</v>
      </c>
      <c r="BD16" s="41" t="s">
        <v>101</v>
      </c>
      <c r="BE16" s="41" t="s">
        <v>75</v>
      </c>
      <c r="BF16" s="41" t="s">
        <v>75</v>
      </c>
      <c r="BG16" s="41" t="s">
        <v>75</v>
      </c>
      <c r="BH16" s="41" t="s">
        <v>75</v>
      </c>
      <c r="BI16" s="41" t="s">
        <v>102</v>
      </c>
      <c r="BJ16" s="41" t="s">
        <v>396</v>
      </c>
      <c r="BK16" s="41" t="s">
        <v>104</v>
      </c>
      <c r="BL16" s="41" t="s">
        <v>105</v>
      </c>
      <c r="BM16" s="41" t="s">
        <v>75</v>
      </c>
      <c r="BN16" s="41" t="s">
        <v>75</v>
      </c>
      <c r="BO16" s="41" t="s">
        <v>75</v>
      </c>
      <c r="BP16" s="41" t="s">
        <v>75</v>
      </c>
      <c r="BQ16" s="40" t="s">
        <v>397</v>
      </c>
      <c r="BR16" s="41" t="s">
        <v>398</v>
      </c>
      <c r="BS16" s="43" t="s">
        <v>399</v>
      </c>
    </row>
    <row r="17" spans="1:71">
      <c r="A17" s="40" t="s">
        <v>400</v>
      </c>
      <c r="B17" s="41" t="s">
        <v>110</v>
      </c>
      <c r="C17" s="41" t="s">
        <v>111</v>
      </c>
      <c r="D17" s="41" t="s">
        <v>74</v>
      </c>
      <c r="E17" s="41" t="s">
        <v>75</v>
      </c>
      <c r="F17" s="41" t="s">
        <v>401</v>
      </c>
      <c r="G17" s="41" t="s">
        <v>402</v>
      </c>
      <c r="H17" s="41" t="s">
        <v>403</v>
      </c>
      <c r="I17" s="41" t="s">
        <v>404</v>
      </c>
      <c r="J17" s="41" t="s">
        <v>405</v>
      </c>
      <c r="K17" s="41" t="s">
        <v>406</v>
      </c>
      <c r="L17" s="41" t="s">
        <v>407</v>
      </c>
      <c r="M17" s="41" t="s">
        <v>408</v>
      </c>
      <c r="N17" s="41" t="s">
        <v>409</v>
      </c>
      <c r="O17" s="40" t="s">
        <v>410</v>
      </c>
      <c r="P17" s="41" t="s">
        <v>75</v>
      </c>
      <c r="Q17" s="41" t="s">
        <v>75</v>
      </c>
      <c r="R17" s="41" t="s">
        <v>411</v>
      </c>
      <c r="S17" s="41" t="s">
        <v>250</v>
      </c>
      <c r="T17" s="49">
        <v>1</v>
      </c>
      <c r="U17" s="41" t="s">
        <v>75</v>
      </c>
      <c r="V17" s="41" t="s">
        <v>75</v>
      </c>
      <c r="W17" s="50">
        <v>189</v>
      </c>
      <c r="X17" s="49">
        <v>189</v>
      </c>
      <c r="Y17" s="49">
        <v>0</v>
      </c>
      <c r="Z17" s="50">
        <v>0</v>
      </c>
      <c r="AA17" s="41" t="s">
        <v>75</v>
      </c>
      <c r="AB17" s="50">
        <v>0</v>
      </c>
      <c r="AC17" s="50">
        <v>189</v>
      </c>
      <c r="AD17" s="41" t="s">
        <v>209</v>
      </c>
      <c r="AE17" s="41" t="s">
        <v>412</v>
      </c>
      <c r="AF17" s="41" t="s">
        <v>75</v>
      </c>
      <c r="AG17" s="41" t="s">
        <v>75</v>
      </c>
      <c r="AH17" s="41" t="s">
        <v>75</v>
      </c>
      <c r="AI17" s="41" t="s">
        <v>413</v>
      </c>
      <c r="AJ17" s="41" t="s">
        <v>75</v>
      </c>
      <c r="AK17" s="41" t="s">
        <v>91</v>
      </c>
      <c r="AL17" s="40" t="s">
        <v>92</v>
      </c>
      <c r="AM17" s="41" t="s">
        <v>93</v>
      </c>
      <c r="AN17" s="41" t="s">
        <v>414</v>
      </c>
      <c r="AO17" s="41" t="s">
        <v>75</v>
      </c>
      <c r="AP17" s="41" t="s">
        <v>75</v>
      </c>
      <c r="AQ17" s="41" t="s">
        <v>75</v>
      </c>
      <c r="AR17" s="41" t="s">
        <v>75</v>
      </c>
      <c r="AS17" s="41" t="s">
        <v>75</v>
      </c>
      <c r="AT17" s="41" t="s">
        <v>75</v>
      </c>
      <c r="AU17" s="41" t="s">
        <v>75</v>
      </c>
      <c r="AV17" s="41" t="s">
        <v>415</v>
      </c>
      <c r="AW17" s="41" t="s">
        <v>75</v>
      </c>
      <c r="AX17" s="41" t="s">
        <v>75</v>
      </c>
      <c r="AY17" s="41" t="s">
        <v>416</v>
      </c>
      <c r="AZ17" s="41" t="s">
        <v>417</v>
      </c>
      <c r="BA17" s="41" t="s">
        <v>75</v>
      </c>
      <c r="BB17" s="41" t="s">
        <v>99</v>
      </c>
      <c r="BC17" s="41" t="s">
        <v>75</v>
      </c>
      <c r="BD17" s="41" t="s">
        <v>101</v>
      </c>
      <c r="BE17" s="41" t="s">
        <v>75</v>
      </c>
      <c r="BF17" s="41" t="s">
        <v>130</v>
      </c>
      <c r="BG17" s="41" t="s">
        <v>418</v>
      </c>
      <c r="BH17" s="41" t="s">
        <v>75</v>
      </c>
      <c r="BI17" s="41" t="s">
        <v>102</v>
      </c>
      <c r="BJ17" s="41" t="s">
        <v>419</v>
      </c>
      <c r="BK17" s="41" t="s">
        <v>104</v>
      </c>
      <c r="BL17" s="41" t="s">
        <v>105</v>
      </c>
      <c r="BM17" s="41" t="s">
        <v>75</v>
      </c>
      <c r="BN17" s="41" t="s">
        <v>75</v>
      </c>
      <c r="BO17" s="41" t="s">
        <v>75</v>
      </c>
      <c r="BP17" s="41" t="s">
        <v>75</v>
      </c>
      <c r="BQ17" s="40" t="s">
        <v>420</v>
      </c>
      <c r="BR17" s="41" t="s">
        <v>421</v>
      </c>
      <c r="BS17" s="43" t="s">
        <v>422</v>
      </c>
    </row>
    <row r="18" spans="1:71">
      <c r="A18" s="40" t="s">
        <v>423</v>
      </c>
      <c r="B18" s="41" t="s">
        <v>110</v>
      </c>
      <c r="C18" s="41" t="s">
        <v>111</v>
      </c>
      <c r="D18" s="41" t="s">
        <v>74</v>
      </c>
      <c r="E18" s="41" t="s">
        <v>75</v>
      </c>
      <c r="F18" s="41" t="s">
        <v>424</v>
      </c>
      <c r="G18" s="41" t="s">
        <v>425</v>
      </c>
      <c r="H18" s="41" t="s">
        <v>426</v>
      </c>
      <c r="I18" s="41" t="s">
        <v>427</v>
      </c>
      <c r="J18" s="41" t="s">
        <v>428</v>
      </c>
      <c r="K18" s="41" t="s">
        <v>429</v>
      </c>
      <c r="L18" s="41" t="s">
        <v>430</v>
      </c>
      <c r="M18" s="41" t="s">
        <v>431</v>
      </c>
      <c r="N18" s="41" t="s">
        <v>432</v>
      </c>
      <c r="O18" s="40" t="s">
        <v>433</v>
      </c>
      <c r="P18" s="41" t="s">
        <v>148</v>
      </c>
      <c r="Q18" s="41" t="s">
        <v>149</v>
      </c>
      <c r="R18" s="41" t="s">
        <v>434</v>
      </c>
      <c r="S18" s="41" t="s">
        <v>343</v>
      </c>
      <c r="T18" s="49">
        <v>1</v>
      </c>
      <c r="U18" s="41" t="s">
        <v>75</v>
      </c>
      <c r="V18" s="41" t="s">
        <v>75</v>
      </c>
      <c r="W18" s="50">
        <v>179</v>
      </c>
      <c r="X18" s="49">
        <v>179</v>
      </c>
      <c r="Y18" s="49">
        <v>0</v>
      </c>
      <c r="Z18" s="50">
        <v>0</v>
      </c>
      <c r="AA18" s="41" t="s">
        <v>75</v>
      </c>
      <c r="AB18" s="50">
        <v>0</v>
      </c>
      <c r="AC18" s="50">
        <v>179</v>
      </c>
      <c r="AD18" s="41" t="s">
        <v>88</v>
      </c>
      <c r="AE18" s="41" t="s">
        <v>435</v>
      </c>
      <c r="AF18" s="41" t="s">
        <v>75</v>
      </c>
      <c r="AG18" s="41" t="s">
        <v>75</v>
      </c>
      <c r="AH18" s="41" t="s">
        <v>75</v>
      </c>
      <c r="AI18" s="41" t="s">
        <v>436</v>
      </c>
      <c r="AJ18" s="41" t="s">
        <v>75</v>
      </c>
      <c r="AK18" s="41" t="s">
        <v>91</v>
      </c>
      <c r="AL18" s="40" t="s">
        <v>92</v>
      </c>
      <c r="AM18" s="41" t="s">
        <v>93</v>
      </c>
      <c r="AN18" s="41" t="s">
        <v>437</v>
      </c>
      <c r="AO18" s="41" t="s">
        <v>75</v>
      </c>
      <c r="AP18" s="41" t="s">
        <v>75</v>
      </c>
      <c r="AQ18" s="41" t="s">
        <v>75</v>
      </c>
      <c r="AR18" s="41" t="s">
        <v>75</v>
      </c>
      <c r="AS18" s="41" t="s">
        <v>75</v>
      </c>
      <c r="AT18" s="41" t="s">
        <v>75</v>
      </c>
      <c r="AU18" s="41" t="s">
        <v>75</v>
      </c>
      <c r="AV18" s="41" t="s">
        <v>438</v>
      </c>
      <c r="AW18" s="41" t="s">
        <v>75</v>
      </c>
      <c r="AX18" s="41" t="s">
        <v>75</v>
      </c>
      <c r="AY18" s="41" t="s">
        <v>439</v>
      </c>
      <c r="AZ18" s="41" t="s">
        <v>440</v>
      </c>
      <c r="BA18" s="41" t="s">
        <v>75</v>
      </c>
      <c r="BB18" s="41" t="s">
        <v>99</v>
      </c>
      <c r="BC18" s="41" t="s">
        <v>75</v>
      </c>
      <c r="BD18" s="41" t="s">
        <v>101</v>
      </c>
      <c r="BE18" s="41" t="s">
        <v>75</v>
      </c>
      <c r="BF18" s="41" t="s">
        <v>130</v>
      </c>
      <c r="BG18" s="41" t="s">
        <v>441</v>
      </c>
      <c r="BH18" s="41" t="s">
        <v>75</v>
      </c>
      <c r="BI18" s="41" t="s">
        <v>102</v>
      </c>
      <c r="BJ18" s="41" t="s">
        <v>442</v>
      </c>
      <c r="BK18" s="41" t="s">
        <v>104</v>
      </c>
      <c r="BL18" s="41" t="s">
        <v>105</v>
      </c>
      <c r="BM18" s="41" t="s">
        <v>75</v>
      </c>
      <c r="BN18" s="41" t="s">
        <v>75</v>
      </c>
      <c r="BO18" s="41" t="s">
        <v>75</v>
      </c>
      <c r="BP18" s="41" t="s">
        <v>75</v>
      </c>
      <c r="BQ18" s="40" t="s">
        <v>443</v>
      </c>
      <c r="BR18" s="41" t="s">
        <v>444</v>
      </c>
      <c r="BS18" s="43" t="s">
        <v>445</v>
      </c>
    </row>
    <row r="19" spans="1:71">
      <c r="A19" s="40" t="s">
        <v>446</v>
      </c>
      <c r="B19" s="41" t="s">
        <v>110</v>
      </c>
      <c r="C19" s="41" t="s">
        <v>111</v>
      </c>
      <c r="D19" s="41" t="s">
        <v>74</v>
      </c>
      <c r="E19" s="41" t="s">
        <v>75</v>
      </c>
      <c r="F19" s="41" t="s">
        <v>447</v>
      </c>
      <c r="G19" s="41" t="s">
        <v>448</v>
      </c>
      <c r="H19" s="41" t="s">
        <v>449</v>
      </c>
      <c r="I19" s="41" t="s">
        <v>450</v>
      </c>
      <c r="J19" s="41" t="s">
        <v>451</v>
      </c>
      <c r="K19" s="41" t="s">
        <v>452</v>
      </c>
      <c r="L19" s="41" t="s">
        <v>453</v>
      </c>
      <c r="M19" s="41" t="s">
        <v>454</v>
      </c>
      <c r="N19" s="41" t="s">
        <v>455</v>
      </c>
      <c r="O19" s="40" t="s">
        <v>456</v>
      </c>
      <c r="P19" s="41" t="s">
        <v>148</v>
      </c>
      <c r="Q19" s="41" t="s">
        <v>149</v>
      </c>
      <c r="R19" s="41" t="s">
        <v>457</v>
      </c>
      <c r="S19" s="41" t="s">
        <v>250</v>
      </c>
      <c r="T19" s="49">
        <v>1</v>
      </c>
      <c r="U19" s="41" t="s">
        <v>75</v>
      </c>
      <c r="V19" s="41" t="s">
        <v>75</v>
      </c>
      <c r="W19" s="50">
        <v>219</v>
      </c>
      <c r="X19" s="49">
        <v>219</v>
      </c>
      <c r="Y19" s="49">
        <v>0</v>
      </c>
      <c r="Z19" s="50">
        <v>0</v>
      </c>
      <c r="AA19" s="41" t="s">
        <v>75</v>
      </c>
      <c r="AB19" s="50">
        <v>0</v>
      </c>
      <c r="AC19" s="50">
        <v>219</v>
      </c>
      <c r="AD19" s="41" t="s">
        <v>209</v>
      </c>
      <c r="AE19" s="41" t="s">
        <v>458</v>
      </c>
      <c r="AF19" s="41" t="s">
        <v>75</v>
      </c>
      <c r="AG19" s="41" t="s">
        <v>75</v>
      </c>
      <c r="AH19" s="41" t="s">
        <v>75</v>
      </c>
      <c r="AI19" s="41" t="s">
        <v>459</v>
      </c>
      <c r="AJ19" s="41" t="s">
        <v>75</v>
      </c>
      <c r="AK19" s="41" t="s">
        <v>91</v>
      </c>
      <c r="AL19" s="40" t="s">
        <v>92</v>
      </c>
      <c r="AM19" s="41" t="s">
        <v>93</v>
      </c>
      <c r="AN19" s="41" t="s">
        <v>460</v>
      </c>
      <c r="AO19" s="41" t="s">
        <v>75</v>
      </c>
      <c r="AP19" s="41" t="s">
        <v>75</v>
      </c>
      <c r="AQ19" s="41" t="s">
        <v>75</v>
      </c>
      <c r="AR19" s="41" t="s">
        <v>75</v>
      </c>
      <c r="AS19" s="41" t="s">
        <v>75</v>
      </c>
      <c r="AT19" s="41" t="s">
        <v>75</v>
      </c>
      <c r="AU19" s="41" t="s">
        <v>75</v>
      </c>
      <c r="AV19" s="41" t="s">
        <v>461</v>
      </c>
      <c r="AW19" s="41" t="s">
        <v>75</v>
      </c>
      <c r="AX19" s="41" t="s">
        <v>75</v>
      </c>
      <c r="AY19" s="41" t="s">
        <v>462</v>
      </c>
      <c r="AZ19" s="41" t="s">
        <v>463</v>
      </c>
      <c r="BA19" s="41" t="s">
        <v>75</v>
      </c>
      <c r="BB19" s="41" t="s">
        <v>99</v>
      </c>
      <c r="BC19" s="41" t="s">
        <v>75</v>
      </c>
      <c r="BD19" s="41" t="s">
        <v>101</v>
      </c>
      <c r="BE19" s="41" t="s">
        <v>75</v>
      </c>
      <c r="BF19" s="41" t="s">
        <v>130</v>
      </c>
      <c r="BG19" s="41" t="s">
        <v>464</v>
      </c>
      <c r="BH19" s="41" t="s">
        <v>75</v>
      </c>
      <c r="BI19" s="41" t="s">
        <v>102</v>
      </c>
      <c r="BJ19" s="41" t="s">
        <v>465</v>
      </c>
      <c r="BK19" s="41" t="s">
        <v>104</v>
      </c>
      <c r="BL19" s="41" t="s">
        <v>105</v>
      </c>
      <c r="BM19" s="41" t="s">
        <v>75</v>
      </c>
      <c r="BN19" s="41" t="s">
        <v>75</v>
      </c>
      <c r="BO19" s="41" t="s">
        <v>75</v>
      </c>
      <c r="BP19" s="41" t="s">
        <v>75</v>
      </c>
      <c r="BQ19" s="40" t="s">
        <v>466</v>
      </c>
      <c r="BR19" s="41" t="s">
        <v>352</v>
      </c>
      <c r="BS19" s="43" t="s">
        <v>353</v>
      </c>
    </row>
    <row r="20" spans="1:71">
      <c r="A20" s="40" t="s">
        <v>467</v>
      </c>
      <c r="B20" s="41" t="s">
        <v>72</v>
      </c>
      <c r="C20" s="41" t="s">
        <v>73</v>
      </c>
      <c r="D20" s="41" t="s">
        <v>74</v>
      </c>
      <c r="E20" s="41" t="s">
        <v>75</v>
      </c>
      <c r="F20" s="41" t="s">
        <v>468</v>
      </c>
      <c r="G20" s="41" t="s">
        <v>469</v>
      </c>
      <c r="H20" s="41" t="s">
        <v>470</v>
      </c>
      <c r="I20" s="41" t="s">
        <v>115</v>
      </c>
      <c r="J20" s="41" t="s">
        <v>471</v>
      </c>
      <c r="K20" s="41" t="s">
        <v>472</v>
      </c>
      <c r="L20" s="41" t="s">
        <v>473</v>
      </c>
      <c r="M20" s="41" t="s">
        <v>360</v>
      </c>
      <c r="N20" s="41" t="s">
        <v>361</v>
      </c>
      <c r="O20" s="40" t="s">
        <v>362</v>
      </c>
      <c r="P20" s="41" t="s">
        <v>148</v>
      </c>
      <c r="Q20" s="41" t="s">
        <v>149</v>
      </c>
      <c r="R20" s="41" t="s">
        <v>363</v>
      </c>
      <c r="S20" s="41" t="s">
        <v>364</v>
      </c>
      <c r="T20" s="49">
        <v>1</v>
      </c>
      <c r="U20" s="41" t="s">
        <v>75</v>
      </c>
      <c r="V20" s="41" t="s">
        <v>75</v>
      </c>
      <c r="W20" s="50">
        <v>199</v>
      </c>
      <c r="X20" s="49">
        <v>199</v>
      </c>
      <c r="Y20" s="49">
        <v>0</v>
      </c>
      <c r="Z20" s="50">
        <v>0</v>
      </c>
      <c r="AA20" s="41" t="s">
        <v>75</v>
      </c>
      <c r="AB20" s="50">
        <v>0</v>
      </c>
      <c r="AC20" s="50">
        <v>199</v>
      </c>
      <c r="AD20" s="41" t="s">
        <v>88</v>
      </c>
      <c r="AE20" s="41" t="s">
        <v>474</v>
      </c>
      <c r="AF20" s="41" t="s">
        <v>75</v>
      </c>
      <c r="AG20" s="41" t="s">
        <v>75</v>
      </c>
      <c r="AH20" s="41" t="s">
        <v>75</v>
      </c>
      <c r="AI20" s="41" t="s">
        <v>475</v>
      </c>
      <c r="AJ20" s="41" t="s">
        <v>75</v>
      </c>
      <c r="AK20" s="41" t="s">
        <v>91</v>
      </c>
      <c r="AL20" s="40" t="s">
        <v>92</v>
      </c>
      <c r="AM20" s="41" t="s">
        <v>93</v>
      </c>
      <c r="AN20" s="41" t="s">
        <v>476</v>
      </c>
      <c r="AO20" s="41" t="s">
        <v>75</v>
      </c>
      <c r="AP20" s="41" t="s">
        <v>75</v>
      </c>
      <c r="AQ20" s="41" t="s">
        <v>75</v>
      </c>
      <c r="AR20" s="41" t="s">
        <v>75</v>
      </c>
      <c r="AS20" s="41" t="s">
        <v>75</v>
      </c>
      <c r="AT20" s="41" t="s">
        <v>75</v>
      </c>
      <c r="AU20" s="41" t="s">
        <v>75</v>
      </c>
      <c r="AV20" s="41" t="s">
        <v>477</v>
      </c>
      <c r="AW20" s="41" t="s">
        <v>75</v>
      </c>
      <c r="AX20" s="41" t="s">
        <v>75</v>
      </c>
      <c r="AY20" s="41" t="s">
        <v>478</v>
      </c>
      <c r="AZ20" s="41" t="s">
        <v>479</v>
      </c>
      <c r="BA20" s="41" t="s">
        <v>480</v>
      </c>
      <c r="BB20" s="41" t="s">
        <v>99</v>
      </c>
      <c r="BC20" s="41" t="s">
        <v>100</v>
      </c>
      <c r="BD20" s="41" t="s">
        <v>101</v>
      </c>
      <c r="BE20" s="41" t="s">
        <v>75</v>
      </c>
      <c r="BF20" s="41" t="s">
        <v>75</v>
      </c>
      <c r="BG20" s="41" t="s">
        <v>75</v>
      </c>
      <c r="BH20" s="41" t="s">
        <v>75</v>
      </c>
      <c r="BI20" s="41" t="s">
        <v>102</v>
      </c>
      <c r="BJ20" s="41" t="s">
        <v>481</v>
      </c>
      <c r="BK20" s="41" t="s">
        <v>104</v>
      </c>
      <c r="BL20" s="41" t="s">
        <v>105</v>
      </c>
      <c r="BM20" s="41" t="s">
        <v>75</v>
      </c>
      <c r="BN20" s="41" t="s">
        <v>75</v>
      </c>
      <c r="BO20" s="41" t="s">
        <v>75</v>
      </c>
      <c r="BP20" s="41" t="s">
        <v>75</v>
      </c>
      <c r="BQ20" s="40" t="s">
        <v>374</v>
      </c>
      <c r="BR20" s="41" t="s">
        <v>375</v>
      </c>
      <c r="BS20" s="43" t="s">
        <v>376</v>
      </c>
    </row>
    <row r="21" spans="1:71">
      <c r="A21" s="40" t="s">
        <v>482</v>
      </c>
      <c r="B21" s="41" t="s">
        <v>110</v>
      </c>
      <c r="C21" s="41" t="s">
        <v>111</v>
      </c>
      <c r="D21" s="41" t="s">
        <v>74</v>
      </c>
      <c r="E21" s="41" t="s">
        <v>75</v>
      </c>
      <c r="F21" s="41" t="s">
        <v>332</v>
      </c>
      <c r="G21" s="41" t="s">
        <v>483</v>
      </c>
      <c r="H21" s="41" t="s">
        <v>484</v>
      </c>
      <c r="I21" s="41" t="s">
        <v>485</v>
      </c>
      <c r="J21" s="41" t="s">
        <v>486</v>
      </c>
      <c r="K21" s="41" t="s">
        <v>487</v>
      </c>
      <c r="L21" s="41" t="s">
        <v>488</v>
      </c>
      <c r="M21" s="41" t="s">
        <v>489</v>
      </c>
      <c r="N21" s="41" t="s">
        <v>490</v>
      </c>
      <c r="O21" s="40" t="s">
        <v>491</v>
      </c>
      <c r="P21" s="41" t="s">
        <v>148</v>
      </c>
      <c r="Q21" s="41" t="s">
        <v>149</v>
      </c>
      <c r="R21" s="41" t="s">
        <v>492</v>
      </c>
      <c r="S21" s="41" t="s">
        <v>493</v>
      </c>
      <c r="T21" s="49">
        <v>1</v>
      </c>
      <c r="U21" s="41" t="s">
        <v>75</v>
      </c>
      <c r="V21" s="41" t="s">
        <v>75</v>
      </c>
      <c r="W21" s="50">
        <v>219</v>
      </c>
      <c r="X21" s="49">
        <v>219</v>
      </c>
      <c r="Y21" s="49">
        <v>0</v>
      </c>
      <c r="Z21" s="50">
        <v>0</v>
      </c>
      <c r="AA21" s="41" t="s">
        <v>75</v>
      </c>
      <c r="AB21" s="50">
        <v>0</v>
      </c>
      <c r="AC21" s="50">
        <v>219</v>
      </c>
      <c r="AD21" s="41" t="s">
        <v>88</v>
      </c>
      <c r="AE21" s="41" t="s">
        <v>494</v>
      </c>
      <c r="AF21" s="41" t="s">
        <v>75</v>
      </c>
      <c r="AG21" s="41" t="s">
        <v>75</v>
      </c>
      <c r="AH21" s="41" t="s">
        <v>75</v>
      </c>
      <c r="AI21" s="41" t="s">
        <v>495</v>
      </c>
      <c r="AJ21" s="41" t="s">
        <v>75</v>
      </c>
      <c r="AK21" s="41" t="s">
        <v>91</v>
      </c>
      <c r="AL21" s="40" t="s">
        <v>92</v>
      </c>
      <c r="AM21" s="41" t="s">
        <v>93</v>
      </c>
      <c r="AN21" s="41" t="s">
        <v>496</v>
      </c>
      <c r="AO21" s="41" t="s">
        <v>75</v>
      </c>
      <c r="AP21" s="41" t="s">
        <v>75</v>
      </c>
      <c r="AQ21" s="41" t="s">
        <v>75</v>
      </c>
      <c r="AR21" s="41" t="s">
        <v>75</v>
      </c>
      <c r="AS21" s="41" t="s">
        <v>75</v>
      </c>
      <c r="AT21" s="41" t="s">
        <v>75</v>
      </c>
      <c r="AU21" s="41" t="s">
        <v>75</v>
      </c>
      <c r="AV21" s="41" t="s">
        <v>497</v>
      </c>
      <c r="AW21" s="41" t="s">
        <v>75</v>
      </c>
      <c r="AX21" s="41" t="s">
        <v>75</v>
      </c>
      <c r="AY21" s="41" t="s">
        <v>498</v>
      </c>
      <c r="AZ21" s="41" t="s">
        <v>499</v>
      </c>
      <c r="BA21" s="41" t="s">
        <v>500</v>
      </c>
      <c r="BB21" s="41" t="s">
        <v>99</v>
      </c>
      <c r="BC21" s="41" t="s">
        <v>159</v>
      </c>
      <c r="BD21" s="41" t="s">
        <v>101</v>
      </c>
      <c r="BE21" s="41" t="s">
        <v>75</v>
      </c>
      <c r="BF21" s="41" t="s">
        <v>130</v>
      </c>
      <c r="BG21" s="41" t="s">
        <v>501</v>
      </c>
      <c r="BH21" s="41" t="s">
        <v>75</v>
      </c>
      <c r="BI21" s="41" t="s">
        <v>102</v>
      </c>
      <c r="BJ21" s="41" t="s">
        <v>502</v>
      </c>
      <c r="BK21" s="41" t="s">
        <v>104</v>
      </c>
      <c r="BL21" s="41" t="s">
        <v>105</v>
      </c>
      <c r="BM21" s="41" t="s">
        <v>75</v>
      </c>
      <c r="BN21" s="41" t="s">
        <v>75</v>
      </c>
      <c r="BO21" s="41" t="s">
        <v>75</v>
      </c>
      <c r="BP21" s="41" t="s">
        <v>75</v>
      </c>
      <c r="BQ21" s="40" t="s">
        <v>503</v>
      </c>
      <c r="BR21" s="41" t="s">
        <v>352</v>
      </c>
      <c r="BS21" s="43" t="s">
        <v>353</v>
      </c>
    </row>
    <row r="22" spans="1:71">
      <c r="A22" s="40" t="s">
        <v>504</v>
      </c>
      <c r="B22" s="41" t="s">
        <v>72</v>
      </c>
      <c r="C22" s="41" t="s">
        <v>73</v>
      </c>
      <c r="D22" s="41" t="s">
        <v>74</v>
      </c>
      <c r="E22" s="41" t="s">
        <v>75</v>
      </c>
      <c r="F22" s="41" t="s">
        <v>505</v>
      </c>
      <c r="G22" s="41" t="s">
        <v>506</v>
      </c>
      <c r="H22" s="41" t="s">
        <v>507</v>
      </c>
      <c r="I22" s="41" t="s">
        <v>427</v>
      </c>
      <c r="J22" s="41" t="s">
        <v>508</v>
      </c>
      <c r="K22" s="41" t="s">
        <v>509</v>
      </c>
      <c r="L22" s="41" t="s">
        <v>510</v>
      </c>
      <c r="M22" s="41" t="s">
        <v>511</v>
      </c>
      <c r="N22" s="41" t="s">
        <v>512</v>
      </c>
      <c r="O22" s="40" t="s">
        <v>513</v>
      </c>
      <c r="P22" s="41" t="s">
        <v>148</v>
      </c>
      <c r="Q22" s="41" t="s">
        <v>149</v>
      </c>
      <c r="R22" s="41" t="s">
        <v>514</v>
      </c>
      <c r="S22" s="41" t="s">
        <v>515</v>
      </c>
      <c r="T22" s="49">
        <v>1</v>
      </c>
      <c r="U22" s="41" t="s">
        <v>75</v>
      </c>
      <c r="V22" s="41" t="s">
        <v>75</v>
      </c>
      <c r="W22" s="50">
        <v>199</v>
      </c>
      <c r="X22" s="49">
        <v>199</v>
      </c>
      <c r="Y22" s="49">
        <v>0</v>
      </c>
      <c r="Z22" s="50">
        <v>0</v>
      </c>
      <c r="AA22" s="41" t="s">
        <v>75</v>
      </c>
      <c r="AB22" s="50">
        <v>0</v>
      </c>
      <c r="AC22" s="50">
        <v>199</v>
      </c>
      <c r="AD22" s="41" t="s">
        <v>88</v>
      </c>
      <c r="AE22" s="41" t="s">
        <v>516</v>
      </c>
      <c r="AF22" s="41" t="s">
        <v>75</v>
      </c>
      <c r="AG22" s="41" t="s">
        <v>75</v>
      </c>
      <c r="AH22" s="41" t="s">
        <v>75</v>
      </c>
      <c r="AI22" s="41" t="s">
        <v>517</v>
      </c>
      <c r="AJ22" s="41" t="s">
        <v>75</v>
      </c>
      <c r="AK22" s="41" t="s">
        <v>91</v>
      </c>
      <c r="AL22" s="40" t="s">
        <v>92</v>
      </c>
      <c r="AM22" s="41" t="s">
        <v>93</v>
      </c>
      <c r="AN22" s="41" t="s">
        <v>518</v>
      </c>
      <c r="AO22" s="41" t="s">
        <v>75</v>
      </c>
      <c r="AP22" s="41" t="s">
        <v>75</v>
      </c>
      <c r="AQ22" s="41" t="s">
        <v>75</v>
      </c>
      <c r="AR22" s="41" t="s">
        <v>75</v>
      </c>
      <c r="AS22" s="41" t="s">
        <v>75</v>
      </c>
      <c r="AT22" s="41" t="s">
        <v>75</v>
      </c>
      <c r="AU22" s="41" t="s">
        <v>75</v>
      </c>
      <c r="AV22" s="41" t="s">
        <v>519</v>
      </c>
      <c r="AW22" s="41" t="s">
        <v>75</v>
      </c>
      <c r="AX22" s="41" t="s">
        <v>75</v>
      </c>
      <c r="AY22" s="41" t="s">
        <v>520</v>
      </c>
      <c r="AZ22" s="41" t="s">
        <v>521</v>
      </c>
      <c r="BA22" s="41" t="s">
        <v>522</v>
      </c>
      <c r="BB22" s="41" t="s">
        <v>99</v>
      </c>
      <c r="BC22" s="41" t="s">
        <v>159</v>
      </c>
      <c r="BD22" s="41" t="s">
        <v>101</v>
      </c>
      <c r="BE22" s="41" t="s">
        <v>75</v>
      </c>
      <c r="BF22" s="41" t="s">
        <v>75</v>
      </c>
      <c r="BG22" s="41" t="s">
        <v>75</v>
      </c>
      <c r="BH22" s="41" t="s">
        <v>75</v>
      </c>
      <c r="BI22" s="41" t="s">
        <v>102</v>
      </c>
      <c r="BJ22" s="41" t="s">
        <v>523</v>
      </c>
      <c r="BK22" s="41" t="s">
        <v>104</v>
      </c>
      <c r="BL22" s="41" t="s">
        <v>105</v>
      </c>
      <c r="BM22" s="41" t="s">
        <v>75</v>
      </c>
      <c r="BN22" s="41" t="s">
        <v>75</v>
      </c>
      <c r="BO22" s="41" t="s">
        <v>75</v>
      </c>
      <c r="BP22" s="41" t="s">
        <v>75</v>
      </c>
      <c r="BQ22" s="40" t="s">
        <v>524</v>
      </c>
      <c r="BR22" s="41" t="s">
        <v>375</v>
      </c>
      <c r="BS22" s="43" t="s">
        <v>376</v>
      </c>
    </row>
    <row r="23" spans="1:71">
      <c r="A23" s="40" t="s">
        <v>525</v>
      </c>
      <c r="B23" s="41" t="s">
        <v>72</v>
      </c>
      <c r="C23" s="41" t="s">
        <v>73</v>
      </c>
      <c r="D23" s="41" t="s">
        <v>74</v>
      </c>
      <c r="E23" s="41" t="s">
        <v>75</v>
      </c>
      <c r="F23" s="41" t="s">
        <v>526</v>
      </c>
      <c r="G23" s="41" t="s">
        <v>527</v>
      </c>
      <c r="H23" s="41" t="s">
        <v>528</v>
      </c>
      <c r="I23" s="41" t="s">
        <v>404</v>
      </c>
      <c r="J23" s="41" t="s">
        <v>529</v>
      </c>
      <c r="K23" s="41" t="s">
        <v>530</v>
      </c>
      <c r="L23" s="41" t="s">
        <v>531</v>
      </c>
      <c r="M23" s="41" t="s">
        <v>532</v>
      </c>
      <c r="N23" s="41" t="s">
        <v>532</v>
      </c>
      <c r="O23" s="40" t="s">
        <v>533</v>
      </c>
      <c r="P23" s="41" t="s">
        <v>148</v>
      </c>
      <c r="Q23" s="41" t="s">
        <v>149</v>
      </c>
      <c r="R23" s="41" t="s">
        <v>534</v>
      </c>
      <c r="S23" s="41" t="s">
        <v>535</v>
      </c>
      <c r="T23" s="49">
        <v>1</v>
      </c>
      <c r="U23" s="41" t="s">
        <v>75</v>
      </c>
      <c r="V23" s="41" t="s">
        <v>75</v>
      </c>
      <c r="W23" s="50">
        <v>219</v>
      </c>
      <c r="X23" s="49">
        <v>219</v>
      </c>
      <c r="Y23" s="49">
        <v>0</v>
      </c>
      <c r="Z23" s="50">
        <v>0</v>
      </c>
      <c r="AA23" s="41" t="s">
        <v>75</v>
      </c>
      <c r="AB23" s="50">
        <v>0</v>
      </c>
      <c r="AC23" s="50">
        <v>219</v>
      </c>
      <c r="AD23" s="41" t="s">
        <v>88</v>
      </c>
      <c r="AE23" s="41" t="s">
        <v>536</v>
      </c>
      <c r="AF23" s="41" t="s">
        <v>75</v>
      </c>
      <c r="AG23" s="41" t="s">
        <v>75</v>
      </c>
      <c r="AH23" s="41" t="s">
        <v>75</v>
      </c>
      <c r="AI23" s="41" t="s">
        <v>537</v>
      </c>
      <c r="AJ23" s="41" t="s">
        <v>75</v>
      </c>
      <c r="AK23" s="41" t="s">
        <v>91</v>
      </c>
      <c r="AL23" s="40" t="s">
        <v>92</v>
      </c>
      <c r="AM23" s="41" t="s">
        <v>93</v>
      </c>
      <c r="AN23" s="41" t="s">
        <v>538</v>
      </c>
      <c r="AO23" s="41" t="s">
        <v>75</v>
      </c>
      <c r="AP23" s="41" t="s">
        <v>75</v>
      </c>
      <c r="AQ23" s="41" t="s">
        <v>75</v>
      </c>
      <c r="AR23" s="41" t="s">
        <v>75</v>
      </c>
      <c r="AS23" s="41" t="s">
        <v>75</v>
      </c>
      <c r="AT23" s="41" t="s">
        <v>75</v>
      </c>
      <c r="AU23" s="41" t="s">
        <v>75</v>
      </c>
      <c r="AV23" s="41" t="s">
        <v>539</v>
      </c>
      <c r="AW23" s="41" t="s">
        <v>75</v>
      </c>
      <c r="AX23" s="41" t="s">
        <v>75</v>
      </c>
      <c r="AY23" s="41" t="s">
        <v>540</v>
      </c>
      <c r="AZ23" s="41" t="s">
        <v>541</v>
      </c>
      <c r="BA23" s="41" t="s">
        <v>542</v>
      </c>
      <c r="BB23" s="41" t="s">
        <v>99</v>
      </c>
      <c r="BC23" s="41" t="s">
        <v>100</v>
      </c>
      <c r="BD23" s="41" t="s">
        <v>101</v>
      </c>
      <c r="BE23" s="41" t="s">
        <v>75</v>
      </c>
      <c r="BF23" s="41" t="s">
        <v>75</v>
      </c>
      <c r="BG23" s="41" t="s">
        <v>75</v>
      </c>
      <c r="BH23" s="41" t="s">
        <v>75</v>
      </c>
      <c r="BI23" s="41" t="s">
        <v>102</v>
      </c>
      <c r="BJ23" s="41" t="s">
        <v>543</v>
      </c>
      <c r="BK23" s="41" t="s">
        <v>104</v>
      </c>
      <c r="BL23" s="41" t="s">
        <v>105</v>
      </c>
      <c r="BM23" s="41" t="s">
        <v>75</v>
      </c>
      <c r="BN23" s="41" t="s">
        <v>75</v>
      </c>
      <c r="BO23" s="41" t="s">
        <v>75</v>
      </c>
      <c r="BP23" s="41" t="s">
        <v>75</v>
      </c>
      <c r="BQ23" s="40" t="s">
        <v>544</v>
      </c>
      <c r="BR23" s="41" t="s">
        <v>545</v>
      </c>
      <c r="BS23" s="43" t="s">
        <v>546</v>
      </c>
    </row>
    <row r="24" spans="1:71">
      <c r="A24" s="40" t="s">
        <v>547</v>
      </c>
      <c r="B24" s="41" t="s">
        <v>72</v>
      </c>
      <c r="C24" s="41" t="s">
        <v>73</v>
      </c>
      <c r="D24" s="41" t="s">
        <v>74</v>
      </c>
      <c r="E24" s="41" t="s">
        <v>75</v>
      </c>
      <c r="F24" s="41" t="s">
        <v>548</v>
      </c>
      <c r="G24" s="41" t="s">
        <v>549</v>
      </c>
      <c r="H24" s="41" t="s">
        <v>550</v>
      </c>
      <c r="I24" s="41" t="s">
        <v>551</v>
      </c>
      <c r="J24" s="41" t="s">
        <v>552</v>
      </c>
      <c r="K24" s="41" t="s">
        <v>553</v>
      </c>
      <c r="L24" s="41" t="s">
        <v>554</v>
      </c>
      <c r="M24" s="41" t="s">
        <v>532</v>
      </c>
      <c r="N24" s="41" t="s">
        <v>532</v>
      </c>
      <c r="O24" s="40" t="s">
        <v>533</v>
      </c>
      <c r="P24" s="41" t="s">
        <v>148</v>
      </c>
      <c r="Q24" s="41" t="s">
        <v>149</v>
      </c>
      <c r="R24" s="41" t="s">
        <v>534</v>
      </c>
      <c r="S24" s="41" t="s">
        <v>535</v>
      </c>
      <c r="T24" s="49">
        <v>1</v>
      </c>
      <c r="U24" s="41" t="s">
        <v>75</v>
      </c>
      <c r="V24" s="41" t="s">
        <v>75</v>
      </c>
      <c r="W24" s="50">
        <v>219</v>
      </c>
      <c r="X24" s="49">
        <v>229</v>
      </c>
      <c r="Y24" s="49">
        <v>0</v>
      </c>
      <c r="Z24" s="50">
        <v>0</v>
      </c>
      <c r="AA24" s="41" t="s">
        <v>75</v>
      </c>
      <c r="AB24" s="50">
        <v>0</v>
      </c>
      <c r="AC24" s="50">
        <v>229</v>
      </c>
      <c r="AD24" s="41" t="s">
        <v>209</v>
      </c>
      <c r="AE24" s="41" t="s">
        <v>555</v>
      </c>
      <c r="AF24" s="41" t="s">
        <v>75</v>
      </c>
      <c r="AG24" s="41" t="s">
        <v>75</v>
      </c>
      <c r="AH24" s="41" t="s">
        <v>75</v>
      </c>
      <c r="AI24" s="41" t="s">
        <v>556</v>
      </c>
      <c r="AJ24" s="41" t="s">
        <v>75</v>
      </c>
      <c r="AK24" s="41" t="s">
        <v>91</v>
      </c>
      <c r="AL24" s="40" t="s">
        <v>557</v>
      </c>
      <c r="AM24" s="41" t="s">
        <v>93</v>
      </c>
      <c r="AN24" s="41" t="s">
        <v>558</v>
      </c>
      <c r="AO24" s="41" t="s">
        <v>75</v>
      </c>
      <c r="AP24" s="41" t="s">
        <v>75</v>
      </c>
      <c r="AQ24" s="41" t="s">
        <v>75</v>
      </c>
      <c r="AR24" s="41" t="s">
        <v>75</v>
      </c>
      <c r="AS24" s="41" t="s">
        <v>75</v>
      </c>
      <c r="AT24" s="41" t="s">
        <v>75</v>
      </c>
      <c r="AU24" s="41" t="s">
        <v>75</v>
      </c>
      <c r="AV24" s="41" t="s">
        <v>559</v>
      </c>
      <c r="AW24" s="41" t="s">
        <v>75</v>
      </c>
      <c r="AX24" s="41" t="s">
        <v>75</v>
      </c>
      <c r="AY24" s="41" t="s">
        <v>560</v>
      </c>
      <c r="AZ24" s="41" t="s">
        <v>541</v>
      </c>
      <c r="BA24" s="41" t="s">
        <v>561</v>
      </c>
      <c r="BB24" s="41" t="s">
        <v>99</v>
      </c>
      <c r="BC24" s="41" t="s">
        <v>100</v>
      </c>
      <c r="BD24" s="41" t="s">
        <v>101</v>
      </c>
      <c r="BE24" s="41" t="s">
        <v>75</v>
      </c>
      <c r="BF24" s="41" t="s">
        <v>75</v>
      </c>
      <c r="BG24" s="41" t="s">
        <v>75</v>
      </c>
      <c r="BH24" s="41" t="s">
        <v>75</v>
      </c>
      <c r="BI24" s="41" t="s">
        <v>102</v>
      </c>
      <c r="BJ24" s="41" t="s">
        <v>562</v>
      </c>
      <c r="BK24" s="41" t="s">
        <v>104</v>
      </c>
      <c r="BL24" s="41" t="s">
        <v>105</v>
      </c>
      <c r="BM24" s="41" t="s">
        <v>75</v>
      </c>
      <c r="BN24" s="41" t="s">
        <v>75</v>
      </c>
      <c r="BO24" s="41" t="s">
        <v>75</v>
      </c>
      <c r="BP24" s="41" t="s">
        <v>75</v>
      </c>
      <c r="BQ24" s="40" t="s">
        <v>544</v>
      </c>
      <c r="BR24" s="41" t="s">
        <v>545</v>
      </c>
      <c r="BS24" s="43" t="s">
        <v>546</v>
      </c>
    </row>
    <row r="25" spans="1:71">
      <c r="A25" s="40" t="s">
        <v>563</v>
      </c>
      <c r="B25" s="41" t="s">
        <v>72</v>
      </c>
      <c r="C25" s="41" t="s">
        <v>73</v>
      </c>
      <c r="D25" s="41" t="s">
        <v>74</v>
      </c>
      <c r="E25" s="41" t="s">
        <v>75</v>
      </c>
      <c r="F25" s="41" t="s">
        <v>564</v>
      </c>
      <c r="G25" s="41" t="s">
        <v>565</v>
      </c>
      <c r="H25" s="41" t="s">
        <v>566</v>
      </c>
      <c r="I25" s="41" t="s">
        <v>115</v>
      </c>
      <c r="J25" s="41" t="s">
        <v>567</v>
      </c>
      <c r="K25" s="41" t="s">
        <v>568</v>
      </c>
      <c r="L25" s="41" t="s">
        <v>569</v>
      </c>
      <c r="M25" s="41" t="s">
        <v>570</v>
      </c>
      <c r="N25" s="41" t="s">
        <v>571</v>
      </c>
      <c r="O25" s="40" t="s">
        <v>572</v>
      </c>
      <c r="P25" s="41" t="s">
        <v>148</v>
      </c>
      <c r="Q25" s="41" t="s">
        <v>149</v>
      </c>
      <c r="R25" s="41" t="s">
        <v>573</v>
      </c>
      <c r="S25" s="41" t="s">
        <v>343</v>
      </c>
      <c r="T25" s="49">
        <v>1</v>
      </c>
      <c r="U25" s="41" t="s">
        <v>75</v>
      </c>
      <c r="V25" s="41" t="s">
        <v>75</v>
      </c>
      <c r="W25" s="50">
        <v>299</v>
      </c>
      <c r="X25" s="49">
        <v>299</v>
      </c>
      <c r="Y25" s="49">
        <v>0</v>
      </c>
      <c r="Z25" s="50">
        <v>0</v>
      </c>
      <c r="AA25" s="41" t="s">
        <v>75</v>
      </c>
      <c r="AB25" s="50">
        <v>0</v>
      </c>
      <c r="AC25" s="50">
        <v>299</v>
      </c>
      <c r="AD25" s="41" t="s">
        <v>209</v>
      </c>
      <c r="AE25" s="41" t="s">
        <v>574</v>
      </c>
      <c r="AF25" s="41" t="s">
        <v>75</v>
      </c>
      <c r="AG25" s="41" t="s">
        <v>75</v>
      </c>
      <c r="AH25" s="41" t="s">
        <v>75</v>
      </c>
      <c r="AI25" s="41" t="s">
        <v>575</v>
      </c>
      <c r="AJ25" s="41" t="s">
        <v>75</v>
      </c>
      <c r="AK25" s="41" t="s">
        <v>91</v>
      </c>
      <c r="AL25" s="40" t="s">
        <v>92</v>
      </c>
      <c r="AM25" s="41" t="s">
        <v>93</v>
      </c>
      <c r="AN25" s="41" t="s">
        <v>576</v>
      </c>
      <c r="AO25" s="41" t="s">
        <v>75</v>
      </c>
      <c r="AP25" s="41" t="s">
        <v>75</v>
      </c>
      <c r="AQ25" s="41" t="s">
        <v>75</v>
      </c>
      <c r="AR25" s="41" t="s">
        <v>75</v>
      </c>
      <c r="AS25" s="41" t="s">
        <v>75</v>
      </c>
      <c r="AT25" s="41" t="s">
        <v>75</v>
      </c>
      <c r="AU25" s="41" t="s">
        <v>75</v>
      </c>
      <c r="AV25" s="41" t="s">
        <v>577</v>
      </c>
      <c r="AW25" s="41" t="s">
        <v>75</v>
      </c>
      <c r="AX25" s="41" t="s">
        <v>75</v>
      </c>
      <c r="AY25" s="41" t="s">
        <v>578</v>
      </c>
      <c r="AZ25" s="41" t="s">
        <v>579</v>
      </c>
      <c r="BA25" s="41" t="s">
        <v>580</v>
      </c>
      <c r="BB25" s="41" t="s">
        <v>99</v>
      </c>
      <c r="BC25" s="41" t="s">
        <v>159</v>
      </c>
      <c r="BD25" s="41" t="s">
        <v>101</v>
      </c>
      <c r="BE25" s="41" t="s">
        <v>75</v>
      </c>
      <c r="BF25" s="41" t="s">
        <v>75</v>
      </c>
      <c r="BG25" s="41" t="s">
        <v>75</v>
      </c>
      <c r="BH25" s="41" t="s">
        <v>75</v>
      </c>
      <c r="BI25" s="41" t="s">
        <v>102</v>
      </c>
      <c r="BJ25" s="41" t="s">
        <v>581</v>
      </c>
      <c r="BK25" s="41" t="s">
        <v>104</v>
      </c>
      <c r="BL25" s="41" t="s">
        <v>105</v>
      </c>
      <c r="BM25" s="41" t="s">
        <v>75</v>
      </c>
      <c r="BN25" s="41" t="s">
        <v>75</v>
      </c>
      <c r="BO25" s="41" t="s">
        <v>75</v>
      </c>
      <c r="BP25" s="41" t="s">
        <v>75</v>
      </c>
      <c r="BQ25" s="40" t="s">
        <v>582</v>
      </c>
      <c r="BR25" s="41" t="s">
        <v>583</v>
      </c>
      <c r="BS25" s="43" t="s">
        <v>584</v>
      </c>
    </row>
    <row r="26" spans="1:71">
      <c r="A26" s="40" t="s">
        <v>585</v>
      </c>
      <c r="B26" s="41" t="s">
        <v>72</v>
      </c>
      <c r="C26" s="41" t="s">
        <v>73</v>
      </c>
      <c r="D26" s="41" t="s">
        <v>74</v>
      </c>
      <c r="E26" s="41" t="s">
        <v>75</v>
      </c>
      <c r="F26" s="41" t="s">
        <v>586</v>
      </c>
      <c r="G26" s="41" t="s">
        <v>587</v>
      </c>
      <c r="H26" s="41" t="s">
        <v>588</v>
      </c>
      <c r="I26" s="41" t="s">
        <v>115</v>
      </c>
      <c r="J26" s="41" t="s">
        <v>589</v>
      </c>
      <c r="K26" s="41" t="s">
        <v>590</v>
      </c>
      <c r="L26" s="41" t="s">
        <v>591</v>
      </c>
      <c r="M26" s="41" t="s">
        <v>592</v>
      </c>
      <c r="N26" s="41" t="s">
        <v>593</v>
      </c>
      <c r="O26" s="40" t="s">
        <v>594</v>
      </c>
      <c r="P26" s="41" t="s">
        <v>148</v>
      </c>
      <c r="Q26" s="41" t="s">
        <v>149</v>
      </c>
      <c r="R26" s="41" t="s">
        <v>595</v>
      </c>
      <c r="S26" s="41" t="s">
        <v>596</v>
      </c>
      <c r="T26" s="49">
        <v>1</v>
      </c>
      <c r="U26" s="41" t="s">
        <v>75</v>
      </c>
      <c r="V26" s="41" t="s">
        <v>75</v>
      </c>
      <c r="W26" s="50">
        <v>299</v>
      </c>
      <c r="X26" s="49">
        <v>299</v>
      </c>
      <c r="Y26" s="49">
        <v>0</v>
      </c>
      <c r="Z26" s="50">
        <v>0</v>
      </c>
      <c r="AA26" s="41" t="s">
        <v>75</v>
      </c>
      <c r="AB26" s="50">
        <v>0</v>
      </c>
      <c r="AC26" s="50">
        <v>299</v>
      </c>
      <c r="AD26" s="41" t="s">
        <v>209</v>
      </c>
      <c r="AE26" s="41" t="s">
        <v>597</v>
      </c>
      <c r="AF26" s="41" t="s">
        <v>75</v>
      </c>
      <c r="AG26" s="41" t="s">
        <v>75</v>
      </c>
      <c r="AH26" s="41" t="s">
        <v>75</v>
      </c>
      <c r="AI26" s="41" t="s">
        <v>598</v>
      </c>
      <c r="AJ26" s="41" t="s">
        <v>75</v>
      </c>
      <c r="AK26" s="41" t="s">
        <v>91</v>
      </c>
      <c r="AL26" s="40" t="s">
        <v>92</v>
      </c>
      <c r="AM26" s="41" t="s">
        <v>93</v>
      </c>
      <c r="AN26" s="41" t="s">
        <v>599</v>
      </c>
      <c r="AO26" s="41" t="s">
        <v>75</v>
      </c>
      <c r="AP26" s="41" t="s">
        <v>75</v>
      </c>
      <c r="AQ26" s="41" t="s">
        <v>75</v>
      </c>
      <c r="AR26" s="41" t="s">
        <v>75</v>
      </c>
      <c r="AS26" s="41" t="s">
        <v>75</v>
      </c>
      <c r="AT26" s="41" t="s">
        <v>75</v>
      </c>
      <c r="AU26" s="41" t="s">
        <v>75</v>
      </c>
      <c r="AV26" s="41" t="s">
        <v>600</v>
      </c>
      <c r="AW26" s="41" t="s">
        <v>75</v>
      </c>
      <c r="AX26" s="41" t="s">
        <v>75</v>
      </c>
      <c r="AY26" s="41" t="s">
        <v>601</v>
      </c>
      <c r="AZ26" s="41" t="s">
        <v>602</v>
      </c>
      <c r="BA26" s="41" t="s">
        <v>603</v>
      </c>
      <c r="BB26" s="41" t="s">
        <v>99</v>
      </c>
      <c r="BC26" s="41" t="s">
        <v>159</v>
      </c>
      <c r="BD26" s="41" t="s">
        <v>101</v>
      </c>
      <c r="BE26" s="41" t="s">
        <v>75</v>
      </c>
      <c r="BF26" s="41" t="s">
        <v>75</v>
      </c>
      <c r="BG26" s="41" t="s">
        <v>75</v>
      </c>
      <c r="BH26" s="41" t="s">
        <v>75</v>
      </c>
      <c r="BI26" s="41" t="s">
        <v>102</v>
      </c>
      <c r="BJ26" s="41" t="s">
        <v>604</v>
      </c>
      <c r="BK26" s="41" t="s">
        <v>104</v>
      </c>
      <c r="BL26" s="41" t="s">
        <v>105</v>
      </c>
      <c r="BM26" s="41" t="s">
        <v>75</v>
      </c>
      <c r="BN26" s="41" t="s">
        <v>75</v>
      </c>
      <c r="BO26" s="41" t="s">
        <v>75</v>
      </c>
      <c r="BP26" s="41" t="s">
        <v>75</v>
      </c>
      <c r="BQ26" s="40" t="s">
        <v>605</v>
      </c>
      <c r="BR26" s="41" t="s">
        <v>606</v>
      </c>
      <c r="BS26" s="43" t="s">
        <v>607</v>
      </c>
    </row>
    <row r="27" spans="1:71">
      <c r="A27" s="40" t="s">
        <v>608</v>
      </c>
      <c r="B27" s="41" t="s">
        <v>72</v>
      </c>
      <c r="C27" s="41" t="s">
        <v>73</v>
      </c>
      <c r="D27" s="41" t="s">
        <v>74</v>
      </c>
      <c r="E27" s="41" t="s">
        <v>75</v>
      </c>
      <c r="F27" s="41" t="s">
        <v>609</v>
      </c>
      <c r="G27" s="41" t="s">
        <v>610</v>
      </c>
      <c r="H27" s="41" t="s">
        <v>611</v>
      </c>
      <c r="I27" s="41" t="s">
        <v>335</v>
      </c>
      <c r="J27" s="41" t="s">
        <v>612</v>
      </c>
      <c r="K27" s="41" t="s">
        <v>613</v>
      </c>
      <c r="L27" s="41" t="s">
        <v>614</v>
      </c>
      <c r="M27" s="41" t="s">
        <v>615</v>
      </c>
      <c r="N27" s="41" t="s">
        <v>616</v>
      </c>
      <c r="O27" s="40" t="s">
        <v>617</v>
      </c>
      <c r="P27" s="41" t="s">
        <v>148</v>
      </c>
      <c r="Q27" s="41" t="s">
        <v>149</v>
      </c>
      <c r="R27" s="41" t="s">
        <v>618</v>
      </c>
      <c r="S27" s="41" t="s">
        <v>619</v>
      </c>
      <c r="T27" s="49">
        <v>1</v>
      </c>
      <c r="U27" s="41" t="s">
        <v>75</v>
      </c>
      <c r="V27" s="41" t="s">
        <v>75</v>
      </c>
      <c r="W27" s="50">
        <v>299</v>
      </c>
      <c r="X27" s="49">
        <v>299</v>
      </c>
      <c r="Y27" s="49">
        <v>0</v>
      </c>
      <c r="Z27" s="50">
        <v>0</v>
      </c>
      <c r="AA27" s="41" t="s">
        <v>75</v>
      </c>
      <c r="AB27" s="50">
        <v>0</v>
      </c>
      <c r="AC27" s="50">
        <v>299</v>
      </c>
      <c r="AD27" s="41" t="s">
        <v>209</v>
      </c>
      <c r="AE27" s="41" t="s">
        <v>620</v>
      </c>
      <c r="AF27" s="41" t="s">
        <v>75</v>
      </c>
      <c r="AG27" s="41" t="s">
        <v>75</v>
      </c>
      <c r="AH27" s="41" t="s">
        <v>75</v>
      </c>
      <c r="AI27" s="41" t="s">
        <v>621</v>
      </c>
      <c r="AJ27" s="41" t="s">
        <v>75</v>
      </c>
      <c r="AK27" s="41" t="s">
        <v>91</v>
      </c>
      <c r="AL27" s="40" t="s">
        <v>92</v>
      </c>
      <c r="AM27" s="41" t="s">
        <v>93</v>
      </c>
      <c r="AN27" s="41" t="s">
        <v>622</v>
      </c>
      <c r="AO27" s="41" t="s">
        <v>75</v>
      </c>
      <c r="AP27" s="41" t="s">
        <v>75</v>
      </c>
      <c r="AQ27" s="41" t="s">
        <v>75</v>
      </c>
      <c r="AR27" s="41" t="s">
        <v>75</v>
      </c>
      <c r="AS27" s="41" t="s">
        <v>75</v>
      </c>
      <c r="AT27" s="41" t="s">
        <v>75</v>
      </c>
      <c r="AU27" s="41" t="s">
        <v>75</v>
      </c>
      <c r="AV27" s="41" t="s">
        <v>600</v>
      </c>
      <c r="AW27" s="41" t="s">
        <v>75</v>
      </c>
      <c r="AX27" s="41" t="s">
        <v>75</v>
      </c>
      <c r="AY27" s="41" t="s">
        <v>623</v>
      </c>
      <c r="AZ27" s="41" t="s">
        <v>624</v>
      </c>
      <c r="BA27" s="41" t="s">
        <v>625</v>
      </c>
      <c r="BB27" s="41" t="s">
        <v>99</v>
      </c>
      <c r="BC27" s="41" t="s">
        <v>159</v>
      </c>
      <c r="BD27" s="41" t="s">
        <v>101</v>
      </c>
      <c r="BE27" s="41" t="s">
        <v>75</v>
      </c>
      <c r="BF27" s="41" t="s">
        <v>75</v>
      </c>
      <c r="BG27" s="41" t="s">
        <v>75</v>
      </c>
      <c r="BH27" s="41" t="s">
        <v>75</v>
      </c>
      <c r="BI27" s="41" t="s">
        <v>102</v>
      </c>
      <c r="BJ27" s="41" t="s">
        <v>626</v>
      </c>
      <c r="BK27" s="41" t="s">
        <v>104</v>
      </c>
      <c r="BL27" s="41" t="s">
        <v>105</v>
      </c>
      <c r="BM27" s="41" t="s">
        <v>75</v>
      </c>
      <c r="BN27" s="41" t="s">
        <v>75</v>
      </c>
      <c r="BO27" s="41" t="s">
        <v>75</v>
      </c>
      <c r="BP27" s="41" t="s">
        <v>75</v>
      </c>
      <c r="BQ27" s="40" t="s">
        <v>627</v>
      </c>
      <c r="BR27" s="41" t="s">
        <v>606</v>
      </c>
      <c r="BS27" s="43" t="s">
        <v>607</v>
      </c>
    </row>
    <row r="28" spans="1:71">
      <c r="A28" s="40" t="s">
        <v>628</v>
      </c>
      <c r="B28" s="41" t="s">
        <v>72</v>
      </c>
      <c r="C28" s="41" t="s">
        <v>73</v>
      </c>
      <c r="D28" s="41" t="s">
        <v>74</v>
      </c>
      <c r="E28" s="41" t="s">
        <v>75</v>
      </c>
      <c r="F28" s="41" t="s">
        <v>629</v>
      </c>
      <c r="G28" s="41" t="s">
        <v>630</v>
      </c>
      <c r="H28" s="41" t="s">
        <v>631</v>
      </c>
      <c r="I28" s="41" t="s">
        <v>79</v>
      </c>
      <c r="J28" s="41" t="s">
        <v>80</v>
      </c>
      <c r="K28" s="41" t="s">
        <v>632</v>
      </c>
      <c r="L28" s="41" t="s">
        <v>633</v>
      </c>
      <c r="M28" s="41" t="s">
        <v>592</v>
      </c>
      <c r="N28" s="41" t="s">
        <v>593</v>
      </c>
      <c r="O28" s="40" t="s">
        <v>594</v>
      </c>
      <c r="P28" s="41" t="s">
        <v>148</v>
      </c>
      <c r="Q28" s="41" t="s">
        <v>149</v>
      </c>
      <c r="R28" s="41" t="s">
        <v>595</v>
      </c>
      <c r="S28" s="41" t="s">
        <v>596</v>
      </c>
      <c r="T28" s="49">
        <v>1</v>
      </c>
      <c r="U28" s="41" t="s">
        <v>75</v>
      </c>
      <c r="V28" s="41" t="s">
        <v>75</v>
      </c>
      <c r="W28" s="50">
        <v>299</v>
      </c>
      <c r="X28" s="49">
        <v>299</v>
      </c>
      <c r="Y28" s="49">
        <v>0</v>
      </c>
      <c r="Z28" s="50">
        <v>0</v>
      </c>
      <c r="AA28" s="41" t="s">
        <v>75</v>
      </c>
      <c r="AB28" s="50">
        <v>0</v>
      </c>
      <c r="AC28" s="50">
        <v>299</v>
      </c>
      <c r="AD28" s="41" t="s">
        <v>88</v>
      </c>
      <c r="AE28" s="41" t="s">
        <v>634</v>
      </c>
      <c r="AF28" s="41" t="s">
        <v>75</v>
      </c>
      <c r="AG28" s="41" t="s">
        <v>75</v>
      </c>
      <c r="AH28" s="41" t="s">
        <v>75</v>
      </c>
      <c r="AI28" s="41" t="s">
        <v>621</v>
      </c>
      <c r="AJ28" s="41" t="s">
        <v>75</v>
      </c>
      <c r="AK28" s="41" t="s">
        <v>91</v>
      </c>
      <c r="AL28" s="40" t="s">
        <v>92</v>
      </c>
      <c r="AM28" s="41" t="s">
        <v>93</v>
      </c>
      <c r="AN28" s="41" t="s">
        <v>635</v>
      </c>
      <c r="AO28" s="41" t="s">
        <v>75</v>
      </c>
      <c r="AP28" s="41" t="s">
        <v>75</v>
      </c>
      <c r="AQ28" s="41" t="s">
        <v>75</v>
      </c>
      <c r="AR28" s="41" t="s">
        <v>75</v>
      </c>
      <c r="AS28" s="41" t="s">
        <v>75</v>
      </c>
      <c r="AT28" s="41" t="s">
        <v>75</v>
      </c>
      <c r="AU28" s="41" t="s">
        <v>75</v>
      </c>
      <c r="AV28" s="41" t="s">
        <v>636</v>
      </c>
      <c r="AW28" s="41" t="s">
        <v>75</v>
      </c>
      <c r="AX28" s="41" t="s">
        <v>75</v>
      </c>
      <c r="AY28" s="41" t="s">
        <v>623</v>
      </c>
      <c r="AZ28" s="41" t="s">
        <v>602</v>
      </c>
      <c r="BA28" s="41" t="s">
        <v>603</v>
      </c>
      <c r="BB28" s="41" t="s">
        <v>99</v>
      </c>
      <c r="BC28" s="41" t="s">
        <v>159</v>
      </c>
      <c r="BD28" s="41" t="s">
        <v>101</v>
      </c>
      <c r="BE28" s="41" t="s">
        <v>75</v>
      </c>
      <c r="BF28" s="41" t="s">
        <v>75</v>
      </c>
      <c r="BG28" s="41" t="s">
        <v>75</v>
      </c>
      <c r="BH28" s="41" t="s">
        <v>75</v>
      </c>
      <c r="BI28" s="41" t="s">
        <v>102</v>
      </c>
      <c r="BJ28" s="41" t="s">
        <v>637</v>
      </c>
      <c r="BK28" s="41" t="s">
        <v>104</v>
      </c>
      <c r="BL28" s="41" t="s">
        <v>105</v>
      </c>
      <c r="BM28" s="41" t="s">
        <v>75</v>
      </c>
      <c r="BN28" s="41" t="s">
        <v>75</v>
      </c>
      <c r="BO28" s="41" t="s">
        <v>75</v>
      </c>
      <c r="BP28" s="41" t="s">
        <v>75</v>
      </c>
      <c r="BQ28" s="40" t="s">
        <v>605</v>
      </c>
      <c r="BR28" s="41" t="s">
        <v>606</v>
      </c>
      <c r="BS28" s="43" t="s">
        <v>607</v>
      </c>
    </row>
    <row r="29" spans="1:71">
      <c r="A29" s="40" t="s">
        <v>638</v>
      </c>
      <c r="B29" s="41" t="s">
        <v>72</v>
      </c>
      <c r="C29" s="41" t="s">
        <v>73</v>
      </c>
      <c r="D29" s="41" t="s">
        <v>74</v>
      </c>
      <c r="E29" s="41" t="s">
        <v>75</v>
      </c>
      <c r="F29" s="41" t="s">
        <v>639</v>
      </c>
      <c r="G29" s="41" t="s">
        <v>640</v>
      </c>
      <c r="H29" s="41" t="s">
        <v>641</v>
      </c>
      <c r="I29" s="41" t="s">
        <v>79</v>
      </c>
      <c r="J29" s="41" t="s">
        <v>80</v>
      </c>
      <c r="K29" s="41" t="s">
        <v>642</v>
      </c>
      <c r="L29" s="41" t="s">
        <v>643</v>
      </c>
      <c r="M29" s="41" t="s">
        <v>644</v>
      </c>
      <c r="N29" s="41" t="s">
        <v>645</v>
      </c>
      <c r="O29" s="40" t="s">
        <v>646</v>
      </c>
      <c r="P29" s="41" t="s">
        <v>148</v>
      </c>
      <c r="Q29" s="41" t="s">
        <v>149</v>
      </c>
      <c r="R29" s="41" t="s">
        <v>647</v>
      </c>
      <c r="S29" s="41" t="s">
        <v>648</v>
      </c>
      <c r="T29" s="49">
        <v>1</v>
      </c>
      <c r="U29" s="41" t="s">
        <v>75</v>
      </c>
      <c r="V29" s="41" t="s">
        <v>75</v>
      </c>
      <c r="W29" s="50">
        <v>299</v>
      </c>
      <c r="X29" s="49">
        <v>299</v>
      </c>
      <c r="Y29" s="49">
        <v>0</v>
      </c>
      <c r="Z29" s="50">
        <v>0</v>
      </c>
      <c r="AA29" s="41" t="s">
        <v>75</v>
      </c>
      <c r="AB29" s="50">
        <v>0</v>
      </c>
      <c r="AC29" s="50">
        <v>299</v>
      </c>
      <c r="AD29" s="41" t="s">
        <v>209</v>
      </c>
      <c r="AE29" s="41" t="s">
        <v>649</v>
      </c>
      <c r="AF29" s="41" t="s">
        <v>75</v>
      </c>
      <c r="AG29" s="41" t="s">
        <v>75</v>
      </c>
      <c r="AH29" s="41" t="s">
        <v>75</v>
      </c>
      <c r="AI29" s="41" t="s">
        <v>650</v>
      </c>
      <c r="AJ29" s="41" t="s">
        <v>75</v>
      </c>
      <c r="AK29" s="41" t="s">
        <v>91</v>
      </c>
      <c r="AL29" s="40" t="s">
        <v>92</v>
      </c>
      <c r="AM29" s="41" t="s">
        <v>93</v>
      </c>
      <c r="AN29" s="41" t="s">
        <v>651</v>
      </c>
      <c r="AO29" s="41" t="s">
        <v>75</v>
      </c>
      <c r="AP29" s="41" t="s">
        <v>75</v>
      </c>
      <c r="AQ29" s="41" t="s">
        <v>75</v>
      </c>
      <c r="AR29" s="41" t="s">
        <v>75</v>
      </c>
      <c r="AS29" s="41" t="s">
        <v>75</v>
      </c>
      <c r="AT29" s="41" t="s">
        <v>75</v>
      </c>
      <c r="AU29" s="41" t="s">
        <v>75</v>
      </c>
      <c r="AV29" s="41" t="s">
        <v>652</v>
      </c>
      <c r="AW29" s="41" t="s">
        <v>75</v>
      </c>
      <c r="AX29" s="41" t="s">
        <v>75</v>
      </c>
      <c r="AY29" s="41" t="s">
        <v>653</v>
      </c>
      <c r="AZ29" s="41" t="s">
        <v>654</v>
      </c>
      <c r="BA29" s="41" t="s">
        <v>655</v>
      </c>
      <c r="BB29" s="41" t="s">
        <v>99</v>
      </c>
      <c r="BC29" s="41" t="s">
        <v>159</v>
      </c>
      <c r="BD29" s="41" t="s">
        <v>101</v>
      </c>
      <c r="BE29" s="41" t="s">
        <v>75</v>
      </c>
      <c r="BF29" s="41" t="s">
        <v>75</v>
      </c>
      <c r="BG29" s="41" t="s">
        <v>75</v>
      </c>
      <c r="BH29" s="41" t="s">
        <v>75</v>
      </c>
      <c r="BI29" s="41" t="s">
        <v>102</v>
      </c>
      <c r="BJ29" s="41" t="s">
        <v>656</v>
      </c>
      <c r="BK29" s="41" t="s">
        <v>104</v>
      </c>
      <c r="BL29" s="41" t="s">
        <v>105</v>
      </c>
      <c r="BM29" s="41" t="s">
        <v>75</v>
      </c>
      <c r="BN29" s="41" t="s">
        <v>75</v>
      </c>
      <c r="BO29" s="41" t="s">
        <v>75</v>
      </c>
      <c r="BP29" s="41" t="s">
        <v>75</v>
      </c>
      <c r="BQ29" s="40" t="s">
        <v>657</v>
      </c>
      <c r="BR29" s="41" t="s">
        <v>606</v>
      </c>
      <c r="BS29" s="43" t="s">
        <v>607</v>
      </c>
    </row>
    <row r="30" spans="1:71">
      <c r="A30" s="40" t="s">
        <v>658</v>
      </c>
      <c r="B30" s="41" t="s">
        <v>72</v>
      </c>
      <c r="C30" s="41" t="s">
        <v>73</v>
      </c>
      <c r="D30" s="41" t="s">
        <v>74</v>
      </c>
      <c r="E30" s="41" t="s">
        <v>75</v>
      </c>
      <c r="F30" s="41" t="s">
        <v>659</v>
      </c>
      <c r="G30" s="41" t="s">
        <v>660</v>
      </c>
      <c r="H30" s="41" t="s">
        <v>661</v>
      </c>
      <c r="I30" s="41" t="s">
        <v>404</v>
      </c>
      <c r="J30" s="41" t="s">
        <v>662</v>
      </c>
      <c r="K30" s="41" t="s">
        <v>663</v>
      </c>
      <c r="L30" s="41" t="s">
        <v>664</v>
      </c>
      <c r="M30" s="41" t="s">
        <v>665</v>
      </c>
      <c r="N30" s="41" t="s">
        <v>666</v>
      </c>
      <c r="O30" s="40" t="s">
        <v>667</v>
      </c>
      <c r="P30" s="41" t="s">
        <v>148</v>
      </c>
      <c r="Q30" s="41" t="s">
        <v>149</v>
      </c>
      <c r="R30" s="41" t="s">
        <v>668</v>
      </c>
      <c r="S30" s="41" t="s">
        <v>669</v>
      </c>
      <c r="T30" s="49">
        <v>1</v>
      </c>
      <c r="U30" s="41" t="s">
        <v>75</v>
      </c>
      <c r="V30" s="41" t="s">
        <v>75</v>
      </c>
      <c r="W30" s="50">
        <v>299</v>
      </c>
      <c r="X30" s="49">
        <v>299</v>
      </c>
      <c r="Y30" s="49">
        <v>0</v>
      </c>
      <c r="Z30" s="50">
        <v>0</v>
      </c>
      <c r="AA30" s="41" t="s">
        <v>75</v>
      </c>
      <c r="AB30" s="50">
        <v>0</v>
      </c>
      <c r="AC30" s="50">
        <v>299</v>
      </c>
      <c r="AD30" s="41" t="s">
        <v>209</v>
      </c>
      <c r="AE30" s="41" t="s">
        <v>670</v>
      </c>
      <c r="AF30" s="41" t="s">
        <v>75</v>
      </c>
      <c r="AG30" s="41" t="s">
        <v>75</v>
      </c>
      <c r="AH30" s="41" t="s">
        <v>75</v>
      </c>
      <c r="AI30" s="41" t="s">
        <v>636</v>
      </c>
      <c r="AJ30" s="41" t="s">
        <v>75</v>
      </c>
      <c r="AK30" s="41" t="s">
        <v>91</v>
      </c>
      <c r="AL30" s="40" t="s">
        <v>92</v>
      </c>
      <c r="AM30" s="41" t="s">
        <v>93</v>
      </c>
      <c r="AN30" s="41" t="s">
        <v>671</v>
      </c>
      <c r="AO30" s="41" t="s">
        <v>75</v>
      </c>
      <c r="AP30" s="41" t="s">
        <v>75</v>
      </c>
      <c r="AQ30" s="41" t="s">
        <v>75</v>
      </c>
      <c r="AR30" s="41" t="s">
        <v>75</v>
      </c>
      <c r="AS30" s="41" t="s">
        <v>75</v>
      </c>
      <c r="AT30" s="41" t="s">
        <v>75</v>
      </c>
      <c r="AU30" s="41" t="s">
        <v>75</v>
      </c>
      <c r="AV30" s="41" t="s">
        <v>672</v>
      </c>
      <c r="AW30" s="41" t="s">
        <v>75</v>
      </c>
      <c r="AX30" s="41" t="s">
        <v>75</v>
      </c>
      <c r="AY30" s="41" t="s">
        <v>673</v>
      </c>
      <c r="AZ30" s="41" t="s">
        <v>674</v>
      </c>
      <c r="BA30" s="41" t="s">
        <v>675</v>
      </c>
      <c r="BB30" s="41" t="s">
        <v>99</v>
      </c>
      <c r="BC30" s="41" t="s">
        <v>159</v>
      </c>
      <c r="BD30" s="41" t="s">
        <v>101</v>
      </c>
      <c r="BE30" s="41" t="s">
        <v>75</v>
      </c>
      <c r="BF30" s="41" t="s">
        <v>75</v>
      </c>
      <c r="BG30" s="41" t="s">
        <v>75</v>
      </c>
      <c r="BH30" s="41" t="s">
        <v>75</v>
      </c>
      <c r="BI30" s="41" t="s">
        <v>102</v>
      </c>
      <c r="BJ30" s="41" t="s">
        <v>676</v>
      </c>
      <c r="BK30" s="41" t="s">
        <v>104</v>
      </c>
      <c r="BL30" s="41" t="s">
        <v>105</v>
      </c>
      <c r="BM30" s="41" t="s">
        <v>75</v>
      </c>
      <c r="BN30" s="41" t="s">
        <v>75</v>
      </c>
      <c r="BO30" s="41" t="s">
        <v>75</v>
      </c>
      <c r="BP30" s="41" t="s">
        <v>75</v>
      </c>
      <c r="BQ30" s="40" t="s">
        <v>677</v>
      </c>
      <c r="BR30" s="41" t="s">
        <v>606</v>
      </c>
      <c r="BS30" s="43" t="s">
        <v>607</v>
      </c>
    </row>
    <row r="31" spans="1:71">
      <c r="A31" s="40" t="s">
        <v>678</v>
      </c>
      <c r="B31" s="41" t="s">
        <v>72</v>
      </c>
      <c r="C31" s="41" t="s">
        <v>73</v>
      </c>
      <c r="D31" s="41" t="s">
        <v>74</v>
      </c>
      <c r="E31" s="41" t="s">
        <v>75</v>
      </c>
      <c r="F31" s="41" t="s">
        <v>424</v>
      </c>
      <c r="G31" s="41" t="s">
        <v>679</v>
      </c>
      <c r="H31" s="41" t="s">
        <v>680</v>
      </c>
      <c r="I31" s="41" t="s">
        <v>485</v>
      </c>
      <c r="J31" s="41" t="s">
        <v>681</v>
      </c>
      <c r="K31" s="41" t="s">
        <v>682</v>
      </c>
      <c r="L31" s="41" t="s">
        <v>683</v>
      </c>
      <c r="M31" s="41" t="s">
        <v>665</v>
      </c>
      <c r="N31" s="41" t="s">
        <v>666</v>
      </c>
      <c r="O31" s="40" t="s">
        <v>667</v>
      </c>
      <c r="P31" s="41" t="s">
        <v>148</v>
      </c>
      <c r="Q31" s="41" t="s">
        <v>149</v>
      </c>
      <c r="R31" s="41" t="s">
        <v>668</v>
      </c>
      <c r="S31" s="41" t="s">
        <v>669</v>
      </c>
      <c r="T31" s="49">
        <v>1</v>
      </c>
      <c r="U31" s="41" t="s">
        <v>75</v>
      </c>
      <c r="V31" s="41" t="s">
        <v>75</v>
      </c>
      <c r="W31" s="50">
        <v>299</v>
      </c>
      <c r="X31" s="49">
        <v>299</v>
      </c>
      <c r="Y31" s="49">
        <v>0</v>
      </c>
      <c r="Z31" s="50">
        <v>0</v>
      </c>
      <c r="AA31" s="41" t="s">
        <v>75</v>
      </c>
      <c r="AB31" s="50">
        <v>0</v>
      </c>
      <c r="AC31" s="50">
        <v>299</v>
      </c>
      <c r="AD31" s="41" t="s">
        <v>88</v>
      </c>
      <c r="AE31" s="41" t="s">
        <v>684</v>
      </c>
      <c r="AF31" s="41" t="s">
        <v>75</v>
      </c>
      <c r="AG31" s="41" t="s">
        <v>75</v>
      </c>
      <c r="AH31" s="41" t="s">
        <v>75</v>
      </c>
      <c r="AI31" s="41" t="s">
        <v>685</v>
      </c>
      <c r="AJ31" s="41" t="s">
        <v>75</v>
      </c>
      <c r="AK31" s="41" t="s">
        <v>91</v>
      </c>
      <c r="AL31" s="40" t="s">
        <v>92</v>
      </c>
      <c r="AM31" s="41" t="s">
        <v>93</v>
      </c>
      <c r="AN31" s="41" t="s">
        <v>686</v>
      </c>
      <c r="AO31" s="41" t="s">
        <v>75</v>
      </c>
      <c r="AP31" s="41" t="s">
        <v>75</v>
      </c>
      <c r="AQ31" s="41" t="s">
        <v>75</v>
      </c>
      <c r="AR31" s="41" t="s">
        <v>75</v>
      </c>
      <c r="AS31" s="41" t="s">
        <v>75</v>
      </c>
      <c r="AT31" s="41" t="s">
        <v>75</v>
      </c>
      <c r="AU31" s="41" t="s">
        <v>75</v>
      </c>
      <c r="AV31" s="41" t="s">
        <v>687</v>
      </c>
      <c r="AW31" s="41" t="s">
        <v>75</v>
      </c>
      <c r="AX31" s="41" t="s">
        <v>75</v>
      </c>
      <c r="AY31" s="41" t="s">
        <v>688</v>
      </c>
      <c r="AZ31" s="41" t="s">
        <v>674</v>
      </c>
      <c r="BA31" s="41" t="s">
        <v>675</v>
      </c>
      <c r="BB31" s="41" t="s">
        <v>99</v>
      </c>
      <c r="BC31" s="41" t="s">
        <v>159</v>
      </c>
      <c r="BD31" s="41" t="s">
        <v>101</v>
      </c>
      <c r="BE31" s="41" t="s">
        <v>75</v>
      </c>
      <c r="BF31" s="41" t="s">
        <v>75</v>
      </c>
      <c r="BG31" s="41" t="s">
        <v>75</v>
      </c>
      <c r="BH31" s="41" t="s">
        <v>75</v>
      </c>
      <c r="BI31" s="41" t="s">
        <v>102</v>
      </c>
      <c r="BJ31" s="41" t="s">
        <v>689</v>
      </c>
      <c r="BK31" s="41" t="s">
        <v>104</v>
      </c>
      <c r="BL31" s="41" t="s">
        <v>105</v>
      </c>
      <c r="BM31" s="41" t="s">
        <v>75</v>
      </c>
      <c r="BN31" s="41" t="s">
        <v>75</v>
      </c>
      <c r="BO31" s="41" t="s">
        <v>75</v>
      </c>
      <c r="BP31" s="41" t="s">
        <v>75</v>
      </c>
      <c r="BQ31" s="40" t="s">
        <v>677</v>
      </c>
      <c r="BR31" s="41" t="s">
        <v>606</v>
      </c>
      <c r="BS31" s="43" t="s">
        <v>607</v>
      </c>
    </row>
    <row r="32" spans="1:71">
      <c r="A32" s="40" t="s">
        <v>690</v>
      </c>
      <c r="B32" s="41" t="s">
        <v>72</v>
      </c>
      <c r="C32" s="41" t="s">
        <v>73</v>
      </c>
      <c r="D32" s="41" t="s">
        <v>74</v>
      </c>
      <c r="E32" s="41" t="s">
        <v>75</v>
      </c>
      <c r="F32" s="41" t="s">
        <v>691</v>
      </c>
      <c r="G32" s="41" t="s">
        <v>692</v>
      </c>
      <c r="H32" s="41" t="s">
        <v>566</v>
      </c>
      <c r="I32" s="41" t="s">
        <v>115</v>
      </c>
      <c r="J32" s="41" t="s">
        <v>567</v>
      </c>
      <c r="K32" s="41" t="s">
        <v>568</v>
      </c>
      <c r="L32" s="41" t="s">
        <v>693</v>
      </c>
      <c r="M32" s="41" t="s">
        <v>665</v>
      </c>
      <c r="N32" s="41" t="s">
        <v>666</v>
      </c>
      <c r="O32" s="40" t="s">
        <v>667</v>
      </c>
      <c r="P32" s="41" t="s">
        <v>148</v>
      </c>
      <c r="Q32" s="41" t="s">
        <v>149</v>
      </c>
      <c r="R32" s="41" t="s">
        <v>668</v>
      </c>
      <c r="S32" s="41" t="s">
        <v>669</v>
      </c>
      <c r="T32" s="49">
        <v>1</v>
      </c>
      <c r="U32" s="41" t="s">
        <v>75</v>
      </c>
      <c r="V32" s="41" t="s">
        <v>75</v>
      </c>
      <c r="W32" s="50">
        <v>299</v>
      </c>
      <c r="X32" s="49">
        <v>299</v>
      </c>
      <c r="Y32" s="49">
        <v>0</v>
      </c>
      <c r="Z32" s="50">
        <v>0</v>
      </c>
      <c r="AA32" s="41" t="s">
        <v>75</v>
      </c>
      <c r="AB32" s="50">
        <v>0</v>
      </c>
      <c r="AC32" s="50">
        <v>299</v>
      </c>
      <c r="AD32" s="41" t="s">
        <v>344</v>
      </c>
      <c r="AE32" s="41" t="s">
        <v>75</v>
      </c>
      <c r="AF32" s="41" t="s">
        <v>75</v>
      </c>
      <c r="AG32" s="41" t="s">
        <v>75</v>
      </c>
      <c r="AH32" s="41" t="s">
        <v>75</v>
      </c>
      <c r="AI32" s="41" t="s">
        <v>598</v>
      </c>
      <c r="AJ32" s="41" t="s">
        <v>75</v>
      </c>
      <c r="AK32" s="41" t="s">
        <v>91</v>
      </c>
      <c r="AL32" s="40" t="s">
        <v>92</v>
      </c>
      <c r="AM32" s="41" t="s">
        <v>93</v>
      </c>
      <c r="AN32" s="41" t="s">
        <v>694</v>
      </c>
      <c r="AO32" s="41" t="s">
        <v>75</v>
      </c>
      <c r="AP32" s="41" t="s">
        <v>75</v>
      </c>
      <c r="AQ32" s="41" t="s">
        <v>75</v>
      </c>
      <c r="AR32" s="41" t="s">
        <v>75</v>
      </c>
      <c r="AS32" s="41" t="s">
        <v>75</v>
      </c>
      <c r="AT32" s="41" t="s">
        <v>75</v>
      </c>
      <c r="AU32" s="41" t="s">
        <v>75</v>
      </c>
      <c r="AV32" s="41" t="s">
        <v>650</v>
      </c>
      <c r="AW32" s="41" t="s">
        <v>75</v>
      </c>
      <c r="AX32" s="41" t="s">
        <v>75</v>
      </c>
      <c r="AY32" s="41" t="s">
        <v>601</v>
      </c>
      <c r="AZ32" s="41" t="s">
        <v>674</v>
      </c>
      <c r="BA32" s="41" t="s">
        <v>675</v>
      </c>
      <c r="BB32" s="41" t="s">
        <v>99</v>
      </c>
      <c r="BC32" s="41" t="s">
        <v>159</v>
      </c>
      <c r="BD32" s="41" t="s">
        <v>101</v>
      </c>
      <c r="BE32" s="41" t="s">
        <v>75</v>
      </c>
      <c r="BF32" s="41" t="s">
        <v>75</v>
      </c>
      <c r="BG32" s="41" t="s">
        <v>75</v>
      </c>
      <c r="BH32" s="41" t="s">
        <v>75</v>
      </c>
      <c r="BI32" s="41" t="s">
        <v>102</v>
      </c>
      <c r="BJ32" s="41" t="s">
        <v>695</v>
      </c>
      <c r="BK32" s="41" t="s">
        <v>104</v>
      </c>
      <c r="BL32" s="41" t="s">
        <v>105</v>
      </c>
      <c r="BM32" s="41" t="s">
        <v>75</v>
      </c>
      <c r="BN32" s="41" t="s">
        <v>75</v>
      </c>
      <c r="BO32" s="41" t="s">
        <v>75</v>
      </c>
      <c r="BP32" s="41" t="s">
        <v>75</v>
      </c>
      <c r="BQ32" s="40" t="s">
        <v>677</v>
      </c>
      <c r="BR32" s="41" t="s">
        <v>606</v>
      </c>
      <c r="BS32" s="43" t="s">
        <v>607</v>
      </c>
    </row>
    <row r="33" spans="1:71">
      <c r="A33" s="40" t="s">
        <v>696</v>
      </c>
      <c r="B33" s="41" t="s">
        <v>72</v>
      </c>
      <c r="C33" s="41" t="s">
        <v>73</v>
      </c>
      <c r="D33" s="41" t="s">
        <v>74</v>
      </c>
      <c r="E33" s="41" t="s">
        <v>75</v>
      </c>
      <c r="F33" s="41" t="s">
        <v>586</v>
      </c>
      <c r="G33" s="41" t="s">
        <v>587</v>
      </c>
      <c r="H33" s="41" t="s">
        <v>588</v>
      </c>
      <c r="I33" s="41" t="s">
        <v>115</v>
      </c>
      <c r="J33" s="41" t="s">
        <v>589</v>
      </c>
      <c r="K33" s="41" t="s">
        <v>590</v>
      </c>
      <c r="L33" s="41" t="s">
        <v>591</v>
      </c>
      <c r="M33" s="41" t="s">
        <v>697</v>
      </c>
      <c r="N33" s="41" t="s">
        <v>698</v>
      </c>
      <c r="O33" s="40" t="s">
        <v>699</v>
      </c>
      <c r="P33" s="41" t="s">
        <v>148</v>
      </c>
      <c r="Q33" s="41" t="s">
        <v>149</v>
      </c>
      <c r="R33" s="41" t="s">
        <v>700</v>
      </c>
      <c r="S33" s="41" t="s">
        <v>701</v>
      </c>
      <c r="T33" s="49">
        <v>1</v>
      </c>
      <c r="U33" s="41" t="s">
        <v>75</v>
      </c>
      <c r="V33" s="41" t="s">
        <v>75</v>
      </c>
      <c r="W33" s="50">
        <v>299</v>
      </c>
      <c r="X33" s="49">
        <v>299</v>
      </c>
      <c r="Y33" s="49">
        <v>0</v>
      </c>
      <c r="Z33" s="50">
        <v>0</v>
      </c>
      <c r="AA33" s="41" t="s">
        <v>75</v>
      </c>
      <c r="AB33" s="50">
        <v>0</v>
      </c>
      <c r="AC33" s="50">
        <v>299</v>
      </c>
      <c r="AD33" s="41" t="s">
        <v>209</v>
      </c>
      <c r="AE33" s="41" t="s">
        <v>702</v>
      </c>
      <c r="AF33" s="41" t="s">
        <v>75</v>
      </c>
      <c r="AG33" s="41" t="s">
        <v>75</v>
      </c>
      <c r="AH33" s="41" t="s">
        <v>75</v>
      </c>
      <c r="AI33" s="41" t="s">
        <v>703</v>
      </c>
      <c r="AJ33" s="41" t="s">
        <v>75</v>
      </c>
      <c r="AK33" s="41" t="s">
        <v>91</v>
      </c>
      <c r="AL33" s="40" t="s">
        <v>92</v>
      </c>
      <c r="AM33" s="41" t="s">
        <v>93</v>
      </c>
      <c r="AN33" s="41" t="s">
        <v>704</v>
      </c>
      <c r="AO33" s="41" t="s">
        <v>75</v>
      </c>
      <c r="AP33" s="41" t="s">
        <v>75</v>
      </c>
      <c r="AQ33" s="41" t="s">
        <v>75</v>
      </c>
      <c r="AR33" s="41" t="s">
        <v>75</v>
      </c>
      <c r="AS33" s="41" t="s">
        <v>75</v>
      </c>
      <c r="AT33" s="41" t="s">
        <v>75</v>
      </c>
      <c r="AU33" s="41" t="s">
        <v>75</v>
      </c>
      <c r="AV33" s="41" t="s">
        <v>705</v>
      </c>
      <c r="AW33" s="41" t="s">
        <v>75</v>
      </c>
      <c r="AX33" s="41" t="s">
        <v>75</v>
      </c>
      <c r="AY33" s="41" t="s">
        <v>706</v>
      </c>
      <c r="AZ33" s="41" t="s">
        <v>707</v>
      </c>
      <c r="BA33" s="41" t="s">
        <v>708</v>
      </c>
      <c r="BB33" s="41" t="s">
        <v>99</v>
      </c>
      <c r="BC33" s="41" t="s">
        <v>159</v>
      </c>
      <c r="BD33" s="41" t="s">
        <v>101</v>
      </c>
      <c r="BE33" s="41" t="s">
        <v>75</v>
      </c>
      <c r="BF33" s="41" t="s">
        <v>75</v>
      </c>
      <c r="BG33" s="41" t="s">
        <v>75</v>
      </c>
      <c r="BH33" s="41" t="s">
        <v>75</v>
      </c>
      <c r="BI33" s="41" t="s">
        <v>102</v>
      </c>
      <c r="BJ33" s="41" t="s">
        <v>604</v>
      </c>
      <c r="BK33" s="41" t="s">
        <v>104</v>
      </c>
      <c r="BL33" s="41" t="s">
        <v>105</v>
      </c>
      <c r="BM33" s="41" t="s">
        <v>75</v>
      </c>
      <c r="BN33" s="41" t="s">
        <v>75</v>
      </c>
      <c r="BO33" s="41" t="s">
        <v>75</v>
      </c>
      <c r="BP33" s="41" t="s">
        <v>75</v>
      </c>
      <c r="BQ33" s="40" t="s">
        <v>709</v>
      </c>
      <c r="BR33" s="41" t="s">
        <v>606</v>
      </c>
      <c r="BS33" s="43" t="s">
        <v>607</v>
      </c>
    </row>
    <row r="34" spans="1:71">
      <c r="A34" s="40" t="s">
        <v>710</v>
      </c>
      <c r="B34" s="41" t="s">
        <v>110</v>
      </c>
      <c r="C34" s="41" t="s">
        <v>111</v>
      </c>
      <c r="D34" s="41" t="s">
        <v>74</v>
      </c>
      <c r="E34" s="41" t="s">
        <v>75</v>
      </c>
      <c r="F34" s="41" t="s">
        <v>310</v>
      </c>
      <c r="G34" s="41" t="s">
        <v>311</v>
      </c>
      <c r="H34" s="41" t="s">
        <v>312</v>
      </c>
      <c r="I34" s="41" t="s">
        <v>200</v>
      </c>
      <c r="J34" s="41" t="s">
        <v>201</v>
      </c>
      <c r="K34" s="41" t="s">
        <v>313</v>
      </c>
      <c r="L34" s="41" t="s">
        <v>314</v>
      </c>
      <c r="M34" s="41" t="s">
        <v>360</v>
      </c>
      <c r="N34" s="41" t="s">
        <v>361</v>
      </c>
      <c r="O34" s="40" t="s">
        <v>362</v>
      </c>
      <c r="P34" s="41" t="s">
        <v>148</v>
      </c>
      <c r="Q34" s="41" t="s">
        <v>149</v>
      </c>
      <c r="R34" s="41" t="s">
        <v>363</v>
      </c>
      <c r="S34" s="41" t="s">
        <v>364</v>
      </c>
      <c r="T34" s="49">
        <v>1</v>
      </c>
      <c r="U34" s="41" t="s">
        <v>75</v>
      </c>
      <c r="V34" s="41" t="s">
        <v>75</v>
      </c>
      <c r="W34" s="50">
        <v>199</v>
      </c>
      <c r="X34" s="49">
        <v>199</v>
      </c>
      <c r="Y34" s="49">
        <v>0</v>
      </c>
      <c r="Z34" s="50">
        <v>0</v>
      </c>
      <c r="AA34" s="41" t="s">
        <v>75</v>
      </c>
      <c r="AB34" s="50">
        <v>0</v>
      </c>
      <c r="AC34" s="50">
        <v>199</v>
      </c>
      <c r="AD34" s="41" t="s">
        <v>209</v>
      </c>
      <c r="AE34" s="41" t="s">
        <v>711</v>
      </c>
      <c r="AF34" s="41" t="s">
        <v>75</v>
      </c>
      <c r="AG34" s="41" t="s">
        <v>75</v>
      </c>
      <c r="AH34" s="41" t="s">
        <v>75</v>
      </c>
      <c r="AI34" s="41" t="s">
        <v>712</v>
      </c>
      <c r="AJ34" s="41" t="s">
        <v>75</v>
      </c>
      <c r="AK34" s="41" t="s">
        <v>91</v>
      </c>
      <c r="AL34" s="40" t="s">
        <v>92</v>
      </c>
      <c r="AM34" s="41" t="s">
        <v>93</v>
      </c>
      <c r="AN34" s="41" t="s">
        <v>713</v>
      </c>
      <c r="AO34" s="41" t="s">
        <v>75</v>
      </c>
      <c r="AP34" s="41" t="s">
        <v>75</v>
      </c>
      <c r="AQ34" s="41" t="s">
        <v>75</v>
      </c>
      <c r="AR34" s="41" t="s">
        <v>75</v>
      </c>
      <c r="AS34" s="41" t="s">
        <v>75</v>
      </c>
      <c r="AT34" s="41" t="s">
        <v>75</v>
      </c>
      <c r="AU34" s="41" t="s">
        <v>75</v>
      </c>
      <c r="AV34" s="41" t="s">
        <v>714</v>
      </c>
      <c r="AW34" s="41" t="s">
        <v>75</v>
      </c>
      <c r="AX34" s="41" t="s">
        <v>75</v>
      </c>
      <c r="AY34" s="41" t="s">
        <v>715</v>
      </c>
      <c r="AZ34" s="41" t="s">
        <v>716</v>
      </c>
      <c r="BA34" s="41" t="s">
        <v>717</v>
      </c>
      <c r="BB34" s="41" t="s">
        <v>99</v>
      </c>
      <c r="BC34" s="41" t="s">
        <v>159</v>
      </c>
      <c r="BD34" s="41" t="s">
        <v>101</v>
      </c>
      <c r="BE34" s="41" t="s">
        <v>75</v>
      </c>
      <c r="BF34" s="41" t="s">
        <v>130</v>
      </c>
      <c r="BG34" s="41" t="s">
        <v>718</v>
      </c>
      <c r="BH34" s="41" t="s">
        <v>75</v>
      </c>
      <c r="BI34" s="41" t="s">
        <v>102</v>
      </c>
      <c r="BJ34" s="41" t="s">
        <v>327</v>
      </c>
      <c r="BK34" s="41" t="s">
        <v>104</v>
      </c>
      <c r="BL34" s="41" t="s">
        <v>105</v>
      </c>
      <c r="BM34" s="41" t="s">
        <v>75</v>
      </c>
      <c r="BN34" s="41" t="s">
        <v>75</v>
      </c>
      <c r="BO34" s="41" t="s">
        <v>75</v>
      </c>
      <c r="BP34" s="41" t="s">
        <v>75</v>
      </c>
      <c r="BQ34" s="40" t="s">
        <v>374</v>
      </c>
      <c r="BR34" s="41" t="s">
        <v>375</v>
      </c>
      <c r="BS34" s="43" t="s">
        <v>376</v>
      </c>
    </row>
    <row r="35" spans="1:71">
      <c r="A35" s="40" t="s">
        <v>719</v>
      </c>
      <c r="B35" s="41" t="s">
        <v>110</v>
      </c>
      <c r="C35" s="41" t="s">
        <v>111</v>
      </c>
      <c r="D35" s="41" t="s">
        <v>74</v>
      </c>
      <c r="E35" s="41" t="s">
        <v>75</v>
      </c>
      <c r="F35" s="41" t="s">
        <v>720</v>
      </c>
      <c r="G35" s="41" t="s">
        <v>721</v>
      </c>
      <c r="H35" s="41" t="s">
        <v>722</v>
      </c>
      <c r="I35" s="41" t="s">
        <v>723</v>
      </c>
      <c r="J35" s="41" t="s">
        <v>724</v>
      </c>
      <c r="K35" s="41" t="s">
        <v>725</v>
      </c>
      <c r="L35" s="41" t="s">
        <v>726</v>
      </c>
      <c r="M35" s="41" t="s">
        <v>511</v>
      </c>
      <c r="N35" s="41" t="s">
        <v>512</v>
      </c>
      <c r="O35" s="40" t="s">
        <v>513</v>
      </c>
      <c r="P35" s="41" t="s">
        <v>148</v>
      </c>
      <c r="Q35" s="41" t="s">
        <v>149</v>
      </c>
      <c r="R35" s="41" t="s">
        <v>514</v>
      </c>
      <c r="S35" s="41" t="s">
        <v>515</v>
      </c>
      <c r="T35" s="49">
        <v>1</v>
      </c>
      <c r="U35" s="41" t="s">
        <v>75</v>
      </c>
      <c r="V35" s="41" t="s">
        <v>75</v>
      </c>
      <c r="W35" s="50">
        <v>199</v>
      </c>
      <c r="X35" s="49">
        <v>199</v>
      </c>
      <c r="Y35" s="49">
        <v>0</v>
      </c>
      <c r="Z35" s="50">
        <v>0</v>
      </c>
      <c r="AA35" s="41" t="s">
        <v>75</v>
      </c>
      <c r="AB35" s="50">
        <v>0</v>
      </c>
      <c r="AC35" s="50">
        <v>199</v>
      </c>
      <c r="AD35" s="41" t="s">
        <v>88</v>
      </c>
      <c r="AE35" s="41" t="s">
        <v>727</v>
      </c>
      <c r="AF35" s="41" t="s">
        <v>75</v>
      </c>
      <c r="AG35" s="41" t="s">
        <v>75</v>
      </c>
      <c r="AH35" s="41" t="s">
        <v>75</v>
      </c>
      <c r="AI35" s="41" t="s">
        <v>728</v>
      </c>
      <c r="AJ35" s="41" t="s">
        <v>75</v>
      </c>
      <c r="AK35" s="41" t="s">
        <v>91</v>
      </c>
      <c r="AL35" s="40" t="s">
        <v>92</v>
      </c>
      <c r="AM35" s="41" t="s">
        <v>93</v>
      </c>
      <c r="AN35" s="41" t="s">
        <v>729</v>
      </c>
      <c r="AO35" s="41" t="s">
        <v>75</v>
      </c>
      <c r="AP35" s="41" t="s">
        <v>75</v>
      </c>
      <c r="AQ35" s="41" t="s">
        <v>75</v>
      </c>
      <c r="AR35" s="41" t="s">
        <v>75</v>
      </c>
      <c r="AS35" s="41" t="s">
        <v>75</v>
      </c>
      <c r="AT35" s="41" t="s">
        <v>75</v>
      </c>
      <c r="AU35" s="41" t="s">
        <v>75</v>
      </c>
      <c r="AV35" s="41" t="s">
        <v>730</v>
      </c>
      <c r="AW35" s="41" t="s">
        <v>75</v>
      </c>
      <c r="AX35" s="41" t="s">
        <v>75</v>
      </c>
      <c r="AY35" s="41" t="s">
        <v>731</v>
      </c>
      <c r="AZ35" s="41" t="s">
        <v>732</v>
      </c>
      <c r="BA35" s="41" t="s">
        <v>733</v>
      </c>
      <c r="BB35" s="41" t="s">
        <v>99</v>
      </c>
      <c r="BC35" s="41" t="s">
        <v>159</v>
      </c>
      <c r="BD35" s="41" t="s">
        <v>101</v>
      </c>
      <c r="BE35" s="41" t="s">
        <v>75</v>
      </c>
      <c r="BF35" s="41" t="s">
        <v>130</v>
      </c>
      <c r="BG35" s="41" t="s">
        <v>734</v>
      </c>
      <c r="BH35" s="41" t="s">
        <v>75</v>
      </c>
      <c r="BI35" s="41" t="s">
        <v>102</v>
      </c>
      <c r="BJ35" s="41" t="s">
        <v>735</v>
      </c>
      <c r="BK35" s="41" t="s">
        <v>104</v>
      </c>
      <c r="BL35" s="41" t="s">
        <v>105</v>
      </c>
      <c r="BM35" s="41" t="s">
        <v>75</v>
      </c>
      <c r="BN35" s="41" t="s">
        <v>75</v>
      </c>
      <c r="BO35" s="41" t="s">
        <v>75</v>
      </c>
      <c r="BP35" s="41" t="s">
        <v>75</v>
      </c>
      <c r="BQ35" s="40" t="s">
        <v>524</v>
      </c>
      <c r="BR35" s="41" t="s">
        <v>375</v>
      </c>
      <c r="BS35" s="43" t="s">
        <v>376</v>
      </c>
    </row>
    <row r="36" spans="1:71">
      <c r="A36" s="40" t="s">
        <v>719</v>
      </c>
      <c r="B36" s="41" t="s">
        <v>110</v>
      </c>
      <c r="C36" s="41" t="s">
        <v>111</v>
      </c>
      <c r="D36" s="41" t="s">
        <v>74</v>
      </c>
      <c r="E36" s="41" t="s">
        <v>75</v>
      </c>
      <c r="F36" s="41" t="s">
        <v>720</v>
      </c>
      <c r="G36" s="41" t="s">
        <v>721</v>
      </c>
      <c r="H36" s="41" t="s">
        <v>722</v>
      </c>
      <c r="I36" s="41" t="s">
        <v>723</v>
      </c>
      <c r="J36" s="41" t="s">
        <v>724</v>
      </c>
      <c r="K36" s="41" t="s">
        <v>725</v>
      </c>
      <c r="L36" s="41" t="s">
        <v>726</v>
      </c>
      <c r="M36" s="41" t="s">
        <v>360</v>
      </c>
      <c r="N36" s="41" t="s">
        <v>361</v>
      </c>
      <c r="O36" s="40" t="s">
        <v>362</v>
      </c>
      <c r="P36" s="41" t="s">
        <v>148</v>
      </c>
      <c r="Q36" s="41" t="s">
        <v>149</v>
      </c>
      <c r="R36" s="41" t="s">
        <v>363</v>
      </c>
      <c r="S36" s="41" t="s">
        <v>364</v>
      </c>
      <c r="T36" s="49">
        <v>1</v>
      </c>
      <c r="U36" s="41" t="s">
        <v>75</v>
      </c>
      <c r="V36" s="41" t="s">
        <v>75</v>
      </c>
      <c r="W36" s="50">
        <v>199</v>
      </c>
      <c r="X36" s="49">
        <v>199</v>
      </c>
      <c r="Y36" s="49">
        <v>0</v>
      </c>
      <c r="Z36" s="50">
        <v>0</v>
      </c>
      <c r="AA36" s="41" t="s">
        <v>75</v>
      </c>
      <c r="AB36" s="50">
        <v>0</v>
      </c>
      <c r="AC36" s="50">
        <v>199</v>
      </c>
      <c r="AD36" s="41" t="s">
        <v>88</v>
      </c>
      <c r="AE36" s="41" t="s">
        <v>727</v>
      </c>
      <c r="AF36" s="41" t="s">
        <v>75</v>
      </c>
      <c r="AG36" s="41" t="s">
        <v>75</v>
      </c>
      <c r="AH36" s="41" t="s">
        <v>75</v>
      </c>
      <c r="AI36" s="41" t="s">
        <v>728</v>
      </c>
      <c r="AJ36" s="41" t="s">
        <v>75</v>
      </c>
      <c r="AK36" s="41" t="s">
        <v>91</v>
      </c>
      <c r="AL36" s="40" t="s">
        <v>92</v>
      </c>
      <c r="AM36" s="41" t="s">
        <v>93</v>
      </c>
      <c r="AN36" s="41" t="s">
        <v>736</v>
      </c>
      <c r="AO36" s="41" t="s">
        <v>75</v>
      </c>
      <c r="AP36" s="41" t="s">
        <v>75</v>
      </c>
      <c r="AQ36" s="41" t="s">
        <v>75</v>
      </c>
      <c r="AR36" s="41" t="s">
        <v>75</v>
      </c>
      <c r="AS36" s="41" t="s">
        <v>75</v>
      </c>
      <c r="AT36" s="41" t="s">
        <v>75</v>
      </c>
      <c r="AU36" s="41" t="s">
        <v>75</v>
      </c>
      <c r="AV36" s="41" t="s">
        <v>730</v>
      </c>
      <c r="AW36" s="41" t="s">
        <v>75</v>
      </c>
      <c r="AX36" s="41" t="s">
        <v>75</v>
      </c>
      <c r="AY36" s="41" t="s">
        <v>731</v>
      </c>
      <c r="AZ36" s="41" t="s">
        <v>737</v>
      </c>
      <c r="BA36" s="41" t="s">
        <v>75</v>
      </c>
      <c r="BB36" s="41" t="s">
        <v>99</v>
      </c>
      <c r="BC36" s="41" t="s">
        <v>75</v>
      </c>
      <c r="BD36" s="41" t="s">
        <v>101</v>
      </c>
      <c r="BE36" s="41" t="s">
        <v>75</v>
      </c>
      <c r="BF36" s="41" t="s">
        <v>130</v>
      </c>
      <c r="BG36" s="41" t="s">
        <v>734</v>
      </c>
      <c r="BH36" s="41" t="s">
        <v>75</v>
      </c>
      <c r="BI36" s="41" t="s">
        <v>102</v>
      </c>
      <c r="BJ36" s="41" t="s">
        <v>735</v>
      </c>
      <c r="BK36" s="41" t="s">
        <v>104</v>
      </c>
      <c r="BL36" s="41" t="s">
        <v>105</v>
      </c>
      <c r="BM36" s="41" t="s">
        <v>75</v>
      </c>
      <c r="BN36" s="41" t="s">
        <v>75</v>
      </c>
      <c r="BO36" s="41" t="s">
        <v>75</v>
      </c>
      <c r="BP36" s="41" t="s">
        <v>75</v>
      </c>
      <c r="BQ36" s="40" t="s">
        <v>374</v>
      </c>
      <c r="BR36" s="41" t="s">
        <v>375</v>
      </c>
      <c r="BS36" s="43" t="s">
        <v>376</v>
      </c>
    </row>
    <row r="37" spans="1:71">
      <c r="A37" s="40" t="s">
        <v>738</v>
      </c>
      <c r="B37" s="41" t="s">
        <v>72</v>
      </c>
      <c r="C37" s="41" t="s">
        <v>111</v>
      </c>
      <c r="D37" s="41" t="s">
        <v>74</v>
      </c>
      <c r="E37" s="41" t="s">
        <v>75</v>
      </c>
      <c r="F37" s="41" t="s">
        <v>739</v>
      </c>
      <c r="G37" s="41" t="s">
        <v>740</v>
      </c>
      <c r="H37" s="41" t="s">
        <v>741</v>
      </c>
      <c r="I37" s="41" t="s">
        <v>335</v>
      </c>
      <c r="J37" s="41" t="s">
        <v>336</v>
      </c>
      <c r="K37" s="41" t="s">
        <v>742</v>
      </c>
      <c r="L37" s="41" t="s">
        <v>743</v>
      </c>
      <c r="M37" s="41" t="s">
        <v>511</v>
      </c>
      <c r="N37" s="41" t="s">
        <v>512</v>
      </c>
      <c r="O37" s="40" t="s">
        <v>513</v>
      </c>
      <c r="P37" s="41" t="s">
        <v>148</v>
      </c>
      <c r="Q37" s="41" t="s">
        <v>149</v>
      </c>
      <c r="R37" s="41" t="s">
        <v>514</v>
      </c>
      <c r="S37" s="41" t="s">
        <v>515</v>
      </c>
      <c r="T37" s="49">
        <v>1</v>
      </c>
      <c r="U37" s="41" t="s">
        <v>75</v>
      </c>
      <c r="V37" s="41" t="s">
        <v>75</v>
      </c>
      <c r="W37" s="50">
        <v>199</v>
      </c>
      <c r="X37" s="49">
        <v>199</v>
      </c>
      <c r="Y37" s="49">
        <v>0</v>
      </c>
      <c r="Z37" s="50">
        <v>0</v>
      </c>
      <c r="AA37" s="41" t="s">
        <v>75</v>
      </c>
      <c r="AB37" s="50">
        <v>0</v>
      </c>
      <c r="AC37" s="50">
        <v>199</v>
      </c>
      <c r="AD37" s="41" t="s">
        <v>209</v>
      </c>
      <c r="AE37" s="41" t="s">
        <v>744</v>
      </c>
      <c r="AF37" s="41" t="s">
        <v>75</v>
      </c>
      <c r="AG37" s="41" t="s">
        <v>75</v>
      </c>
      <c r="AH37" s="41" t="s">
        <v>75</v>
      </c>
      <c r="AI37" s="41" t="s">
        <v>745</v>
      </c>
      <c r="AJ37" s="41" t="s">
        <v>75</v>
      </c>
      <c r="AK37" s="41" t="s">
        <v>91</v>
      </c>
      <c r="AL37" s="40" t="s">
        <v>92</v>
      </c>
      <c r="AM37" s="41" t="s">
        <v>93</v>
      </c>
      <c r="AN37" s="41" t="s">
        <v>746</v>
      </c>
      <c r="AO37" s="41" t="s">
        <v>75</v>
      </c>
      <c r="AP37" s="41" t="s">
        <v>75</v>
      </c>
      <c r="AQ37" s="41" t="s">
        <v>75</v>
      </c>
      <c r="AR37" s="41" t="s">
        <v>75</v>
      </c>
      <c r="AS37" s="41" t="s">
        <v>75</v>
      </c>
      <c r="AT37" s="41" t="s">
        <v>75</v>
      </c>
      <c r="AU37" s="41" t="s">
        <v>75</v>
      </c>
      <c r="AV37" s="41" t="s">
        <v>747</v>
      </c>
      <c r="AW37" s="41" t="s">
        <v>75</v>
      </c>
      <c r="AX37" s="41" t="s">
        <v>75</v>
      </c>
      <c r="AY37" s="41" t="s">
        <v>748</v>
      </c>
      <c r="AZ37" s="41" t="s">
        <v>732</v>
      </c>
      <c r="BA37" s="41" t="s">
        <v>733</v>
      </c>
      <c r="BB37" s="41" t="s">
        <v>99</v>
      </c>
      <c r="BC37" s="41" t="s">
        <v>159</v>
      </c>
      <c r="BD37" s="41" t="s">
        <v>101</v>
      </c>
      <c r="BE37" s="41" t="s">
        <v>75</v>
      </c>
      <c r="BF37" s="41" t="s">
        <v>130</v>
      </c>
      <c r="BG37" s="41" t="s">
        <v>749</v>
      </c>
      <c r="BH37" s="41" t="s">
        <v>75</v>
      </c>
      <c r="BI37" s="41" t="s">
        <v>102</v>
      </c>
      <c r="BJ37" s="41" t="s">
        <v>750</v>
      </c>
      <c r="BK37" s="41" t="s">
        <v>104</v>
      </c>
      <c r="BL37" s="41" t="s">
        <v>105</v>
      </c>
      <c r="BM37" s="41" t="s">
        <v>75</v>
      </c>
      <c r="BN37" s="41" t="s">
        <v>75</v>
      </c>
      <c r="BO37" s="41" t="s">
        <v>75</v>
      </c>
      <c r="BP37" s="41" t="s">
        <v>75</v>
      </c>
      <c r="BQ37" s="40" t="s">
        <v>524</v>
      </c>
      <c r="BR37" s="41" t="s">
        <v>375</v>
      </c>
      <c r="BS37" s="43" t="s">
        <v>376</v>
      </c>
    </row>
    <row r="38" spans="1:71">
      <c r="A38" s="40" t="s">
        <v>751</v>
      </c>
      <c r="B38" s="41" t="s">
        <v>110</v>
      </c>
      <c r="C38" s="41" t="s">
        <v>111</v>
      </c>
      <c r="D38" s="41" t="s">
        <v>74</v>
      </c>
      <c r="E38" s="41" t="s">
        <v>75</v>
      </c>
      <c r="F38" s="41" t="s">
        <v>752</v>
      </c>
      <c r="G38" s="41" t="s">
        <v>753</v>
      </c>
      <c r="H38" s="41" t="s">
        <v>484</v>
      </c>
      <c r="I38" s="41" t="s">
        <v>485</v>
      </c>
      <c r="J38" s="41" t="s">
        <v>486</v>
      </c>
      <c r="K38" s="41" t="s">
        <v>487</v>
      </c>
      <c r="L38" s="41" t="s">
        <v>488</v>
      </c>
      <c r="M38" s="41" t="s">
        <v>431</v>
      </c>
      <c r="N38" s="41" t="s">
        <v>432</v>
      </c>
      <c r="O38" s="40" t="s">
        <v>433</v>
      </c>
      <c r="P38" s="41" t="s">
        <v>148</v>
      </c>
      <c r="Q38" s="41" t="s">
        <v>149</v>
      </c>
      <c r="R38" s="41" t="s">
        <v>434</v>
      </c>
      <c r="S38" s="41" t="s">
        <v>343</v>
      </c>
      <c r="T38" s="49">
        <v>1</v>
      </c>
      <c r="U38" s="41" t="s">
        <v>75</v>
      </c>
      <c r="V38" s="41" t="s">
        <v>75</v>
      </c>
      <c r="W38" s="50">
        <v>179</v>
      </c>
      <c r="X38" s="49">
        <v>179</v>
      </c>
      <c r="Y38" s="49">
        <v>0</v>
      </c>
      <c r="Z38" s="50">
        <v>0</v>
      </c>
      <c r="AA38" s="41" t="s">
        <v>75</v>
      </c>
      <c r="AB38" s="50">
        <v>0</v>
      </c>
      <c r="AC38" s="50">
        <v>179</v>
      </c>
      <c r="AD38" s="41" t="s">
        <v>88</v>
      </c>
      <c r="AE38" s="41" t="s">
        <v>754</v>
      </c>
      <c r="AF38" s="41" t="s">
        <v>75</v>
      </c>
      <c r="AG38" s="41" t="s">
        <v>75</v>
      </c>
      <c r="AH38" s="41" t="s">
        <v>75</v>
      </c>
      <c r="AI38" s="41" t="s">
        <v>755</v>
      </c>
      <c r="AJ38" s="41" t="s">
        <v>75</v>
      </c>
      <c r="AK38" s="41" t="s">
        <v>91</v>
      </c>
      <c r="AL38" s="40" t="s">
        <v>92</v>
      </c>
      <c r="AM38" s="41" t="s">
        <v>93</v>
      </c>
      <c r="AN38" s="41" t="s">
        <v>756</v>
      </c>
      <c r="AO38" s="41" t="s">
        <v>75</v>
      </c>
      <c r="AP38" s="41" t="s">
        <v>75</v>
      </c>
      <c r="AQ38" s="41" t="s">
        <v>75</v>
      </c>
      <c r="AR38" s="41" t="s">
        <v>75</v>
      </c>
      <c r="AS38" s="41" t="s">
        <v>75</v>
      </c>
      <c r="AT38" s="41" t="s">
        <v>75</v>
      </c>
      <c r="AU38" s="41" t="s">
        <v>75</v>
      </c>
      <c r="AV38" s="41" t="s">
        <v>757</v>
      </c>
      <c r="AW38" s="41" t="s">
        <v>75</v>
      </c>
      <c r="AX38" s="41" t="s">
        <v>75</v>
      </c>
      <c r="AY38" s="41" t="s">
        <v>758</v>
      </c>
      <c r="AZ38" s="41" t="s">
        <v>759</v>
      </c>
      <c r="BA38" s="41" t="s">
        <v>760</v>
      </c>
      <c r="BB38" s="41" t="s">
        <v>99</v>
      </c>
      <c r="BC38" s="41" t="s">
        <v>159</v>
      </c>
      <c r="BD38" s="41" t="s">
        <v>101</v>
      </c>
      <c r="BE38" s="41" t="s">
        <v>75</v>
      </c>
      <c r="BF38" s="41" t="s">
        <v>130</v>
      </c>
      <c r="BG38" s="41" t="s">
        <v>761</v>
      </c>
      <c r="BH38" s="41" t="s">
        <v>75</v>
      </c>
      <c r="BI38" s="41" t="s">
        <v>102</v>
      </c>
      <c r="BJ38" s="41" t="s">
        <v>762</v>
      </c>
      <c r="BK38" s="41" t="s">
        <v>104</v>
      </c>
      <c r="BL38" s="41" t="s">
        <v>105</v>
      </c>
      <c r="BM38" s="41" t="s">
        <v>75</v>
      </c>
      <c r="BN38" s="41" t="s">
        <v>75</v>
      </c>
      <c r="BO38" s="41" t="s">
        <v>75</v>
      </c>
      <c r="BP38" s="41" t="s">
        <v>75</v>
      </c>
      <c r="BQ38" s="40" t="s">
        <v>443</v>
      </c>
      <c r="BR38" s="41" t="s">
        <v>444</v>
      </c>
      <c r="BS38" s="43" t="s">
        <v>445</v>
      </c>
    </row>
    <row r="39" spans="1:71">
      <c r="A39" s="40" t="s">
        <v>763</v>
      </c>
      <c r="B39" s="41" t="s">
        <v>110</v>
      </c>
      <c r="C39" s="41" t="s">
        <v>111</v>
      </c>
      <c r="D39" s="41" t="s">
        <v>74</v>
      </c>
      <c r="E39" s="41" t="s">
        <v>75</v>
      </c>
      <c r="F39" s="41" t="s">
        <v>310</v>
      </c>
      <c r="G39" s="41" t="s">
        <v>311</v>
      </c>
      <c r="H39" s="41" t="s">
        <v>312</v>
      </c>
      <c r="I39" s="41" t="s">
        <v>200</v>
      </c>
      <c r="J39" s="41" t="s">
        <v>201</v>
      </c>
      <c r="K39" s="41" t="s">
        <v>313</v>
      </c>
      <c r="L39" s="41" t="s">
        <v>314</v>
      </c>
      <c r="M39" s="41" t="s">
        <v>764</v>
      </c>
      <c r="N39" s="41" t="s">
        <v>765</v>
      </c>
      <c r="O39" s="40" t="s">
        <v>766</v>
      </c>
      <c r="P39" s="41" t="s">
        <v>148</v>
      </c>
      <c r="Q39" s="41" t="s">
        <v>149</v>
      </c>
      <c r="R39" s="41" t="s">
        <v>767</v>
      </c>
      <c r="S39" s="41" t="s">
        <v>183</v>
      </c>
      <c r="T39" s="49">
        <v>1</v>
      </c>
      <c r="U39" s="41" t="s">
        <v>75</v>
      </c>
      <c r="V39" s="41" t="s">
        <v>75</v>
      </c>
      <c r="W39" s="50">
        <v>199</v>
      </c>
      <c r="X39" s="49">
        <v>199</v>
      </c>
      <c r="Y39" s="49">
        <v>0</v>
      </c>
      <c r="Z39" s="50">
        <v>0</v>
      </c>
      <c r="AA39" s="41" t="s">
        <v>75</v>
      </c>
      <c r="AB39" s="50">
        <v>0</v>
      </c>
      <c r="AC39" s="50">
        <v>199</v>
      </c>
      <c r="AD39" s="41" t="s">
        <v>209</v>
      </c>
      <c r="AE39" s="41" t="s">
        <v>768</v>
      </c>
      <c r="AF39" s="41" t="s">
        <v>75</v>
      </c>
      <c r="AG39" s="41" t="s">
        <v>75</v>
      </c>
      <c r="AH39" s="41" t="s">
        <v>75</v>
      </c>
      <c r="AI39" s="41" t="s">
        <v>769</v>
      </c>
      <c r="AJ39" s="41" t="s">
        <v>75</v>
      </c>
      <c r="AK39" s="41" t="s">
        <v>91</v>
      </c>
      <c r="AL39" s="40" t="s">
        <v>92</v>
      </c>
      <c r="AM39" s="41" t="s">
        <v>93</v>
      </c>
      <c r="AN39" s="41" t="s">
        <v>770</v>
      </c>
      <c r="AO39" s="41" t="s">
        <v>75</v>
      </c>
      <c r="AP39" s="41" t="s">
        <v>75</v>
      </c>
      <c r="AQ39" s="41" t="s">
        <v>75</v>
      </c>
      <c r="AR39" s="41" t="s">
        <v>75</v>
      </c>
      <c r="AS39" s="41" t="s">
        <v>75</v>
      </c>
      <c r="AT39" s="41" t="s">
        <v>75</v>
      </c>
      <c r="AU39" s="41" t="s">
        <v>75</v>
      </c>
      <c r="AV39" s="41" t="s">
        <v>771</v>
      </c>
      <c r="AW39" s="41" t="s">
        <v>75</v>
      </c>
      <c r="AX39" s="41" t="s">
        <v>75</v>
      </c>
      <c r="AY39" s="41" t="s">
        <v>772</v>
      </c>
      <c r="AZ39" s="41" t="s">
        <v>773</v>
      </c>
      <c r="BA39" s="41" t="s">
        <v>75</v>
      </c>
      <c r="BB39" s="41" t="s">
        <v>99</v>
      </c>
      <c r="BC39" s="41" t="s">
        <v>75</v>
      </c>
      <c r="BD39" s="41" t="s">
        <v>101</v>
      </c>
      <c r="BE39" s="41" t="s">
        <v>75</v>
      </c>
      <c r="BF39" s="41" t="s">
        <v>130</v>
      </c>
      <c r="BG39" s="41" t="s">
        <v>774</v>
      </c>
      <c r="BH39" s="41" t="s">
        <v>75</v>
      </c>
      <c r="BI39" s="41" t="s">
        <v>102</v>
      </c>
      <c r="BJ39" s="41" t="s">
        <v>327</v>
      </c>
      <c r="BK39" s="41" t="s">
        <v>104</v>
      </c>
      <c r="BL39" s="41" t="s">
        <v>105</v>
      </c>
      <c r="BM39" s="41" t="s">
        <v>75</v>
      </c>
      <c r="BN39" s="41" t="s">
        <v>75</v>
      </c>
      <c r="BO39" s="41" t="s">
        <v>75</v>
      </c>
      <c r="BP39" s="41" t="s">
        <v>75</v>
      </c>
      <c r="BQ39" s="40" t="s">
        <v>775</v>
      </c>
      <c r="BR39" s="41" t="s">
        <v>776</v>
      </c>
      <c r="BS39" s="43" t="s">
        <v>777</v>
      </c>
    </row>
    <row r="40" spans="1:71">
      <c r="A40" s="40" t="s">
        <v>778</v>
      </c>
      <c r="B40" s="41" t="s">
        <v>72</v>
      </c>
      <c r="C40" s="41" t="s">
        <v>73</v>
      </c>
      <c r="D40" s="41" t="s">
        <v>74</v>
      </c>
      <c r="E40" s="41" t="s">
        <v>75</v>
      </c>
      <c r="F40" s="41" t="s">
        <v>779</v>
      </c>
      <c r="G40" s="41" t="s">
        <v>780</v>
      </c>
      <c r="H40" s="41" t="s">
        <v>781</v>
      </c>
      <c r="I40" s="41" t="s">
        <v>782</v>
      </c>
      <c r="J40" s="41" t="s">
        <v>783</v>
      </c>
      <c r="K40" s="41" t="s">
        <v>784</v>
      </c>
      <c r="L40" s="41" t="s">
        <v>785</v>
      </c>
      <c r="M40" s="41" t="s">
        <v>786</v>
      </c>
      <c r="N40" s="41" t="s">
        <v>787</v>
      </c>
      <c r="O40" s="40" t="s">
        <v>788</v>
      </c>
      <c r="P40" s="41" t="s">
        <v>148</v>
      </c>
      <c r="Q40" s="41" t="s">
        <v>149</v>
      </c>
      <c r="R40" s="41" t="s">
        <v>789</v>
      </c>
      <c r="S40" s="41" t="s">
        <v>284</v>
      </c>
      <c r="T40" s="49">
        <v>1</v>
      </c>
      <c r="U40" s="41" t="s">
        <v>75</v>
      </c>
      <c r="V40" s="41" t="s">
        <v>75</v>
      </c>
      <c r="W40" s="50">
        <v>199</v>
      </c>
      <c r="X40" s="49">
        <v>199</v>
      </c>
      <c r="Y40" s="49">
        <v>0</v>
      </c>
      <c r="Z40" s="50">
        <v>0</v>
      </c>
      <c r="AA40" s="41" t="s">
        <v>75</v>
      </c>
      <c r="AB40" s="50">
        <v>0</v>
      </c>
      <c r="AC40" s="50">
        <v>199</v>
      </c>
      <c r="AD40" s="41" t="s">
        <v>88</v>
      </c>
      <c r="AE40" s="41" t="s">
        <v>790</v>
      </c>
      <c r="AF40" s="41" t="s">
        <v>75</v>
      </c>
      <c r="AG40" s="41" t="s">
        <v>75</v>
      </c>
      <c r="AH40" s="41" t="s">
        <v>75</v>
      </c>
      <c r="AI40" s="41" t="s">
        <v>791</v>
      </c>
      <c r="AJ40" s="41" t="s">
        <v>75</v>
      </c>
      <c r="AK40" s="41" t="s">
        <v>91</v>
      </c>
      <c r="AL40" s="40" t="s">
        <v>92</v>
      </c>
      <c r="AM40" s="41" t="s">
        <v>93</v>
      </c>
      <c r="AN40" s="41" t="s">
        <v>792</v>
      </c>
      <c r="AO40" s="41" t="s">
        <v>75</v>
      </c>
      <c r="AP40" s="41" t="s">
        <v>75</v>
      </c>
      <c r="AQ40" s="41" t="s">
        <v>75</v>
      </c>
      <c r="AR40" s="41" t="s">
        <v>75</v>
      </c>
      <c r="AS40" s="41" t="s">
        <v>75</v>
      </c>
      <c r="AT40" s="41" t="s">
        <v>75</v>
      </c>
      <c r="AU40" s="41" t="s">
        <v>75</v>
      </c>
      <c r="AV40" s="41" t="s">
        <v>793</v>
      </c>
      <c r="AW40" s="41" t="s">
        <v>75</v>
      </c>
      <c r="AX40" s="41" t="s">
        <v>75</v>
      </c>
      <c r="AY40" s="41" t="s">
        <v>794</v>
      </c>
      <c r="AZ40" s="41" t="s">
        <v>795</v>
      </c>
      <c r="BA40" s="41" t="s">
        <v>796</v>
      </c>
      <c r="BB40" s="41" t="s">
        <v>99</v>
      </c>
      <c r="BC40" s="41" t="s">
        <v>100</v>
      </c>
      <c r="BD40" s="41" t="s">
        <v>101</v>
      </c>
      <c r="BE40" s="41" t="s">
        <v>75</v>
      </c>
      <c r="BF40" s="41" t="s">
        <v>75</v>
      </c>
      <c r="BG40" s="41" t="s">
        <v>75</v>
      </c>
      <c r="BH40" s="41" t="s">
        <v>75</v>
      </c>
      <c r="BI40" s="41" t="s">
        <v>102</v>
      </c>
      <c r="BJ40" s="41" t="s">
        <v>797</v>
      </c>
      <c r="BK40" s="41" t="s">
        <v>104</v>
      </c>
      <c r="BL40" s="41" t="s">
        <v>105</v>
      </c>
      <c r="BM40" s="41" t="s">
        <v>75</v>
      </c>
      <c r="BN40" s="41" t="s">
        <v>75</v>
      </c>
      <c r="BO40" s="41" t="s">
        <v>75</v>
      </c>
      <c r="BP40" s="41" t="s">
        <v>75</v>
      </c>
      <c r="BQ40" s="40" t="s">
        <v>798</v>
      </c>
      <c r="BR40" s="41" t="s">
        <v>776</v>
      </c>
      <c r="BS40" s="43" t="s">
        <v>777</v>
      </c>
    </row>
    <row r="41" spans="1:71">
      <c r="A41" s="40" t="s">
        <v>799</v>
      </c>
      <c r="B41" s="41" t="s">
        <v>110</v>
      </c>
      <c r="C41" s="41" t="s">
        <v>111</v>
      </c>
      <c r="D41" s="41" t="s">
        <v>74</v>
      </c>
      <c r="E41" s="41" t="s">
        <v>75</v>
      </c>
      <c r="F41" s="41" t="s">
        <v>256</v>
      </c>
      <c r="G41" s="41" t="s">
        <v>257</v>
      </c>
      <c r="H41" s="41" t="s">
        <v>258</v>
      </c>
      <c r="I41" s="41" t="s">
        <v>259</v>
      </c>
      <c r="J41" s="41" t="s">
        <v>260</v>
      </c>
      <c r="K41" s="41" t="s">
        <v>261</v>
      </c>
      <c r="L41" s="41" t="s">
        <v>262</v>
      </c>
      <c r="M41" s="41" t="s">
        <v>339</v>
      </c>
      <c r="N41" s="41" t="s">
        <v>340</v>
      </c>
      <c r="O41" s="40" t="s">
        <v>341</v>
      </c>
      <c r="P41" s="41" t="s">
        <v>148</v>
      </c>
      <c r="Q41" s="41" t="s">
        <v>149</v>
      </c>
      <c r="R41" s="41" t="s">
        <v>342</v>
      </c>
      <c r="S41" s="41" t="s">
        <v>343</v>
      </c>
      <c r="T41" s="49">
        <v>1</v>
      </c>
      <c r="U41" s="41" t="s">
        <v>75</v>
      </c>
      <c r="V41" s="41" t="s">
        <v>75</v>
      </c>
      <c r="W41" s="50">
        <v>219</v>
      </c>
      <c r="X41" s="49">
        <v>219</v>
      </c>
      <c r="Y41" s="49">
        <v>0</v>
      </c>
      <c r="Z41" s="50">
        <v>0</v>
      </c>
      <c r="AA41" s="41" t="s">
        <v>75</v>
      </c>
      <c r="AB41" s="50">
        <v>0</v>
      </c>
      <c r="AC41" s="50">
        <v>219</v>
      </c>
      <c r="AD41" s="41" t="s">
        <v>209</v>
      </c>
      <c r="AE41" s="41" t="s">
        <v>800</v>
      </c>
      <c r="AF41" s="41" t="s">
        <v>75</v>
      </c>
      <c r="AG41" s="41" t="s">
        <v>75</v>
      </c>
      <c r="AH41" s="41" t="s">
        <v>75</v>
      </c>
      <c r="AI41" s="41" t="s">
        <v>801</v>
      </c>
      <c r="AJ41" s="41" t="s">
        <v>75</v>
      </c>
      <c r="AK41" s="41" t="s">
        <v>91</v>
      </c>
      <c r="AL41" s="40" t="s">
        <v>92</v>
      </c>
      <c r="AM41" s="41" t="s">
        <v>93</v>
      </c>
      <c r="AN41" s="41" t="s">
        <v>802</v>
      </c>
      <c r="AO41" s="41" t="s">
        <v>75</v>
      </c>
      <c r="AP41" s="41" t="s">
        <v>75</v>
      </c>
      <c r="AQ41" s="41" t="s">
        <v>75</v>
      </c>
      <c r="AR41" s="41" t="s">
        <v>75</v>
      </c>
      <c r="AS41" s="41" t="s">
        <v>75</v>
      </c>
      <c r="AT41" s="41" t="s">
        <v>75</v>
      </c>
      <c r="AU41" s="41" t="s">
        <v>75</v>
      </c>
      <c r="AV41" s="41" t="s">
        <v>803</v>
      </c>
      <c r="AW41" s="41" t="s">
        <v>75</v>
      </c>
      <c r="AX41" s="41" t="s">
        <v>75</v>
      </c>
      <c r="AY41" s="41" t="s">
        <v>804</v>
      </c>
      <c r="AZ41" s="41" t="s">
        <v>805</v>
      </c>
      <c r="BA41" s="41" t="s">
        <v>806</v>
      </c>
      <c r="BB41" s="41" t="s">
        <v>99</v>
      </c>
      <c r="BC41" s="41" t="s">
        <v>159</v>
      </c>
      <c r="BD41" s="41" t="s">
        <v>101</v>
      </c>
      <c r="BE41" s="41" t="s">
        <v>75</v>
      </c>
      <c r="BF41" s="41" t="s">
        <v>130</v>
      </c>
      <c r="BG41" s="41" t="s">
        <v>807</v>
      </c>
      <c r="BH41" s="41" t="s">
        <v>75</v>
      </c>
      <c r="BI41" s="41" t="s">
        <v>102</v>
      </c>
      <c r="BJ41" s="41" t="s">
        <v>271</v>
      </c>
      <c r="BK41" s="41" t="s">
        <v>104</v>
      </c>
      <c r="BL41" s="41" t="s">
        <v>105</v>
      </c>
      <c r="BM41" s="41" t="s">
        <v>75</v>
      </c>
      <c r="BN41" s="41" t="s">
        <v>75</v>
      </c>
      <c r="BO41" s="41" t="s">
        <v>75</v>
      </c>
      <c r="BP41" s="41" t="s">
        <v>75</v>
      </c>
      <c r="BQ41" s="40" t="s">
        <v>351</v>
      </c>
      <c r="BR41" s="41" t="s">
        <v>352</v>
      </c>
      <c r="BS41" s="43" t="s">
        <v>353</v>
      </c>
    </row>
    <row r="42" spans="1:71">
      <c r="A42" s="40" t="s">
        <v>808</v>
      </c>
      <c r="B42" s="41" t="s">
        <v>110</v>
      </c>
      <c r="C42" s="41" t="s">
        <v>111</v>
      </c>
      <c r="D42" s="41" t="s">
        <v>74</v>
      </c>
      <c r="E42" s="41" t="s">
        <v>75</v>
      </c>
      <c r="F42" s="41" t="s">
        <v>310</v>
      </c>
      <c r="G42" s="41" t="s">
        <v>311</v>
      </c>
      <c r="H42" s="41" t="s">
        <v>312</v>
      </c>
      <c r="I42" s="41" t="s">
        <v>200</v>
      </c>
      <c r="J42" s="41" t="s">
        <v>201</v>
      </c>
      <c r="K42" s="41" t="s">
        <v>313</v>
      </c>
      <c r="L42" s="41" t="s">
        <v>314</v>
      </c>
      <c r="M42" s="41" t="s">
        <v>809</v>
      </c>
      <c r="N42" s="41" t="s">
        <v>810</v>
      </c>
      <c r="O42" s="40" t="s">
        <v>811</v>
      </c>
      <c r="P42" s="41" t="s">
        <v>148</v>
      </c>
      <c r="Q42" s="41" t="s">
        <v>149</v>
      </c>
      <c r="R42" s="41" t="s">
        <v>812</v>
      </c>
      <c r="S42" s="41" t="s">
        <v>813</v>
      </c>
      <c r="T42" s="49">
        <v>1</v>
      </c>
      <c r="U42" s="41" t="s">
        <v>75</v>
      </c>
      <c r="V42" s="41" t="s">
        <v>75</v>
      </c>
      <c r="W42" s="50">
        <v>179</v>
      </c>
      <c r="X42" s="49">
        <v>179</v>
      </c>
      <c r="Y42" s="49">
        <v>0</v>
      </c>
      <c r="Z42" s="50">
        <v>0</v>
      </c>
      <c r="AA42" s="41" t="s">
        <v>75</v>
      </c>
      <c r="AB42" s="50">
        <v>0</v>
      </c>
      <c r="AC42" s="50">
        <v>179</v>
      </c>
      <c r="AD42" s="41" t="s">
        <v>209</v>
      </c>
      <c r="AE42" s="41" t="s">
        <v>814</v>
      </c>
      <c r="AF42" s="41" t="s">
        <v>75</v>
      </c>
      <c r="AG42" s="41" t="s">
        <v>75</v>
      </c>
      <c r="AH42" s="41" t="s">
        <v>75</v>
      </c>
      <c r="AI42" s="41" t="s">
        <v>815</v>
      </c>
      <c r="AJ42" s="41" t="s">
        <v>75</v>
      </c>
      <c r="AK42" s="41" t="s">
        <v>91</v>
      </c>
      <c r="AL42" s="40" t="s">
        <v>92</v>
      </c>
      <c r="AM42" s="41" t="s">
        <v>93</v>
      </c>
      <c r="AN42" s="41" t="s">
        <v>816</v>
      </c>
      <c r="AO42" s="41" t="s">
        <v>75</v>
      </c>
      <c r="AP42" s="41" t="s">
        <v>75</v>
      </c>
      <c r="AQ42" s="41" t="s">
        <v>75</v>
      </c>
      <c r="AR42" s="41" t="s">
        <v>75</v>
      </c>
      <c r="AS42" s="41" t="s">
        <v>75</v>
      </c>
      <c r="AT42" s="41" t="s">
        <v>75</v>
      </c>
      <c r="AU42" s="41" t="s">
        <v>75</v>
      </c>
      <c r="AV42" s="41" t="s">
        <v>817</v>
      </c>
      <c r="AW42" s="41" t="s">
        <v>75</v>
      </c>
      <c r="AX42" s="41" t="s">
        <v>75</v>
      </c>
      <c r="AY42" s="41" t="s">
        <v>818</v>
      </c>
      <c r="AZ42" s="41" t="s">
        <v>819</v>
      </c>
      <c r="BA42" s="41" t="s">
        <v>75</v>
      </c>
      <c r="BB42" s="41" t="s">
        <v>99</v>
      </c>
      <c r="BC42" s="41" t="s">
        <v>75</v>
      </c>
      <c r="BD42" s="41" t="s">
        <v>101</v>
      </c>
      <c r="BE42" s="41" t="s">
        <v>75</v>
      </c>
      <c r="BF42" s="41" t="s">
        <v>130</v>
      </c>
      <c r="BG42" s="41" t="s">
        <v>820</v>
      </c>
      <c r="BH42" s="41" t="s">
        <v>75</v>
      </c>
      <c r="BI42" s="41" t="s">
        <v>102</v>
      </c>
      <c r="BJ42" s="41" t="s">
        <v>327</v>
      </c>
      <c r="BK42" s="41" t="s">
        <v>104</v>
      </c>
      <c r="BL42" s="41" t="s">
        <v>105</v>
      </c>
      <c r="BM42" s="41" t="s">
        <v>75</v>
      </c>
      <c r="BN42" s="41" t="s">
        <v>75</v>
      </c>
      <c r="BO42" s="41" t="s">
        <v>75</v>
      </c>
      <c r="BP42" s="41" t="s">
        <v>75</v>
      </c>
      <c r="BQ42" s="40" t="s">
        <v>821</v>
      </c>
      <c r="BR42" s="41" t="s">
        <v>444</v>
      </c>
      <c r="BS42" s="43" t="s">
        <v>445</v>
      </c>
    </row>
    <row r="43" spans="1:71">
      <c r="A43" s="40" t="s">
        <v>822</v>
      </c>
      <c r="B43" s="41" t="s">
        <v>72</v>
      </c>
      <c r="C43" s="41" t="s">
        <v>73</v>
      </c>
      <c r="D43" s="41" t="s">
        <v>74</v>
      </c>
      <c r="E43" s="41" t="s">
        <v>75</v>
      </c>
      <c r="F43" s="41" t="s">
        <v>468</v>
      </c>
      <c r="G43" s="41" t="s">
        <v>823</v>
      </c>
      <c r="H43" s="41" t="s">
        <v>641</v>
      </c>
      <c r="I43" s="41" t="s">
        <v>79</v>
      </c>
      <c r="J43" s="41" t="s">
        <v>80</v>
      </c>
      <c r="K43" s="41" t="s">
        <v>642</v>
      </c>
      <c r="L43" s="41" t="s">
        <v>824</v>
      </c>
      <c r="M43" s="41" t="s">
        <v>825</v>
      </c>
      <c r="N43" s="41" t="s">
        <v>826</v>
      </c>
      <c r="O43" s="40" t="s">
        <v>827</v>
      </c>
      <c r="P43" s="41" t="s">
        <v>148</v>
      </c>
      <c r="Q43" s="41" t="s">
        <v>149</v>
      </c>
      <c r="R43" s="41" t="s">
        <v>828</v>
      </c>
      <c r="S43" s="41" t="s">
        <v>829</v>
      </c>
      <c r="T43" s="49">
        <v>1</v>
      </c>
      <c r="U43" s="41" t="s">
        <v>75</v>
      </c>
      <c r="V43" s="41" t="s">
        <v>75</v>
      </c>
      <c r="W43" s="50">
        <v>359</v>
      </c>
      <c r="X43" s="49">
        <v>359</v>
      </c>
      <c r="Y43" s="49">
        <v>0</v>
      </c>
      <c r="Z43" s="50">
        <v>0</v>
      </c>
      <c r="AA43" s="41" t="s">
        <v>75</v>
      </c>
      <c r="AB43" s="50">
        <v>0</v>
      </c>
      <c r="AC43" s="50">
        <v>359</v>
      </c>
      <c r="AD43" s="41" t="s">
        <v>88</v>
      </c>
      <c r="AE43" s="41" t="s">
        <v>830</v>
      </c>
      <c r="AF43" s="41" t="s">
        <v>75</v>
      </c>
      <c r="AG43" s="41" t="s">
        <v>75</v>
      </c>
      <c r="AH43" s="41" t="s">
        <v>75</v>
      </c>
      <c r="AI43" s="41" t="s">
        <v>831</v>
      </c>
      <c r="AJ43" s="41" t="s">
        <v>75</v>
      </c>
      <c r="AK43" s="41" t="s">
        <v>91</v>
      </c>
      <c r="AL43" s="40" t="s">
        <v>92</v>
      </c>
      <c r="AM43" s="41" t="s">
        <v>93</v>
      </c>
      <c r="AN43" s="41" t="s">
        <v>832</v>
      </c>
      <c r="AO43" s="41" t="s">
        <v>75</v>
      </c>
      <c r="AP43" s="41" t="s">
        <v>75</v>
      </c>
      <c r="AQ43" s="41" t="s">
        <v>75</v>
      </c>
      <c r="AR43" s="41" t="s">
        <v>75</v>
      </c>
      <c r="AS43" s="41" t="s">
        <v>75</v>
      </c>
      <c r="AT43" s="41" t="s">
        <v>75</v>
      </c>
      <c r="AU43" s="41" t="s">
        <v>75</v>
      </c>
      <c r="AV43" s="41" t="s">
        <v>833</v>
      </c>
      <c r="AW43" s="41" t="s">
        <v>75</v>
      </c>
      <c r="AX43" s="41" t="s">
        <v>75</v>
      </c>
      <c r="AY43" s="41" t="s">
        <v>834</v>
      </c>
      <c r="AZ43" s="41" t="s">
        <v>835</v>
      </c>
      <c r="BA43" s="41" t="s">
        <v>836</v>
      </c>
      <c r="BB43" s="41" t="s">
        <v>99</v>
      </c>
      <c r="BC43" s="41" t="s">
        <v>100</v>
      </c>
      <c r="BD43" s="41" t="s">
        <v>101</v>
      </c>
      <c r="BE43" s="41" t="s">
        <v>75</v>
      </c>
      <c r="BF43" s="41" t="s">
        <v>75</v>
      </c>
      <c r="BG43" s="41" t="s">
        <v>75</v>
      </c>
      <c r="BH43" s="41" t="s">
        <v>75</v>
      </c>
      <c r="BI43" s="41" t="s">
        <v>102</v>
      </c>
      <c r="BJ43" s="41" t="s">
        <v>837</v>
      </c>
      <c r="BK43" s="41" t="s">
        <v>104</v>
      </c>
      <c r="BL43" s="41" t="s">
        <v>105</v>
      </c>
      <c r="BM43" s="41" t="s">
        <v>75</v>
      </c>
      <c r="BN43" s="41" t="s">
        <v>75</v>
      </c>
      <c r="BO43" s="41" t="s">
        <v>75</v>
      </c>
      <c r="BP43" s="41" t="s">
        <v>75</v>
      </c>
      <c r="BQ43" s="40" t="s">
        <v>838</v>
      </c>
      <c r="BR43" s="41" t="s">
        <v>839</v>
      </c>
      <c r="BS43" s="43" t="s">
        <v>840</v>
      </c>
    </row>
    <row r="44" spans="1:71">
      <c r="A44" s="40" t="s">
        <v>841</v>
      </c>
      <c r="B44" s="41" t="s">
        <v>110</v>
      </c>
      <c r="C44" s="41" t="s">
        <v>111</v>
      </c>
      <c r="D44" s="41" t="s">
        <v>74</v>
      </c>
      <c r="E44" s="41" t="s">
        <v>75</v>
      </c>
      <c r="F44" s="41" t="s">
        <v>842</v>
      </c>
      <c r="G44" s="41" t="s">
        <v>843</v>
      </c>
      <c r="H44" s="41" t="s">
        <v>844</v>
      </c>
      <c r="I44" s="41" t="s">
        <v>845</v>
      </c>
      <c r="J44" s="41" t="s">
        <v>846</v>
      </c>
      <c r="K44" s="41" t="s">
        <v>847</v>
      </c>
      <c r="L44" s="41" t="s">
        <v>848</v>
      </c>
      <c r="M44" s="41" t="s">
        <v>849</v>
      </c>
      <c r="N44" s="41" t="s">
        <v>850</v>
      </c>
      <c r="O44" s="40" t="s">
        <v>851</v>
      </c>
      <c r="P44" s="41" t="s">
        <v>148</v>
      </c>
      <c r="Q44" s="41" t="s">
        <v>149</v>
      </c>
      <c r="R44" s="41" t="s">
        <v>852</v>
      </c>
      <c r="S44" s="41" t="s">
        <v>284</v>
      </c>
      <c r="T44" s="49">
        <v>1</v>
      </c>
      <c r="U44" s="41" t="s">
        <v>75</v>
      </c>
      <c r="V44" s="41" t="s">
        <v>75</v>
      </c>
      <c r="W44" s="50">
        <v>289</v>
      </c>
      <c r="X44" s="49">
        <v>289</v>
      </c>
      <c r="Y44" s="49">
        <v>0</v>
      </c>
      <c r="Z44" s="50">
        <v>0</v>
      </c>
      <c r="AA44" s="41" t="s">
        <v>75</v>
      </c>
      <c r="AB44" s="50">
        <v>0</v>
      </c>
      <c r="AC44" s="50">
        <v>289</v>
      </c>
      <c r="AD44" s="41" t="s">
        <v>209</v>
      </c>
      <c r="AE44" s="41" t="s">
        <v>853</v>
      </c>
      <c r="AF44" s="41" t="s">
        <v>75</v>
      </c>
      <c r="AG44" s="41" t="s">
        <v>75</v>
      </c>
      <c r="AH44" s="41" t="s">
        <v>75</v>
      </c>
      <c r="AI44" s="41" t="s">
        <v>854</v>
      </c>
      <c r="AJ44" s="41" t="s">
        <v>75</v>
      </c>
      <c r="AK44" s="41" t="s">
        <v>91</v>
      </c>
      <c r="AL44" s="40" t="s">
        <v>92</v>
      </c>
      <c r="AM44" s="41" t="s">
        <v>93</v>
      </c>
      <c r="AN44" s="41" t="s">
        <v>855</v>
      </c>
      <c r="AO44" s="41" t="s">
        <v>75</v>
      </c>
      <c r="AP44" s="41" t="s">
        <v>75</v>
      </c>
      <c r="AQ44" s="41" t="s">
        <v>75</v>
      </c>
      <c r="AR44" s="41" t="s">
        <v>75</v>
      </c>
      <c r="AS44" s="41" t="s">
        <v>75</v>
      </c>
      <c r="AT44" s="41" t="s">
        <v>75</v>
      </c>
      <c r="AU44" s="41" t="s">
        <v>75</v>
      </c>
      <c r="AV44" s="41" t="s">
        <v>856</v>
      </c>
      <c r="AW44" s="41" t="s">
        <v>75</v>
      </c>
      <c r="AX44" s="41" t="s">
        <v>75</v>
      </c>
      <c r="AY44" s="41" t="s">
        <v>857</v>
      </c>
      <c r="AZ44" s="41" t="s">
        <v>858</v>
      </c>
      <c r="BA44" s="41" t="s">
        <v>859</v>
      </c>
      <c r="BB44" s="41" t="s">
        <v>99</v>
      </c>
      <c r="BC44" s="41" t="s">
        <v>159</v>
      </c>
      <c r="BD44" s="41" t="s">
        <v>101</v>
      </c>
      <c r="BE44" s="41" t="s">
        <v>75</v>
      </c>
      <c r="BF44" s="41" t="s">
        <v>130</v>
      </c>
      <c r="BG44" s="41" t="s">
        <v>860</v>
      </c>
      <c r="BH44" s="41" t="s">
        <v>75</v>
      </c>
      <c r="BI44" s="41" t="s">
        <v>102</v>
      </c>
      <c r="BJ44" s="41" t="s">
        <v>861</v>
      </c>
      <c r="BK44" s="41" t="s">
        <v>104</v>
      </c>
      <c r="BL44" s="41" t="s">
        <v>105</v>
      </c>
      <c r="BM44" s="41" t="s">
        <v>75</v>
      </c>
      <c r="BN44" s="41" t="s">
        <v>75</v>
      </c>
      <c r="BO44" s="41" t="s">
        <v>75</v>
      </c>
      <c r="BP44" s="41" t="s">
        <v>75</v>
      </c>
      <c r="BQ44" s="40" t="s">
        <v>862</v>
      </c>
      <c r="BR44" s="41" t="s">
        <v>863</v>
      </c>
      <c r="BS44" s="43" t="s">
        <v>864</v>
      </c>
    </row>
    <row r="45" spans="1:71">
      <c r="A45" s="40" t="s">
        <v>865</v>
      </c>
      <c r="B45" s="41" t="s">
        <v>72</v>
      </c>
      <c r="C45" s="41" t="s">
        <v>73</v>
      </c>
      <c r="D45" s="41" t="s">
        <v>74</v>
      </c>
      <c r="E45" s="41" t="s">
        <v>75</v>
      </c>
      <c r="F45" s="41" t="s">
        <v>174</v>
      </c>
      <c r="G45" s="41" t="s">
        <v>866</v>
      </c>
      <c r="H45" s="41" t="s">
        <v>867</v>
      </c>
      <c r="I45" s="41" t="s">
        <v>79</v>
      </c>
      <c r="J45" s="41" t="s">
        <v>80</v>
      </c>
      <c r="K45" s="41" t="s">
        <v>868</v>
      </c>
      <c r="L45" s="41" t="s">
        <v>869</v>
      </c>
      <c r="M45" s="41" t="s">
        <v>870</v>
      </c>
      <c r="N45" s="41" t="s">
        <v>870</v>
      </c>
      <c r="O45" s="40" t="s">
        <v>871</v>
      </c>
      <c r="P45" s="41" t="s">
        <v>148</v>
      </c>
      <c r="Q45" s="41" t="s">
        <v>149</v>
      </c>
      <c r="R45" s="41" t="s">
        <v>872</v>
      </c>
      <c r="S45" s="41" t="s">
        <v>873</v>
      </c>
      <c r="T45" s="49">
        <v>1</v>
      </c>
      <c r="U45" s="41" t="s">
        <v>75</v>
      </c>
      <c r="V45" s="41" t="s">
        <v>75</v>
      </c>
      <c r="W45" s="50">
        <v>199</v>
      </c>
      <c r="X45" s="49">
        <v>199</v>
      </c>
      <c r="Y45" s="49">
        <v>0</v>
      </c>
      <c r="Z45" s="50">
        <v>0</v>
      </c>
      <c r="AA45" s="41" t="s">
        <v>75</v>
      </c>
      <c r="AB45" s="50">
        <v>0</v>
      </c>
      <c r="AC45" s="50">
        <v>199</v>
      </c>
      <c r="AD45" s="41" t="s">
        <v>209</v>
      </c>
      <c r="AE45" s="41" t="s">
        <v>874</v>
      </c>
      <c r="AF45" s="41" t="s">
        <v>75</v>
      </c>
      <c r="AG45" s="41" t="s">
        <v>75</v>
      </c>
      <c r="AH45" s="41" t="s">
        <v>75</v>
      </c>
      <c r="AI45" s="41" t="s">
        <v>875</v>
      </c>
      <c r="AJ45" s="41" t="s">
        <v>75</v>
      </c>
      <c r="AK45" s="41" t="s">
        <v>91</v>
      </c>
      <c r="AL45" s="40" t="s">
        <v>92</v>
      </c>
      <c r="AM45" s="41" t="s">
        <v>93</v>
      </c>
      <c r="AN45" s="41" t="s">
        <v>876</v>
      </c>
      <c r="AO45" s="41" t="s">
        <v>75</v>
      </c>
      <c r="AP45" s="41" t="s">
        <v>75</v>
      </c>
      <c r="AQ45" s="41" t="s">
        <v>75</v>
      </c>
      <c r="AR45" s="41" t="s">
        <v>75</v>
      </c>
      <c r="AS45" s="41" t="s">
        <v>75</v>
      </c>
      <c r="AT45" s="41" t="s">
        <v>75</v>
      </c>
      <c r="AU45" s="41" t="s">
        <v>75</v>
      </c>
      <c r="AV45" s="41" t="s">
        <v>877</v>
      </c>
      <c r="AW45" s="41" t="s">
        <v>75</v>
      </c>
      <c r="AX45" s="41" t="s">
        <v>75</v>
      </c>
      <c r="AY45" s="41" t="s">
        <v>878</v>
      </c>
      <c r="AZ45" s="41" t="s">
        <v>879</v>
      </c>
      <c r="BA45" s="41" t="s">
        <v>880</v>
      </c>
      <c r="BB45" s="41" t="s">
        <v>99</v>
      </c>
      <c r="BC45" s="41" t="s">
        <v>100</v>
      </c>
      <c r="BD45" s="41" t="s">
        <v>101</v>
      </c>
      <c r="BE45" s="41" t="s">
        <v>75</v>
      </c>
      <c r="BF45" s="41" t="s">
        <v>75</v>
      </c>
      <c r="BG45" s="41" t="s">
        <v>75</v>
      </c>
      <c r="BH45" s="41" t="s">
        <v>75</v>
      </c>
      <c r="BI45" s="41" t="s">
        <v>102</v>
      </c>
      <c r="BJ45" s="41" t="s">
        <v>881</v>
      </c>
      <c r="BK45" s="41" t="s">
        <v>104</v>
      </c>
      <c r="BL45" s="41" t="s">
        <v>105</v>
      </c>
      <c r="BM45" s="41" t="s">
        <v>75</v>
      </c>
      <c r="BN45" s="41" t="s">
        <v>75</v>
      </c>
      <c r="BO45" s="41" t="s">
        <v>75</v>
      </c>
      <c r="BP45" s="41" t="s">
        <v>75</v>
      </c>
      <c r="BQ45" s="40" t="s">
        <v>882</v>
      </c>
      <c r="BR45" s="41" t="s">
        <v>776</v>
      </c>
      <c r="BS45" s="43" t="s">
        <v>777</v>
      </c>
    </row>
    <row r="46" spans="1:71">
      <c r="A46" s="40" t="s">
        <v>883</v>
      </c>
      <c r="B46" s="41" t="s">
        <v>110</v>
      </c>
      <c r="C46" s="41" t="s">
        <v>111</v>
      </c>
      <c r="D46" s="41" t="s">
        <v>74</v>
      </c>
      <c r="E46" s="41" t="s">
        <v>75</v>
      </c>
      <c r="F46" s="41" t="s">
        <v>884</v>
      </c>
      <c r="G46" s="41" t="s">
        <v>885</v>
      </c>
      <c r="H46" s="41" t="s">
        <v>886</v>
      </c>
      <c r="I46" s="41" t="s">
        <v>887</v>
      </c>
      <c r="J46" s="41" t="s">
        <v>888</v>
      </c>
      <c r="K46" s="41" t="s">
        <v>889</v>
      </c>
      <c r="L46" s="41" t="s">
        <v>890</v>
      </c>
      <c r="M46" s="41" t="s">
        <v>786</v>
      </c>
      <c r="N46" s="41" t="s">
        <v>787</v>
      </c>
      <c r="O46" s="40" t="s">
        <v>788</v>
      </c>
      <c r="P46" s="41" t="s">
        <v>148</v>
      </c>
      <c r="Q46" s="41" t="s">
        <v>149</v>
      </c>
      <c r="R46" s="41" t="s">
        <v>789</v>
      </c>
      <c r="S46" s="41" t="s">
        <v>284</v>
      </c>
      <c r="T46" s="49">
        <v>1</v>
      </c>
      <c r="U46" s="41" t="s">
        <v>75</v>
      </c>
      <c r="V46" s="41" t="s">
        <v>75</v>
      </c>
      <c r="W46" s="50">
        <v>199</v>
      </c>
      <c r="X46" s="49">
        <v>199</v>
      </c>
      <c r="Y46" s="49">
        <v>0</v>
      </c>
      <c r="Z46" s="50">
        <v>0</v>
      </c>
      <c r="AA46" s="41" t="s">
        <v>75</v>
      </c>
      <c r="AB46" s="50">
        <v>0</v>
      </c>
      <c r="AC46" s="50">
        <v>199</v>
      </c>
      <c r="AD46" s="41" t="s">
        <v>88</v>
      </c>
      <c r="AE46" s="41" t="s">
        <v>891</v>
      </c>
      <c r="AF46" s="41" t="s">
        <v>75</v>
      </c>
      <c r="AG46" s="41" t="s">
        <v>75</v>
      </c>
      <c r="AH46" s="41" t="s">
        <v>75</v>
      </c>
      <c r="AI46" s="41" t="s">
        <v>892</v>
      </c>
      <c r="AJ46" s="41" t="s">
        <v>75</v>
      </c>
      <c r="AK46" s="41" t="s">
        <v>91</v>
      </c>
      <c r="AL46" s="40" t="s">
        <v>92</v>
      </c>
      <c r="AM46" s="41" t="s">
        <v>93</v>
      </c>
      <c r="AN46" s="41" t="s">
        <v>893</v>
      </c>
      <c r="AO46" s="41" t="s">
        <v>75</v>
      </c>
      <c r="AP46" s="41" t="s">
        <v>75</v>
      </c>
      <c r="AQ46" s="41" t="s">
        <v>75</v>
      </c>
      <c r="AR46" s="41" t="s">
        <v>75</v>
      </c>
      <c r="AS46" s="41" t="s">
        <v>75</v>
      </c>
      <c r="AT46" s="41" t="s">
        <v>75</v>
      </c>
      <c r="AU46" s="41" t="s">
        <v>75</v>
      </c>
      <c r="AV46" s="41" t="s">
        <v>875</v>
      </c>
      <c r="AW46" s="41" t="s">
        <v>75</v>
      </c>
      <c r="AX46" s="41" t="s">
        <v>75</v>
      </c>
      <c r="AY46" s="41" t="s">
        <v>894</v>
      </c>
      <c r="AZ46" s="41" t="s">
        <v>895</v>
      </c>
      <c r="BA46" s="41" t="s">
        <v>75</v>
      </c>
      <c r="BB46" s="41" t="s">
        <v>99</v>
      </c>
      <c r="BC46" s="41" t="s">
        <v>75</v>
      </c>
      <c r="BD46" s="41" t="s">
        <v>101</v>
      </c>
      <c r="BE46" s="41" t="s">
        <v>75</v>
      </c>
      <c r="BF46" s="41" t="s">
        <v>130</v>
      </c>
      <c r="BG46" s="41" t="s">
        <v>896</v>
      </c>
      <c r="BH46" s="41" t="s">
        <v>75</v>
      </c>
      <c r="BI46" s="41" t="s">
        <v>102</v>
      </c>
      <c r="BJ46" s="41" t="s">
        <v>897</v>
      </c>
      <c r="BK46" s="41" t="s">
        <v>104</v>
      </c>
      <c r="BL46" s="41" t="s">
        <v>105</v>
      </c>
      <c r="BM46" s="41" t="s">
        <v>75</v>
      </c>
      <c r="BN46" s="41" t="s">
        <v>75</v>
      </c>
      <c r="BO46" s="41" t="s">
        <v>75</v>
      </c>
      <c r="BP46" s="41" t="s">
        <v>75</v>
      </c>
      <c r="BQ46" s="40" t="s">
        <v>798</v>
      </c>
      <c r="BR46" s="41" t="s">
        <v>776</v>
      </c>
      <c r="BS46" s="43" t="s">
        <v>777</v>
      </c>
    </row>
    <row r="47" spans="1:71">
      <c r="A47" s="40" t="s">
        <v>898</v>
      </c>
      <c r="B47" s="41" t="s">
        <v>72</v>
      </c>
      <c r="C47" s="41" t="s">
        <v>73</v>
      </c>
      <c r="D47" s="41" t="s">
        <v>74</v>
      </c>
      <c r="E47" s="41" t="s">
        <v>75</v>
      </c>
      <c r="F47" s="41" t="s">
        <v>899</v>
      </c>
      <c r="G47" s="41" t="s">
        <v>900</v>
      </c>
      <c r="H47" s="41" t="s">
        <v>901</v>
      </c>
      <c r="I47" s="41" t="s">
        <v>115</v>
      </c>
      <c r="J47" s="41" t="s">
        <v>902</v>
      </c>
      <c r="K47" s="41" t="s">
        <v>903</v>
      </c>
      <c r="L47" s="41" t="s">
        <v>904</v>
      </c>
      <c r="M47" s="41" t="s">
        <v>905</v>
      </c>
      <c r="N47" s="41" t="s">
        <v>906</v>
      </c>
      <c r="O47" s="40" t="s">
        <v>907</v>
      </c>
      <c r="P47" s="41" t="s">
        <v>148</v>
      </c>
      <c r="Q47" s="41" t="s">
        <v>149</v>
      </c>
      <c r="R47" s="41" t="s">
        <v>908</v>
      </c>
      <c r="S47" s="41" t="s">
        <v>493</v>
      </c>
      <c r="T47" s="49">
        <v>1</v>
      </c>
      <c r="U47" s="41" t="s">
        <v>75</v>
      </c>
      <c r="V47" s="41" t="s">
        <v>75</v>
      </c>
      <c r="W47" s="50">
        <v>179</v>
      </c>
      <c r="X47" s="49">
        <v>179</v>
      </c>
      <c r="Y47" s="49">
        <v>0</v>
      </c>
      <c r="Z47" s="50">
        <v>0</v>
      </c>
      <c r="AA47" s="41" t="s">
        <v>75</v>
      </c>
      <c r="AB47" s="50">
        <v>0</v>
      </c>
      <c r="AC47" s="50">
        <v>179</v>
      </c>
      <c r="AD47" s="41" t="s">
        <v>209</v>
      </c>
      <c r="AE47" s="41" t="s">
        <v>909</v>
      </c>
      <c r="AF47" s="41" t="s">
        <v>75</v>
      </c>
      <c r="AG47" s="41" t="s">
        <v>75</v>
      </c>
      <c r="AH47" s="41" t="s">
        <v>75</v>
      </c>
      <c r="AI47" s="41" t="s">
        <v>910</v>
      </c>
      <c r="AJ47" s="41" t="s">
        <v>75</v>
      </c>
      <c r="AK47" s="41" t="s">
        <v>91</v>
      </c>
      <c r="AL47" s="40" t="s">
        <v>92</v>
      </c>
      <c r="AM47" s="41" t="s">
        <v>93</v>
      </c>
      <c r="AN47" s="41" t="s">
        <v>911</v>
      </c>
      <c r="AO47" s="41" t="s">
        <v>75</v>
      </c>
      <c r="AP47" s="41" t="s">
        <v>75</v>
      </c>
      <c r="AQ47" s="41" t="s">
        <v>75</v>
      </c>
      <c r="AR47" s="41" t="s">
        <v>75</v>
      </c>
      <c r="AS47" s="41" t="s">
        <v>75</v>
      </c>
      <c r="AT47" s="41" t="s">
        <v>75</v>
      </c>
      <c r="AU47" s="41" t="s">
        <v>75</v>
      </c>
      <c r="AV47" s="41" t="s">
        <v>912</v>
      </c>
      <c r="AW47" s="41" t="s">
        <v>75</v>
      </c>
      <c r="AX47" s="41" t="s">
        <v>75</v>
      </c>
      <c r="AY47" s="41" t="s">
        <v>913</v>
      </c>
      <c r="AZ47" s="41" t="s">
        <v>914</v>
      </c>
      <c r="BA47" s="41" t="s">
        <v>915</v>
      </c>
      <c r="BB47" s="41" t="s">
        <v>99</v>
      </c>
      <c r="BC47" s="41" t="s">
        <v>159</v>
      </c>
      <c r="BD47" s="41" t="s">
        <v>101</v>
      </c>
      <c r="BE47" s="41" t="s">
        <v>75</v>
      </c>
      <c r="BF47" s="41" t="s">
        <v>75</v>
      </c>
      <c r="BG47" s="41" t="s">
        <v>75</v>
      </c>
      <c r="BH47" s="41" t="s">
        <v>75</v>
      </c>
      <c r="BI47" s="41" t="s">
        <v>102</v>
      </c>
      <c r="BJ47" s="41" t="s">
        <v>916</v>
      </c>
      <c r="BK47" s="41" t="s">
        <v>104</v>
      </c>
      <c r="BL47" s="41" t="s">
        <v>105</v>
      </c>
      <c r="BM47" s="41" t="s">
        <v>75</v>
      </c>
      <c r="BN47" s="41" t="s">
        <v>75</v>
      </c>
      <c r="BO47" s="41" t="s">
        <v>75</v>
      </c>
      <c r="BP47" s="41" t="s">
        <v>75</v>
      </c>
      <c r="BQ47" s="40" t="s">
        <v>917</v>
      </c>
      <c r="BR47" s="41" t="s">
        <v>444</v>
      </c>
      <c r="BS47" s="43" t="s">
        <v>445</v>
      </c>
    </row>
    <row r="48" spans="1:71">
      <c r="A48" s="40" t="s">
        <v>918</v>
      </c>
      <c r="B48" s="41" t="s">
        <v>110</v>
      </c>
      <c r="C48" s="41" t="s">
        <v>111</v>
      </c>
      <c r="D48" s="41" t="s">
        <v>74</v>
      </c>
      <c r="E48" s="41" t="s">
        <v>75</v>
      </c>
      <c r="F48" s="41" t="s">
        <v>842</v>
      </c>
      <c r="G48" s="41" t="s">
        <v>919</v>
      </c>
      <c r="H48" s="41" t="s">
        <v>920</v>
      </c>
      <c r="I48" s="41" t="s">
        <v>115</v>
      </c>
      <c r="J48" s="41" t="s">
        <v>567</v>
      </c>
      <c r="K48" s="41" t="s">
        <v>921</v>
      </c>
      <c r="L48" s="41" t="s">
        <v>922</v>
      </c>
      <c r="M48" s="41" t="s">
        <v>923</v>
      </c>
      <c r="N48" s="41" t="s">
        <v>924</v>
      </c>
      <c r="O48" s="40" t="s">
        <v>925</v>
      </c>
      <c r="P48" s="41" t="s">
        <v>148</v>
      </c>
      <c r="Q48" s="41" t="s">
        <v>149</v>
      </c>
      <c r="R48" s="41" t="s">
        <v>926</v>
      </c>
      <c r="S48" s="41" t="s">
        <v>927</v>
      </c>
      <c r="T48" s="49">
        <v>1</v>
      </c>
      <c r="U48" s="41" t="s">
        <v>75</v>
      </c>
      <c r="V48" s="41" t="s">
        <v>75</v>
      </c>
      <c r="W48" s="50">
        <v>179</v>
      </c>
      <c r="X48" s="49">
        <v>179</v>
      </c>
      <c r="Y48" s="49">
        <v>0</v>
      </c>
      <c r="Z48" s="50">
        <v>0</v>
      </c>
      <c r="AA48" s="41" t="s">
        <v>75</v>
      </c>
      <c r="AB48" s="50">
        <v>0</v>
      </c>
      <c r="AC48" s="50">
        <v>179</v>
      </c>
      <c r="AD48" s="41" t="s">
        <v>209</v>
      </c>
      <c r="AE48" s="41" t="s">
        <v>928</v>
      </c>
      <c r="AF48" s="41" t="s">
        <v>75</v>
      </c>
      <c r="AG48" s="41" t="s">
        <v>75</v>
      </c>
      <c r="AH48" s="41" t="s">
        <v>75</v>
      </c>
      <c r="AI48" s="41" t="s">
        <v>929</v>
      </c>
      <c r="AJ48" s="41" t="s">
        <v>75</v>
      </c>
      <c r="AK48" s="41" t="s">
        <v>91</v>
      </c>
      <c r="AL48" s="40" t="s">
        <v>92</v>
      </c>
      <c r="AM48" s="41" t="s">
        <v>93</v>
      </c>
      <c r="AN48" s="41" t="s">
        <v>930</v>
      </c>
      <c r="AO48" s="41" t="s">
        <v>75</v>
      </c>
      <c r="AP48" s="41" t="s">
        <v>75</v>
      </c>
      <c r="AQ48" s="41" t="s">
        <v>75</v>
      </c>
      <c r="AR48" s="41" t="s">
        <v>75</v>
      </c>
      <c r="AS48" s="41" t="s">
        <v>75</v>
      </c>
      <c r="AT48" s="41" t="s">
        <v>75</v>
      </c>
      <c r="AU48" s="41" t="s">
        <v>75</v>
      </c>
      <c r="AV48" s="41" t="s">
        <v>931</v>
      </c>
      <c r="AW48" s="41" t="s">
        <v>75</v>
      </c>
      <c r="AX48" s="41" t="s">
        <v>75</v>
      </c>
      <c r="AY48" s="41" t="s">
        <v>932</v>
      </c>
      <c r="AZ48" s="41" t="s">
        <v>933</v>
      </c>
      <c r="BA48" s="41" t="s">
        <v>75</v>
      </c>
      <c r="BB48" s="41" t="s">
        <v>99</v>
      </c>
      <c r="BC48" s="41" t="s">
        <v>75</v>
      </c>
      <c r="BD48" s="41" t="s">
        <v>101</v>
      </c>
      <c r="BE48" s="41" t="s">
        <v>75</v>
      </c>
      <c r="BF48" s="41" t="s">
        <v>130</v>
      </c>
      <c r="BG48" s="41" t="s">
        <v>934</v>
      </c>
      <c r="BH48" s="41" t="s">
        <v>75</v>
      </c>
      <c r="BI48" s="41" t="s">
        <v>102</v>
      </c>
      <c r="BJ48" s="41" t="s">
        <v>935</v>
      </c>
      <c r="BK48" s="41" t="s">
        <v>104</v>
      </c>
      <c r="BL48" s="41" t="s">
        <v>105</v>
      </c>
      <c r="BM48" s="41" t="s">
        <v>75</v>
      </c>
      <c r="BN48" s="41" t="s">
        <v>75</v>
      </c>
      <c r="BO48" s="41" t="s">
        <v>75</v>
      </c>
      <c r="BP48" s="41" t="s">
        <v>75</v>
      </c>
      <c r="BQ48" s="40" t="s">
        <v>936</v>
      </c>
      <c r="BR48" s="41" t="s">
        <v>444</v>
      </c>
      <c r="BS48" s="43" t="s">
        <v>445</v>
      </c>
    </row>
    <row r="49" spans="1:71">
      <c r="A49" s="40" t="s">
        <v>937</v>
      </c>
      <c r="B49" s="41" t="s">
        <v>110</v>
      </c>
      <c r="C49" s="41" t="s">
        <v>111</v>
      </c>
      <c r="D49" s="41" t="s">
        <v>74</v>
      </c>
      <c r="E49" s="41" t="s">
        <v>75</v>
      </c>
      <c r="F49" s="41" t="s">
        <v>938</v>
      </c>
      <c r="G49" s="41" t="s">
        <v>939</v>
      </c>
      <c r="H49" s="41" t="s">
        <v>940</v>
      </c>
      <c r="I49" s="41" t="s">
        <v>450</v>
      </c>
      <c r="J49" s="41" t="s">
        <v>451</v>
      </c>
      <c r="K49" s="41" t="s">
        <v>941</v>
      </c>
      <c r="L49" s="41" t="s">
        <v>942</v>
      </c>
      <c r="M49" s="41" t="s">
        <v>923</v>
      </c>
      <c r="N49" s="41" t="s">
        <v>924</v>
      </c>
      <c r="O49" s="40" t="s">
        <v>925</v>
      </c>
      <c r="P49" s="41" t="s">
        <v>148</v>
      </c>
      <c r="Q49" s="41" t="s">
        <v>149</v>
      </c>
      <c r="R49" s="41" t="s">
        <v>926</v>
      </c>
      <c r="S49" s="41" t="s">
        <v>927</v>
      </c>
      <c r="T49" s="49">
        <v>1</v>
      </c>
      <c r="U49" s="41" t="s">
        <v>75</v>
      </c>
      <c r="V49" s="41" t="s">
        <v>75</v>
      </c>
      <c r="W49" s="50">
        <v>179</v>
      </c>
      <c r="X49" s="49">
        <v>179</v>
      </c>
      <c r="Y49" s="49">
        <v>0</v>
      </c>
      <c r="Z49" s="50">
        <v>0</v>
      </c>
      <c r="AA49" s="41" t="s">
        <v>75</v>
      </c>
      <c r="AB49" s="50">
        <v>0</v>
      </c>
      <c r="AC49" s="50">
        <v>179</v>
      </c>
      <c r="AD49" s="41" t="s">
        <v>209</v>
      </c>
      <c r="AE49" s="41" t="s">
        <v>943</v>
      </c>
      <c r="AF49" s="41" t="s">
        <v>75</v>
      </c>
      <c r="AG49" s="41" t="s">
        <v>75</v>
      </c>
      <c r="AH49" s="41" t="s">
        <v>75</v>
      </c>
      <c r="AI49" s="41" t="s">
        <v>944</v>
      </c>
      <c r="AJ49" s="41" t="s">
        <v>75</v>
      </c>
      <c r="AK49" s="41" t="s">
        <v>91</v>
      </c>
      <c r="AL49" s="40" t="s">
        <v>92</v>
      </c>
      <c r="AM49" s="41" t="s">
        <v>93</v>
      </c>
      <c r="AN49" s="41" t="s">
        <v>945</v>
      </c>
      <c r="AO49" s="41" t="s">
        <v>75</v>
      </c>
      <c r="AP49" s="41" t="s">
        <v>75</v>
      </c>
      <c r="AQ49" s="41" t="s">
        <v>75</v>
      </c>
      <c r="AR49" s="41" t="s">
        <v>75</v>
      </c>
      <c r="AS49" s="41" t="s">
        <v>75</v>
      </c>
      <c r="AT49" s="41" t="s">
        <v>75</v>
      </c>
      <c r="AU49" s="41" t="s">
        <v>75</v>
      </c>
      <c r="AV49" s="41" t="s">
        <v>946</v>
      </c>
      <c r="AW49" s="41" t="s">
        <v>75</v>
      </c>
      <c r="AX49" s="41" t="s">
        <v>75</v>
      </c>
      <c r="AY49" s="41" t="s">
        <v>947</v>
      </c>
      <c r="AZ49" s="41" t="s">
        <v>948</v>
      </c>
      <c r="BA49" s="41" t="s">
        <v>75</v>
      </c>
      <c r="BB49" s="41" t="s">
        <v>99</v>
      </c>
      <c r="BC49" s="41" t="s">
        <v>75</v>
      </c>
      <c r="BD49" s="41" t="s">
        <v>101</v>
      </c>
      <c r="BE49" s="41" t="s">
        <v>75</v>
      </c>
      <c r="BF49" s="41" t="s">
        <v>130</v>
      </c>
      <c r="BG49" s="41" t="s">
        <v>949</v>
      </c>
      <c r="BH49" s="41" t="s">
        <v>75</v>
      </c>
      <c r="BI49" s="41" t="s">
        <v>102</v>
      </c>
      <c r="BJ49" s="41" t="s">
        <v>950</v>
      </c>
      <c r="BK49" s="41" t="s">
        <v>104</v>
      </c>
      <c r="BL49" s="41" t="s">
        <v>105</v>
      </c>
      <c r="BM49" s="41" t="s">
        <v>75</v>
      </c>
      <c r="BN49" s="41" t="s">
        <v>75</v>
      </c>
      <c r="BO49" s="41" t="s">
        <v>75</v>
      </c>
      <c r="BP49" s="41" t="s">
        <v>75</v>
      </c>
      <c r="BQ49" s="40" t="s">
        <v>936</v>
      </c>
      <c r="BR49" s="41" t="s">
        <v>444</v>
      </c>
      <c r="BS49" s="43" t="s">
        <v>445</v>
      </c>
    </row>
    <row r="50" spans="1:71">
      <c r="A50" s="40" t="s">
        <v>951</v>
      </c>
      <c r="B50" s="41" t="s">
        <v>72</v>
      </c>
      <c r="C50" s="41" t="s">
        <v>73</v>
      </c>
      <c r="D50" s="41" t="s">
        <v>74</v>
      </c>
      <c r="E50" s="41" t="s">
        <v>75</v>
      </c>
      <c r="F50" s="41" t="s">
        <v>952</v>
      </c>
      <c r="G50" s="41" t="s">
        <v>953</v>
      </c>
      <c r="H50" s="41" t="s">
        <v>954</v>
      </c>
      <c r="I50" s="41" t="s">
        <v>226</v>
      </c>
      <c r="J50" s="41" t="s">
        <v>227</v>
      </c>
      <c r="K50" s="41" t="s">
        <v>955</v>
      </c>
      <c r="L50" s="41" t="s">
        <v>956</v>
      </c>
      <c r="M50" s="41" t="s">
        <v>431</v>
      </c>
      <c r="N50" s="41" t="s">
        <v>432</v>
      </c>
      <c r="O50" s="40" t="s">
        <v>433</v>
      </c>
      <c r="P50" s="41" t="s">
        <v>148</v>
      </c>
      <c r="Q50" s="41" t="s">
        <v>149</v>
      </c>
      <c r="R50" s="41" t="s">
        <v>434</v>
      </c>
      <c r="S50" s="41" t="s">
        <v>343</v>
      </c>
      <c r="T50" s="49">
        <v>1</v>
      </c>
      <c r="U50" s="41" t="s">
        <v>75</v>
      </c>
      <c r="V50" s="41" t="s">
        <v>75</v>
      </c>
      <c r="W50" s="50">
        <v>179</v>
      </c>
      <c r="X50" s="49">
        <v>179</v>
      </c>
      <c r="Y50" s="49">
        <v>0</v>
      </c>
      <c r="Z50" s="50">
        <v>0</v>
      </c>
      <c r="AA50" s="41" t="s">
        <v>75</v>
      </c>
      <c r="AB50" s="50">
        <v>0</v>
      </c>
      <c r="AC50" s="50">
        <v>179</v>
      </c>
      <c r="AD50" s="41" t="s">
        <v>209</v>
      </c>
      <c r="AE50" s="41" t="s">
        <v>957</v>
      </c>
      <c r="AF50" s="41" t="s">
        <v>75</v>
      </c>
      <c r="AG50" s="41" t="s">
        <v>75</v>
      </c>
      <c r="AH50" s="41" t="s">
        <v>75</v>
      </c>
      <c r="AI50" s="41" t="s">
        <v>958</v>
      </c>
      <c r="AJ50" s="41" t="s">
        <v>75</v>
      </c>
      <c r="AK50" s="41" t="s">
        <v>91</v>
      </c>
      <c r="AL50" s="40" t="s">
        <v>92</v>
      </c>
      <c r="AM50" s="41" t="s">
        <v>93</v>
      </c>
      <c r="AN50" s="41" t="s">
        <v>959</v>
      </c>
      <c r="AO50" s="41" t="s">
        <v>75</v>
      </c>
      <c r="AP50" s="41" t="s">
        <v>75</v>
      </c>
      <c r="AQ50" s="41" t="s">
        <v>75</v>
      </c>
      <c r="AR50" s="41" t="s">
        <v>75</v>
      </c>
      <c r="AS50" s="41" t="s">
        <v>75</v>
      </c>
      <c r="AT50" s="41" t="s">
        <v>75</v>
      </c>
      <c r="AU50" s="41" t="s">
        <v>75</v>
      </c>
      <c r="AV50" s="41" t="s">
        <v>960</v>
      </c>
      <c r="AW50" s="41" t="s">
        <v>75</v>
      </c>
      <c r="AX50" s="41" t="s">
        <v>75</v>
      </c>
      <c r="AY50" s="41" t="s">
        <v>961</v>
      </c>
      <c r="AZ50" s="41" t="s">
        <v>759</v>
      </c>
      <c r="BA50" s="41" t="s">
        <v>760</v>
      </c>
      <c r="BB50" s="41" t="s">
        <v>99</v>
      </c>
      <c r="BC50" s="41" t="s">
        <v>159</v>
      </c>
      <c r="BD50" s="41" t="s">
        <v>101</v>
      </c>
      <c r="BE50" s="41" t="s">
        <v>75</v>
      </c>
      <c r="BF50" s="41" t="s">
        <v>75</v>
      </c>
      <c r="BG50" s="41" t="s">
        <v>75</v>
      </c>
      <c r="BH50" s="41" t="s">
        <v>75</v>
      </c>
      <c r="BI50" s="41" t="s">
        <v>102</v>
      </c>
      <c r="BJ50" s="41" t="s">
        <v>962</v>
      </c>
      <c r="BK50" s="41" t="s">
        <v>104</v>
      </c>
      <c r="BL50" s="41" t="s">
        <v>105</v>
      </c>
      <c r="BM50" s="41" t="s">
        <v>75</v>
      </c>
      <c r="BN50" s="41" t="s">
        <v>75</v>
      </c>
      <c r="BO50" s="41" t="s">
        <v>75</v>
      </c>
      <c r="BP50" s="41" t="s">
        <v>75</v>
      </c>
      <c r="BQ50" s="40" t="s">
        <v>443</v>
      </c>
      <c r="BR50" s="41" t="s">
        <v>444</v>
      </c>
      <c r="BS50" s="43" t="s">
        <v>445</v>
      </c>
    </row>
    <row r="51" spans="1:71">
      <c r="A51" s="40" t="s">
        <v>963</v>
      </c>
      <c r="B51" s="41" t="s">
        <v>72</v>
      </c>
      <c r="C51" s="41" t="s">
        <v>111</v>
      </c>
      <c r="D51" s="41" t="s">
        <v>74</v>
      </c>
      <c r="E51" s="41" t="s">
        <v>75</v>
      </c>
      <c r="F51" s="41" t="s">
        <v>256</v>
      </c>
      <c r="G51" s="41" t="s">
        <v>964</v>
      </c>
      <c r="H51" s="41" t="s">
        <v>965</v>
      </c>
      <c r="I51" s="41" t="s">
        <v>845</v>
      </c>
      <c r="J51" s="41" t="s">
        <v>846</v>
      </c>
      <c r="K51" s="41" t="s">
        <v>966</v>
      </c>
      <c r="L51" s="41" t="s">
        <v>967</v>
      </c>
      <c r="M51" s="41" t="s">
        <v>968</v>
      </c>
      <c r="N51" s="41" t="s">
        <v>969</v>
      </c>
      <c r="O51" s="40" t="s">
        <v>970</v>
      </c>
      <c r="P51" s="41" t="s">
        <v>148</v>
      </c>
      <c r="Q51" s="41" t="s">
        <v>149</v>
      </c>
      <c r="R51" s="41" t="s">
        <v>971</v>
      </c>
      <c r="S51" s="41" t="s">
        <v>183</v>
      </c>
      <c r="T51" s="49">
        <v>1</v>
      </c>
      <c r="U51" s="41" t="s">
        <v>75</v>
      </c>
      <c r="V51" s="41" t="s">
        <v>75</v>
      </c>
      <c r="W51" s="50">
        <v>359</v>
      </c>
      <c r="X51" s="49">
        <v>359</v>
      </c>
      <c r="Y51" s="49">
        <v>0</v>
      </c>
      <c r="Z51" s="50">
        <v>0</v>
      </c>
      <c r="AA51" s="41" t="s">
        <v>75</v>
      </c>
      <c r="AB51" s="50">
        <v>0</v>
      </c>
      <c r="AC51" s="50">
        <v>359</v>
      </c>
      <c r="AD51" s="41" t="s">
        <v>209</v>
      </c>
      <c r="AE51" s="41" t="s">
        <v>972</v>
      </c>
      <c r="AF51" s="41" t="s">
        <v>75</v>
      </c>
      <c r="AG51" s="41" t="s">
        <v>75</v>
      </c>
      <c r="AH51" s="41" t="s">
        <v>75</v>
      </c>
      <c r="AI51" s="41" t="s">
        <v>973</v>
      </c>
      <c r="AJ51" s="41" t="s">
        <v>75</v>
      </c>
      <c r="AK51" s="41" t="s">
        <v>91</v>
      </c>
      <c r="AL51" s="40" t="s">
        <v>92</v>
      </c>
      <c r="AM51" s="41" t="s">
        <v>93</v>
      </c>
      <c r="AN51" s="41" t="s">
        <v>974</v>
      </c>
      <c r="AO51" s="41" t="s">
        <v>75</v>
      </c>
      <c r="AP51" s="41" t="s">
        <v>75</v>
      </c>
      <c r="AQ51" s="41" t="s">
        <v>75</v>
      </c>
      <c r="AR51" s="41" t="s">
        <v>75</v>
      </c>
      <c r="AS51" s="41" t="s">
        <v>75</v>
      </c>
      <c r="AT51" s="41" t="s">
        <v>75</v>
      </c>
      <c r="AU51" s="41" t="s">
        <v>75</v>
      </c>
      <c r="AV51" s="41" t="s">
        <v>975</v>
      </c>
      <c r="AW51" s="41" t="s">
        <v>75</v>
      </c>
      <c r="AX51" s="41" t="s">
        <v>75</v>
      </c>
      <c r="AY51" s="41" t="s">
        <v>976</v>
      </c>
      <c r="AZ51" s="41" t="s">
        <v>977</v>
      </c>
      <c r="BA51" s="41" t="s">
        <v>978</v>
      </c>
      <c r="BB51" s="41" t="s">
        <v>99</v>
      </c>
      <c r="BC51" s="41" t="s">
        <v>100</v>
      </c>
      <c r="BD51" s="41" t="s">
        <v>101</v>
      </c>
      <c r="BE51" s="41" t="s">
        <v>75</v>
      </c>
      <c r="BF51" s="41" t="s">
        <v>130</v>
      </c>
      <c r="BG51" s="41" t="s">
        <v>979</v>
      </c>
      <c r="BH51" s="41" t="s">
        <v>75</v>
      </c>
      <c r="BI51" s="41" t="s">
        <v>102</v>
      </c>
      <c r="BJ51" s="41" t="s">
        <v>980</v>
      </c>
      <c r="BK51" s="41" t="s">
        <v>104</v>
      </c>
      <c r="BL51" s="41" t="s">
        <v>105</v>
      </c>
      <c r="BM51" s="41" t="s">
        <v>75</v>
      </c>
      <c r="BN51" s="41" t="s">
        <v>75</v>
      </c>
      <c r="BO51" s="41" t="s">
        <v>75</v>
      </c>
      <c r="BP51" s="41" t="s">
        <v>75</v>
      </c>
      <c r="BQ51" s="40" t="s">
        <v>981</v>
      </c>
      <c r="BR51" s="41" t="s">
        <v>839</v>
      </c>
      <c r="BS51" s="43" t="s">
        <v>840</v>
      </c>
    </row>
    <row r="52" spans="1:71">
      <c r="A52" s="40" t="s">
        <v>982</v>
      </c>
      <c r="B52" s="41" t="s">
        <v>72</v>
      </c>
      <c r="C52" s="41" t="s">
        <v>73</v>
      </c>
      <c r="D52" s="41" t="s">
        <v>74</v>
      </c>
      <c r="E52" s="41" t="s">
        <v>983</v>
      </c>
      <c r="F52" s="41" t="s">
        <v>952</v>
      </c>
      <c r="G52" s="41" t="s">
        <v>984</v>
      </c>
      <c r="H52" s="41" t="s">
        <v>985</v>
      </c>
      <c r="I52" s="41" t="s">
        <v>276</v>
      </c>
      <c r="J52" s="41" t="s">
        <v>277</v>
      </c>
      <c r="K52" s="41" t="s">
        <v>986</v>
      </c>
      <c r="L52" s="41" t="s">
        <v>987</v>
      </c>
      <c r="M52" s="41" t="s">
        <v>825</v>
      </c>
      <c r="N52" s="41" t="s">
        <v>826</v>
      </c>
      <c r="O52" s="40" t="s">
        <v>827</v>
      </c>
      <c r="P52" s="41" t="s">
        <v>148</v>
      </c>
      <c r="Q52" s="41" t="s">
        <v>149</v>
      </c>
      <c r="R52" s="41" t="s">
        <v>828</v>
      </c>
      <c r="S52" s="41" t="s">
        <v>829</v>
      </c>
      <c r="T52" s="49">
        <v>1</v>
      </c>
      <c r="U52" s="41" t="s">
        <v>75</v>
      </c>
      <c r="V52" s="41" t="s">
        <v>75</v>
      </c>
      <c r="W52" s="50">
        <v>359</v>
      </c>
      <c r="X52" s="49">
        <v>359</v>
      </c>
      <c r="Y52" s="49">
        <v>0</v>
      </c>
      <c r="Z52" s="50">
        <v>0</v>
      </c>
      <c r="AA52" s="41" t="s">
        <v>75</v>
      </c>
      <c r="AB52" s="50">
        <v>0</v>
      </c>
      <c r="AC52" s="50">
        <v>359</v>
      </c>
      <c r="AD52" s="41" t="s">
        <v>88</v>
      </c>
      <c r="AE52" s="41" t="s">
        <v>988</v>
      </c>
      <c r="AF52" s="41" t="s">
        <v>75</v>
      </c>
      <c r="AG52" s="41" t="s">
        <v>75</v>
      </c>
      <c r="AH52" s="41" t="s">
        <v>75</v>
      </c>
      <c r="AI52" s="41" t="s">
        <v>989</v>
      </c>
      <c r="AJ52" s="41" t="s">
        <v>75</v>
      </c>
      <c r="AK52" s="41" t="s">
        <v>91</v>
      </c>
      <c r="AL52" s="40" t="s">
        <v>92</v>
      </c>
      <c r="AM52" s="41" t="s">
        <v>93</v>
      </c>
      <c r="AN52" s="41" t="s">
        <v>990</v>
      </c>
      <c r="AO52" s="41" t="s">
        <v>75</v>
      </c>
      <c r="AP52" s="41" t="s">
        <v>75</v>
      </c>
      <c r="AQ52" s="41" t="s">
        <v>75</v>
      </c>
      <c r="AR52" s="41" t="s">
        <v>75</v>
      </c>
      <c r="AS52" s="41" t="s">
        <v>75</v>
      </c>
      <c r="AT52" s="41" t="s">
        <v>75</v>
      </c>
      <c r="AU52" s="41" t="s">
        <v>75</v>
      </c>
      <c r="AV52" s="41" t="s">
        <v>991</v>
      </c>
      <c r="AW52" s="41" t="s">
        <v>75</v>
      </c>
      <c r="AX52" s="41" t="s">
        <v>75</v>
      </c>
      <c r="AY52" s="41" t="s">
        <v>992</v>
      </c>
      <c r="AZ52" s="41" t="s">
        <v>993</v>
      </c>
      <c r="BA52" s="41" t="s">
        <v>994</v>
      </c>
      <c r="BB52" s="41" t="s">
        <v>99</v>
      </c>
      <c r="BC52" s="41" t="s">
        <v>100</v>
      </c>
      <c r="BD52" s="41" t="s">
        <v>101</v>
      </c>
      <c r="BE52" s="41" t="s">
        <v>75</v>
      </c>
      <c r="BF52" s="41" t="s">
        <v>75</v>
      </c>
      <c r="BG52" s="41" t="s">
        <v>75</v>
      </c>
      <c r="BH52" s="41" t="s">
        <v>75</v>
      </c>
      <c r="BI52" s="41" t="s">
        <v>102</v>
      </c>
      <c r="BJ52" s="41" t="s">
        <v>995</v>
      </c>
      <c r="BK52" s="41" t="s">
        <v>104</v>
      </c>
      <c r="BL52" s="41" t="s">
        <v>105</v>
      </c>
      <c r="BM52" s="41" t="s">
        <v>75</v>
      </c>
      <c r="BN52" s="41" t="s">
        <v>75</v>
      </c>
      <c r="BO52" s="41" t="s">
        <v>75</v>
      </c>
      <c r="BP52" s="41" t="s">
        <v>75</v>
      </c>
      <c r="BQ52" s="40" t="s">
        <v>838</v>
      </c>
      <c r="BR52" s="41" t="s">
        <v>839</v>
      </c>
      <c r="BS52" s="43" t="s">
        <v>840</v>
      </c>
    </row>
    <row r="53" spans="1:71">
      <c r="A53" s="40" t="s">
        <v>996</v>
      </c>
      <c r="B53" s="41" t="s">
        <v>72</v>
      </c>
      <c r="C53" s="41" t="s">
        <v>111</v>
      </c>
      <c r="D53" s="41" t="s">
        <v>74</v>
      </c>
      <c r="E53" s="41" t="s">
        <v>75</v>
      </c>
      <c r="F53" s="41" t="s">
        <v>256</v>
      </c>
      <c r="G53" s="41" t="s">
        <v>964</v>
      </c>
      <c r="H53" s="41" t="s">
        <v>965</v>
      </c>
      <c r="I53" s="41" t="s">
        <v>845</v>
      </c>
      <c r="J53" s="41" t="s">
        <v>846</v>
      </c>
      <c r="K53" s="41" t="s">
        <v>966</v>
      </c>
      <c r="L53" s="41" t="s">
        <v>967</v>
      </c>
      <c r="M53" s="41" t="s">
        <v>825</v>
      </c>
      <c r="N53" s="41" t="s">
        <v>826</v>
      </c>
      <c r="O53" s="40" t="s">
        <v>827</v>
      </c>
      <c r="P53" s="41" t="s">
        <v>148</v>
      </c>
      <c r="Q53" s="41" t="s">
        <v>149</v>
      </c>
      <c r="R53" s="41" t="s">
        <v>828</v>
      </c>
      <c r="S53" s="41" t="s">
        <v>829</v>
      </c>
      <c r="T53" s="49">
        <v>1</v>
      </c>
      <c r="U53" s="41" t="s">
        <v>75</v>
      </c>
      <c r="V53" s="41" t="s">
        <v>75</v>
      </c>
      <c r="W53" s="50">
        <v>359</v>
      </c>
      <c r="X53" s="49">
        <v>359</v>
      </c>
      <c r="Y53" s="49">
        <v>0</v>
      </c>
      <c r="Z53" s="50">
        <v>0</v>
      </c>
      <c r="AA53" s="41" t="s">
        <v>75</v>
      </c>
      <c r="AB53" s="50">
        <v>0</v>
      </c>
      <c r="AC53" s="50">
        <v>359</v>
      </c>
      <c r="AD53" s="41" t="s">
        <v>209</v>
      </c>
      <c r="AE53" s="41" t="s">
        <v>997</v>
      </c>
      <c r="AF53" s="41" t="s">
        <v>75</v>
      </c>
      <c r="AG53" s="41" t="s">
        <v>75</v>
      </c>
      <c r="AH53" s="41" t="s">
        <v>75</v>
      </c>
      <c r="AI53" s="41" t="s">
        <v>998</v>
      </c>
      <c r="AJ53" s="41" t="s">
        <v>75</v>
      </c>
      <c r="AK53" s="41" t="s">
        <v>91</v>
      </c>
      <c r="AL53" s="40" t="s">
        <v>92</v>
      </c>
      <c r="AM53" s="41" t="s">
        <v>93</v>
      </c>
      <c r="AN53" s="41" t="s">
        <v>999</v>
      </c>
      <c r="AO53" s="41" t="s">
        <v>75</v>
      </c>
      <c r="AP53" s="41" t="s">
        <v>75</v>
      </c>
      <c r="AQ53" s="41" t="s">
        <v>75</v>
      </c>
      <c r="AR53" s="41" t="s">
        <v>75</v>
      </c>
      <c r="AS53" s="41" t="s">
        <v>75</v>
      </c>
      <c r="AT53" s="41" t="s">
        <v>75</v>
      </c>
      <c r="AU53" s="41" t="s">
        <v>75</v>
      </c>
      <c r="AV53" s="41" t="s">
        <v>1000</v>
      </c>
      <c r="AW53" s="41" t="s">
        <v>75</v>
      </c>
      <c r="AX53" s="41" t="s">
        <v>75</v>
      </c>
      <c r="AY53" s="41" t="s">
        <v>1001</v>
      </c>
      <c r="AZ53" s="41" t="s">
        <v>993</v>
      </c>
      <c r="BA53" s="41" t="s">
        <v>1002</v>
      </c>
      <c r="BB53" s="41" t="s">
        <v>99</v>
      </c>
      <c r="BC53" s="41" t="s">
        <v>100</v>
      </c>
      <c r="BD53" s="41" t="s">
        <v>101</v>
      </c>
      <c r="BE53" s="41" t="s">
        <v>75</v>
      </c>
      <c r="BF53" s="41" t="s">
        <v>130</v>
      </c>
      <c r="BG53" s="41" t="s">
        <v>1003</v>
      </c>
      <c r="BH53" s="41" t="s">
        <v>75</v>
      </c>
      <c r="BI53" s="41" t="s">
        <v>102</v>
      </c>
      <c r="BJ53" s="41" t="s">
        <v>980</v>
      </c>
      <c r="BK53" s="41" t="s">
        <v>104</v>
      </c>
      <c r="BL53" s="41" t="s">
        <v>105</v>
      </c>
      <c r="BM53" s="41" t="s">
        <v>75</v>
      </c>
      <c r="BN53" s="41" t="s">
        <v>75</v>
      </c>
      <c r="BO53" s="41" t="s">
        <v>75</v>
      </c>
      <c r="BP53" s="41" t="s">
        <v>75</v>
      </c>
      <c r="BQ53" s="40" t="s">
        <v>838</v>
      </c>
      <c r="BR53" s="41" t="s">
        <v>839</v>
      </c>
      <c r="BS53" s="43" t="s">
        <v>840</v>
      </c>
    </row>
    <row r="54" spans="1:71">
      <c r="A54" s="40" t="s">
        <v>1004</v>
      </c>
      <c r="B54" s="41" t="s">
        <v>72</v>
      </c>
      <c r="C54" s="41" t="s">
        <v>73</v>
      </c>
      <c r="D54" s="41" t="s">
        <v>74</v>
      </c>
      <c r="E54" s="41" t="s">
        <v>75</v>
      </c>
      <c r="F54" s="41" t="s">
        <v>1005</v>
      </c>
      <c r="G54" s="41" t="s">
        <v>1006</v>
      </c>
      <c r="H54" s="41" t="s">
        <v>1007</v>
      </c>
      <c r="I54" s="41" t="s">
        <v>845</v>
      </c>
      <c r="J54" s="41" t="s">
        <v>846</v>
      </c>
      <c r="K54" s="41" t="s">
        <v>1008</v>
      </c>
      <c r="L54" s="41" t="s">
        <v>1009</v>
      </c>
      <c r="M54" s="41" t="s">
        <v>968</v>
      </c>
      <c r="N54" s="41" t="s">
        <v>969</v>
      </c>
      <c r="O54" s="40" t="s">
        <v>970</v>
      </c>
      <c r="P54" s="41" t="s">
        <v>148</v>
      </c>
      <c r="Q54" s="41" t="s">
        <v>149</v>
      </c>
      <c r="R54" s="41" t="s">
        <v>971</v>
      </c>
      <c r="S54" s="41" t="s">
        <v>183</v>
      </c>
      <c r="T54" s="49">
        <v>1</v>
      </c>
      <c r="U54" s="41" t="s">
        <v>75</v>
      </c>
      <c r="V54" s="41" t="s">
        <v>75</v>
      </c>
      <c r="W54" s="50">
        <v>359</v>
      </c>
      <c r="X54" s="49">
        <v>359</v>
      </c>
      <c r="Y54" s="49">
        <v>0</v>
      </c>
      <c r="Z54" s="50">
        <v>0</v>
      </c>
      <c r="AA54" s="41" t="s">
        <v>75</v>
      </c>
      <c r="AB54" s="50">
        <v>0</v>
      </c>
      <c r="AC54" s="50">
        <v>359</v>
      </c>
      <c r="AD54" s="41" t="s">
        <v>209</v>
      </c>
      <c r="AE54" s="41" t="s">
        <v>1010</v>
      </c>
      <c r="AF54" s="41" t="s">
        <v>75</v>
      </c>
      <c r="AG54" s="41" t="s">
        <v>75</v>
      </c>
      <c r="AH54" s="41" t="s">
        <v>75</v>
      </c>
      <c r="AI54" s="41" t="s">
        <v>1011</v>
      </c>
      <c r="AJ54" s="41" t="s">
        <v>75</v>
      </c>
      <c r="AK54" s="41" t="s">
        <v>91</v>
      </c>
      <c r="AL54" s="40" t="s">
        <v>92</v>
      </c>
      <c r="AM54" s="41" t="s">
        <v>93</v>
      </c>
      <c r="AN54" s="41" t="s">
        <v>1012</v>
      </c>
      <c r="AO54" s="41" t="s">
        <v>75</v>
      </c>
      <c r="AP54" s="41" t="s">
        <v>75</v>
      </c>
      <c r="AQ54" s="41" t="s">
        <v>75</v>
      </c>
      <c r="AR54" s="41" t="s">
        <v>75</v>
      </c>
      <c r="AS54" s="41" t="s">
        <v>75</v>
      </c>
      <c r="AT54" s="41" t="s">
        <v>75</v>
      </c>
      <c r="AU54" s="41" t="s">
        <v>75</v>
      </c>
      <c r="AV54" s="41" t="s">
        <v>1013</v>
      </c>
      <c r="AW54" s="41" t="s">
        <v>75</v>
      </c>
      <c r="AX54" s="41" t="s">
        <v>75</v>
      </c>
      <c r="AY54" s="41" t="s">
        <v>1014</v>
      </c>
      <c r="AZ54" s="41" t="s">
        <v>1015</v>
      </c>
      <c r="BA54" s="41" t="s">
        <v>1016</v>
      </c>
      <c r="BB54" s="41" t="s">
        <v>99</v>
      </c>
      <c r="BC54" s="41" t="s">
        <v>100</v>
      </c>
      <c r="BD54" s="41" t="s">
        <v>101</v>
      </c>
      <c r="BE54" s="41" t="s">
        <v>75</v>
      </c>
      <c r="BF54" s="41" t="s">
        <v>75</v>
      </c>
      <c r="BG54" s="41" t="s">
        <v>75</v>
      </c>
      <c r="BH54" s="41" t="s">
        <v>75</v>
      </c>
      <c r="BI54" s="41" t="s">
        <v>102</v>
      </c>
      <c r="BJ54" s="41" t="s">
        <v>1017</v>
      </c>
      <c r="BK54" s="41" t="s">
        <v>104</v>
      </c>
      <c r="BL54" s="41" t="s">
        <v>105</v>
      </c>
      <c r="BM54" s="41" t="s">
        <v>75</v>
      </c>
      <c r="BN54" s="41" t="s">
        <v>75</v>
      </c>
      <c r="BO54" s="41" t="s">
        <v>75</v>
      </c>
      <c r="BP54" s="41" t="s">
        <v>75</v>
      </c>
      <c r="BQ54" s="40" t="s">
        <v>981</v>
      </c>
      <c r="BR54" s="41" t="s">
        <v>839</v>
      </c>
      <c r="BS54" s="43" t="s">
        <v>840</v>
      </c>
    </row>
    <row r="55" spans="1:71">
      <c r="A55" s="40" t="s">
        <v>1018</v>
      </c>
      <c r="B55" s="41" t="s">
        <v>72</v>
      </c>
      <c r="C55" s="41" t="s">
        <v>111</v>
      </c>
      <c r="D55" s="41" t="s">
        <v>74</v>
      </c>
      <c r="E55" s="41" t="s">
        <v>75</v>
      </c>
      <c r="F55" s="41" t="s">
        <v>1019</v>
      </c>
      <c r="G55" s="41" t="s">
        <v>1020</v>
      </c>
      <c r="H55" s="41" t="s">
        <v>867</v>
      </c>
      <c r="I55" s="41" t="s">
        <v>79</v>
      </c>
      <c r="J55" s="41" t="s">
        <v>80</v>
      </c>
      <c r="K55" s="41" t="s">
        <v>868</v>
      </c>
      <c r="L55" s="41" t="s">
        <v>1021</v>
      </c>
      <c r="M55" s="41" t="s">
        <v>1022</v>
      </c>
      <c r="N55" s="41" t="s">
        <v>1023</v>
      </c>
      <c r="O55" s="40" t="s">
        <v>1024</v>
      </c>
      <c r="P55" s="41" t="s">
        <v>148</v>
      </c>
      <c r="Q55" s="41" t="s">
        <v>149</v>
      </c>
      <c r="R55" s="41" t="s">
        <v>1025</v>
      </c>
      <c r="S55" s="41" t="s">
        <v>284</v>
      </c>
      <c r="T55" s="49">
        <v>1</v>
      </c>
      <c r="U55" s="41" t="s">
        <v>75</v>
      </c>
      <c r="V55" s="41" t="s">
        <v>75</v>
      </c>
      <c r="W55" s="50">
        <v>359</v>
      </c>
      <c r="X55" s="49">
        <v>359</v>
      </c>
      <c r="Y55" s="49">
        <v>0</v>
      </c>
      <c r="Z55" s="50">
        <v>0</v>
      </c>
      <c r="AA55" s="41" t="s">
        <v>75</v>
      </c>
      <c r="AB55" s="50">
        <v>0</v>
      </c>
      <c r="AC55" s="50">
        <v>359</v>
      </c>
      <c r="AD55" s="41" t="s">
        <v>209</v>
      </c>
      <c r="AE55" s="41" t="s">
        <v>1026</v>
      </c>
      <c r="AF55" s="41" t="s">
        <v>75</v>
      </c>
      <c r="AG55" s="41" t="s">
        <v>75</v>
      </c>
      <c r="AH55" s="41" t="s">
        <v>75</v>
      </c>
      <c r="AI55" s="41" t="s">
        <v>1027</v>
      </c>
      <c r="AJ55" s="41" t="s">
        <v>75</v>
      </c>
      <c r="AK55" s="41" t="s">
        <v>91</v>
      </c>
      <c r="AL55" s="40" t="s">
        <v>92</v>
      </c>
      <c r="AM55" s="41" t="s">
        <v>93</v>
      </c>
      <c r="AN55" s="41" t="s">
        <v>1028</v>
      </c>
      <c r="AO55" s="41" t="s">
        <v>75</v>
      </c>
      <c r="AP55" s="41" t="s">
        <v>75</v>
      </c>
      <c r="AQ55" s="41" t="s">
        <v>75</v>
      </c>
      <c r="AR55" s="41" t="s">
        <v>75</v>
      </c>
      <c r="AS55" s="41" t="s">
        <v>75</v>
      </c>
      <c r="AT55" s="41" t="s">
        <v>75</v>
      </c>
      <c r="AU55" s="41" t="s">
        <v>75</v>
      </c>
      <c r="AV55" s="41" t="s">
        <v>1029</v>
      </c>
      <c r="AW55" s="41" t="s">
        <v>75</v>
      </c>
      <c r="AX55" s="41" t="s">
        <v>75</v>
      </c>
      <c r="AY55" s="41" t="s">
        <v>1030</v>
      </c>
      <c r="AZ55" s="41" t="s">
        <v>1031</v>
      </c>
      <c r="BA55" s="41" t="s">
        <v>1032</v>
      </c>
      <c r="BB55" s="41" t="s">
        <v>99</v>
      </c>
      <c r="BC55" s="41" t="s">
        <v>100</v>
      </c>
      <c r="BD55" s="41" t="s">
        <v>101</v>
      </c>
      <c r="BE55" s="41" t="s">
        <v>75</v>
      </c>
      <c r="BF55" s="41" t="s">
        <v>130</v>
      </c>
      <c r="BG55" s="41" t="s">
        <v>1033</v>
      </c>
      <c r="BH55" s="41" t="s">
        <v>75</v>
      </c>
      <c r="BI55" s="41" t="s">
        <v>102</v>
      </c>
      <c r="BJ55" s="41" t="s">
        <v>1034</v>
      </c>
      <c r="BK55" s="41" t="s">
        <v>104</v>
      </c>
      <c r="BL55" s="41" t="s">
        <v>105</v>
      </c>
      <c r="BM55" s="41" t="s">
        <v>75</v>
      </c>
      <c r="BN55" s="41" t="s">
        <v>75</v>
      </c>
      <c r="BO55" s="41" t="s">
        <v>75</v>
      </c>
      <c r="BP55" s="41" t="s">
        <v>75</v>
      </c>
      <c r="BQ55" s="40" t="s">
        <v>1035</v>
      </c>
      <c r="BR55" s="41" t="s">
        <v>839</v>
      </c>
      <c r="BS55" s="43" t="s">
        <v>840</v>
      </c>
    </row>
    <row r="56" spans="1:71">
      <c r="A56" s="40" t="s">
        <v>1036</v>
      </c>
      <c r="B56" s="41" t="s">
        <v>72</v>
      </c>
      <c r="C56" s="41" t="s">
        <v>111</v>
      </c>
      <c r="D56" s="41" t="s">
        <v>74</v>
      </c>
      <c r="E56" s="41" t="s">
        <v>75</v>
      </c>
      <c r="F56" s="41" t="s">
        <v>1037</v>
      </c>
      <c r="G56" s="41" t="s">
        <v>1038</v>
      </c>
      <c r="H56" s="41" t="s">
        <v>1039</v>
      </c>
      <c r="I56" s="41" t="s">
        <v>723</v>
      </c>
      <c r="J56" s="41" t="s">
        <v>1040</v>
      </c>
      <c r="K56" s="41" t="s">
        <v>1041</v>
      </c>
      <c r="L56" s="41" t="s">
        <v>1042</v>
      </c>
      <c r="M56" s="41" t="s">
        <v>825</v>
      </c>
      <c r="N56" s="41" t="s">
        <v>826</v>
      </c>
      <c r="O56" s="40" t="s">
        <v>827</v>
      </c>
      <c r="P56" s="41" t="s">
        <v>148</v>
      </c>
      <c r="Q56" s="41" t="s">
        <v>149</v>
      </c>
      <c r="R56" s="41" t="s">
        <v>828</v>
      </c>
      <c r="S56" s="41" t="s">
        <v>829</v>
      </c>
      <c r="T56" s="49">
        <v>1</v>
      </c>
      <c r="U56" s="41" t="s">
        <v>75</v>
      </c>
      <c r="V56" s="41" t="s">
        <v>75</v>
      </c>
      <c r="W56" s="50">
        <v>359</v>
      </c>
      <c r="X56" s="49">
        <v>359</v>
      </c>
      <c r="Y56" s="49">
        <v>0</v>
      </c>
      <c r="Z56" s="50">
        <v>0</v>
      </c>
      <c r="AA56" s="41" t="s">
        <v>75</v>
      </c>
      <c r="AB56" s="50">
        <v>0</v>
      </c>
      <c r="AC56" s="50">
        <v>359</v>
      </c>
      <c r="AD56" s="41" t="s">
        <v>88</v>
      </c>
      <c r="AE56" s="41" t="s">
        <v>1043</v>
      </c>
      <c r="AF56" s="41" t="s">
        <v>75</v>
      </c>
      <c r="AG56" s="41" t="s">
        <v>75</v>
      </c>
      <c r="AH56" s="41" t="s">
        <v>75</v>
      </c>
      <c r="AI56" s="41" t="s">
        <v>1044</v>
      </c>
      <c r="AJ56" s="41" t="s">
        <v>75</v>
      </c>
      <c r="AK56" s="41" t="s">
        <v>91</v>
      </c>
      <c r="AL56" s="40" t="s">
        <v>92</v>
      </c>
      <c r="AM56" s="41" t="s">
        <v>93</v>
      </c>
      <c r="AN56" s="41" t="s">
        <v>1045</v>
      </c>
      <c r="AO56" s="41" t="s">
        <v>75</v>
      </c>
      <c r="AP56" s="41" t="s">
        <v>75</v>
      </c>
      <c r="AQ56" s="41" t="s">
        <v>75</v>
      </c>
      <c r="AR56" s="41" t="s">
        <v>75</v>
      </c>
      <c r="AS56" s="41" t="s">
        <v>75</v>
      </c>
      <c r="AT56" s="41" t="s">
        <v>75</v>
      </c>
      <c r="AU56" s="41" t="s">
        <v>75</v>
      </c>
      <c r="AV56" s="41" t="s">
        <v>1046</v>
      </c>
      <c r="AW56" s="41" t="s">
        <v>75</v>
      </c>
      <c r="AX56" s="41" t="s">
        <v>75</v>
      </c>
      <c r="AY56" s="41" t="s">
        <v>1047</v>
      </c>
      <c r="AZ56" s="41" t="s">
        <v>1048</v>
      </c>
      <c r="BA56" s="41" t="s">
        <v>1049</v>
      </c>
      <c r="BB56" s="41" t="s">
        <v>99</v>
      </c>
      <c r="BC56" s="41" t="s">
        <v>100</v>
      </c>
      <c r="BD56" s="41" t="s">
        <v>101</v>
      </c>
      <c r="BE56" s="41" t="s">
        <v>75</v>
      </c>
      <c r="BF56" s="41" t="s">
        <v>130</v>
      </c>
      <c r="BG56" s="41" t="s">
        <v>1050</v>
      </c>
      <c r="BH56" s="41" t="s">
        <v>75</v>
      </c>
      <c r="BI56" s="41" t="s">
        <v>102</v>
      </c>
      <c r="BJ56" s="41" t="s">
        <v>1051</v>
      </c>
      <c r="BK56" s="41" t="s">
        <v>104</v>
      </c>
      <c r="BL56" s="41" t="s">
        <v>105</v>
      </c>
      <c r="BM56" s="41" t="s">
        <v>75</v>
      </c>
      <c r="BN56" s="41" t="s">
        <v>75</v>
      </c>
      <c r="BO56" s="41" t="s">
        <v>75</v>
      </c>
      <c r="BP56" s="41" t="s">
        <v>75</v>
      </c>
      <c r="BQ56" s="40" t="s">
        <v>838</v>
      </c>
      <c r="BR56" s="41" t="s">
        <v>839</v>
      </c>
      <c r="BS56" s="43" t="s">
        <v>840</v>
      </c>
    </row>
    <row r="57" spans="1:71">
      <c r="A57" s="40" t="s">
        <v>1052</v>
      </c>
      <c r="B57" s="41" t="s">
        <v>72</v>
      </c>
      <c r="C57" s="41" t="s">
        <v>73</v>
      </c>
      <c r="D57" s="41" t="s">
        <v>74</v>
      </c>
      <c r="E57" s="41" t="s">
        <v>75</v>
      </c>
      <c r="F57" s="41" t="s">
        <v>1053</v>
      </c>
      <c r="G57" s="41" t="s">
        <v>1054</v>
      </c>
      <c r="H57" s="41" t="s">
        <v>1055</v>
      </c>
      <c r="I57" s="41" t="s">
        <v>226</v>
      </c>
      <c r="J57" s="41" t="s">
        <v>1056</v>
      </c>
      <c r="K57" s="41" t="s">
        <v>1057</v>
      </c>
      <c r="L57" s="41" t="s">
        <v>1058</v>
      </c>
      <c r="M57" s="41" t="s">
        <v>1059</v>
      </c>
      <c r="N57" s="41" t="s">
        <v>1060</v>
      </c>
      <c r="O57" s="40" t="s">
        <v>1061</v>
      </c>
      <c r="P57" s="41" t="s">
        <v>148</v>
      </c>
      <c r="Q57" s="41" t="s">
        <v>149</v>
      </c>
      <c r="R57" s="41" t="s">
        <v>1062</v>
      </c>
      <c r="S57" s="41" t="s">
        <v>1063</v>
      </c>
      <c r="T57" s="49">
        <v>1</v>
      </c>
      <c r="U57" s="41" t="s">
        <v>75</v>
      </c>
      <c r="V57" s="41" t="s">
        <v>75</v>
      </c>
      <c r="W57" s="50">
        <v>359</v>
      </c>
      <c r="X57" s="49">
        <v>359</v>
      </c>
      <c r="Y57" s="49">
        <v>0</v>
      </c>
      <c r="Z57" s="50">
        <v>0</v>
      </c>
      <c r="AA57" s="41" t="s">
        <v>75</v>
      </c>
      <c r="AB57" s="50">
        <v>0</v>
      </c>
      <c r="AC57" s="50">
        <v>359</v>
      </c>
      <c r="AD57" s="41" t="s">
        <v>344</v>
      </c>
      <c r="AE57" s="41" t="s">
        <v>75</v>
      </c>
      <c r="AF57" s="41" t="s">
        <v>75</v>
      </c>
      <c r="AG57" s="41" t="s">
        <v>75</v>
      </c>
      <c r="AH57" s="41" t="s">
        <v>75</v>
      </c>
      <c r="AI57" s="41" t="s">
        <v>1046</v>
      </c>
      <c r="AJ57" s="41" t="s">
        <v>75</v>
      </c>
      <c r="AK57" s="41" t="s">
        <v>91</v>
      </c>
      <c r="AL57" s="40" t="s">
        <v>92</v>
      </c>
      <c r="AM57" s="41" t="s">
        <v>93</v>
      </c>
      <c r="AN57" s="41" t="s">
        <v>1064</v>
      </c>
      <c r="AO57" s="41" t="s">
        <v>75</v>
      </c>
      <c r="AP57" s="41" t="s">
        <v>75</v>
      </c>
      <c r="AQ57" s="41" t="s">
        <v>75</v>
      </c>
      <c r="AR57" s="41" t="s">
        <v>75</v>
      </c>
      <c r="AS57" s="41" t="s">
        <v>75</v>
      </c>
      <c r="AT57" s="41" t="s">
        <v>75</v>
      </c>
      <c r="AU57" s="41" t="s">
        <v>75</v>
      </c>
      <c r="AV57" s="41" t="s">
        <v>1029</v>
      </c>
      <c r="AW57" s="41" t="s">
        <v>75</v>
      </c>
      <c r="AX57" s="41" t="s">
        <v>75</v>
      </c>
      <c r="AY57" s="41" t="s">
        <v>1065</v>
      </c>
      <c r="AZ57" s="41" t="s">
        <v>1066</v>
      </c>
      <c r="BA57" s="41" t="s">
        <v>1067</v>
      </c>
      <c r="BB57" s="41" t="s">
        <v>99</v>
      </c>
      <c r="BC57" s="41" t="s">
        <v>100</v>
      </c>
      <c r="BD57" s="41" t="s">
        <v>101</v>
      </c>
      <c r="BE57" s="41" t="s">
        <v>75</v>
      </c>
      <c r="BF57" s="41" t="s">
        <v>75</v>
      </c>
      <c r="BG57" s="41" t="s">
        <v>75</v>
      </c>
      <c r="BH57" s="41" t="s">
        <v>75</v>
      </c>
      <c r="BI57" s="41" t="s">
        <v>102</v>
      </c>
      <c r="BJ57" s="41" t="s">
        <v>1068</v>
      </c>
      <c r="BK57" s="41" t="s">
        <v>104</v>
      </c>
      <c r="BL57" s="41" t="s">
        <v>105</v>
      </c>
      <c r="BM57" s="41" t="s">
        <v>75</v>
      </c>
      <c r="BN57" s="41" t="s">
        <v>75</v>
      </c>
      <c r="BO57" s="41" t="s">
        <v>75</v>
      </c>
      <c r="BP57" s="41" t="s">
        <v>75</v>
      </c>
      <c r="BQ57" s="40" t="s">
        <v>1069</v>
      </c>
      <c r="BR57" s="41" t="s">
        <v>839</v>
      </c>
      <c r="BS57" s="43" t="s">
        <v>840</v>
      </c>
    </row>
    <row r="58" spans="1:71">
      <c r="A58" s="40" t="s">
        <v>1070</v>
      </c>
      <c r="B58" s="41" t="s">
        <v>110</v>
      </c>
      <c r="C58" s="41" t="s">
        <v>111</v>
      </c>
      <c r="D58" s="41" t="s">
        <v>74</v>
      </c>
      <c r="E58" s="41" t="s">
        <v>75</v>
      </c>
      <c r="F58" s="41" t="s">
        <v>842</v>
      </c>
      <c r="G58" s="41" t="s">
        <v>1071</v>
      </c>
      <c r="H58" s="41" t="s">
        <v>1072</v>
      </c>
      <c r="I58" s="41" t="s">
        <v>79</v>
      </c>
      <c r="J58" s="41" t="s">
        <v>80</v>
      </c>
      <c r="K58" s="41" t="s">
        <v>1073</v>
      </c>
      <c r="L58" s="41" t="s">
        <v>1074</v>
      </c>
      <c r="M58" s="41" t="s">
        <v>825</v>
      </c>
      <c r="N58" s="41" t="s">
        <v>826</v>
      </c>
      <c r="O58" s="40" t="s">
        <v>827</v>
      </c>
      <c r="P58" s="41" t="s">
        <v>148</v>
      </c>
      <c r="Q58" s="41" t="s">
        <v>149</v>
      </c>
      <c r="R58" s="41" t="s">
        <v>828</v>
      </c>
      <c r="S58" s="41" t="s">
        <v>829</v>
      </c>
      <c r="T58" s="49">
        <v>1</v>
      </c>
      <c r="U58" s="41" t="s">
        <v>75</v>
      </c>
      <c r="V58" s="41" t="s">
        <v>75</v>
      </c>
      <c r="W58" s="50">
        <v>359</v>
      </c>
      <c r="X58" s="49">
        <v>359</v>
      </c>
      <c r="Y58" s="49">
        <v>0</v>
      </c>
      <c r="Z58" s="50">
        <v>0</v>
      </c>
      <c r="AA58" s="41" t="s">
        <v>75</v>
      </c>
      <c r="AB58" s="50">
        <v>0</v>
      </c>
      <c r="AC58" s="50">
        <v>359</v>
      </c>
      <c r="AD58" s="41" t="s">
        <v>88</v>
      </c>
      <c r="AE58" s="41" t="s">
        <v>1075</v>
      </c>
      <c r="AF58" s="41" t="s">
        <v>75</v>
      </c>
      <c r="AG58" s="41" t="s">
        <v>75</v>
      </c>
      <c r="AH58" s="41" t="s">
        <v>75</v>
      </c>
      <c r="AI58" s="41" t="s">
        <v>1076</v>
      </c>
      <c r="AJ58" s="41" t="s">
        <v>75</v>
      </c>
      <c r="AK58" s="41" t="s">
        <v>91</v>
      </c>
      <c r="AL58" s="40" t="s">
        <v>92</v>
      </c>
      <c r="AM58" s="41" t="s">
        <v>93</v>
      </c>
      <c r="AN58" s="41" t="s">
        <v>1077</v>
      </c>
      <c r="AO58" s="41" t="s">
        <v>75</v>
      </c>
      <c r="AP58" s="41" t="s">
        <v>75</v>
      </c>
      <c r="AQ58" s="41" t="s">
        <v>75</v>
      </c>
      <c r="AR58" s="41" t="s">
        <v>75</v>
      </c>
      <c r="AS58" s="41" t="s">
        <v>75</v>
      </c>
      <c r="AT58" s="41" t="s">
        <v>75</v>
      </c>
      <c r="AU58" s="41" t="s">
        <v>75</v>
      </c>
      <c r="AV58" s="41" t="s">
        <v>1078</v>
      </c>
      <c r="AW58" s="41" t="s">
        <v>75</v>
      </c>
      <c r="AX58" s="41" t="s">
        <v>75</v>
      </c>
      <c r="AY58" s="41" t="s">
        <v>1079</v>
      </c>
      <c r="AZ58" s="41" t="s">
        <v>1080</v>
      </c>
      <c r="BA58" s="41" t="s">
        <v>75</v>
      </c>
      <c r="BB58" s="41" t="s">
        <v>99</v>
      </c>
      <c r="BC58" s="41" t="s">
        <v>75</v>
      </c>
      <c r="BD58" s="41" t="s">
        <v>101</v>
      </c>
      <c r="BE58" s="41" t="s">
        <v>75</v>
      </c>
      <c r="BF58" s="41" t="s">
        <v>130</v>
      </c>
      <c r="BG58" s="41" t="s">
        <v>1081</v>
      </c>
      <c r="BH58" s="41" t="s">
        <v>75</v>
      </c>
      <c r="BI58" s="41" t="s">
        <v>102</v>
      </c>
      <c r="BJ58" s="41" t="s">
        <v>1082</v>
      </c>
      <c r="BK58" s="41" t="s">
        <v>104</v>
      </c>
      <c r="BL58" s="41" t="s">
        <v>105</v>
      </c>
      <c r="BM58" s="41" t="s">
        <v>75</v>
      </c>
      <c r="BN58" s="41" t="s">
        <v>75</v>
      </c>
      <c r="BO58" s="41" t="s">
        <v>75</v>
      </c>
      <c r="BP58" s="41" t="s">
        <v>75</v>
      </c>
      <c r="BQ58" s="40" t="s">
        <v>838</v>
      </c>
      <c r="BR58" s="41" t="s">
        <v>839</v>
      </c>
      <c r="BS58" s="43" t="s">
        <v>840</v>
      </c>
    </row>
    <row r="59" spans="1:71">
      <c r="A59" s="40" t="s">
        <v>1083</v>
      </c>
      <c r="B59" s="41" t="s">
        <v>110</v>
      </c>
      <c r="C59" s="41" t="s">
        <v>111</v>
      </c>
      <c r="D59" s="41" t="s">
        <v>74</v>
      </c>
      <c r="E59" s="41" t="s">
        <v>137</v>
      </c>
      <c r="F59" s="41" t="s">
        <v>1084</v>
      </c>
      <c r="G59" s="41" t="s">
        <v>1085</v>
      </c>
      <c r="H59" s="41" t="s">
        <v>1086</v>
      </c>
      <c r="I59" s="41" t="s">
        <v>1087</v>
      </c>
      <c r="J59" s="41" t="s">
        <v>1088</v>
      </c>
      <c r="K59" s="41" t="s">
        <v>1089</v>
      </c>
      <c r="L59" s="41" t="s">
        <v>1090</v>
      </c>
      <c r="M59" s="41" t="s">
        <v>1091</v>
      </c>
      <c r="N59" s="41" t="s">
        <v>1092</v>
      </c>
      <c r="O59" s="40" t="s">
        <v>1093</v>
      </c>
      <c r="P59" s="41" t="s">
        <v>148</v>
      </c>
      <c r="Q59" s="41" t="s">
        <v>149</v>
      </c>
      <c r="R59" s="41" t="s">
        <v>1094</v>
      </c>
      <c r="S59" s="41" t="s">
        <v>343</v>
      </c>
      <c r="T59" s="49">
        <v>1</v>
      </c>
      <c r="U59" s="41" t="s">
        <v>75</v>
      </c>
      <c r="V59" s="41" t="s">
        <v>75</v>
      </c>
      <c r="W59" s="50">
        <v>359</v>
      </c>
      <c r="X59" s="49">
        <v>359</v>
      </c>
      <c r="Y59" s="49">
        <v>0</v>
      </c>
      <c r="Z59" s="50">
        <v>0</v>
      </c>
      <c r="AA59" s="41" t="s">
        <v>75</v>
      </c>
      <c r="AB59" s="50">
        <v>0</v>
      </c>
      <c r="AC59" s="50">
        <v>359</v>
      </c>
      <c r="AD59" s="41" t="s">
        <v>88</v>
      </c>
      <c r="AE59" s="41" t="s">
        <v>1095</v>
      </c>
      <c r="AF59" s="41" t="s">
        <v>75</v>
      </c>
      <c r="AG59" s="41" t="s">
        <v>75</v>
      </c>
      <c r="AH59" s="41" t="s">
        <v>75</v>
      </c>
      <c r="AI59" s="41" t="s">
        <v>1096</v>
      </c>
      <c r="AJ59" s="41" t="s">
        <v>75</v>
      </c>
      <c r="AK59" s="41" t="s">
        <v>91</v>
      </c>
      <c r="AL59" s="40" t="s">
        <v>92</v>
      </c>
      <c r="AM59" s="41" t="s">
        <v>93</v>
      </c>
      <c r="AN59" s="41" t="s">
        <v>1097</v>
      </c>
      <c r="AO59" s="41" t="s">
        <v>75</v>
      </c>
      <c r="AP59" s="41" t="s">
        <v>75</v>
      </c>
      <c r="AQ59" s="41" t="s">
        <v>75</v>
      </c>
      <c r="AR59" s="41" t="s">
        <v>75</v>
      </c>
      <c r="AS59" s="41" t="s">
        <v>75</v>
      </c>
      <c r="AT59" s="41" t="s">
        <v>75</v>
      </c>
      <c r="AU59" s="41" t="s">
        <v>75</v>
      </c>
      <c r="AV59" s="41" t="s">
        <v>1078</v>
      </c>
      <c r="AW59" s="41" t="s">
        <v>75</v>
      </c>
      <c r="AX59" s="41" t="s">
        <v>75</v>
      </c>
      <c r="AY59" s="41" t="s">
        <v>1098</v>
      </c>
      <c r="AZ59" s="41" t="s">
        <v>1099</v>
      </c>
      <c r="BA59" s="41" t="s">
        <v>75</v>
      </c>
      <c r="BB59" s="41" t="s">
        <v>99</v>
      </c>
      <c r="BC59" s="41" t="s">
        <v>75</v>
      </c>
      <c r="BD59" s="41" t="s">
        <v>101</v>
      </c>
      <c r="BE59" s="41" t="s">
        <v>75</v>
      </c>
      <c r="BF59" s="41" t="s">
        <v>130</v>
      </c>
      <c r="BG59" s="41" t="s">
        <v>1100</v>
      </c>
      <c r="BH59" s="41" t="s">
        <v>75</v>
      </c>
      <c r="BI59" s="41" t="s">
        <v>102</v>
      </c>
      <c r="BJ59" s="41" t="s">
        <v>1101</v>
      </c>
      <c r="BK59" s="41" t="s">
        <v>104</v>
      </c>
      <c r="BL59" s="41" t="s">
        <v>105</v>
      </c>
      <c r="BM59" s="41" t="s">
        <v>75</v>
      </c>
      <c r="BN59" s="41" t="s">
        <v>75</v>
      </c>
      <c r="BO59" s="41" t="s">
        <v>75</v>
      </c>
      <c r="BP59" s="41" t="s">
        <v>75</v>
      </c>
      <c r="BQ59" s="40" t="s">
        <v>1102</v>
      </c>
      <c r="BR59" s="41" t="s">
        <v>839</v>
      </c>
      <c r="BS59" s="43" t="s">
        <v>840</v>
      </c>
    </row>
    <row r="60" spans="1:71">
      <c r="A60" s="40" t="s">
        <v>1103</v>
      </c>
      <c r="B60" s="41" t="s">
        <v>72</v>
      </c>
      <c r="C60" s="41" t="s">
        <v>73</v>
      </c>
      <c r="D60" s="41" t="s">
        <v>74</v>
      </c>
      <c r="E60" s="41" t="s">
        <v>75</v>
      </c>
      <c r="F60" s="41" t="s">
        <v>1104</v>
      </c>
      <c r="G60" s="41" t="s">
        <v>1105</v>
      </c>
      <c r="H60" s="41" t="s">
        <v>1106</v>
      </c>
      <c r="I60" s="41" t="s">
        <v>1107</v>
      </c>
      <c r="J60" s="41" t="s">
        <v>1108</v>
      </c>
      <c r="K60" s="41" t="s">
        <v>1109</v>
      </c>
      <c r="L60" s="41" t="s">
        <v>1110</v>
      </c>
      <c r="M60" s="41" t="s">
        <v>1091</v>
      </c>
      <c r="N60" s="41" t="s">
        <v>1092</v>
      </c>
      <c r="O60" s="40" t="s">
        <v>1093</v>
      </c>
      <c r="P60" s="41" t="s">
        <v>148</v>
      </c>
      <c r="Q60" s="41" t="s">
        <v>149</v>
      </c>
      <c r="R60" s="41" t="s">
        <v>1094</v>
      </c>
      <c r="S60" s="41" t="s">
        <v>343</v>
      </c>
      <c r="T60" s="49">
        <v>1</v>
      </c>
      <c r="U60" s="41" t="s">
        <v>75</v>
      </c>
      <c r="V60" s="41" t="s">
        <v>75</v>
      </c>
      <c r="W60" s="50">
        <v>359</v>
      </c>
      <c r="X60" s="49">
        <v>359</v>
      </c>
      <c r="Y60" s="49">
        <v>0</v>
      </c>
      <c r="Z60" s="50">
        <v>0</v>
      </c>
      <c r="AA60" s="41" t="s">
        <v>75</v>
      </c>
      <c r="AB60" s="50">
        <v>0</v>
      </c>
      <c r="AC60" s="50">
        <v>359</v>
      </c>
      <c r="AD60" s="41" t="s">
        <v>88</v>
      </c>
      <c r="AE60" s="41" t="s">
        <v>1111</v>
      </c>
      <c r="AF60" s="41" t="s">
        <v>75</v>
      </c>
      <c r="AG60" s="41" t="s">
        <v>75</v>
      </c>
      <c r="AH60" s="41" t="s">
        <v>75</v>
      </c>
      <c r="AI60" s="41" t="s">
        <v>1112</v>
      </c>
      <c r="AJ60" s="41" t="s">
        <v>75</v>
      </c>
      <c r="AK60" s="41" t="s">
        <v>91</v>
      </c>
      <c r="AL60" s="40" t="s">
        <v>92</v>
      </c>
      <c r="AM60" s="41" t="s">
        <v>93</v>
      </c>
      <c r="AN60" s="41" t="s">
        <v>1113</v>
      </c>
      <c r="AO60" s="41" t="s">
        <v>75</v>
      </c>
      <c r="AP60" s="41" t="s">
        <v>75</v>
      </c>
      <c r="AQ60" s="41" t="s">
        <v>75</v>
      </c>
      <c r="AR60" s="41" t="s">
        <v>75</v>
      </c>
      <c r="AS60" s="41" t="s">
        <v>75</v>
      </c>
      <c r="AT60" s="41" t="s">
        <v>75</v>
      </c>
      <c r="AU60" s="41" t="s">
        <v>75</v>
      </c>
      <c r="AV60" s="41" t="s">
        <v>1114</v>
      </c>
      <c r="AW60" s="41" t="s">
        <v>75</v>
      </c>
      <c r="AX60" s="41" t="s">
        <v>75</v>
      </c>
      <c r="AY60" s="41" t="s">
        <v>1115</v>
      </c>
      <c r="AZ60" s="41" t="s">
        <v>1099</v>
      </c>
      <c r="BA60" s="41" t="s">
        <v>1116</v>
      </c>
      <c r="BB60" s="41" t="s">
        <v>99</v>
      </c>
      <c r="BC60" s="41" t="s">
        <v>100</v>
      </c>
      <c r="BD60" s="41" t="s">
        <v>101</v>
      </c>
      <c r="BE60" s="41" t="s">
        <v>75</v>
      </c>
      <c r="BF60" s="41" t="s">
        <v>75</v>
      </c>
      <c r="BG60" s="41" t="s">
        <v>75</v>
      </c>
      <c r="BH60" s="41" t="s">
        <v>75</v>
      </c>
      <c r="BI60" s="41" t="s">
        <v>102</v>
      </c>
      <c r="BJ60" s="41" t="s">
        <v>1117</v>
      </c>
      <c r="BK60" s="41" t="s">
        <v>104</v>
      </c>
      <c r="BL60" s="41" t="s">
        <v>105</v>
      </c>
      <c r="BM60" s="41" t="s">
        <v>75</v>
      </c>
      <c r="BN60" s="41" t="s">
        <v>75</v>
      </c>
      <c r="BO60" s="41" t="s">
        <v>75</v>
      </c>
      <c r="BP60" s="41" t="s">
        <v>75</v>
      </c>
      <c r="BQ60" s="40" t="s">
        <v>1102</v>
      </c>
      <c r="BR60" s="41" t="s">
        <v>839</v>
      </c>
      <c r="BS60" s="43" t="s">
        <v>840</v>
      </c>
    </row>
    <row r="61" spans="1:71">
      <c r="A61" s="40" t="s">
        <v>1118</v>
      </c>
      <c r="B61" s="41" t="s">
        <v>72</v>
      </c>
      <c r="C61" s="41" t="s">
        <v>73</v>
      </c>
      <c r="D61" s="41" t="s">
        <v>74</v>
      </c>
      <c r="E61" s="41" t="s">
        <v>75</v>
      </c>
      <c r="F61" s="41" t="s">
        <v>1119</v>
      </c>
      <c r="G61" s="41" t="s">
        <v>1120</v>
      </c>
      <c r="H61" s="41" t="s">
        <v>1121</v>
      </c>
      <c r="I61" s="41" t="s">
        <v>115</v>
      </c>
      <c r="J61" s="41" t="s">
        <v>1122</v>
      </c>
      <c r="K61" s="41" t="s">
        <v>1123</v>
      </c>
      <c r="L61" s="41" t="s">
        <v>1124</v>
      </c>
      <c r="M61" s="41" t="s">
        <v>825</v>
      </c>
      <c r="N61" s="41" t="s">
        <v>826</v>
      </c>
      <c r="O61" s="40" t="s">
        <v>827</v>
      </c>
      <c r="P61" s="41" t="s">
        <v>148</v>
      </c>
      <c r="Q61" s="41" t="s">
        <v>149</v>
      </c>
      <c r="R61" s="41" t="s">
        <v>828</v>
      </c>
      <c r="S61" s="41" t="s">
        <v>829</v>
      </c>
      <c r="T61" s="49">
        <v>1</v>
      </c>
      <c r="U61" s="41" t="s">
        <v>75</v>
      </c>
      <c r="V61" s="41" t="s">
        <v>75</v>
      </c>
      <c r="W61" s="50">
        <v>359</v>
      </c>
      <c r="X61" s="49">
        <v>359</v>
      </c>
      <c r="Y61" s="49">
        <v>0</v>
      </c>
      <c r="Z61" s="50">
        <v>0</v>
      </c>
      <c r="AA61" s="41" t="s">
        <v>75</v>
      </c>
      <c r="AB61" s="50">
        <v>0</v>
      </c>
      <c r="AC61" s="50">
        <v>359</v>
      </c>
      <c r="AD61" s="41" t="s">
        <v>209</v>
      </c>
      <c r="AE61" s="41" t="s">
        <v>1125</v>
      </c>
      <c r="AF61" s="41" t="s">
        <v>75</v>
      </c>
      <c r="AG61" s="41" t="s">
        <v>75</v>
      </c>
      <c r="AH61" s="41" t="s">
        <v>75</v>
      </c>
      <c r="AI61" s="41" t="s">
        <v>1126</v>
      </c>
      <c r="AJ61" s="41" t="s">
        <v>75</v>
      </c>
      <c r="AK61" s="41" t="s">
        <v>91</v>
      </c>
      <c r="AL61" s="40" t="s">
        <v>92</v>
      </c>
      <c r="AM61" s="41" t="s">
        <v>93</v>
      </c>
      <c r="AN61" s="41" t="s">
        <v>1127</v>
      </c>
      <c r="AO61" s="41" t="s">
        <v>75</v>
      </c>
      <c r="AP61" s="41" t="s">
        <v>75</v>
      </c>
      <c r="AQ61" s="41" t="s">
        <v>75</v>
      </c>
      <c r="AR61" s="41" t="s">
        <v>75</v>
      </c>
      <c r="AS61" s="41" t="s">
        <v>75</v>
      </c>
      <c r="AT61" s="41" t="s">
        <v>75</v>
      </c>
      <c r="AU61" s="41" t="s">
        <v>75</v>
      </c>
      <c r="AV61" s="41" t="s">
        <v>1128</v>
      </c>
      <c r="AW61" s="41" t="s">
        <v>75</v>
      </c>
      <c r="AX61" s="41" t="s">
        <v>75</v>
      </c>
      <c r="AY61" s="41" t="s">
        <v>1129</v>
      </c>
      <c r="AZ61" s="41" t="s">
        <v>1080</v>
      </c>
      <c r="BA61" s="41" t="s">
        <v>1130</v>
      </c>
      <c r="BB61" s="41" t="s">
        <v>99</v>
      </c>
      <c r="BC61" s="41" t="s">
        <v>100</v>
      </c>
      <c r="BD61" s="41" t="s">
        <v>101</v>
      </c>
      <c r="BE61" s="41" t="s">
        <v>75</v>
      </c>
      <c r="BF61" s="41" t="s">
        <v>75</v>
      </c>
      <c r="BG61" s="41" t="s">
        <v>75</v>
      </c>
      <c r="BH61" s="41" t="s">
        <v>75</v>
      </c>
      <c r="BI61" s="41" t="s">
        <v>102</v>
      </c>
      <c r="BJ61" s="41" t="s">
        <v>1131</v>
      </c>
      <c r="BK61" s="41" t="s">
        <v>104</v>
      </c>
      <c r="BL61" s="41" t="s">
        <v>105</v>
      </c>
      <c r="BM61" s="41" t="s">
        <v>75</v>
      </c>
      <c r="BN61" s="41" t="s">
        <v>75</v>
      </c>
      <c r="BO61" s="41" t="s">
        <v>75</v>
      </c>
      <c r="BP61" s="41" t="s">
        <v>75</v>
      </c>
      <c r="BQ61" s="40" t="s">
        <v>838</v>
      </c>
      <c r="BR61" s="41" t="s">
        <v>839</v>
      </c>
      <c r="BS61" s="43" t="s">
        <v>840</v>
      </c>
    </row>
    <row r="62" spans="1:71">
      <c r="A62" s="40" t="s">
        <v>1132</v>
      </c>
      <c r="B62" s="41" t="s">
        <v>72</v>
      </c>
      <c r="C62" s="41" t="s">
        <v>73</v>
      </c>
      <c r="D62" s="41" t="s">
        <v>74</v>
      </c>
      <c r="E62" s="41" t="s">
        <v>75</v>
      </c>
      <c r="F62" s="41" t="s">
        <v>332</v>
      </c>
      <c r="G62" s="41" t="s">
        <v>1133</v>
      </c>
      <c r="H62" s="41" t="s">
        <v>965</v>
      </c>
      <c r="I62" s="41" t="s">
        <v>845</v>
      </c>
      <c r="J62" s="41" t="s">
        <v>846</v>
      </c>
      <c r="K62" s="41" t="s">
        <v>966</v>
      </c>
      <c r="L62" s="41" t="s">
        <v>1134</v>
      </c>
      <c r="M62" s="41" t="s">
        <v>1135</v>
      </c>
      <c r="N62" s="41" t="s">
        <v>1136</v>
      </c>
      <c r="O62" s="40" t="s">
        <v>1137</v>
      </c>
      <c r="P62" s="41" t="s">
        <v>148</v>
      </c>
      <c r="Q62" s="41" t="s">
        <v>149</v>
      </c>
      <c r="R62" s="41" t="s">
        <v>1138</v>
      </c>
      <c r="S62" s="41" t="s">
        <v>250</v>
      </c>
      <c r="T62" s="49">
        <v>1</v>
      </c>
      <c r="U62" s="41" t="s">
        <v>75</v>
      </c>
      <c r="V62" s="41" t="s">
        <v>75</v>
      </c>
      <c r="W62" s="50">
        <v>199</v>
      </c>
      <c r="X62" s="49">
        <v>199</v>
      </c>
      <c r="Y62" s="49">
        <v>0</v>
      </c>
      <c r="Z62" s="50">
        <v>0</v>
      </c>
      <c r="AA62" s="41" t="s">
        <v>75</v>
      </c>
      <c r="AB62" s="50">
        <v>0</v>
      </c>
      <c r="AC62" s="50">
        <v>199</v>
      </c>
      <c r="AD62" s="41" t="s">
        <v>88</v>
      </c>
      <c r="AE62" s="41" t="s">
        <v>1139</v>
      </c>
      <c r="AF62" s="41" t="s">
        <v>75</v>
      </c>
      <c r="AG62" s="41" t="s">
        <v>75</v>
      </c>
      <c r="AH62" s="41" t="s">
        <v>75</v>
      </c>
      <c r="AI62" s="41" t="s">
        <v>1140</v>
      </c>
      <c r="AJ62" s="41" t="s">
        <v>75</v>
      </c>
      <c r="AK62" s="41" t="s">
        <v>91</v>
      </c>
      <c r="AL62" s="40" t="s">
        <v>92</v>
      </c>
      <c r="AM62" s="41" t="s">
        <v>93</v>
      </c>
      <c r="AN62" s="41" t="s">
        <v>1141</v>
      </c>
      <c r="AO62" s="41" t="s">
        <v>75</v>
      </c>
      <c r="AP62" s="41" t="s">
        <v>75</v>
      </c>
      <c r="AQ62" s="41" t="s">
        <v>75</v>
      </c>
      <c r="AR62" s="41" t="s">
        <v>75</v>
      </c>
      <c r="AS62" s="41" t="s">
        <v>75</v>
      </c>
      <c r="AT62" s="41" t="s">
        <v>75</v>
      </c>
      <c r="AU62" s="41" t="s">
        <v>75</v>
      </c>
      <c r="AV62" s="41" t="s">
        <v>1142</v>
      </c>
      <c r="AW62" s="41" t="s">
        <v>75</v>
      </c>
      <c r="AX62" s="41" t="s">
        <v>75</v>
      </c>
      <c r="AY62" s="41" t="s">
        <v>1143</v>
      </c>
      <c r="AZ62" s="41" t="s">
        <v>1144</v>
      </c>
      <c r="BA62" s="41" t="s">
        <v>1145</v>
      </c>
      <c r="BB62" s="41" t="s">
        <v>99</v>
      </c>
      <c r="BC62" s="41" t="s">
        <v>100</v>
      </c>
      <c r="BD62" s="41" t="s">
        <v>101</v>
      </c>
      <c r="BE62" s="41" t="s">
        <v>75</v>
      </c>
      <c r="BF62" s="41" t="s">
        <v>75</v>
      </c>
      <c r="BG62" s="41" t="s">
        <v>75</v>
      </c>
      <c r="BH62" s="41" t="s">
        <v>75</v>
      </c>
      <c r="BI62" s="41" t="s">
        <v>102</v>
      </c>
      <c r="BJ62" s="41" t="s">
        <v>1146</v>
      </c>
      <c r="BK62" s="41" t="s">
        <v>104</v>
      </c>
      <c r="BL62" s="41" t="s">
        <v>105</v>
      </c>
      <c r="BM62" s="41" t="s">
        <v>75</v>
      </c>
      <c r="BN62" s="41" t="s">
        <v>75</v>
      </c>
      <c r="BO62" s="41" t="s">
        <v>75</v>
      </c>
      <c r="BP62" s="41" t="s">
        <v>75</v>
      </c>
      <c r="BQ62" s="40" t="s">
        <v>1147</v>
      </c>
      <c r="BR62" s="41" t="s">
        <v>776</v>
      </c>
      <c r="BS62" s="43" t="s">
        <v>777</v>
      </c>
    </row>
    <row r="63" spans="1:71">
      <c r="A63" s="40" t="s">
        <v>1148</v>
      </c>
      <c r="B63" s="41" t="s">
        <v>110</v>
      </c>
      <c r="C63" s="41" t="s">
        <v>111</v>
      </c>
      <c r="D63" s="41" t="s">
        <v>74</v>
      </c>
      <c r="E63" s="41" t="s">
        <v>75</v>
      </c>
      <c r="F63" s="41" t="s">
        <v>1149</v>
      </c>
      <c r="G63" s="41" t="s">
        <v>1150</v>
      </c>
      <c r="H63" s="41" t="s">
        <v>1151</v>
      </c>
      <c r="I63" s="41" t="s">
        <v>427</v>
      </c>
      <c r="J63" s="41" t="s">
        <v>1152</v>
      </c>
      <c r="K63" s="41" t="s">
        <v>1153</v>
      </c>
      <c r="L63" s="41" t="s">
        <v>1154</v>
      </c>
      <c r="M63" s="41" t="s">
        <v>1135</v>
      </c>
      <c r="N63" s="41" t="s">
        <v>1136</v>
      </c>
      <c r="O63" s="40" t="s">
        <v>1137</v>
      </c>
      <c r="P63" s="41" t="s">
        <v>148</v>
      </c>
      <c r="Q63" s="41" t="s">
        <v>149</v>
      </c>
      <c r="R63" s="41" t="s">
        <v>1138</v>
      </c>
      <c r="S63" s="41" t="s">
        <v>250</v>
      </c>
      <c r="T63" s="49">
        <v>1</v>
      </c>
      <c r="U63" s="41" t="s">
        <v>75</v>
      </c>
      <c r="V63" s="41" t="s">
        <v>75</v>
      </c>
      <c r="W63" s="50">
        <v>199</v>
      </c>
      <c r="X63" s="49">
        <v>199</v>
      </c>
      <c r="Y63" s="49">
        <v>0</v>
      </c>
      <c r="Z63" s="50">
        <v>0</v>
      </c>
      <c r="AA63" s="41" t="s">
        <v>75</v>
      </c>
      <c r="AB63" s="50">
        <v>0</v>
      </c>
      <c r="AC63" s="50">
        <v>199</v>
      </c>
      <c r="AD63" s="41" t="s">
        <v>88</v>
      </c>
      <c r="AE63" s="41" t="s">
        <v>1155</v>
      </c>
      <c r="AF63" s="41" t="s">
        <v>75</v>
      </c>
      <c r="AG63" s="41" t="s">
        <v>75</v>
      </c>
      <c r="AH63" s="41" t="s">
        <v>75</v>
      </c>
      <c r="AI63" s="41" t="s">
        <v>1156</v>
      </c>
      <c r="AJ63" s="41" t="s">
        <v>75</v>
      </c>
      <c r="AK63" s="41" t="s">
        <v>91</v>
      </c>
      <c r="AL63" s="40" t="s">
        <v>92</v>
      </c>
      <c r="AM63" s="41" t="s">
        <v>93</v>
      </c>
      <c r="AN63" s="41" t="s">
        <v>1157</v>
      </c>
      <c r="AO63" s="41" t="s">
        <v>75</v>
      </c>
      <c r="AP63" s="41" t="s">
        <v>75</v>
      </c>
      <c r="AQ63" s="41" t="s">
        <v>75</v>
      </c>
      <c r="AR63" s="41" t="s">
        <v>75</v>
      </c>
      <c r="AS63" s="41" t="s">
        <v>75</v>
      </c>
      <c r="AT63" s="41" t="s">
        <v>75</v>
      </c>
      <c r="AU63" s="41" t="s">
        <v>75</v>
      </c>
      <c r="AV63" s="41" t="s">
        <v>1158</v>
      </c>
      <c r="AW63" s="41" t="s">
        <v>75</v>
      </c>
      <c r="AX63" s="41" t="s">
        <v>75</v>
      </c>
      <c r="AY63" s="41" t="s">
        <v>1159</v>
      </c>
      <c r="AZ63" s="41" t="s">
        <v>1144</v>
      </c>
      <c r="BA63" s="41" t="s">
        <v>75</v>
      </c>
      <c r="BB63" s="41" t="s">
        <v>99</v>
      </c>
      <c r="BC63" s="41" t="s">
        <v>75</v>
      </c>
      <c r="BD63" s="41" t="s">
        <v>101</v>
      </c>
      <c r="BE63" s="41" t="s">
        <v>75</v>
      </c>
      <c r="BF63" s="41" t="s">
        <v>130</v>
      </c>
      <c r="BG63" s="41" t="s">
        <v>1160</v>
      </c>
      <c r="BH63" s="41" t="s">
        <v>75</v>
      </c>
      <c r="BI63" s="41" t="s">
        <v>102</v>
      </c>
      <c r="BJ63" s="41" t="s">
        <v>1161</v>
      </c>
      <c r="BK63" s="41" t="s">
        <v>104</v>
      </c>
      <c r="BL63" s="41" t="s">
        <v>105</v>
      </c>
      <c r="BM63" s="41" t="s">
        <v>75</v>
      </c>
      <c r="BN63" s="41" t="s">
        <v>75</v>
      </c>
      <c r="BO63" s="41" t="s">
        <v>75</v>
      </c>
      <c r="BP63" s="41" t="s">
        <v>75</v>
      </c>
      <c r="BQ63" s="40" t="s">
        <v>1147</v>
      </c>
      <c r="BR63" s="41" t="s">
        <v>776</v>
      </c>
      <c r="BS63" s="43" t="s">
        <v>777</v>
      </c>
    </row>
    <row r="64" spans="1:71">
      <c r="A64" s="40" t="s">
        <v>1162</v>
      </c>
      <c r="B64" s="41" t="s">
        <v>72</v>
      </c>
      <c r="C64" s="41" t="s">
        <v>73</v>
      </c>
      <c r="D64" s="41" t="s">
        <v>74</v>
      </c>
      <c r="E64" s="41" t="s">
        <v>75</v>
      </c>
      <c r="F64" s="41" t="s">
        <v>1163</v>
      </c>
      <c r="G64" s="41" t="s">
        <v>1164</v>
      </c>
      <c r="H64" s="41" t="s">
        <v>1165</v>
      </c>
      <c r="I64" s="41" t="s">
        <v>115</v>
      </c>
      <c r="J64" s="41" t="s">
        <v>1166</v>
      </c>
      <c r="K64" s="41" t="s">
        <v>1167</v>
      </c>
      <c r="L64" s="41" t="s">
        <v>1168</v>
      </c>
      <c r="M64" s="41" t="s">
        <v>431</v>
      </c>
      <c r="N64" s="41" t="s">
        <v>432</v>
      </c>
      <c r="O64" s="40" t="s">
        <v>433</v>
      </c>
      <c r="P64" s="41" t="s">
        <v>148</v>
      </c>
      <c r="Q64" s="41" t="s">
        <v>149</v>
      </c>
      <c r="R64" s="41" t="s">
        <v>434</v>
      </c>
      <c r="S64" s="41" t="s">
        <v>343</v>
      </c>
      <c r="T64" s="49">
        <v>1</v>
      </c>
      <c r="U64" s="41" t="s">
        <v>75</v>
      </c>
      <c r="V64" s="41" t="s">
        <v>75</v>
      </c>
      <c r="W64" s="50">
        <v>179</v>
      </c>
      <c r="X64" s="49">
        <v>179</v>
      </c>
      <c r="Y64" s="49">
        <v>0</v>
      </c>
      <c r="Z64" s="50">
        <v>0</v>
      </c>
      <c r="AA64" s="41" t="s">
        <v>75</v>
      </c>
      <c r="AB64" s="50">
        <v>0</v>
      </c>
      <c r="AC64" s="50">
        <v>179</v>
      </c>
      <c r="AD64" s="41" t="s">
        <v>209</v>
      </c>
      <c r="AE64" s="41" t="s">
        <v>1169</v>
      </c>
      <c r="AF64" s="41" t="s">
        <v>75</v>
      </c>
      <c r="AG64" s="41" t="s">
        <v>75</v>
      </c>
      <c r="AH64" s="41" t="s">
        <v>75</v>
      </c>
      <c r="AI64" s="41" t="s">
        <v>1170</v>
      </c>
      <c r="AJ64" s="41" t="s">
        <v>75</v>
      </c>
      <c r="AK64" s="41" t="s">
        <v>91</v>
      </c>
      <c r="AL64" s="40" t="s">
        <v>92</v>
      </c>
      <c r="AM64" s="41" t="s">
        <v>93</v>
      </c>
      <c r="AN64" s="41" t="s">
        <v>1171</v>
      </c>
      <c r="AO64" s="41" t="s">
        <v>75</v>
      </c>
      <c r="AP64" s="41" t="s">
        <v>75</v>
      </c>
      <c r="AQ64" s="41" t="s">
        <v>75</v>
      </c>
      <c r="AR64" s="41" t="s">
        <v>75</v>
      </c>
      <c r="AS64" s="41" t="s">
        <v>75</v>
      </c>
      <c r="AT64" s="41" t="s">
        <v>75</v>
      </c>
      <c r="AU64" s="41" t="s">
        <v>75</v>
      </c>
      <c r="AV64" s="41" t="s">
        <v>1172</v>
      </c>
      <c r="AW64" s="41" t="s">
        <v>75</v>
      </c>
      <c r="AX64" s="41" t="s">
        <v>75</v>
      </c>
      <c r="AY64" s="41" t="s">
        <v>1173</v>
      </c>
      <c r="AZ64" s="41" t="s">
        <v>759</v>
      </c>
      <c r="BA64" s="41" t="s">
        <v>760</v>
      </c>
      <c r="BB64" s="41" t="s">
        <v>99</v>
      </c>
      <c r="BC64" s="41" t="s">
        <v>159</v>
      </c>
      <c r="BD64" s="41" t="s">
        <v>101</v>
      </c>
      <c r="BE64" s="41" t="s">
        <v>75</v>
      </c>
      <c r="BF64" s="41" t="s">
        <v>75</v>
      </c>
      <c r="BG64" s="41" t="s">
        <v>75</v>
      </c>
      <c r="BH64" s="41" t="s">
        <v>75</v>
      </c>
      <c r="BI64" s="41" t="s">
        <v>102</v>
      </c>
      <c r="BJ64" s="41" t="s">
        <v>1174</v>
      </c>
      <c r="BK64" s="41" t="s">
        <v>104</v>
      </c>
      <c r="BL64" s="41" t="s">
        <v>105</v>
      </c>
      <c r="BM64" s="41" t="s">
        <v>75</v>
      </c>
      <c r="BN64" s="41" t="s">
        <v>75</v>
      </c>
      <c r="BO64" s="41" t="s">
        <v>75</v>
      </c>
      <c r="BP64" s="41" t="s">
        <v>75</v>
      </c>
      <c r="BQ64" s="40" t="s">
        <v>443</v>
      </c>
      <c r="BR64" s="41" t="s">
        <v>444</v>
      </c>
      <c r="BS64" s="43" t="s">
        <v>445</v>
      </c>
    </row>
    <row r="65" spans="1:71">
      <c r="A65" s="40" t="s">
        <v>1175</v>
      </c>
      <c r="B65" s="41" t="s">
        <v>72</v>
      </c>
      <c r="C65" s="41" t="s">
        <v>73</v>
      </c>
      <c r="D65" s="41" t="s">
        <v>74</v>
      </c>
      <c r="E65" s="41" t="s">
        <v>75</v>
      </c>
      <c r="F65" s="41" t="s">
        <v>938</v>
      </c>
      <c r="G65" s="41" t="s">
        <v>1176</v>
      </c>
      <c r="H65" s="41" t="s">
        <v>78</v>
      </c>
      <c r="I65" s="41" t="s">
        <v>79</v>
      </c>
      <c r="J65" s="41" t="s">
        <v>80</v>
      </c>
      <c r="K65" s="41" t="s">
        <v>81</v>
      </c>
      <c r="L65" s="41" t="s">
        <v>1177</v>
      </c>
      <c r="M65" s="41" t="s">
        <v>786</v>
      </c>
      <c r="N65" s="41" t="s">
        <v>787</v>
      </c>
      <c r="O65" s="40" t="s">
        <v>788</v>
      </c>
      <c r="P65" s="41" t="s">
        <v>148</v>
      </c>
      <c r="Q65" s="41" t="s">
        <v>149</v>
      </c>
      <c r="R65" s="41" t="s">
        <v>789</v>
      </c>
      <c r="S65" s="41" t="s">
        <v>284</v>
      </c>
      <c r="T65" s="49">
        <v>1</v>
      </c>
      <c r="U65" s="41" t="s">
        <v>75</v>
      </c>
      <c r="V65" s="41" t="s">
        <v>75</v>
      </c>
      <c r="W65" s="50">
        <v>199</v>
      </c>
      <c r="X65" s="49">
        <v>199</v>
      </c>
      <c r="Y65" s="49">
        <v>0</v>
      </c>
      <c r="Z65" s="50">
        <v>0</v>
      </c>
      <c r="AA65" s="41" t="s">
        <v>75</v>
      </c>
      <c r="AB65" s="50">
        <v>0</v>
      </c>
      <c r="AC65" s="50">
        <v>199</v>
      </c>
      <c r="AD65" s="41" t="s">
        <v>88</v>
      </c>
      <c r="AE65" s="41" t="s">
        <v>1178</v>
      </c>
      <c r="AF65" s="41" t="s">
        <v>75</v>
      </c>
      <c r="AG65" s="41" t="s">
        <v>75</v>
      </c>
      <c r="AH65" s="41" t="s">
        <v>75</v>
      </c>
      <c r="AI65" s="41" t="s">
        <v>1179</v>
      </c>
      <c r="AJ65" s="41" t="s">
        <v>75</v>
      </c>
      <c r="AK65" s="41" t="s">
        <v>91</v>
      </c>
      <c r="AL65" s="40" t="s">
        <v>92</v>
      </c>
      <c r="AM65" s="41" t="s">
        <v>93</v>
      </c>
      <c r="AN65" s="41" t="s">
        <v>1180</v>
      </c>
      <c r="AO65" s="41" t="s">
        <v>75</v>
      </c>
      <c r="AP65" s="41" t="s">
        <v>75</v>
      </c>
      <c r="AQ65" s="41" t="s">
        <v>75</v>
      </c>
      <c r="AR65" s="41" t="s">
        <v>75</v>
      </c>
      <c r="AS65" s="41" t="s">
        <v>75</v>
      </c>
      <c r="AT65" s="41" t="s">
        <v>75</v>
      </c>
      <c r="AU65" s="41" t="s">
        <v>75</v>
      </c>
      <c r="AV65" s="41" t="s">
        <v>1181</v>
      </c>
      <c r="AW65" s="41" t="s">
        <v>75</v>
      </c>
      <c r="AX65" s="41" t="s">
        <v>75</v>
      </c>
      <c r="AY65" s="41" t="s">
        <v>1182</v>
      </c>
      <c r="AZ65" s="41" t="s">
        <v>895</v>
      </c>
      <c r="BA65" s="41" t="s">
        <v>1183</v>
      </c>
      <c r="BB65" s="41" t="s">
        <v>99</v>
      </c>
      <c r="BC65" s="41" t="s">
        <v>100</v>
      </c>
      <c r="BD65" s="41" t="s">
        <v>101</v>
      </c>
      <c r="BE65" s="41" t="s">
        <v>75</v>
      </c>
      <c r="BF65" s="41" t="s">
        <v>1184</v>
      </c>
      <c r="BG65" s="41" t="s">
        <v>1185</v>
      </c>
      <c r="BH65" s="41" t="s">
        <v>75</v>
      </c>
      <c r="BI65" s="41" t="s">
        <v>102</v>
      </c>
      <c r="BJ65" s="41" t="s">
        <v>1186</v>
      </c>
      <c r="BK65" s="41" t="s">
        <v>104</v>
      </c>
      <c r="BL65" s="41" t="s">
        <v>105</v>
      </c>
      <c r="BM65" s="41" t="s">
        <v>75</v>
      </c>
      <c r="BN65" s="41" t="s">
        <v>75</v>
      </c>
      <c r="BO65" s="41" t="s">
        <v>75</v>
      </c>
      <c r="BP65" s="41" t="s">
        <v>75</v>
      </c>
      <c r="BQ65" s="40" t="s">
        <v>798</v>
      </c>
      <c r="BR65" s="41" t="s">
        <v>776</v>
      </c>
      <c r="BS65" s="43" t="s">
        <v>777</v>
      </c>
    </row>
    <row r="66" spans="1:71">
      <c r="A66" s="40" t="s">
        <v>1187</v>
      </c>
      <c r="B66" s="41" t="s">
        <v>110</v>
      </c>
      <c r="C66" s="41" t="s">
        <v>111</v>
      </c>
      <c r="D66" s="41" t="s">
        <v>74</v>
      </c>
      <c r="E66" s="41" t="s">
        <v>75</v>
      </c>
      <c r="F66" s="41" t="s">
        <v>1188</v>
      </c>
      <c r="G66" s="41" t="s">
        <v>1189</v>
      </c>
      <c r="H66" s="41" t="s">
        <v>1190</v>
      </c>
      <c r="I66" s="41" t="s">
        <v>141</v>
      </c>
      <c r="J66" s="41" t="s">
        <v>1191</v>
      </c>
      <c r="K66" s="41" t="s">
        <v>1192</v>
      </c>
      <c r="L66" s="41" t="s">
        <v>1193</v>
      </c>
      <c r="M66" s="41" t="s">
        <v>923</v>
      </c>
      <c r="N66" s="41" t="s">
        <v>924</v>
      </c>
      <c r="O66" s="40" t="s">
        <v>925</v>
      </c>
      <c r="P66" s="41" t="s">
        <v>148</v>
      </c>
      <c r="Q66" s="41" t="s">
        <v>149</v>
      </c>
      <c r="R66" s="41" t="s">
        <v>926</v>
      </c>
      <c r="S66" s="41" t="s">
        <v>927</v>
      </c>
      <c r="T66" s="49">
        <v>1</v>
      </c>
      <c r="U66" s="41" t="s">
        <v>75</v>
      </c>
      <c r="V66" s="41" t="s">
        <v>75</v>
      </c>
      <c r="W66" s="50">
        <v>179</v>
      </c>
      <c r="X66" s="49">
        <v>179</v>
      </c>
      <c r="Y66" s="49">
        <v>0</v>
      </c>
      <c r="Z66" s="50">
        <v>0</v>
      </c>
      <c r="AA66" s="41" t="s">
        <v>75</v>
      </c>
      <c r="AB66" s="50">
        <v>0</v>
      </c>
      <c r="AC66" s="50">
        <v>179</v>
      </c>
      <c r="AD66" s="41" t="s">
        <v>209</v>
      </c>
      <c r="AE66" s="41" t="s">
        <v>1194</v>
      </c>
      <c r="AF66" s="41" t="s">
        <v>75</v>
      </c>
      <c r="AG66" s="41" t="s">
        <v>75</v>
      </c>
      <c r="AH66" s="41" t="s">
        <v>75</v>
      </c>
      <c r="AI66" s="41" t="s">
        <v>1195</v>
      </c>
      <c r="AJ66" s="41" t="s">
        <v>75</v>
      </c>
      <c r="AK66" s="41" t="s">
        <v>91</v>
      </c>
      <c r="AL66" s="40" t="s">
        <v>92</v>
      </c>
      <c r="AM66" s="41" t="s">
        <v>93</v>
      </c>
      <c r="AN66" s="41" t="s">
        <v>1196</v>
      </c>
      <c r="AO66" s="41" t="s">
        <v>75</v>
      </c>
      <c r="AP66" s="41" t="s">
        <v>75</v>
      </c>
      <c r="AQ66" s="41" t="s">
        <v>75</v>
      </c>
      <c r="AR66" s="41" t="s">
        <v>75</v>
      </c>
      <c r="AS66" s="41" t="s">
        <v>75</v>
      </c>
      <c r="AT66" s="41" t="s">
        <v>75</v>
      </c>
      <c r="AU66" s="41" t="s">
        <v>75</v>
      </c>
      <c r="AV66" s="41" t="s">
        <v>1197</v>
      </c>
      <c r="AW66" s="41" t="s">
        <v>75</v>
      </c>
      <c r="AX66" s="41" t="s">
        <v>75</v>
      </c>
      <c r="AY66" s="41" t="s">
        <v>1198</v>
      </c>
      <c r="AZ66" s="41" t="s">
        <v>325</v>
      </c>
      <c r="BA66" s="41" t="s">
        <v>75</v>
      </c>
      <c r="BB66" s="41" t="s">
        <v>99</v>
      </c>
      <c r="BC66" s="41" t="s">
        <v>75</v>
      </c>
      <c r="BD66" s="41" t="s">
        <v>101</v>
      </c>
      <c r="BE66" s="41" t="s">
        <v>75</v>
      </c>
      <c r="BF66" s="41" t="s">
        <v>130</v>
      </c>
      <c r="BG66" s="41" t="s">
        <v>1199</v>
      </c>
      <c r="BH66" s="41" t="s">
        <v>75</v>
      </c>
      <c r="BI66" s="41" t="s">
        <v>102</v>
      </c>
      <c r="BJ66" s="41" t="s">
        <v>1200</v>
      </c>
      <c r="BK66" s="41" t="s">
        <v>104</v>
      </c>
      <c r="BL66" s="41" t="s">
        <v>105</v>
      </c>
      <c r="BM66" s="41" t="s">
        <v>75</v>
      </c>
      <c r="BN66" s="41" t="s">
        <v>75</v>
      </c>
      <c r="BO66" s="41" t="s">
        <v>75</v>
      </c>
      <c r="BP66" s="41" t="s">
        <v>75</v>
      </c>
      <c r="BQ66" s="40" t="s">
        <v>936</v>
      </c>
      <c r="BR66" s="41" t="s">
        <v>444</v>
      </c>
      <c r="BS66" s="43" t="s">
        <v>445</v>
      </c>
    </row>
    <row r="67" spans="1:71">
      <c r="A67" s="40" t="s">
        <v>1201</v>
      </c>
      <c r="B67" s="41" t="s">
        <v>72</v>
      </c>
      <c r="C67" s="41" t="s">
        <v>73</v>
      </c>
      <c r="D67" s="41" t="s">
        <v>74</v>
      </c>
      <c r="E67" s="41" t="s">
        <v>75</v>
      </c>
      <c r="F67" s="41" t="s">
        <v>1202</v>
      </c>
      <c r="G67" s="41" t="s">
        <v>1203</v>
      </c>
      <c r="H67" s="41" t="s">
        <v>1204</v>
      </c>
      <c r="I67" s="41" t="s">
        <v>1205</v>
      </c>
      <c r="J67" s="41" t="s">
        <v>1206</v>
      </c>
      <c r="K67" s="41" t="s">
        <v>1207</v>
      </c>
      <c r="L67" s="41" t="s">
        <v>1208</v>
      </c>
      <c r="M67" s="41" t="s">
        <v>786</v>
      </c>
      <c r="N67" s="41" t="s">
        <v>787</v>
      </c>
      <c r="O67" s="40" t="s">
        <v>788</v>
      </c>
      <c r="P67" s="41" t="s">
        <v>148</v>
      </c>
      <c r="Q67" s="41" t="s">
        <v>149</v>
      </c>
      <c r="R67" s="41" t="s">
        <v>789</v>
      </c>
      <c r="S67" s="41" t="s">
        <v>284</v>
      </c>
      <c r="T67" s="49">
        <v>1</v>
      </c>
      <c r="U67" s="41" t="s">
        <v>75</v>
      </c>
      <c r="V67" s="41" t="s">
        <v>75</v>
      </c>
      <c r="W67" s="50">
        <v>199</v>
      </c>
      <c r="X67" s="49">
        <v>199</v>
      </c>
      <c r="Y67" s="49">
        <v>0</v>
      </c>
      <c r="Z67" s="50">
        <v>0</v>
      </c>
      <c r="AA67" s="41" t="s">
        <v>75</v>
      </c>
      <c r="AB67" s="50">
        <v>0</v>
      </c>
      <c r="AC67" s="50">
        <v>199</v>
      </c>
      <c r="AD67" s="41" t="s">
        <v>88</v>
      </c>
      <c r="AE67" s="41" t="s">
        <v>1209</v>
      </c>
      <c r="AF67" s="41" t="s">
        <v>75</v>
      </c>
      <c r="AG67" s="41" t="s">
        <v>75</v>
      </c>
      <c r="AH67" s="41" t="s">
        <v>75</v>
      </c>
      <c r="AI67" s="41" t="s">
        <v>1156</v>
      </c>
      <c r="AJ67" s="41" t="s">
        <v>75</v>
      </c>
      <c r="AK67" s="41" t="s">
        <v>91</v>
      </c>
      <c r="AL67" s="40" t="s">
        <v>92</v>
      </c>
      <c r="AM67" s="41" t="s">
        <v>93</v>
      </c>
      <c r="AN67" s="41" t="s">
        <v>1210</v>
      </c>
      <c r="AO67" s="41" t="s">
        <v>75</v>
      </c>
      <c r="AP67" s="41" t="s">
        <v>75</v>
      </c>
      <c r="AQ67" s="41" t="s">
        <v>75</v>
      </c>
      <c r="AR67" s="41" t="s">
        <v>75</v>
      </c>
      <c r="AS67" s="41" t="s">
        <v>75</v>
      </c>
      <c r="AT67" s="41" t="s">
        <v>75</v>
      </c>
      <c r="AU67" s="41" t="s">
        <v>75</v>
      </c>
      <c r="AV67" s="41" t="s">
        <v>1211</v>
      </c>
      <c r="AW67" s="41" t="s">
        <v>75</v>
      </c>
      <c r="AX67" s="41" t="s">
        <v>75</v>
      </c>
      <c r="AY67" s="41" t="s">
        <v>1159</v>
      </c>
      <c r="AZ67" s="41" t="s">
        <v>895</v>
      </c>
      <c r="BA67" s="41" t="s">
        <v>1212</v>
      </c>
      <c r="BB67" s="41" t="s">
        <v>99</v>
      </c>
      <c r="BC67" s="41" t="s">
        <v>100</v>
      </c>
      <c r="BD67" s="41" t="s">
        <v>1213</v>
      </c>
      <c r="BE67" s="41" t="s">
        <v>75</v>
      </c>
      <c r="BF67" s="41" t="s">
        <v>1184</v>
      </c>
      <c r="BG67" s="41" t="s">
        <v>1214</v>
      </c>
      <c r="BH67" s="41" t="s">
        <v>75</v>
      </c>
      <c r="BI67" s="41" t="s">
        <v>102</v>
      </c>
      <c r="BJ67" s="41" t="s">
        <v>1215</v>
      </c>
      <c r="BK67" s="41" t="s">
        <v>104</v>
      </c>
      <c r="BL67" s="41" t="s">
        <v>105</v>
      </c>
      <c r="BM67" s="41" t="s">
        <v>75</v>
      </c>
      <c r="BN67" s="41" t="s">
        <v>75</v>
      </c>
      <c r="BO67" s="41" t="s">
        <v>75</v>
      </c>
      <c r="BP67" s="41" t="s">
        <v>75</v>
      </c>
      <c r="BQ67" s="40" t="s">
        <v>798</v>
      </c>
      <c r="BR67" s="41" t="s">
        <v>776</v>
      </c>
      <c r="BS67" s="43" t="s">
        <v>777</v>
      </c>
    </row>
    <row r="68" spans="1:71">
      <c r="A68" s="40" t="s">
        <v>1216</v>
      </c>
      <c r="B68" s="41" t="s">
        <v>72</v>
      </c>
      <c r="C68" s="41" t="s">
        <v>73</v>
      </c>
      <c r="D68" s="41" t="s">
        <v>74</v>
      </c>
      <c r="E68" s="41" t="s">
        <v>75</v>
      </c>
      <c r="F68" s="41" t="s">
        <v>174</v>
      </c>
      <c r="G68" s="41" t="s">
        <v>866</v>
      </c>
      <c r="H68" s="41" t="s">
        <v>867</v>
      </c>
      <c r="I68" s="41" t="s">
        <v>79</v>
      </c>
      <c r="J68" s="41" t="s">
        <v>80</v>
      </c>
      <c r="K68" s="41" t="s">
        <v>868</v>
      </c>
      <c r="L68" s="41" t="s">
        <v>869</v>
      </c>
      <c r="M68" s="41" t="s">
        <v>764</v>
      </c>
      <c r="N68" s="41" t="s">
        <v>765</v>
      </c>
      <c r="O68" s="40" t="s">
        <v>766</v>
      </c>
      <c r="P68" s="41" t="s">
        <v>148</v>
      </c>
      <c r="Q68" s="41" t="s">
        <v>149</v>
      </c>
      <c r="R68" s="41" t="s">
        <v>767</v>
      </c>
      <c r="S68" s="41" t="s">
        <v>183</v>
      </c>
      <c r="T68" s="49">
        <v>1</v>
      </c>
      <c r="U68" s="41" t="s">
        <v>75</v>
      </c>
      <c r="V68" s="41" t="s">
        <v>75</v>
      </c>
      <c r="W68" s="50">
        <v>199</v>
      </c>
      <c r="X68" s="49">
        <v>199</v>
      </c>
      <c r="Y68" s="49">
        <v>0</v>
      </c>
      <c r="Z68" s="50">
        <v>0</v>
      </c>
      <c r="AA68" s="41" t="s">
        <v>75</v>
      </c>
      <c r="AB68" s="50">
        <v>0</v>
      </c>
      <c r="AC68" s="50">
        <v>199</v>
      </c>
      <c r="AD68" s="41" t="s">
        <v>209</v>
      </c>
      <c r="AE68" s="41" t="s">
        <v>1217</v>
      </c>
      <c r="AF68" s="41" t="s">
        <v>75</v>
      </c>
      <c r="AG68" s="41" t="s">
        <v>75</v>
      </c>
      <c r="AH68" s="41" t="s">
        <v>75</v>
      </c>
      <c r="AI68" s="41" t="s">
        <v>1218</v>
      </c>
      <c r="AJ68" s="41" t="s">
        <v>75</v>
      </c>
      <c r="AK68" s="41" t="s">
        <v>91</v>
      </c>
      <c r="AL68" s="40" t="s">
        <v>92</v>
      </c>
      <c r="AM68" s="41" t="s">
        <v>93</v>
      </c>
      <c r="AN68" s="41" t="s">
        <v>1219</v>
      </c>
      <c r="AO68" s="41" t="s">
        <v>75</v>
      </c>
      <c r="AP68" s="41" t="s">
        <v>75</v>
      </c>
      <c r="AQ68" s="41" t="s">
        <v>75</v>
      </c>
      <c r="AR68" s="41" t="s">
        <v>75</v>
      </c>
      <c r="AS68" s="41" t="s">
        <v>75</v>
      </c>
      <c r="AT68" s="41" t="s">
        <v>75</v>
      </c>
      <c r="AU68" s="41" t="s">
        <v>75</v>
      </c>
      <c r="AV68" s="41" t="s">
        <v>1220</v>
      </c>
      <c r="AW68" s="41" t="s">
        <v>75</v>
      </c>
      <c r="AX68" s="41" t="s">
        <v>75</v>
      </c>
      <c r="AY68" s="41" t="s">
        <v>1221</v>
      </c>
      <c r="AZ68" s="41" t="s">
        <v>773</v>
      </c>
      <c r="BA68" s="41" t="s">
        <v>1222</v>
      </c>
      <c r="BB68" s="41" t="s">
        <v>99</v>
      </c>
      <c r="BC68" s="41" t="s">
        <v>100</v>
      </c>
      <c r="BD68" s="41" t="s">
        <v>101</v>
      </c>
      <c r="BE68" s="41" t="s">
        <v>75</v>
      </c>
      <c r="BF68" s="41" t="s">
        <v>75</v>
      </c>
      <c r="BG68" s="41" t="s">
        <v>75</v>
      </c>
      <c r="BH68" s="41" t="s">
        <v>75</v>
      </c>
      <c r="BI68" s="41" t="s">
        <v>102</v>
      </c>
      <c r="BJ68" s="41" t="s">
        <v>881</v>
      </c>
      <c r="BK68" s="41" t="s">
        <v>104</v>
      </c>
      <c r="BL68" s="41" t="s">
        <v>105</v>
      </c>
      <c r="BM68" s="41" t="s">
        <v>75</v>
      </c>
      <c r="BN68" s="41" t="s">
        <v>75</v>
      </c>
      <c r="BO68" s="41" t="s">
        <v>75</v>
      </c>
      <c r="BP68" s="41" t="s">
        <v>75</v>
      </c>
      <c r="BQ68" s="40" t="s">
        <v>775</v>
      </c>
      <c r="BR68" s="41" t="s">
        <v>776</v>
      </c>
      <c r="BS68" s="43" t="s">
        <v>777</v>
      </c>
    </row>
    <row r="69" spans="1:71">
      <c r="A69" s="40" t="s">
        <v>1223</v>
      </c>
      <c r="B69" s="41" t="s">
        <v>110</v>
      </c>
      <c r="C69" s="41" t="s">
        <v>111</v>
      </c>
      <c r="D69" s="41" t="s">
        <v>74</v>
      </c>
      <c r="E69" s="41" t="s">
        <v>75</v>
      </c>
      <c r="F69" s="41" t="s">
        <v>1149</v>
      </c>
      <c r="G69" s="41" t="s">
        <v>1150</v>
      </c>
      <c r="H69" s="41" t="s">
        <v>1151</v>
      </c>
      <c r="I69" s="41" t="s">
        <v>427</v>
      </c>
      <c r="J69" s="41" t="s">
        <v>1152</v>
      </c>
      <c r="K69" s="41" t="s">
        <v>1153</v>
      </c>
      <c r="L69" s="41" t="s">
        <v>1154</v>
      </c>
      <c r="M69" s="41" t="s">
        <v>923</v>
      </c>
      <c r="N69" s="41" t="s">
        <v>924</v>
      </c>
      <c r="O69" s="40" t="s">
        <v>925</v>
      </c>
      <c r="P69" s="41" t="s">
        <v>148</v>
      </c>
      <c r="Q69" s="41" t="s">
        <v>149</v>
      </c>
      <c r="R69" s="41" t="s">
        <v>926</v>
      </c>
      <c r="S69" s="41" t="s">
        <v>927</v>
      </c>
      <c r="T69" s="49">
        <v>1</v>
      </c>
      <c r="U69" s="41" t="s">
        <v>75</v>
      </c>
      <c r="V69" s="41" t="s">
        <v>75</v>
      </c>
      <c r="W69" s="50">
        <v>179</v>
      </c>
      <c r="X69" s="49">
        <v>179</v>
      </c>
      <c r="Y69" s="49">
        <v>0</v>
      </c>
      <c r="Z69" s="50">
        <v>0</v>
      </c>
      <c r="AA69" s="41" t="s">
        <v>75</v>
      </c>
      <c r="AB69" s="50">
        <v>0</v>
      </c>
      <c r="AC69" s="50">
        <v>179</v>
      </c>
      <c r="AD69" s="41" t="s">
        <v>88</v>
      </c>
      <c r="AE69" s="41" t="s">
        <v>1224</v>
      </c>
      <c r="AF69" s="41" t="s">
        <v>75</v>
      </c>
      <c r="AG69" s="41" t="s">
        <v>75</v>
      </c>
      <c r="AH69" s="41" t="s">
        <v>75</v>
      </c>
      <c r="AI69" s="41" t="s">
        <v>1225</v>
      </c>
      <c r="AJ69" s="41" t="s">
        <v>75</v>
      </c>
      <c r="AK69" s="41" t="s">
        <v>91</v>
      </c>
      <c r="AL69" s="40" t="s">
        <v>92</v>
      </c>
      <c r="AM69" s="41" t="s">
        <v>93</v>
      </c>
      <c r="AN69" s="41" t="s">
        <v>1226</v>
      </c>
      <c r="AO69" s="41" t="s">
        <v>75</v>
      </c>
      <c r="AP69" s="41" t="s">
        <v>75</v>
      </c>
      <c r="AQ69" s="41" t="s">
        <v>75</v>
      </c>
      <c r="AR69" s="41" t="s">
        <v>75</v>
      </c>
      <c r="AS69" s="41" t="s">
        <v>75</v>
      </c>
      <c r="AT69" s="41" t="s">
        <v>75</v>
      </c>
      <c r="AU69" s="41" t="s">
        <v>75</v>
      </c>
      <c r="AV69" s="41" t="s">
        <v>1227</v>
      </c>
      <c r="AW69" s="41" t="s">
        <v>75</v>
      </c>
      <c r="AX69" s="41" t="s">
        <v>75</v>
      </c>
      <c r="AY69" s="41" t="s">
        <v>1228</v>
      </c>
      <c r="AZ69" s="41" t="s">
        <v>1229</v>
      </c>
      <c r="BA69" s="41" t="s">
        <v>75</v>
      </c>
      <c r="BB69" s="41" t="s">
        <v>99</v>
      </c>
      <c r="BC69" s="41" t="s">
        <v>75</v>
      </c>
      <c r="BD69" s="41" t="s">
        <v>101</v>
      </c>
      <c r="BE69" s="41" t="s">
        <v>75</v>
      </c>
      <c r="BF69" s="41" t="s">
        <v>130</v>
      </c>
      <c r="BG69" s="41" t="s">
        <v>1230</v>
      </c>
      <c r="BH69" s="41" t="s">
        <v>75</v>
      </c>
      <c r="BI69" s="41" t="s">
        <v>102</v>
      </c>
      <c r="BJ69" s="41" t="s">
        <v>1161</v>
      </c>
      <c r="BK69" s="41" t="s">
        <v>104</v>
      </c>
      <c r="BL69" s="41" t="s">
        <v>105</v>
      </c>
      <c r="BM69" s="41" t="s">
        <v>75</v>
      </c>
      <c r="BN69" s="41" t="s">
        <v>75</v>
      </c>
      <c r="BO69" s="41" t="s">
        <v>75</v>
      </c>
      <c r="BP69" s="41" t="s">
        <v>75</v>
      </c>
      <c r="BQ69" s="40" t="s">
        <v>936</v>
      </c>
      <c r="BR69" s="41" t="s">
        <v>444</v>
      </c>
      <c r="BS69" s="43" t="s">
        <v>445</v>
      </c>
    </row>
    <row r="70" spans="1:71">
      <c r="A70" s="40" t="s">
        <v>1231</v>
      </c>
      <c r="B70" s="41" t="s">
        <v>72</v>
      </c>
      <c r="C70" s="41" t="s">
        <v>73</v>
      </c>
      <c r="D70" s="41" t="s">
        <v>74</v>
      </c>
      <c r="E70" s="41" t="s">
        <v>75</v>
      </c>
      <c r="F70" s="41" t="s">
        <v>332</v>
      </c>
      <c r="G70" s="41" t="s">
        <v>1133</v>
      </c>
      <c r="H70" s="41" t="s">
        <v>965</v>
      </c>
      <c r="I70" s="41" t="s">
        <v>845</v>
      </c>
      <c r="J70" s="41" t="s">
        <v>846</v>
      </c>
      <c r="K70" s="41" t="s">
        <v>966</v>
      </c>
      <c r="L70" s="41" t="s">
        <v>1134</v>
      </c>
      <c r="M70" s="41" t="s">
        <v>923</v>
      </c>
      <c r="N70" s="41" t="s">
        <v>924</v>
      </c>
      <c r="O70" s="40" t="s">
        <v>925</v>
      </c>
      <c r="P70" s="41" t="s">
        <v>148</v>
      </c>
      <c r="Q70" s="41" t="s">
        <v>149</v>
      </c>
      <c r="R70" s="41" t="s">
        <v>926</v>
      </c>
      <c r="S70" s="41" t="s">
        <v>927</v>
      </c>
      <c r="T70" s="49">
        <v>1</v>
      </c>
      <c r="U70" s="41" t="s">
        <v>75</v>
      </c>
      <c r="V70" s="41" t="s">
        <v>75</v>
      </c>
      <c r="W70" s="50">
        <v>179</v>
      </c>
      <c r="X70" s="49">
        <v>179</v>
      </c>
      <c r="Y70" s="49">
        <v>0</v>
      </c>
      <c r="Z70" s="50">
        <v>0</v>
      </c>
      <c r="AA70" s="41" t="s">
        <v>75</v>
      </c>
      <c r="AB70" s="50">
        <v>0</v>
      </c>
      <c r="AC70" s="50">
        <v>179</v>
      </c>
      <c r="AD70" s="41" t="s">
        <v>88</v>
      </c>
      <c r="AE70" s="41" t="s">
        <v>1232</v>
      </c>
      <c r="AF70" s="41" t="s">
        <v>75</v>
      </c>
      <c r="AG70" s="41" t="s">
        <v>75</v>
      </c>
      <c r="AH70" s="41" t="s">
        <v>75</v>
      </c>
      <c r="AI70" s="41" t="s">
        <v>1233</v>
      </c>
      <c r="AJ70" s="41" t="s">
        <v>75</v>
      </c>
      <c r="AK70" s="41" t="s">
        <v>91</v>
      </c>
      <c r="AL70" s="40" t="s">
        <v>92</v>
      </c>
      <c r="AM70" s="41" t="s">
        <v>93</v>
      </c>
      <c r="AN70" s="41" t="s">
        <v>1234</v>
      </c>
      <c r="AO70" s="41" t="s">
        <v>75</v>
      </c>
      <c r="AP70" s="41" t="s">
        <v>75</v>
      </c>
      <c r="AQ70" s="41" t="s">
        <v>75</v>
      </c>
      <c r="AR70" s="41" t="s">
        <v>75</v>
      </c>
      <c r="AS70" s="41" t="s">
        <v>75</v>
      </c>
      <c r="AT70" s="41" t="s">
        <v>75</v>
      </c>
      <c r="AU70" s="41" t="s">
        <v>75</v>
      </c>
      <c r="AV70" s="41" t="s">
        <v>1235</v>
      </c>
      <c r="AW70" s="41" t="s">
        <v>75</v>
      </c>
      <c r="AX70" s="41" t="s">
        <v>75</v>
      </c>
      <c r="AY70" s="41" t="s">
        <v>1236</v>
      </c>
      <c r="AZ70" s="41" t="s">
        <v>1229</v>
      </c>
      <c r="BA70" s="41" t="s">
        <v>1237</v>
      </c>
      <c r="BB70" s="41" t="s">
        <v>99</v>
      </c>
      <c r="BC70" s="41" t="s">
        <v>100</v>
      </c>
      <c r="BD70" s="41" t="s">
        <v>101</v>
      </c>
      <c r="BE70" s="41" t="s">
        <v>75</v>
      </c>
      <c r="BF70" s="41" t="s">
        <v>75</v>
      </c>
      <c r="BG70" s="41" t="s">
        <v>75</v>
      </c>
      <c r="BH70" s="41" t="s">
        <v>75</v>
      </c>
      <c r="BI70" s="41" t="s">
        <v>102</v>
      </c>
      <c r="BJ70" s="41" t="s">
        <v>1146</v>
      </c>
      <c r="BK70" s="41" t="s">
        <v>104</v>
      </c>
      <c r="BL70" s="41" t="s">
        <v>105</v>
      </c>
      <c r="BM70" s="41" t="s">
        <v>75</v>
      </c>
      <c r="BN70" s="41" t="s">
        <v>75</v>
      </c>
      <c r="BO70" s="41" t="s">
        <v>75</v>
      </c>
      <c r="BP70" s="41" t="s">
        <v>75</v>
      </c>
      <c r="BQ70" s="40" t="s">
        <v>936</v>
      </c>
      <c r="BR70" s="41" t="s">
        <v>444</v>
      </c>
      <c r="BS70" s="43" t="s">
        <v>445</v>
      </c>
    </row>
    <row r="71" spans="1:71">
      <c r="A71" s="40" t="s">
        <v>1238</v>
      </c>
      <c r="B71" s="41" t="s">
        <v>72</v>
      </c>
      <c r="C71" s="41" t="s">
        <v>111</v>
      </c>
      <c r="D71" s="41" t="s">
        <v>74</v>
      </c>
      <c r="E71" s="41" t="s">
        <v>75</v>
      </c>
      <c r="F71" s="41" t="s">
        <v>223</v>
      </c>
      <c r="G71" s="41" t="s">
        <v>1239</v>
      </c>
      <c r="H71" s="41" t="s">
        <v>1240</v>
      </c>
      <c r="I71" s="41" t="s">
        <v>551</v>
      </c>
      <c r="J71" s="41" t="s">
        <v>552</v>
      </c>
      <c r="K71" s="41" t="s">
        <v>1241</v>
      </c>
      <c r="L71" s="41" t="s">
        <v>1242</v>
      </c>
      <c r="M71" s="41" t="s">
        <v>809</v>
      </c>
      <c r="N71" s="41" t="s">
        <v>810</v>
      </c>
      <c r="O71" s="40" t="s">
        <v>811</v>
      </c>
      <c r="P71" s="41" t="s">
        <v>148</v>
      </c>
      <c r="Q71" s="41" t="s">
        <v>149</v>
      </c>
      <c r="R71" s="41" t="s">
        <v>812</v>
      </c>
      <c r="S71" s="41" t="s">
        <v>813</v>
      </c>
      <c r="T71" s="49">
        <v>1</v>
      </c>
      <c r="U71" s="41" t="s">
        <v>75</v>
      </c>
      <c r="V71" s="41" t="s">
        <v>75</v>
      </c>
      <c r="W71" s="50">
        <v>179</v>
      </c>
      <c r="X71" s="49">
        <v>189</v>
      </c>
      <c r="Y71" s="49">
        <v>0</v>
      </c>
      <c r="Z71" s="50">
        <v>0</v>
      </c>
      <c r="AA71" s="41" t="s">
        <v>75</v>
      </c>
      <c r="AB71" s="50">
        <v>0</v>
      </c>
      <c r="AC71" s="50">
        <v>189</v>
      </c>
      <c r="AD71" s="41" t="s">
        <v>88</v>
      </c>
      <c r="AE71" s="41" t="s">
        <v>1243</v>
      </c>
      <c r="AF71" s="41" t="s">
        <v>75</v>
      </c>
      <c r="AG71" s="41" t="s">
        <v>75</v>
      </c>
      <c r="AH71" s="41" t="s">
        <v>75</v>
      </c>
      <c r="AI71" s="41" t="s">
        <v>1244</v>
      </c>
      <c r="AJ71" s="41" t="s">
        <v>75</v>
      </c>
      <c r="AK71" s="41" t="s">
        <v>91</v>
      </c>
      <c r="AL71" s="40" t="s">
        <v>557</v>
      </c>
      <c r="AM71" s="41" t="s">
        <v>93</v>
      </c>
      <c r="AN71" s="41" t="s">
        <v>1245</v>
      </c>
      <c r="AO71" s="41" t="s">
        <v>75</v>
      </c>
      <c r="AP71" s="41" t="s">
        <v>75</v>
      </c>
      <c r="AQ71" s="41" t="s">
        <v>75</v>
      </c>
      <c r="AR71" s="41" t="s">
        <v>75</v>
      </c>
      <c r="AS71" s="41" t="s">
        <v>75</v>
      </c>
      <c r="AT71" s="41" t="s">
        <v>75</v>
      </c>
      <c r="AU71" s="41" t="s">
        <v>75</v>
      </c>
      <c r="AV71" s="41" t="s">
        <v>1246</v>
      </c>
      <c r="AW71" s="41" t="s">
        <v>75</v>
      </c>
      <c r="AX71" s="41" t="s">
        <v>75</v>
      </c>
      <c r="AY71" s="41" t="s">
        <v>1247</v>
      </c>
      <c r="AZ71" s="41" t="s">
        <v>1248</v>
      </c>
      <c r="BA71" s="41" t="s">
        <v>1249</v>
      </c>
      <c r="BB71" s="41" t="s">
        <v>99</v>
      </c>
      <c r="BC71" s="41" t="s">
        <v>100</v>
      </c>
      <c r="BD71" s="41" t="s">
        <v>101</v>
      </c>
      <c r="BE71" s="41" t="s">
        <v>75</v>
      </c>
      <c r="BF71" s="41" t="s">
        <v>130</v>
      </c>
      <c r="BG71" s="41" t="s">
        <v>1250</v>
      </c>
      <c r="BH71" s="41" t="s">
        <v>75</v>
      </c>
      <c r="BI71" s="41" t="s">
        <v>102</v>
      </c>
      <c r="BJ71" s="41" t="s">
        <v>1251</v>
      </c>
      <c r="BK71" s="41" t="s">
        <v>104</v>
      </c>
      <c r="BL71" s="41" t="s">
        <v>105</v>
      </c>
      <c r="BM71" s="41" t="s">
        <v>75</v>
      </c>
      <c r="BN71" s="41" t="s">
        <v>75</v>
      </c>
      <c r="BO71" s="41" t="s">
        <v>75</v>
      </c>
      <c r="BP71" s="41" t="s">
        <v>75</v>
      </c>
      <c r="BQ71" s="40" t="s">
        <v>821</v>
      </c>
      <c r="BR71" s="41" t="s">
        <v>444</v>
      </c>
      <c r="BS71" s="43" t="s">
        <v>445</v>
      </c>
    </row>
    <row r="72" spans="1:71">
      <c r="A72" s="40" t="s">
        <v>1252</v>
      </c>
      <c r="B72" s="41" t="s">
        <v>72</v>
      </c>
      <c r="C72" s="41" t="s">
        <v>73</v>
      </c>
      <c r="D72" s="41" t="s">
        <v>74</v>
      </c>
      <c r="E72" s="41" t="s">
        <v>75</v>
      </c>
      <c r="F72" s="41" t="s">
        <v>1253</v>
      </c>
      <c r="G72" s="41" t="s">
        <v>1254</v>
      </c>
      <c r="H72" s="41" t="s">
        <v>1255</v>
      </c>
      <c r="I72" s="41" t="s">
        <v>404</v>
      </c>
      <c r="J72" s="41" t="s">
        <v>1256</v>
      </c>
      <c r="K72" s="41" t="s">
        <v>1257</v>
      </c>
      <c r="L72" s="41" t="s">
        <v>1258</v>
      </c>
      <c r="M72" s="41" t="s">
        <v>923</v>
      </c>
      <c r="N72" s="41" t="s">
        <v>924</v>
      </c>
      <c r="O72" s="40" t="s">
        <v>925</v>
      </c>
      <c r="P72" s="41" t="s">
        <v>148</v>
      </c>
      <c r="Q72" s="41" t="s">
        <v>149</v>
      </c>
      <c r="R72" s="41" t="s">
        <v>926</v>
      </c>
      <c r="S72" s="41" t="s">
        <v>927</v>
      </c>
      <c r="T72" s="49">
        <v>1</v>
      </c>
      <c r="U72" s="41" t="s">
        <v>75</v>
      </c>
      <c r="V72" s="41" t="s">
        <v>75</v>
      </c>
      <c r="W72" s="50">
        <v>179</v>
      </c>
      <c r="X72" s="49">
        <v>179</v>
      </c>
      <c r="Y72" s="49">
        <v>0</v>
      </c>
      <c r="Z72" s="50">
        <v>0</v>
      </c>
      <c r="AA72" s="41" t="s">
        <v>75</v>
      </c>
      <c r="AB72" s="50">
        <v>0</v>
      </c>
      <c r="AC72" s="50">
        <v>179</v>
      </c>
      <c r="AD72" s="41" t="s">
        <v>88</v>
      </c>
      <c r="AE72" s="41" t="s">
        <v>1259</v>
      </c>
      <c r="AF72" s="41" t="s">
        <v>75</v>
      </c>
      <c r="AG72" s="41" t="s">
        <v>75</v>
      </c>
      <c r="AH72" s="41" t="s">
        <v>75</v>
      </c>
      <c r="AI72" s="41" t="s">
        <v>1260</v>
      </c>
      <c r="AJ72" s="41" t="s">
        <v>75</v>
      </c>
      <c r="AK72" s="41" t="s">
        <v>91</v>
      </c>
      <c r="AL72" s="40" t="s">
        <v>92</v>
      </c>
      <c r="AM72" s="41" t="s">
        <v>93</v>
      </c>
      <c r="AN72" s="41" t="s">
        <v>1261</v>
      </c>
      <c r="AO72" s="41" t="s">
        <v>75</v>
      </c>
      <c r="AP72" s="41" t="s">
        <v>75</v>
      </c>
      <c r="AQ72" s="41" t="s">
        <v>75</v>
      </c>
      <c r="AR72" s="41" t="s">
        <v>75</v>
      </c>
      <c r="AS72" s="41" t="s">
        <v>75</v>
      </c>
      <c r="AT72" s="41" t="s">
        <v>75</v>
      </c>
      <c r="AU72" s="41" t="s">
        <v>75</v>
      </c>
      <c r="AV72" s="41" t="s">
        <v>1262</v>
      </c>
      <c r="AW72" s="41" t="s">
        <v>75</v>
      </c>
      <c r="AX72" s="41" t="s">
        <v>75</v>
      </c>
      <c r="AY72" s="41" t="s">
        <v>1263</v>
      </c>
      <c r="AZ72" s="41" t="s">
        <v>1264</v>
      </c>
      <c r="BA72" s="41" t="s">
        <v>1265</v>
      </c>
      <c r="BB72" s="41" t="s">
        <v>99</v>
      </c>
      <c r="BC72" s="41" t="s">
        <v>159</v>
      </c>
      <c r="BD72" s="41" t="s">
        <v>101</v>
      </c>
      <c r="BE72" s="41" t="s">
        <v>75</v>
      </c>
      <c r="BF72" s="41" t="s">
        <v>75</v>
      </c>
      <c r="BG72" s="41" t="s">
        <v>75</v>
      </c>
      <c r="BH72" s="41" t="s">
        <v>75</v>
      </c>
      <c r="BI72" s="41" t="s">
        <v>102</v>
      </c>
      <c r="BJ72" s="41" t="s">
        <v>1266</v>
      </c>
      <c r="BK72" s="41" t="s">
        <v>104</v>
      </c>
      <c r="BL72" s="41" t="s">
        <v>105</v>
      </c>
      <c r="BM72" s="41" t="s">
        <v>75</v>
      </c>
      <c r="BN72" s="41" t="s">
        <v>75</v>
      </c>
      <c r="BO72" s="41" t="s">
        <v>75</v>
      </c>
      <c r="BP72" s="41" t="s">
        <v>75</v>
      </c>
      <c r="BQ72" s="40" t="s">
        <v>936</v>
      </c>
      <c r="BR72" s="41" t="s">
        <v>444</v>
      </c>
      <c r="BS72" s="43" t="s">
        <v>445</v>
      </c>
    </row>
    <row r="73" spans="1:71">
      <c r="A73" s="40" t="s">
        <v>1267</v>
      </c>
      <c r="B73" s="41" t="s">
        <v>72</v>
      </c>
      <c r="C73" s="41" t="s">
        <v>73</v>
      </c>
      <c r="D73" s="41" t="s">
        <v>74</v>
      </c>
      <c r="E73" s="41" t="s">
        <v>75</v>
      </c>
      <c r="F73" s="41" t="s">
        <v>197</v>
      </c>
      <c r="G73" s="41" t="s">
        <v>1268</v>
      </c>
      <c r="H73" s="41" t="s">
        <v>867</v>
      </c>
      <c r="I73" s="41" t="s">
        <v>79</v>
      </c>
      <c r="J73" s="41" t="s">
        <v>80</v>
      </c>
      <c r="K73" s="41" t="s">
        <v>868</v>
      </c>
      <c r="L73" s="41" t="s">
        <v>869</v>
      </c>
      <c r="M73" s="41" t="s">
        <v>809</v>
      </c>
      <c r="N73" s="41" t="s">
        <v>810</v>
      </c>
      <c r="O73" s="40" t="s">
        <v>811</v>
      </c>
      <c r="P73" s="41" t="s">
        <v>148</v>
      </c>
      <c r="Q73" s="41" t="s">
        <v>149</v>
      </c>
      <c r="R73" s="41" t="s">
        <v>812</v>
      </c>
      <c r="S73" s="41" t="s">
        <v>813</v>
      </c>
      <c r="T73" s="49">
        <v>1</v>
      </c>
      <c r="U73" s="41" t="s">
        <v>75</v>
      </c>
      <c r="V73" s="41" t="s">
        <v>75</v>
      </c>
      <c r="W73" s="50">
        <v>179</v>
      </c>
      <c r="X73" s="49">
        <v>179</v>
      </c>
      <c r="Y73" s="49">
        <v>0</v>
      </c>
      <c r="Z73" s="50">
        <v>0</v>
      </c>
      <c r="AA73" s="41" t="s">
        <v>75</v>
      </c>
      <c r="AB73" s="50">
        <v>0</v>
      </c>
      <c r="AC73" s="50">
        <v>179</v>
      </c>
      <c r="AD73" s="41" t="s">
        <v>88</v>
      </c>
      <c r="AE73" s="41" t="s">
        <v>1269</v>
      </c>
      <c r="AF73" s="41" t="s">
        <v>75</v>
      </c>
      <c r="AG73" s="41" t="s">
        <v>75</v>
      </c>
      <c r="AH73" s="41" t="s">
        <v>75</v>
      </c>
      <c r="AI73" s="41" t="s">
        <v>1270</v>
      </c>
      <c r="AJ73" s="41" t="s">
        <v>75</v>
      </c>
      <c r="AK73" s="41" t="s">
        <v>91</v>
      </c>
      <c r="AL73" s="40" t="s">
        <v>92</v>
      </c>
      <c r="AM73" s="41" t="s">
        <v>93</v>
      </c>
      <c r="AN73" s="41" t="s">
        <v>1271</v>
      </c>
      <c r="AO73" s="41" t="s">
        <v>75</v>
      </c>
      <c r="AP73" s="41" t="s">
        <v>75</v>
      </c>
      <c r="AQ73" s="41" t="s">
        <v>75</v>
      </c>
      <c r="AR73" s="41" t="s">
        <v>75</v>
      </c>
      <c r="AS73" s="41" t="s">
        <v>75</v>
      </c>
      <c r="AT73" s="41" t="s">
        <v>75</v>
      </c>
      <c r="AU73" s="41" t="s">
        <v>75</v>
      </c>
      <c r="AV73" s="41" t="s">
        <v>1272</v>
      </c>
      <c r="AW73" s="41" t="s">
        <v>75</v>
      </c>
      <c r="AX73" s="41" t="s">
        <v>75</v>
      </c>
      <c r="AY73" s="41" t="s">
        <v>1273</v>
      </c>
      <c r="AZ73" s="41" t="s">
        <v>1274</v>
      </c>
      <c r="BA73" s="41" t="s">
        <v>1275</v>
      </c>
      <c r="BB73" s="41" t="s">
        <v>99</v>
      </c>
      <c r="BC73" s="41" t="s">
        <v>159</v>
      </c>
      <c r="BD73" s="41" t="s">
        <v>101</v>
      </c>
      <c r="BE73" s="41" t="s">
        <v>75</v>
      </c>
      <c r="BF73" s="41" t="s">
        <v>75</v>
      </c>
      <c r="BG73" s="41" t="s">
        <v>75</v>
      </c>
      <c r="BH73" s="41" t="s">
        <v>75</v>
      </c>
      <c r="BI73" s="41" t="s">
        <v>102</v>
      </c>
      <c r="BJ73" s="41" t="s">
        <v>1276</v>
      </c>
      <c r="BK73" s="41" t="s">
        <v>104</v>
      </c>
      <c r="BL73" s="41" t="s">
        <v>105</v>
      </c>
      <c r="BM73" s="41" t="s">
        <v>75</v>
      </c>
      <c r="BN73" s="41" t="s">
        <v>75</v>
      </c>
      <c r="BO73" s="41" t="s">
        <v>75</v>
      </c>
      <c r="BP73" s="41" t="s">
        <v>75</v>
      </c>
      <c r="BQ73" s="40" t="s">
        <v>821</v>
      </c>
      <c r="BR73" s="41" t="s">
        <v>444</v>
      </c>
      <c r="BS73" s="43" t="s">
        <v>445</v>
      </c>
    </row>
    <row r="74" spans="1:71">
      <c r="A74" s="40" t="s">
        <v>1277</v>
      </c>
      <c r="B74" s="41" t="s">
        <v>110</v>
      </c>
      <c r="C74" s="41" t="s">
        <v>111</v>
      </c>
      <c r="D74" s="41" t="s">
        <v>74</v>
      </c>
      <c r="E74" s="41" t="s">
        <v>75</v>
      </c>
      <c r="F74" s="41" t="s">
        <v>1278</v>
      </c>
      <c r="G74" s="41" t="s">
        <v>1279</v>
      </c>
      <c r="H74" s="41" t="s">
        <v>1280</v>
      </c>
      <c r="I74" s="41" t="s">
        <v>381</v>
      </c>
      <c r="J74" s="41" t="s">
        <v>1281</v>
      </c>
      <c r="K74" s="41" t="s">
        <v>1282</v>
      </c>
      <c r="L74" s="41" t="s">
        <v>1283</v>
      </c>
      <c r="M74" s="41" t="s">
        <v>809</v>
      </c>
      <c r="N74" s="41" t="s">
        <v>810</v>
      </c>
      <c r="O74" s="40" t="s">
        <v>811</v>
      </c>
      <c r="P74" s="41" t="s">
        <v>148</v>
      </c>
      <c r="Q74" s="41" t="s">
        <v>149</v>
      </c>
      <c r="R74" s="41" t="s">
        <v>812</v>
      </c>
      <c r="S74" s="41" t="s">
        <v>813</v>
      </c>
      <c r="T74" s="49">
        <v>1</v>
      </c>
      <c r="U74" s="41" t="s">
        <v>75</v>
      </c>
      <c r="V74" s="41" t="s">
        <v>75</v>
      </c>
      <c r="W74" s="50">
        <v>179</v>
      </c>
      <c r="X74" s="49">
        <v>179</v>
      </c>
      <c r="Y74" s="49">
        <v>0</v>
      </c>
      <c r="Z74" s="50">
        <v>0</v>
      </c>
      <c r="AA74" s="41" t="s">
        <v>75</v>
      </c>
      <c r="AB74" s="50">
        <v>0</v>
      </c>
      <c r="AC74" s="50">
        <v>179</v>
      </c>
      <c r="AD74" s="41" t="s">
        <v>209</v>
      </c>
      <c r="AE74" s="41" t="s">
        <v>1284</v>
      </c>
      <c r="AF74" s="41" t="s">
        <v>75</v>
      </c>
      <c r="AG74" s="41" t="s">
        <v>75</v>
      </c>
      <c r="AH74" s="41" t="s">
        <v>75</v>
      </c>
      <c r="AI74" s="41" t="s">
        <v>1285</v>
      </c>
      <c r="AJ74" s="41" t="s">
        <v>75</v>
      </c>
      <c r="AK74" s="41" t="s">
        <v>91</v>
      </c>
      <c r="AL74" s="40" t="s">
        <v>92</v>
      </c>
      <c r="AM74" s="41" t="s">
        <v>93</v>
      </c>
      <c r="AN74" s="41" t="s">
        <v>1286</v>
      </c>
      <c r="AO74" s="41" t="s">
        <v>75</v>
      </c>
      <c r="AP74" s="41" t="s">
        <v>75</v>
      </c>
      <c r="AQ74" s="41" t="s">
        <v>75</v>
      </c>
      <c r="AR74" s="41" t="s">
        <v>75</v>
      </c>
      <c r="AS74" s="41" t="s">
        <v>75</v>
      </c>
      <c r="AT74" s="41" t="s">
        <v>75</v>
      </c>
      <c r="AU74" s="41" t="s">
        <v>75</v>
      </c>
      <c r="AV74" s="41" t="s">
        <v>1272</v>
      </c>
      <c r="AW74" s="41" t="s">
        <v>75</v>
      </c>
      <c r="AX74" s="41" t="s">
        <v>75</v>
      </c>
      <c r="AY74" s="41" t="s">
        <v>1287</v>
      </c>
      <c r="AZ74" s="41" t="s">
        <v>1229</v>
      </c>
      <c r="BA74" s="41" t="s">
        <v>75</v>
      </c>
      <c r="BB74" s="41" t="s">
        <v>99</v>
      </c>
      <c r="BC74" s="41" t="s">
        <v>75</v>
      </c>
      <c r="BD74" s="41" t="s">
        <v>101</v>
      </c>
      <c r="BE74" s="41" t="s">
        <v>75</v>
      </c>
      <c r="BF74" s="41" t="s">
        <v>130</v>
      </c>
      <c r="BG74" s="41" t="s">
        <v>1288</v>
      </c>
      <c r="BH74" s="41" t="s">
        <v>75</v>
      </c>
      <c r="BI74" s="41" t="s">
        <v>102</v>
      </c>
      <c r="BJ74" s="41" t="s">
        <v>1289</v>
      </c>
      <c r="BK74" s="41" t="s">
        <v>104</v>
      </c>
      <c r="BL74" s="41" t="s">
        <v>105</v>
      </c>
      <c r="BM74" s="41" t="s">
        <v>75</v>
      </c>
      <c r="BN74" s="41" t="s">
        <v>75</v>
      </c>
      <c r="BO74" s="41" t="s">
        <v>75</v>
      </c>
      <c r="BP74" s="41" t="s">
        <v>75</v>
      </c>
      <c r="BQ74" s="40" t="s">
        <v>821</v>
      </c>
      <c r="BR74" s="41" t="s">
        <v>444</v>
      </c>
      <c r="BS74" s="43" t="s">
        <v>445</v>
      </c>
    </row>
    <row r="75" spans="1:71">
      <c r="A75" s="40" t="s">
        <v>1290</v>
      </c>
      <c r="B75" s="41" t="s">
        <v>72</v>
      </c>
      <c r="C75" s="41" t="s">
        <v>111</v>
      </c>
      <c r="D75" s="41" t="s">
        <v>74</v>
      </c>
      <c r="E75" s="41" t="s">
        <v>75</v>
      </c>
      <c r="F75" s="41" t="s">
        <v>174</v>
      </c>
      <c r="G75" s="41" t="s">
        <v>1291</v>
      </c>
      <c r="H75" s="41" t="s">
        <v>1292</v>
      </c>
      <c r="I75" s="41" t="s">
        <v>79</v>
      </c>
      <c r="J75" s="41" t="s">
        <v>80</v>
      </c>
      <c r="K75" s="41" t="s">
        <v>1293</v>
      </c>
      <c r="L75" s="41" t="s">
        <v>1294</v>
      </c>
      <c r="M75" s="41" t="s">
        <v>905</v>
      </c>
      <c r="N75" s="41" t="s">
        <v>906</v>
      </c>
      <c r="O75" s="40" t="s">
        <v>907</v>
      </c>
      <c r="P75" s="41" t="s">
        <v>148</v>
      </c>
      <c r="Q75" s="41" t="s">
        <v>149</v>
      </c>
      <c r="R75" s="41" t="s">
        <v>908</v>
      </c>
      <c r="S75" s="41" t="s">
        <v>493</v>
      </c>
      <c r="T75" s="49">
        <v>1</v>
      </c>
      <c r="U75" s="41" t="s">
        <v>75</v>
      </c>
      <c r="V75" s="41" t="s">
        <v>75</v>
      </c>
      <c r="W75" s="50">
        <v>179</v>
      </c>
      <c r="X75" s="49">
        <v>179</v>
      </c>
      <c r="Y75" s="49">
        <v>0</v>
      </c>
      <c r="Z75" s="50">
        <v>0</v>
      </c>
      <c r="AA75" s="41" t="s">
        <v>75</v>
      </c>
      <c r="AB75" s="50">
        <v>0</v>
      </c>
      <c r="AC75" s="50">
        <v>179</v>
      </c>
      <c r="AD75" s="41" t="s">
        <v>88</v>
      </c>
      <c r="AE75" s="41" t="s">
        <v>1295</v>
      </c>
      <c r="AF75" s="41" t="s">
        <v>75</v>
      </c>
      <c r="AG75" s="41" t="s">
        <v>75</v>
      </c>
      <c r="AH75" s="41" t="s">
        <v>75</v>
      </c>
      <c r="AI75" s="41" t="s">
        <v>1296</v>
      </c>
      <c r="AJ75" s="41" t="s">
        <v>75</v>
      </c>
      <c r="AK75" s="41" t="s">
        <v>91</v>
      </c>
      <c r="AL75" s="40" t="s">
        <v>92</v>
      </c>
      <c r="AM75" s="41" t="s">
        <v>93</v>
      </c>
      <c r="AN75" s="41" t="s">
        <v>1297</v>
      </c>
      <c r="AO75" s="41" t="s">
        <v>75</v>
      </c>
      <c r="AP75" s="41" t="s">
        <v>75</v>
      </c>
      <c r="AQ75" s="41" t="s">
        <v>75</v>
      </c>
      <c r="AR75" s="41" t="s">
        <v>75</v>
      </c>
      <c r="AS75" s="41" t="s">
        <v>75</v>
      </c>
      <c r="AT75" s="41" t="s">
        <v>75</v>
      </c>
      <c r="AU75" s="41" t="s">
        <v>75</v>
      </c>
      <c r="AV75" s="41" t="s">
        <v>1298</v>
      </c>
      <c r="AW75" s="41" t="s">
        <v>75</v>
      </c>
      <c r="AX75" s="41" t="s">
        <v>75</v>
      </c>
      <c r="AY75" s="41" t="s">
        <v>1299</v>
      </c>
      <c r="AZ75" s="41" t="s">
        <v>914</v>
      </c>
      <c r="BA75" s="41" t="s">
        <v>915</v>
      </c>
      <c r="BB75" s="41" t="s">
        <v>99</v>
      </c>
      <c r="BC75" s="41" t="s">
        <v>159</v>
      </c>
      <c r="BD75" s="41" t="s">
        <v>101</v>
      </c>
      <c r="BE75" s="41" t="s">
        <v>75</v>
      </c>
      <c r="BF75" s="41" t="s">
        <v>130</v>
      </c>
      <c r="BG75" s="41" t="s">
        <v>1300</v>
      </c>
      <c r="BH75" s="41" t="s">
        <v>75</v>
      </c>
      <c r="BI75" s="41" t="s">
        <v>102</v>
      </c>
      <c r="BJ75" s="41" t="s">
        <v>1301</v>
      </c>
      <c r="BK75" s="41" t="s">
        <v>104</v>
      </c>
      <c r="BL75" s="41" t="s">
        <v>105</v>
      </c>
      <c r="BM75" s="41" t="s">
        <v>75</v>
      </c>
      <c r="BN75" s="41" t="s">
        <v>75</v>
      </c>
      <c r="BO75" s="41" t="s">
        <v>75</v>
      </c>
      <c r="BP75" s="41" t="s">
        <v>75</v>
      </c>
      <c r="BQ75" s="40" t="s">
        <v>917</v>
      </c>
      <c r="BR75" s="41" t="s">
        <v>444</v>
      </c>
      <c r="BS75" s="43" t="s">
        <v>445</v>
      </c>
    </row>
    <row r="76" spans="1:71">
      <c r="A76" s="40" t="s">
        <v>1302</v>
      </c>
      <c r="B76" s="41" t="s">
        <v>72</v>
      </c>
      <c r="C76" s="41" t="s">
        <v>73</v>
      </c>
      <c r="D76" s="41" t="s">
        <v>74</v>
      </c>
      <c r="E76" s="41" t="s">
        <v>75</v>
      </c>
      <c r="F76" s="41" t="s">
        <v>1303</v>
      </c>
      <c r="G76" s="41" t="s">
        <v>1304</v>
      </c>
      <c r="H76" s="41" t="s">
        <v>1305</v>
      </c>
      <c r="I76" s="41" t="s">
        <v>115</v>
      </c>
      <c r="J76" s="41" t="s">
        <v>1306</v>
      </c>
      <c r="K76" s="41" t="s">
        <v>1307</v>
      </c>
      <c r="L76" s="41" t="s">
        <v>1308</v>
      </c>
      <c r="M76" s="41" t="s">
        <v>809</v>
      </c>
      <c r="N76" s="41" t="s">
        <v>810</v>
      </c>
      <c r="O76" s="40" t="s">
        <v>811</v>
      </c>
      <c r="P76" s="41" t="s">
        <v>148</v>
      </c>
      <c r="Q76" s="41" t="s">
        <v>149</v>
      </c>
      <c r="R76" s="41" t="s">
        <v>812</v>
      </c>
      <c r="S76" s="41" t="s">
        <v>813</v>
      </c>
      <c r="T76" s="49">
        <v>1</v>
      </c>
      <c r="U76" s="41" t="s">
        <v>75</v>
      </c>
      <c r="V76" s="41" t="s">
        <v>75</v>
      </c>
      <c r="W76" s="50">
        <v>179</v>
      </c>
      <c r="X76" s="49">
        <v>179</v>
      </c>
      <c r="Y76" s="49">
        <v>0</v>
      </c>
      <c r="Z76" s="50">
        <v>0</v>
      </c>
      <c r="AA76" s="41" t="s">
        <v>75</v>
      </c>
      <c r="AB76" s="50">
        <v>0</v>
      </c>
      <c r="AC76" s="50">
        <v>179</v>
      </c>
      <c r="AD76" s="41" t="s">
        <v>88</v>
      </c>
      <c r="AE76" s="41" t="s">
        <v>1309</v>
      </c>
      <c r="AF76" s="41" t="s">
        <v>75</v>
      </c>
      <c r="AG76" s="41" t="s">
        <v>75</v>
      </c>
      <c r="AH76" s="41" t="s">
        <v>75</v>
      </c>
      <c r="AI76" s="41" t="s">
        <v>1270</v>
      </c>
      <c r="AJ76" s="41" t="s">
        <v>75</v>
      </c>
      <c r="AK76" s="41" t="s">
        <v>91</v>
      </c>
      <c r="AL76" s="40" t="s">
        <v>92</v>
      </c>
      <c r="AM76" s="41" t="s">
        <v>93</v>
      </c>
      <c r="AN76" s="41" t="s">
        <v>1310</v>
      </c>
      <c r="AO76" s="41" t="s">
        <v>75</v>
      </c>
      <c r="AP76" s="41" t="s">
        <v>75</v>
      </c>
      <c r="AQ76" s="41" t="s">
        <v>75</v>
      </c>
      <c r="AR76" s="41" t="s">
        <v>75</v>
      </c>
      <c r="AS76" s="41" t="s">
        <v>75</v>
      </c>
      <c r="AT76" s="41" t="s">
        <v>75</v>
      </c>
      <c r="AU76" s="41" t="s">
        <v>75</v>
      </c>
      <c r="AV76" s="41" t="s">
        <v>1272</v>
      </c>
      <c r="AW76" s="41" t="s">
        <v>75</v>
      </c>
      <c r="AX76" s="41" t="s">
        <v>75</v>
      </c>
      <c r="AY76" s="41" t="s">
        <v>1273</v>
      </c>
      <c r="AZ76" s="41" t="s">
        <v>1274</v>
      </c>
      <c r="BA76" s="41" t="s">
        <v>1275</v>
      </c>
      <c r="BB76" s="41" t="s">
        <v>99</v>
      </c>
      <c r="BC76" s="41" t="s">
        <v>159</v>
      </c>
      <c r="BD76" s="41" t="s">
        <v>101</v>
      </c>
      <c r="BE76" s="41" t="s">
        <v>75</v>
      </c>
      <c r="BF76" s="41" t="s">
        <v>75</v>
      </c>
      <c r="BG76" s="41" t="s">
        <v>75</v>
      </c>
      <c r="BH76" s="41" t="s">
        <v>75</v>
      </c>
      <c r="BI76" s="41" t="s">
        <v>102</v>
      </c>
      <c r="BJ76" s="41" t="s">
        <v>1311</v>
      </c>
      <c r="BK76" s="41" t="s">
        <v>104</v>
      </c>
      <c r="BL76" s="41" t="s">
        <v>105</v>
      </c>
      <c r="BM76" s="41" t="s">
        <v>75</v>
      </c>
      <c r="BN76" s="41" t="s">
        <v>75</v>
      </c>
      <c r="BO76" s="41" t="s">
        <v>75</v>
      </c>
      <c r="BP76" s="41" t="s">
        <v>75</v>
      </c>
      <c r="BQ76" s="40" t="s">
        <v>821</v>
      </c>
      <c r="BR76" s="41" t="s">
        <v>444</v>
      </c>
      <c r="BS76" s="43" t="s">
        <v>445</v>
      </c>
    </row>
    <row r="77" spans="1:71">
      <c r="A77" s="40" t="s">
        <v>1312</v>
      </c>
      <c r="B77" s="41" t="s">
        <v>110</v>
      </c>
      <c r="C77" s="41" t="s">
        <v>111</v>
      </c>
      <c r="D77" s="41" t="s">
        <v>74</v>
      </c>
      <c r="E77" s="41" t="s">
        <v>75</v>
      </c>
      <c r="F77" s="41" t="s">
        <v>842</v>
      </c>
      <c r="G77" s="41" t="s">
        <v>1313</v>
      </c>
      <c r="H77" s="41" t="s">
        <v>1314</v>
      </c>
      <c r="I77" s="41" t="s">
        <v>404</v>
      </c>
      <c r="J77" s="41" t="s">
        <v>1315</v>
      </c>
      <c r="K77" s="41" t="s">
        <v>1316</v>
      </c>
      <c r="L77" s="41" t="s">
        <v>1317</v>
      </c>
      <c r="M77" s="41" t="s">
        <v>809</v>
      </c>
      <c r="N77" s="41" t="s">
        <v>810</v>
      </c>
      <c r="O77" s="40" t="s">
        <v>811</v>
      </c>
      <c r="P77" s="41" t="s">
        <v>148</v>
      </c>
      <c r="Q77" s="41" t="s">
        <v>149</v>
      </c>
      <c r="R77" s="41" t="s">
        <v>812</v>
      </c>
      <c r="S77" s="41" t="s">
        <v>813</v>
      </c>
      <c r="T77" s="49">
        <v>1</v>
      </c>
      <c r="U77" s="41" t="s">
        <v>75</v>
      </c>
      <c r="V77" s="41" t="s">
        <v>75</v>
      </c>
      <c r="W77" s="50">
        <v>179</v>
      </c>
      <c r="X77" s="49">
        <v>179</v>
      </c>
      <c r="Y77" s="49">
        <v>0</v>
      </c>
      <c r="Z77" s="50">
        <v>0</v>
      </c>
      <c r="AA77" s="41" t="s">
        <v>75</v>
      </c>
      <c r="AB77" s="50">
        <v>0</v>
      </c>
      <c r="AC77" s="50">
        <v>179</v>
      </c>
      <c r="AD77" s="41" t="s">
        <v>209</v>
      </c>
      <c r="AE77" s="41" t="s">
        <v>1318</v>
      </c>
      <c r="AF77" s="41" t="s">
        <v>75</v>
      </c>
      <c r="AG77" s="41" t="s">
        <v>75</v>
      </c>
      <c r="AH77" s="41" t="s">
        <v>75</v>
      </c>
      <c r="AI77" s="41" t="s">
        <v>1270</v>
      </c>
      <c r="AJ77" s="41" t="s">
        <v>75</v>
      </c>
      <c r="AK77" s="41" t="s">
        <v>91</v>
      </c>
      <c r="AL77" s="40" t="s">
        <v>92</v>
      </c>
      <c r="AM77" s="41" t="s">
        <v>93</v>
      </c>
      <c r="AN77" s="41" t="s">
        <v>1319</v>
      </c>
      <c r="AO77" s="41" t="s">
        <v>75</v>
      </c>
      <c r="AP77" s="41" t="s">
        <v>75</v>
      </c>
      <c r="AQ77" s="41" t="s">
        <v>75</v>
      </c>
      <c r="AR77" s="41" t="s">
        <v>75</v>
      </c>
      <c r="AS77" s="41" t="s">
        <v>75</v>
      </c>
      <c r="AT77" s="41" t="s">
        <v>75</v>
      </c>
      <c r="AU77" s="41" t="s">
        <v>75</v>
      </c>
      <c r="AV77" s="41" t="s">
        <v>1262</v>
      </c>
      <c r="AW77" s="41" t="s">
        <v>75</v>
      </c>
      <c r="AX77" s="41" t="s">
        <v>75</v>
      </c>
      <c r="AY77" s="41" t="s">
        <v>1273</v>
      </c>
      <c r="AZ77" s="41" t="s">
        <v>1274</v>
      </c>
      <c r="BA77" s="41" t="s">
        <v>1275</v>
      </c>
      <c r="BB77" s="41" t="s">
        <v>99</v>
      </c>
      <c r="BC77" s="41" t="s">
        <v>159</v>
      </c>
      <c r="BD77" s="41" t="s">
        <v>101</v>
      </c>
      <c r="BE77" s="41" t="s">
        <v>75</v>
      </c>
      <c r="BF77" s="41" t="s">
        <v>130</v>
      </c>
      <c r="BG77" s="41" t="s">
        <v>1320</v>
      </c>
      <c r="BH77" s="41" t="s">
        <v>75</v>
      </c>
      <c r="BI77" s="41" t="s">
        <v>102</v>
      </c>
      <c r="BJ77" s="41" t="s">
        <v>1321</v>
      </c>
      <c r="BK77" s="41" t="s">
        <v>104</v>
      </c>
      <c r="BL77" s="41" t="s">
        <v>105</v>
      </c>
      <c r="BM77" s="41" t="s">
        <v>75</v>
      </c>
      <c r="BN77" s="41" t="s">
        <v>75</v>
      </c>
      <c r="BO77" s="41" t="s">
        <v>75</v>
      </c>
      <c r="BP77" s="41" t="s">
        <v>75</v>
      </c>
      <c r="BQ77" s="40" t="s">
        <v>821</v>
      </c>
      <c r="BR77" s="41" t="s">
        <v>444</v>
      </c>
      <c r="BS77" s="43" t="s">
        <v>445</v>
      </c>
    </row>
    <row r="78" spans="1:71">
      <c r="A78" s="40" t="s">
        <v>1322</v>
      </c>
      <c r="B78" s="41" t="s">
        <v>72</v>
      </c>
      <c r="C78" s="41" t="s">
        <v>73</v>
      </c>
      <c r="D78" s="41" t="s">
        <v>74</v>
      </c>
      <c r="E78" s="41" t="s">
        <v>75</v>
      </c>
      <c r="F78" s="41" t="s">
        <v>1323</v>
      </c>
      <c r="G78" s="41" t="s">
        <v>1324</v>
      </c>
      <c r="H78" s="41" t="s">
        <v>1325</v>
      </c>
      <c r="I78" s="41" t="s">
        <v>427</v>
      </c>
      <c r="J78" s="41" t="s">
        <v>1326</v>
      </c>
      <c r="K78" s="41" t="s">
        <v>1327</v>
      </c>
      <c r="L78" s="41" t="s">
        <v>1328</v>
      </c>
      <c r="M78" s="41" t="s">
        <v>809</v>
      </c>
      <c r="N78" s="41" t="s">
        <v>810</v>
      </c>
      <c r="O78" s="40" t="s">
        <v>811</v>
      </c>
      <c r="P78" s="41" t="s">
        <v>148</v>
      </c>
      <c r="Q78" s="41" t="s">
        <v>149</v>
      </c>
      <c r="R78" s="41" t="s">
        <v>812</v>
      </c>
      <c r="S78" s="41" t="s">
        <v>813</v>
      </c>
      <c r="T78" s="49">
        <v>1</v>
      </c>
      <c r="U78" s="41" t="s">
        <v>75</v>
      </c>
      <c r="V78" s="41" t="s">
        <v>75</v>
      </c>
      <c r="W78" s="50">
        <v>179</v>
      </c>
      <c r="X78" s="49">
        <v>179</v>
      </c>
      <c r="Y78" s="49">
        <v>0</v>
      </c>
      <c r="Z78" s="50">
        <v>0</v>
      </c>
      <c r="AA78" s="41" t="s">
        <v>75</v>
      </c>
      <c r="AB78" s="50">
        <v>0</v>
      </c>
      <c r="AC78" s="50">
        <v>179</v>
      </c>
      <c r="AD78" s="41" t="s">
        <v>209</v>
      </c>
      <c r="AE78" s="41" t="s">
        <v>1329</v>
      </c>
      <c r="AF78" s="41" t="s">
        <v>75</v>
      </c>
      <c r="AG78" s="41" t="s">
        <v>75</v>
      </c>
      <c r="AH78" s="41" t="s">
        <v>75</v>
      </c>
      <c r="AI78" s="41" t="s">
        <v>1330</v>
      </c>
      <c r="AJ78" s="41" t="s">
        <v>75</v>
      </c>
      <c r="AK78" s="41" t="s">
        <v>91</v>
      </c>
      <c r="AL78" s="40" t="s">
        <v>92</v>
      </c>
      <c r="AM78" s="41" t="s">
        <v>93</v>
      </c>
      <c r="AN78" s="41" t="s">
        <v>1331</v>
      </c>
      <c r="AO78" s="41" t="s">
        <v>75</v>
      </c>
      <c r="AP78" s="41" t="s">
        <v>75</v>
      </c>
      <c r="AQ78" s="41" t="s">
        <v>75</v>
      </c>
      <c r="AR78" s="41" t="s">
        <v>75</v>
      </c>
      <c r="AS78" s="41" t="s">
        <v>75</v>
      </c>
      <c r="AT78" s="41" t="s">
        <v>75</v>
      </c>
      <c r="AU78" s="41" t="s">
        <v>75</v>
      </c>
      <c r="AV78" s="41" t="s">
        <v>1332</v>
      </c>
      <c r="AW78" s="41" t="s">
        <v>75</v>
      </c>
      <c r="AX78" s="41" t="s">
        <v>75</v>
      </c>
      <c r="AY78" s="41" t="s">
        <v>1333</v>
      </c>
      <c r="AZ78" s="41" t="s">
        <v>1274</v>
      </c>
      <c r="BA78" s="41" t="s">
        <v>1275</v>
      </c>
      <c r="BB78" s="41" t="s">
        <v>99</v>
      </c>
      <c r="BC78" s="41" t="s">
        <v>159</v>
      </c>
      <c r="BD78" s="41" t="s">
        <v>101</v>
      </c>
      <c r="BE78" s="41" t="s">
        <v>75</v>
      </c>
      <c r="BF78" s="41" t="s">
        <v>75</v>
      </c>
      <c r="BG78" s="41" t="s">
        <v>75</v>
      </c>
      <c r="BH78" s="41" t="s">
        <v>75</v>
      </c>
      <c r="BI78" s="41" t="s">
        <v>102</v>
      </c>
      <c r="BJ78" s="41" t="s">
        <v>1334</v>
      </c>
      <c r="BK78" s="41" t="s">
        <v>104</v>
      </c>
      <c r="BL78" s="41" t="s">
        <v>105</v>
      </c>
      <c r="BM78" s="41" t="s">
        <v>75</v>
      </c>
      <c r="BN78" s="41" t="s">
        <v>75</v>
      </c>
      <c r="BO78" s="41" t="s">
        <v>75</v>
      </c>
      <c r="BP78" s="41" t="s">
        <v>75</v>
      </c>
      <c r="BQ78" s="40" t="s">
        <v>821</v>
      </c>
      <c r="BR78" s="41" t="s">
        <v>444</v>
      </c>
      <c r="BS78" s="43" t="s">
        <v>445</v>
      </c>
    </row>
    <row r="79" spans="1:71">
      <c r="A79" s="40" t="s">
        <v>1335</v>
      </c>
      <c r="B79" s="41" t="s">
        <v>72</v>
      </c>
      <c r="C79" s="41" t="s">
        <v>73</v>
      </c>
      <c r="D79" s="41" t="s">
        <v>74</v>
      </c>
      <c r="E79" s="41" t="s">
        <v>75</v>
      </c>
      <c r="F79" s="41" t="s">
        <v>174</v>
      </c>
      <c r="G79" s="41" t="s">
        <v>1336</v>
      </c>
      <c r="H79" s="41" t="s">
        <v>1121</v>
      </c>
      <c r="I79" s="41" t="s">
        <v>115</v>
      </c>
      <c r="J79" s="41" t="s">
        <v>1122</v>
      </c>
      <c r="K79" s="41" t="s">
        <v>1123</v>
      </c>
      <c r="L79" s="41" t="s">
        <v>1337</v>
      </c>
      <c r="M79" s="41" t="s">
        <v>923</v>
      </c>
      <c r="N79" s="41" t="s">
        <v>924</v>
      </c>
      <c r="O79" s="40" t="s">
        <v>925</v>
      </c>
      <c r="P79" s="41" t="s">
        <v>148</v>
      </c>
      <c r="Q79" s="41" t="s">
        <v>149</v>
      </c>
      <c r="R79" s="41" t="s">
        <v>926</v>
      </c>
      <c r="S79" s="41" t="s">
        <v>927</v>
      </c>
      <c r="T79" s="49">
        <v>1</v>
      </c>
      <c r="U79" s="41" t="s">
        <v>75</v>
      </c>
      <c r="V79" s="41" t="s">
        <v>75</v>
      </c>
      <c r="W79" s="50">
        <v>179</v>
      </c>
      <c r="X79" s="49">
        <v>179</v>
      </c>
      <c r="Y79" s="49">
        <v>0</v>
      </c>
      <c r="Z79" s="50">
        <v>0</v>
      </c>
      <c r="AA79" s="41" t="s">
        <v>75</v>
      </c>
      <c r="AB79" s="50">
        <v>0</v>
      </c>
      <c r="AC79" s="50">
        <v>179</v>
      </c>
      <c r="AD79" s="41" t="s">
        <v>209</v>
      </c>
      <c r="AE79" s="41" t="s">
        <v>1338</v>
      </c>
      <c r="AF79" s="41" t="s">
        <v>75</v>
      </c>
      <c r="AG79" s="41" t="s">
        <v>75</v>
      </c>
      <c r="AH79" s="41" t="s">
        <v>75</v>
      </c>
      <c r="AI79" s="41" t="s">
        <v>1339</v>
      </c>
      <c r="AJ79" s="41" t="s">
        <v>75</v>
      </c>
      <c r="AK79" s="41" t="s">
        <v>91</v>
      </c>
      <c r="AL79" s="40" t="s">
        <v>92</v>
      </c>
      <c r="AM79" s="41" t="s">
        <v>93</v>
      </c>
      <c r="AN79" s="41" t="s">
        <v>1340</v>
      </c>
      <c r="AO79" s="41" t="s">
        <v>75</v>
      </c>
      <c r="AP79" s="41" t="s">
        <v>75</v>
      </c>
      <c r="AQ79" s="41" t="s">
        <v>75</v>
      </c>
      <c r="AR79" s="41" t="s">
        <v>75</v>
      </c>
      <c r="AS79" s="41" t="s">
        <v>75</v>
      </c>
      <c r="AT79" s="41" t="s">
        <v>75</v>
      </c>
      <c r="AU79" s="41" t="s">
        <v>75</v>
      </c>
      <c r="AV79" s="41" t="s">
        <v>1262</v>
      </c>
      <c r="AW79" s="41" t="s">
        <v>75</v>
      </c>
      <c r="AX79" s="41" t="s">
        <v>75</v>
      </c>
      <c r="AY79" s="41" t="s">
        <v>1341</v>
      </c>
      <c r="AZ79" s="41" t="s">
        <v>1264</v>
      </c>
      <c r="BA79" s="41" t="s">
        <v>1265</v>
      </c>
      <c r="BB79" s="41" t="s">
        <v>99</v>
      </c>
      <c r="BC79" s="41" t="s">
        <v>159</v>
      </c>
      <c r="BD79" s="41" t="s">
        <v>101</v>
      </c>
      <c r="BE79" s="41" t="s">
        <v>75</v>
      </c>
      <c r="BF79" s="41" t="s">
        <v>75</v>
      </c>
      <c r="BG79" s="41" t="s">
        <v>75</v>
      </c>
      <c r="BH79" s="41" t="s">
        <v>75</v>
      </c>
      <c r="BI79" s="41" t="s">
        <v>102</v>
      </c>
      <c r="BJ79" s="41" t="s">
        <v>1342</v>
      </c>
      <c r="BK79" s="41" t="s">
        <v>104</v>
      </c>
      <c r="BL79" s="41" t="s">
        <v>105</v>
      </c>
      <c r="BM79" s="41" t="s">
        <v>75</v>
      </c>
      <c r="BN79" s="41" t="s">
        <v>75</v>
      </c>
      <c r="BO79" s="41" t="s">
        <v>75</v>
      </c>
      <c r="BP79" s="41" t="s">
        <v>75</v>
      </c>
      <c r="BQ79" s="40" t="s">
        <v>936</v>
      </c>
      <c r="BR79" s="41" t="s">
        <v>444</v>
      </c>
      <c r="BS79" s="43" t="s">
        <v>445</v>
      </c>
    </row>
    <row r="80" spans="1:71">
      <c r="A80" s="40" t="s">
        <v>1343</v>
      </c>
      <c r="B80" s="41" t="s">
        <v>72</v>
      </c>
      <c r="C80" s="41" t="s">
        <v>73</v>
      </c>
      <c r="D80" s="41" t="s">
        <v>74</v>
      </c>
      <c r="E80" s="41" t="s">
        <v>75</v>
      </c>
      <c r="F80" s="41" t="s">
        <v>1344</v>
      </c>
      <c r="G80" s="41" t="s">
        <v>1345</v>
      </c>
      <c r="H80" s="41" t="s">
        <v>1346</v>
      </c>
      <c r="I80" s="41" t="s">
        <v>723</v>
      </c>
      <c r="J80" s="41" t="s">
        <v>1040</v>
      </c>
      <c r="K80" s="41" t="s">
        <v>1347</v>
      </c>
      <c r="L80" s="41" t="s">
        <v>1348</v>
      </c>
      <c r="M80" s="41" t="s">
        <v>809</v>
      </c>
      <c r="N80" s="41" t="s">
        <v>810</v>
      </c>
      <c r="O80" s="40" t="s">
        <v>811</v>
      </c>
      <c r="P80" s="41" t="s">
        <v>148</v>
      </c>
      <c r="Q80" s="41" t="s">
        <v>149</v>
      </c>
      <c r="R80" s="41" t="s">
        <v>812</v>
      </c>
      <c r="S80" s="41" t="s">
        <v>813</v>
      </c>
      <c r="T80" s="49">
        <v>1</v>
      </c>
      <c r="U80" s="41" t="s">
        <v>75</v>
      </c>
      <c r="V80" s="41" t="s">
        <v>75</v>
      </c>
      <c r="W80" s="50">
        <v>179</v>
      </c>
      <c r="X80" s="49">
        <v>179</v>
      </c>
      <c r="Y80" s="49">
        <v>0</v>
      </c>
      <c r="Z80" s="50">
        <v>0</v>
      </c>
      <c r="AA80" s="41" t="s">
        <v>75</v>
      </c>
      <c r="AB80" s="50">
        <v>0</v>
      </c>
      <c r="AC80" s="50">
        <v>179</v>
      </c>
      <c r="AD80" s="41" t="s">
        <v>209</v>
      </c>
      <c r="AE80" s="41" t="s">
        <v>1349</v>
      </c>
      <c r="AF80" s="41" t="s">
        <v>75</v>
      </c>
      <c r="AG80" s="41" t="s">
        <v>75</v>
      </c>
      <c r="AH80" s="41" t="s">
        <v>75</v>
      </c>
      <c r="AI80" s="41" t="s">
        <v>1235</v>
      </c>
      <c r="AJ80" s="41" t="s">
        <v>75</v>
      </c>
      <c r="AK80" s="41" t="s">
        <v>91</v>
      </c>
      <c r="AL80" s="40" t="s">
        <v>92</v>
      </c>
      <c r="AM80" s="41" t="s">
        <v>93</v>
      </c>
      <c r="AN80" s="41" t="s">
        <v>1350</v>
      </c>
      <c r="AO80" s="41" t="s">
        <v>75</v>
      </c>
      <c r="AP80" s="41" t="s">
        <v>75</v>
      </c>
      <c r="AQ80" s="41" t="s">
        <v>75</v>
      </c>
      <c r="AR80" s="41" t="s">
        <v>75</v>
      </c>
      <c r="AS80" s="41" t="s">
        <v>75</v>
      </c>
      <c r="AT80" s="41" t="s">
        <v>75</v>
      </c>
      <c r="AU80" s="41" t="s">
        <v>75</v>
      </c>
      <c r="AV80" s="41" t="s">
        <v>1272</v>
      </c>
      <c r="AW80" s="41" t="s">
        <v>75</v>
      </c>
      <c r="AX80" s="41" t="s">
        <v>75</v>
      </c>
      <c r="AY80" s="41" t="s">
        <v>1351</v>
      </c>
      <c r="AZ80" s="41" t="s">
        <v>1274</v>
      </c>
      <c r="BA80" s="41" t="s">
        <v>1275</v>
      </c>
      <c r="BB80" s="41" t="s">
        <v>99</v>
      </c>
      <c r="BC80" s="41" t="s">
        <v>159</v>
      </c>
      <c r="BD80" s="41" t="s">
        <v>101</v>
      </c>
      <c r="BE80" s="41" t="s">
        <v>75</v>
      </c>
      <c r="BF80" s="41" t="s">
        <v>75</v>
      </c>
      <c r="BG80" s="41" t="s">
        <v>75</v>
      </c>
      <c r="BH80" s="41" t="s">
        <v>75</v>
      </c>
      <c r="BI80" s="41" t="s">
        <v>102</v>
      </c>
      <c r="BJ80" s="41" t="s">
        <v>1352</v>
      </c>
      <c r="BK80" s="41" t="s">
        <v>104</v>
      </c>
      <c r="BL80" s="41" t="s">
        <v>105</v>
      </c>
      <c r="BM80" s="41" t="s">
        <v>75</v>
      </c>
      <c r="BN80" s="41" t="s">
        <v>75</v>
      </c>
      <c r="BO80" s="41" t="s">
        <v>75</v>
      </c>
      <c r="BP80" s="41" t="s">
        <v>75</v>
      </c>
      <c r="BQ80" s="40" t="s">
        <v>821</v>
      </c>
      <c r="BR80" s="41" t="s">
        <v>444</v>
      </c>
      <c r="BS80" s="43" t="s">
        <v>445</v>
      </c>
    </row>
    <row r="81" spans="1:71">
      <c r="A81" s="40" t="s">
        <v>1353</v>
      </c>
      <c r="B81" s="41" t="s">
        <v>72</v>
      </c>
      <c r="C81" s="41" t="s">
        <v>73</v>
      </c>
      <c r="D81" s="41" t="s">
        <v>74</v>
      </c>
      <c r="E81" s="41" t="s">
        <v>75</v>
      </c>
      <c r="F81" s="41" t="s">
        <v>1354</v>
      </c>
      <c r="G81" s="41" t="s">
        <v>1355</v>
      </c>
      <c r="H81" s="41" t="s">
        <v>78</v>
      </c>
      <c r="I81" s="41" t="s">
        <v>79</v>
      </c>
      <c r="J81" s="41" t="s">
        <v>80</v>
      </c>
      <c r="K81" s="41" t="s">
        <v>81</v>
      </c>
      <c r="L81" s="41" t="s">
        <v>1356</v>
      </c>
      <c r="M81" s="41" t="s">
        <v>809</v>
      </c>
      <c r="N81" s="41" t="s">
        <v>810</v>
      </c>
      <c r="O81" s="40" t="s">
        <v>811</v>
      </c>
      <c r="P81" s="41" t="s">
        <v>148</v>
      </c>
      <c r="Q81" s="41" t="s">
        <v>149</v>
      </c>
      <c r="R81" s="41" t="s">
        <v>812</v>
      </c>
      <c r="S81" s="41" t="s">
        <v>813</v>
      </c>
      <c r="T81" s="49">
        <v>1</v>
      </c>
      <c r="U81" s="41" t="s">
        <v>75</v>
      </c>
      <c r="V81" s="41" t="s">
        <v>75</v>
      </c>
      <c r="W81" s="50">
        <v>179</v>
      </c>
      <c r="X81" s="49">
        <v>179</v>
      </c>
      <c r="Y81" s="49">
        <v>0</v>
      </c>
      <c r="Z81" s="50">
        <v>0</v>
      </c>
      <c r="AA81" s="41" t="s">
        <v>75</v>
      </c>
      <c r="AB81" s="50">
        <v>0</v>
      </c>
      <c r="AC81" s="50">
        <v>179</v>
      </c>
      <c r="AD81" s="41" t="s">
        <v>88</v>
      </c>
      <c r="AE81" s="41" t="s">
        <v>1357</v>
      </c>
      <c r="AF81" s="41" t="s">
        <v>75</v>
      </c>
      <c r="AG81" s="41" t="s">
        <v>75</v>
      </c>
      <c r="AH81" s="41" t="s">
        <v>75</v>
      </c>
      <c r="AI81" s="41" t="s">
        <v>1330</v>
      </c>
      <c r="AJ81" s="41" t="s">
        <v>75</v>
      </c>
      <c r="AK81" s="41" t="s">
        <v>91</v>
      </c>
      <c r="AL81" s="40" t="s">
        <v>92</v>
      </c>
      <c r="AM81" s="41" t="s">
        <v>93</v>
      </c>
      <c r="AN81" s="41" t="s">
        <v>1358</v>
      </c>
      <c r="AO81" s="41" t="s">
        <v>75</v>
      </c>
      <c r="AP81" s="41" t="s">
        <v>75</v>
      </c>
      <c r="AQ81" s="41" t="s">
        <v>75</v>
      </c>
      <c r="AR81" s="41" t="s">
        <v>75</v>
      </c>
      <c r="AS81" s="41" t="s">
        <v>75</v>
      </c>
      <c r="AT81" s="41" t="s">
        <v>75</v>
      </c>
      <c r="AU81" s="41" t="s">
        <v>75</v>
      </c>
      <c r="AV81" s="41" t="s">
        <v>1332</v>
      </c>
      <c r="AW81" s="41" t="s">
        <v>75</v>
      </c>
      <c r="AX81" s="41" t="s">
        <v>75</v>
      </c>
      <c r="AY81" s="41" t="s">
        <v>1333</v>
      </c>
      <c r="AZ81" s="41" t="s">
        <v>1274</v>
      </c>
      <c r="BA81" s="41" t="s">
        <v>1275</v>
      </c>
      <c r="BB81" s="41" t="s">
        <v>99</v>
      </c>
      <c r="BC81" s="41" t="s">
        <v>159</v>
      </c>
      <c r="BD81" s="41" t="s">
        <v>101</v>
      </c>
      <c r="BE81" s="41" t="s">
        <v>75</v>
      </c>
      <c r="BF81" s="41" t="s">
        <v>75</v>
      </c>
      <c r="BG81" s="41" t="s">
        <v>75</v>
      </c>
      <c r="BH81" s="41" t="s">
        <v>75</v>
      </c>
      <c r="BI81" s="41" t="s">
        <v>102</v>
      </c>
      <c r="BJ81" s="41" t="s">
        <v>1359</v>
      </c>
      <c r="BK81" s="41" t="s">
        <v>104</v>
      </c>
      <c r="BL81" s="41" t="s">
        <v>105</v>
      </c>
      <c r="BM81" s="41" t="s">
        <v>75</v>
      </c>
      <c r="BN81" s="41" t="s">
        <v>75</v>
      </c>
      <c r="BO81" s="41" t="s">
        <v>75</v>
      </c>
      <c r="BP81" s="41" t="s">
        <v>75</v>
      </c>
      <c r="BQ81" s="40" t="s">
        <v>821</v>
      </c>
      <c r="BR81" s="41" t="s">
        <v>444</v>
      </c>
      <c r="BS81" s="43" t="s">
        <v>445</v>
      </c>
    </row>
    <row r="82" spans="1:71">
      <c r="A82" s="40" t="s">
        <v>1360</v>
      </c>
      <c r="B82" s="41" t="s">
        <v>72</v>
      </c>
      <c r="C82" s="41" t="s">
        <v>73</v>
      </c>
      <c r="D82" s="41" t="s">
        <v>74</v>
      </c>
      <c r="E82" s="41" t="s">
        <v>75</v>
      </c>
      <c r="F82" s="41" t="s">
        <v>1361</v>
      </c>
      <c r="G82" s="41" t="s">
        <v>1362</v>
      </c>
      <c r="H82" s="41" t="s">
        <v>1363</v>
      </c>
      <c r="I82" s="41" t="s">
        <v>141</v>
      </c>
      <c r="J82" s="41" t="s">
        <v>142</v>
      </c>
      <c r="K82" s="41" t="s">
        <v>1364</v>
      </c>
      <c r="L82" s="41" t="s">
        <v>1365</v>
      </c>
      <c r="M82" s="41" t="s">
        <v>809</v>
      </c>
      <c r="N82" s="41" t="s">
        <v>810</v>
      </c>
      <c r="O82" s="40" t="s">
        <v>811</v>
      </c>
      <c r="P82" s="41" t="s">
        <v>148</v>
      </c>
      <c r="Q82" s="41" t="s">
        <v>149</v>
      </c>
      <c r="R82" s="41" t="s">
        <v>812</v>
      </c>
      <c r="S82" s="41" t="s">
        <v>813</v>
      </c>
      <c r="T82" s="49">
        <v>1</v>
      </c>
      <c r="U82" s="41" t="s">
        <v>75</v>
      </c>
      <c r="V82" s="41" t="s">
        <v>75</v>
      </c>
      <c r="W82" s="50">
        <v>179</v>
      </c>
      <c r="X82" s="49">
        <v>179</v>
      </c>
      <c r="Y82" s="49">
        <v>0</v>
      </c>
      <c r="Z82" s="50">
        <v>0</v>
      </c>
      <c r="AA82" s="41" t="s">
        <v>75</v>
      </c>
      <c r="AB82" s="50">
        <v>0</v>
      </c>
      <c r="AC82" s="50">
        <v>179</v>
      </c>
      <c r="AD82" s="41" t="s">
        <v>209</v>
      </c>
      <c r="AE82" s="41" t="s">
        <v>1366</v>
      </c>
      <c r="AF82" s="41" t="s">
        <v>75</v>
      </c>
      <c r="AG82" s="41" t="s">
        <v>75</v>
      </c>
      <c r="AH82" s="41" t="s">
        <v>75</v>
      </c>
      <c r="AI82" s="41" t="s">
        <v>1367</v>
      </c>
      <c r="AJ82" s="41" t="s">
        <v>75</v>
      </c>
      <c r="AK82" s="41" t="s">
        <v>91</v>
      </c>
      <c r="AL82" s="40" t="s">
        <v>92</v>
      </c>
      <c r="AM82" s="41" t="s">
        <v>93</v>
      </c>
      <c r="AN82" s="41" t="s">
        <v>1368</v>
      </c>
      <c r="AO82" s="41" t="s">
        <v>75</v>
      </c>
      <c r="AP82" s="41" t="s">
        <v>75</v>
      </c>
      <c r="AQ82" s="41" t="s">
        <v>75</v>
      </c>
      <c r="AR82" s="41" t="s">
        <v>75</v>
      </c>
      <c r="AS82" s="41" t="s">
        <v>75</v>
      </c>
      <c r="AT82" s="41" t="s">
        <v>75</v>
      </c>
      <c r="AU82" s="41" t="s">
        <v>75</v>
      </c>
      <c r="AV82" s="41" t="s">
        <v>1332</v>
      </c>
      <c r="AW82" s="41" t="s">
        <v>75</v>
      </c>
      <c r="AX82" s="41" t="s">
        <v>75</v>
      </c>
      <c r="AY82" s="41" t="s">
        <v>1369</v>
      </c>
      <c r="AZ82" s="41" t="s">
        <v>1274</v>
      </c>
      <c r="BA82" s="41" t="s">
        <v>1275</v>
      </c>
      <c r="BB82" s="41" t="s">
        <v>99</v>
      </c>
      <c r="BC82" s="41" t="s">
        <v>159</v>
      </c>
      <c r="BD82" s="41" t="s">
        <v>101</v>
      </c>
      <c r="BE82" s="41" t="s">
        <v>75</v>
      </c>
      <c r="BF82" s="41" t="s">
        <v>75</v>
      </c>
      <c r="BG82" s="41" t="s">
        <v>75</v>
      </c>
      <c r="BH82" s="41" t="s">
        <v>75</v>
      </c>
      <c r="BI82" s="41" t="s">
        <v>102</v>
      </c>
      <c r="BJ82" s="41" t="s">
        <v>1370</v>
      </c>
      <c r="BK82" s="41" t="s">
        <v>104</v>
      </c>
      <c r="BL82" s="41" t="s">
        <v>105</v>
      </c>
      <c r="BM82" s="41" t="s">
        <v>75</v>
      </c>
      <c r="BN82" s="41" t="s">
        <v>75</v>
      </c>
      <c r="BO82" s="41" t="s">
        <v>75</v>
      </c>
      <c r="BP82" s="41" t="s">
        <v>75</v>
      </c>
      <c r="BQ82" s="40" t="s">
        <v>821</v>
      </c>
      <c r="BR82" s="41" t="s">
        <v>444</v>
      </c>
      <c r="BS82" s="43" t="s">
        <v>445</v>
      </c>
    </row>
    <row r="83" spans="1:71">
      <c r="A83" s="40" t="s">
        <v>1371</v>
      </c>
      <c r="B83" s="41" t="s">
        <v>110</v>
      </c>
      <c r="C83" s="41" t="s">
        <v>111</v>
      </c>
      <c r="D83" s="41" t="s">
        <v>74</v>
      </c>
      <c r="E83" s="41" t="s">
        <v>75</v>
      </c>
      <c r="F83" s="41" t="s">
        <v>1372</v>
      </c>
      <c r="G83" s="41" t="s">
        <v>1373</v>
      </c>
      <c r="H83" s="41" t="s">
        <v>1374</v>
      </c>
      <c r="I83" s="41" t="s">
        <v>259</v>
      </c>
      <c r="J83" s="41" t="s">
        <v>260</v>
      </c>
      <c r="K83" s="41" t="s">
        <v>1375</v>
      </c>
      <c r="L83" s="41" t="s">
        <v>1376</v>
      </c>
      <c r="M83" s="41" t="s">
        <v>809</v>
      </c>
      <c r="N83" s="41" t="s">
        <v>810</v>
      </c>
      <c r="O83" s="40" t="s">
        <v>811</v>
      </c>
      <c r="P83" s="41" t="s">
        <v>148</v>
      </c>
      <c r="Q83" s="41" t="s">
        <v>149</v>
      </c>
      <c r="R83" s="41" t="s">
        <v>812</v>
      </c>
      <c r="S83" s="41" t="s">
        <v>813</v>
      </c>
      <c r="T83" s="49">
        <v>1</v>
      </c>
      <c r="U83" s="41" t="s">
        <v>75</v>
      </c>
      <c r="V83" s="41" t="s">
        <v>75</v>
      </c>
      <c r="W83" s="50">
        <v>179</v>
      </c>
      <c r="X83" s="49">
        <v>179</v>
      </c>
      <c r="Y83" s="49">
        <v>0</v>
      </c>
      <c r="Z83" s="50">
        <v>0</v>
      </c>
      <c r="AA83" s="41" t="s">
        <v>75</v>
      </c>
      <c r="AB83" s="50">
        <v>0</v>
      </c>
      <c r="AC83" s="50">
        <v>179</v>
      </c>
      <c r="AD83" s="41" t="s">
        <v>209</v>
      </c>
      <c r="AE83" s="41" t="s">
        <v>1377</v>
      </c>
      <c r="AF83" s="41" t="s">
        <v>75</v>
      </c>
      <c r="AG83" s="41" t="s">
        <v>75</v>
      </c>
      <c r="AH83" s="41" t="s">
        <v>75</v>
      </c>
      <c r="AI83" s="41" t="s">
        <v>1330</v>
      </c>
      <c r="AJ83" s="41" t="s">
        <v>75</v>
      </c>
      <c r="AK83" s="41" t="s">
        <v>91</v>
      </c>
      <c r="AL83" s="40" t="s">
        <v>92</v>
      </c>
      <c r="AM83" s="41" t="s">
        <v>93</v>
      </c>
      <c r="AN83" s="41" t="s">
        <v>1378</v>
      </c>
      <c r="AO83" s="41" t="s">
        <v>75</v>
      </c>
      <c r="AP83" s="41" t="s">
        <v>75</v>
      </c>
      <c r="AQ83" s="41" t="s">
        <v>75</v>
      </c>
      <c r="AR83" s="41" t="s">
        <v>75</v>
      </c>
      <c r="AS83" s="41" t="s">
        <v>75</v>
      </c>
      <c r="AT83" s="41" t="s">
        <v>75</v>
      </c>
      <c r="AU83" s="41" t="s">
        <v>75</v>
      </c>
      <c r="AV83" s="41" t="s">
        <v>1262</v>
      </c>
      <c r="AW83" s="41" t="s">
        <v>75</v>
      </c>
      <c r="AX83" s="41" t="s">
        <v>75</v>
      </c>
      <c r="AY83" s="41" t="s">
        <v>1333</v>
      </c>
      <c r="AZ83" s="41" t="s">
        <v>1274</v>
      </c>
      <c r="BA83" s="41" t="s">
        <v>1275</v>
      </c>
      <c r="BB83" s="41" t="s">
        <v>99</v>
      </c>
      <c r="BC83" s="41" t="s">
        <v>159</v>
      </c>
      <c r="BD83" s="41" t="s">
        <v>101</v>
      </c>
      <c r="BE83" s="41" t="s">
        <v>75</v>
      </c>
      <c r="BF83" s="41" t="s">
        <v>130</v>
      </c>
      <c r="BG83" s="41" t="s">
        <v>1379</v>
      </c>
      <c r="BH83" s="41" t="s">
        <v>75</v>
      </c>
      <c r="BI83" s="41" t="s">
        <v>102</v>
      </c>
      <c r="BJ83" s="41" t="s">
        <v>1380</v>
      </c>
      <c r="BK83" s="41" t="s">
        <v>104</v>
      </c>
      <c r="BL83" s="41" t="s">
        <v>105</v>
      </c>
      <c r="BM83" s="41" t="s">
        <v>75</v>
      </c>
      <c r="BN83" s="41" t="s">
        <v>75</v>
      </c>
      <c r="BO83" s="41" t="s">
        <v>75</v>
      </c>
      <c r="BP83" s="41" t="s">
        <v>75</v>
      </c>
      <c r="BQ83" s="40" t="s">
        <v>821</v>
      </c>
      <c r="BR83" s="41" t="s">
        <v>444</v>
      </c>
      <c r="BS83" s="43" t="s">
        <v>445</v>
      </c>
    </row>
    <row r="84" spans="1:71">
      <c r="A84" s="40" t="s">
        <v>1381</v>
      </c>
      <c r="B84" s="41" t="s">
        <v>72</v>
      </c>
      <c r="C84" s="41" t="s">
        <v>73</v>
      </c>
      <c r="D84" s="41" t="s">
        <v>74</v>
      </c>
      <c r="E84" s="41" t="s">
        <v>75</v>
      </c>
      <c r="F84" s="41" t="s">
        <v>1382</v>
      </c>
      <c r="G84" s="41" t="s">
        <v>1383</v>
      </c>
      <c r="H84" s="41" t="s">
        <v>1384</v>
      </c>
      <c r="I84" s="41" t="s">
        <v>427</v>
      </c>
      <c r="J84" s="41" t="s">
        <v>1152</v>
      </c>
      <c r="K84" s="41" t="s">
        <v>1385</v>
      </c>
      <c r="L84" s="41" t="s">
        <v>1386</v>
      </c>
      <c r="M84" s="41" t="s">
        <v>923</v>
      </c>
      <c r="N84" s="41" t="s">
        <v>924</v>
      </c>
      <c r="O84" s="40" t="s">
        <v>925</v>
      </c>
      <c r="P84" s="41" t="s">
        <v>148</v>
      </c>
      <c r="Q84" s="41" t="s">
        <v>149</v>
      </c>
      <c r="R84" s="41" t="s">
        <v>926</v>
      </c>
      <c r="S84" s="41" t="s">
        <v>927</v>
      </c>
      <c r="T84" s="49">
        <v>1</v>
      </c>
      <c r="U84" s="41" t="s">
        <v>75</v>
      </c>
      <c r="V84" s="41" t="s">
        <v>75</v>
      </c>
      <c r="W84" s="50">
        <v>179</v>
      </c>
      <c r="X84" s="49">
        <v>179</v>
      </c>
      <c r="Y84" s="49">
        <v>0</v>
      </c>
      <c r="Z84" s="50">
        <v>0</v>
      </c>
      <c r="AA84" s="41" t="s">
        <v>75</v>
      </c>
      <c r="AB84" s="50">
        <v>0</v>
      </c>
      <c r="AC84" s="50">
        <v>179</v>
      </c>
      <c r="AD84" s="41" t="s">
        <v>209</v>
      </c>
      <c r="AE84" s="41" t="s">
        <v>1387</v>
      </c>
      <c r="AF84" s="41" t="s">
        <v>75</v>
      </c>
      <c r="AG84" s="41" t="s">
        <v>75</v>
      </c>
      <c r="AH84" s="41" t="s">
        <v>75</v>
      </c>
      <c r="AI84" s="41" t="s">
        <v>1330</v>
      </c>
      <c r="AJ84" s="41" t="s">
        <v>75</v>
      </c>
      <c r="AK84" s="41" t="s">
        <v>91</v>
      </c>
      <c r="AL84" s="40" t="s">
        <v>92</v>
      </c>
      <c r="AM84" s="41" t="s">
        <v>93</v>
      </c>
      <c r="AN84" s="41" t="s">
        <v>1388</v>
      </c>
      <c r="AO84" s="41" t="s">
        <v>75</v>
      </c>
      <c r="AP84" s="41" t="s">
        <v>75</v>
      </c>
      <c r="AQ84" s="41" t="s">
        <v>75</v>
      </c>
      <c r="AR84" s="41" t="s">
        <v>75</v>
      </c>
      <c r="AS84" s="41" t="s">
        <v>75</v>
      </c>
      <c r="AT84" s="41" t="s">
        <v>75</v>
      </c>
      <c r="AU84" s="41" t="s">
        <v>75</v>
      </c>
      <c r="AV84" s="41" t="s">
        <v>1389</v>
      </c>
      <c r="AW84" s="41" t="s">
        <v>75</v>
      </c>
      <c r="AX84" s="41" t="s">
        <v>75</v>
      </c>
      <c r="AY84" s="41" t="s">
        <v>1333</v>
      </c>
      <c r="AZ84" s="41" t="s">
        <v>1264</v>
      </c>
      <c r="BA84" s="41" t="s">
        <v>1265</v>
      </c>
      <c r="BB84" s="41" t="s">
        <v>99</v>
      </c>
      <c r="BC84" s="41" t="s">
        <v>159</v>
      </c>
      <c r="BD84" s="41" t="s">
        <v>101</v>
      </c>
      <c r="BE84" s="41" t="s">
        <v>75</v>
      </c>
      <c r="BF84" s="41" t="s">
        <v>75</v>
      </c>
      <c r="BG84" s="41" t="s">
        <v>75</v>
      </c>
      <c r="BH84" s="41" t="s">
        <v>75</v>
      </c>
      <c r="BI84" s="41" t="s">
        <v>102</v>
      </c>
      <c r="BJ84" s="41" t="s">
        <v>1390</v>
      </c>
      <c r="BK84" s="41" t="s">
        <v>104</v>
      </c>
      <c r="BL84" s="41" t="s">
        <v>105</v>
      </c>
      <c r="BM84" s="41" t="s">
        <v>75</v>
      </c>
      <c r="BN84" s="41" t="s">
        <v>75</v>
      </c>
      <c r="BO84" s="41" t="s">
        <v>75</v>
      </c>
      <c r="BP84" s="41" t="s">
        <v>75</v>
      </c>
      <c r="BQ84" s="40" t="s">
        <v>936</v>
      </c>
      <c r="BR84" s="41" t="s">
        <v>444</v>
      </c>
      <c r="BS84" s="43" t="s">
        <v>445</v>
      </c>
    </row>
    <row r="85" spans="1:71">
      <c r="A85" s="40" t="s">
        <v>1391</v>
      </c>
      <c r="B85" s="41" t="s">
        <v>110</v>
      </c>
      <c r="C85" s="41" t="s">
        <v>111</v>
      </c>
      <c r="D85" s="41" t="s">
        <v>74</v>
      </c>
      <c r="E85" s="41" t="s">
        <v>75</v>
      </c>
      <c r="F85" s="41" t="s">
        <v>842</v>
      </c>
      <c r="G85" s="41" t="s">
        <v>1392</v>
      </c>
      <c r="H85" s="41" t="s">
        <v>1393</v>
      </c>
      <c r="I85" s="41" t="s">
        <v>1394</v>
      </c>
      <c r="J85" s="41" t="s">
        <v>1395</v>
      </c>
      <c r="K85" s="41" t="s">
        <v>1396</v>
      </c>
      <c r="L85" s="41" t="s">
        <v>1397</v>
      </c>
      <c r="M85" s="41" t="s">
        <v>408</v>
      </c>
      <c r="N85" s="41" t="s">
        <v>409</v>
      </c>
      <c r="O85" s="40" t="s">
        <v>410</v>
      </c>
      <c r="P85" s="41" t="s">
        <v>75</v>
      </c>
      <c r="Q85" s="41" t="s">
        <v>75</v>
      </c>
      <c r="R85" s="41" t="s">
        <v>411</v>
      </c>
      <c r="S85" s="41" t="s">
        <v>250</v>
      </c>
      <c r="T85" s="49">
        <v>1</v>
      </c>
      <c r="U85" s="41" t="s">
        <v>75</v>
      </c>
      <c r="V85" s="41" t="s">
        <v>75</v>
      </c>
      <c r="W85" s="50">
        <v>189</v>
      </c>
      <c r="X85" s="49">
        <v>189</v>
      </c>
      <c r="Y85" s="49">
        <v>0</v>
      </c>
      <c r="Z85" s="50">
        <v>0</v>
      </c>
      <c r="AA85" s="41" t="s">
        <v>75</v>
      </c>
      <c r="AB85" s="50">
        <v>0</v>
      </c>
      <c r="AC85" s="50">
        <v>189</v>
      </c>
      <c r="AD85" s="41" t="s">
        <v>209</v>
      </c>
      <c r="AE85" s="41" t="s">
        <v>1398</v>
      </c>
      <c r="AF85" s="41" t="s">
        <v>75</v>
      </c>
      <c r="AG85" s="41" t="s">
        <v>75</v>
      </c>
      <c r="AH85" s="41" t="s">
        <v>75</v>
      </c>
      <c r="AI85" s="41" t="s">
        <v>1399</v>
      </c>
      <c r="AJ85" s="41" t="s">
        <v>75</v>
      </c>
      <c r="AK85" s="41" t="s">
        <v>91</v>
      </c>
      <c r="AL85" s="40" t="s">
        <v>92</v>
      </c>
      <c r="AM85" s="41" t="s">
        <v>93</v>
      </c>
      <c r="AN85" s="41" t="s">
        <v>1400</v>
      </c>
      <c r="AO85" s="41" t="s">
        <v>75</v>
      </c>
      <c r="AP85" s="41" t="s">
        <v>75</v>
      </c>
      <c r="AQ85" s="41" t="s">
        <v>75</v>
      </c>
      <c r="AR85" s="41" t="s">
        <v>75</v>
      </c>
      <c r="AS85" s="41" t="s">
        <v>75</v>
      </c>
      <c r="AT85" s="41" t="s">
        <v>75</v>
      </c>
      <c r="AU85" s="41" t="s">
        <v>75</v>
      </c>
      <c r="AV85" s="41" t="s">
        <v>1401</v>
      </c>
      <c r="AW85" s="41" t="s">
        <v>75</v>
      </c>
      <c r="AX85" s="41" t="s">
        <v>75</v>
      </c>
      <c r="AY85" s="41" t="s">
        <v>1402</v>
      </c>
      <c r="AZ85" s="41" t="s">
        <v>1403</v>
      </c>
      <c r="BA85" s="41" t="s">
        <v>75</v>
      </c>
      <c r="BB85" s="41" t="s">
        <v>99</v>
      </c>
      <c r="BC85" s="41" t="s">
        <v>75</v>
      </c>
      <c r="BD85" s="41" t="s">
        <v>101</v>
      </c>
      <c r="BE85" s="41" t="s">
        <v>75</v>
      </c>
      <c r="BF85" s="41" t="s">
        <v>130</v>
      </c>
      <c r="BG85" s="41" t="s">
        <v>1404</v>
      </c>
      <c r="BH85" s="41" t="s">
        <v>75</v>
      </c>
      <c r="BI85" s="41" t="s">
        <v>102</v>
      </c>
      <c r="BJ85" s="41" t="s">
        <v>1405</v>
      </c>
      <c r="BK85" s="41" t="s">
        <v>104</v>
      </c>
      <c r="BL85" s="41" t="s">
        <v>105</v>
      </c>
      <c r="BM85" s="41" t="s">
        <v>75</v>
      </c>
      <c r="BN85" s="41" t="s">
        <v>75</v>
      </c>
      <c r="BO85" s="41" t="s">
        <v>75</v>
      </c>
      <c r="BP85" s="41" t="s">
        <v>75</v>
      </c>
      <c r="BQ85" s="40" t="s">
        <v>420</v>
      </c>
      <c r="BR85" s="41" t="s">
        <v>421</v>
      </c>
      <c r="BS85" s="43" t="s">
        <v>422</v>
      </c>
    </row>
    <row r="86" spans="1:71">
      <c r="A86" s="40" t="s">
        <v>1391</v>
      </c>
      <c r="B86" s="41" t="s">
        <v>110</v>
      </c>
      <c r="C86" s="41" t="s">
        <v>111</v>
      </c>
      <c r="D86" s="41" t="s">
        <v>74</v>
      </c>
      <c r="E86" s="41" t="s">
        <v>75</v>
      </c>
      <c r="F86" s="41" t="s">
        <v>842</v>
      </c>
      <c r="G86" s="41" t="s">
        <v>1392</v>
      </c>
      <c r="H86" s="41" t="s">
        <v>1393</v>
      </c>
      <c r="I86" s="41" t="s">
        <v>1394</v>
      </c>
      <c r="J86" s="41" t="s">
        <v>1395</v>
      </c>
      <c r="K86" s="41" t="s">
        <v>1396</v>
      </c>
      <c r="L86" s="41" t="s">
        <v>1397</v>
      </c>
      <c r="M86" s="41" t="s">
        <v>1406</v>
      </c>
      <c r="N86" s="41" t="s">
        <v>1407</v>
      </c>
      <c r="O86" s="40" t="s">
        <v>1408</v>
      </c>
      <c r="P86" s="41" t="s">
        <v>148</v>
      </c>
      <c r="Q86" s="41" t="s">
        <v>149</v>
      </c>
      <c r="R86" s="41" t="s">
        <v>1409</v>
      </c>
      <c r="S86" s="41" t="s">
        <v>250</v>
      </c>
      <c r="T86" s="49">
        <v>1</v>
      </c>
      <c r="U86" s="41" t="s">
        <v>75</v>
      </c>
      <c r="V86" s="41" t="s">
        <v>75</v>
      </c>
      <c r="W86" s="50">
        <v>199</v>
      </c>
      <c r="X86" s="49">
        <v>199</v>
      </c>
      <c r="Y86" s="49">
        <v>0</v>
      </c>
      <c r="Z86" s="50">
        <v>0</v>
      </c>
      <c r="AA86" s="41" t="s">
        <v>75</v>
      </c>
      <c r="AB86" s="50">
        <v>0</v>
      </c>
      <c r="AC86" s="50">
        <v>199</v>
      </c>
      <c r="AD86" s="41" t="s">
        <v>209</v>
      </c>
      <c r="AE86" s="41" t="s">
        <v>1398</v>
      </c>
      <c r="AF86" s="41" t="s">
        <v>75</v>
      </c>
      <c r="AG86" s="41" t="s">
        <v>75</v>
      </c>
      <c r="AH86" s="41" t="s">
        <v>75</v>
      </c>
      <c r="AI86" s="41" t="s">
        <v>1399</v>
      </c>
      <c r="AJ86" s="41" t="s">
        <v>75</v>
      </c>
      <c r="AK86" s="41" t="s">
        <v>91</v>
      </c>
      <c r="AL86" s="40" t="s">
        <v>92</v>
      </c>
      <c r="AM86" s="41" t="s">
        <v>93</v>
      </c>
      <c r="AN86" s="41" t="s">
        <v>1410</v>
      </c>
      <c r="AO86" s="41" t="s">
        <v>75</v>
      </c>
      <c r="AP86" s="41" t="s">
        <v>75</v>
      </c>
      <c r="AQ86" s="41" t="s">
        <v>75</v>
      </c>
      <c r="AR86" s="41" t="s">
        <v>75</v>
      </c>
      <c r="AS86" s="41" t="s">
        <v>75</v>
      </c>
      <c r="AT86" s="41" t="s">
        <v>75</v>
      </c>
      <c r="AU86" s="41" t="s">
        <v>75</v>
      </c>
      <c r="AV86" s="41" t="s">
        <v>1401</v>
      </c>
      <c r="AW86" s="41" t="s">
        <v>75</v>
      </c>
      <c r="AX86" s="41" t="s">
        <v>75</v>
      </c>
      <c r="AY86" s="41" t="s">
        <v>1402</v>
      </c>
      <c r="AZ86" s="41" t="s">
        <v>1411</v>
      </c>
      <c r="BA86" s="41" t="s">
        <v>75</v>
      </c>
      <c r="BB86" s="41" t="s">
        <v>99</v>
      </c>
      <c r="BC86" s="41" t="s">
        <v>75</v>
      </c>
      <c r="BD86" s="41" t="s">
        <v>101</v>
      </c>
      <c r="BE86" s="41" t="s">
        <v>75</v>
      </c>
      <c r="BF86" s="41" t="s">
        <v>130</v>
      </c>
      <c r="BG86" s="41" t="s">
        <v>1404</v>
      </c>
      <c r="BH86" s="41" t="s">
        <v>75</v>
      </c>
      <c r="BI86" s="41" t="s">
        <v>102</v>
      </c>
      <c r="BJ86" s="41" t="s">
        <v>1405</v>
      </c>
      <c r="BK86" s="41" t="s">
        <v>104</v>
      </c>
      <c r="BL86" s="41" t="s">
        <v>105</v>
      </c>
      <c r="BM86" s="41" t="s">
        <v>75</v>
      </c>
      <c r="BN86" s="41" t="s">
        <v>75</v>
      </c>
      <c r="BO86" s="41" t="s">
        <v>75</v>
      </c>
      <c r="BP86" s="41" t="s">
        <v>75</v>
      </c>
      <c r="BQ86" s="40" t="s">
        <v>1412</v>
      </c>
      <c r="BR86" s="41" t="s">
        <v>398</v>
      </c>
      <c r="BS86" s="43" t="s">
        <v>399</v>
      </c>
    </row>
    <row r="87" spans="1:71">
      <c r="A87" s="40" t="s">
        <v>1391</v>
      </c>
      <c r="B87" s="41" t="s">
        <v>110</v>
      </c>
      <c r="C87" s="41" t="s">
        <v>111</v>
      </c>
      <c r="D87" s="41" t="s">
        <v>74</v>
      </c>
      <c r="E87" s="41" t="s">
        <v>75</v>
      </c>
      <c r="F87" s="41" t="s">
        <v>842</v>
      </c>
      <c r="G87" s="41" t="s">
        <v>1392</v>
      </c>
      <c r="H87" s="41" t="s">
        <v>1393</v>
      </c>
      <c r="I87" s="41" t="s">
        <v>1394</v>
      </c>
      <c r="J87" s="41" t="s">
        <v>1395</v>
      </c>
      <c r="K87" s="41" t="s">
        <v>1396</v>
      </c>
      <c r="L87" s="41" t="s">
        <v>1397</v>
      </c>
      <c r="M87" s="41" t="s">
        <v>1413</v>
      </c>
      <c r="N87" s="41" t="s">
        <v>1414</v>
      </c>
      <c r="O87" s="40" t="s">
        <v>1415</v>
      </c>
      <c r="P87" s="41" t="s">
        <v>148</v>
      </c>
      <c r="Q87" s="41" t="s">
        <v>149</v>
      </c>
      <c r="R87" s="41" t="s">
        <v>1416</v>
      </c>
      <c r="S87" s="41" t="s">
        <v>250</v>
      </c>
      <c r="T87" s="49">
        <v>1</v>
      </c>
      <c r="U87" s="41" t="s">
        <v>75</v>
      </c>
      <c r="V87" s="41" t="s">
        <v>75</v>
      </c>
      <c r="W87" s="50">
        <v>289</v>
      </c>
      <c r="X87" s="49">
        <v>289</v>
      </c>
      <c r="Y87" s="49">
        <v>0</v>
      </c>
      <c r="Z87" s="50">
        <v>0</v>
      </c>
      <c r="AA87" s="41" t="s">
        <v>75</v>
      </c>
      <c r="AB87" s="50">
        <v>0</v>
      </c>
      <c r="AC87" s="50">
        <v>289</v>
      </c>
      <c r="AD87" s="41" t="s">
        <v>209</v>
      </c>
      <c r="AE87" s="41" t="s">
        <v>1398</v>
      </c>
      <c r="AF87" s="41" t="s">
        <v>75</v>
      </c>
      <c r="AG87" s="41" t="s">
        <v>75</v>
      </c>
      <c r="AH87" s="41" t="s">
        <v>75</v>
      </c>
      <c r="AI87" s="41" t="s">
        <v>1399</v>
      </c>
      <c r="AJ87" s="41" t="s">
        <v>75</v>
      </c>
      <c r="AK87" s="41" t="s">
        <v>91</v>
      </c>
      <c r="AL87" s="40" t="s">
        <v>92</v>
      </c>
      <c r="AM87" s="41" t="s">
        <v>75</v>
      </c>
      <c r="AN87" s="41" t="s">
        <v>75</v>
      </c>
      <c r="AO87" s="41" t="s">
        <v>75</v>
      </c>
      <c r="AP87" s="41" t="s">
        <v>75</v>
      </c>
      <c r="AQ87" s="41" t="s">
        <v>75</v>
      </c>
      <c r="AR87" s="41" t="s">
        <v>75</v>
      </c>
      <c r="AS87" s="41" t="s">
        <v>75</v>
      </c>
      <c r="AT87" s="41" t="s">
        <v>75</v>
      </c>
      <c r="AU87" s="41" t="s">
        <v>75</v>
      </c>
      <c r="AV87" s="41" t="s">
        <v>1401</v>
      </c>
      <c r="AW87" s="41" t="s">
        <v>75</v>
      </c>
      <c r="AX87" s="41" t="s">
        <v>75</v>
      </c>
      <c r="AY87" s="41" t="s">
        <v>1402</v>
      </c>
      <c r="AZ87" s="41" t="s">
        <v>75</v>
      </c>
      <c r="BA87" s="41" t="s">
        <v>75</v>
      </c>
      <c r="BB87" s="41" t="s">
        <v>99</v>
      </c>
      <c r="BC87" s="41" t="s">
        <v>75</v>
      </c>
      <c r="BD87" s="41" t="s">
        <v>101</v>
      </c>
      <c r="BE87" s="41" t="s">
        <v>75</v>
      </c>
      <c r="BF87" s="41" t="s">
        <v>130</v>
      </c>
      <c r="BG87" s="41" t="s">
        <v>1404</v>
      </c>
      <c r="BH87" s="41" t="s">
        <v>75</v>
      </c>
      <c r="BI87" s="41" t="s">
        <v>102</v>
      </c>
      <c r="BJ87" s="41" t="s">
        <v>1405</v>
      </c>
      <c r="BK87" s="41" t="s">
        <v>104</v>
      </c>
      <c r="BL87" s="41" t="s">
        <v>105</v>
      </c>
      <c r="BM87" s="41" t="s">
        <v>75</v>
      </c>
      <c r="BN87" s="41" t="s">
        <v>75</v>
      </c>
      <c r="BO87" s="41" t="s">
        <v>75</v>
      </c>
      <c r="BP87" s="41" t="s">
        <v>75</v>
      </c>
      <c r="BQ87" s="40" t="s">
        <v>1417</v>
      </c>
      <c r="BR87" s="41" t="s">
        <v>1418</v>
      </c>
      <c r="BS87" s="43" t="s">
        <v>1419</v>
      </c>
    </row>
    <row r="88" spans="1:71">
      <c r="A88" s="40" t="s">
        <v>1420</v>
      </c>
      <c r="B88" s="41" t="s">
        <v>72</v>
      </c>
      <c r="C88" s="41" t="s">
        <v>73</v>
      </c>
      <c r="D88" s="41" t="s">
        <v>74</v>
      </c>
      <c r="E88" s="41" t="s">
        <v>75</v>
      </c>
      <c r="F88" s="41" t="s">
        <v>1421</v>
      </c>
      <c r="G88" s="41" t="s">
        <v>1422</v>
      </c>
      <c r="H88" s="41" t="s">
        <v>631</v>
      </c>
      <c r="I88" s="41" t="s">
        <v>79</v>
      </c>
      <c r="J88" s="41" t="s">
        <v>80</v>
      </c>
      <c r="K88" s="41" t="s">
        <v>632</v>
      </c>
      <c r="L88" s="41" t="s">
        <v>1423</v>
      </c>
      <c r="M88" s="41" t="s">
        <v>385</v>
      </c>
      <c r="N88" s="41" t="s">
        <v>386</v>
      </c>
      <c r="O88" s="40" t="s">
        <v>387</v>
      </c>
      <c r="P88" s="41" t="s">
        <v>148</v>
      </c>
      <c r="Q88" s="41" t="s">
        <v>149</v>
      </c>
      <c r="R88" s="41" t="s">
        <v>388</v>
      </c>
      <c r="S88" s="41" t="s">
        <v>183</v>
      </c>
      <c r="T88" s="49">
        <v>1</v>
      </c>
      <c r="U88" s="41" t="s">
        <v>75</v>
      </c>
      <c r="V88" s="41" t="s">
        <v>75</v>
      </c>
      <c r="W88" s="50">
        <v>199</v>
      </c>
      <c r="X88" s="49">
        <v>199</v>
      </c>
      <c r="Y88" s="49">
        <v>0</v>
      </c>
      <c r="Z88" s="50">
        <v>0</v>
      </c>
      <c r="AA88" s="41" t="s">
        <v>75</v>
      </c>
      <c r="AB88" s="50">
        <v>0</v>
      </c>
      <c r="AC88" s="50">
        <v>199</v>
      </c>
      <c r="AD88" s="41" t="s">
        <v>88</v>
      </c>
      <c r="AE88" s="41" t="s">
        <v>1424</v>
      </c>
      <c r="AF88" s="41" t="s">
        <v>75</v>
      </c>
      <c r="AG88" s="41" t="s">
        <v>75</v>
      </c>
      <c r="AH88" s="41" t="s">
        <v>75</v>
      </c>
      <c r="AI88" s="41" t="s">
        <v>1425</v>
      </c>
      <c r="AJ88" s="41" t="s">
        <v>75</v>
      </c>
      <c r="AK88" s="41" t="s">
        <v>91</v>
      </c>
      <c r="AL88" s="40" t="s">
        <v>92</v>
      </c>
      <c r="AM88" s="41" t="s">
        <v>93</v>
      </c>
      <c r="AN88" s="41" t="s">
        <v>1426</v>
      </c>
      <c r="AO88" s="41" t="s">
        <v>75</v>
      </c>
      <c r="AP88" s="41" t="s">
        <v>75</v>
      </c>
      <c r="AQ88" s="41" t="s">
        <v>75</v>
      </c>
      <c r="AR88" s="41" t="s">
        <v>75</v>
      </c>
      <c r="AS88" s="41" t="s">
        <v>75</v>
      </c>
      <c r="AT88" s="41" t="s">
        <v>75</v>
      </c>
      <c r="AU88" s="41" t="s">
        <v>75</v>
      </c>
      <c r="AV88" s="41" t="s">
        <v>1427</v>
      </c>
      <c r="AW88" s="41" t="s">
        <v>75</v>
      </c>
      <c r="AX88" s="41" t="s">
        <v>75</v>
      </c>
      <c r="AY88" s="41" t="s">
        <v>1428</v>
      </c>
      <c r="AZ88" s="41" t="s">
        <v>1411</v>
      </c>
      <c r="BA88" s="41" t="s">
        <v>1429</v>
      </c>
      <c r="BB88" s="41" t="s">
        <v>99</v>
      </c>
      <c r="BC88" s="41" t="s">
        <v>100</v>
      </c>
      <c r="BD88" s="41" t="s">
        <v>101</v>
      </c>
      <c r="BE88" s="41" t="s">
        <v>75</v>
      </c>
      <c r="BF88" s="41" t="s">
        <v>75</v>
      </c>
      <c r="BG88" s="41" t="s">
        <v>75</v>
      </c>
      <c r="BH88" s="41" t="s">
        <v>75</v>
      </c>
      <c r="BI88" s="41" t="s">
        <v>102</v>
      </c>
      <c r="BJ88" s="41" t="s">
        <v>1430</v>
      </c>
      <c r="BK88" s="41" t="s">
        <v>104</v>
      </c>
      <c r="BL88" s="41" t="s">
        <v>105</v>
      </c>
      <c r="BM88" s="41" t="s">
        <v>75</v>
      </c>
      <c r="BN88" s="41" t="s">
        <v>75</v>
      </c>
      <c r="BO88" s="41" t="s">
        <v>75</v>
      </c>
      <c r="BP88" s="41" t="s">
        <v>75</v>
      </c>
      <c r="BQ88" s="40" t="s">
        <v>397</v>
      </c>
      <c r="BR88" s="41" t="s">
        <v>398</v>
      </c>
      <c r="BS88" s="43" t="s">
        <v>399</v>
      </c>
    </row>
    <row r="89" spans="1:71">
      <c r="A89" s="40" t="s">
        <v>1431</v>
      </c>
      <c r="B89" s="41" t="s">
        <v>110</v>
      </c>
      <c r="C89" s="41" t="s">
        <v>111</v>
      </c>
      <c r="D89" s="41" t="s">
        <v>74</v>
      </c>
      <c r="E89" s="41" t="s">
        <v>75</v>
      </c>
      <c r="F89" s="41" t="s">
        <v>1432</v>
      </c>
      <c r="G89" s="41" t="s">
        <v>1433</v>
      </c>
      <c r="H89" s="41" t="s">
        <v>1434</v>
      </c>
      <c r="I89" s="41" t="s">
        <v>1107</v>
      </c>
      <c r="J89" s="41" t="s">
        <v>1108</v>
      </c>
      <c r="K89" s="41" t="s">
        <v>1435</v>
      </c>
      <c r="L89" s="41" t="s">
        <v>1436</v>
      </c>
      <c r="M89" s="41" t="s">
        <v>385</v>
      </c>
      <c r="N89" s="41" t="s">
        <v>386</v>
      </c>
      <c r="O89" s="40" t="s">
        <v>387</v>
      </c>
      <c r="P89" s="41" t="s">
        <v>148</v>
      </c>
      <c r="Q89" s="41" t="s">
        <v>149</v>
      </c>
      <c r="R89" s="41" t="s">
        <v>388</v>
      </c>
      <c r="S89" s="41" t="s">
        <v>183</v>
      </c>
      <c r="T89" s="49">
        <v>1</v>
      </c>
      <c r="U89" s="41" t="s">
        <v>75</v>
      </c>
      <c r="V89" s="41" t="s">
        <v>75</v>
      </c>
      <c r="W89" s="50">
        <v>199</v>
      </c>
      <c r="X89" s="49">
        <v>199</v>
      </c>
      <c r="Y89" s="49">
        <v>0</v>
      </c>
      <c r="Z89" s="50">
        <v>0</v>
      </c>
      <c r="AA89" s="41" t="s">
        <v>75</v>
      </c>
      <c r="AB89" s="50">
        <v>0</v>
      </c>
      <c r="AC89" s="50">
        <v>199</v>
      </c>
      <c r="AD89" s="41" t="s">
        <v>88</v>
      </c>
      <c r="AE89" s="41" t="s">
        <v>1437</v>
      </c>
      <c r="AF89" s="41" t="s">
        <v>75</v>
      </c>
      <c r="AG89" s="41" t="s">
        <v>75</v>
      </c>
      <c r="AH89" s="41" t="s">
        <v>75</v>
      </c>
      <c r="AI89" s="41" t="s">
        <v>1438</v>
      </c>
      <c r="AJ89" s="41" t="s">
        <v>75</v>
      </c>
      <c r="AK89" s="41" t="s">
        <v>91</v>
      </c>
      <c r="AL89" s="40" t="s">
        <v>92</v>
      </c>
      <c r="AM89" s="41" t="s">
        <v>93</v>
      </c>
      <c r="AN89" s="41" t="s">
        <v>1439</v>
      </c>
      <c r="AO89" s="41" t="s">
        <v>75</v>
      </c>
      <c r="AP89" s="41" t="s">
        <v>75</v>
      </c>
      <c r="AQ89" s="41" t="s">
        <v>75</v>
      </c>
      <c r="AR89" s="41" t="s">
        <v>75</v>
      </c>
      <c r="AS89" s="41" t="s">
        <v>75</v>
      </c>
      <c r="AT89" s="41" t="s">
        <v>75</v>
      </c>
      <c r="AU89" s="41" t="s">
        <v>75</v>
      </c>
      <c r="AV89" s="41" t="s">
        <v>1440</v>
      </c>
      <c r="AW89" s="41" t="s">
        <v>75</v>
      </c>
      <c r="AX89" s="41" t="s">
        <v>75</v>
      </c>
      <c r="AY89" s="41" t="s">
        <v>1441</v>
      </c>
      <c r="AZ89" s="41" t="s">
        <v>1442</v>
      </c>
      <c r="BA89" s="41" t="s">
        <v>75</v>
      </c>
      <c r="BB89" s="41" t="s">
        <v>99</v>
      </c>
      <c r="BC89" s="41" t="s">
        <v>75</v>
      </c>
      <c r="BD89" s="41" t="s">
        <v>101</v>
      </c>
      <c r="BE89" s="41" t="s">
        <v>75</v>
      </c>
      <c r="BF89" s="41" t="s">
        <v>130</v>
      </c>
      <c r="BG89" s="41" t="s">
        <v>1443</v>
      </c>
      <c r="BH89" s="41" t="s">
        <v>75</v>
      </c>
      <c r="BI89" s="41" t="s">
        <v>102</v>
      </c>
      <c r="BJ89" s="41" t="s">
        <v>1444</v>
      </c>
      <c r="BK89" s="41" t="s">
        <v>104</v>
      </c>
      <c r="BL89" s="41" t="s">
        <v>105</v>
      </c>
      <c r="BM89" s="41" t="s">
        <v>75</v>
      </c>
      <c r="BN89" s="41" t="s">
        <v>75</v>
      </c>
      <c r="BO89" s="41" t="s">
        <v>75</v>
      </c>
      <c r="BP89" s="41" t="s">
        <v>75</v>
      </c>
      <c r="BQ89" s="40" t="s">
        <v>397</v>
      </c>
      <c r="BR89" s="41" t="s">
        <v>398</v>
      </c>
      <c r="BS89" s="43" t="s">
        <v>399</v>
      </c>
    </row>
    <row r="90" spans="1:71">
      <c r="A90" s="40" t="s">
        <v>1445</v>
      </c>
      <c r="B90" s="41" t="s">
        <v>72</v>
      </c>
      <c r="C90" s="41" t="s">
        <v>73</v>
      </c>
      <c r="D90" s="41" t="s">
        <v>74</v>
      </c>
      <c r="E90" s="41" t="s">
        <v>75</v>
      </c>
      <c r="F90" s="41" t="s">
        <v>1019</v>
      </c>
      <c r="G90" s="41" t="s">
        <v>1446</v>
      </c>
      <c r="H90" s="41" t="s">
        <v>566</v>
      </c>
      <c r="I90" s="41" t="s">
        <v>115</v>
      </c>
      <c r="J90" s="41" t="s">
        <v>567</v>
      </c>
      <c r="K90" s="41" t="s">
        <v>568</v>
      </c>
      <c r="L90" s="41" t="s">
        <v>1447</v>
      </c>
      <c r="M90" s="41" t="s">
        <v>1448</v>
      </c>
      <c r="N90" s="41" t="s">
        <v>1449</v>
      </c>
      <c r="O90" s="40" t="s">
        <v>1450</v>
      </c>
      <c r="P90" s="41" t="s">
        <v>148</v>
      </c>
      <c r="Q90" s="41" t="s">
        <v>149</v>
      </c>
      <c r="R90" s="41" t="s">
        <v>1451</v>
      </c>
      <c r="S90" s="41" t="s">
        <v>183</v>
      </c>
      <c r="T90" s="49">
        <v>1</v>
      </c>
      <c r="U90" s="41" t="s">
        <v>75</v>
      </c>
      <c r="V90" s="41" t="s">
        <v>75</v>
      </c>
      <c r="W90" s="50">
        <v>289</v>
      </c>
      <c r="X90" s="49">
        <v>289</v>
      </c>
      <c r="Y90" s="49">
        <v>0</v>
      </c>
      <c r="Z90" s="50">
        <v>0</v>
      </c>
      <c r="AA90" s="41" t="s">
        <v>75</v>
      </c>
      <c r="AB90" s="50">
        <v>0</v>
      </c>
      <c r="AC90" s="50">
        <v>289</v>
      </c>
      <c r="AD90" s="41" t="s">
        <v>209</v>
      </c>
      <c r="AE90" s="41" t="s">
        <v>75</v>
      </c>
      <c r="AF90" s="41" t="s">
        <v>75</v>
      </c>
      <c r="AG90" s="41" t="s">
        <v>75</v>
      </c>
      <c r="AH90" s="41" t="s">
        <v>75</v>
      </c>
      <c r="AI90" s="41" t="s">
        <v>1452</v>
      </c>
      <c r="AJ90" s="41" t="s">
        <v>75</v>
      </c>
      <c r="AK90" s="41" t="s">
        <v>91</v>
      </c>
      <c r="AL90" s="40" t="s">
        <v>92</v>
      </c>
      <c r="AM90" s="41" t="s">
        <v>93</v>
      </c>
      <c r="AN90" s="41" t="s">
        <v>1453</v>
      </c>
      <c r="AO90" s="41" t="s">
        <v>75</v>
      </c>
      <c r="AP90" s="41" t="s">
        <v>75</v>
      </c>
      <c r="AQ90" s="41" t="s">
        <v>75</v>
      </c>
      <c r="AR90" s="41" t="s">
        <v>75</v>
      </c>
      <c r="AS90" s="41" t="s">
        <v>75</v>
      </c>
      <c r="AT90" s="41" t="s">
        <v>75</v>
      </c>
      <c r="AU90" s="41" t="s">
        <v>75</v>
      </c>
      <c r="AV90" s="41" t="s">
        <v>1454</v>
      </c>
      <c r="AW90" s="41" t="s">
        <v>75</v>
      </c>
      <c r="AX90" s="41" t="s">
        <v>75</v>
      </c>
      <c r="AY90" s="41" t="s">
        <v>1455</v>
      </c>
      <c r="AZ90" s="41" t="s">
        <v>1456</v>
      </c>
      <c r="BA90" s="41" t="s">
        <v>1457</v>
      </c>
      <c r="BB90" s="41" t="s">
        <v>99</v>
      </c>
      <c r="BC90" s="41" t="s">
        <v>159</v>
      </c>
      <c r="BD90" s="41" t="s">
        <v>101</v>
      </c>
      <c r="BE90" s="41" t="s">
        <v>75</v>
      </c>
      <c r="BF90" s="41" t="s">
        <v>75</v>
      </c>
      <c r="BG90" s="41" t="s">
        <v>75</v>
      </c>
      <c r="BH90" s="41" t="s">
        <v>75</v>
      </c>
      <c r="BI90" s="41" t="s">
        <v>102</v>
      </c>
      <c r="BJ90" s="41" t="s">
        <v>1458</v>
      </c>
      <c r="BK90" s="41" t="s">
        <v>104</v>
      </c>
      <c r="BL90" s="41" t="s">
        <v>105</v>
      </c>
      <c r="BM90" s="41" t="s">
        <v>75</v>
      </c>
      <c r="BN90" s="41" t="s">
        <v>75</v>
      </c>
      <c r="BO90" s="41" t="s">
        <v>75</v>
      </c>
      <c r="BP90" s="41" t="s">
        <v>75</v>
      </c>
      <c r="BQ90" s="40" t="s">
        <v>1459</v>
      </c>
      <c r="BR90" s="41" t="s">
        <v>1460</v>
      </c>
      <c r="BS90" s="43" t="s">
        <v>1461</v>
      </c>
    </row>
    <row r="91" spans="1:71">
      <c r="A91" s="40" t="s">
        <v>1462</v>
      </c>
      <c r="B91" s="41" t="s">
        <v>72</v>
      </c>
      <c r="C91" s="41" t="s">
        <v>73</v>
      </c>
      <c r="D91" s="41" t="s">
        <v>74</v>
      </c>
      <c r="E91" s="41" t="s">
        <v>75</v>
      </c>
      <c r="F91" s="41" t="s">
        <v>1463</v>
      </c>
      <c r="G91" s="41" t="s">
        <v>1464</v>
      </c>
      <c r="H91" s="41" t="s">
        <v>1465</v>
      </c>
      <c r="I91" s="41" t="s">
        <v>1205</v>
      </c>
      <c r="J91" s="41" t="s">
        <v>1466</v>
      </c>
      <c r="K91" s="41" t="s">
        <v>1467</v>
      </c>
      <c r="L91" s="41" t="s">
        <v>1468</v>
      </c>
      <c r="M91" s="41" t="s">
        <v>1469</v>
      </c>
      <c r="N91" s="41" t="s">
        <v>1470</v>
      </c>
      <c r="O91" s="40" t="s">
        <v>1471</v>
      </c>
      <c r="P91" s="41" t="s">
        <v>148</v>
      </c>
      <c r="Q91" s="41" t="s">
        <v>149</v>
      </c>
      <c r="R91" s="41" t="s">
        <v>1472</v>
      </c>
      <c r="S91" s="41" t="s">
        <v>1473</v>
      </c>
      <c r="T91" s="49">
        <v>1</v>
      </c>
      <c r="U91" s="41" t="s">
        <v>75</v>
      </c>
      <c r="V91" s="41" t="s">
        <v>75</v>
      </c>
      <c r="W91" s="50">
        <v>289</v>
      </c>
      <c r="X91" s="49">
        <v>289</v>
      </c>
      <c r="Y91" s="49">
        <v>0</v>
      </c>
      <c r="Z91" s="50">
        <v>0</v>
      </c>
      <c r="AA91" s="41" t="s">
        <v>75</v>
      </c>
      <c r="AB91" s="50">
        <v>0</v>
      </c>
      <c r="AC91" s="50">
        <v>289</v>
      </c>
      <c r="AD91" s="41" t="s">
        <v>88</v>
      </c>
      <c r="AE91" s="41" t="s">
        <v>1474</v>
      </c>
      <c r="AF91" s="41" t="s">
        <v>75</v>
      </c>
      <c r="AG91" s="41" t="s">
        <v>75</v>
      </c>
      <c r="AH91" s="41" t="s">
        <v>75</v>
      </c>
      <c r="AI91" s="41" t="s">
        <v>1475</v>
      </c>
      <c r="AJ91" s="41" t="s">
        <v>75</v>
      </c>
      <c r="AK91" s="41" t="s">
        <v>91</v>
      </c>
      <c r="AL91" s="40" t="s">
        <v>92</v>
      </c>
      <c r="AM91" s="41" t="s">
        <v>93</v>
      </c>
      <c r="AN91" s="41" t="s">
        <v>1476</v>
      </c>
      <c r="AO91" s="41" t="s">
        <v>75</v>
      </c>
      <c r="AP91" s="41" t="s">
        <v>75</v>
      </c>
      <c r="AQ91" s="41" t="s">
        <v>75</v>
      </c>
      <c r="AR91" s="41" t="s">
        <v>75</v>
      </c>
      <c r="AS91" s="41" t="s">
        <v>75</v>
      </c>
      <c r="AT91" s="41" t="s">
        <v>75</v>
      </c>
      <c r="AU91" s="41" t="s">
        <v>75</v>
      </c>
      <c r="AV91" s="41" t="s">
        <v>1477</v>
      </c>
      <c r="AW91" s="41" t="s">
        <v>75</v>
      </c>
      <c r="AX91" s="41" t="s">
        <v>75</v>
      </c>
      <c r="AY91" s="41" t="s">
        <v>1478</v>
      </c>
      <c r="AZ91" s="41" t="s">
        <v>1479</v>
      </c>
      <c r="BA91" s="41" t="s">
        <v>1480</v>
      </c>
      <c r="BB91" s="41" t="s">
        <v>99</v>
      </c>
      <c r="BC91" s="41" t="s">
        <v>159</v>
      </c>
      <c r="BD91" s="41" t="s">
        <v>101</v>
      </c>
      <c r="BE91" s="41" t="s">
        <v>75</v>
      </c>
      <c r="BF91" s="41" t="s">
        <v>75</v>
      </c>
      <c r="BG91" s="41" t="s">
        <v>75</v>
      </c>
      <c r="BH91" s="41" t="s">
        <v>75</v>
      </c>
      <c r="BI91" s="41" t="s">
        <v>102</v>
      </c>
      <c r="BJ91" s="41" t="s">
        <v>1481</v>
      </c>
      <c r="BK91" s="41" t="s">
        <v>104</v>
      </c>
      <c r="BL91" s="41" t="s">
        <v>105</v>
      </c>
      <c r="BM91" s="41" t="s">
        <v>75</v>
      </c>
      <c r="BN91" s="41" t="s">
        <v>75</v>
      </c>
      <c r="BO91" s="41" t="s">
        <v>75</v>
      </c>
      <c r="BP91" s="41" t="s">
        <v>75</v>
      </c>
      <c r="BQ91" s="40" t="s">
        <v>1482</v>
      </c>
      <c r="BR91" s="41" t="s">
        <v>1460</v>
      </c>
      <c r="BS91" s="43" t="s">
        <v>1461</v>
      </c>
    </row>
    <row r="92" spans="1:71">
      <c r="A92" s="40" t="s">
        <v>1483</v>
      </c>
      <c r="B92" s="41" t="s">
        <v>72</v>
      </c>
      <c r="C92" s="41" t="s">
        <v>73</v>
      </c>
      <c r="D92" s="41" t="s">
        <v>74</v>
      </c>
      <c r="E92" s="41" t="s">
        <v>75</v>
      </c>
      <c r="F92" s="41" t="s">
        <v>1484</v>
      </c>
      <c r="G92" s="41" t="s">
        <v>1485</v>
      </c>
      <c r="H92" s="41" t="s">
        <v>1486</v>
      </c>
      <c r="I92" s="41" t="s">
        <v>845</v>
      </c>
      <c r="J92" s="41" t="s">
        <v>846</v>
      </c>
      <c r="K92" s="41" t="s">
        <v>1487</v>
      </c>
      <c r="L92" s="41" t="s">
        <v>1488</v>
      </c>
      <c r="M92" s="41" t="s">
        <v>1489</v>
      </c>
      <c r="N92" s="41" t="s">
        <v>1490</v>
      </c>
      <c r="O92" s="40" t="s">
        <v>1491</v>
      </c>
      <c r="P92" s="41" t="s">
        <v>148</v>
      </c>
      <c r="Q92" s="41" t="s">
        <v>149</v>
      </c>
      <c r="R92" s="41" t="s">
        <v>1492</v>
      </c>
      <c r="S92" s="41" t="s">
        <v>1493</v>
      </c>
      <c r="T92" s="49">
        <v>1</v>
      </c>
      <c r="U92" s="41" t="s">
        <v>75</v>
      </c>
      <c r="V92" s="41" t="s">
        <v>75</v>
      </c>
      <c r="W92" s="50">
        <v>169</v>
      </c>
      <c r="X92" s="49">
        <v>169</v>
      </c>
      <c r="Y92" s="49">
        <v>0</v>
      </c>
      <c r="Z92" s="50">
        <v>0</v>
      </c>
      <c r="AA92" s="41" t="s">
        <v>75</v>
      </c>
      <c r="AB92" s="50">
        <v>0</v>
      </c>
      <c r="AC92" s="50">
        <v>169</v>
      </c>
      <c r="AD92" s="41" t="s">
        <v>344</v>
      </c>
      <c r="AE92" s="41" t="s">
        <v>75</v>
      </c>
      <c r="AF92" s="41" t="s">
        <v>75</v>
      </c>
      <c r="AG92" s="41" t="s">
        <v>75</v>
      </c>
      <c r="AH92" s="41" t="s">
        <v>75</v>
      </c>
      <c r="AI92" s="41" t="s">
        <v>1494</v>
      </c>
      <c r="AJ92" s="41" t="s">
        <v>75</v>
      </c>
      <c r="AK92" s="41" t="s">
        <v>91</v>
      </c>
      <c r="AL92" s="40" t="s">
        <v>92</v>
      </c>
      <c r="AM92" s="41" t="s">
        <v>93</v>
      </c>
      <c r="AN92" s="41" t="s">
        <v>1495</v>
      </c>
      <c r="AO92" s="41" t="s">
        <v>75</v>
      </c>
      <c r="AP92" s="41" t="s">
        <v>75</v>
      </c>
      <c r="AQ92" s="41" t="s">
        <v>75</v>
      </c>
      <c r="AR92" s="41" t="s">
        <v>75</v>
      </c>
      <c r="AS92" s="41" t="s">
        <v>75</v>
      </c>
      <c r="AT92" s="41" t="s">
        <v>75</v>
      </c>
      <c r="AU92" s="41" t="s">
        <v>75</v>
      </c>
      <c r="AV92" s="41" t="s">
        <v>1496</v>
      </c>
      <c r="AW92" s="41" t="s">
        <v>75</v>
      </c>
      <c r="AX92" s="41" t="s">
        <v>75</v>
      </c>
      <c r="AY92" s="41" t="s">
        <v>1497</v>
      </c>
      <c r="AZ92" s="41" t="s">
        <v>1498</v>
      </c>
      <c r="BA92" s="41" t="s">
        <v>1499</v>
      </c>
      <c r="BB92" s="41" t="s">
        <v>99</v>
      </c>
      <c r="BC92" s="41" t="s">
        <v>100</v>
      </c>
      <c r="BD92" s="41" t="s">
        <v>101</v>
      </c>
      <c r="BE92" s="41" t="s">
        <v>75</v>
      </c>
      <c r="BF92" s="41" t="s">
        <v>75</v>
      </c>
      <c r="BG92" s="41" t="s">
        <v>75</v>
      </c>
      <c r="BH92" s="41" t="s">
        <v>75</v>
      </c>
      <c r="BI92" s="41" t="s">
        <v>102</v>
      </c>
      <c r="BJ92" s="41" t="s">
        <v>1500</v>
      </c>
      <c r="BK92" s="41" t="s">
        <v>104</v>
      </c>
      <c r="BL92" s="41" t="s">
        <v>105</v>
      </c>
      <c r="BM92" s="41" t="s">
        <v>75</v>
      </c>
      <c r="BN92" s="41" t="s">
        <v>75</v>
      </c>
      <c r="BO92" s="41" t="s">
        <v>75</v>
      </c>
      <c r="BP92" s="41" t="s">
        <v>75</v>
      </c>
      <c r="BQ92" s="40" t="s">
        <v>1501</v>
      </c>
      <c r="BR92" s="41" t="s">
        <v>1502</v>
      </c>
      <c r="BS92" s="43" t="s">
        <v>1503</v>
      </c>
    </row>
    <row r="93" spans="1:71">
      <c r="A93" s="40" t="s">
        <v>1504</v>
      </c>
      <c r="B93" s="41" t="s">
        <v>110</v>
      </c>
      <c r="C93" s="41" t="s">
        <v>111</v>
      </c>
      <c r="D93" s="41" t="s">
        <v>74</v>
      </c>
      <c r="E93" s="41" t="s">
        <v>75</v>
      </c>
      <c r="F93" s="41" t="s">
        <v>1505</v>
      </c>
      <c r="G93" s="41" t="s">
        <v>1506</v>
      </c>
      <c r="H93" s="41" t="s">
        <v>1507</v>
      </c>
      <c r="I93" s="41" t="s">
        <v>276</v>
      </c>
      <c r="J93" s="41" t="s">
        <v>277</v>
      </c>
      <c r="K93" s="41" t="s">
        <v>1508</v>
      </c>
      <c r="L93" s="41" t="s">
        <v>1509</v>
      </c>
      <c r="M93" s="41" t="s">
        <v>1510</v>
      </c>
      <c r="N93" s="41" t="s">
        <v>1511</v>
      </c>
      <c r="O93" s="40" t="s">
        <v>1512</v>
      </c>
      <c r="P93" s="41" t="s">
        <v>148</v>
      </c>
      <c r="Q93" s="41" t="s">
        <v>149</v>
      </c>
      <c r="R93" s="41" t="s">
        <v>1513</v>
      </c>
      <c r="S93" s="41" t="s">
        <v>284</v>
      </c>
      <c r="T93" s="49">
        <v>1</v>
      </c>
      <c r="U93" s="41" t="s">
        <v>75</v>
      </c>
      <c r="V93" s="41" t="s">
        <v>75</v>
      </c>
      <c r="W93" s="50">
        <v>289</v>
      </c>
      <c r="X93" s="49">
        <v>289</v>
      </c>
      <c r="Y93" s="49">
        <v>0</v>
      </c>
      <c r="Z93" s="50">
        <v>0</v>
      </c>
      <c r="AA93" s="41" t="s">
        <v>75</v>
      </c>
      <c r="AB93" s="50">
        <v>0</v>
      </c>
      <c r="AC93" s="50">
        <v>289</v>
      </c>
      <c r="AD93" s="41" t="s">
        <v>209</v>
      </c>
      <c r="AE93" s="41" t="s">
        <v>1514</v>
      </c>
      <c r="AF93" s="41" t="s">
        <v>75</v>
      </c>
      <c r="AG93" s="41" t="s">
        <v>75</v>
      </c>
      <c r="AH93" s="41" t="s">
        <v>75</v>
      </c>
      <c r="AI93" s="41" t="s">
        <v>1515</v>
      </c>
      <c r="AJ93" s="41" t="s">
        <v>75</v>
      </c>
      <c r="AK93" s="41" t="s">
        <v>91</v>
      </c>
      <c r="AL93" s="40" t="s">
        <v>92</v>
      </c>
      <c r="AM93" s="41" t="s">
        <v>93</v>
      </c>
      <c r="AN93" s="41" t="s">
        <v>1516</v>
      </c>
      <c r="AO93" s="41" t="s">
        <v>75</v>
      </c>
      <c r="AP93" s="41" t="s">
        <v>75</v>
      </c>
      <c r="AQ93" s="41" t="s">
        <v>75</v>
      </c>
      <c r="AR93" s="41" t="s">
        <v>75</v>
      </c>
      <c r="AS93" s="41" t="s">
        <v>75</v>
      </c>
      <c r="AT93" s="41" t="s">
        <v>75</v>
      </c>
      <c r="AU93" s="41" t="s">
        <v>75</v>
      </c>
      <c r="AV93" s="41" t="s">
        <v>1517</v>
      </c>
      <c r="AW93" s="41" t="s">
        <v>75</v>
      </c>
      <c r="AX93" s="41" t="s">
        <v>75</v>
      </c>
      <c r="AY93" s="41" t="s">
        <v>1518</v>
      </c>
      <c r="AZ93" s="41" t="s">
        <v>1519</v>
      </c>
      <c r="BA93" s="41" t="s">
        <v>1520</v>
      </c>
      <c r="BB93" s="41" t="s">
        <v>99</v>
      </c>
      <c r="BC93" s="41" t="s">
        <v>159</v>
      </c>
      <c r="BD93" s="41" t="s">
        <v>101</v>
      </c>
      <c r="BE93" s="41" t="s">
        <v>75</v>
      </c>
      <c r="BF93" s="41" t="s">
        <v>130</v>
      </c>
      <c r="BG93" s="41" t="s">
        <v>1521</v>
      </c>
      <c r="BH93" s="41" t="s">
        <v>75</v>
      </c>
      <c r="BI93" s="41" t="s">
        <v>102</v>
      </c>
      <c r="BJ93" s="41" t="s">
        <v>1522</v>
      </c>
      <c r="BK93" s="41" t="s">
        <v>104</v>
      </c>
      <c r="BL93" s="41" t="s">
        <v>105</v>
      </c>
      <c r="BM93" s="41" t="s">
        <v>75</v>
      </c>
      <c r="BN93" s="41" t="s">
        <v>75</v>
      </c>
      <c r="BO93" s="41" t="s">
        <v>75</v>
      </c>
      <c r="BP93" s="41" t="s">
        <v>75</v>
      </c>
      <c r="BQ93" s="40" t="s">
        <v>1523</v>
      </c>
      <c r="BR93" s="41" t="s">
        <v>1460</v>
      </c>
      <c r="BS93" s="43" t="s">
        <v>1461</v>
      </c>
    </row>
    <row r="94" spans="1:71">
      <c r="A94" s="40" t="s">
        <v>1524</v>
      </c>
      <c r="B94" s="41" t="s">
        <v>110</v>
      </c>
      <c r="C94" s="41" t="s">
        <v>111</v>
      </c>
      <c r="D94" s="41" t="s">
        <v>74</v>
      </c>
      <c r="E94" s="41" t="s">
        <v>75</v>
      </c>
      <c r="F94" s="41" t="s">
        <v>1525</v>
      </c>
      <c r="G94" s="41" t="s">
        <v>1526</v>
      </c>
      <c r="H94" s="41" t="s">
        <v>1527</v>
      </c>
      <c r="I94" s="41" t="s">
        <v>1394</v>
      </c>
      <c r="J94" s="41" t="s">
        <v>1528</v>
      </c>
      <c r="K94" s="41" t="s">
        <v>1529</v>
      </c>
      <c r="L94" s="41" t="s">
        <v>1530</v>
      </c>
      <c r="M94" s="41" t="s">
        <v>1531</v>
      </c>
      <c r="N94" s="41" t="s">
        <v>1532</v>
      </c>
      <c r="O94" s="40" t="s">
        <v>1533</v>
      </c>
      <c r="P94" s="41" t="s">
        <v>148</v>
      </c>
      <c r="Q94" s="41" t="s">
        <v>149</v>
      </c>
      <c r="R94" s="41" t="s">
        <v>1534</v>
      </c>
      <c r="S94" s="41" t="s">
        <v>1535</v>
      </c>
      <c r="T94" s="49">
        <v>1</v>
      </c>
      <c r="U94" s="41" t="s">
        <v>75</v>
      </c>
      <c r="V94" s="41" t="s">
        <v>75</v>
      </c>
      <c r="W94" s="50">
        <v>169</v>
      </c>
      <c r="X94" s="49">
        <v>169</v>
      </c>
      <c r="Y94" s="49">
        <v>0</v>
      </c>
      <c r="Z94" s="50">
        <v>0</v>
      </c>
      <c r="AA94" s="41" t="s">
        <v>75</v>
      </c>
      <c r="AB94" s="50">
        <v>0</v>
      </c>
      <c r="AC94" s="50">
        <v>169</v>
      </c>
      <c r="AD94" s="41" t="s">
        <v>209</v>
      </c>
      <c r="AE94" s="41" t="s">
        <v>1536</v>
      </c>
      <c r="AF94" s="41" t="s">
        <v>75</v>
      </c>
      <c r="AG94" s="41" t="s">
        <v>75</v>
      </c>
      <c r="AH94" s="41" t="s">
        <v>75</v>
      </c>
      <c r="AI94" s="41" t="s">
        <v>1537</v>
      </c>
      <c r="AJ94" s="41" t="s">
        <v>75</v>
      </c>
      <c r="AK94" s="41" t="s">
        <v>91</v>
      </c>
      <c r="AL94" s="40" t="s">
        <v>92</v>
      </c>
      <c r="AM94" s="41" t="s">
        <v>93</v>
      </c>
      <c r="AN94" s="41" t="s">
        <v>1538</v>
      </c>
      <c r="AO94" s="41" t="s">
        <v>75</v>
      </c>
      <c r="AP94" s="41" t="s">
        <v>75</v>
      </c>
      <c r="AQ94" s="41" t="s">
        <v>75</v>
      </c>
      <c r="AR94" s="41" t="s">
        <v>75</v>
      </c>
      <c r="AS94" s="41" t="s">
        <v>75</v>
      </c>
      <c r="AT94" s="41" t="s">
        <v>75</v>
      </c>
      <c r="AU94" s="41" t="s">
        <v>75</v>
      </c>
      <c r="AV94" s="41" t="s">
        <v>1539</v>
      </c>
      <c r="AW94" s="41" t="s">
        <v>75</v>
      </c>
      <c r="AX94" s="41" t="s">
        <v>75</v>
      </c>
      <c r="AY94" s="41" t="s">
        <v>1540</v>
      </c>
      <c r="AZ94" s="41" t="s">
        <v>1541</v>
      </c>
      <c r="BA94" s="41" t="s">
        <v>75</v>
      </c>
      <c r="BB94" s="41" t="s">
        <v>99</v>
      </c>
      <c r="BC94" s="41" t="s">
        <v>75</v>
      </c>
      <c r="BD94" s="41" t="s">
        <v>101</v>
      </c>
      <c r="BE94" s="41" t="s">
        <v>75</v>
      </c>
      <c r="BF94" s="41" t="s">
        <v>130</v>
      </c>
      <c r="BG94" s="41" t="s">
        <v>1542</v>
      </c>
      <c r="BH94" s="41" t="s">
        <v>75</v>
      </c>
      <c r="BI94" s="41" t="s">
        <v>102</v>
      </c>
      <c r="BJ94" s="41" t="s">
        <v>1543</v>
      </c>
      <c r="BK94" s="41" t="s">
        <v>104</v>
      </c>
      <c r="BL94" s="41" t="s">
        <v>105</v>
      </c>
      <c r="BM94" s="41" t="s">
        <v>75</v>
      </c>
      <c r="BN94" s="41" t="s">
        <v>75</v>
      </c>
      <c r="BO94" s="41" t="s">
        <v>75</v>
      </c>
      <c r="BP94" s="41" t="s">
        <v>75</v>
      </c>
      <c r="BQ94" s="40" t="s">
        <v>1544</v>
      </c>
      <c r="BR94" s="41" t="s">
        <v>1502</v>
      </c>
      <c r="BS94" s="43" t="s">
        <v>1503</v>
      </c>
    </row>
    <row r="95" spans="1:71">
      <c r="A95" s="40" t="s">
        <v>1545</v>
      </c>
      <c r="B95" s="41" t="s">
        <v>72</v>
      </c>
      <c r="C95" s="41" t="s">
        <v>111</v>
      </c>
      <c r="D95" s="41" t="s">
        <v>74</v>
      </c>
      <c r="E95" s="41" t="s">
        <v>75</v>
      </c>
      <c r="F95" s="41" t="s">
        <v>842</v>
      </c>
      <c r="G95" s="41" t="s">
        <v>1546</v>
      </c>
      <c r="H95" s="41" t="s">
        <v>1547</v>
      </c>
      <c r="I95" s="41" t="s">
        <v>450</v>
      </c>
      <c r="J95" s="41" t="s">
        <v>451</v>
      </c>
      <c r="K95" s="41" t="s">
        <v>1548</v>
      </c>
      <c r="L95" s="41" t="s">
        <v>1549</v>
      </c>
      <c r="M95" s="41" t="s">
        <v>1550</v>
      </c>
      <c r="N95" s="41" t="s">
        <v>1551</v>
      </c>
      <c r="O95" s="40" t="s">
        <v>1552</v>
      </c>
      <c r="P95" s="41" t="s">
        <v>148</v>
      </c>
      <c r="Q95" s="41" t="s">
        <v>149</v>
      </c>
      <c r="R95" s="41" t="s">
        <v>1553</v>
      </c>
      <c r="S95" s="41" t="s">
        <v>1554</v>
      </c>
      <c r="T95" s="49">
        <v>1</v>
      </c>
      <c r="U95" s="41" t="s">
        <v>75</v>
      </c>
      <c r="V95" s="41" t="s">
        <v>75</v>
      </c>
      <c r="W95" s="50">
        <v>399</v>
      </c>
      <c r="X95" s="49">
        <v>399</v>
      </c>
      <c r="Y95" s="49">
        <v>0</v>
      </c>
      <c r="Z95" s="50">
        <v>0</v>
      </c>
      <c r="AA95" s="41" t="s">
        <v>75</v>
      </c>
      <c r="AB95" s="50">
        <v>0</v>
      </c>
      <c r="AC95" s="50">
        <v>399</v>
      </c>
      <c r="AD95" s="41" t="s">
        <v>209</v>
      </c>
      <c r="AE95" s="41" t="s">
        <v>1555</v>
      </c>
      <c r="AF95" s="41" t="s">
        <v>75</v>
      </c>
      <c r="AG95" s="41" t="s">
        <v>75</v>
      </c>
      <c r="AH95" s="41" t="s">
        <v>75</v>
      </c>
      <c r="AI95" s="41" t="s">
        <v>1556</v>
      </c>
      <c r="AJ95" s="41" t="s">
        <v>75</v>
      </c>
      <c r="AK95" s="41" t="s">
        <v>91</v>
      </c>
      <c r="AL95" s="40" t="s">
        <v>92</v>
      </c>
      <c r="AM95" s="41" t="s">
        <v>93</v>
      </c>
      <c r="AN95" s="41" t="s">
        <v>1557</v>
      </c>
      <c r="AO95" s="41" t="s">
        <v>75</v>
      </c>
      <c r="AP95" s="41" t="s">
        <v>75</v>
      </c>
      <c r="AQ95" s="41" t="s">
        <v>75</v>
      </c>
      <c r="AR95" s="41" t="s">
        <v>75</v>
      </c>
      <c r="AS95" s="41" t="s">
        <v>75</v>
      </c>
      <c r="AT95" s="41" t="s">
        <v>75</v>
      </c>
      <c r="AU95" s="41" t="s">
        <v>75</v>
      </c>
      <c r="AV95" s="41" t="s">
        <v>1558</v>
      </c>
      <c r="AW95" s="41" t="s">
        <v>75</v>
      </c>
      <c r="AX95" s="41" t="s">
        <v>75</v>
      </c>
      <c r="AY95" s="41" t="s">
        <v>1559</v>
      </c>
      <c r="AZ95" s="41" t="s">
        <v>1560</v>
      </c>
      <c r="BA95" s="41" t="s">
        <v>1561</v>
      </c>
      <c r="BB95" s="41" t="s">
        <v>99</v>
      </c>
      <c r="BC95" s="41" t="s">
        <v>159</v>
      </c>
      <c r="BD95" s="41" t="s">
        <v>101</v>
      </c>
      <c r="BE95" s="41" t="s">
        <v>75</v>
      </c>
      <c r="BF95" s="41" t="s">
        <v>130</v>
      </c>
      <c r="BG95" s="41" t="s">
        <v>1562</v>
      </c>
      <c r="BH95" s="41" t="s">
        <v>75</v>
      </c>
      <c r="BI95" s="41" t="s">
        <v>102</v>
      </c>
      <c r="BJ95" s="41" t="s">
        <v>1563</v>
      </c>
      <c r="BK95" s="41" t="s">
        <v>104</v>
      </c>
      <c r="BL95" s="41" t="s">
        <v>105</v>
      </c>
      <c r="BM95" s="41" t="s">
        <v>75</v>
      </c>
      <c r="BN95" s="41" t="s">
        <v>75</v>
      </c>
      <c r="BO95" s="41" t="s">
        <v>75</v>
      </c>
      <c r="BP95" s="41" t="s">
        <v>75</v>
      </c>
      <c r="BQ95" s="40" t="s">
        <v>1564</v>
      </c>
      <c r="BR95" s="41" t="s">
        <v>1565</v>
      </c>
      <c r="BS95" s="43" t="s">
        <v>1566</v>
      </c>
    </row>
    <row r="96" spans="1:71">
      <c r="A96" s="40" t="s">
        <v>1567</v>
      </c>
      <c r="B96" s="41" t="s">
        <v>72</v>
      </c>
      <c r="C96" s="41" t="s">
        <v>73</v>
      </c>
      <c r="D96" s="41" t="s">
        <v>74</v>
      </c>
      <c r="E96" s="41" t="s">
        <v>75</v>
      </c>
      <c r="F96" s="41" t="s">
        <v>1568</v>
      </c>
      <c r="G96" s="41" t="s">
        <v>1569</v>
      </c>
      <c r="H96" s="41" t="s">
        <v>1570</v>
      </c>
      <c r="I96" s="41" t="s">
        <v>404</v>
      </c>
      <c r="J96" s="41" t="s">
        <v>405</v>
      </c>
      <c r="K96" s="41" t="s">
        <v>1571</v>
      </c>
      <c r="L96" s="41" t="s">
        <v>1572</v>
      </c>
      <c r="M96" s="41" t="s">
        <v>1573</v>
      </c>
      <c r="N96" s="41" t="s">
        <v>1574</v>
      </c>
      <c r="O96" s="40" t="s">
        <v>1575</v>
      </c>
      <c r="P96" s="41" t="s">
        <v>148</v>
      </c>
      <c r="Q96" s="41" t="s">
        <v>149</v>
      </c>
      <c r="R96" s="41" t="s">
        <v>1576</v>
      </c>
      <c r="S96" s="41" t="s">
        <v>1577</v>
      </c>
      <c r="T96" s="49">
        <v>1</v>
      </c>
      <c r="U96" s="41" t="s">
        <v>75</v>
      </c>
      <c r="V96" s="41" t="s">
        <v>75</v>
      </c>
      <c r="W96" s="50">
        <v>169</v>
      </c>
      <c r="X96" s="49">
        <v>169</v>
      </c>
      <c r="Y96" s="49">
        <v>0</v>
      </c>
      <c r="Z96" s="50">
        <v>0</v>
      </c>
      <c r="AA96" s="41" t="s">
        <v>75</v>
      </c>
      <c r="AB96" s="50">
        <v>0</v>
      </c>
      <c r="AC96" s="50">
        <v>169</v>
      </c>
      <c r="AD96" s="41" t="s">
        <v>88</v>
      </c>
      <c r="AE96" s="41" t="s">
        <v>1578</v>
      </c>
      <c r="AF96" s="41" t="s">
        <v>75</v>
      </c>
      <c r="AG96" s="41" t="s">
        <v>75</v>
      </c>
      <c r="AH96" s="41" t="s">
        <v>75</v>
      </c>
      <c r="AI96" s="41" t="s">
        <v>1579</v>
      </c>
      <c r="AJ96" s="41" t="s">
        <v>75</v>
      </c>
      <c r="AK96" s="41" t="s">
        <v>91</v>
      </c>
      <c r="AL96" s="40" t="s">
        <v>92</v>
      </c>
      <c r="AM96" s="41" t="s">
        <v>93</v>
      </c>
      <c r="AN96" s="41" t="s">
        <v>1580</v>
      </c>
      <c r="AO96" s="41" t="s">
        <v>75</v>
      </c>
      <c r="AP96" s="41" t="s">
        <v>75</v>
      </c>
      <c r="AQ96" s="41" t="s">
        <v>75</v>
      </c>
      <c r="AR96" s="41" t="s">
        <v>75</v>
      </c>
      <c r="AS96" s="41" t="s">
        <v>75</v>
      </c>
      <c r="AT96" s="41" t="s">
        <v>75</v>
      </c>
      <c r="AU96" s="41" t="s">
        <v>75</v>
      </c>
      <c r="AV96" s="41" t="s">
        <v>1581</v>
      </c>
      <c r="AW96" s="41" t="s">
        <v>75</v>
      </c>
      <c r="AX96" s="41" t="s">
        <v>75</v>
      </c>
      <c r="AY96" s="41" t="s">
        <v>1582</v>
      </c>
      <c r="AZ96" s="41" t="s">
        <v>1583</v>
      </c>
      <c r="BA96" s="41" t="s">
        <v>1584</v>
      </c>
      <c r="BB96" s="41" t="s">
        <v>99</v>
      </c>
      <c r="BC96" s="41" t="s">
        <v>159</v>
      </c>
      <c r="BD96" s="41" t="s">
        <v>101</v>
      </c>
      <c r="BE96" s="41" t="s">
        <v>75</v>
      </c>
      <c r="BF96" s="41" t="s">
        <v>75</v>
      </c>
      <c r="BG96" s="41" t="s">
        <v>75</v>
      </c>
      <c r="BH96" s="41" t="s">
        <v>75</v>
      </c>
      <c r="BI96" s="41" t="s">
        <v>102</v>
      </c>
      <c r="BJ96" s="41" t="s">
        <v>1585</v>
      </c>
      <c r="BK96" s="41" t="s">
        <v>104</v>
      </c>
      <c r="BL96" s="41" t="s">
        <v>105</v>
      </c>
      <c r="BM96" s="41" t="s">
        <v>75</v>
      </c>
      <c r="BN96" s="41" t="s">
        <v>75</v>
      </c>
      <c r="BO96" s="41" t="s">
        <v>75</v>
      </c>
      <c r="BP96" s="41" t="s">
        <v>75</v>
      </c>
      <c r="BQ96" s="40" t="s">
        <v>1586</v>
      </c>
      <c r="BR96" s="41" t="s">
        <v>1502</v>
      </c>
      <c r="BS96" s="43" t="s">
        <v>1503</v>
      </c>
    </row>
    <row r="97" spans="1:71">
      <c r="A97" s="40" t="s">
        <v>1587</v>
      </c>
      <c r="B97" s="41" t="s">
        <v>72</v>
      </c>
      <c r="C97" s="41" t="s">
        <v>73</v>
      </c>
      <c r="D97" s="41" t="s">
        <v>74</v>
      </c>
      <c r="E97" s="41" t="s">
        <v>75</v>
      </c>
      <c r="F97" s="41" t="s">
        <v>1588</v>
      </c>
      <c r="G97" s="41" t="s">
        <v>1589</v>
      </c>
      <c r="H97" s="41" t="s">
        <v>1590</v>
      </c>
      <c r="I97" s="41" t="s">
        <v>276</v>
      </c>
      <c r="J97" s="41" t="s">
        <v>277</v>
      </c>
      <c r="K97" s="41" t="s">
        <v>1591</v>
      </c>
      <c r="L97" s="41" t="s">
        <v>1592</v>
      </c>
      <c r="M97" s="41" t="s">
        <v>1573</v>
      </c>
      <c r="N97" s="41" t="s">
        <v>1574</v>
      </c>
      <c r="O97" s="40" t="s">
        <v>1575</v>
      </c>
      <c r="P97" s="41" t="s">
        <v>148</v>
      </c>
      <c r="Q97" s="41" t="s">
        <v>149</v>
      </c>
      <c r="R97" s="41" t="s">
        <v>1576</v>
      </c>
      <c r="S97" s="41" t="s">
        <v>1577</v>
      </c>
      <c r="T97" s="49">
        <v>1</v>
      </c>
      <c r="U97" s="41" t="s">
        <v>75</v>
      </c>
      <c r="V97" s="41" t="s">
        <v>75</v>
      </c>
      <c r="W97" s="50">
        <v>169</v>
      </c>
      <c r="X97" s="49">
        <v>169</v>
      </c>
      <c r="Y97" s="49">
        <v>0</v>
      </c>
      <c r="Z97" s="50">
        <v>0</v>
      </c>
      <c r="AA97" s="41" t="s">
        <v>75</v>
      </c>
      <c r="AB97" s="50">
        <v>0</v>
      </c>
      <c r="AC97" s="50">
        <v>169</v>
      </c>
      <c r="AD97" s="41" t="s">
        <v>209</v>
      </c>
      <c r="AE97" s="41" t="s">
        <v>1593</v>
      </c>
      <c r="AF97" s="41" t="s">
        <v>75</v>
      </c>
      <c r="AG97" s="41" t="s">
        <v>75</v>
      </c>
      <c r="AH97" s="41" t="s">
        <v>75</v>
      </c>
      <c r="AI97" s="41" t="s">
        <v>1594</v>
      </c>
      <c r="AJ97" s="41" t="s">
        <v>75</v>
      </c>
      <c r="AK97" s="41" t="s">
        <v>91</v>
      </c>
      <c r="AL97" s="40" t="s">
        <v>92</v>
      </c>
      <c r="AM97" s="41" t="s">
        <v>93</v>
      </c>
      <c r="AN97" s="41" t="s">
        <v>1595</v>
      </c>
      <c r="AO97" s="41" t="s">
        <v>75</v>
      </c>
      <c r="AP97" s="41" t="s">
        <v>75</v>
      </c>
      <c r="AQ97" s="41" t="s">
        <v>75</v>
      </c>
      <c r="AR97" s="41" t="s">
        <v>75</v>
      </c>
      <c r="AS97" s="41" t="s">
        <v>75</v>
      </c>
      <c r="AT97" s="41" t="s">
        <v>75</v>
      </c>
      <c r="AU97" s="41" t="s">
        <v>75</v>
      </c>
      <c r="AV97" s="41" t="s">
        <v>1596</v>
      </c>
      <c r="AW97" s="41" t="s">
        <v>75</v>
      </c>
      <c r="AX97" s="41" t="s">
        <v>75</v>
      </c>
      <c r="AY97" s="41" t="s">
        <v>1597</v>
      </c>
      <c r="AZ97" s="41" t="s">
        <v>1598</v>
      </c>
      <c r="BA97" s="41" t="s">
        <v>1599</v>
      </c>
      <c r="BB97" s="41" t="s">
        <v>99</v>
      </c>
      <c r="BC97" s="41" t="s">
        <v>159</v>
      </c>
      <c r="BD97" s="41" t="s">
        <v>101</v>
      </c>
      <c r="BE97" s="41" t="s">
        <v>75</v>
      </c>
      <c r="BF97" s="41" t="s">
        <v>75</v>
      </c>
      <c r="BG97" s="41" t="s">
        <v>75</v>
      </c>
      <c r="BH97" s="41" t="s">
        <v>75</v>
      </c>
      <c r="BI97" s="41" t="s">
        <v>102</v>
      </c>
      <c r="BJ97" s="41" t="s">
        <v>1600</v>
      </c>
      <c r="BK97" s="41" t="s">
        <v>104</v>
      </c>
      <c r="BL97" s="41" t="s">
        <v>105</v>
      </c>
      <c r="BM97" s="41" t="s">
        <v>75</v>
      </c>
      <c r="BN97" s="41" t="s">
        <v>75</v>
      </c>
      <c r="BO97" s="41" t="s">
        <v>75</v>
      </c>
      <c r="BP97" s="41" t="s">
        <v>75</v>
      </c>
      <c r="BQ97" s="40" t="s">
        <v>1586</v>
      </c>
      <c r="BR97" s="41" t="s">
        <v>1502</v>
      </c>
      <c r="BS97" s="43" t="s">
        <v>1503</v>
      </c>
    </row>
    <row r="98" spans="1:71">
      <c r="A98" s="40" t="s">
        <v>1601</v>
      </c>
      <c r="B98" s="41" t="s">
        <v>110</v>
      </c>
      <c r="C98" s="41" t="s">
        <v>111</v>
      </c>
      <c r="D98" s="41" t="s">
        <v>74</v>
      </c>
      <c r="E98" s="41" t="s">
        <v>1602</v>
      </c>
      <c r="F98" s="41" t="s">
        <v>1603</v>
      </c>
      <c r="G98" s="41" t="s">
        <v>1604</v>
      </c>
      <c r="H98" s="41" t="s">
        <v>1605</v>
      </c>
      <c r="I98" s="41" t="s">
        <v>381</v>
      </c>
      <c r="J98" s="41" t="s">
        <v>1606</v>
      </c>
      <c r="K98" s="41" t="s">
        <v>1607</v>
      </c>
      <c r="L98" s="41" t="s">
        <v>1608</v>
      </c>
      <c r="M98" s="41" t="s">
        <v>1609</v>
      </c>
      <c r="N98" s="41" t="s">
        <v>1610</v>
      </c>
      <c r="O98" s="40" t="s">
        <v>1611</v>
      </c>
      <c r="P98" s="41" t="s">
        <v>148</v>
      </c>
      <c r="Q98" s="41" t="s">
        <v>149</v>
      </c>
      <c r="R98" s="41" t="s">
        <v>1612</v>
      </c>
      <c r="S98" s="41" t="s">
        <v>284</v>
      </c>
      <c r="T98" s="49">
        <v>1</v>
      </c>
      <c r="U98" s="41" t="s">
        <v>75</v>
      </c>
      <c r="V98" s="41" t="s">
        <v>75</v>
      </c>
      <c r="W98" s="50">
        <v>499</v>
      </c>
      <c r="X98" s="49">
        <v>499</v>
      </c>
      <c r="Y98" s="49">
        <v>0</v>
      </c>
      <c r="Z98" s="50">
        <v>0</v>
      </c>
      <c r="AA98" s="41" t="s">
        <v>75</v>
      </c>
      <c r="AB98" s="50">
        <v>0</v>
      </c>
      <c r="AC98" s="50">
        <v>499</v>
      </c>
      <c r="AD98" s="41" t="s">
        <v>88</v>
      </c>
      <c r="AE98" s="41" t="s">
        <v>1613</v>
      </c>
      <c r="AF98" s="41" t="s">
        <v>75</v>
      </c>
      <c r="AG98" s="41" t="s">
        <v>75</v>
      </c>
      <c r="AH98" s="41" t="s">
        <v>75</v>
      </c>
      <c r="AI98" s="41" t="s">
        <v>1614</v>
      </c>
      <c r="AJ98" s="41" t="s">
        <v>75</v>
      </c>
      <c r="AK98" s="41" t="s">
        <v>91</v>
      </c>
      <c r="AL98" s="40" t="s">
        <v>92</v>
      </c>
      <c r="AM98" s="41" t="s">
        <v>93</v>
      </c>
      <c r="AN98" s="41" t="s">
        <v>1615</v>
      </c>
      <c r="AO98" s="41" t="s">
        <v>75</v>
      </c>
      <c r="AP98" s="41" t="s">
        <v>75</v>
      </c>
      <c r="AQ98" s="41" t="s">
        <v>75</v>
      </c>
      <c r="AR98" s="41" t="s">
        <v>75</v>
      </c>
      <c r="AS98" s="41" t="s">
        <v>75</v>
      </c>
      <c r="AT98" s="41" t="s">
        <v>75</v>
      </c>
      <c r="AU98" s="41" t="s">
        <v>75</v>
      </c>
      <c r="AV98" s="41" t="s">
        <v>1616</v>
      </c>
      <c r="AW98" s="41" t="s">
        <v>75</v>
      </c>
      <c r="AX98" s="41" t="s">
        <v>75</v>
      </c>
      <c r="AY98" s="41" t="s">
        <v>1617</v>
      </c>
      <c r="AZ98" s="41" t="s">
        <v>1618</v>
      </c>
      <c r="BA98" s="41" t="s">
        <v>1619</v>
      </c>
      <c r="BB98" s="41" t="s">
        <v>99</v>
      </c>
      <c r="BC98" s="41" t="s">
        <v>159</v>
      </c>
      <c r="BD98" s="41" t="s">
        <v>101</v>
      </c>
      <c r="BE98" s="41" t="s">
        <v>75</v>
      </c>
      <c r="BF98" s="41" t="s">
        <v>130</v>
      </c>
      <c r="BG98" s="41" t="s">
        <v>1620</v>
      </c>
      <c r="BH98" s="41" t="s">
        <v>75</v>
      </c>
      <c r="BI98" s="41" t="s">
        <v>102</v>
      </c>
      <c r="BJ98" s="41" t="s">
        <v>1621</v>
      </c>
      <c r="BK98" s="41" t="s">
        <v>104</v>
      </c>
      <c r="BL98" s="41" t="s">
        <v>105</v>
      </c>
      <c r="BM98" s="41" t="s">
        <v>75</v>
      </c>
      <c r="BN98" s="41" t="s">
        <v>75</v>
      </c>
      <c r="BO98" s="41" t="s">
        <v>75</v>
      </c>
      <c r="BP98" s="41" t="s">
        <v>75</v>
      </c>
      <c r="BQ98" s="40" t="s">
        <v>1622</v>
      </c>
      <c r="BR98" s="41" t="s">
        <v>1623</v>
      </c>
      <c r="BS98" s="43" t="s">
        <v>1624</v>
      </c>
    </row>
    <row r="99" spans="1:71">
      <c r="A99" s="40" t="s">
        <v>1625</v>
      </c>
      <c r="B99" s="41" t="s">
        <v>72</v>
      </c>
      <c r="C99" s="41" t="s">
        <v>111</v>
      </c>
      <c r="D99" s="41" t="s">
        <v>74</v>
      </c>
      <c r="E99" s="41" t="s">
        <v>75</v>
      </c>
      <c r="F99" s="41" t="s">
        <v>1626</v>
      </c>
      <c r="G99" s="41" t="s">
        <v>1627</v>
      </c>
      <c r="H99" s="41" t="s">
        <v>1628</v>
      </c>
      <c r="I99" s="41" t="s">
        <v>427</v>
      </c>
      <c r="J99" s="41" t="s">
        <v>508</v>
      </c>
      <c r="K99" s="41" t="s">
        <v>1629</v>
      </c>
      <c r="L99" s="41" t="s">
        <v>1630</v>
      </c>
      <c r="M99" s="41" t="s">
        <v>1631</v>
      </c>
      <c r="N99" s="41" t="s">
        <v>1632</v>
      </c>
      <c r="O99" s="40" t="s">
        <v>1633</v>
      </c>
      <c r="P99" s="41" t="s">
        <v>148</v>
      </c>
      <c r="Q99" s="41" t="s">
        <v>149</v>
      </c>
      <c r="R99" s="41" t="s">
        <v>1634</v>
      </c>
      <c r="S99" s="41" t="s">
        <v>1635</v>
      </c>
      <c r="T99" s="49">
        <v>1</v>
      </c>
      <c r="U99" s="41" t="s">
        <v>75</v>
      </c>
      <c r="V99" s="41" t="s">
        <v>75</v>
      </c>
      <c r="W99" s="50">
        <v>129</v>
      </c>
      <c r="X99" s="49">
        <v>129</v>
      </c>
      <c r="Y99" s="49">
        <v>0</v>
      </c>
      <c r="Z99" s="50">
        <v>0</v>
      </c>
      <c r="AA99" s="41" t="s">
        <v>75</v>
      </c>
      <c r="AB99" s="50">
        <v>0</v>
      </c>
      <c r="AC99" s="50">
        <v>129</v>
      </c>
      <c r="AD99" s="41" t="s">
        <v>88</v>
      </c>
      <c r="AE99" s="41" t="s">
        <v>1636</v>
      </c>
      <c r="AF99" s="41" t="s">
        <v>75</v>
      </c>
      <c r="AG99" s="41" t="s">
        <v>75</v>
      </c>
      <c r="AH99" s="41" t="s">
        <v>75</v>
      </c>
      <c r="AI99" s="41" t="s">
        <v>1637</v>
      </c>
      <c r="AJ99" s="41" t="s">
        <v>75</v>
      </c>
      <c r="AK99" s="41" t="s">
        <v>91</v>
      </c>
      <c r="AL99" s="40" t="s">
        <v>92</v>
      </c>
      <c r="AM99" s="41" t="s">
        <v>93</v>
      </c>
      <c r="AN99" s="41" t="s">
        <v>1638</v>
      </c>
      <c r="AO99" s="41" t="s">
        <v>75</v>
      </c>
      <c r="AP99" s="41" t="s">
        <v>75</v>
      </c>
      <c r="AQ99" s="41" t="s">
        <v>75</v>
      </c>
      <c r="AR99" s="41" t="s">
        <v>75</v>
      </c>
      <c r="AS99" s="41" t="s">
        <v>75</v>
      </c>
      <c r="AT99" s="41" t="s">
        <v>75</v>
      </c>
      <c r="AU99" s="41" t="s">
        <v>75</v>
      </c>
      <c r="AV99" s="41" t="s">
        <v>1639</v>
      </c>
      <c r="AW99" s="41" t="s">
        <v>75</v>
      </c>
      <c r="AX99" s="41" t="s">
        <v>75</v>
      </c>
      <c r="AY99" s="41" t="s">
        <v>1640</v>
      </c>
      <c r="AZ99" s="41" t="s">
        <v>1641</v>
      </c>
      <c r="BA99" s="41" t="s">
        <v>1642</v>
      </c>
      <c r="BB99" s="41" t="s">
        <v>99</v>
      </c>
      <c r="BC99" s="41" t="s">
        <v>159</v>
      </c>
      <c r="BD99" s="41" t="s">
        <v>101</v>
      </c>
      <c r="BE99" s="41" t="s">
        <v>75</v>
      </c>
      <c r="BF99" s="41" t="s">
        <v>130</v>
      </c>
      <c r="BG99" s="41" t="s">
        <v>1643</v>
      </c>
      <c r="BH99" s="41" t="s">
        <v>75</v>
      </c>
      <c r="BI99" s="41" t="s">
        <v>102</v>
      </c>
      <c r="BJ99" s="41" t="s">
        <v>1644</v>
      </c>
      <c r="BK99" s="41" t="s">
        <v>104</v>
      </c>
      <c r="BL99" s="41" t="s">
        <v>105</v>
      </c>
      <c r="BM99" s="41" t="s">
        <v>75</v>
      </c>
      <c r="BN99" s="41" t="s">
        <v>75</v>
      </c>
      <c r="BO99" s="41" t="s">
        <v>75</v>
      </c>
      <c r="BP99" s="41" t="s">
        <v>75</v>
      </c>
      <c r="BQ99" s="40" t="s">
        <v>1645</v>
      </c>
      <c r="BR99" s="41" t="s">
        <v>163</v>
      </c>
      <c r="BS99" s="43" t="s">
        <v>164</v>
      </c>
    </row>
    <row r="100" spans="1:71">
      <c r="A100" s="40" t="s">
        <v>1646</v>
      </c>
      <c r="B100" s="41" t="s">
        <v>72</v>
      </c>
      <c r="C100" s="41" t="s">
        <v>73</v>
      </c>
      <c r="D100" s="41" t="s">
        <v>74</v>
      </c>
      <c r="E100" s="41" t="s">
        <v>75</v>
      </c>
      <c r="F100" s="41" t="s">
        <v>1647</v>
      </c>
      <c r="G100" s="41" t="s">
        <v>1648</v>
      </c>
      <c r="H100" s="41" t="s">
        <v>1649</v>
      </c>
      <c r="I100" s="41" t="s">
        <v>1394</v>
      </c>
      <c r="J100" s="41" t="s">
        <v>1650</v>
      </c>
      <c r="K100" s="41" t="s">
        <v>1651</v>
      </c>
      <c r="L100" s="41" t="s">
        <v>1652</v>
      </c>
      <c r="M100" s="41" t="s">
        <v>1573</v>
      </c>
      <c r="N100" s="41" t="s">
        <v>1574</v>
      </c>
      <c r="O100" s="40" t="s">
        <v>1575</v>
      </c>
      <c r="P100" s="41" t="s">
        <v>148</v>
      </c>
      <c r="Q100" s="41" t="s">
        <v>149</v>
      </c>
      <c r="R100" s="41" t="s">
        <v>1576</v>
      </c>
      <c r="S100" s="41" t="s">
        <v>1577</v>
      </c>
      <c r="T100" s="49">
        <v>1</v>
      </c>
      <c r="U100" s="41" t="s">
        <v>75</v>
      </c>
      <c r="V100" s="41" t="s">
        <v>75</v>
      </c>
      <c r="W100" s="50">
        <v>169</v>
      </c>
      <c r="X100" s="49">
        <v>159</v>
      </c>
      <c r="Y100" s="49">
        <v>10</v>
      </c>
      <c r="Z100" s="50">
        <v>0</v>
      </c>
      <c r="AA100" s="41" t="s">
        <v>75</v>
      </c>
      <c r="AB100" s="50">
        <v>0</v>
      </c>
      <c r="AC100" s="50">
        <v>169</v>
      </c>
      <c r="AD100" s="41" t="s">
        <v>88</v>
      </c>
      <c r="AE100" s="41" t="s">
        <v>1653</v>
      </c>
      <c r="AF100" s="41" t="s">
        <v>75</v>
      </c>
      <c r="AG100" s="41" t="s">
        <v>75</v>
      </c>
      <c r="AH100" s="41" t="s">
        <v>75</v>
      </c>
      <c r="AI100" s="41" t="s">
        <v>1654</v>
      </c>
      <c r="AJ100" s="41" t="s">
        <v>75</v>
      </c>
      <c r="AK100" s="41" t="s">
        <v>91</v>
      </c>
      <c r="AL100" s="40" t="s">
        <v>92</v>
      </c>
      <c r="AM100" s="41" t="s">
        <v>93</v>
      </c>
      <c r="AN100" s="41" t="s">
        <v>1655</v>
      </c>
      <c r="AO100" s="41" t="s">
        <v>75</v>
      </c>
      <c r="AP100" s="41" t="s">
        <v>75</v>
      </c>
      <c r="AQ100" s="41" t="s">
        <v>75</v>
      </c>
      <c r="AR100" s="41" t="s">
        <v>75</v>
      </c>
      <c r="AS100" s="41" t="s">
        <v>75</v>
      </c>
      <c r="AT100" s="41" t="s">
        <v>75</v>
      </c>
      <c r="AU100" s="41" t="s">
        <v>75</v>
      </c>
      <c r="AV100" s="41" t="s">
        <v>1656</v>
      </c>
      <c r="AW100" s="41" t="s">
        <v>75</v>
      </c>
      <c r="AX100" s="41" t="s">
        <v>75</v>
      </c>
      <c r="AY100" s="41" t="s">
        <v>1657</v>
      </c>
      <c r="AZ100" s="41" t="s">
        <v>1598</v>
      </c>
      <c r="BA100" s="41" t="s">
        <v>1599</v>
      </c>
      <c r="BB100" s="41" t="s">
        <v>99</v>
      </c>
      <c r="BC100" s="41" t="s">
        <v>159</v>
      </c>
      <c r="BD100" s="41" t="s">
        <v>101</v>
      </c>
      <c r="BE100" s="41" t="s">
        <v>75</v>
      </c>
      <c r="BF100" s="41" t="s">
        <v>75</v>
      </c>
      <c r="BG100" s="41" t="s">
        <v>75</v>
      </c>
      <c r="BH100" s="41" t="s">
        <v>75</v>
      </c>
      <c r="BI100" s="41" t="s">
        <v>102</v>
      </c>
      <c r="BJ100" s="41" t="s">
        <v>1658</v>
      </c>
      <c r="BK100" s="41" t="s">
        <v>104</v>
      </c>
      <c r="BL100" s="41" t="s">
        <v>105</v>
      </c>
      <c r="BM100" s="41" t="s">
        <v>75</v>
      </c>
      <c r="BN100" s="41" t="s">
        <v>75</v>
      </c>
      <c r="BO100" s="41" t="s">
        <v>75</v>
      </c>
      <c r="BP100" s="41" t="s">
        <v>75</v>
      </c>
      <c r="BQ100" s="40" t="s">
        <v>1586</v>
      </c>
      <c r="BR100" s="41" t="s">
        <v>1502</v>
      </c>
      <c r="BS100" s="43" t="s">
        <v>1503</v>
      </c>
    </row>
    <row r="101" spans="1:71">
      <c r="A101" s="40" t="s">
        <v>1659</v>
      </c>
      <c r="B101" s="41" t="s">
        <v>72</v>
      </c>
      <c r="C101" s="41" t="s">
        <v>73</v>
      </c>
      <c r="D101" s="41" t="s">
        <v>74</v>
      </c>
      <c r="E101" s="41" t="s">
        <v>75</v>
      </c>
      <c r="F101" s="41" t="s">
        <v>1660</v>
      </c>
      <c r="G101" s="41" t="s">
        <v>1661</v>
      </c>
      <c r="H101" s="41" t="s">
        <v>275</v>
      </c>
      <c r="I101" s="41" t="s">
        <v>276</v>
      </c>
      <c r="J101" s="41" t="s">
        <v>277</v>
      </c>
      <c r="K101" s="41" t="s">
        <v>278</v>
      </c>
      <c r="L101" s="41" t="s">
        <v>1662</v>
      </c>
      <c r="M101" s="41" t="s">
        <v>1663</v>
      </c>
      <c r="N101" s="41" t="s">
        <v>1664</v>
      </c>
      <c r="O101" s="40" t="s">
        <v>1665</v>
      </c>
      <c r="P101" s="41" t="s">
        <v>148</v>
      </c>
      <c r="Q101" s="41" t="s">
        <v>149</v>
      </c>
      <c r="R101" s="41" t="s">
        <v>1666</v>
      </c>
      <c r="S101" s="41" t="s">
        <v>1667</v>
      </c>
      <c r="T101" s="49">
        <v>1</v>
      </c>
      <c r="U101" s="41" t="s">
        <v>75</v>
      </c>
      <c r="V101" s="41" t="s">
        <v>75</v>
      </c>
      <c r="W101" s="50">
        <v>289</v>
      </c>
      <c r="X101" s="49">
        <v>289</v>
      </c>
      <c r="Y101" s="49">
        <v>0</v>
      </c>
      <c r="Z101" s="50">
        <v>0</v>
      </c>
      <c r="AA101" s="41" t="s">
        <v>75</v>
      </c>
      <c r="AB101" s="50">
        <v>0</v>
      </c>
      <c r="AC101" s="50">
        <v>289</v>
      </c>
      <c r="AD101" s="41" t="s">
        <v>209</v>
      </c>
      <c r="AE101" s="41" t="s">
        <v>1668</v>
      </c>
      <c r="AF101" s="41" t="s">
        <v>75</v>
      </c>
      <c r="AG101" s="41" t="s">
        <v>75</v>
      </c>
      <c r="AH101" s="41" t="s">
        <v>75</v>
      </c>
      <c r="AI101" s="41" t="s">
        <v>1669</v>
      </c>
      <c r="AJ101" s="41" t="s">
        <v>75</v>
      </c>
      <c r="AK101" s="41" t="s">
        <v>91</v>
      </c>
      <c r="AL101" s="40" t="s">
        <v>92</v>
      </c>
      <c r="AM101" s="41" t="s">
        <v>93</v>
      </c>
      <c r="AN101" s="41" t="s">
        <v>1670</v>
      </c>
      <c r="AO101" s="41" t="s">
        <v>75</v>
      </c>
      <c r="AP101" s="41" t="s">
        <v>75</v>
      </c>
      <c r="AQ101" s="41" t="s">
        <v>75</v>
      </c>
      <c r="AR101" s="41" t="s">
        <v>75</v>
      </c>
      <c r="AS101" s="41" t="s">
        <v>75</v>
      </c>
      <c r="AT101" s="41" t="s">
        <v>75</v>
      </c>
      <c r="AU101" s="41" t="s">
        <v>75</v>
      </c>
      <c r="AV101" s="41" t="s">
        <v>1671</v>
      </c>
      <c r="AW101" s="41" t="s">
        <v>75</v>
      </c>
      <c r="AX101" s="41" t="s">
        <v>75</v>
      </c>
      <c r="AY101" s="41" t="s">
        <v>1672</v>
      </c>
      <c r="AZ101" s="41" t="s">
        <v>1673</v>
      </c>
      <c r="BA101" s="41" t="s">
        <v>1674</v>
      </c>
      <c r="BB101" s="41" t="s">
        <v>99</v>
      </c>
      <c r="BC101" s="41" t="s">
        <v>159</v>
      </c>
      <c r="BD101" s="41" t="s">
        <v>101</v>
      </c>
      <c r="BE101" s="41" t="s">
        <v>75</v>
      </c>
      <c r="BF101" s="41" t="s">
        <v>75</v>
      </c>
      <c r="BG101" s="41" t="s">
        <v>75</v>
      </c>
      <c r="BH101" s="41" t="s">
        <v>75</v>
      </c>
      <c r="BI101" s="41" t="s">
        <v>102</v>
      </c>
      <c r="BJ101" s="41" t="s">
        <v>1675</v>
      </c>
      <c r="BK101" s="41" t="s">
        <v>104</v>
      </c>
      <c r="BL101" s="41" t="s">
        <v>105</v>
      </c>
      <c r="BM101" s="41" t="s">
        <v>75</v>
      </c>
      <c r="BN101" s="41" t="s">
        <v>75</v>
      </c>
      <c r="BO101" s="41" t="s">
        <v>75</v>
      </c>
      <c r="BP101" s="41" t="s">
        <v>75</v>
      </c>
      <c r="BQ101" s="40" t="s">
        <v>1676</v>
      </c>
      <c r="BR101" s="41" t="s">
        <v>1460</v>
      </c>
      <c r="BS101" s="43" t="s">
        <v>1461</v>
      </c>
    </row>
    <row r="102" spans="1:71">
      <c r="A102" s="40" t="s">
        <v>1677</v>
      </c>
      <c r="B102" s="41" t="s">
        <v>110</v>
      </c>
      <c r="C102" s="41" t="s">
        <v>111</v>
      </c>
      <c r="D102" s="41" t="s">
        <v>74</v>
      </c>
      <c r="E102" s="41" t="s">
        <v>75</v>
      </c>
      <c r="F102" s="41" t="s">
        <v>256</v>
      </c>
      <c r="G102" s="41" t="s">
        <v>1678</v>
      </c>
      <c r="H102" s="41" t="s">
        <v>867</v>
      </c>
      <c r="I102" s="41" t="s">
        <v>79</v>
      </c>
      <c r="J102" s="41" t="s">
        <v>80</v>
      </c>
      <c r="K102" s="41" t="s">
        <v>868</v>
      </c>
      <c r="L102" s="41" t="s">
        <v>869</v>
      </c>
      <c r="M102" s="41" t="s">
        <v>1679</v>
      </c>
      <c r="N102" s="41" t="s">
        <v>1680</v>
      </c>
      <c r="O102" s="40" t="s">
        <v>1681</v>
      </c>
      <c r="P102" s="41" t="s">
        <v>148</v>
      </c>
      <c r="Q102" s="41" t="s">
        <v>149</v>
      </c>
      <c r="R102" s="41" t="s">
        <v>1682</v>
      </c>
      <c r="S102" s="41" t="s">
        <v>284</v>
      </c>
      <c r="T102" s="49">
        <v>1</v>
      </c>
      <c r="U102" s="41" t="s">
        <v>75</v>
      </c>
      <c r="V102" s="41" t="s">
        <v>75</v>
      </c>
      <c r="W102" s="50">
        <v>289</v>
      </c>
      <c r="X102" s="49">
        <v>289</v>
      </c>
      <c r="Y102" s="49">
        <v>0</v>
      </c>
      <c r="Z102" s="50">
        <v>0</v>
      </c>
      <c r="AA102" s="41" t="s">
        <v>75</v>
      </c>
      <c r="AB102" s="50">
        <v>0</v>
      </c>
      <c r="AC102" s="50">
        <v>289</v>
      </c>
      <c r="AD102" s="41" t="s">
        <v>209</v>
      </c>
      <c r="AE102" s="41" t="s">
        <v>1683</v>
      </c>
      <c r="AF102" s="41" t="s">
        <v>75</v>
      </c>
      <c r="AG102" s="41" t="s">
        <v>75</v>
      </c>
      <c r="AH102" s="41" t="s">
        <v>75</v>
      </c>
      <c r="AI102" s="41" t="s">
        <v>1684</v>
      </c>
      <c r="AJ102" s="41" t="s">
        <v>75</v>
      </c>
      <c r="AK102" s="41" t="s">
        <v>91</v>
      </c>
      <c r="AL102" s="40" t="s">
        <v>92</v>
      </c>
      <c r="AM102" s="41" t="s">
        <v>93</v>
      </c>
      <c r="AN102" s="41" t="s">
        <v>1685</v>
      </c>
      <c r="AO102" s="41" t="s">
        <v>75</v>
      </c>
      <c r="AP102" s="41" t="s">
        <v>75</v>
      </c>
      <c r="AQ102" s="41" t="s">
        <v>75</v>
      </c>
      <c r="AR102" s="41" t="s">
        <v>75</v>
      </c>
      <c r="AS102" s="41" t="s">
        <v>75</v>
      </c>
      <c r="AT102" s="41" t="s">
        <v>75</v>
      </c>
      <c r="AU102" s="41" t="s">
        <v>75</v>
      </c>
      <c r="AV102" s="41" t="s">
        <v>1686</v>
      </c>
      <c r="AW102" s="41" t="s">
        <v>75</v>
      </c>
      <c r="AX102" s="41" t="s">
        <v>75</v>
      </c>
      <c r="AY102" s="41" t="s">
        <v>1687</v>
      </c>
      <c r="AZ102" s="41" t="s">
        <v>1688</v>
      </c>
      <c r="BA102" s="41" t="s">
        <v>75</v>
      </c>
      <c r="BB102" s="41" t="s">
        <v>99</v>
      </c>
      <c r="BC102" s="41" t="s">
        <v>75</v>
      </c>
      <c r="BD102" s="41" t="s">
        <v>101</v>
      </c>
      <c r="BE102" s="41" t="s">
        <v>75</v>
      </c>
      <c r="BF102" s="41" t="s">
        <v>130</v>
      </c>
      <c r="BG102" s="41" t="s">
        <v>1689</v>
      </c>
      <c r="BH102" s="41" t="s">
        <v>75</v>
      </c>
      <c r="BI102" s="41" t="s">
        <v>102</v>
      </c>
      <c r="BJ102" s="41" t="s">
        <v>1690</v>
      </c>
      <c r="BK102" s="41" t="s">
        <v>104</v>
      </c>
      <c r="BL102" s="41" t="s">
        <v>105</v>
      </c>
      <c r="BM102" s="41" t="s">
        <v>75</v>
      </c>
      <c r="BN102" s="41" t="s">
        <v>75</v>
      </c>
      <c r="BO102" s="41" t="s">
        <v>75</v>
      </c>
      <c r="BP102" s="41" t="s">
        <v>75</v>
      </c>
      <c r="BQ102" s="40" t="s">
        <v>1691</v>
      </c>
      <c r="BR102" s="41" t="s">
        <v>1418</v>
      </c>
      <c r="BS102" s="43" t="s">
        <v>1419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F152"/>
  <sheetViews>
    <sheetView tabSelected="1" zoomScale="90" zoomScaleNormal="90" workbookViewId="0">
      <pane xSplit="18" ySplit="1" topLeftCell="S91" activePane="bottomRight" state="frozen"/>
      <selection/>
      <selection pane="topRight"/>
      <selection pane="bottomLeft"/>
      <selection pane="bottomRight" activeCell="I152" sqref="I152:K152"/>
    </sheetView>
  </sheetViews>
  <sheetFormatPr defaultColWidth="8.84615384615385" defaultRowHeight="13" customHeight="1"/>
  <cols>
    <col min="1" max="1" width="5.74038461538461" style="2" customWidth="1"/>
    <col min="2" max="2" width="5.78846153846154" style="2" customWidth="1"/>
    <col min="3" max="3" width="18.8461538461538" style="2" customWidth="1"/>
    <col min="4" max="5" width="11.5673076923077" style="2" customWidth="1"/>
    <col min="6" max="7" width="14.5288461538462" style="2" customWidth="1"/>
    <col min="8" max="8" width="12.4711538461538" style="2"/>
    <col min="9" max="9" width="11.8942307692308" style="2"/>
    <col min="10" max="10" width="9.47115384615385" style="2"/>
    <col min="11" max="14" width="11.2115384615385" style="2" customWidth="1"/>
    <col min="15" max="15" width="10.9230769230769" style="2" customWidth="1"/>
    <col min="16" max="16" width="5.875" style="2" customWidth="1"/>
    <col min="17" max="17" width="7.10576923076923" style="1" customWidth="1"/>
    <col min="18" max="18" width="19.5769230769231" style="3" customWidth="1"/>
    <col min="19" max="19" width="17.5769230769231" style="2" customWidth="1"/>
    <col min="20" max="21" width="19.5769230769231" style="2" customWidth="1"/>
    <col min="22" max="22" width="19.5769230769231" style="3" customWidth="1"/>
    <col min="23" max="23" width="11.2307692307692" style="2" customWidth="1"/>
    <col min="24" max="24" width="8.47115384615385" style="3" customWidth="1"/>
    <col min="25" max="25" width="8.68269230769231" style="3" customWidth="1"/>
    <col min="26" max="26" width="88.1346153846154" style="2" customWidth="1"/>
    <col min="27" max="27" width="36.8557692307692" style="2" customWidth="1"/>
    <col min="28" max="28" width="16.5769230769231" style="2" customWidth="1"/>
    <col min="29" max="29" width="24.5769230769231" style="3" customWidth="1"/>
    <col min="30" max="30" width="5.85576923076923" style="2" customWidth="1"/>
    <col min="31" max="31" width="10.2596153846154" style="2" customWidth="1"/>
    <col min="32" max="32" width="11.3173076923077" style="4" customWidth="1"/>
    <col min="33" max="33" width="6.48076923076923" style="2" customWidth="1"/>
    <col min="34" max="34" width="7.74038461538461" style="2" customWidth="1"/>
    <col min="35" max="36" width="7.63461538461539" style="3" customWidth="1"/>
    <col min="37" max="37" width="6" style="2" customWidth="1"/>
    <col min="38" max="38" width="5.95192307692308" style="2" customWidth="1"/>
    <col min="39" max="39" width="7.78846153846154" style="3" customWidth="1"/>
    <col min="40" max="40" width="7.74038461538461" style="3" customWidth="1"/>
    <col min="41" max="41" width="7.74038461538461" style="2" customWidth="1"/>
    <col min="42" max="42" width="4.15384615384615" style="2" customWidth="1"/>
    <col min="43" max="44" width="7.74038461538461" style="2" customWidth="1"/>
    <col min="45" max="45" width="8.63461538461539" style="2" customWidth="1"/>
    <col min="46" max="46" width="7.74038461538461" style="3" customWidth="1"/>
    <col min="47" max="47" width="24.5769230769231" style="2" customWidth="1"/>
    <col min="48" max="48" width="14.4230769230769" style="2" customWidth="1"/>
    <col min="49" max="49" width="8.47115384615385" style="2" customWidth="1"/>
    <col min="50" max="51" width="7.74038461538461" style="2" customWidth="1"/>
    <col min="52" max="52" width="7.15384615384615" style="3" customWidth="1"/>
    <col min="53" max="55" width="7.74038461538461" style="2" customWidth="1"/>
    <col min="56" max="56" width="7.63461538461539" style="2" customWidth="1"/>
    <col min="57" max="57" width="4.15384615384615" style="2" customWidth="1"/>
    <col min="58" max="58" width="15.9423076923077" style="5" customWidth="1"/>
    <col min="59" max="60" width="12.4711538461538" style="2"/>
    <col min="61" max="61" width="8.84615384615385" style="2"/>
    <col min="62" max="62" width="12.4711538461538" style="2"/>
    <col min="63" max="63" width="8.84615384615385" style="2"/>
    <col min="64" max="64" width="12.4711538461538" style="2"/>
    <col min="65" max="16384" width="8.84615384615385" style="2"/>
  </cols>
  <sheetData>
    <row r="1" s="1" customFormat="1" ht="37" customHeight="1" spans="1:58">
      <c r="A1" s="6" t="s">
        <v>1692</v>
      </c>
      <c r="B1" s="7" t="s">
        <v>1693</v>
      </c>
      <c r="C1" s="7" t="s">
        <v>0</v>
      </c>
      <c r="D1" s="8" t="s">
        <v>1694</v>
      </c>
      <c r="E1" s="8" t="s">
        <v>1695</v>
      </c>
      <c r="F1" s="9" t="s">
        <v>1696</v>
      </c>
      <c r="G1" s="9" t="s">
        <v>1697</v>
      </c>
      <c r="H1" s="7" t="s">
        <v>1698</v>
      </c>
      <c r="I1" s="7" t="s">
        <v>1699</v>
      </c>
      <c r="J1" s="7" t="s">
        <v>1700</v>
      </c>
      <c r="K1" s="7" t="s">
        <v>1701</v>
      </c>
      <c r="L1" s="7" t="s">
        <v>1702</v>
      </c>
      <c r="M1" s="7" t="s">
        <v>1703</v>
      </c>
      <c r="N1" s="7" t="s">
        <v>1704</v>
      </c>
      <c r="O1" s="10" t="s">
        <v>1705</v>
      </c>
      <c r="P1" s="11" t="s">
        <v>1706</v>
      </c>
      <c r="Q1" s="12" t="s">
        <v>1707</v>
      </c>
      <c r="R1" s="13" t="s">
        <v>0</v>
      </c>
      <c r="S1" s="14" t="s">
        <v>1708</v>
      </c>
      <c r="T1" s="15" t="s">
        <v>1709</v>
      </c>
      <c r="U1" s="15" t="s">
        <v>1710</v>
      </c>
      <c r="V1" s="13" t="s">
        <v>1711</v>
      </c>
      <c r="W1" s="14" t="s">
        <v>1712</v>
      </c>
      <c r="X1" s="13" t="s">
        <v>1713</v>
      </c>
      <c r="Y1" s="13" t="s">
        <v>1714</v>
      </c>
      <c r="Z1" s="14" t="s">
        <v>70</v>
      </c>
      <c r="AA1" s="16" t="s">
        <v>1715</v>
      </c>
      <c r="AB1" s="17" t="s">
        <v>1716</v>
      </c>
      <c r="AC1" s="13" t="s">
        <v>1717</v>
      </c>
      <c r="AD1" s="14" t="s">
        <v>1718</v>
      </c>
      <c r="AE1" s="18" t="s">
        <v>1719</v>
      </c>
      <c r="AF1" s="19" t="s">
        <v>1720</v>
      </c>
      <c r="AG1" s="14" t="s">
        <v>1721</v>
      </c>
      <c r="AH1" s="14" t="s">
        <v>1722</v>
      </c>
      <c r="AI1" s="20" t="s">
        <v>1723</v>
      </c>
      <c r="AJ1" s="20" t="s">
        <v>1724</v>
      </c>
      <c r="AK1" s="14" t="s">
        <v>1725</v>
      </c>
      <c r="AL1" s="14" t="s">
        <v>1726</v>
      </c>
      <c r="AM1" s="21" t="s">
        <v>1727</v>
      </c>
      <c r="AN1" s="21" t="s">
        <v>1728</v>
      </c>
      <c r="AO1" s="15" t="s">
        <v>1729</v>
      </c>
      <c r="AP1" s="15" t="s">
        <v>1730</v>
      </c>
      <c r="AQ1" s="14" t="s">
        <v>1731</v>
      </c>
      <c r="AR1" s="14" t="s">
        <v>1732</v>
      </c>
      <c r="AS1" s="14" t="s">
        <v>1733</v>
      </c>
      <c r="AT1" s="13" t="s">
        <v>1734</v>
      </c>
      <c r="AU1" s="22" t="s">
        <v>1735</v>
      </c>
      <c r="AV1" s="15" t="s">
        <v>1736</v>
      </c>
      <c r="AW1" s="15" t="s">
        <v>1737</v>
      </c>
      <c r="AX1" s="15" t="s">
        <v>1738</v>
      </c>
      <c r="AY1" s="15" t="s">
        <v>1739</v>
      </c>
      <c r="AZ1" s="13" t="s">
        <v>1740</v>
      </c>
      <c r="BA1" s="14" t="s">
        <v>1741</v>
      </c>
      <c r="BB1" s="14" t="s">
        <v>1742</v>
      </c>
      <c r="BC1" s="14" t="s">
        <v>1743</v>
      </c>
      <c r="BD1" s="18" t="s">
        <v>1744</v>
      </c>
      <c r="BE1" s="23" t="s">
        <v>1706</v>
      </c>
      <c r="BF1" s="24"/>
    </row>
    <row r="2" customHeight="1" spans="1:58">
      <c r="A2" s="25">
        <f t="shared" ref="A2:A65" si="0">YEAR(V2)</f>
        <v>2025</v>
      </c>
      <c r="B2" s="26">
        <f t="shared" ref="B2:B65" si="1">MONTH(V2)</f>
        <v>8</v>
      </c>
      <c r="C2" s="26" t="str">
        <f t="shared" ref="C2:C65" si="2">R2</f>
        <v>P770450992956407491</v>
      </c>
      <c r="D2" s="26">
        <f t="shared" ref="D2:D65" si="3">COUNTIF(R:R,R2)</f>
        <v>2</v>
      </c>
      <c r="E2" s="26">
        <f>COUNTIF($R$2:R2,R2)</f>
        <v>1</v>
      </c>
      <c r="F2" s="27" t="str" cm="1">
        <f t="array" ref="F2">INDEX('小红书-订单明细'!BQ:BQ,MATCH(R2&amp;AC2,'小红书-订单明细'!A:A&amp;'小红书-订单明细'!O:O,0))</f>
        <v>Z2183-黑色-XL</v>
      </c>
      <c r="G2" s="27" t="str">
        <f t="shared" ref="G2:G65" si="4">LEFT(F2,FIND("-",F2)-1)</f>
        <v>Z2183</v>
      </c>
      <c r="H2" s="26" cm="1">
        <f t="array" ref="H2">IF(ABS(BG2)&gt;=1,SUM(AF2,AH2:AI2)/(INDEX('小红书-订单明细'!W:W,MATCH(R2&amp;AC2,'小红书-订单明细'!A:A&amp;'小红书-订单明细'!O:O,0))/(INDEX('小红书-订单明细'!T:T,MATCH(R2&amp;AC2,'小红书-订单明细'!A:A&amp;'小红书-订单明细'!O:O,0)))),IF(ABS(SUM(AF2,AH2:AI2)/(INDEX('小红书-订单明细'!W:W,MATCH(R2&amp;AC2,'小红书-订单明细'!A:A&amp;'小红书-订单明细'!O:O,0))/(INDEX('小红书-订单明细'!T:T,MATCH(R2&amp;AC2,'小红书-订单明细'!A:A&amp;'小红书-订单明细'!O:O,0)))))&gt;15%,ROUNDUP(SUM(AF2,AH2:AI2)/(INDEX('小红书-订单明细'!W:W,MATCH(R2&amp;AC2,'小红书-订单明细'!A:A&amp;'小红书-订单明细'!O:O,0))/(INDEX('小红书-订单明细'!T:T,MATCH(R2&amp;AC2,'小红书-订单明细'!A:A&amp;'小红书-订单明细'!O:O,0)))),0),ROUNDDOWN(SUM(AF2,AH2:AI2)/(INDEX('小红书-订单明细'!W:W,MATCH(R2&amp;AC2,'小红书-订单明细'!A:A&amp;'小红书-订单明细'!O:O,0))/(INDEX('小红书-订单明细'!T:T,MATCH(R2&amp;AC2,'小红书-订单明细'!A:A&amp;'小红书-订单明细'!O:O,0)))),0)))</f>
        <v>-1</v>
      </c>
      <c r="I2" s="26">
        <f t="shared" ref="I2:I65" si="5">AF2</f>
        <v>-129</v>
      </c>
      <c r="J2" s="26">
        <f t="shared" ref="J2:J65" si="6">AI2+AJ2</f>
        <v>0</v>
      </c>
      <c r="K2" s="26">
        <f t="shared" ref="K2:K65" si="7">IF(AZ2&lt;=0,AZ2,AZ2/COUNTIFS(R:R,R2,AZ:AZ,"&gt;0"))</f>
        <v>0</v>
      </c>
      <c r="L2" s="26">
        <f t="shared" ref="L2:L65" si="8">-AM2</f>
        <v>-6.45</v>
      </c>
      <c r="M2" s="26">
        <f t="shared" ref="M2:M65" si="9">-AT2</f>
        <v>-0.77</v>
      </c>
      <c r="N2" s="26"/>
      <c r="O2" s="28">
        <f t="shared" ref="O2:O65" si="10">I2+J2+K2-L2-M2-N2</f>
        <v>-121.78</v>
      </c>
      <c r="Q2" s="1" cm="1">
        <f t="array" ref="Q2">SUM(AF2,AH2:AI2)/(INDEX('小红书-订单明细'!W:W,MATCH(R2&amp;AC2,'小红书-订单明细'!A:A&amp;'小红书-订单明细'!O:O,0))/(INDEX('小红书-订单明细'!T:T,MATCH(R2&amp;AC2,'小红书-订单明细'!A:A&amp;'小红书-订单明细'!O:O,0))))</f>
        <v>-1</v>
      </c>
      <c r="R2" s="29" t="s">
        <v>1625</v>
      </c>
      <c r="S2" s="30" t="s">
        <v>1745</v>
      </c>
      <c r="T2" s="30" t="s">
        <v>1639</v>
      </c>
      <c r="U2" s="30" t="s">
        <v>1746</v>
      </c>
      <c r="V2" s="30" t="s">
        <v>1747</v>
      </c>
      <c r="W2" s="31" t="s">
        <v>1748</v>
      </c>
      <c r="X2" s="31" t="s">
        <v>1749</v>
      </c>
      <c r="Y2" s="30">
        <v>-121.78</v>
      </c>
      <c r="Z2" s="31" t="s">
        <v>1750</v>
      </c>
      <c r="AA2" s="31" t="s">
        <v>1751</v>
      </c>
      <c r="AB2" s="30" t="s">
        <v>1632</v>
      </c>
      <c r="AC2" s="29" t="s">
        <v>1633</v>
      </c>
      <c r="AD2" s="32">
        <v>0</v>
      </c>
      <c r="AE2" s="30">
        <v>-129</v>
      </c>
      <c r="AF2" s="29">
        <v>-129</v>
      </c>
      <c r="AG2" s="30">
        <v>0</v>
      </c>
      <c r="AH2" s="30">
        <v>0</v>
      </c>
      <c r="AI2" s="33">
        <v>0</v>
      </c>
      <c r="AJ2" s="33">
        <v>0</v>
      </c>
      <c r="AK2" s="32">
        <v>0</v>
      </c>
      <c r="AL2" s="32">
        <v>0</v>
      </c>
      <c r="AM2" s="33">
        <v>6.45</v>
      </c>
      <c r="AN2" s="33">
        <v>0</v>
      </c>
      <c r="AO2" s="32">
        <v>0</v>
      </c>
      <c r="AP2" s="32">
        <v>0</v>
      </c>
      <c r="AQ2" s="34" t="s">
        <v>101</v>
      </c>
      <c r="AR2" s="32">
        <v>0</v>
      </c>
      <c r="AS2" s="32">
        <v>0</v>
      </c>
      <c r="AT2" s="33">
        <v>0.77</v>
      </c>
      <c r="AU2" s="30" t="s">
        <v>148</v>
      </c>
      <c r="AV2" s="31" t="s">
        <v>1752</v>
      </c>
      <c r="AW2" s="31" t="s">
        <v>1753</v>
      </c>
      <c r="AX2" s="30"/>
      <c r="AY2" s="30"/>
      <c r="AZ2" s="33">
        <v>0</v>
      </c>
      <c r="BA2" s="32">
        <v>0</v>
      </c>
      <c r="BB2" s="32">
        <v>0</v>
      </c>
      <c r="BC2" s="32">
        <v>0</v>
      </c>
      <c r="BD2" s="32">
        <v>0</v>
      </c>
      <c r="BE2" s="35"/>
    </row>
    <row r="3" customHeight="1" spans="1:58">
      <c r="A3" s="25">
        <f t="shared" si="0"/>
        <v>2025</v>
      </c>
      <c r="B3" s="26">
        <f t="shared" si="1"/>
        <v>8</v>
      </c>
      <c r="C3" s="26" t="str">
        <f t="shared" si="2"/>
        <v>P770450992956407491</v>
      </c>
      <c r="D3" s="26">
        <f t="shared" si="3"/>
        <v>2</v>
      </c>
      <c r="E3" s="26">
        <f>COUNTIF($R$2:R3,R3)</f>
        <v>2</v>
      </c>
      <c r="F3" s="27" t="str" cm="1">
        <f t="array" ref="F3">INDEX('小红书-订单明细'!BQ:BQ,MATCH(R3&amp;AC3,'小红书-订单明细'!A:A&amp;'小红书-订单明细'!O:O,0))</f>
        <v>Z2183-黑色-XL</v>
      </c>
      <c r="G3" s="27" t="str">
        <f t="shared" si="4"/>
        <v>Z2183</v>
      </c>
      <c r="H3" s="26" cm="1">
        <f t="array" ref="H3">IF(ABS(BG3)&gt;=1,SUM(AF3,AH3:AI3)/(INDEX('小红书-订单明细'!W:W,MATCH(R3&amp;AC3,'小红书-订单明细'!A:A&amp;'小红书-订单明细'!O:O,0))/(INDEX('小红书-订单明细'!T:T,MATCH(R3&amp;AC3,'小红书-订单明细'!A:A&amp;'小红书-订单明细'!O:O,0)))),IF(ABS(SUM(AF3,AH3:AI3)/(INDEX('小红书-订单明细'!W:W,MATCH(R3&amp;AC3,'小红书-订单明细'!A:A&amp;'小红书-订单明细'!O:O,0))/(INDEX('小红书-订单明细'!T:T,MATCH(R3&amp;AC3,'小红书-订单明细'!A:A&amp;'小红书-订单明细'!O:O,0)))))&gt;15%,ROUNDUP(SUM(AF3,AH3:AI3)/(INDEX('小红书-订单明细'!W:W,MATCH(R3&amp;AC3,'小红书-订单明细'!A:A&amp;'小红书-订单明细'!O:O,0))/(INDEX('小红书-订单明细'!T:T,MATCH(R3&amp;AC3,'小红书-订单明细'!A:A&amp;'小红书-订单明细'!O:O,0)))),0),ROUNDDOWN(SUM(AF3,AH3:AI3)/(INDEX('小红书-订单明细'!W:W,MATCH(R3&amp;AC3,'小红书-订单明细'!A:A&amp;'小红书-订单明细'!O:O,0))/(INDEX('小红书-订单明细'!T:T,MATCH(R3&amp;AC3,'小红书-订单明细'!A:A&amp;'小红书-订单明细'!O:O,0)))),0)))</f>
        <v>1</v>
      </c>
      <c r="I3" s="26">
        <f t="shared" si="5"/>
        <v>129</v>
      </c>
      <c r="J3" s="26">
        <f t="shared" si="6"/>
        <v>0</v>
      </c>
      <c r="K3" s="26">
        <f t="shared" si="7"/>
        <v>0</v>
      </c>
      <c r="L3" s="26">
        <f t="shared" si="8"/>
        <v>6.45</v>
      </c>
      <c r="M3" s="26">
        <f t="shared" si="9"/>
        <v>0.77</v>
      </c>
      <c r="N3" s="26"/>
      <c r="O3" s="28">
        <f t="shared" si="10"/>
        <v>121.78</v>
      </c>
      <c r="Q3" s="1" cm="1">
        <f t="array" ref="Q3">SUM(AF3,AH3:AI3)/(INDEX('小红书-订单明细'!W:W,MATCH(R3&amp;AC3,'小红书-订单明细'!A:A&amp;'小红书-订单明细'!O:O,0))/(INDEX('小红书-订单明细'!T:T,MATCH(R3&amp;AC3,'小红书-订单明细'!A:A&amp;'小红书-订单明细'!O:O,0))))</f>
        <v>1</v>
      </c>
      <c r="R3" s="29" t="s">
        <v>1625</v>
      </c>
      <c r="S3" s="30"/>
      <c r="T3" s="30" t="s">
        <v>1639</v>
      </c>
      <c r="U3" s="30" t="s">
        <v>1754</v>
      </c>
      <c r="V3" s="30" t="s">
        <v>1747</v>
      </c>
      <c r="W3" s="31" t="s">
        <v>1755</v>
      </c>
      <c r="X3" s="31" t="s">
        <v>1749</v>
      </c>
      <c r="Y3" s="30">
        <v>121.78</v>
      </c>
      <c r="Z3" s="31" t="s">
        <v>1750</v>
      </c>
      <c r="AA3" s="31" t="s">
        <v>1751</v>
      </c>
      <c r="AB3" s="30" t="s">
        <v>1632</v>
      </c>
      <c r="AC3" s="29" t="s">
        <v>1633</v>
      </c>
      <c r="AD3" s="32">
        <v>1</v>
      </c>
      <c r="AE3" s="30">
        <v>129</v>
      </c>
      <c r="AF3" s="36">
        <v>129</v>
      </c>
      <c r="AG3" s="30" t="s">
        <v>75</v>
      </c>
      <c r="AH3" s="30">
        <v>0</v>
      </c>
      <c r="AI3" s="33">
        <v>0</v>
      </c>
      <c r="AJ3" s="33">
        <v>0</v>
      </c>
      <c r="AK3" s="32">
        <v>0.05</v>
      </c>
      <c r="AL3" s="32">
        <v>0</v>
      </c>
      <c r="AM3" s="33">
        <v>-6.45</v>
      </c>
      <c r="AN3" s="33">
        <v>129</v>
      </c>
      <c r="AO3" s="32">
        <v>129</v>
      </c>
      <c r="AP3" s="32">
        <v>0</v>
      </c>
      <c r="AQ3" s="34" t="s">
        <v>101</v>
      </c>
      <c r="AR3" s="32">
        <v>0</v>
      </c>
      <c r="AS3" s="32">
        <v>0.006</v>
      </c>
      <c r="AT3" s="33">
        <v>-0.77</v>
      </c>
      <c r="AU3" s="30" t="s">
        <v>148</v>
      </c>
      <c r="AV3" s="31" t="s">
        <v>1752</v>
      </c>
      <c r="AW3" s="31" t="s">
        <v>1753</v>
      </c>
      <c r="AX3" s="30"/>
      <c r="AY3" s="30"/>
      <c r="AZ3" s="33">
        <v>0</v>
      </c>
      <c r="BA3" s="32">
        <v>0</v>
      </c>
      <c r="BB3" s="32">
        <v>0</v>
      </c>
      <c r="BC3" s="32">
        <v>0</v>
      </c>
      <c r="BD3" s="32">
        <v>0</v>
      </c>
      <c r="BE3" s="35"/>
    </row>
    <row r="4" customHeight="1" spans="1:58">
      <c r="A4" s="25">
        <f t="shared" si="0"/>
        <v>2025</v>
      </c>
      <c r="B4" s="26">
        <f t="shared" si="1"/>
        <v>8</v>
      </c>
      <c r="C4" s="26" t="str">
        <f t="shared" si="2"/>
        <v>P770795407221086221</v>
      </c>
      <c r="D4" s="26">
        <f t="shared" si="3"/>
        <v>1</v>
      </c>
      <c r="E4" s="26">
        <f>COUNTIF($R$2:R4,R4)</f>
        <v>1</v>
      </c>
      <c r="F4" s="27" t="str" cm="1">
        <f t="array" ref="F4">INDEX('小红书-订单明细'!BQ:BQ,MATCH(R4&amp;AC4,'小红书-订单明细'!A:A&amp;'小红书-订单明细'!O:O,0))</f>
        <v>Z2363-灰色-M</v>
      </c>
      <c r="G4" s="27" t="str">
        <f t="shared" si="4"/>
        <v>Z2363</v>
      </c>
      <c r="H4" s="26" cm="1">
        <f t="array" ref="H4">IF(ABS(BG4)&gt;=1,SUM(AF4,AH4:AI4)/(INDEX('小红书-订单明细'!W:W,MATCH(R4&amp;AC4,'小红书-订单明细'!A:A&amp;'小红书-订单明细'!O:O,0))/(INDEX('小红书-订单明细'!T:T,MATCH(R4&amp;AC4,'小红书-订单明细'!A:A&amp;'小红书-订单明细'!O:O,0)))),IF(ABS(SUM(AF4,AH4:AI4)/(INDEX('小红书-订单明细'!W:W,MATCH(R4&amp;AC4,'小红书-订单明细'!A:A&amp;'小红书-订单明细'!O:O,0))/(INDEX('小红书-订单明细'!T:T,MATCH(R4&amp;AC4,'小红书-订单明细'!A:A&amp;'小红书-订单明细'!O:O,0)))))&gt;15%,ROUNDUP(SUM(AF4,AH4:AI4)/(INDEX('小红书-订单明细'!W:W,MATCH(R4&amp;AC4,'小红书-订单明细'!A:A&amp;'小红书-订单明细'!O:O,0))/(INDEX('小红书-订单明细'!T:T,MATCH(R4&amp;AC4,'小红书-订单明细'!A:A&amp;'小红书-订单明细'!O:O,0)))),0),ROUNDDOWN(SUM(AF4,AH4:AI4)/(INDEX('小红书-订单明细'!W:W,MATCH(R4&amp;AC4,'小红书-订单明细'!A:A&amp;'小红书-订单明细'!O:O,0))/(INDEX('小红书-订单明细'!T:T,MATCH(R4&amp;AC4,'小红书-订单明细'!A:A&amp;'小红书-订单明细'!O:O,0)))),0)))</f>
        <v>1</v>
      </c>
      <c r="I4" s="26">
        <f t="shared" si="5"/>
        <v>359</v>
      </c>
      <c r="J4" s="26">
        <f t="shared" si="6"/>
        <v>0</v>
      </c>
      <c r="K4" s="26">
        <f t="shared" si="7"/>
        <v>0</v>
      </c>
      <c r="L4" s="26">
        <f t="shared" si="8"/>
        <v>17.95</v>
      </c>
      <c r="M4" s="26">
        <f t="shared" si="9"/>
        <v>2.15</v>
      </c>
      <c r="N4" s="26"/>
      <c r="O4" s="28">
        <f t="shared" si="10"/>
        <v>338.9</v>
      </c>
      <c r="Q4" s="1" cm="1">
        <f t="array" ref="Q4">SUM(AF4,AH4:AI4)/(INDEX('小红书-订单明细'!W:W,MATCH(R4&amp;AC4,'小红书-订单明细'!A:A&amp;'小红书-订单明细'!O:O,0))/(INDEX('小红书-订单明细'!T:T,MATCH(R4&amp;AC4,'小红书-订单明细'!A:A&amp;'小红书-订单明细'!O:O,0))))</f>
        <v>1</v>
      </c>
      <c r="R4" s="29" t="s">
        <v>982</v>
      </c>
      <c r="S4" s="30"/>
      <c r="T4" s="30" t="s">
        <v>991</v>
      </c>
      <c r="U4" s="30" t="s">
        <v>994</v>
      </c>
      <c r="V4" s="30" t="s">
        <v>1756</v>
      </c>
      <c r="W4" s="31" t="s">
        <v>1755</v>
      </c>
      <c r="X4" s="31" t="s">
        <v>1749</v>
      </c>
      <c r="Y4" s="30">
        <v>338.9</v>
      </c>
      <c r="Z4" s="31" t="s">
        <v>1757</v>
      </c>
      <c r="AA4" s="31" t="s">
        <v>1758</v>
      </c>
      <c r="AB4" s="30" t="s">
        <v>826</v>
      </c>
      <c r="AC4" s="29" t="s">
        <v>827</v>
      </c>
      <c r="AD4" s="32">
        <v>1</v>
      </c>
      <c r="AE4" s="30">
        <v>359</v>
      </c>
      <c r="AF4" s="36">
        <v>359</v>
      </c>
      <c r="AG4" s="30" t="s">
        <v>75</v>
      </c>
      <c r="AH4" s="30">
        <v>0</v>
      </c>
      <c r="AI4" s="33">
        <v>0</v>
      </c>
      <c r="AJ4" s="33">
        <v>0</v>
      </c>
      <c r="AK4" s="32">
        <v>0.05</v>
      </c>
      <c r="AL4" s="32">
        <v>0</v>
      </c>
      <c r="AM4" s="33">
        <v>-17.95</v>
      </c>
      <c r="AN4" s="33">
        <v>359</v>
      </c>
      <c r="AO4" s="32">
        <v>359</v>
      </c>
      <c r="AP4" s="32">
        <v>0</v>
      </c>
      <c r="AQ4" s="34" t="s">
        <v>101</v>
      </c>
      <c r="AR4" s="32">
        <v>0</v>
      </c>
      <c r="AS4" s="32">
        <v>0.006</v>
      </c>
      <c r="AT4" s="33">
        <v>-2.15</v>
      </c>
      <c r="AU4" s="30" t="s">
        <v>148</v>
      </c>
      <c r="AV4" s="31" t="s">
        <v>1752</v>
      </c>
      <c r="AW4" s="31" t="s">
        <v>1753</v>
      </c>
      <c r="AX4" s="30"/>
      <c r="AY4" s="30"/>
      <c r="AZ4" s="33">
        <v>0</v>
      </c>
      <c r="BA4" s="32">
        <v>0</v>
      </c>
      <c r="BB4" s="32">
        <v>0</v>
      </c>
      <c r="BC4" s="32">
        <v>0</v>
      </c>
      <c r="BD4" s="32">
        <v>0</v>
      </c>
      <c r="BE4" s="35"/>
    </row>
    <row r="5" customHeight="1" spans="1:58">
      <c r="A5" s="25">
        <f t="shared" si="0"/>
        <v>2025</v>
      </c>
      <c r="B5" s="26">
        <f t="shared" si="1"/>
        <v>8</v>
      </c>
      <c r="C5" s="26" t="str">
        <f t="shared" si="2"/>
        <v>P770821520016218311</v>
      </c>
      <c r="D5" s="26">
        <f t="shared" si="3"/>
        <v>1</v>
      </c>
      <c r="E5" s="26">
        <f>COUNTIF($R$2:R5,R5)</f>
        <v>1</v>
      </c>
      <c r="F5" s="27" t="str" cm="1">
        <f t="array" ref="F5">INDEX('小红书-订单明细'!BQ:BQ,MATCH(R5&amp;AC5,'小红书-订单明细'!A:A&amp;'小红书-订单明细'!O:O,0))</f>
        <v>Z2365-灰色-S</v>
      </c>
      <c r="G5" s="27" t="str">
        <f t="shared" si="4"/>
        <v>Z2365</v>
      </c>
      <c r="H5" s="26" cm="1">
        <f t="array" ref="H5">IF(ABS(BG5)&gt;=1,SUM(AF5,AH5:AI5)/(INDEX('小红书-订单明细'!W:W,MATCH(R5&amp;AC5,'小红书-订单明细'!A:A&amp;'小红书-订单明细'!O:O,0))/(INDEX('小红书-订单明细'!T:T,MATCH(R5&amp;AC5,'小红书-订单明细'!A:A&amp;'小红书-订单明细'!O:O,0)))),IF(ABS(SUM(AF5,AH5:AI5)/(INDEX('小红书-订单明细'!W:W,MATCH(R5&amp;AC5,'小红书-订单明细'!A:A&amp;'小红书-订单明细'!O:O,0))/(INDEX('小红书-订单明细'!T:T,MATCH(R5&amp;AC5,'小红书-订单明细'!A:A&amp;'小红书-订单明细'!O:O,0)))))&gt;15%,ROUNDUP(SUM(AF5,AH5:AI5)/(INDEX('小红书-订单明细'!W:W,MATCH(R5&amp;AC5,'小红书-订单明细'!A:A&amp;'小红书-订单明细'!O:O,0))/(INDEX('小红书-订单明细'!T:T,MATCH(R5&amp;AC5,'小红书-订单明细'!A:A&amp;'小红书-订单明细'!O:O,0)))),0),ROUNDDOWN(SUM(AF5,AH5:AI5)/(INDEX('小红书-订单明细'!W:W,MATCH(R5&amp;AC5,'小红书-订单明细'!A:A&amp;'小红书-订单明细'!O:O,0))/(INDEX('小红书-订单明细'!T:T,MATCH(R5&amp;AC5,'小红书-订单明细'!A:A&amp;'小红书-订单明细'!O:O,0)))),0)))</f>
        <v>1</v>
      </c>
      <c r="I5" s="26">
        <f t="shared" si="5"/>
        <v>219</v>
      </c>
      <c r="J5" s="26">
        <f t="shared" si="6"/>
        <v>0</v>
      </c>
      <c r="K5" s="26">
        <f t="shared" si="7"/>
        <v>0</v>
      </c>
      <c r="L5" s="26">
        <f t="shared" si="8"/>
        <v>10.95</v>
      </c>
      <c r="M5" s="26">
        <f t="shared" si="9"/>
        <v>1.31</v>
      </c>
      <c r="N5" s="26"/>
      <c r="O5" s="28">
        <f t="shared" si="10"/>
        <v>206.74</v>
      </c>
      <c r="Q5" s="1" cm="1">
        <f t="array" ref="Q5">SUM(AF5,AH5:AI5)/(INDEX('小红书-订单明细'!W:W,MATCH(R5&amp;AC5,'小红书-订单明细'!A:A&amp;'小红书-订单明细'!O:O,0))/(INDEX('小红书-订单明细'!T:T,MATCH(R5&amp;AC5,'小红书-订单明细'!A:A&amp;'小红书-订单明细'!O:O,0))))</f>
        <v>1</v>
      </c>
      <c r="R5" s="29" t="s">
        <v>331</v>
      </c>
      <c r="S5" s="30"/>
      <c r="T5" s="30" t="s">
        <v>345</v>
      </c>
      <c r="U5" s="30" t="s">
        <v>349</v>
      </c>
      <c r="V5" s="30" t="s">
        <v>1759</v>
      </c>
      <c r="W5" s="31" t="s">
        <v>1755</v>
      </c>
      <c r="X5" s="31" t="s">
        <v>1749</v>
      </c>
      <c r="Y5" s="30">
        <v>206.74</v>
      </c>
      <c r="Z5" s="31" t="s">
        <v>1760</v>
      </c>
      <c r="AA5" s="31" t="s">
        <v>1761</v>
      </c>
      <c r="AB5" s="30" t="s">
        <v>340</v>
      </c>
      <c r="AC5" s="29" t="s">
        <v>341</v>
      </c>
      <c r="AD5" s="32">
        <v>1</v>
      </c>
      <c r="AE5" s="30">
        <v>219</v>
      </c>
      <c r="AF5" s="36">
        <v>219</v>
      </c>
      <c r="AG5" s="30" t="s">
        <v>75</v>
      </c>
      <c r="AH5" s="30">
        <v>0</v>
      </c>
      <c r="AI5" s="33">
        <v>0</v>
      </c>
      <c r="AJ5" s="33">
        <v>0</v>
      </c>
      <c r="AK5" s="32">
        <v>0.05</v>
      </c>
      <c r="AL5" s="32">
        <v>0</v>
      </c>
      <c r="AM5" s="33">
        <v>-10.95</v>
      </c>
      <c r="AN5" s="33">
        <v>219</v>
      </c>
      <c r="AO5" s="32">
        <v>219</v>
      </c>
      <c r="AP5" s="32">
        <v>0</v>
      </c>
      <c r="AQ5" s="34" t="s">
        <v>101</v>
      </c>
      <c r="AR5" s="32">
        <v>0</v>
      </c>
      <c r="AS5" s="32">
        <v>0.006</v>
      </c>
      <c r="AT5" s="33">
        <v>-1.31</v>
      </c>
      <c r="AU5" s="30" t="s">
        <v>148</v>
      </c>
      <c r="AV5" s="31" t="s">
        <v>1752</v>
      </c>
      <c r="AW5" s="31" t="s">
        <v>1753</v>
      </c>
      <c r="AX5" s="30"/>
      <c r="AY5" s="30"/>
      <c r="AZ5" s="33">
        <v>0</v>
      </c>
      <c r="BA5" s="32">
        <v>0</v>
      </c>
      <c r="BB5" s="32">
        <v>0</v>
      </c>
      <c r="BC5" s="32">
        <v>0</v>
      </c>
      <c r="BD5" s="32">
        <v>0</v>
      </c>
      <c r="BE5" s="35"/>
    </row>
    <row r="6" customHeight="1" spans="1:58">
      <c r="A6" s="25">
        <f t="shared" si="0"/>
        <v>2025</v>
      </c>
      <c r="B6" s="26">
        <f t="shared" si="1"/>
        <v>8</v>
      </c>
      <c r="C6" s="26" t="str">
        <f t="shared" si="2"/>
        <v>P771683143371443691</v>
      </c>
      <c r="D6" s="26">
        <f t="shared" si="3"/>
        <v>1</v>
      </c>
      <c r="E6" s="26">
        <f>COUNTIF($R$2:R6,R6)</f>
        <v>1</v>
      </c>
      <c r="F6" s="27" t="str" cm="1">
        <f t="array" ref="F6">INDEX('小红书-订单明细'!BQ:BQ,MATCH(R6&amp;AC6,'小红书-订单明细'!A:A&amp;'小红书-订单明细'!O:O,0))</f>
        <v>Z2338-花色-M</v>
      </c>
      <c r="G6" s="27" t="str">
        <f t="shared" si="4"/>
        <v>Z2338</v>
      </c>
      <c r="H6" s="26" cm="1">
        <f t="array" ref="H6">IF(ABS(BG6)&gt;=1,SUM(AF6,AH6:AI6)/(INDEX('小红书-订单明细'!W:W,MATCH(R6&amp;AC6,'小红书-订单明细'!A:A&amp;'小红书-订单明细'!O:O,0))/(INDEX('小红书-订单明细'!T:T,MATCH(R6&amp;AC6,'小红书-订单明细'!A:A&amp;'小红书-订单明细'!O:O,0)))),IF(ABS(SUM(AF6,AH6:AI6)/(INDEX('小红书-订单明细'!W:W,MATCH(R6&amp;AC6,'小红书-订单明细'!A:A&amp;'小红书-订单明细'!O:O,0))/(INDEX('小红书-订单明细'!T:T,MATCH(R6&amp;AC6,'小红书-订单明细'!A:A&amp;'小红书-订单明细'!O:O,0)))))&gt;15%,ROUNDUP(SUM(AF6,AH6:AI6)/(INDEX('小红书-订单明细'!W:W,MATCH(R6&amp;AC6,'小红书-订单明细'!A:A&amp;'小红书-订单明细'!O:O,0))/(INDEX('小红书-订单明细'!T:T,MATCH(R6&amp;AC6,'小红书-订单明细'!A:A&amp;'小红书-订单明细'!O:O,0)))),0),ROUNDDOWN(SUM(AF6,AH6:AI6)/(INDEX('小红书-订单明细'!W:W,MATCH(R6&amp;AC6,'小红书-订单明细'!A:A&amp;'小红书-订单明细'!O:O,0))/(INDEX('小红书-订单明细'!T:T,MATCH(R6&amp;AC6,'小红书-订单明细'!A:A&amp;'小红书-订单明细'!O:O,0)))),0)))</f>
        <v>1</v>
      </c>
      <c r="I6" s="26">
        <f t="shared" si="5"/>
        <v>249</v>
      </c>
      <c r="J6" s="26">
        <f t="shared" si="6"/>
        <v>0</v>
      </c>
      <c r="K6" s="26">
        <f t="shared" si="7"/>
        <v>0</v>
      </c>
      <c r="L6" s="26">
        <f t="shared" si="8"/>
        <v>12.45</v>
      </c>
      <c r="M6" s="26">
        <f t="shared" si="9"/>
        <v>0</v>
      </c>
      <c r="N6" s="26"/>
      <c r="O6" s="28">
        <f t="shared" si="10"/>
        <v>236.55</v>
      </c>
      <c r="Q6" s="1" cm="1">
        <f t="array" ref="Q6">SUM(AF6,AH6:AI6)/(INDEX('小红书-订单明细'!W:W,MATCH(R6&amp;AC6,'小红书-订单明细'!A:A&amp;'小红书-订单明细'!O:O,0))/(INDEX('小红书-订单明细'!T:T,MATCH(R6&amp;AC6,'小红书-订单明细'!A:A&amp;'小红书-订单明细'!O:O,0))))</f>
        <v>1</v>
      </c>
      <c r="R6" s="29" t="s">
        <v>71</v>
      </c>
      <c r="S6" s="30"/>
      <c r="T6" s="30" t="s">
        <v>95</v>
      </c>
      <c r="U6" s="30" t="s">
        <v>98</v>
      </c>
      <c r="V6" s="30" t="s">
        <v>1762</v>
      </c>
      <c r="W6" s="31" t="s">
        <v>1755</v>
      </c>
      <c r="X6" s="31" t="s">
        <v>1749</v>
      </c>
      <c r="Y6" s="30">
        <v>236.55</v>
      </c>
      <c r="Z6" s="31" t="s">
        <v>1763</v>
      </c>
      <c r="AA6" s="31" t="s">
        <v>1764</v>
      </c>
      <c r="AB6" s="30" t="s">
        <v>84</v>
      </c>
      <c r="AC6" s="29" t="s">
        <v>85</v>
      </c>
      <c r="AD6" s="32">
        <v>1</v>
      </c>
      <c r="AE6" s="30">
        <v>249</v>
      </c>
      <c r="AF6" s="36">
        <v>249</v>
      </c>
      <c r="AG6" s="30" t="s">
        <v>75</v>
      </c>
      <c r="AH6" s="30">
        <v>0</v>
      </c>
      <c r="AI6" s="33">
        <v>0</v>
      </c>
      <c r="AJ6" s="33">
        <v>0</v>
      </c>
      <c r="AK6" s="32">
        <v>0.05</v>
      </c>
      <c r="AL6" s="32">
        <v>0</v>
      </c>
      <c r="AM6" s="33">
        <v>-12.45</v>
      </c>
      <c r="AN6" s="33">
        <v>249</v>
      </c>
      <c r="AO6" s="32">
        <v>249</v>
      </c>
      <c r="AP6" s="32">
        <v>0</v>
      </c>
      <c r="AQ6" s="34" t="s">
        <v>101</v>
      </c>
      <c r="AR6" s="32">
        <v>0</v>
      </c>
      <c r="AS6" s="32">
        <v>0</v>
      </c>
      <c r="AT6" s="33">
        <v>0</v>
      </c>
      <c r="AU6" s="30" t="s">
        <v>75</v>
      </c>
      <c r="AV6" s="30" t="s">
        <v>75</v>
      </c>
      <c r="AW6" s="30"/>
      <c r="AX6" s="30"/>
      <c r="AY6" s="30"/>
      <c r="AZ6" s="33">
        <v>0</v>
      </c>
      <c r="BA6" s="32">
        <v>0</v>
      </c>
      <c r="BB6" s="32">
        <v>0</v>
      </c>
      <c r="BC6" s="32">
        <v>0</v>
      </c>
      <c r="BD6" s="32">
        <v>0</v>
      </c>
      <c r="BE6" s="35"/>
    </row>
    <row r="7" customHeight="1" spans="1:58">
      <c r="A7" s="25">
        <f t="shared" si="0"/>
        <v>2025</v>
      </c>
      <c r="B7" s="26">
        <f t="shared" si="1"/>
        <v>8</v>
      </c>
      <c r="C7" s="26" t="str">
        <f t="shared" si="2"/>
        <v>P770795098086034121</v>
      </c>
      <c r="D7" s="26">
        <f t="shared" si="3"/>
        <v>2</v>
      </c>
      <c r="E7" s="26">
        <f>COUNTIF($R$2:R7,R7)</f>
        <v>1</v>
      </c>
      <c r="F7" s="27" t="str" cm="1">
        <f t="array" ref="F7">INDEX('小红书-订单明细'!BQ:BQ,MATCH(R7&amp;AC7,'小红书-订单明细'!A:A&amp;'小红书-订单明细'!O:O,0))</f>
        <v>Z2363-黑色-L</v>
      </c>
      <c r="G7" s="27" t="str">
        <f t="shared" si="4"/>
        <v>Z2363</v>
      </c>
      <c r="H7" s="26" cm="1">
        <f t="array" ref="H7">IF(ABS(BG7)&gt;=1,SUM(AF7,AH7:AI7)/(INDEX('小红书-订单明细'!W:W,MATCH(R7&amp;AC7,'小红书-订单明细'!A:A&amp;'小红书-订单明细'!O:O,0))/(INDEX('小红书-订单明细'!T:T,MATCH(R7&amp;AC7,'小红书-订单明细'!A:A&amp;'小红书-订单明细'!O:O,0)))),IF(ABS(SUM(AF7,AH7:AI7)/(INDEX('小红书-订单明细'!W:W,MATCH(R7&amp;AC7,'小红书-订单明细'!A:A&amp;'小红书-订单明细'!O:O,0))/(INDEX('小红书-订单明细'!T:T,MATCH(R7&amp;AC7,'小红书-订单明细'!A:A&amp;'小红书-订单明细'!O:O,0)))))&gt;15%,ROUNDUP(SUM(AF7,AH7:AI7)/(INDEX('小红书-订单明细'!W:W,MATCH(R7&amp;AC7,'小红书-订单明细'!A:A&amp;'小红书-订单明细'!O:O,0))/(INDEX('小红书-订单明细'!T:T,MATCH(R7&amp;AC7,'小红书-订单明细'!A:A&amp;'小红书-订单明细'!O:O,0)))),0),ROUNDDOWN(SUM(AF7,AH7:AI7)/(INDEX('小红书-订单明细'!W:W,MATCH(R7&amp;AC7,'小红书-订单明细'!A:A&amp;'小红书-订单明细'!O:O,0))/(INDEX('小红书-订单明细'!T:T,MATCH(R7&amp;AC7,'小红书-订单明细'!A:A&amp;'小红书-订单明细'!O:O,0)))),0)))</f>
        <v>-1</v>
      </c>
      <c r="I7" s="26">
        <f t="shared" si="5"/>
        <v>-359</v>
      </c>
      <c r="J7" s="26">
        <f t="shared" si="6"/>
        <v>0</v>
      </c>
      <c r="K7" s="26">
        <f t="shared" si="7"/>
        <v>0</v>
      </c>
      <c r="L7" s="26">
        <f t="shared" si="8"/>
        <v>-17.95</v>
      </c>
      <c r="M7" s="26">
        <f t="shared" si="9"/>
        <v>-2.15</v>
      </c>
      <c r="N7" s="26"/>
      <c r="O7" s="28">
        <f t="shared" si="10"/>
        <v>-338.9</v>
      </c>
      <c r="Q7" s="1" cm="1">
        <f t="array" ref="Q7">SUM(AF7,AH7:AI7)/(INDEX('小红书-订单明细'!W:W,MATCH(R7&amp;AC7,'小红书-订单明细'!A:A&amp;'小红书-订单明细'!O:O,0))/(INDEX('小红书-订单明细'!T:T,MATCH(R7&amp;AC7,'小红书-订单明细'!A:A&amp;'小红书-订单明细'!O:O,0))))</f>
        <v>-1</v>
      </c>
      <c r="R7" s="29" t="s">
        <v>1018</v>
      </c>
      <c r="S7" s="30" t="s">
        <v>1765</v>
      </c>
      <c r="T7" s="30" t="s">
        <v>1029</v>
      </c>
      <c r="U7" s="30" t="s">
        <v>1766</v>
      </c>
      <c r="V7" s="30" t="s">
        <v>1767</v>
      </c>
      <c r="W7" s="31" t="s">
        <v>1748</v>
      </c>
      <c r="X7" s="31" t="s">
        <v>1749</v>
      </c>
      <c r="Y7" s="30">
        <v>-338.9</v>
      </c>
      <c r="Z7" s="31" t="s">
        <v>1768</v>
      </c>
      <c r="AA7" s="31" t="s">
        <v>1758</v>
      </c>
      <c r="AB7" s="30" t="s">
        <v>1023</v>
      </c>
      <c r="AC7" s="29" t="s">
        <v>1024</v>
      </c>
      <c r="AD7" s="32">
        <v>0</v>
      </c>
      <c r="AE7" s="30">
        <v>-359</v>
      </c>
      <c r="AF7" s="29">
        <v>-359</v>
      </c>
      <c r="AG7" s="30">
        <v>0</v>
      </c>
      <c r="AH7" s="30">
        <v>0</v>
      </c>
      <c r="AI7" s="33">
        <v>0</v>
      </c>
      <c r="AJ7" s="33">
        <v>0</v>
      </c>
      <c r="AK7" s="32">
        <v>0</v>
      </c>
      <c r="AL7" s="32">
        <v>0</v>
      </c>
      <c r="AM7" s="33">
        <v>17.95</v>
      </c>
      <c r="AN7" s="33">
        <v>0</v>
      </c>
      <c r="AO7" s="32">
        <v>0</v>
      </c>
      <c r="AP7" s="32">
        <v>0</v>
      </c>
      <c r="AQ7" s="34" t="s">
        <v>101</v>
      </c>
      <c r="AR7" s="32">
        <v>0</v>
      </c>
      <c r="AS7" s="32">
        <v>0</v>
      </c>
      <c r="AT7" s="33">
        <v>2.15</v>
      </c>
      <c r="AU7" s="30" t="s">
        <v>148</v>
      </c>
      <c r="AV7" s="31" t="s">
        <v>1752</v>
      </c>
      <c r="AW7" s="31" t="s">
        <v>1753</v>
      </c>
      <c r="AX7" s="30"/>
      <c r="AY7" s="30"/>
      <c r="AZ7" s="33">
        <v>0</v>
      </c>
      <c r="BA7" s="32">
        <v>0</v>
      </c>
      <c r="BB7" s="32">
        <v>0</v>
      </c>
      <c r="BC7" s="32">
        <v>0</v>
      </c>
      <c r="BD7" s="32">
        <v>0</v>
      </c>
      <c r="BE7" s="35"/>
    </row>
    <row r="8" customHeight="1" spans="1:58">
      <c r="A8" s="25">
        <f t="shared" si="0"/>
        <v>2025</v>
      </c>
      <c r="B8" s="26">
        <f t="shared" si="1"/>
        <v>8</v>
      </c>
      <c r="C8" s="26" t="str">
        <f t="shared" si="2"/>
        <v>P770984511919250241</v>
      </c>
      <c r="D8" s="26">
        <f t="shared" si="3"/>
        <v>2</v>
      </c>
      <c r="E8" s="26">
        <f>COUNTIF($R$2:R8,R8)</f>
        <v>1</v>
      </c>
      <c r="F8" s="27" t="str" cm="1">
        <f t="array" ref="F8">INDEX('小红书-订单明细'!BQ:BQ,MATCH(R8&amp;AC8,'小红书-订单明细'!A:A&amp;'小红书-订单明细'!O:O,0))</f>
        <v>Z2218-黑色-L</v>
      </c>
      <c r="G8" s="27" t="str">
        <f t="shared" si="4"/>
        <v>Z2218</v>
      </c>
      <c r="H8" s="26" cm="1">
        <f t="array" ref="H8">IF(ABS(BG8)&gt;=1,SUM(AF8,AH8:AI8)/(INDEX('小红书-订单明细'!W:W,MATCH(R8&amp;AC8,'小红书-订单明细'!A:A&amp;'小红书-订单明细'!O:O,0))/(INDEX('小红书-订单明细'!T:T,MATCH(R8&amp;AC8,'小红书-订单明细'!A:A&amp;'小红书-订单明细'!O:O,0)))),IF(ABS(SUM(AF8,AH8:AI8)/(INDEX('小红书-订单明细'!W:W,MATCH(R8&amp;AC8,'小红书-订单明细'!A:A&amp;'小红书-订单明细'!O:O,0))/(INDEX('小红书-订单明细'!T:T,MATCH(R8&amp;AC8,'小红书-订单明细'!A:A&amp;'小红书-订单明细'!O:O,0)))))&gt;15%,ROUNDUP(SUM(AF8,AH8:AI8)/(INDEX('小红书-订单明细'!W:W,MATCH(R8&amp;AC8,'小红书-订单明细'!A:A&amp;'小红书-订单明细'!O:O,0))/(INDEX('小红书-订单明细'!T:T,MATCH(R8&amp;AC8,'小红书-订单明细'!A:A&amp;'小红书-订单明细'!O:O,0)))),0),ROUNDDOWN(SUM(AF8,AH8:AI8)/(INDEX('小红书-订单明细'!W:W,MATCH(R8&amp;AC8,'小红书-订单明细'!A:A&amp;'小红书-订单明细'!O:O,0))/(INDEX('小红书-订单明细'!T:T,MATCH(R8&amp;AC8,'小红书-订单明细'!A:A&amp;'小红书-订单明细'!O:O,0)))),0)))</f>
        <v>-1</v>
      </c>
      <c r="I8" s="26">
        <f t="shared" si="5"/>
        <v>-229</v>
      </c>
      <c r="J8" s="26">
        <f t="shared" si="6"/>
        <v>0</v>
      </c>
      <c r="K8" s="26">
        <f t="shared" si="7"/>
        <v>0</v>
      </c>
      <c r="L8" s="26">
        <f t="shared" si="8"/>
        <v>-11.45</v>
      </c>
      <c r="M8" s="26">
        <f t="shared" si="9"/>
        <v>-1.37</v>
      </c>
      <c r="N8" s="26"/>
      <c r="O8" s="28">
        <f t="shared" si="10"/>
        <v>-216.18</v>
      </c>
      <c r="Q8" s="1" cm="1">
        <f t="array" ref="Q8">SUM(AF8,AH8:AI8)/(INDEX('小红书-订单明细'!W:W,MATCH(R8&amp;AC8,'小红书-订单明细'!A:A&amp;'小红书-订单明细'!O:O,0))/(INDEX('小红书-订单明细'!T:T,MATCH(R8&amp;AC8,'小红书-订单明细'!A:A&amp;'小红书-订单明细'!O:O,0))))</f>
        <v>-1</v>
      </c>
      <c r="R8" s="29" t="s">
        <v>272</v>
      </c>
      <c r="S8" s="30" t="s">
        <v>1769</v>
      </c>
      <c r="T8" s="30" t="s">
        <v>1770</v>
      </c>
      <c r="U8" s="30" t="s">
        <v>1771</v>
      </c>
      <c r="V8" s="30" t="s">
        <v>1767</v>
      </c>
      <c r="W8" s="31" t="s">
        <v>1748</v>
      </c>
      <c r="X8" s="31" t="s">
        <v>1749</v>
      </c>
      <c r="Y8" s="30">
        <v>-216.18</v>
      </c>
      <c r="Z8" s="31" t="s">
        <v>1772</v>
      </c>
      <c r="AA8" s="31" t="s">
        <v>1773</v>
      </c>
      <c r="AB8" s="30" t="s">
        <v>281</v>
      </c>
      <c r="AC8" s="29" t="s">
        <v>282</v>
      </c>
      <c r="AD8" s="32">
        <v>0</v>
      </c>
      <c r="AE8" s="30">
        <v>-229</v>
      </c>
      <c r="AF8" s="29">
        <v>-229</v>
      </c>
      <c r="AG8" s="30">
        <v>0</v>
      </c>
      <c r="AH8" s="30">
        <v>0</v>
      </c>
      <c r="AI8" s="33">
        <v>0</v>
      </c>
      <c r="AJ8" s="33">
        <v>0</v>
      </c>
      <c r="AK8" s="32">
        <v>0</v>
      </c>
      <c r="AL8" s="32">
        <v>0</v>
      </c>
      <c r="AM8" s="33">
        <v>11.45</v>
      </c>
      <c r="AN8" s="33">
        <v>0</v>
      </c>
      <c r="AO8" s="32">
        <v>0</v>
      </c>
      <c r="AP8" s="32">
        <v>0</v>
      </c>
      <c r="AQ8" s="34" t="s">
        <v>101</v>
      </c>
      <c r="AR8" s="32">
        <v>0</v>
      </c>
      <c r="AS8" s="32">
        <v>0</v>
      </c>
      <c r="AT8" s="33">
        <v>1.37</v>
      </c>
      <c r="AU8" s="30" t="s">
        <v>148</v>
      </c>
      <c r="AV8" s="31" t="s">
        <v>1752</v>
      </c>
      <c r="AW8" s="31" t="s">
        <v>1753</v>
      </c>
      <c r="AX8" s="30"/>
      <c r="AY8" s="30"/>
      <c r="AZ8" s="33">
        <v>0</v>
      </c>
      <c r="BA8" s="32">
        <v>0</v>
      </c>
      <c r="BB8" s="32">
        <v>0</v>
      </c>
      <c r="BC8" s="32">
        <v>0</v>
      </c>
      <c r="BD8" s="32">
        <v>0</v>
      </c>
      <c r="BE8" s="35"/>
    </row>
    <row r="9" customHeight="1" spans="1:58">
      <c r="A9" s="25">
        <f t="shared" si="0"/>
        <v>2025</v>
      </c>
      <c r="B9" s="26">
        <f t="shared" si="1"/>
        <v>8</v>
      </c>
      <c r="C9" s="26" t="str">
        <f t="shared" si="2"/>
        <v>P770984511919250241</v>
      </c>
      <c r="D9" s="26">
        <f t="shared" si="3"/>
        <v>2</v>
      </c>
      <c r="E9" s="26">
        <f>COUNTIF($R$2:R9,R9)</f>
        <v>2</v>
      </c>
      <c r="F9" s="27" t="str" cm="1">
        <f t="array" ref="F9">INDEX('小红书-订单明细'!BQ:BQ,MATCH(R9&amp;AC9,'小红书-订单明细'!A:A&amp;'小红书-订单明细'!O:O,0))</f>
        <v>Z2218-黑色-L</v>
      </c>
      <c r="G9" s="27" t="str">
        <f t="shared" si="4"/>
        <v>Z2218</v>
      </c>
      <c r="H9" s="26" cm="1">
        <f t="array" ref="H9">IF(ABS(BG9)&gt;=1,SUM(AF9,AH9:AI9)/(INDEX('小红书-订单明细'!W:W,MATCH(R9&amp;AC9,'小红书-订单明细'!A:A&amp;'小红书-订单明细'!O:O,0))/(INDEX('小红书-订单明细'!T:T,MATCH(R9&amp;AC9,'小红书-订单明细'!A:A&amp;'小红书-订单明细'!O:O,0)))),IF(ABS(SUM(AF9,AH9:AI9)/(INDEX('小红书-订单明细'!W:W,MATCH(R9&amp;AC9,'小红书-订单明细'!A:A&amp;'小红书-订单明细'!O:O,0))/(INDEX('小红书-订单明细'!T:T,MATCH(R9&amp;AC9,'小红书-订单明细'!A:A&amp;'小红书-订单明细'!O:O,0)))))&gt;15%,ROUNDUP(SUM(AF9,AH9:AI9)/(INDEX('小红书-订单明细'!W:W,MATCH(R9&amp;AC9,'小红书-订单明细'!A:A&amp;'小红书-订单明细'!O:O,0))/(INDEX('小红书-订单明细'!T:T,MATCH(R9&amp;AC9,'小红书-订单明细'!A:A&amp;'小红书-订单明细'!O:O,0)))),0),ROUNDDOWN(SUM(AF9,AH9:AI9)/(INDEX('小红书-订单明细'!W:W,MATCH(R9&amp;AC9,'小红书-订单明细'!A:A&amp;'小红书-订单明细'!O:O,0))/(INDEX('小红书-订单明细'!T:T,MATCH(R9&amp;AC9,'小红书-订单明细'!A:A&amp;'小红书-订单明细'!O:O,0)))),0)))</f>
        <v>1</v>
      </c>
      <c r="I9" s="26">
        <f t="shared" si="5"/>
        <v>229</v>
      </c>
      <c r="J9" s="26">
        <f t="shared" si="6"/>
        <v>0</v>
      </c>
      <c r="K9" s="26">
        <f t="shared" si="7"/>
        <v>0</v>
      </c>
      <c r="L9" s="26">
        <f t="shared" si="8"/>
        <v>11.45</v>
      </c>
      <c r="M9" s="26">
        <f t="shared" si="9"/>
        <v>1.37</v>
      </c>
      <c r="N9" s="26"/>
      <c r="O9" s="28">
        <f t="shared" si="10"/>
        <v>216.18</v>
      </c>
      <c r="Q9" s="1" cm="1">
        <f t="array" ref="Q9">SUM(AF9,AH9:AI9)/(INDEX('小红书-订单明细'!W:W,MATCH(R9&amp;AC9,'小红书-订单明细'!A:A&amp;'小红书-订单明细'!O:O,0))/(INDEX('小红书-订单明细'!T:T,MATCH(R9&amp;AC9,'小红书-订单明细'!A:A&amp;'小红书-订单明细'!O:O,0))))</f>
        <v>1</v>
      </c>
      <c r="R9" s="29" t="s">
        <v>272</v>
      </c>
      <c r="S9" s="30"/>
      <c r="T9" s="30" t="s">
        <v>1770</v>
      </c>
      <c r="U9" s="30" t="s">
        <v>1771</v>
      </c>
      <c r="V9" s="30" t="s">
        <v>1767</v>
      </c>
      <c r="W9" s="31" t="s">
        <v>1755</v>
      </c>
      <c r="X9" s="31" t="s">
        <v>1749</v>
      </c>
      <c r="Y9" s="30">
        <v>216.18</v>
      </c>
      <c r="Z9" s="31" t="s">
        <v>1772</v>
      </c>
      <c r="AA9" s="31" t="s">
        <v>1773</v>
      </c>
      <c r="AB9" s="30" t="s">
        <v>281</v>
      </c>
      <c r="AC9" s="29" t="s">
        <v>282</v>
      </c>
      <c r="AD9" s="32">
        <v>1</v>
      </c>
      <c r="AE9" s="30">
        <v>229</v>
      </c>
      <c r="AF9" s="36">
        <v>229</v>
      </c>
      <c r="AG9" s="30" t="s">
        <v>75</v>
      </c>
      <c r="AH9" s="30">
        <v>0</v>
      </c>
      <c r="AI9" s="33">
        <v>0</v>
      </c>
      <c r="AJ9" s="33">
        <v>0</v>
      </c>
      <c r="AK9" s="32">
        <v>0.05</v>
      </c>
      <c r="AL9" s="32">
        <v>0</v>
      </c>
      <c r="AM9" s="33">
        <v>-11.45</v>
      </c>
      <c r="AN9" s="33">
        <v>229</v>
      </c>
      <c r="AO9" s="32">
        <v>229</v>
      </c>
      <c r="AP9" s="32">
        <v>0</v>
      </c>
      <c r="AQ9" s="34" t="s">
        <v>101</v>
      </c>
      <c r="AR9" s="32">
        <v>0</v>
      </c>
      <c r="AS9" s="32">
        <v>0.006</v>
      </c>
      <c r="AT9" s="33">
        <v>-1.37</v>
      </c>
      <c r="AU9" s="30" t="s">
        <v>148</v>
      </c>
      <c r="AV9" s="31" t="s">
        <v>1752</v>
      </c>
      <c r="AW9" s="31" t="s">
        <v>1753</v>
      </c>
      <c r="AX9" s="30"/>
      <c r="AY9" s="30"/>
      <c r="AZ9" s="33">
        <v>0</v>
      </c>
      <c r="BA9" s="32">
        <v>0</v>
      </c>
      <c r="BB9" s="32">
        <v>0</v>
      </c>
      <c r="BC9" s="32">
        <v>0</v>
      </c>
      <c r="BD9" s="32">
        <v>0</v>
      </c>
      <c r="BE9" s="35"/>
    </row>
    <row r="10" customHeight="1" spans="1:58">
      <c r="A10" s="25">
        <f t="shared" si="0"/>
        <v>2025</v>
      </c>
      <c r="B10" s="26">
        <f t="shared" si="1"/>
        <v>8</v>
      </c>
      <c r="C10" s="26" t="str">
        <f t="shared" si="2"/>
        <v>P770795098086034121</v>
      </c>
      <c r="D10" s="26">
        <f t="shared" si="3"/>
        <v>2</v>
      </c>
      <c r="E10" s="26">
        <f>COUNTIF($R$2:R10,R10)</f>
        <v>2</v>
      </c>
      <c r="F10" s="27" t="str" cm="1">
        <f t="array" ref="F10">INDEX('小红书-订单明细'!BQ:BQ,MATCH(R10&amp;AC10,'小红书-订单明细'!A:A&amp;'小红书-订单明细'!O:O,0))</f>
        <v>Z2363-黑色-L</v>
      </c>
      <c r="G10" s="27" t="str">
        <f t="shared" si="4"/>
        <v>Z2363</v>
      </c>
      <c r="H10" s="26" cm="1">
        <f t="array" ref="H10">IF(ABS(BG10)&gt;=1,SUM(AF10,AH10:AI10)/(INDEX('小红书-订单明细'!W:W,MATCH(R10&amp;AC10,'小红书-订单明细'!A:A&amp;'小红书-订单明细'!O:O,0))/(INDEX('小红书-订单明细'!T:T,MATCH(R10&amp;AC10,'小红书-订单明细'!A:A&amp;'小红书-订单明细'!O:O,0)))),IF(ABS(SUM(AF10,AH10:AI10)/(INDEX('小红书-订单明细'!W:W,MATCH(R10&amp;AC10,'小红书-订单明细'!A:A&amp;'小红书-订单明细'!O:O,0))/(INDEX('小红书-订单明细'!T:T,MATCH(R10&amp;AC10,'小红书-订单明细'!A:A&amp;'小红书-订单明细'!O:O,0)))))&gt;15%,ROUNDUP(SUM(AF10,AH10:AI10)/(INDEX('小红书-订单明细'!W:W,MATCH(R10&amp;AC10,'小红书-订单明细'!A:A&amp;'小红书-订单明细'!O:O,0))/(INDEX('小红书-订单明细'!T:T,MATCH(R10&amp;AC10,'小红书-订单明细'!A:A&amp;'小红书-订单明细'!O:O,0)))),0),ROUNDDOWN(SUM(AF10,AH10:AI10)/(INDEX('小红书-订单明细'!W:W,MATCH(R10&amp;AC10,'小红书-订单明细'!A:A&amp;'小红书-订单明细'!O:O,0))/(INDEX('小红书-订单明细'!T:T,MATCH(R10&amp;AC10,'小红书-订单明细'!A:A&amp;'小红书-订单明细'!O:O,0)))),0)))</f>
        <v>1</v>
      </c>
      <c r="I10" s="26">
        <f t="shared" si="5"/>
        <v>359</v>
      </c>
      <c r="J10" s="26">
        <f t="shared" si="6"/>
        <v>0</v>
      </c>
      <c r="K10" s="26">
        <f t="shared" si="7"/>
        <v>0</v>
      </c>
      <c r="L10" s="26">
        <f t="shared" si="8"/>
        <v>17.95</v>
      </c>
      <c r="M10" s="26">
        <f t="shared" si="9"/>
        <v>2.15</v>
      </c>
      <c r="N10" s="26"/>
      <c r="O10" s="28">
        <f t="shared" si="10"/>
        <v>338.9</v>
      </c>
      <c r="Q10" s="1" cm="1">
        <f t="array" ref="Q10">SUM(AF10,AH10:AI10)/(INDEX('小红书-订单明细'!W:W,MATCH(R10&amp;AC10,'小红书-订单明细'!A:A&amp;'小红书-订单明细'!O:O,0))/(INDEX('小红书-订单明细'!T:T,MATCH(R10&amp;AC10,'小红书-订单明细'!A:A&amp;'小红书-订单明细'!O:O,0))))</f>
        <v>1</v>
      </c>
      <c r="R10" s="29" t="s">
        <v>1018</v>
      </c>
      <c r="S10" s="30"/>
      <c r="T10" s="30" t="s">
        <v>1029</v>
      </c>
      <c r="U10" s="30" t="s">
        <v>1032</v>
      </c>
      <c r="V10" s="30" t="s">
        <v>1767</v>
      </c>
      <c r="W10" s="31" t="s">
        <v>1755</v>
      </c>
      <c r="X10" s="31" t="s">
        <v>1749</v>
      </c>
      <c r="Y10" s="30">
        <v>338.9</v>
      </c>
      <c r="Z10" s="31" t="s">
        <v>1768</v>
      </c>
      <c r="AA10" s="31" t="s">
        <v>1758</v>
      </c>
      <c r="AB10" s="30" t="s">
        <v>1023</v>
      </c>
      <c r="AC10" s="29" t="s">
        <v>1024</v>
      </c>
      <c r="AD10" s="32">
        <v>1</v>
      </c>
      <c r="AE10" s="30">
        <v>359</v>
      </c>
      <c r="AF10" s="36">
        <v>359</v>
      </c>
      <c r="AG10" s="30" t="s">
        <v>75</v>
      </c>
      <c r="AH10" s="30">
        <v>0</v>
      </c>
      <c r="AI10" s="33">
        <v>0</v>
      </c>
      <c r="AJ10" s="33">
        <v>0</v>
      </c>
      <c r="AK10" s="32">
        <v>0.05</v>
      </c>
      <c r="AL10" s="32">
        <v>0</v>
      </c>
      <c r="AM10" s="33">
        <v>-17.95</v>
      </c>
      <c r="AN10" s="33">
        <v>359</v>
      </c>
      <c r="AO10" s="32">
        <v>359</v>
      </c>
      <c r="AP10" s="32">
        <v>0</v>
      </c>
      <c r="AQ10" s="34" t="s">
        <v>101</v>
      </c>
      <c r="AR10" s="32">
        <v>0</v>
      </c>
      <c r="AS10" s="32">
        <v>0.006</v>
      </c>
      <c r="AT10" s="33">
        <v>-2.15</v>
      </c>
      <c r="AU10" s="30" t="s">
        <v>148</v>
      </c>
      <c r="AV10" s="31" t="s">
        <v>1752</v>
      </c>
      <c r="AW10" s="31" t="s">
        <v>1753</v>
      </c>
      <c r="AX10" s="30"/>
      <c r="AY10" s="30"/>
      <c r="AZ10" s="33">
        <v>0</v>
      </c>
      <c r="BA10" s="32">
        <v>0</v>
      </c>
      <c r="BB10" s="32">
        <v>0</v>
      </c>
      <c r="BC10" s="32">
        <v>0</v>
      </c>
      <c r="BD10" s="32">
        <v>0</v>
      </c>
      <c r="BE10" s="35"/>
    </row>
    <row r="11" customHeight="1" spans="1:58">
      <c r="A11" s="25">
        <f t="shared" si="0"/>
        <v>2025</v>
      </c>
      <c r="B11" s="26">
        <f t="shared" si="1"/>
        <v>8</v>
      </c>
      <c r="C11" s="26" t="str">
        <f t="shared" si="2"/>
        <v>P770381824712038751</v>
      </c>
      <c r="D11" s="26">
        <f t="shared" si="3"/>
        <v>2</v>
      </c>
      <c r="E11" s="26">
        <f>COUNTIF($R$2:R11,R11)</f>
        <v>1</v>
      </c>
      <c r="F11" s="27" t="str" cm="1">
        <f t="array" ref="F11">INDEX('小红书-订单明细'!BQ:BQ,MATCH(R11&amp;AC11,'小红书-订单明细'!A:A&amp;'小红书-订单明细'!O:O,0))</f>
        <v>Z1688-黑色-L</v>
      </c>
      <c r="G11" s="27" t="str">
        <f t="shared" si="4"/>
        <v>Z1688</v>
      </c>
      <c r="H11" s="26" cm="1">
        <f t="array" ref="H11">IF(ABS(BG11)&gt;=1,SUM(AF11,AH11:AI11)/(INDEX('小红书-订单明细'!W:W,MATCH(R11&amp;AC11,'小红书-订单明细'!A:A&amp;'小红书-订单明细'!O:O,0))/(INDEX('小红书-订单明细'!T:T,MATCH(R11&amp;AC11,'小红书-订单明细'!A:A&amp;'小红书-订单明细'!O:O,0)))),IF(ABS(SUM(AF11,AH11:AI11)/(INDEX('小红书-订单明细'!W:W,MATCH(R11&amp;AC11,'小红书-订单明细'!A:A&amp;'小红书-订单明细'!O:O,0))/(INDEX('小红书-订单明细'!T:T,MATCH(R11&amp;AC11,'小红书-订单明细'!A:A&amp;'小红书-订单明细'!O:O,0)))))&gt;15%,ROUNDUP(SUM(AF11,AH11:AI11)/(INDEX('小红书-订单明细'!W:W,MATCH(R11&amp;AC11,'小红书-订单明细'!A:A&amp;'小红书-订单明细'!O:O,0))/(INDEX('小红书-订单明细'!T:T,MATCH(R11&amp;AC11,'小红书-订单明细'!A:A&amp;'小红书-订单明细'!O:O,0)))),0),ROUNDDOWN(SUM(AF11,AH11:AI11)/(INDEX('小红书-订单明细'!W:W,MATCH(R11&amp;AC11,'小红书-订单明细'!A:A&amp;'小红书-订单明细'!O:O,0))/(INDEX('小红书-订单明细'!T:T,MATCH(R11&amp;AC11,'小红书-订单明细'!A:A&amp;'小红书-订单明细'!O:O,0)))),0)))</f>
        <v>-1</v>
      </c>
      <c r="I11" s="26">
        <f t="shared" si="5"/>
        <v>-499</v>
      </c>
      <c r="J11" s="26">
        <f t="shared" si="6"/>
        <v>0</v>
      </c>
      <c r="K11" s="26">
        <f t="shared" si="7"/>
        <v>0</v>
      </c>
      <c r="L11" s="26">
        <f t="shared" si="8"/>
        <v>-24.95</v>
      </c>
      <c r="M11" s="26">
        <f t="shared" si="9"/>
        <v>-2.99</v>
      </c>
      <c r="N11" s="26"/>
      <c r="O11" s="28">
        <f t="shared" si="10"/>
        <v>-471.06</v>
      </c>
      <c r="Q11" s="1" cm="1">
        <f t="array" ref="Q11">SUM(AF11,AH11:AI11)/(INDEX('小红书-订单明细'!W:W,MATCH(R11&amp;AC11,'小红书-订单明细'!A:A&amp;'小红书-订单明细'!O:O,0))/(INDEX('小红书-订单明细'!T:T,MATCH(R11&amp;AC11,'小红书-订单明细'!A:A&amp;'小红书-订单明细'!O:O,0))))</f>
        <v>-1</v>
      </c>
      <c r="R11" s="29" t="s">
        <v>1601</v>
      </c>
      <c r="S11" s="30" t="s">
        <v>1774</v>
      </c>
      <c r="T11" s="30" t="s">
        <v>1616</v>
      </c>
      <c r="U11" s="30" t="s">
        <v>1775</v>
      </c>
      <c r="V11" s="30" t="s">
        <v>1776</v>
      </c>
      <c r="W11" s="31" t="s">
        <v>1748</v>
      </c>
      <c r="X11" s="31" t="s">
        <v>1749</v>
      </c>
      <c r="Y11" s="30">
        <v>-471.06</v>
      </c>
      <c r="Z11" s="31" t="s">
        <v>1777</v>
      </c>
      <c r="AA11" s="31" t="s">
        <v>1778</v>
      </c>
      <c r="AB11" s="30" t="s">
        <v>1610</v>
      </c>
      <c r="AC11" s="29" t="s">
        <v>1611</v>
      </c>
      <c r="AD11" s="32">
        <v>0</v>
      </c>
      <c r="AE11" s="30">
        <v>-499</v>
      </c>
      <c r="AF11" s="29">
        <v>-499</v>
      </c>
      <c r="AG11" s="30">
        <v>0</v>
      </c>
      <c r="AH11" s="30">
        <v>0</v>
      </c>
      <c r="AI11" s="33">
        <v>0</v>
      </c>
      <c r="AJ11" s="33">
        <v>0</v>
      </c>
      <c r="AK11" s="32">
        <v>0</v>
      </c>
      <c r="AL11" s="32">
        <v>0</v>
      </c>
      <c r="AM11" s="33">
        <v>24.95</v>
      </c>
      <c r="AN11" s="33">
        <v>0</v>
      </c>
      <c r="AO11" s="32">
        <v>0</v>
      </c>
      <c r="AP11" s="32">
        <v>0</v>
      </c>
      <c r="AQ11" s="34" t="s">
        <v>101</v>
      </c>
      <c r="AR11" s="32">
        <v>0</v>
      </c>
      <c r="AS11" s="32">
        <v>0</v>
      </c>
      <c r="AT11" s="33">
        <v>2.99</v>
      </c>
      <c r="AU11" s="30" t="s">
        <v>148</v>
      </c>
      <c r="AV11" s="31" t="s">
        <v>1752</v>
      </c>
      <c r="AW11" s="31" t="s">
        <v>1753</v>
      </c>
      <c r="AX11" s="30"/>
      <c r="AY11" s="30"/>
      <c r="AZ11" s="33">
        <v>0</v>
      </c>
      <c r="BA11" s="32">
        <v>0</v>
      </c>
      <c r="BB11" s="32">
        <v>0</v>
      </c>
      <c r="BC11" s="32">
        <v>0</v>
      </c>
      <c r="BD11" s="32">
        <v>0</v>
      </c>
      <c r="BE11" s="35"/>
    </row>
    <row r="12" customHeight="1" spans="1:58">
      <c r="A12" s="25">
        <f t="shared" si="0"/>
        <v>2025</v>
      </c>
      <c r="B12" s="26">
        <f t="shared" si="1"/>
        <v>8</v>
      </c>
      <c r="C12" s="26" t="str">
        <f t="shared" si="2"/>
        <v>P770381824712038751</v>
      </c>
      <c r="D12" s="26">
        <f t="shared" si="3"/>
        <v>2</v>
      </c>
      <c r="E12" s="26">
        <f>COUNTIF($R$2:R12,R12)</f>
        <v>2</v>
      </c>
      <c r="F12" s="27" t="str" cm="1">
        <f t="array" ref="F12">INDEX('小红书-订单明细'!BQ:BQ,MATCH(R12&amp;AC12,'小红书-订单明细'!A:A&amp;'小红书-订单明细'!O:O,0))</f>
        <v>Z1688-黑色-L</v>
      </c>
      <c r="G12" s="27" t="str">
        <f t="shared" si="4"/>
        <v>Z1688</v>
      </c>
      <c r="H12" s="26" cm="1">
        <f t="array" ref="H12">IF(ABS(BG12)&gt;=1,SUM(AF12,AH12:AI12)/(INDEX('小红书-订单明细'!W:W,MATCH(R12&amp;AC12,'小红书-订单明细'!A:A&amp;'小红书-订单明细'!O:O,0))/(INDEX('小红书-订单明细'!T:T,MATCH(R12&amp;AC12,'小红书-订单明细'!A:A&amp;'小红书-订单明细'!O:O,0)))),IF(ABS(SUM(AF12,AH12:AI12)/(INDEX('小红书-订单明细'!W:W,MATCH(R12&amp;AC12,'小红书-订单明细'!A:A&amp;'小红书-订单明细'!O:O,0))/(INDEX('小红书-订单明细'!T:T,MATCH(R12&amp;AC12,'小红书-订单明细'!A:A&amp;'小红书-订单明细'!O:O,0)))))&gt;15%,ROUNDUP(SUM(AF12,AH12:AI12)/(INDEX('小红书-订单明细'!W:W,MATCH(R12&amp;AC12,'小红书-订单明细'!A:A&amp;'小红书-订单明细'!O:O,0))/(INDEX('小红书-订单明细'!T:T,MATCH(R12&amp;AC12,'小红书-订单明细'!A:A&amp;'小红书-订单明细'!O:O,0)))),0),ROUNDDOWN(SUM(AF12,AH12:AI12)/(INDEX('小红书-订单明细'!W:W,MATCH(R12&amp;AC12,'小红书-订单明细'!A:A&amp;'小红书-订单明细'!O:O,0))/(INDEX('小红书-订单明细'!T:T,MATCH(R12&amp;AC12,'小红书-订单明细'!A:A&amp;'小红书-订单明细'!O:O,0)))),0)))</f>
        <v>1</v>
      </c>
      <c r="I12" s="26">
        <f t="shared" si="5"/>
        <v>499</v>
      </c>
      <c r="J12" s="26">
        <f t="shared" si="6"/>
        <v>0</v>
      </c>
      <c r="K12" s="26">
        <f t="shared" si="7"/>
        <v>0</v>
      </c>
      <c r="L12" s="26">
        <f t="shared" si="8"/>
        <v>24.95</v>
      </c>
      <c r="M12" s="26">
        <f t="shared" si="9"/>
        <v>2.99</v>
      </c>
      <c r="N12" s="26"/>
      <c r="O12" s="28">
        <f t="shared" si="10"/>
        <v>471.06</v>
      </c>
      <c r="Q12" s="1" cm="1">
        <f t="array" ref="Q12">SUM(AF12,AH12:AI12)/(INDEX('小红书-订单明细'!W:W,MATCH(R12&amp;AC12,'小红书-订单明细'!A:A&amp;'小红书-订单明细'!O:O,0))/(INDEX('小红书-订单明细'!T:T,MATCH(R12&amp;AC12,'小红书-订单明细'!A:A&amp;'小红书-订单明细'!O:O,0))))</f>
        <v>1</v>
      </c>
      <c r="R12" s="29" t="s">
        <v>1601</v>
      </c>
      <c r="S12" s="30"/>
      <c r="T12" s="30" t="s">
        <v>1616</v>
      </c>
      <c r="U12" s="30" t="s">
        <v>1779</v>
      </c>
      <c r="V12" s="30" t="s">
        <v>1776</v>
      </c>
      <c r="W12" s="31" t="s">
        <v>1755</v>
      </c>
      <c r="X12" s="31" t="s">
        <v>1749</v>
      </c>
      <c r="Y12" s="30">
        <v>471.06</v>
      </c>
      <c r="Z12" s="31" t="s">
        <v>1777</v>
      </c>
      <c r="AA12" s="31" t="s">
        <v>1778</v>
      </c>
      <c r="AB12" s="30" t="s">
        <v>1610</v>
      </c>
      <c r="AC12" s="29" t="s">
        <v>1611</v>
      </c>
      <c r="AD12" s="32">
        <v>1</v>
      </c>
      <c r="AE12" s="30">
        <v>499</v>
      </c>
      <c r="AF12" s="36">
        <v>499</v>
      </c>
      <c r="AG12" s="30" t="s">
        <v>75</v>
      </c>
      <c r="AH12" s="30">
        <v>0</v>
      </c>
      <c r="AI12" s="33">
        <v>0</v>
      </c>
      <c r="AJ12" s="33">
        <v>0</v>
      </c>
      <c r="AK12" s="32">
        <v>0.05</v>
      </c>
      <c r="AL12" s="32">
        <v>0</v>
      </c>
      <c r="AM12" s="33">
        <v>-24.95</v>
      </c>
      <c r="AN12" s="33">
        <v>499</v>
      </c>
      <c r="AO12" s="32">
        <v>499</v>
      </c>
      <c r="AP12" s="32">
        <v>0</v>
      </c>
      <c r="AQ12" s="34" t="s">
        <v>101</v>
      </c>
      <c r="AR12" s="32">
        <v>0</v>
      </c>
      <c r="AS12" s="32">
        <v>0.006</v>
      </c>
      <c r="AT12" s="33">
        <v>-2.99</v>
      </c>
      <c r="AU12" s="30" t="s">
        <v>148</v>
      </c>
      <c r="AV12" s="31" t="s">
        <v>1752</v>
      </c>
      <c r="AW12" s="31" t="s">
        <v>1753</v>
      </c>
      <c r="AX12" s="30"/>
      <c r="AY12" s="30"/>
      <c r="AZ12" s="33">
        <v>0</v>
      </c>
      <c r="BA12" s="32">
        <v>0</v>
      </c>
      <c r="BB12" s="32">
        <v>0</v>
      </c>
      <c r="BC12" s="32">
        <v>0</v>
      </c>
      <c r="BD12" s="32">
        <v>0</v>
      </c>
      <c r="BE12" s="35"/>
    </row>
    <row r="13" customHeight="1" spans="1:58">
      <c r="A13" s="25">
        <f t="shared" si="0"/>
        <v>2025</v>
      </c>
      <c r="B13" s="26">
        <f t="shared" si="1"/>
        <v>8</v>
      </c>
      <c r="C13" s="26" t="str">
        <f t="shared" si="2"/>
        <v>P770818846205191671</v>
      </c>
      <c r="D13" s="26">
        <f t="shared" si="3"/>
        <v>1</v>
      </c>
      <c r="E13" s="26">
        <f>COUNTIF($R$2:R13,R13)</f>
        <v>1</v>
      </c>
      <c r="F13" s="27" t="str" cm="1">
        <f t="array" ref="F13">INDEX('小红书-订单明细'!BQ:BQ,MATCH(R13&amp;AC13,'小红书-订单明细'!A:A&amp;'小红书-订单明细'!O:O,0))</f>
        <v>Z1576-黑色-M</v>
      </c>
      <c r="G13" s="27" t="str">
        <f t="shared" si="4"/>
        <v>Z1576</v>
      </c>
      <c r="H13" s="26" cm="1">
        <f t="array" ref="H13">IF(ABS(BG13)&gt;=1,SUM(AF13,AH13:AI13)/(INDEX('小红书-订单明细'!W:W,MATCH(R13&amp;AC13,'小红书-订单明细'!A:A&amp;'小红书-订单明细'!O:O,0))/(INDEX('小红书-订单明细'!T:T,MATCH(R13&amp;AC13,'小红书-订单明细'!A:A&amp;'小红书-订单明细'!O:O,0)))),IF(ABS(SUM(AF13,AH13:AI13)/(INDEX('小红书-订单明细'!W:W,MATCH(R13&amp;AC13,'小红书-订单明细'!A:A&amp;'小红书-订单明细'!O:O,0))/(INDEX('小红书-订单明细'!T:T,MATCH(R13&amp;AC13,'小红书-订单明细'!A:A&amp;'小红书-订单明细'!O:O,0)))))&gt;15%,ROUNDUP(SUM(AF13,AH13:AI13)/(INDEX('小红书-订单明细'!W:W,MATCH(R13&amp;AC13,'小红书-订单明细'!A:A&amp;'小红书-订单明细'!O:O,0))/(INDEX('小红书-订单明细'!T:T,MATCH(R13&amp;AC13,'小红书-订单明细'!A:A&amp;'小红书-订单明细'!O:O,0)))),0),ROUNDDOWN(SUM(AF13,AH13:AI13)/(INDEX('小红书-订单明细'!W:W,MATCH(R13&amp;AC13,'小红书-订单明细'!A:A&amp;'小红书-订单明细'!O:O,0))/(INDEX('小红书-订单明细'!T:T,MATCH(R13&amp;AC13,'小红书-订单明细'!A:A&amp;'小红书-订单明细'!O:O,0)))),0)))</f>
        <v>1</v>
      </c>
      <c r="I13" s="26">
        <f t="shared" si="5"/>
        <v>199</v>
      </c>
      <c r="J13" s="26">
        <f t="shared" si="6"/>
        <v>0</v>
      </c>
      <c r="K13" s="26">
        <f t="shared" si="7"/>
        <v>0</v>
      </c>
      <c r="L13" s="26">
        <f t="shared" si="8"/>
        <v>9.95</v>
      </c>
      <c r="M13" s="26">
        <f t="shared" si="9"/>
        <v>1.19</v>
      </c>
      <c r="N13" s="26"/>
      <c r="O13" s="28">
        <f t="shared" si="10"/>
        <v>187.86</v>
      </c>
      <c r="Q13" s="1" cm="1">
        <f t="array" ref="Q13">SUM(AF13,AH13:AI13)/(INDEX('小红书-订单明细'!W:W,MATCH(R13&amp;AC13,'小红书-订单明细'!A:A&amp;'小红书-订单明细'!O:O,0))/(INDEX('小红书-订单明细'!T:T,MATCH(R13&amp;AC13,'小红书-订单明细'!A:A&amp;'小红书-订单明细'!O:O,0))))</f>
        <v>1</v>
      </c>
      <c r="R13" s="29" t="s">
        <v>377</v>
      </c>
      <c r="S13" s="30"/>
      <c r="T13" s="30" t="s">
        <v>392</v>
      </c>
      <c r="U13" s="30" t="s">
        <v>395</v>
      </c>
      <c r="V13" s="30" t="s">
        <v>1780</v>
      </c>
      <c r="W13" s="31" t="s">
        <v>1755</v>
      </c>
      <c r="X13" s="31" t="s">
        <v>1749</v>
      </c>
      <c r="Y13" s="30">
        <v>187.86</v>
      </c>
      <c r="Z13" s="31" t="s">
        <v>1781</v>
      </c>
      <c r="AA13" s="31" t="s">
        <v>1751</v>
      </c>
      <c r="AB13" s="30" t="s">
        <v>386</v>
      </c>
      <c r="AC13" s="29" t="s">
        <v>387</v>
      </c>
      <c r="AD13" s="32">
        <v>1</v>
      </c>
      <c r="AE13" s="30">
        <v>199</v>
      </c>
      <c r="AF13" s="36">
        <v>199</v>
      </c>
      <c r="AG13" s="30" t="s">
        <v>75</v>
      </c>
      <c r="AH13" s="30">
        <v>0</v>
      </c>
      <c r="AI13" s="33">
        <v>0</v>
      </c>
      <c r="AJ13" s="33">
        <v>0</v>
      </c>
      <c r="AK13" s="32">
        <v>0.05</v>
      </c>
      <c r="AL13" s="32">
        <v>0</v>
      </c>
      <c r="AM13" s="33">
        <v>-9.95</v>
      </c>
      <c r="AN13" s="33">
        <v>199</v>
      </c>
      <c r="AO13" s="32">
        <v>199</v>
      </c>
      <c r="AP13" s="32">
        <v>0</v>
      </c>
      <c r="AQ13" s="34" t="s">
        <v>101</v>
      </c>
      <c r="AR13" s="32">
        <v>0</v>
      </c>
      <c r="AS13" s="32">
        <v>0.006</v>
      </c>
      <c r="AT13" s="33">
        <v>-1.19</v>
      </c>
      <c r="AU13" s="30" t="s">
        <v>148</v>
      </c>
      <c r="AV13" s="31" t="s">
        <v>1752</v>
      </c>
      <c r="AW13" s="31" t="s">
        <v>1753</v>
      </c>
      <c r="AX13" s="30"/>
      <c r="AY13" s="30"/>
      <c r="AZ13" s="33">
        <v>0</v>
      </c>
      <c r="BA13" s="32">
        <v>0</v>
      </c>
      <c r="BB13" s="32">
        <v>0</v>
      </c>
      <c r="BC13" s="32">
        <v>0</v>
      </c>
      <c r="BD13" s="32">
        <v>0</v>
      </c>
      <c r="BE13" s="35"/>
    </row>
    <row r="14" customHeight="1" spans="1:58">
      <c r="A14" s="25">
        <f t="shared" si="0"/>
        <v>2025</v>
      </c>
      <c r="B14" s="26">
        <f t="shared" si="1"/>
        <v>8</v>
      </c>
      <c r="C14" s="26" t="str">
        <f t="shared" si="2"/>
        <v>P770798117968454421</v>
      </c>
      <c r="D14" s="26">
        <f t="shared" si="3"/>
        <v>2</v>
      </c>
      <c r="E14" s="26">
        <f>COUNTIF($R$2:R14,R14)</f>
        <v>1</v>
      </c>
      <c r="F14" s="27" t="str" cm="1">
        <f t="array" ref="F14">INDEX('小红书-订单明细'!BQ:BQ,MATCH(R14&amp;AC14,'小红书-订单明细'!A:A&amp;'小红书-订单明细'!O:O,0))</f>
        <v>Z2365-灰色-S</v>
      </c>
      <c r="G14" s="27" t="str">
        <f t="shared" si="4"/>
        <v>Z2365</v>
      </c>
      <c r="H14" s="26" cm="1">
        <f t="array" ref="H14">IF(ABS(BG14)&gt;=1,SUM(AF14,AH14:AI14)/(INDEX('小红书-订单明细'!W:W,MATCH(R14&amp;AC14,'小红书-订单明细'!A:A&amp;'小红书-订单明细'!O:O,0))/(INDEX('小红书-订单明细'!T:T,MATCH(R14&amp;AC14,'小红书-订单明细'!A:A&amp;'小红书-订单明细'!O:O,0)))),IF(ABS(SUM(AF14,AH14:AI14)/(INDEX('小红书-订单明细'!W:W,MATCH(R14&amp;AC14,'小红书-订单明细'!A:A&amp;'小红书-订单明细'!O:O,0))/(INDEX('小红书-订单明细'!T:T,MATCH(R14&amp;AC14,'小红书-订单明细'!A:A&amp;'小红书-订单明细'!O:O,0)))))&gt;15%,ROUNDUP(SUM(AF14,AH14:AI14)/(INDEX('小红书-订单明细'!W:W,MATCH(R14&amp;AC14,'小红书-订单明细'!A:A&amp;'小红书-订单明细'!O:O,0))/(INDEX('小红书-订单明细'!T:T,MATCH(R14&amp;AC14,'小红书-订单明细'!A:A&amp;'小红书-订单明细'!O:O,0)))),0),ROUNDDOWN(SUM(AF14,AH14:AI14)/(INDEX('小红书-订单明细'!W:W,MATCH(R14&amp;AC14,'小红书-订单明细'!A:A&amp;'小红书-订单明细'!O:O,0))/(INDEX('小红书-订单明细'!T:T,MATCH(R14&amp;AC14,'小红书-订单明细'!A:A&amp;'小红书-订单明细'!O:O,0)))),0)))</f>
        <v>-1</v>
      </c>
      <c r="I14" s="26">
        <f t="shared" si="5"/>
        <v>-219</v>
      </c>
      <c r="J14" s="26">
        <f t="shared" si="6"/>
        <v>0</v>
      </c>
      <c r="K14" s="26">
        <f t="shared" si="7"/>
        <v>0</v>
      </c>
      <c r="L14" s="26">
        <f t="shared" si="8"/>
        <v>-10.95</v>
      </c>
      <c r="M14" s="26">
        <f t="shared" si="9"/>
        <v>-1.31</v>
      </c>
      <c r="N14" s="26"/>
      <c r="O14" s="28">
        <f t="shared" si="10"/>
        <v>-206.74</v>
      </c>
      <c r="Q14" s="1" cm="1">
        <f t="array" ref="Q14">SUM(AF14,AH14:AI14)/(INDEX('小红书-订单明细'!W:W,MATCH(R14&amp;AC14,'小红书-订单明细'!A:A&amp;'小红书-订单明细'!O:O,0))/(INDEX('小红书-订单明细'!T:T,MATCH(R14&amp;AC14,'小红书-订单明细'!A:A&amp;'小红书-订单明细'!O:O,0))))</f>
        <v>-1</v>
      </c>
      <c r="R14" s="29" t="s">
        <v>799</v>
      </c>
      <c r="S14" s="30" t="s">
        <v>1782</v>
      </c>
      <c r="T14" s="30" t="s">
        <v>803</v>
      </c>
      <c r="U14" s="30" t="s">
        <v>1783</v>
      </c>
      <c r="V14" s="30" t="s">
        <v>1784</v>
      </c>
      <c r="W14" s="31" t="s">
        <v>1748</v>
      </c>
      <c r="X14" s="31" t="s">
        <v>1749</v>
      </c>
      <c r="Y14" s="30">
        <v>-206.74</v>
      </c>
      <c r="Z14" s="31" t="s">
        <v>1760</v>
      </c>
      <c r="AA14" s="31" t="s">
        <v>1761</v>
      </c>
      <c r="AB14" s="30" t="s">
        <v>340</v>
      </c>
      <c r="AC14" s="29" t="s">
        <v>341</v>
      </c>
      <c r="AD14" s="32">
        <v>0</v>
      </c>
      <c r="AE14" s="30">
        <v>-219</v>
      </c>
      <c r="AF14" s="29">
        <v>-219</v>
      </c>
      <c r="AG14" s="30">
        <v>0</v>
      </c>
      <c r="AH14" s="30">
        <v>0</v>
      </c>
      <c r="AI14" s="33">
        <v>0</v>
      </c>
      <c r="AJ14" s="33">
        <v>0</v>
      </c>
      <c r="AK14" s="32">
        <v>0</v>
      </c>
      <c r="AL14" s="32">
        <v>0</v>
      </c>
      <c r="AM14" s="33">
        <v>10.95</v>
      </c>
      <c r="AN14" s="33">
        <v>0</v>
      </c>
      <c r="AO14" s="32">
        <v>0</v>
      </c>
      <c r="AP14" s="32">
        <v>0</v>
      </c>
      <c r="AQ14" s="34" t="s">
        <v>101</v>
      </c>
      <c r="AR14" s="32">
        <v>0</v>
      </c>
      <c r="AS14" s="32">
        <v>0</v>
      </c>
      <c r="AT14" s="33">
        <v>1.31</v>
      </c>
      <c r="AU14" s="30" t="s">
        <v>148</v>
      </c>
      <c r="AV14" s="31" t="s">
        <v>1752</v>
      </c>
      <c r="AW14" s="31" t="s">
        <v>1753</v>
      </c>
      <c r="AX14" s="30"/>
      <c r="AY14" s="30"/>
      <c r="AZ14" s="33">
        <v>0</v>
      </c>
      <c r="BA14" s="32">
        <v>0</v>
      </c>
      <c r="BB14" s="32">
        <v>0</v>
      </c>
      <c r="BC14" s="32">
        <v>0</v>
      </c>
      <c r="BD14" s="32">
        <v>0</v>
      </c>
      <c r="BE14" s="35"/>
    </row>
    <row r="15" customHeight="1" spans="1:58">
      <c r="A15" s="25">
        <f t="shared" si="0"/>
        <v>2025</v>
      </c>
      <c r="B15" s="26">
        <f t="shared" si="1"/>
        <v>8</v>
      </c>
      <c r="C15" s="26" t="str">
        <f t="shared" si="2"/>
        <v>P770986580251454261</v>
      </c>
      <c r="D15" s="26">
        <f t="shared" si="3"/>
        <v>2</v>
      </c>
      <c r="E15" s="26">
        <f>COUNTIF($R$2:R15,R15)</f>
        <v>1</v>
      </c>
      <c r="F15" s="27" t="str" cm="1">
        <f t="array" ref="F15">INDEX('小红书-订单明细'!BQ:BQ,MATCH(R15&amp;AC15,'小红书-订单明细'!A:A&amp;'小红书-订单明细'!O:O,0))</f>
        <v>Z2218-黑色-S</v>
      </c>
      <c r="G15" s="27" t="str">
        <f t="shared" si="4"/>
        <v>Z2218</v>
      </c>
      <c r="H15" s="26" cm="1">
        <f t="array" ref="H15">IF(ABS(BG15)&gt;=1,SUM(AF15,AH15:AI15)/(INDEX('小红书-订单明细'!W:W,MATCH(R15&amp;AC15,'小红书-订单明细'!A:A&amp;'小红书-订单明细'!O:O,0))/(INDEX('小红书-订单明细'!T:T,MATCH(R15&amp;AC15,'小红书-订单明细'!A:A&amp;'小红书-订单明细'!O:O,0)))),IF(ABS(SUM(AF15,AH15:AI15)/(INDEX('小红书-订单明细'!W:W,MATCH(R15&amp;AC15,'小红书-订单明细'!A:A&amp;'小红书-订单明细'!O:O,0))/(INDEX('小红书-订单明细'!T:T,MATCH(R15&amp;AC15,'小红书-订单明细'!A:A&amp;'小红书-订单明细'!O:O,0)))))&gt;15%,ROUNDUP(SUM(AF15,AH15:AI15)/(INDEX('小红书-订单明细'!W:W,MATCH(R15&amp;AC15,'小红书-订单明细'!A:A&amp;'小红书-订单明细'!O:O,0))/(INDEX('小红书-订单明细'!T:T,MATCH(R15&amp;AC15,'小红书-订单明细'!A:A&amp;'小红书-订单明细'!O:O,0)))),0),ROUNDDOWN(SUM(AF15,AH15:AI15)/(INDEX('小红书-订单明细'!W:W,MATCH(R15&amp;AC15,'小红书-订单明细'!A:A&amp;'小红书-订单明细'!O:O,0))/(INDEX('小红书-订单明细'!T:T,MATCH(R15&amp;AC15,'小红书-订单明细'!A:A&amp;'小红书-订单明细'!O:O,0)))),0)))</f>
        <v>-1</v>
      </c>
      <c r="I15" s="26">
        <f t="shared" si="5"/>
        <v>-229</v>
      </c>
      <c r="J15" s="26">
        <f t="shared" si="6"/>
        <v>0</v>
      </c>
      <c r="K15" s="26">
        <f t="shared" si="7"/>
        <v>0</v>
      </c>
      <c r="L15" s="26">
        <f t="shared" si="8"/>
        <v>-11.45</v>
      </c>
      <c r="M15" s="26">
        <f t="shared" si="9"/>
        <v>-1.37</v>
      </c>
      <c r="N15" s="26"/>
      <c r="O15" s="28">
        <f t="shared" si="10"/>
        <v>-216.18</v>
      </c>
      <c r="Q15" s="1" cm="1">
        <f t="array" ref="Q15">SUM(AF15,AH15:AI15)/(INDEX('小红书-订单明细'!W:W,MATCH(R15&amp;AC15,'小红书-订单明细'!A:A&amp;'小红书-订单明细'!O:O,0))/(INDEX('小红书-订单明细'!T:T,MATCH(R15&amp;AC15,'小红书-订单明细'!A:A&amp;'小红书-订单明细'!O:O,0))))</f>
        <v>-1</v>
      </c>
      <c r="R15" s="29" t="s">
        <v>255</v>
      </c>
      <c r="S15" s="30" t="s">
        <v>1785</v>
      </c>
      <c r="T15" s="30" t="s">
        <v>266</v>
      </c>
      <c r="U15" s="30" t="s">
        <v>1786</v>
      </c>
      <c r="V15" s="30" t="s">
        <v>1784</v>
      </c>
      <c r="W15" s="31" t="s">
        <v>1748</v>
      </c>
      <c r="X15" s="31" t="s">
        <v>1749</v>
      </c>
      <c r="Y15" s="30">
        <v>-216.18</v>
      </c>
      <c r="Z15" s="31" t="s">
        <v>1787</v>
      </c>
      <c r="AA15" s="31" t="s">
        <v>1773</v>
      </c>
      <c r="AB15" s="30" t="s">
        <v>247</v>
      </c>
      <c r="AC15" s="29" t="s">
        <v>248</v>
      </c>
      <c r="AD15" s="32">
        <v>0</v>
      </c>
      <c r="AE15" s="30">
        <v>-229</v>
      </c>
      <c r="AF15" s="29">
        <v>-229</v>
      </c>
      <c r="AG15" s="30">
        <v>0</v>
      </c>
      <c r="AH15" s="30">
        <v>0</v>
      </c>
      <c r="AI15" s="33">
        <v>0</v>
      </c>
      <c r="AJ15" s="33">
        <v>0</v>
      </c>
      <c r="AK15" s="32">
        <v>0</v>
      </c>
      <c r="AL15" s="32">
        <v>0</v>
      </c>
      <c r="AM15" s="33">
        <v>11.45</v>
      </c>
      <c r="AN15" s="33">
        <v>0</v>
      </c>
      <c r="AO15" s="32">
        <v>0</v>
      </c>
      <c r="AP15" s="32">
        <v>0</v>
      </c>
      <c r="AQ15" s="34" t="s">
        <v>101</v>
      </c>
      <c r="AR15" s="32">
        <v>0</v>
      </c>
      <c r="AS15" s="32">
        <v>0</v>
      </c>
      <c r="AT15" s="33">
        <v>1.37</v>
      </c>
      <c r="AU15" s="30" t="s">
        <v>148</v>
      </c>
      <c r="AV15" s="31" t="s">
        <v>1752</v>
      </c>
      <c r="AW15" s="31" t="s">
        <v>1753</v>
      </c>
      <c r="AX15" s="30"/>
      <c r="AY15" s="30"/>
      <c r="AZ15" s="33">
        <v>0</v>
      </c>
      <c r="BA15" s="32">
        <v>0</v>
      </c>
      <c r="BB15" s="32">
        <v>0</v>
      </c>
      <c r="BC15" s="32">
        <v>0</v>
      </c>
      <c r="BD15" s="32">
        <v>0</v>
      </c>
      <c r="BE15" s="35"/>
    </row>
    <row r="16" customHeight="1" spans="1:58">
      <c r="A16" s="25">
        <f t="shared" si="0"/>
        <v>2025</v>
      </c>
      <c r="B16" s="26">
        <f t="shared" si="1"/>
        <v>8</v>
      </c>
      <c r="C16" s="26" t="str">
        <f t="shared" si="2"/>
        <v>P770986580251454261</v>
      </c>
      <c r="D16" s="26">
        <f t="shared" si="3"/>
        <v>2</v>
      </c>
      <c r="E16" s="26">
        <f>COUNTIF($R$2:R16,R16)</f>
        <v>2</v>
      </c>
      <c r="F16" s="27" t="str" cm="1">
        <f t="array" ref="F16">INDEX('小红书-订单明细'!BQ:BQ,MATCH(R16&amp;AC16,'小红书-订单明细'!A:A&amp;'小红书-订单明细'!O:O,0))</f>
        <v>Z2218-黑色-S</v>
      </c>
      <c r="G16" s="27" t="str">
        <f t="shared" si="4"/>
        <v>Z2218</v>
      </c>
      <c r="H16" s="26" cm="1">
        <f t="array" ref="H16">IF(ABS(BG16)&gt;=1,SUM(AF16,AH16:AI16)/(INDEX('小红书-订单明细'!W:W,MATCH(R16&amp;AC16,'小红书-订单明细'!A:A&amp;'小红书-订单明细'!O:O,0))/(INDEX('小红书-订单明细'!T:T,MATCH(R16&amp;AC16,'小红书-订单明细'!A:A&amp;'小红书-订单明细'!O:O,0)))),IF(ABS(SUM(AF16,AH16:AI16)/(INDEX('小红书-订单明细'!W:W,MATCH(R16&amp;AC16,'小红书-订单明细'!A:A&amp;'小红书-订单明细'!O:O,0))/(INDEX('小红书-订单明细'!T:T,MATCH(R16&amp;AC16,'小红书-订单明细'!A:A&amp;'小红书-订单明细'!O:O,0)))))&gt;15%,ROUNDUP(SUM(AF16,AH16:AI16)/(INDEX('小红书-订单明细'!W:W,MATCH(R16&amp;AC16,'小红书-订单明细'!A:A&amp;'小红书-订单明细'!O:O,0))/(INDEX('小红书-订单明细'!T:T,MATCH(R16&amp;AC16,'小红书-订单明细'!A:A&amp;'小红书-订单明细'!O:O,0)))),0),ROUNDDOWN(SUM(AF16,AH16:AI16)/(INDEX('小红书-订单明细'!W:W,MATCH(R16&amp;AC16,'小红书-订单明细'!A:A&amp;'小红书-订单明细'!O:O,0))/(INDEX('小红书-订单明细'!T:T,MATCH(R16&amp;AC16,'小红书-订单明细'!A:A&amp;'小红书-订单明细'!O:O,0)))),0)))</f>
        <v>1</v>
      </c>
      <c r="I16" s="26">
        <f t="shared" si="5"/>
        <v>229</v>
      </c>
      <c r="J16" s="26">
        <f t="shared" si="6"/>
        <v>0</v>
      </c>
      <c r="K16" s="26">
        <f t="shared" si="7"/>
        <v>0</v>
      </c>
      <c r="L16" s="26">
        <f t="shared" si="8"/>
        <v>11.45</v>
      </c>
      <c r="M16" s="26">
        <f t="shared" si="9"/>
        <v>1.37</v>
      </c>
      <c r="N16" s="26"/>
      <c r="O16" s="28">
        <f t="shared" si="10"/>
        <v>216.18</v>
      </c>
      <c r="Q16" s="1" cm="1">
        <f t="array" ref="Q16">SUM(AF16,AH16:AI16)/(INDEX('小红书-订单明细'!W:W,MATCH(R16&amp;AC16,'小红书-订单明细'!A:A&amp;'小红书-订单明细'!O:O,0))/(INDEX('小红书-订单明细'!T:T,MATCH(R16&amp;AC16,'小红书-订单明细'!A:A&amp;'小红书-订单明细'!O:O,0))))</f>
        <v>1</v>
      </c>
      <c r="R16" s="29" t="s">
        <v>255</v>
      </c>
      <c r="S16" s="30"/>
      <c r="T16" s="30" t="s">
        <v>266</v>
      </c>
      <c r="U16" s="30" t="s">
        <v>1788</v>
      </c>
      <c r="V16" s="30" t="s">
        <v>1784</v>
      </c>
      <c r="W16" s="31" t="s">
        <v>1755</v>
      </c>
      <c r="X16" s="31" t="s">
        <v>1749</v>
      </c>
      <c r="Y16" s="30">
        <v>216.18</v>
      </c>
      <c r="Z16" s="31" t="s">
        <v>1787</v>
      </c>
      <c r="AA16" s="31" t="s">
        <v>1773</v>
      </c>
      <c r="AB16" s="30" t="s">
        <v>247</v>
      </c>
      <c r="AC16" s="29" t="s">
        <v>248</v>
      </c>
      <c r="AD16" s="32">
        <v>1</v>
      </c>
      <c r="AE16" s="30">
        <v>229</v>
      </c>
      <c r="AF16" s="36">
        <v>229</v>
      </c>
      <c r="AG16" s="30" t="s">
        <v>75</v>
      </c>
      <c r="AH16" s="30">
        <v>0</v>
      </c>
      <c r="AI16" s="33">
        <v>0</v>
      </c>
      <c r="AJ16" s="33">
        <v>0</v>
      </c>
      <c r="AK16" s="32">
        <v>0.05</v>
      </c>
      <c r="AL16" s="32">
        <v>0</v>
      </c>
      <c r="AM16" s="33">
        <v>-11.45</v>
      </c>
      <c r="AN16" s="33">
        <v>229</v>
      </c>
      <c r="AO16" s="32">
        <v>229</v>
      </c>
      <c r="AP16" s="32">
        <v>0</v>
      </c>
      <c r="AQ16" s="34" t="s">
        <v>101</v>
      </c>
      <c r="AR16" s="32">
        <v>0</v>
      </c>
      <c r="AS16" s="32">
        <v>0.006</v>
      </c>
      <c r="AT16" s="33">
        <v>-1.37</v>
      </c>
      <c r="AU16" s="30" t="s">
        <v>148</v>
      </c>
      <c r="AV16" s="31" t="s">
        <v>1752</v>
      </c>
      <c r="AW16" s="31" t="s">
        <v>1753</v>
      </c>
      <c r="AX16" s="30"/>
      <c r="AY16" s="30"/>
      <c r="AZ16" s="33">
        <v>0</v>
      </c>
      <c r="BA16" s="32">
        <v>0</v>
      </c>
      <c r="BB16" s="32">
        <v>0</v>
      </c>
      <c r="BC16" s="32">
        <v>0</v>
      </c>
      <c r="BD16" s="32">
        <v>0</v>
      </c>
      <c r="BE16" s="35"/>
    </row>
    <row r="17" customHeight="1" spans="1:57">
      <c r="A17" s="25">
        <f t="shared" si="0"/>
        <v>2025</v>
      </c>
      <c r="B17" s="26">
        <f t="shared" si="1"/>
        <v>8</v>
      </c>
      <c r="C17" s="26" t="str">
        <f t="shared" si="2"/>
        <v>P770798117968454421</v>
      </c>
      <c r="D17" s="26">
        <f t="shared" si="3"/>
        <v>2</v>
      </c>
      <c r="E17" s="26">
        <f>COUNTIF($R$2:R17,R17)</f>
        <v>2</v>
      </c>
      <c r="F17" s="27" t="str" cm="1">
        <f t="array" ref="F17">INDEX('小红书-订单明细'!BQ:BQ,MATCH(R17&amp;AC17,'小红书-订单明细'!A:A&amp;'小红书-订单明细'!O:O,0))</f>
        <v>Z2365-灰色-S</v>
      </c>
      <c r="G17" s="27" t="str">
        <f t="shared" si="4"/>
        <v>Z2365</v>
      </c>
      <c r="H17" s="26" cm="1">
        <f t="array" ref="H17">IF(ABS(BG17)&gt;=1,SUM(AF17,AH17:AI17)/(INDEX('小红书-订单明细'!W:W,MATCH(R17&amp;AC17,'小红书-订单明细'!A:A&amp;'小红书-订单明细'!O:O,0))/(INDEX('小红书-订单明细'!T:T,MATCH(R17&amp;AC17,'小红书-订单明细'!A:A&amp;'小红书-订单明细'!O:O,0)))),IF(ABS(SUM(AF17,AH17:AI17)/(INDEX('小红书-订单明细'!W:W,MATCH(R17&amp;AC17,'小红书-订单明细'!A:A&amp;'小红书-订单明细'!O:O,0))/(INDEX('小红书-订单明细'!T:T,MATCH(R17&amp;AC17,'小红书-订单明细'!A:A&amp;'小红书-订单明细'!O:O,0)))))&gt;15%,ROUNDUP(SUM(AF17,AH17:AI17)/(INDEX('小红书-订单明细'!W:W,MATCH(R17&amp;AC17,'小红书-订单明细'!A:A&amp;'小红书-订单明细'!O:O,0))/(INDEX('小红书-订单明细'!T:T,MATCH(R17&amp;AC17,'小红书-订单明细'!A:A&amp;'小红书-订单明细'!O:O,0)))),0),ROUNDDOWN(SUM(AF17,AH17:AI17)/(INDEX('小红书-订单明细'!W:W,MATCH(R17&amp;AC17,'小红书-订单明细'!A:A&amp;'小红书-订单明细'!O:O,0))/(INDEX('小红书-订单明细'!T:T,MATCH(R17&amp;AC17,'小红书-订单明细'!A:A&amp;'小红书-订单明细'!O:O,0)))),0)))</f>
        <v>1</v>
      </c>
      <c r="I17" s="26">
        <f t="shared" si="5"/>
        <v>219</v>
      </c>
      <c r="J17" s="26">
        <f t="shared" si="6"/>
        <v>0</v>
      </c>
      <c r="K17" s="26">
        <f t="shared" si="7"/>
        <v>0</v>
      </c>
      <c r="L17" s="26">
        <f t="shared" si="8"/>
        <v>10.95</v>
      </c>
      <c r="M17" s="26">
        <f t="shared" si="9"/>
        <v>1.31</v>
      </c>
      <c r="N17" s="26"/>
      <c r="O17" s="28">
        <f t="shared" si="10"/>
        <v>206.74</v>
      </c>
      <c r="Q17" s="1" cm="1">
        <f t="array" ref="Q17">SUM(AF17,AH17:AI17)/(INDEX('小红书-订单明细'!W:W,MATCH(R17&amp;AC17,'小红书-订单明细'!A:A&amp;'小红书-订单明细'!O:O,0))/(INDEX('小红书-订单明细'!T:T,MATCH(R17&amp;AC17,'小红书-订单明细'!A:A&amp;'小红书-订单明细'!O:O,0))))</f>
        <v>1</v>
      </c>
      <c r="R17" s="29" t="s">
        <v>799</v>
      </c>
      <c r="S17" s="30"/>
      <c r="T17" s="30" t="s">
        <v>803</v>
      </c>
      <c r="U17" s="30" t="s">
        <v>1789</v>
      </c>
      <c r="V17" s="30" t="s">
        <v>1784</v>
      </c>
      <c r="W17" s="31" t="s">
        <v>1755</v>
      </c>
      <c r="X17" s="31" t="s">
        <v>1749</v>
      </c>
      <c r="Y17" s="30">
        <v>206.74</v>
      </c>
      <c r="Z17" s="31" t="s">
        <v>1760</v>
      </c>
      <c r="AA17" s="31" t="s">
        <v>1761</v>
      </c>
      <c r="AB17" s="30" t="s">
        <v>340</v>
      </c>
      <c r="AC17" s="29" t="s">
        <v>341</v>
      </c>
      <c r="AD17" s="32">
        <v>1</v>
      </c>
      <c r="AE17" s="30">
        <v>219</v>
      </c>
      <c r="AF17" s="36">
        <v>219</v>
      </c>
      <c r="AG17" s="30" t="s">
        <v>75</v>
      </c>
      <c r="AH17" s="30">
        <v>0</v>
      </c>
      <c r="AI17" s="33">
        <v>0</v>
      </c>
      <c r="AJ17" s="33">
        <v>0</v>
      </c>
      <c r="AK17" s="32">
        <v>0.05</v>
      </c>
      <c r="AL17" s="32">
        <v>0</v>
      </c>
      <c r="AM17" s="33">
        <v>-10.95</v>
      </c>
      <c r="AN17" s="33">
        <v>219</v>
      </c>
      <c r="AO17" s="32">
        <v>219</v>
      </c>
      <c r="AP17" s="32">
        <v>0</v>
      </c>
      <c r="AQ17" s="34" t="s">
        <v>101</v>
      </c>
      <c r="AR17" s="32">
        <v>0</v>
      </c>
      <c r="AS17" s="32">
        <v>0.006</v>
      </c>
      <c r="AT17" s="33">
        <v>-1.31</v>
      </c>
      <c r="AU17" s="30" t="s">
        <v>148</v>
      </c>
      <c r="AV17" s="31" t="s">
        <v>1752</v>
      </c>
      <c r="AW17" s="31" t="s">
        <v>1753</v>
      </c>
      <c r="AX17" s="30"/>
      <c r="AY17" s="30"/>
      <c r="AZ17" s="33">
        <v>0</v>
      </c>
      <c r="BA17" s="32">
        <v>0</v>
      </c>
      <c r="BB17" s="32">
        <v>0</v>
      </c>
      <c r="BC17" s="32">
        <v>0</v>
      </c>
      <c r="BD17" s="32">
        <v>0</v>
      </c>
      <c r="BE17" s="35"/>
    </row>
    <row r="18" customHeight="1" spans="1:57">
      <c r="A18" s="25">
        <f t="shared" si="0"/>
        <v>2025</v>
      </c>
      <c r="B18" s="26">
        <f t="shared" si="1"/>
        <v>8</v>
      </c>
      <c r="C18" s="26" t="str">
        <f t="shared" si="2"/>
        <v>P770813889954234671</v>
      </c>
      <c r="D18" s="26">
        <f t="shared" si="3"/>
        <v>2</v>
      </c>
      <c r="E18" s="26">
        <f>COUNTIF($R$2:R18,R18)</f>
        <v>1</v>
      </c>
      <c r="F18" s="27" t="str" cm="1">
        <f t="array" ref="F18">INDEX('小红书-订单明细'!BQ:BQ,MATCH(R18&amp;AC18,'小红书-订单明细'!A:A&amp;'小红书-订单明细'!O:O,0))</f>
        <v>Z2365-黑色-S</v>
      </c>
      <c r="G18" s="27" t="str">
        <f t="shared" si="4"/>
        <v>Z2365</v>
      </c>
      <c r="H18" s="26" cm="1">
        <f t="array" ref="H18">IF(ABS(BG18)&gt;=1,SUM(AF18,AH18:AI18)/(INDEX('小红书-订单明细'!W:W,MATCH(R18&amp;AC18,'小红书-订单明细'!A:A&amp;'小红书-订单明细'!O:O,0))/(INDEX('小红书-订单明细'!T:T,MATCH(R18&amp;AC18,'小红书-订单明细'!A:A&amp;'小红书-订单明细'!O:O,0)))),IF(ABS(SUM(AF18,AH18:AI18)/(INDEX('小红书-订单明细'!W:W,MATCH(R18&amp;AC18,'小红书-订单明细'!A:A&amp;'小红书-订单明细'!O:O,0))/(INDEX('小红书-订单明细'!T:T,MATCH(R18&amp;AC18,'小红书-订单明细'!A:A&amp;'小红书-订单明细'!O:O,0)))))&gt;15%,ROUNDUP(SUM(AF18,AH18:AI18)/(INDEX('小红书-订单明细'!W:W,MATCH(R18&amp;AC18,'小红书-订单明细'!A:A&amp;'小红书-订单明细'!O:O,0))/(INDEX('小红书-订单明细'!T:T,MATCH(R18&amp;AC18,'小红书-订单明细'!A:A&amp;'小红书-订单明细'!O:O,0)))),0),ROUNDDOWN(SUM(AF18,AH18:AI18)/(INDEX('小红书-订单明细'!W:W,MATCH(R18&amp;AC18,'小红书-订单明细'!A:A&amp;'小红书-订单明细'!O:O,0))/(INDEX('小红书-订单明细'!T:T,MATCH(R18&amp;AC18,'小红书-订单明细'!A:A&amp;'小红书-订单明细'!O:O,0)))),0)))</f>
        <v>-1</v>
      </c>
      <c r="I18" s="26">
        <f t="shared" si="5"/>
        <v>-219</v>
      </c>
      <c r="J18" s="26">
        <f t="shared" si="6"/>
        <v>0</v>
      </c>
      <c r="K18" s="26">
        <f t="shared" si="7"/>
        <v>0</v>
      </c>
      <c r="L18" s="26">
        <f t="shared" si="8"/>
        <v>-10.95</v>
      </c>
      <c r="M18" s="26">
        <f t="shared" si="9"/>
        <v>-1.31</v>
      </c>
      <c r="N18" s="26"/>
      <c r="O18" s="28">
        <f t="shared" si="10"/>
        <v>-206.74</v>
      </c>
      <c r="Q18" s="1" cm="1">
        <f t="array" ref="Q18">SUM(AF18,AH18:AI18)/(INDEX('小红书-订单明细'!W:W,MATCH(R18&amp;AC18,'小红书-订单明细'!A:A&amp;'小红书-订单明细'!O:O,0))/(INDEX('小红书-订单明细'!T:T,MATCH(R18&amp;AC18,'小红书-订单明细'!A:A&amp;'小红书-订单明细'!O:O,0))))</f>
        <v>-1</v>
      </c>
      <c r="R18" s="29" t="s">
        <v>446</v>
      </c>
      <c r="S18" s="30" t="s">
        <v>1790</v>
      </c>
      <c r="T18" s="30" t="s">
        <v>1791</v>
      </c>
      <c r="U18" s="30" t="s">
        <v>1792</v>
      </c>
      <c r="V18" s="30" t="s">
        <v>1793</v>
      </c>
      <c r="W18" s="31" t="s">
        <v>1748</v>
      </c>
      <c r="X18" s="31" t="s">
        <v>1749</v>
      </c>
      <c r="Y18" s="30">
        <v>-206.74</v>
      </c>
      <c r="Z18" s="31" t="s">
        <v>1794</v>
      </c>
      <c r="AA18" s="31" t="s">
        <v>1761</v>
      </c>
      <c r="AB18" s="30" t="s">
        <v>455</v>
      </c>
      <c r="AC18" s="29" t="s">
        <v>456</v>
      </c>
      <c r="AD18" s="32">
        <v>0</v>
      </c>
      <c r="AE18" s="30">
        <v>-219</v>
      </c>
      <c r="AF18" s="29">
        <v>-219</v>
      </c>
      <c r="AG18" s="30">
        <v>0</v>
      </c>
      <c r="AH18" s="30">
        <v>0</v>
      </c>
      <c r="AI18" s="33">
        <v>0</v>
      </c>
      <c r="AJ18" s="33">
        <v>0</v>
      </c>
      <c r="AK18" s="32">
        <v>0</v>
      </c>
      <c r="AL18" s="32">
        <v>0</v>
      </c>
      <c r="AM18" s="33">
        <v>10.95</v>
      </c>
      <c r="AN18" s="33">
        <v>0</v>
      </c>
      <c r="AO18" s="32">
        <v>0</v>
      </c>
      <c r="AP18" s="32">
        <v>0</v>
      </c>
      <c r="AQ18" s="34" t="s">
        <v>101</v>
      </c>
      <c r="AR18" s="32">
        <v>0</v>
      </c>
      <c r="AS18" s="32">
        <v>0</v>
      </c>
      <c r="AT18" s="33">
        <v>1.31</v>
      </c>
      <c r="AU18" s="30" t="s">
        <v>148</v>
      </c>
      <c r="AV18" s="31" t="s">
        <v>1752</v>
      </c>
      <c r="AW18" s="31" t="s">
        <v>1753</v>
      </c>
      <c r="AX18" s="30"/>
      <c r="AY18" s="30"/>
      <c r="AZ18" s="33">
        <v>0</v>
      </c>
      <c r="BA18" s="32">
        <v>0</v>
      </c>
      <c r="BB18" s="32">
        <v>0</v>
      </c>
      <c r="BC18" s="32">
        <v>0</v>
      </c>
      <c r="BD18" s="32">
        <v>0</v>
      </c>
      <c r="BE18" s="35"/>
    </row>
    <row r="19" customHeight="1" spans="1:57">
      <c r="A19" s="25">
        <f t="shared" si="0"/>
        <v>2025</v>
      </c>
      <c r="B19" s="26">
        <f t="shared" si="1"/>
        <v>8</v>
      </c>
      <c r="C19" s="26" t="str">
        <f t="shared" si="2"/>
        <v>P770813889954234671</v>
      </c>
      <c r="D19" s="26">
        <f t="shared" si="3"/>
        <v>2</v>
      </c>
      <c r="E19" s="26">
        <f>COUNTIF($R$2:R19,R19)</f>
        <v>2</v>
      </c>
      <c r="F19" s="27" t="str" cm="1">
        <f t="array" ref="F19">INDEX('小红书-订单明细'!BQ:BQ,MATCH(R19&amp;AC19,'小红书-订单明细'!A:A&amp;'小红书-订单明细'!O:O,0))</f>
        <v>Z2365-黑色-S</v>
      </c>
      <c r="G19" s="27" t="str">
        <f t="shared" si="4"/>
        <v>Z2365</v>
      </c>
      <c r="H19" s="26" cm="1">
        <f t="array" ref="H19">IF(ABS(BG19)&gt;=1,SUM(AF19,AH19:AI19)/(INDEX('小红书-订单明细'!W:W,MATCH(R19&amp;AC19,'小红书-订单明细'!A:A&amp;'小红书-订单明细'!O:O,0))/(INDEX('小红书-订单明细'!T:T,MATCH(R19&amp;AC19,'小红书-订单明细'!A:A&amp;'小红书-订单明细'!O:O,0)))),IF(ABS(SUM(AF19,AH19:AI19)/(INDEX('小红书-订单明细'!W:W,MATCH(R19&amp;AC19,'小红书-订单明细'!A:A&amp;'小红书-订单明细'!O:O,0))/(INDEX('小红书-订单明细'!T:T,MATCH(R19&amp;AC19,'小红书-订单明细'!A:A&amp;'小红书-订单明细'!O:O,0)))))&gt;15%,ROUNDUP(SUM(AF19,AH19:AI19)/(INDEX('小红书-订单明细'!W:W,MATCH(R19&amp;AC19,'小红书-订单明细'!A:A&amp;'小红书-订单明细'!O:O,0))/(INDEX('小红书-订单明细'!T:T,MATCH(R19&amp;AC19,'小红书-订单明细'!A:A&amp;'小红书-订单明细'!O:O,0)))),0),ROUNDDOWN(SUM(AF19,AH19:AI19)/(INDEX('小红书-订单明细'!W:W,MATCH(R19&amp;AC19,'小红书-订单明细'!A:A&amp;'小红书-订单明细'!O:O,0))/(INDEX('小红书-订单明细'!T:T,MATCH(R19&amp;AC19,'小红书-订单明细'!A:A&amp;'小红书-订单明细'!O:O,0)))),0)))</f>
        <v>1</v>
      </c>
      <c r="I19" s="26">
        <f t="shared" si="5"/>
        <v>219</v>
      </c>
      <c r="J19" s="26">
        <f t="shared" si="6"/>
        <v>0</v>
      </c>
      <c r="K19" s="26">
        <f t="shared" si="7"/>
        <v>0</v>
      </c>
      <c r="L19" s="26">
        <f t="shared" si="8"/>
        <v>10.95</v>
      </c>
      <c r="M19" s="26">
        <f t="shared" si="9"/>
        <v>1.31</v>
      </c>
      <c r="N19" s="26"/>
      <c r="O19" s="28">
        <f t="shared" si="10"/>
        <v>206.74</v>
      </c>
      <c r="Q19" s="1" cm="1">
        <f t="array" ref="Q19">SUM(AF19,AH19:AI19)/(INDEX('小红书-订单明细'!W:W,MATCH(R19&amp;AC19,'小红书-订单明细'!A:A&amp;'小红书-订单明细'!O:O,0))/(INDEX('小红书-订单明细'!T:T,MATCH(R19&amp;AC19,'小红书-订单明细'!A:A&amp;'小红书-订单明细'!O:O,0))))</f>
        <v>1</v>
      </c>
      <c r="R19" s="29" t="s">
        <v>446</v>
      </c>
      <c r="S19" s="30"/>
      <c r="T19" s="30" t="s">
        <v>1791</v>
      </c>
      <c r="U19" s="30" t="s">
        <v>1795</v>
      </c>
      <c r="V19" s="30" t="s">
        <v>1793</v>
      </c>
      <c r="W19" s="31" t="s">
        <v>1755</v>
      </c>
      <c r="X19" s="31" t="s">
        <v>1749</v>
      </c>
      <c r="Y19" s="30">
        <v>206.74</v>
      </c>
      <c r="Z19" s="31" t="s">
        <v>1794</v>
      </c>
      <c r="AA19" s="31" t="s">
        <v>1761</v>
      </c>
      <c r="AB19" s="30" t="s">
        <v>455</v>
      </c>
      <c r="AC19" s="29" t="s">
        <v>456</v>
      </c>
      <c r="AD19" s="32">
        <v>1</v>
      </c>
      <c r="AE19" s="30">
        <v>219</v>
      </c>
      <c r="AF19" s="36">
        <v>219</v>
      </c>
      <c r="AG19" s="30" t="s">
        <v>75</v>
      </c>
      <c r="AH19" s="30">
        <v>0</v>
      </c>
      <c r="AI19" s="33">
        <v>0</v>
      </c>
      <c r="AJ19" s="33">
        <v>0</v>
      </c>
      <c r="AK19" s="32">
        <v>0.05</v>
      </c>
      <c r="AL19" s="32">
        <v>0</v>
      </c>
      <c r="AM19" s="33">
        <v>-10.95</v>
      </c>
      <c r="AN19" s="33">
        <v>219</v>
      </c>
      <c r="AO19" s="32">
        <v>219</v>
      </c>
      <c r="AP19" s="32">
        <v>0</v>
      </c>
      <c r="AQ19" s="34" t="s">
        <v>101</v>
      </c>
      <c r="AR19" s="32">
        <v>0</v>
      </c>
      <c r="AS19" s="32">
        <v>0.006</v>
      </c>
      <c r="AT19" s="33">
        <v>-1.31</v>
      </c>
      <c r="AU19" s="30" t="s">
        <v>148</v>
      </c>
      <c r="AV19" s="31" t="s">
        <v>1752</v>
      </c>
      <c r="AW19" s="31" t="s">
        <v>1753</v>
      </c>
      <c r="AX19" s="30"/>
      <c r="AY19" s="30"/>
      <c r="AZ19" s="33">
        <v>0</v>
      </c>
      <c r="BA19" s="32">
        <v>0</v>
      </c>
      <c r="BB19" s="32">
        <v>0</v>
      </c>
      <c r="BC19" s="32">
        <v>0</v>
      </c>
      <c r="BD19" s="32">
        <v>0</v>
      </c>
      <c r="BE19" s="35"/>
    </row>
    <row r="20" customHeight="1" spans="1:57">
      <c r="A20" s="25">
        <f t="shared" si="0"/>
        <v>2025</v>
      </c>
      <c r="B20" s="26">
        <f t="shared" si="1"/>
        <v>8</v>
      </c>
      <c r="C20" s="26" t="str">
        <f t="shared" si="2"/>
        <v>P770794018206458841</v>
      </c>
      <c r="D20" s="26">
        <f t="shared" si="3"/>
        <v>2</v>
      </c>
      <c r="E20" s="26">
        <f>COUNTIF($R$2:R20,R20)</f>
        <v>1</v>
      </c>
      <c r="F20" s="27" t="str" cm="1">
        <f t="array" ref="F20">INDEX('小红书-订单明细'!BQ:BQ,MATCH(R20&amp;AC20,'小红书-订单明细'!A:A&amp;'小红书-订单明细'!O:O,0))</f>
        <v>Z2378-花纱色-M</v>
      </c>
      <c r="G20" s="27" t="str">
        <f t="shared" si="4"/>
        <v>Z2378</v>
      </c>
      <c r="H20" s="26" cm="1">
        <f t="array" ref="H20">IF(ABS(BG20)&gt;=1,SUM(AF20,AH20:AI20)/(INDEX('小红书-订单明细'!W:W,MATCH(R20&amp;AC20,'小红书-订单明细'!A:A&amp;'小红书-订单明细'!O:O,0))/(INDEX('小红书-订单明细'!T:T,MATCH(R20&amp;AC20,'小红书-订单明细'!A:A&amp;'小红书-订单明细'!O:O,0)))),IF(ABS(SUM(AF20,AH20:AI20)/(INDEX('小红书-订单明细'!W:W,MATCH(R20&amp;AC20,'小红书-订单明细'!A:A&amp;'小红书-订单明细'!O:O,0))/(INDEX('小红书-订单明细'!T:T,MATCH(R20&amp;AC20,'小红书-订单明细'!A:A&amp;'小红书-订单明细'!O:O,0)))))&gt;15%,ROUNDUP(SUM(AF20,AH20:AI20)/(INDEX('小红书-订单明细'!W:W,MATCH(R20&amp;AC20,'小红书-订单明细'!A:A&amp;'小红书-订单明细'!O:O,0))/(INDEX('小红书-订单明细'!T:T,MATCH(R20&amp;AC20,'小红书-订单明细'!A:A&amp;'小红书-订单明细'!O:O,0)))),0),ROUNDDOWN(SUM(AF20,AH20:AI20)/(INDEX('小红书-订单明细'!W:W,MATCH(R20&amp;AC20,'小红书-订单明细'!A:A&amp;'小红书-订单明细'!O:O,0))/(INDEX('小红书-订单明细'!T:T,MATCH(R20&amp;AC20,'小红书-订单明细'!A:A&amp;'小红书-订单明细'!O:O,0)))),0)))</f>
        <v>-1</v>
      </c>
      <c r="I20" s="26">
        <f t="shared" si="5"/>
        <v>-179</v>
      </c>
      <c r="J20" s="26">
        <f t="shared" si="6"/>
        <v>0</v>
      </c>
      <c r="K20" s="26">
        <f t="shared" si="7"/>
        <v>0</v>
      </c>
      <c r="L20" s="26">
        <f t="shared" si="8"/>
        <v>-8.95</v>
      </c>
      <c r="M20" s="26">
        <f t="shared" si="9"/>
        <v>-1.07</v>
      </c>
      <c r="N20" s="26"/>
      <c r="O20" s="28">
        <f t="shared" si="10"/>
        <v>-168.98</v>
      </c>
      <c r="Q20" s="1" cm="1">
        <f t="array" ref="Q20">SUM(AF20,AH20:AI20)/(INDEX('小红书-订单明细'!W:W,MATCH(R20&amp;AC20,'小红书-订单明细'!A:A&amp;'小红书-订单明细'!O:O,0))/(INDEX('小红书-订单明细'!T:T,MATCH(R20&amp;AC20,'小红书-订单明细'!A:A&amp;'小红书-订单明细'!O:O,0))))</f>
        <v>-1</v>
      </c>
      <c r="R20" s="29" t="s">
        <v>1371</v>
      </c>
      <c r="S20" s="30" t="s">
        <v>1796</v>
      </c>
      <c r="T20" s="30" t="s">
        <v>1262</v>
      </c>
      <c r="U20" s="30" t="s">
        <v>1797</v>
      </c>
      <c r="V20" s="30" t="s">
        <v>1798</v>
      </c>
      <c r="W20" s="31" t="s">
        <v>1748</v>
      </c>
      <c r="X20" s="31" t="s">
        <v>1749</v>
      </c>
      <c r="Y20" s="30">
        <v>-168.98</v>
      </c>
      <c r="Z20" s="31" t="s">
        <v>1799</v>
      </c>
      <c r="AA20" s="31" t="s">
        <v>1773</v>
      </c>
      <c r="AB20" s="30" t="s">
        <v>810</v>
      </c>
      <c r="AC20" s="29" t="s">
        <v>811</v>
      </c>
      <c r="AD20" s="32">
        <v>0</v>
      </c>
      <c r="AE20" s="30">
        <v>-179</v>
      </c>
      <c r="AF20" s="29">
        <v>-179</v>
      </c>
      <c r="AG20" s="30">
        <v>0</v>
      </c>
      <c r="AH20" s="30">
        <v>0</v>
      </c>
      <c r="AI20" s="33">
        <v>0</v>
      </c>
      <c r="AJ20" s="33">
        <v>0</v>
      </c>
      <c r="AK20" s="32">
        <v>0</v>
      </c>
      <c r="AL20" s="32">
        <v>0</v>
      </c>
      <c r="AM20" s="33">
        <v>8.95</v>
      </c>
      <c r="AN20" s="33">
        <v>0</v>
      </c>
      <c r="AO20" s="32">
        <v>0</v>
      </c>
      <c r="AP20" s="32">
        <v>0</v>
      </c>
      <c r="AQ20" s="34" t="s">
        <v>101</v>
      </c>
      <c r="AR20" s="32">
        <v>0</v>
      </c>
      <c r="AS20" s="32">
        <v>0</v>
      </c>
      <c r="AT20" s="33">
        <v>1.07</v>
      </c>
      <c r="AU20" s="30" t="s">
        <v>148</v>
      </c>
      <c r="AV20" s="31" t="s">
        <v>1752</v>
      </c>
      <c r="AW20" s="31" t="s">
        <v>1753</v>
      </c>
      <c r="AX20" s="30"/>
      <c r="AY20" s="30"/>
      <c r="AZ20" s="33">
        <v>0</v>
      </c>
      <c r="BA20" s="32">
        <v>0</v>
      </c>
      <c r="BB20" s="32">
        <v>0</v>
      </c>
      <c r="BC20" s="32">
        <v>0</v>
      </c>
      <c r="BD20" s="32">
        <v>0</v>
      </c>
      <c r="BE20" s="35"/>
    </row>
    <row r="21" customHeight="1" spans="1:57">
      <c r="A21" s="25">
        <f t="shared" si="0"/>
        <v>2025</v>
      </c>
      <c r="B21" s="26">
        <f t="shared" si="1"/>
        <v>8</v>
      </c>
      <c r="C21" s="26" t="str">
        <f t="shared" si="2"/>
        <v>P770794018206458841</v>
      </c>
      <c r="D21" s="26">
        <f t="shared" si="3"/>
        <v>2</v>
      </c>
      <c r="E21" s="26">
        <f>COUNTIF($R$2:R21,R21)</f>
        <v>2</v>
      </c>
      <c r="F21" s="27" t="str" cm="1">
        <f t="array" ref="F21">INDEX('小红书-订单明细'!BQ:BQ,MATCH(R21&amp;AC21,'小红书-订单明细'!A:A&amp;'小红书-订单明细'!O:O,0))</f>
        <v>Z2378-花纱色-M</v>
      </c>
      <c r="G21" s="27" t="str">
        <f t="shared" si="4"/>
        <v>Z2378</v>
      </c>
      <c r="H21" s="26" cm="1">
        <f t="array" ref="H21">IF(ABS(BG21)&gt;=1,SUM(AF21,AH21:AI21)/(INDEX('小红书-订单明细'!W:W,MATCH(R21&amp;AC21,'小红书-订单明细'!A:A&amp;'小红书-订单明细'!O:O,0))/(INDEX('小红书-订单明细'!T:T,MATCH(R21&amp;AC21,'小红书-订单明细'!A:A&amp;'小红书-订单明细'!O:O,0)))),IF(ABS(SUM(AF21,AH21:AI21)/(INDEX('小红书-订单明细'!W:W,MATCH(R21&amp;AC21,'小红书-订单明细'!A:A&amp;'小红书-订单明细'!O:O,0))/(INDEX('小红书-订单明细'!T:T,MATCH(R21&amp;AC21,'小红书-订单明细'!A:A&amp;'小红书-订单明细'!O:O,0)))))&gt;15%,ROUNDUP(SUM(AF21,AH21:AI21)/(INDEX('小红书-订单明细'!W:W,MATCH(R21&amp;AC21,'小红书-订单明细'!A:A&amp;'小红书-订单明细'!O:O,0))/(INDEX('小红书-订单明细'!T:T,MATCH(R21&amp;AC21,'小红书-订单明细'!A:A&amp;'小红书-订单明细'!O:O,0)))),0),ROUNDDOWN(SUM(AF21,AH21:AI21)/(INDEX('小红书-订单明细'!W:W,MATCH(R21&amp;AC21,'小红书-订单明细'!A:A&amp;'小红书-订单明细'!O:O,0))/(INDEX('小红书-订单明细'!T:T,MATCH(R21&amp;AC21,'小红书-订单明细'!A:A&amp;'小红书-订单明细'!O:O,0)))),0)))</f>
        <v>1</v>
      </c>
      <c r="I21" s="26">
        <f t="shared" si="5"/>
        <v>179</v>
      </c>
      <c r="J21" s="26">
        <f t="shared" si="6"/>
        <v>0</v>
      </c>
      <c r="K21" s="26">
        <f t="shared" si="7"/>
        <v>0</v>
      </c>
      <c r="L21" s="26">
        <f t="shared" si="8"/>
        <v>8.95</v>
      </c>
      <c r="M21" s="26">
        <f t="shared" si="9"/>
        <v>1.07</v>
      </c>
      <c r="N21" s="26"/>
      <c r="O21" s="28">
        <f t="shared" si="10"/>
        <v>168.98</v>
      </c>
      <c r="Q21" s="1" cm="1">
        <f t="array" ref="Q21">SUM(AF21,AH21:AI21)/(INDEX('小红书-订单明细'!W:W,MATCH(R21&amp;AC21,'小红书-订单明细'!A:A&amp;'小红书-订单明细'!O:O,0))/(INDEX('小红书-订单明细'!T:T,MATCH(R21&amp;AC21,'小红书-订单明细'!A:A&amp;'小红书-订单明细'!O:O,0))))</f>
        <v>1</v>
      </c>
      <c r="R21" s="29" t="s">
        <v>1371</v>
      </c>
      <c r="S21" s="30"/>
      <c r="T21" s="30" t="s">
        <v>1262</v>
      </c>
      <c r="U21" s="30" t="s">
        <v>1800</v>
      </c>
      <c r="V21" s="30" t="s">
        <v>1798</v>
      </c>
      <c r="W21" s="31" t="s">
        <v>1755</v>
      </c>
      <c r="X21" s="31" t="s">
        <v>1749</v>
      </c>
      <c r="Y21" s="30">
        <v>168.98</v>
      </c>
      <c r="Z21" s="31" t="s">
        <v>1799</v>
      </c>
      <c r="AA21" s="31" t="s">
        <v>1773</v>
      </c>
      <c r="AB21" s="30" t="s">
        <v>810</v>
      </c>
      <c r="AC21" s="29" t="s">
        <v>811</v>
      </c>
      <c r="AD21" s="32">
        <v>1</v>
      </c>
      <c r="AE21" s="30">
        <v>179</v>
      </c>
      <c r="AF21" s="36">
        <v>179</v>
      </c>
      <c r="AG21" s="30" t="s">
        <v>75</v>
      </c>
      <c r="AH21" s="30">
        <v>0</v>
      </c>
      <c r="AI21" s="33">
        <v>0</v>
      </c>
      <c r="AJ21" s="33">
        <v>0</v>
      </c>
      <c r="AK21" s="32">
        <v>0.05</v>
      </c>
      <c r="AL21" s="32">
        <v>0</v>
      </c>
      <c r="AM21" s="33">
        <v>-8.95</v>
      </c>
      <c r="AN21" s="33">
        <v>179</v>
      </c>
      <c r="AO21" s="32">
        <v>179</v>
      </c>
      <c r="AP21" s="32">
        <v>0</v>
      </c>
      <c r="AQ21" s="34" t="s">
        <v>101</v>
      </c>
      <c r="AR21" s="32">
        <v>0</v>
      </c>
      <c r="AS21" s="32">
        <v>0.006</v>
      </c>
      <c r="AT21" s="33">
        <v>-1.07</v>
      </c>
      <c r="AU21" s="30" t="s">
        <v>148</v>
      </c>
      <c r="AV21" s="31" t="s">
        <v>1752</v>
      </c>
      <c r="AW21" s="31" t="s">
        <v>1753</v>
      </c>
      <c r="AX21" s="30"/>
      <c r="AY21" s="30"/>
      <c r="AZ21" s="33">
        <v>0</v>
      </c>
      <c r="BA21" s="32">
        <v>0</v>
      </c>
      <c r="BB21" s="32">
        <v>0</v>
      </c>
      <c r="BC21" s="32">
        <v>0</v>
      </c>
      <c r="BD21" s="32">
        <v>0</v>
      </c>
      <c r="BE21" s="35"/>
    </row>
    <row r="22" customHeight="1" spans="1:57">
      <c r="A22" s="25">
        <f t="shared" si="0"/>
        <v>2025</v>
      </c>
      <c r="B22" s="26">
        <f t="shared" si="1"/>
        <v>8</v>
      </c>
      <c r="C22" s="26" t="str">
        <f t="shared" si="2"/>
        <v>P770793869532382601</v>
      </c>
      <c r="D22" s="26">
        <f t="shared" si="3"/>
        <v>2</v>
      </c>
      <c r="E22" s="26">
        <f>COUNTIF($R$2:R22,R22)</f>
        <v>1</v>
      </c>
      <c r="F22" s="27" t="str" cm="1">
        <f t="array" ref="F22">INDEX('小红书-订单明细'!BQ:BQ,MATCH(R22&amp;AC22,'小红书-订单明细'!A:A&amp;'小红书-订单明细'!O:O,0))</f>
        <v>Z2378-灰色-M</v>
      </c>
      <c r="G22" s="27" t="str">
        <f t="shared" si="4"/>
        <v>Z2378</v>
      </c>
      <c r="H22" s="26" cm="1">
        <f t="array" ref="H22">IF(ABS(BG22)&gt;=1,SUM(AF22,AH22:AI22)/(INDEX('小红书-订单明细'!W:W,MATCH(R22&amp;AC22,'小红书-订单明细'!A:A&amp;'小红书-订单明细'!O:O,0))/(INDEX('小红书-订单明细'!T:T,MATCH(R22&amp;AC22,'小红书-订单明细'!A:A&amp;'小红书-订单明细'!O:O,0)))),IF(ABS(SUM(AF22,AH22:AI22)/(INDEX('小红书-订单明细'!W:W,MATCH(R22&amp;AC22,'小红书-订单明细'!A:A&amp;'小红书-订单明细'!O:O,0))/(INDEX('小红书-订单明细'!T:T,MATCH(R22&amp;AC22,'小红书-订单明细'!A:A&amp;'小红书-订单明细'!O:O,0)))))&gt;15%,ROUNDUP(SUM(AF22,AH22:AI22)/(INDEX('小红书-订单明细'!W:W,MATCH(R22&amp;AC22,'小红书-订单明细'!A:A&amp;'小红书-订单明细'!O:O,0))/(INDEX('小红书-订单明细'!T:T,MATCH(R22&amp;AC22,'小红书-订单明细'!A:A&amp;'小红书-订单明细'!O:O,0)))),0),ROUNDDOWN(SUM(AF22,AH22:AI22)/(INDEX('小红书-订单明细'!W:W,MATCH(R22&amp;AC22,'小红书-订单明细'!A:A&amp;'小红书-订单明细'!O:O,0))/(INDEX('小红书-订单明细'!T:T,MATCH(R22&amp;AC22,'小红书-订单明细'!A:A&amp;'小红书-订单明细'!O:O,0)))),0)))</f>
        <v>-1</v>
      </c>
      <c r="I22" s="26">
        <f t="shared" si="5"/>
        <v>-179</v>
      </c>
      <c r="J22" s="26">
        <f t="shared" si="6"/>
        <v>0</v>
      </c>
      <c r="K22" s="26">
        <f t="shared" si="7"/>
        <v>0</v>
      </c>
      <c r="L22" s="26">
        <f t="shared" si="8"/>
        <v>-8.95</v>
      </c>
      <c r="M22" s="26">
        <f t="shared" si="9"/>
        <v>-1.07</v>
      </c>
      <c r="N22" s="26"/>
      <c r="O22" s="28">
        <f t="shared" si="10"/>
        <v>-168.98</v>
      </c>
      <c r="Q22" s="1" cm="1">
        <f t="array" ref="Q22">SUM(AF22,AH22:AI22)/(INDEX('小红书-订单明细'!W:W,MATCH(R22&amp;AC22,'小红书-订单明细'!A:A&amp;'小红书-订单明细'!O:O,0))/(INDEX('小红书-订单明细'!T:T,MATCH(R22&amp;AC22,'小红书-订单明细'!A:A&amp;'小红书-订单明细'!O:O,0))))</f>
        <v>-1</v>
      </c>
      <c r="R22" s="29" t="s">
        <v>1290</v>
      </c>
      <c r="S22" s="30" t="s">
        <v>1801</v>
      </c>
      <c r="T22" s="30" t="s">
        <v>1298</v>
      </c>
      <c r="U22" s="30" t="s">
        <v>1802</v>
      </c>
      <c r="V22" s="30" t="s">
        <v>1803</v>
      </c>
      <c r="W22" s="31" t="s">
        <v>1748</v>
      </c>
      <c r="X22" s="31" t="s">
        <v>1749</v>
      </c>
      <c r="Y22" s="30">
        <v>-168.98</v>
      </c>
      <c r="Z22" s="31" t="s">
        <v>1804</v>
      </c>
      <c r="AA22" s="31" t="s">
        <v>1773</v>
      </c>
      <c r="AB22" s="30" t="s">
        <v>906</v>
      </c>
      <c r="AC22" s="29" t="s">
        <v>907</v>
      </c>
      <c r="AD22" s="32">
        <v>0</v>
      </c>
      <c r="AE22" s="30">
        <v>-179</v>
      </c>
      <c r="AF22" s="29">
        <v>-179</v>
      </c>
      <c r="AG22" s="30">
        <v>0</v>
      </c>
      <c r="AH22" s="30">
        <v>0</v>
      </c>
      <c r="AI22" s="33">
        <v>0</v>
      </c>
      <c r="AJ22" s="33">
        <v>0</v>
      </c>
      <c r="AK22" s="32">
        <v>0</v>
      </c>
      <c r="AL22" s="32">
        <v>0</v>
      </c>
      <c r="AM22" s="33">
        <v>8.95</v>
      </c>
      <c r="AN22" s="33">
        <v>0</v>
      </c>
      <c r="AO22" s="32">
        <v>0</v>
      </c>
      <c r="AP22" s="32">
        <v>0</v>
      </c>
      <c r="AQ22" s="34" t="s">
        <v>101</v>
      </c>
      <c r="AR22" s="32">
        <v>0</v>
      </c>
      <c r="AS22" s="32">
        <v>0</v>
      </c>
      <c r="AT22" s="33">
        <v>1.07</v>
      </c>
      <c r="AU22" s="30" t="s">
        <v>148</v>
      </c>
      <c r="AV22" s="31" t="s">
        <v>1752</v>
      </c>
      <c r="AW22" s="31" t="s">
        <v>1753</v>
      </c>
      <c r="AX22" s="30"/>
      <c r="AY22" s="30"/>
      <c r="AZ22" s="33">
        <v>0</v>
      </c>
      <c r="BA22" s="32">
        <v>0</v>
      </c>
      <c r="BB22" s="32">
        <v>0</v>
      </c>
      <c r="BC22" s="32">
        <v>0</v>
      </c>
      <c r="BD22" s="32">
        <v>0</v>
      </c>
      <c r="BE22" s="35"/>
    </row>
    <row r="23" customHeight="1" spans="1:57">
      <c r="A23" s="25">
        <f t="shared" si="0"/>
        <v>2025</v>
      </c>
      <c r="B23" s="26">
        <f t="shared" si="1"/>
        <v>8</v>
      </c>
      <c r="C23" s="26" t="str">
        <f t="shared" si="2"/>
        <v>P770796097446414361</v>
      </c>
      <c r="D23" s="26">
        <f t="shared" si="3"/>
        <v>2</v>
      </c>
      <c r="E23" s="26">
        <f>COUNTIF($R$2:R23,R23)</f>
        <v>1</v>
      </c>
      <c r="F23" s="27" t="str" cm="1">
        <f t="array" ref="F23">INDEX('小红书-订单明细'!BQ:BQ,MATCH(R23&amp;AC23,'小红书-订单明细'!A:A&amp;'小红书-订单明细'!O:O,0))</f>
        <v>Z2378-花纱色-S</v>
      </c>
      <c r="G23" s="27" t="str">
        <f t="shared" si="4"/>
        <v>Z2378</v>
      </c>
      <c r="H23" s="26" cm="1">
        <f t="array" ref="H23">IF(ABS(BG23)&gt;=1,SUM(AF23,AH23:AI23)/(INDEX('小红书-订单明细'!W:W,MATCH(R23&amp;AC23,'小红书-订单明细'!A:A&amp;'小红书-订单明细'!O:O,0))/(INDEX('小红书-订单明细'!T:T,MATCH(R23&amp;AC23,'小红书-订单明细'!A:A&amp;'小红书-订单明细'!O:O,0)))),IF(ABS(SUM(AF23,AH23:AI23)/(INDEX('小红书-订单明细'!W:W,MATCH(R23&amp;AC23,'小红书-订单明细'!A:A&amp;'小红书-订单明细'!O:O,0))/(INDEX('小红书-订单明细'!T:T,MATCH(R23&amp;AC23,'小红书-订单明细'!A:A&amp;'小红书-订单明细'!O:O,0)))))&gt;15%,ROUNDUP(SUM(AF23,AH23:AI23)/(INDEX('小红书-订单明细'!W:W,MATCH(R23&amp;AC23,'小红书-订单明细'!A:A&amp;'小红书-订单明细'!O:O,0))/(INDEX('小红书-订单明细'!T:T,MATCH(R23&amp;AC23,'小红书-订单明细'!A:A&amp;'小红书-订单明细'!O:O,0)))),0),ROUNDDOWN(SUM(AF23,AH23:AI23)/(INDEX('小红书-订单明细'!W:W,MATCH(R23&amp;AC23,'小红书-订单明细'!A:A&amp;'小红书-订单明细'!O:O,0))/(INDEX('小红书-订单明细'!T:T,MATCH(R23&amp;AC23,'小红书-订单明细'!A:A&amp;'小红书-订单明细'!O:O,0)))),0)))</f>
        <v>-1</v>
      </c>
      <c r="I23" s="26">
        <f t="shared" si="5"/>
        <v>-179</v>
      </c>
      <c r="J23" s="26">
        <f t="shared" si="6"/>
        <v>0</v>
      </c>
      <c r="K23" s="26">
        <f t="shared" si="7"/>
        <v>0</v>
      </c>
      <c r="L23" s="26">
        <f t="shared" si="8"/>
        <v>-8.95</v>
      </c>
      <c r="M23" s="26">
        <f t="shared" si="9"/>
        <v>-1.07</v>
      </c>
      <c r="N23" s="26"/>
      <c r="O23" s="28">
        <f t="shared" si="10"/>
        <v>-168.98</v>
      </c>
      <c r="Q23" s="1" cm="1">
        <f t="array" ref="Q23">SUM(AF23,AH23:AI23)/(INDEX('小红书-订单明细'!W:W,MATCH(R23&amp;AC23,'小红书-订单明细'!A:A&amp;'小红书-订单明细'!O:O,0))/(INDEX('小红书-订单明细'!T:T,MATCH(R23&amp;AC23,'小红书-订单明细'!A:A&amp;'小红书-订单明细'!O:O,0))))</f>
        <v>-1</v>
      </c>
      <c r="R23" s="29" t="s">
        <v>937</v>
      </c>
      <c r="S23" s="30" t="s">
        <v>1805</v>
      </c>
      <c r="T23" s="30" t="s">
        <v>946</v>
      </c>
      <c r="U23" s="30" t="s">
        <v>1806</v>
      </c>
      <c r="V23" s="30" t="s">
        <v>1803</v>
      </c>
      <c r="W23" s="31" t="s">
        <v>1748</v>
      </c>
      <c r="X23" s="31" t="s">
        <v>1749</v>
      </c>
      <c r="Y23" s="30">
        <v>-168.98</v>
      </c>
      <c r="Z23" s="31" t="s">
        <v>1807</v>
      </c>
      <c r="AA23" s="31" t="s">
        <v>1773</v>
      </c>
      <c r="AB23" s="30" t="s">
        <v>924</v>
      </c>
      <c r="AC23" s="29" t="s">
        <v>925</v>
      </c>
      <c r="AD23" s="32">
        <v>0</v>
      </c>
      <c r="AE23" s="30">
        <v>-179</v>
      </c>
      <c r="AF23" s="29">
        <v>-179</v>
      </c>
      <c r="AG23" s="30">
        <v>0</v>
      </c>
      <c r="AH23" s="30">
        <v>0</v>
      </c>
      <c r="AI23" s="33">
        <v>0</v>
      </c>
      <c r="AJ23" s="33">
        <v>0</v>
      </c>
      <c r="AK23" s="32">
        <v>0</v>
      </c>
      <c r="AL23" s="32">
        <v>0</v>
      </c>
      <c r="AM23" s="33">
        <v>8.95</v>
      </c>
      <c r="AN23" s="33">
        <v>0</v>
      </c>
      <c r="AO23" s="32">
        <v>0</v>
      </c>
      <c r="AP23" s="32">
        <v>0</v>
      </c>
      <c r="AQ23" s="34" t="s">
        <v>101</v>
      </c>
      <c r="AR23" s="32">
        <v>0</v>
      </c>
      <c r="AS23" s="32">
        <v>0</v>
      </c>
      <c r="AT23" s="33">
        <v>1.07</v>
      </c>
      <c r="AU23" s="30" t="s">
        <v>148</v>
      </c>
      <c r="AV23" s="31" t="s">
        <v>1752</v>
      </c>
      <c r="AW23" s="31" t="s">
        <v>1753</v>
      </c>
      <c r="AX23" s="30"/>
      <c r="AY23" s="30"/>
      <c r="AZ23" s="33">
        <v>0</v>
      </c>
      <c r="BA23" s="32">
        <v>0</v>
      </c>
      <c r="BB23" s="32">
        <v>0</v>
      </c>
      <c r="BC23" s="32">
        <v>0</v>
      </c>
      <c r="BD23" s="32">
        <v>0</v>
      </c>
      <c r="BE23" s="35"/>
    </row>
    <row r="24" customHeight="1" spans="1:57">
      <c r="A24" s="25">
        <f t="shared" si="0"/>
        <v>2025</v>
      </c>
      <c r="B24" s="26">
        <f t="shared" si="1"/>
        <v>8</v>
      </c>
      <c r="C24" s="26" t="str">
        <f t="shared" si="2"/>
        <v>P770794042509304891</v>
      </c>
      <c r="D24" s="26">
        <f t="shared" si="3"/>
        <v>2</v>
      </c>
      <c r="E24" s="26">
        <f>COUNTIF($R$2:R24,R24)</f>
        <v>1</v>
      </c>
      <c r="F24" s="27" t="str" cm="1">
        <f t="array" ref="F24">INDEX('小红书-订单明细'!BQ:BQ,MATCH(R24&amp;AC24,'小红书-订单明细'!A:A&amp;'小红书-订单明细'!O:O,0))</f>
        <v>Z2378-花纱色-M</v>
      </c>
      <c r="G24" s="27" t="str">
        <f t="shared" si="4"/>
        <v>Z2378</v>
      </c>
      <c r="H24" s="26" cm="1">
        <f t="array" ref="H24">IF(ABS(BG24)&gt;=1,SUM(AF24,AH24:AI24)/(INDEX('小红书-订单明细'!W:W,MATCH(R24&amp;AC24,'小红书-订单明细'!A:A&amp;'小红书-订单明细'!O:O,0))/(INDEX('小红书-订单明细'!T:T,MATCH(R24&amp;AC24,'小红书-订单明细'!A:A&amp;'小红书-订单明细'!O:O,0)))),IF(ABS(SUM(AF24,AH24:AI24)/(INDEX('小红书-订单明细'!W:W,MATCH(R24&amp;AC24,'小红书-订单明细'!A:A&amp;'小红书-订单明细'!O:O,0))/(INDEX('小红书-订单明细'!T:T,MATCH(R24&amp;AC24,'小红书-订单明细'!A:A&amp;'小红书-订单明细'!O:O,0)))))&gt;15%,ROUNDUP(SUM(AF24,AH24:AI24)/(INDEX('小红书-订单明细'!W:W,MATCH(R24&amp;AC24,'小红书-订单明细'!A:A&amp;'小红书-订单明细'!O:O,0))/(INDEX('小红书-订单明细'!T:T,MATCH(R24&amp;AC24,'小红书-订单明细'!A:A&amp;'小红书-订单明细'!O:O,0)))),0),ROUNDDOWN(SUM(AF24,AH24:AI24)/(INDEX('小红书-订单明细'!W:W,MATCH(R24&amp;AC24,'小红书-订单明细'!A:A&amp;'小红书-订单明细'!O:O,0))/(INDEX('小红书-订单明细'!T:T,MATCH(R24&amp;AC24,'小红书-订单明细'!A:A&amp;'小红书-订单明细'!O:O,0)))),0)))</f>
        <v>-1</v>
      </c>
      <c r="I24" s="26">
        <f t="shared" si="5"/>
        <v>-179</v>
      </c>
      <c r="J24" s="26">
        <f t="shared" si="6"/>
        <v>0</v>
      </c>
      <c r="K24" s="26">
        <f t="shared" si="7"/>
        <v>-10</v>
      </c>
      <c r="L24" s="26">
        <f t="shared" si="8"/>
        <v>-8.95</v>
      </c>
      <c r="M24" s="26">
        <f t="shared" si="9"/>
        <v>-1.07</v>
      </c>
      <c r="N24" s="26"/>
      <c r="O24" s="28">
        <f t="shared" si="10"/>
        <v>-178.98</v>
      </c>
      <c r="Q24" s="1" cm="1">
        <f t="array" ref="Q24">SUM(AF24,AH24:AI24)/(INDEX('小红书-订单明细'!W:W,MATCH(R24&amp;AC24,'小红书-订单明细'!A:A&amp;'小红书-订单明细'!O:O,0))/(INDEX('小红书-订单明细'!T:T,MATCH(R24&amp;AC24,'小红书-订单明细'!A:A&amp;'小红书-订单明细'!O:O,0))))</f>
        <v>-1</v>
      </c>
      <c r="R24" s="29" t="s">
        <v>1238</v>
      </c>
      <c r="S24" s="30" t="s">
        <v>1808</v>
      </c>
      <c r="T24" s="30" t="s">
        <v>1246</v>
      </c>
      <c r="U24" s="30" t="s">
        <v>1809</v>
      </c>
      <c r="V24" s="30" t="s">
        <v>1803</v>
      </c>
      <c r="W24" s="31" t="s">
        <v>1748</v>
      </c>
      <c r="X24" s="31" t="s">
        <v>1749</v>
      </c>
      <c r="Y24" s="30">
        <v>-178.98</v>
      </c>
      <c r="Z24" s="31" t="s">
        <v>1799</v>
      </c>
      <c r="AA24" s="31" t="s">
        <v>1773</v>
      </c>
      <c r="AB24" s="30" t="s">
        <v>810</v>
      </c>
      <c r="AC24" s="29" t="s">
        <v>811</v>
      </c>
      <c r="AD24" s="32">
        <v>0</v>
      </c>
      <c r="AE24" s="30">
        <v>-179</v>
      </c>
      <c r="AF24" s="29">
        <v>-179</v>
      </c>
      <c r="AG24" s="30">
        <v>0</v>
      </c>
      <c r="AH24" s="30">
        <v>0</v>
      </c>
      <c r="AI24" s="33">
        <v>0</v>
      </c>
      <c r="AJ24" s="33">
        <v>0</v>
      </c>
      <c r="AK24" s="32">
        <v>0</v>
      </c>
      <c r="AL24" s="32">
        <v>0</v>
      </c>
      <c r="AM24" s="33">
        <v>8.95</v>
      </c>
      <c r="AN24" s="33">
        <v>0</v>
      </c>
      <c r="AO24" s="32">
        <v>0</v>
      </c>
      <c r="AP24" s="32">
        <v>0</v>
      </c>
      <c r="AQ24" s="34" t="s">
        <v>101</v>
      </c>
      <c r="AR24" s="32">
        <v>0</v>
      </c>
      <c r="AS24" s="32">
        <v>0</v>
      </c>
      <c r="AT24" s="33">
        <v>1.07</v>
      </c>
      <c r="AU24" s="30" t="s">
        <v>148</v>
      </c>
      <c r="AV24" s="31" t="s">
        <v>1752</v>
      </c>
      <c r="AW24" s="31" t="s">
        <v>1753</v>
      </c>
      <c r="AX24" s="30"/>
      <c r="AY24" s="30"/>
      <c r="AZ24" s="33">
        <v>-10</v>
      </c>
      <c r="BA24" s="32">
        <v>0</v>
      </c>
      <c r="BB24" s="32">
        <v>0</v>
      </c>
      <c r="BC24" s="32">
        <v>0</v>
      </c>
      <c r="BD24" s="32">
        <v>0</v>
      </c>
      <c r="BE24" s="35"/>
    </row>
    <row r="25" customHeight="1" spans="1:57">
      <c r="A25" s="25">
        <f t="shared" si="0"/>
        <v>2025</v>
      </c>
      <c r="B25" s="26">
        <f t="shared" si="1"/>
        <v>8</v>
      </c>
      <c r="C25" s="26" t="str">
        <f t="shared" si="2"/>
        <v>P770796097446414361</v>
      </c>
      <c r="D25" s="26">
        <f t="shared" si="3"/>
        <v>2</v>
      </c>
      <c r="E25" s="26">
        <f>COUNTIF($R$2:R25,R25)</f>
        <v>2</v>
      </c>
      <c r="F25" s="27" t="str" cm="1">
        <f t="array" ref="F25">INDEX('小红书-订单明细'!BQ:BQ,MATCH(R25&amp;AC25,'小红书-订单明细'!A:A&amp;'小红书-订单明细'!O:O,0))</f>
        <v>Z2378-花纱色-S</v>
      </c>
      <c r="G25" s="27" t="str">
        <f t="shared" si="4"/>
        <v>Z2378</v>
      </c>
      <c r="H25" s="26" cm="1">
        <f t="array" ref="H25">IF(ABS(BG25)&gt;=1,SUM(AF25,AH25:AI25)/(INDEX('小红书-订单明细'!W:W,MATCH(R25&amp;AC25,'小红书-订单明细'!A:A&amp;'小红书-订单明细'!O:O,0))/(INDEX('小红书-订单明细'!T:T,MATCH(R25&amp;AC25,'小红书-订单明细'!A:A&amp;'小红书-订单明细'!O:O,0)))),IF(ABS(SUM(AF25,AH25:AI25)/(INDEX('小红书-订单明细'!W:W,MATCH(R25&amp;AC25,'小红书-订单明细'!A:A&amp;'小红书-订单明细'!O:O,0))/(INDEX('小红书-订单明细'!T:T,MATCH(R25&amp;AC25,'小红书-订单明细'!A:A&amp;'小红书-订单明细'!O:O,0)))))&gt;15%,ROUNDUP(SUM(AF25,AH25:AI25)/(INDEX('小红书-订单明细'!W:W,MATCH(R25&amp;AC25,'小红书-订单明细'!A:A&amp;'小红书-订单明细'!O:O,0))/(INDEX('小红书-订单明细'!T:T,MATCH(R25&amp;AC25,'小红书-订单明细'!A:A&amp;'小红书-订单明细'!O:O,0)))),0),ROUNDDOWN(SUM(AF25,AH25:AI25)/(INDEX('小红书-订单明细'!W:W,MATCH(R25&amp;AC25,'小红书-订单明细'!A:A&amp;'小红书-订单明细'!O:O,0))/(INDEX('小红书-订单明细'!T:T,MATCH(R25&amp;AC25,'小红书-订单明细'!A:A&amp;'小红书-订单明细'!O:O,0)))),0)))</f>
        <v>1</v>
      </c>
      <c r="I25" s="26">
        <f t="shared" si="5"/>
        <v>179</v>
      </c>
      <c r="J25" s="26">
        <f t="shared" si="6"/>
        <v>0</v>
      </c>
      <c r="K25" s="26">
        <f t="shared" si="7"/>
        <v>0</v>
      </c>
      <c r="L25" s="26">
        <f t="shared" si="8"/>
        <v>8.95</v>
      </c>
      <c r="M25" s="26">
        <f t="shared" si="9"/>
        <v>1.07</v>
      </c>
      <c r="N25" s="26"/>
      <c r="O25" s="28">
        <f t="shared" si="10"/>
        <v>168.98</v>
      </c>
      <c r="Q25" s="1" cm="1">
        <f t="array" ref="Q25">SUM(AF25,AH25:AI25)/(INDEX('小红书-订单明细'!W:W,MATCH(R25&amp;AC25,'小红书-订单明细'!A:A&amp;'小红书-订单明细'!O:O,0))/(INDEX('小红书-订单明细'!T:T,MATCH(R25&amp;AC25,'小红书-订单明细'!A:A&amp;'小红书-订单明细'!O:O,0))))</f>
        <v>1</v>
      </c>
      <c r="R25" s="29" t="s">
        <v>937</v>
      </c>
      <c r="S25" s="30"/>
      <c r="T25" s="30" t="s">
        <v>946</v>
      </c>
      <c r="U25" s="30" t="s">
        <v>1810</v>
      </c>
      <c r="V25" s="30" t="s">
        <v>1803</v>
      </c>
      <c r="W25" s="31" t="s">
        <v>1755</v>
      </c>
      <c r="X25" s="31" t="s">
        <v>1749</v>
      </c>
      <c r="Y25" s="30">
        <v>168.98</v>
      </c>
      <c r="Z25" s="31" t="s">
        <v>1807</v>
      </c>
      <c r="AA25" s="31" t="s">
        <v>1773</v>
      </c>
      <c r="AB25" s="30" t="s">
        <v>924</v>
      </c>
      <c r="AC25" s="29" t="s">
        <v>925</v>
      </c>
      <c r="AD25" s="32">
        <v>1</v>
      </c>
      <c r="AE25" s="30">
        <v>179</v>
      </c>
      <c r="AF25" s="36">
        <v>179</v>
      </c>
      <c r="AG25" s="30" t="s">
        <v>75</v>
      </c>
      <c r="AH25" s="30">
        <v>0</v>
      </c>
      <c r="AI25" s="33">
        <v>0</v>
      </c>
      <c r="AJ25" s="33">
        <v>0</v>
      </c>
      <c r="AK25" s="32">
        <v>0.05</v>
      </c>
      <c r="AL25" s="32">
        <v>0</v>
      </c>
      <c r="AM25" s="33">
        <v>-8.95</v>
      </c>
      <c r="AN25" s="33">
        <v>179</v>
      </c>
      <c r="AO25" s="32">
        <v>179</v>
      </c>
      <c r="AP25" s="32">
        <v>0</v>
      </c>
      <c r="AQ25" s="34" t="s">
        <v>101</v>
      </c>
      <c r="AR25" s="32">
        <v>0</v>
      </c>
      <c r="AS25" s="32">
        <v>0.006</v>
      </c>
      <c r="AT25" s="33">
        <v>-1.07</v>
      </c>
      <c r="AU25" s="30" t="s">
        <v>148</v>
      </c>
      <c r="AV25" s="31" t="s">
        <v>1752</v>
      </c>
      <c r="AW25" s="31" t="s">
        <v>1753</v>
      </c>
      <c r="AX25" s="30"/>
      <c r="AY25" s="30"/>
      <c r="AZ25" s="33">
        <v>0</v>
      </c>
      <c r="BA25" s="32">
        <v>0</v>
      </c>
      <c r="BB25" s="32">
        <v>0</v>
      </c>
      <c r="BC25" s="32">
        <v>0</v>
      </c>
      <c r="BD25" s="32">
        <v>0</v>
      </c>
      <c r="BE25" s="35"/>
    </row>
    <row r="26" customHeight="1" spans="1:57">
      <c r="A26" s="25">
        <f t="shared" si="0"/>
        <v>2025</v>
      </c>
      <c r="B26" s="26">
        <f t="shared" si="1"/>
        <v>8</v>
      </c>
      <c r="C26" s="26" t="str">
        <f t="shared" si="2"/>
        <v>P770794042509304891</v>
      </c>
      <c r="D26" s="26">
        <f t="shared" si="3"/>
        <v>2</v>
      </c>
      <c r="E26" s="26">
        <f>COUNTIF($R$2:R26,R26)</f>
        <v>2</v>
      </c>
      <c r="F26" s="27" t="str" cm="1">
        <f t="array" ref="F26">INDEX('小红书-订单明细'!BQ:BQ,MATCH(R26&amp;AC26,'小红书-订单明细'!A:A&amp;'小红书-订单明细'!O:O,0))</f>
        <v>Z2378-花纱色-M</v>
      </c>
      <c r="G26" s="27" t="str">
        <f t="shared" si="4"/>
        <v>Z2378</v>
      </c>
      <c r="H26" s="26" cm="1">
        <f t="array" ref="H26">IF(ABS(BG26)&gt;=1,SUM(AF26,AH26:AI26)/(INDEX('小红书-订单明细'!W:W,MATCH(R26&amp;AC26,'小红书-订单明细'!A:A&amp;'小红书-订单明细'!O:O,0))/(INDEX('小红书-订单明细'!T:T,MATCH(R26&amp;AC26,'小红书-订单明细'!A:A&amp;'小红书-订单明细'!O:O,0)))),IF(ABS(SUM(AF26,AH26:AI26)/(INDEX('小红书-订单明细'!W:W,MATCH(R26&amp;AC26,'小红书-订单明细'!A:A&amp;'小红书-订单明细'!O:O,0))/(INDEX('小红书-订单明细'!T:T,MATCH(R26&amp;AC26,'小红书-订单明细'!A:A&amp;'小红书-订单明细'!O:O,0)))))&gt;15%,ROUNDUP(SUM(AF26,AH26:AI26)/(INDEX('小红书-订单明细'!W:W,MATCH(R26&amp;AC26,'小红书-订单明细'!A:A&amp;'小红书-订单明细'!O:O,0))/(INDEX('小红书-订单明细'!T:T,MATCH(R26&amp;AC26,'小红书-订单明细'!A:A&amp;'小红书-订单明细'!O:O,0)))),0),ROUNDDOWN(SUM(AF26,AH26:AI26)/(INDEX('小红书-订单明细'!W:W,MATCH(R26&amp;AC26,'小红书-订单明细'!A:A&amp;'小红书-订单明细'!O:O,0))/(INDEX('小红书-订单明细'!T:T,MATCH(R26&amp;AC26,'小红书-订单明细'!A:A&amp;'小红书-订单明细'!O:O,0)))),0)))</f>
        <v>1</v>
      </c>
      <c r="I26" s="26">
        <f t="shared" si="5"/>
        <v>179</v>
      </c>
      <c r="J26" s="26">
        <f t="shared" si="6"/>
        <v>0</v>
      </c>
      <c r="K26" s="26">
        <f t="shared" si="7"/>
        <v>10</v>
      </c>
      <c r="L26" s="26">
        <f t="shared" si="8"/>
        <v>8.95</v>
      </c>
      <c r="M26" s="26">
        <f t="shared" si="9"/>
        <v>1.07</v>
      </c>
      <c r="N26" s="26"/>
      <c r="O26" s="28">
        <f t="shared" si="10"/>
        <v>178.98</v>
      </c>
      <c r="Q26" s="1" cm="1">
        <f t="array" ref="Q26">SUM(AF26,AH26:AI26)/(INDEX('小红书-订单明细'!W:W,MATCH(R26&amp;AC26,'小红书-订单明细'!A:A&amp;'小红书-订单明细'!O:O,0))/(INDEX('小红书-订单明细'!T:T,MATCH(R26&amp;AC26,'小红书-订单明细'!A:A&amp;'小红书-订单明细'!O:O,0))))</f>
        <v>1</v>
      </c>
      <c r="R26" s="29" t="s">
        <v>1238</v>
      </c>
      <c r="S26" s="30"/>
      <c r="T26" s="30" t="s">
        <v>1246</v>
      </c>
      <c r="U26" s="30" t="s">
        <v>1249</v>
      </c>
      <c r="V26" s="30" t="s">
        <v>1803</v>
      </c>
      <c r="W26" s="31" t="s">
        <v>1755</v>
      </c>
      <c r="X26" s="31" t="s">
        <v>1749</v>
      </c>
      <c r="Y26" s="30">
        <v>178.98</v>
      </c>
      <c r="Z26" s="31" t="s">
        <v>1799</v>
      </c>
      <c r="AA26" s="31" t="s">
        <v>1773</v>
      </c>
      <c r="AB26" s="30" t="s">
        <v>810</v>
      </c>
      <c r="AC26" s="29" t="s">
        <v>811</v>
      </c>
      <c r="AD26" s="32">
        <v>1</v>
      </c>
      <c r="AE26" s="30">
        <v>179</v>
      </c>
      <c r="AF26" s="36">
        <v>179</v>
      </c>
      <c r="AG26" s="30" t="s">
        <v>75</v>
      </c>
      <c r="AH26" s="30">
        <v>0</v>
      </c>
      <c r="AI26" s="33">
        <v>0</v>
      </c>
      <c r="AJ26" s="33">
        <v>0</v>
      </c>
      <c r="AK26" s="32">
        <v>0.05</v>
      </c>
      <c r="AL26" s="32">
        <v>0</v>
      </c>
      <c r="AM26" s="33">
        <v>-8.95</v>
      </c>
      <c r="AN26" s="33">
        <v>179</v>
      </c>
      <c r="AO26" s="32">
        <v>179</v>
      </c>
      <c r="AP26" s="32">
        <v>0</v>
      </c>
      <c r="AQ26" s="34" t="s">
        <v>101</v>
      </c>
      <c r="AR26" s="32">
        <v>0</v>
      </c>
      <c r="AS26" s="32">
        <v>0.006</v>
      </c>
      <c r="AT26" s="33">
        <v>-1.07</v>
      </c>
      <c r="AU26" s="30" t="s">
        <v>148</v>
      </c>
      <c r="AV26" s="31" t="s">
        <v>1752</v>
      </c>
      <c r="AW26" s="31" t="s">
        <v>1753</v>
      </c>
      <c r="AX26" s="30"/>
      <c r="AY26" s="30"/>
      <c r="AZ26" s="33">
        <v>10</v>
      </c>
      <c r="BA26" s="32">
        <v>0</v>
      </c>
      <c r="BB26" s="32">
        <v>0</v>
      </c>
      <c r="BC26" s="32">
        <v>0</v>
      </c>
      <c r="BD26" s="32">
        <v>0</v>
      </c>
      <c r="BE26" s="35"/>
    </row>
    <row r="27" customHeight="1" spans="1:57">
      <c r="A27" s="25">
        <f t="shared" si="0"/>
        <v>2025</v>
      </c>
      <c r="B27" s="26">
        <f t="shared" si="1"/>
        <v>8</v>
      </c>
      <c r="C27" s="26" t="str">
        <f t="shared" si="2"/>
        <v>P770793869532382601</v>
      </c>
      <c r="D27" s="26">
        <f t="shared" si="3"/>
        <v>2</v>
      </c>
      <c r="E27" s="26">
        <f>COUNTIF($R$2:R27,R27)</f>
        <v>2</v>
      </c>
      <c r="F27" s="27" t="str" cm="1">
        <f t="array" ref="F27">INDEX('小红书-订单明细'!BQ:BQ,MATCH(R27&amp;AC27,'小红书-订单明细'!A:A&amp;'小红书-订单明细'!O:O,0))</f>
        <v>Z2378-灰色-M</v>
      </c>
      <c r="G27" s="27" t="str">
        <f t="shared" si="4"/>
        <v>Z2378</v>
      </c>
      <c r="H27" s="26" cm="1">
        <f t="array" ref="H27">IF(ABS(BG27)&gt;=1,SUM(AF27,AH27:AI27)/(INDEX('小红书-订单明细'!W:W,MATCH(R27&amp;AC27,'小红书-订单明细'!A:A&amp;'小红书-订单明细'!O:O,0))/(INDEX('小红书-订单明细'!T:T,MATCH(R27&amp;AC27,'小红书-订单明细'!A:A&amp;'小红书-订单明细'!O:O,0)))),IF(ABS(SUM(AF27,AH27:AI27)/(INDEX('小红书-订单明细'!W:W,MATCH(R27&amp;AC27,'小红书-订单明细'!A:A&amp;'小红书-订单明细'!O:O,0))/(INDEX('小红书-订单明细'!T:T,MATCH(R27&amp;AC27,'小红书-订单明细'!A:A&amp;'小红书-订单明细'!O:O,0)))))&gt;15%,ROUNDUP(SUM(AF27,AH27:AI27)/(INDEX('小红书-订单明细'!W:W,MATCH(R27&amp;AC27,'小红书-订单明细'!A:A&amp;'小红书-订单明细'!O:O,0))/(INDEX('小红书-订单明细'!T:T,MATCH(R27&amp;AC27,'小红书-订单明细'!A:A&amp;'小红书-订单明细'!O:O,0)))),0),ROUNDDOWN(SUM(AF27,AH27:AI27)/(INDEX('小红书-订单明细'!W:W,MATCH(R27&amp;AC27,'小红书-订单明细'!A:A&amp;'小红书-订单明细'!O:O,0))/(INDEX('小红书-订单明细'!T:T,MATCH(R27&amp;AC27,'小红书-订单明细'!A:A&amp;'小红书-订单明细'!O:O,0)))),0)))</f>
        <v>1</v>
      </c>
      <c r="I27" s="26">
        <f t="shared" si="5"/>
        <v>179</v>
      </c>
      <c r="J27" s="26">
        <f t="shared" si="6"/>
        <v>0</v>
      </c>
      <c r="K27" s="26">
        <f t="shared" si="7"/>
        <v>0</v>
      </c>
      <c r="L27" s="26">
        <f t="shared" si="8"/>
        <v>8.95</v>
      </c>
      <c r="M27" s="26">
        <f t="shared" si="9"/>
        <v>1.07</v>
      </c>
      <c r="N27" s="26"/>
      <c r="O27" s="28">
        <f t="shared" si="10"/>
        <v>168.98</v>
      </c>
      <c r="Q27" s="1" cm="1">
        <f t="array" ref="Q27">SUM(AF27,AH27:AI27)/(INDEX('小红书-订单明细'!W:W,MATCH(R27&amp;AC27,'小红书-订单明细'!A:A&amp;'小红书-订单明细'!O:O,0))/(INDEX('小红书-订单明细'!T:T,MATCH(R27&amp;AC27,'小红书-订单明细'!A:A&amp;'小红书-订单明细'!O:O,0))))</f>
        <v>1</v>
      </c>
      <c r="R27" s="29" t="s">
        <v>1290</v>
      </c>
      <c r="S27" s="30"/>
      <c r="T27" s="30" t="s">
        <v>1298</v>
      </c>
      <c r="U27" s="30" t="s">
        <v>915</v>
      </c>
      <c r="V27" s="30" t="s">
        <v>1803</v>
      </c>
      <c r="W27" s="31" t="s">
        <v>1755</v>
      </c>
      <c r="X27" s="31" t="s">
        <v>1749</v>
      </c>
      <c r="Y27" s="30">
        <v>168.98</v>
      </c>
      <c r="Z27" s="31" t="s">
        <v>1804</v>
      </c>
      <c r="AA27" s="31" t="s">
        <v>1773</v>
      </c>
      <c r="AB27" s="30" t="s">
        <v>906</v>
      </c>
      <c r="AC27" s="29" t="s">
        <v>907</v>
      </c>
      <c r="AD27" s="32">
        <v>1</v>
      </c>
      <c r="AE27" s="30">
        <v>179</v>
      </c>
      <c r="AF27" s="36">
        <v>179</v>
      </c>
      <c r="AG27" s="30" t="s">
        <v>75</v>
      </c>
      <c r="AH27" s="30">
        <v>0</v>
      </c>
      <c r="AI27" s="33">
        <v>0</v>
      </c>
      <c r="AJ27" s="33">
        <v>0</v>
      </c>
      <c r="AK27" s="32">
        <v>0.05</v>
      </c>
      <c r="AL27" s="32">
        <v>0</v>
      </c>
      <c r="AM27" s="33">
        <v>-8.95</v>
      </c>
      <c r="AN27" s="33">
        <v>179</v>
      </c>
      <c r="AO27" s="32">
        <v>179</v>
      </c>
      <c r="AP27" s="32">
        <v>0</v>
      </c>
      <c r="AQ27" s="34" t="s">
        <v>101</v>
      </c>
      <c r="AR27" s="32">
        <v>0</v>
      </c>
      <c r="AS27" s="32">
        <v>0.006</v>
      </c>
      <c r="AT27" s="33">
        <v>-1.07</v>
      </c>
      <c r="AU27" s="30" t="s">
        <v>148</v>
      </c>
      <c r="AV27" s="31" t="s">
        <v>1752</v>
      </c>
      <c r="AW27" s="31" t="s">
        <v>1753</v>
      </c>
      <c r="AX27" s="30"/>
      <c r="AY27" s="30"/>
      <c r="AZ27" s="33">
        <v>0</v>
      </c>
      <c r="BA27" s="32">
        <v>0</v>
      </c>
      <c r="BB27" s="32">
        <v>0</v>
      </c>
      <c r="BC27" s="32">
        <v>0</v>
      </c>
      <c r="BD27" s="32">
        <v>0</v>
      </c>
      <c r="BE27" s="35"/>
    </row>
    <row r="28" customHeight="1" spans="1:57">
      <c r="A28" s="25">
        <f t="shared" si="0"/>
        <v>2025</v>
      </c>
      <c r="B28" s="26">
        <f t="shared" si="1"/>
        <v>8</v>
      </c>
      <c r="C28" s="26" t="str">
        <f t="shared" si="2"/>
        <v>P770794020008329151</v>
      </c>
      <c r="D28" s="26">
        <f t="shared" si="3"/>
        <v>2</v>
      </c>
      <c r="E28" s="26">
        <f>COUNTIF($R$2:R28,R28)</f>
        <v>1</v>
      </c>
      <c r="F28" s="27" t="str" cm="1">
        <f t="array" ref="F28">INDEX('小红书-订单明细'!BQ:BQ,MATCH(R28&amp;AC28,'小红书-订单明细'!A:A&amp;'小红书-订单明细'!O:O,0))</f>
        <v>Z2378-花纱色-M</v>
      </c>
      <c r="G28" s="27" t="str">
        <f t="shared" si="4"/>
        <v>Z2378</v>
      </c>
      <c r="H28" s="26" cm="1">
        <f t="array" ref="H28">IF(ABS(BG28)&gt;=1,SUM(AF28,AH28:AI28)/(INDEX('小红书-订单明细'!W:W,MATCH(R28&amp;AC28,'小红书-订单明细'!A:A&amp;'小红书-订单明细'!O:O,0))/(INDEX('小红书-订单明细'!T:T,MATCH(R28&amp;AC28,'小红书-订单明细'!A:A&amp;'小红书-订单明细'!O:O,0)))),IF(ABS(SUM(AF28,AH28:AI28)/(INDEX('小红书-订单明细'!W:W,MATCH(R28&amp;AC28,'小红书-订单明细'!A:A&amp;'小红书-订单明细'!O:O,0))/(INDEX('小红书-订单明细'!T:T,MATCH(R28&amp;AC28,'小红书-订单明细'!A:A&amp;'小红书-订单明细'!O:O,0)))))&gt;15%,ROUNDUP(SUM(AF28,AH28:AI28)/(INDEX('小红书-订单明细'!W:W,MATCH(R28&amp;AC28,'小红书-订单明细'!A:A&amp;'小红书-订单明细'!O:O,0))/(INDEX('小红书-订单明细'!T:T,MATCH(R28&amp;AC28,'小红书-订单明细'!A:A&amp;'小红书-订单明细'!O:O,0)))),0),ROUNDDOWN(SUM(AF28,AH28:AI28)/(INDEX('小红书-订单明细'!W:W,MATCH(R28&amp;AC28,'小红书-订单明细'!A:A&amp;'小红书-订单明细'!O:O,0))/(INDEX('小红书-订单明细'!T:T,MATCH(R28&amp;AC28,'小红书-订单明细'!A:A&amp;'小红书-订单明细'!O:O,0)))),0)))</f>
        <v>-1</v>
      </c>
      <c r="I28" s="26">
        <f t="shared" si="5"/>
        <v>-179</v>
      </c>
      <c r="J28" s="26">
        <f t="shared" si="6"/>
        <v>0</v>
      </c>
      <c r="K28" s="26">
        <f t="shared" si="7"/>
        <v>0</v>
      </c>
      <c r="L28" s="26">
        <f t="shared" si="8"/>
        <v>-8.95</v>
      </c>
      <c r="M28" s="26">
        <f t="shared" si="9"/>
        <v>-1.07</v>
      </c>
      <c r="N28" s="26"/>
      <c r="O28" s="28">
        <f t="shared" si="10"/>
        <v>-168.98</v>
      </c>
      <c r="Q28" s="1" cm="1">
        <f t="array" ref="Q28">SUM(AF28,AH28:AI28)/(INDEX('小红书-订单明细'!W:W,MATCH(R28&amp;AC28,'小红书-订单明细'!A:A&amp;'小红书-订单明细'!O:O,0))/(INDEX('小红书-订单明细'!T:T,MATCH(R28&amp;AC28,'小红书-订单明细'!A:A&amp;'小红书-订单明细'!O:O,0))))</f>
        <v>-1</v>
      </c>
      <c r="R28" s="37" t="s">
        <v>1277</v>
      </c>
      <c r="S28" s="35" t="s">
        <v>1811</v>
      </c>
      <c r="T28" s="35" t="s">
        <v>1272</v>
      </c>
      <c r="U28" s="35" t="s">
        <v>1812</v>
      </c>
      <c r="V28" s="35" t="s">
        <v>1813</v>
      </c>
      <c r="W28" s="38" t="s">
        <v>1748</v>
      </c>
      <c r="X28" s="38" t="s">
        <v>1749</v>
      </c>
      <c r="Y28" s="35">
        <v>-168.98</v>
      </c>
      <c r="Z28" s="31" t="s">
        <v>1799</v>
      </c>
      <c r="AA28" s="38" t="s">
        <v>1773</v>
      </c>
      <c r="AB28" s="35" t="s">
        <v>810</v>
      </c>
      <c r="AC28" s="37" t="s">
        <v>811</v>
      </c>
      <c r="AD28" s="32">
        <v>0</v>
      </c>
      <c r="AE28" s="35">
        <v>-179</v>
      </c>
      <c r="AF28" s="37">
        <v>-179</v>
      </c>
      <c r="AG28" s="35">
        <v>0</v>
      </c>
      <c r="AH28" s="35">
        <v>0</v>
      </c>
      <c r="AI28" s="33">
        <v>0</v>
      </c>
      <c r="AJ28" s="33">
        <v>0</v>
      </c>
      <c r="AK28" s="32">
        <v>0</v>
      </c>
      <c r="AL28" s="32">
        <v>0</v>
      </c>
      <c r="AM28" s="33">
        <v>8.95</v>
      </c>
      <c r="AN28" s="33">
        <v>0</v>
      </c>
      <c r="AO28" s="32">
        <v>0</v>
      </c>
      <c r="AP28" s="32">
        <v>0</v>
      </c>
      <c r="AQ28" s="34" t="s">
        <v>101</v>
      </c>
      <c r="AR28" s="32">
        <v>0</v>
      </c>
      <c r="AS28" s="32">
        <v>0</v>
      </c>
      <c r="AT28" s="33">
        <v>1.07</v>
      </c>
      <c r="AU28" s="35" t="s">
        <v>148</v>
      </c>
      <c r="AV28" s="38" t="s">
        <v>1752</v>
      </c>
      <c r="AW28" s="38" t="s">
        <v>1753</v>
      </c>
      <c r="AX28" s="35"/>
      <c r="AY28" s="35"/>
      <c r="AZ28" s="33">
        <v>0</v>
      </c>
      <c r="BA28" s="32">
        <v>0</v>
      </c>
      <c r="BB28" s="32">
        <v>0</v>
      </c>
      <c r="BC28" s="32">
        <v>0</v>
      </c>
      <c r="BD28" s="32">
        <v>0</v>
      </c>
      <c r="BE28" s="35"/>
    </row>
    <row r="29" customHeight="1" spans="1:57">
      <c r="A29" s="25">
        <f t="shared" si="0"/>
        <v>2025</v>
      </c>
      <c r="B29" s="26">
        <f t="shared" si="1"/>
        <v>8</v>
      </c>
      <c r="C29" s="26" t="str">
        <f t="shared" si="2"/>
        <v>P770794020008329151</v>
      </c>
      <c r="D29" s="26">
        <f t="shared" si="3"/>
        <v>2</v>
      </c>
      <c r="E29" s="26">
        <f>COUNTIF($R$2:R29,R29)</f>
        <v>2</v>
      </c>
      <c r="F29" s="27" t="str" cm="1">
        <f t="array" ref="F29">INDEX('小红书-订单明细'!BQ:BQ,MATCH(R29&amp;AC29,'小红书-订单明细'!A:A&amp;'小红书-订单明细'!O:O,0))</f>
        <v>Z2378-花纱色-M</v>
      </c>
      <c r="G29" s="27" t="str">
        <f t="shared" si="4"/>
        <v>Z2378</v>
      </c>
      <c r="H29" s="26" cm="1">
        <f t="array" ref="H29">IF(ABS(BG29)&gt;=1,SUM(AF29,AH29:AI29)/(INDEX('小红书-订单明细'!W:W,MATCH(R29&amp;AC29,'小红书-订单明细'!A:A&amp;'小红书-订单明细'!O:O,0))/(INDEX('小红书-订单明细'!T:T,MATCH(R29&amp;AC29,'小红书-订单明细'!A:A&amp;'小红书-订单明细'!O:O,0)))),IF(ABS(SUM(AF29,AH29:AI29)/(INDEX('小红书-订单明细'!W:W,MATCH(R29&amp;AC29,'小红书-订单明细'!A:A&amp;'小红书-订单明细'!O:O,0))/(INDEX('小红书-订单明细'!T:T,MATCH(R29&amp;AC29,'小红书-订单明细'!A:A&amp;'小红书-订单明细'!O:O,0)))))&gt;15%,ROUNDUP(SUM(AF29,AH29:AI29)/(INDEX('小红书-订单明细'!W:W,MATCH(R29&amp;AC29,'小红书-订单明细'!A:A&amp;'小红书-订单明细'!O:O,0))/(INDEX('小红书-订单明细'!T:T,MATCH(R29&amp;AC29,'小红书-订单明细'!A:A&amp;'小红书-订单明细'!O:O,0)))),0),ROUNDDOWN(SUM(AF29,AH29:AI29)/(INDEX('小红书-订单明细'!W:W,MATCH(R29&amp;AC29,'小红书-订单明细'!A:A&amp;'小红书-订单明细'!O:O,0))/(INDEX('小红书-订单明细'!T:T,MATCH(R29&amp;AC29,'小红书-订单明细'!A:A&amp;'小红书-订单明细'!O:O,0)))),0)))</f>
        <v>1</v>
      </c>
      <c r="I29" s="26">
        <f t="shared" si="5"/>
        <v>179</v>
      </c>
      <c r="J29" s="26">
        <f t="shared" si="6"/>
        <v>0</v>
      </c>
      <c r="K29" s="26">
        <f t="shared" si="7"/>
        <v>0</v>
      </c>
      <c r="L29" s="26">
        <f t="shared" si="8"/>
        <v>8.95</v>
      </c>
      <c r="M29" s="26">
        <f t="shared" si="9"/>
        <v>1.07</v>
      </c>
      <c r="N29" s="26"/>
      <c r="O29" s="28">
        <f t="shared" si="10"/>
        <v>168.98</v>
      </c>
      <c r="Q29" s="1" cm="1">
        <f t="array" ref="Q29">SUM(AF29,AH29:AI29)/(INDEX('小红书-订单明细'!W:W,MATCH(R29&amp;AC29,'小红书-订单明细'!A:A&amp;'小红书-订单明细'!O:O,0))/(INDEX('小红书-订单明细'!T:T,MATCH(R29&amp;AC29,'小红书-订单明细'!A:A&amp;'小红书-订单明细'!O:O,0))))</f>
        <v>1</v>
      </c>
      <c r="R29" s="37" t="s">
        <v>1277</v>
      </c>
      <c r="S29" s="35"/>
      <c r="T29" s="35" t="s">
        <v>1272</v>
      </c>
      <c r="U29" s="35" t="s">
        <v>1814</v>
      </c>
      <c r="V29" s="35" t="s">
        <v>1813</v>
      </c>
      <c r="W29" s="38" t="s">
        <v>1755</v>
      </c>
      <c r="X29" s="38" t="s">
        <v>1749</v>
      </c>
      <c r="Y29" s="35">
        <v>168.98</v>
      </c>
      <c r="Z29" s="31" t="s">
        <v>1799</v>
      </c>
      <c r="AA29" s="38" t="s">
        <v>1773</v>
      </c>
      <c r="AB29" s="35" t="s">
        <v>810</v>
      </c>
      <c r="AC29" s="37" t="s">
        <v>811</v>
      </c>
      <c r="AD29" s="32">
        <v>1</v>
      </c>
      <c r="AE29" s="35">
        <v>179</v>
      </c>
      <c r="AF29" s="36">
        <v>179</v>
      </c>
      <c r="AG29" s="35" t="s">
        <v>75</v>
      </c>
      <c r="AH29" s="35">
        <v>0</v>
      </c>
      <c r="AI29" s="33">
        <v>0</v>
      </c>
      <c r="AJ29" s="33">
        <v>0</v>
      </c>
      <c r="AK29" s="32">
        <v>0.05</v>
      </c>
      <c r="AL29" s="32">
        <v>0</v>
      </c>
      <c r="AM29" s="33">
        <v>-8.95</v>
      </c>
      <c r="AN29" s="33">
        <v>179</v>
      </c>
      <c r="AO29" s="32">
        <v>179</v>
      </c>
      <c r="AP29" s="32">
        <v>0</v>
      </c>
      <c r="AQ29" s="34" t="s">
        <v>101</v>
      </c>
      <c r="AR29" s="32">
        <v>0</v>
      </c>
      <c r="AS29" s="32">
        <v>0.006</v>
      </c>
      <c r="AT29" s="33">
        <v>-1.07</v>
      </c>
      <c r="AU29" s="35" t="s">
        <v>148</v>
      </c>
      <c r="AV29" s="38" t="s">
        <v>1752</v>
      </c>
      <c r="AW29" s="38" t="s">
        <v>1753</v>
      </c>
      <c r="AX29" s="35"/>
      <c r="AY29" s="35"/>
      <c r="AZ29" s="33">
        <v>0</v>
      </c>
      <c r="BA29" s="32">
        <v>0</v>
      </c>
      <c r="BB29" s="32">
        <v>0</v>
      </c>
      <c r="BC29" s="32">
        <v>0</v>
      </c>
      <c r="BD29" s="32">
        <v>0</v>
      </c>
      <c r="BE29" s="35"/>
    </row>
    <row r="30" customHeight="1" spans="1:57">
      <c r="A30" s="25">
        <f t="shared" si="0"/>
        <v>2025</v>
      </c>
      <c r="B30" s="26">
        <f t="shared" si="1"/>
        <v>8</v>
      </c>
      <c r="C30" s="26" t="str">
        <f t="shared" si="2"/>
        <v>P770376704723157681</v>
      </c>
      <c r="D30" s="26">
        <f t="shared" si="3"/>
        <v>2</v>
      </c>
      <c r="E30" s="26">
        <f>COUNTIF($R$2:R30,R30)</f>
        <v>1</v>
      </c>
      <c r="F30" s="27" t="str" cm="1">
        <f t="array" ref="F30">INDEX('小红书-订单明细'!BQ:BQ,MATCH(R30&amp;AC30,'小红书-订单明细'!A:A&amp;'小红书-订单明细'!O:O,0))</f>
        <v>Z1640-黑色-L</v>
      </c>
      <c r="G30" s="27" t="str">
        <f t="shared" si="4"/>
        <v>Z1640</v>
      </c>
      <c r="H30" s="26" cm="1">
        <f t="array" ref="H30">IF(ABS(BG30)&gt;=1,SUM(AF30,AH30:AI30)/(INDEX('小红书-订单明细'!W:W,MATCH(R30&amp;AC30,'小红书-订单明细'!A:A&amp;'小红书-订单明细'!O:O,0))/(INDEX('小红书-订单明细'!T:T,MATCH(R30&amp;AC30,'小红书-订单明细'!A:A&amp;'小红书-订单明细'!O:O,0)))),IF(ABS(SUM(AF30,AH30:AI30)/(INDEX('小红书-订单明细'!W:W,MATCH(R30&amp;AC30,'小红书-订单明细'!A:A&amp;'小红书-订单明细'!O:O,0))/(INDEX('小红书-订单明细'!T:T,MATCH(R30&amp;AC30,'小红书-订单明细'!A:A&amp;'小红书-订单明细'!O:O,0)))))&gt;15%,ROUNDUP(SUM(AF30,AH30:AI30)/(INDEX('小红书-订单明细'!W:W,MATCH(R30&amp;AC30,'小红书-订单明细'!A:A&amp;'小红书-订单明细'!O:O,0))/(INDEX('小红书-订单明细'!T:T,MATCH(R30&amp;AC30,'小红书-订单明细'!A:A&amp;'小红书-订单明细'!O:O,0)))),0),ROUNDDOWN(SUM(AF30,AH30:AI30)/(INDEX('小红书-订单明细'!W:W,MATCH(R30&amp;AC30,'小红书-订单明细'!A:A&amp;'小红书-订单明细'!O:O,0))/(INDEX('小红书-订单明细'!T:T,MATCH(R30&amp;AC30,'小红书-订单明细'!A:A&amp;'小红书-订单明细'!O:O,0)))),0)))</f>
        <v>-1</v>
      </c>
      <c r="I30" s="26">
        <f t="shared" si="5"/>
        <v>-289</v>
      </c>
      <c r="J30" s="26">
        <f t="shared" si="6"/>
        <v>0</v>
      </c>
      <c r="K30" s="26">
        <f t="shared" si="7"/>
        <v>0</v>
      </c>
      <c r="L30" s="26">
        <f t="shared" si="8"/>
        <v>-14.45</v>
      </c>
      <c r="M30" s="26">
        <f t="shared" si="9"/>
        <v>-1.73</v>
      </c>
      <c r="N30" s="26"/>
      <c r="O30" s="28">
        <f t="shared" si="10"/>
        <v>-272.82</v>
      </c>
      <c r="Q30" s="1" cm="1">
        <f t="array" ref="Q30">SUM(AF30,AH30:AI30)/(INDEX('小红书-订单明细'!W:W,MATCH(R30&amp;AC30,'小红书-订单明细'!A:A&amp;'小红书-订单明细'!O:O,0))/(INDEX('小红书-订单明细'!T:T,MATCH(R30&amp;AC30,'小红书-订单明细'!A:A&amp;'小红书-订单明细'!O:O,0))))</f>
        <v>-1</v>
      </c>
      <c r="R30" s="37" t="s">
        <v>1677</v>
      </c>
      <c r="S30" s="35" t="s">
        <v>1815</v>
      </c>
      <c r="T30" s="35" t="s">
        <v>1686</v>
      </c>
      <c r="U30" s="35" t="s">
        <v>1816</v>
      </c>
      <c r="V30" s="35" t="s">
        <v>1817</v>
      </c>
      <c r="W30" s="38" t="s">
        <v>1748</v>
      </c>
      <c r="X30" s="38" t="s">
        <v>1749</v>
      </c>
      <c r="Y30" s="35">
        <v>-272.82</v>
      </c>
      <c r="Z30" s="31" t="s">
        <v>1818</v>
      </c>
      <c r="AA30" s="38" t="s">
        <v>1773</v>
      </c>
      <c r="AB30" s="35" t="s">
        <v>1680</v>
      </c>
      <c r="AC30" s="37" t="s">
        <v>1681</v>
      </c>
      <c r="AD30" s="32">
        <v>0</v>
      </c>
      <c r="AE30" s="35">
        <v>-289</v>
      </c>
      <c r="AF30" s="37">
        <v>-289</v>
      </c>
      <c r="AG30" s="35">
        <v>0</v>
      </c>
      <c r="AH30" s="35">
        <v>0</v>
      </c>
      <c r="AI30" s="33">
        <v>0</v>
      </c>
      <c r="AJ30" s="33">
        <v>0</v>
      </c>
      <c r="AK30" s="32">
        <v>0</v>
      </c>
      <c r="AL30" s="32">
        <v>0</v>
      </c>
      <c r="AM30" s="33">
        <v>14.45</v>
      </c>
      <c r="AN30" s="33">
        <v>0</v>
      </c>
      <c r="AO30" s="32">
        <v>0</v>
      </c>
      <c r="AP30" s="32">
        <v>0</v>
      </c>
      <c r="AQ30" s="34" t="s">
        <v>101</v>
      </c>
      <c r="AR30" s="32">
        <v>0</v>
      </c>
      <c r="AS30" s="32">
        <v>0</v>
      </c>
      <c r="AT30" s="33">
        <v>1.73</v>
      </c>
      <c r="AU30" s="35" t="s">
        <v>148</v>
      </c>
      <c r="AV30" s="38" t="s">
        <v>1752</v>
      </c>
      <c r="AW30" s="38" t="s">
        <v>1753</v>
      </c>
      <c r="AX30" s="35"/>
      <c r="AY30" s="35"/>
      <c r="AZ30" s="33">
        <v>0</v>
      </c>
      <c r="BA30" s="32">
        <v>0</v>
      </c>
      <c r="BB30" s="32">
        <v>0</v>
      </c>
      <c r="BC30" s="32">
        <v>0</v>
      </c>
      <c r="BD30" s="32">
        <v>0</v>
      </c>
      <c r="BE30" s="35"/>
    </row>
    <row r="31" customHeight="1" spans="1:57">
      <c r="A31" s="25">
        <f t="shared" si="0"/>
        <v>2025</v>
      </c>
      <c r="B31" s="26">
        <f t="shared" si="1"/>
        <v>8</v>
      </c>
      <c r="C31" s="26" t="str">
        <f t="shared" si="2"/>
        <v>P770376704723157681</v>
      </c>
      <c r="D31" s="26">
        <f t="shared" si="3"/>
        <v>2</v>
      </c>
      <c r="E31" s="26">
        <f>COUNTIF($R$2:R31,R31)</f>
        <v>2</v>
      </c>
      <c r="F31" s="27" t="str" cm="1">
        <f t="array" ref="F31">INDEX('小红书-订单明细'!BQ:BQ,MATCH(R31&amp;AC31,'小红书-订单明细'!A:A&amp;'小红书-订单明细'!O:O,0))</f>
        <v>Z1640-黑色-L</v>
      </c>
      <c r="G31" s="27" t="str">
        <f t="shared" si="4"/>
        <v>Z1640</v>
      </c>
      <c r="H31" s="26" cm="1">
        <f t="array" ref="H31">IF(ABS(BG31)&gt;=1,SUM(AF31,AH31:AI31)/(INDEX('小红书-订单明细'!W:W,MATCH(R31&amp;AC31,'小红书-订单明细'!A:A&amp;'小红书-订单明细'!O:O,0))/(INDEX('小红书-订单明细'!T:T,MATCH(R31&amp;AC31,'小红书-订单明细'!A:A&amp;'小红书-订单明细'!O:O,0)))),IF(ABS(SUM(AF31,AH31:AI31)/(INDEX('小红书-订单明细'!W:W,MATCH(R31&amp;AC31,'小红书-订单明细'!A:A&amp;'小红书-订单明细'!O:O,0))/(INDEX('小红书-订单明细'!T:T,MATCH(R31&amp;AC31,'小红书-订单明细'!A:A&amp;'小红书-订单明细'!O:O,0)))))&gt;15%,ROUNDUP(SUM(AF31,AH31:AI31)/(INDEX('小红书-订单明细'!W:W,MATCH(R31&amp;AC31,'小红书-订单明细'!A:A&amp;'小红书-订单明细'!O:O,0))/(INDEX('小红书-订单明细'!T:T,MATCH(R31&amp;AC31,'小红书-订单明细'!A:A&amp;'小红书-订单明细'!O:O,0)))),0),ROUNDDOWN(SUM(AF31,AH31:AI31)/(INDEX('小红书-订单明细'!W:W,MATCH(R31&amp;AC31,'小红书-订单明细'!A:A&amp;'小红书-订单明细'!O:O,0))/(INDEX('小红书-订单明细'!T:T,MATCH(R31&amp;AC31,'小红书-订单明细'!A:A&amp;'小红书-订单明细'!O:O,0)))),0)))</f>
        <v>1</v>
      </c>
      <c r="I31" s="26">
        <f t="shared" si="5"/>
        <v>289</v>
      </c>
      <c r="J31" s="26">
        <f t="shared" si="6"/>
        <v>0</v>
      </c>
      <c r="K31" s="26">
        <f t="shared" si="7"/>
        <v>0</v>
      </c>
      <c r="L31" s="26">
        <f t="shared" si="8"/>
        <v>14.45</v>
      </c>
      <c r="M31" s="26">
        <f t="shared" si="9"/>
        <v>1.73</v>
      </c>
      <c r="N31" s="26"/>
      <c r="O31" s="28">
        <f t="shared" si="10"/>
        <v>272.82</v>
      </c>
      <c r="Q31" s="1" cm="1">
        <f t="array" ref="Q31">SUM(AF31,AH31:AI31)/(INDEX('小红书-订单明细'!W:W,MATCH(R31&amp;AC31,'小红书-订单明细'!A:A&amp;'小红书-订单明细'!O:O,0))/(INDEX('小红书-订单明细'!T:T,MATCH(R31&amp;AC31,'小红书-订单明细'!A:A&amp;'小红书-订单明细'!O:O,0))))</f>
        <v>1</v>
      </c>
      <c r="R31" s="37" t="s">
        <v>1677</v>
      </c>
      <c r="S31" s="35"/>
      <c r="T31" s="35" t="s">
        <v>1686</v>
      </c>
      <c r="U31" s="35" t="s">
        <v>1819</v>
      </c>
      <c r="V31" s="35" t="s">
        <v>1817</v>
      </c>
      <c r="W31" s="38" t="s">
        <v>1755</v>
      </c>
      <c r="X31" s="38" t="s">
        <v>1749</v>
      </c>
      <c r="Y31" s="35">
        <v>272.82</v>
      </c>
      <c r="Z31" s="31" t="s">
        <v>1818</v>
      </c>
      <c r="AA31" s="38" t="s">
        <v>1773</v>
      </c>
      <c r="AB31" s="35" t="s">
        <v>1680</v>
      </c>
      <c r="AC31" s="37" t="s">
        <v>1681</v>
      </c>
      <c r="AD31" s="32">
        <v>1</v>
      </c>
      <c r="AE31" s="35">
        <v>289</v>
      </c>
      <c r="AF31" s="36">
        <v>289</v>
      </c>
      <c r="AG31" s="35" t="s">
        <v>75</v>
      </c>
      <c r="AH31" s="35">
        <v>0</v>
      </c>
      <c r="AI31" s="33">
        <v>0</v>
      </c>
      <c r="AJ31" s="33">
        <v>0</v>
      </c>
      <c r="AK31" s="32">
        <v>0.05</v>
      </c>
      <c r="AL31" s="32">
        <v>0</v>
      </c>
      <c r="AM31" s="33">
        <v>-14.45</v>
      </c>
      <c r="AN31" s="33">
        <v>289</v>
      </c>
      <c r="AO31" s="32">
        <v>289</v>
      </c>
      <c r="AP31" s="32">
        <v>0</v>
      </c>
      <c r="AQ31" s="34" t="s">
        <v>101</v>
      </c>
      <c r="AR31" s="32">
        <v>0</v>
      </c>
      <c r="AS31" s="32">
        <v>0.006</v>
      </c>
      <c r="AT31" s="33">
        <v>-1.73</v>
      </c>
      <c r="AU31" s="35" t="s">
        <v>148</v>
      </c>
      <c r="AV31" s="38" t="s">
        <v>1752</v>
      </c>
      <c r="AW31" s="38" t="s">
        <v>1753</v>
      </c>
      <c r="AX31" s="35"/>
      <c r="AY31" s="35"/>
      <c r="AZ31" s="33">
        <v>0</v>
      </c>
      <c r="BA31" s="32">
        <v>0</v>
      </c>
      <c r="BB31" s="32">
        <v>0</v>
      </c>
      <c r="BC31" s="32">
        <v>0</v>
      </c>
      <c r="BD31" s="32">
        <v>0</v>
      </c>
      <c r="BE31" s="35"/>
    </row>
    <row r="32" customHeight="1" spans="1:57">
      <c r="A32" s="25">
        <f t="shared" si="0"/>
        <v>2025</v>
      </c>
      <c r="B32" s="26">
        <f t="shared" si="1"/>
        <v>8</v>
      </c>
      <c r="C32" s="26" t="str">
        <f t="shared" si="2"/>
        <v>P771601056297099071</v>
      </c>
      <c r="D32" s="26">
        <f t="shared" si="3"/>
        <v>2</v>
      </c>
      <c r="E32" s="26">
        <f>COUNTIF($R$2:R32,R32)</f>
        <v>1</v>
      </c>
      <c r="F32" s="27" t="str" cm="1">
        <f t="array" ref="F32">INDEX('小红书-订单明细'!BQ:BQ,MATCH(R32&amp;AC32,'小红书-订单明细'!A:A&amp;'小红书-订单明细'!O:O,0))</f>
        <v>Z2271-条纹-S</v>
      </c>
      <c r="G32" s="27" t="str">
        <f t="shared" si="4"/>
        <v>Z2271</v>
      </c>
      <c r="H32" s="26" cm="1">
        <f t="array" ref="H32">IF(ABS(BG32)&gt;=1,SUM(AF32,AH32:AI32)/(INDEX('小红书-订单明细'!W:W,MATCH(R32&amp;AC32,'小红书-订单明细'!A:A&amp;'小红书-订单明细'!O:O,0))/(INDEX('小红书-订单明细'!T:T,MATCH(R32&amp;AC32,'小红书-订单明细'!A:A&amp;'小红书-订单明细'!O:O,0)))),IF(ABS(SUM(AF32,AH32:AI32)/(INDEX('小红书-订单明细'!W:W,MATCH(R32&amp;AC32,'小红书-订单明细'!A:A&amp;'小红书-订单明细'!O:O,0))/(INDEX('小红书-订单明细'!T:T,MATCH(R32&amp;AC32,'小红书-订单明细'!A:A&amp;'小红书-订单明细'!O:O,0)))))&gt;15%,ROUNDUP(SUM(AF32,AH32:AI32)/(INDEX('小红书-订单明细'!W:W,MATCH(R32&amp;AC32,'小红书-订单明细'!A:A&amp;'小红书-订单明细'!O:O,0))/(INDEX('小红书-订单明细'!T:T,MATCH(R32&amp;AC32,'小红书-订单明细'!A:A&amp;'小红书-订单明细'!O:O,0)))),0),ROUNDDOWN(SUM(AF32,AH32:AI32)/(INDEX('小红书-订单明细'!W:W,MATCH(R32&amp;AC32,'小红书-订单明细'!A:A&amp;'小红书-订单明细'!O:O,0))/(INDEX('小红书-订单明细'!T:T,MATCH(R32&amp;AC32,'小红书-订单明细'!A:A&amp;'小红书-订单明细'!O:O,0)))),0)))</f>
        <v>-1</v>
      </c>
      <c r="I32" s="26">
        <f t="shared" si="5"/>
        <v>-289</v>
      </c>
      <c r="J32" s="26">
        <f t="shared" si="6"/>
        <v>0</v>
      </c>
      <c r="K32" s="26">
        <f t="shared" si="7"/>
        <v>0</v>
      </c>
      <c r="L32" s="26">
        <f t="shared" si="8"/>
        <v>-14.45</v>
      </c>
      <c r="M32" s="26">
        <f t="shared" si="9"/>
        <v>0</v>
      </c>
      <c r="N32" s="26"/>
      <c r="O32" s="28">
        <f t="shared" si="10"/>
        <v>-274.55</v>
      </c>
      <c r="Q32" s="1" cm="1">
        <f t="array" ref="Q32">SUM(AF32,AH32:AI32)/(INDEX('小红书-订单明细'!W:W,MATCH(R32&amp;AC32,'小红书-订单明细'!A:A&amp;'小红书-订单明细'!O:O,0))/(INDEX('小红书-订单明细'!T:T,MATCH(R32&amp;AC32,'小红书-订单明细'!A:A&amp;'小红书-订单明细'!O:O,0))))</f>
        <v>-1</v>
      </c>
      <c r="R32" s="37" t="s">
        <v>109</v>
      </c>
      <c r="S32" s="35" t="s">
        <v>1820</v>
      </c>
      <c r="T32" s="35" t="s">
        <v>127</v>
      </c>
      <c r="U32" s="35" t="s">
        <v>1821</v>
      </c>
      <c r="V32" s="35" t="s">
        <v>1822</v>
      </c>
      <c r="W32" s="38" t="s">
        <v>1748</v>
      </c>
      <c r="X32" s="38" t="s">
        <v>1749</v>
      </c>
      <c r="Y32" s="35">
        <v>-274.55</v>
      </c>
      <c r="Z32" s="31" t="s">
        <v>1823</v>
      </c>
      <c r="AA32" s="38" t="s">
        <v>1824</v>
      </c>
      <c r="AB32" s="35" t="s">
        <v>120</v>
      </c>
      <c r="AC32" s="37" t="s">
        <v>121</v>
      </c>
      <c r="AD32" s="32">
        <v>0</v>
      </c>
      <c r="AE32" s="35">
        <v>-289</v>
      </c>
      <c r="AF32" s="37">
        <v>-289</v>
      </c>
      <c r="AG32" s="35">
        <v>0</v>
      </c>
      <c r="AH32" s="35">
        <v>0</v>
      </c>
      <c r="AI32" s="33">
        <v>0</v>
      </c>
      <c r="AJ32" s="33">
        <v>0</v>
      </c>
      <c r="AK32" s="32">
        <v>0</v>
      </c>
      <c r="AL32" s="32">
        <v>0</v>
      </c>
      <c r="AM32" s="33">
        <v>14.45</v>
      </c>
      <c r="AN32" s="33">
        <v>0</v>
      </c>
      <c r="AO32" s="32">
        <v>0</v>
      </c>
      <c r="AP32" s="32">
        <v>0</v>
      </c>
      <c r="AQ32" s="34" t="s">
        <v>101</v>
      </c>
      <c r="AR32" s="32">
        <v>0</v>
      </c>
      <c r="AS32" s="32">
        <v>0</v>
      </c>
      <c r="AT32" s="33">
        <v>0</v>
      </c>
      <c r="AU32" s="35" t="s">
        <v>75</v>
      </c>
      <c r="AV32" s="35" t="s">
        <v>75</v>
      </c>
      <c r="AW32" s="35"/>
      <c r="AX32" s="35"/>
      <c r="AY32" s="35"/>
      <c r="AZ32" s="33">
        <v>0</v>
      </c>
      <c r="BA32" s="32">
        <v>0</v>
      </c>
      <c r="BB32" s="32">
        <v>0</v>
      </c>
      <c r="BC32" s="32">
        <v>0</v>
      </c>
      <c r="BD32" s="32">
        <v>0</v>
      </c>
      <c r="BE32" s="35"/>
    </row>
    <row r="33" customHeight="1" spans="1:57">
      <c r="A33" s="25">
        <f t="shared" si="0"/>
        <v>2025</v>
      </c>
      <c r="B33" s="26">
        <f t="shared" si="1"/>
        <v>8</v>
      </c>
      <c r="C33" s="26" t="str">
        <f t="shared" si="2"/>
        <v>P771601056297099071</v>
      </c>
      <c r="D33" s="26">
        <f t="shared" si="3"/>
        <v>2</v>
      </c>
      <c r="E33" s="26">
        <f>COUNTIF($R$2:R33,R33)</f>
        <v>2</v>
      </c>
      <c r="F33" s="27" t="str" cm="1">
        <f t="array" ref="F33">INDEX('小红书-订单明细'!BQ:BQ,MATCH(R33&amp;AC33,'小红书-订单明细'!A:A&amp;'小红书-订单明细'!O:O,0))</f>
        <v>Z2271-条纹-S</v>
      </c>
      <c r="G33" s="27" t="str">
        <f t="shared" si="4"/>
        <v>Z2271</v>
      </c>
      <c r="H33" s="26" cm="1">
        <f t="array" ref="H33">IF(ABS(BG33)&gt;=1,SUM(AF33,AH33:AI33)/(INDEX('小红书-订单明细'!W:W,MATCH(R33&amp;AC33,'小红书-订单明细'!A:A&amp;'小红书-订单明细'!O:O,0))/(INDEX('小红书-订单明细'!T:T,MATCH(R33&amp;AC33,'小红书-订单明细'!A:A&amp;'小红书-订单明细'!O:O,0)))),IF(ABS(SUM(AF33,AH33:AI33)/(INDEX('小红书-订单明细'!W:W,MATCH(R33&amp;AC33,'小红书-订单明细'!A:A&amp;'小红书-订单明细'!O:O,0))/(INDEX('小红书-订单明细'!T:T,MATCH(R33&amp;AC33,'小红书-订单明细'!A:A&amp;'小红书-订单明细'!O:O,0)))))&gt;15%,ROUNDUP(SUM(AF33,AH33:AI33)/(INDEX('小红书-订单明细'!W:W,MATCH(R33&amp;AC33,'小红书-订单明细'!A:A&amp;'小红书-订单明细'!O:O,0))/(INDEX('小红书-订单明细'!T:T,MATCH(R33&amp;AC33,'小红书-订单明细'!A:A&amp;'小红书-订单明细'!O:O,0)))),0),ROUNDDOWN(SUM(AF33,AH33:AI33)/(INDEX('小红书-订单明细'!W:W,MATCH(R33&amp;AC33,'小红书-订单明细'!A:A&amp;'小红书-订单明细'!O:O,0))/(INDEX('小红书-订单明细'!T:T,MATCH(R33&amp;AC33,'小红书-订单明细'!A:A&amp;'小红书-订单明细'!O:O,0)))),0)))</f>
        <v>1</v>
      </c>
      <c r="I33" s="26">
        <f t="shared" si="5"/>
        <v>289</v>
      </c>
      <c r="J33" s="26">
        <f t="shared" si="6"/>
        <v>0</v>
      </c>
      <c r="K33" s="26">
        <f t="shared" si="7"/>
        <v>0</v>
      </c>
      <c r="L33" s="26">
        <f t="shared" si="8"/>
        <v>14.45</v>
      </c>
      <c r="M33" s="26">
        <f t="shared" si="9"/>
        <v>0</v>
      </c>
      <c r="N33" s="26"/>
      <c r="O33" s="28">
        <f t="shared" si="10"/>
        <v>274.55</v>
      </c>
      <c r="Q33" s="1" cm="1">
        <f t="array" ref="Q33">SUM(AF33,AH33:AI33)/(INDEX('小红书-订单明细'!W:W,MATCH(R33&amp;AC33,'小红书-订单明细'!A:A&amp;'小红书-订单明细'!O:O,0))/(INDEX('小红书-订单明细'!T:T,MATCH(R33&amp;AC33,'小红书-订单明细'!A:A&amp;'小红书-订单明细'!O:O,0))))</f>
        <v>1</v>
      </c>
      <c r="R33" s="37" t="s">
        <v>109</v>
      </c>
      <c r="S33" s="35"/>
      <c r="T33" s="35" t="s">
        <v>127</v>
      </c>
      <c r="U33" s="35" t="s">
        <v>1825</v>
      </c>
      <c r="V33" s="35" t="s">
        <v>1822</v>
      </c>
      <c r="W33" s="38" t="s">
        <v>1755</v>
      </c>
      <c r="X33" s="38" t="s">
        <v>1749</v>
      </c>
      <c r="Y33" s="35">
        <v>274.55</v>
      </c>
      <c r="Z33" s="31" t="s">
        <v>1823</v>
      </c>
      <c r="AA33" s="38" t="s">
        <v>1824</v>
      </c>
      <c r="AB33" s="35" t="s">
        <v>120</v>
      </c>
      <c r="AC33" s="37" t="s">
        <v>121</v>
      </c>
      <c r="AD33" s="32">
        <v>1</v>
      </c>
      <c r="AE33" s="35">
        <v>289</v>
      </c>
      <c r="AF33" s="36">
        <v>289</v>
      </c>
      <c r="AG33" s="35" t="s">
        <v>75</v>
      </c>
      <c r="AH33" s="35">
        <v>0</v>
      </c>
      <c r="AI33" s="33">
        <v>0</v>
      </c>
      <c r="AJ33" s="33">
        <v>0</v>
      </c>
      <c r="AK33" s="32">
        <v>0.05</v>
      </c>
      <c r="AL33" s="32">
        <v>0</v>
      </c>
      <c r="AM33" s="33">
        <v>-14.45</v>
      </c>
      <c r="AN33" s="33">
        <v>289</v>
      </c>
      <c r="AO33" s="32">
        <v>289</v>
      </c>
      <c r="AP33" s="32">
        <v>0</v>
      </c>
      <c r="AQ33" s="34" t="s">
        <v>101</v>
      </c>
      <c r="AR33" s="32">
        <v>0</v>
      </c>
      <c r="AS33" s="32">
        <v>0</v>
      </c>
      <c r="AT33" s="33">
        <v>0</v>
      </c>
      <c r="AU33" s="35" t="s">
        <v>75</v>
      </c>
      <c r="AV33" s="35" t="s">
        <v>75</v>
      </c>
      <c r="AW33" s="35"/>
      <c r="AX33" s="35"/>
      <c r="AY33" s="35"/>
      <c r="AZ33" s="33">
        <v>0</v>
      </c>
      <c r="BA33" s="32">
        <v>0</v>
      </c>
      <c r="BB33" s="32">
        <v>0</v>
      </c>
      <c r="BC33" s="32">
        <v>0</v>
      </c>
      <c r="BD33" s="32">
        <v>0</v>
      </c>
      <c r="BE33" s="35"/>
    </row>
    <row r="34" customHeight="1" spans="1:57">
      <c r="A34" s="25">
        <f t="shared" si="0"/>
        <v>2025</v>
      </c>
      <c r="B34" s="26">
        <f t="shared" si="1"/>
        <v>8</v>
      </c>
      <c r="C34" s="26" t="str">
        <f t="shared" si="2"/>
        <v>P770794057829472761</v>
      </c>
      <c r="D34" s="26">
        <f t="shared" si="3"/>
        <v>2</v>
      </c>
      <c r="E34" s="26">
        <f>COUNTIF($R$2:R34,R34)</f>
        <v>1</v>
      </c>
      <c r="F34" s="27" t="str" cm="1">
        <f t="array" ref="F34">INDEX('小红书-订单明细'!BQ:BQ,MATCH(R34&amp;AC34,'小红书-订单明细'!A:A&amp;'小红书-订单明细'!O:O,0))</f>
        <v>Z2378-花纱色-S</v>
      </c>
      <c r="G34" s="27" t="str">
        <f t="shared" si="4"/>
        <v>Z2378</v>
      </c>
      <c r="H34" s="26" cm="1">
        <f t="array" ref="H34">IF(ABS(BG34)&gt;=1,SUM(AF34,AH34:AI34)/(INDEX('小红书-订单明细'!W:W,MATCH(R34&amp;AC34,'小红书-订单明细'!A:A&amp;'小红书-订单明细'!O:O,0))/(INDEX('小红书-订单明细'!T:T,MATCH(R34&amp;AC34,'小红书-订单明细'!A:A&amp;'小红书-订单明细'!O:O,0)))),IF(ABS(SUM(AF34,AH34:AI34)/(INDEX('小红书-订单明细'!W:W,MATCH(R34&amp;AC34,'小红书-订单明细'!A:A&amp;'小红书-订单明细'!O:O,0))/(INDEX('小红书-订单明细'!T:T,MATCH(R34&amp;AC34,'小红书-订单明细'!A:A&amp;'小红书-订单明细'!O:O,0)))))&gt;15%,ROUNDUP(SUM(AF34,AH34:AI34)/(INDEX('小红书-订单明细'!W:W,MATCH(R34&amp;AC34,'小红书-订单明细'!A:A&amp;'小红书-订单明细'!O:O,0))/(INDEX('小红书-订单明细'!T:T,MATCH(R34&amp;AC34,'小红书-订单明细'!A:A&amp;'小红书-订单明细'!O:O,0)))),0),ROUNDDOWN(SUM(AF34,AH34:AI34)/(INDEX('小红书-订单明细'!W:W,MATCH(R34&amp;AC34,'小红书-订单明细'!A:A&amp;'小红书-订单明细'!O:O,0))/(INDEX('小红书-订单明细'!T:T,MATCH(R34&amp;AC34,'小红书-订单明细'!A:A&amp;'小红书-订单明细'!O:O,0)))),0)))</f>
        <v>-1</v>
      </c>
      <c r="I34" s="26">
        <f t="shared" si="5"/>
        <v>-179</v>
      </c>
      <c r="J34" s="26">
        <f t="shared" si="6"/>
        <v>0</v>
      </c>
      <c r="K34" s="26">
        <f t="shared" si="7"/>
        <v>0</v>
      </c>
      <c r="L34" s="26">
        <f t="shared" si="8"/>
        <v>-8.95</v>
      </c>
      <c r="M34" s="26">
        <f t="shared" si="9"/>
        <v>-1.07</v>
      </c>
      <c r="N34" s="26"/>
      <c r="O34" s="28">
        <f t="shared" si="10"/>
        <v>-168.98</v>
      </c>
      <c r="Q34" s="1" cm="1">
        <f t="array" ref="Q34">SUM(AF34,AH34:AI34)/(INDEX('小红书-订单明细'!W:W,MATCH(R34&amp;AC34,'小红书-订单明细'!A:A&amp;'小红书-订单明细'!O:O,0))/(INDEX('小红书-订单明细'!T:T,MATCH(R34&amp;AC34,'小红书-订单明细'!A:A&amp;'小红书-订单明细'!O:O,0))))</f>
        <v>-1</v>
      </c>
      <c r="R34" s="37" t="s">
        <v>1223</v>
      </c>
      <c r="S34" s="35" t="s">
        <v>1826</v>
      </c>
      <c r="T34" s="35" t="s">
        <v>1827</v>
      </c>
      <c r="U34" s="35" t="s">
        <v>1828</v>
      </c>
      <c r="V34" s="35" t="s">
        <v>1829</v>
      </c>
      <c r="W34" s="38" t="s">
        <v>1748</v>
      </c>
      <c r="X34" s="38" t="s">
        <v>1749</v>
      </c>
      <c r="Y34" s="35">
        <v>-168.98</v>
      </c>
      <c r="Z34" s="31" t="s">
        <v>1807</v>
      </c>
      <c r="AA34" s="38" t="s">
        <v>1773</v>
      </c>
      <c r="AB34" s="35" t="s">
        <v>924</v>
      </c>
      <c r="AC34" s="37" t="s">
        <v>925</v>
      </c>
      <c r="AD34" s="32">
        <v>0</v>
      </c>
      <c r="AE34" s="35">
        <v>-179</v>
      </c>
      <c r="AF34" s="37">
        <v>-179</v>
      </c>
      <c r="AG34" s="35">
        <v>0</v>
      </c>
      <c r="AH34" s="35">
        <v>0</v>
      </c>
      <c r="AI34" s="33">
        <v>0</v>
      </c>
      <c r="AJ34" s="33">
        <v>0</v>
      </c>
      <c r="AK34" s="32">
        <v>0</v>
      </c>
      <c r="AL34" s="32">
        <v>0</v>
      </c>
      <c r="AM34" s="33">
        <v>8.95</v>
      </c>
      <c r="AN34" s="33">
        <v>0</v>
      </c>
      <c r="AO34" s="32">
        <v>0</v>
      </c>
      <c r="AP34" s="32">
        <v>0</v>
      </c>
      <c r="AQ34" s="34" t="s">
        <v>101</v>
      </c>
      <c r="AR34" s="32">
        <v>0</v>
      </c>
      <c r="AS34" s="32">
        <v>0</v>
      </c>
      <c r="AT34" s="33">
        <v>1.07</v>
      </c>
      <c r="AU34" s="35" t="s">
        <v>148</v>
      </c>
      <c r="AV34" s="38" t="s">
        <v>1752</v>
      </c>
      <c r="AW34" s="38" t="s">
        <v>1753</v>
      </c>
      <c r="AX34" s="35"/>
      <c r="AY34" s="35"/>
      <c r="AZ34" s="33">
        <v>0</v>
      </c>
      <c r="BA34" s="32">
        <v>0</v>
      </c>
      <c r="BB34" s="32">
        <v>0</v>
      </c>
      <c r="BC34" s="32">
        <v>0</v>
      </c>
      <c r="BD34" s="32">
        <v>0</v>
      </c>
      <c r="BE34" s="35"/>
    </row>
    <row r="35" customHeight="1" spans="1:57">
      <c r="A35" s="25">
        <f t="shared" si="0"/>
        <v>2025</v>
      </c>
      <c r="B35" s="26">
        <f t="shared" si="1"/>
        <v>8</v>
      </c>
      <c r="C35" s="26" t="str">
        <f t="shared" si="2"/>
        <v>P770794262760472121</v>
      </c>
      <c r="D35" s="26">
        <f t="shared" si="3"/>
        <v>2</v>
      </c>
      <c r="E35" s="26">
        <f>COUNTIF($R$2:R35,R35)</f>
        <v>1</v>
      </c>
      <c r="F35" s="27" t="str" cm="1">
        <f t="array" ref="F35">INDEX('小红书-订单明细'!BQ:BQ,MATCH(R35&amp;AC35,'小红书-订单明细'!A:A&amp;'小红书-订单明细'!O:O,0))</f>
        <v>Z1248-黑色-S</v>
      </c>
      <c r="G35" s="27" t="str">
        <f t="shared" si="4"/>
        <v>Z1248</v>
      </c>
      <c r="H35" s="26" cm="1">
        <f t="array" ref="H35">IF(ABS(BG35)&gt;=1,SUM(AF35,AH35:AI35)/(INDEX('小红书-订单明细'!W:W,MATCH(R35&amp;AC35,'小红书-订单明细'!A:A&amp;'小红书-订单明细'!O:O,0))/(INDEX('小红书-订单明细'!T:T,MATCH(R35&amp;AC35,'小红书-订单明细'!A:A&amp;'小红书-订单明细'!O:O,0)))),IF(ABS(SUM(AF35,AH35:AI35)/(INDEX('小红书-订单明细'!W:W,MATCH(R35&amp;AC35,'小红书-订单明细'!A:A&amp;'小红书-订单明细'!O:O,0))/(INDEX('小红书-订单明细'!T:T,MATCH(R35&amp;AC35,'小红书-订单明细'!A:A&amp;'小红书-订单明细'!O:O,0)))))&gt;15%,ROUNDUP(SUM(AF35,AH35:AI35)/(INDEX('小红书-订单明细'!W:W,MATCH(R35&amp;AC35,'小红书-订单明细'!A:A&amp;'小红书-订单明细'!O:O,0))/(INDEX('小红书-订单明细'!T:T,MATCH(R35&amp;AC35,'小红书-订单明细'!A:A&amp;'小红书-订单明细'!O:O,0)))),0),ROUNDDOWN(SUM(AF35,AH35:AI35)/(INDEX('小红书-订单明细'!W:W,MATCH(R35&amp;AC35,'小红书-订单明细'!A:A&amp;'小红书-订单明细'!O:O,0))/(INDEX('小红书-订单明细'!T:T,MATCH(R35&amp;AC35,'小红书-订单明细'!A:A&amp;'小红书-订单明细'!O:O,0)))),0)))</f>
        <v>-1</v>
      </c>
      <c r="I35" s="26">
        <f t="shared" si="5"/>
        <v>-199</v>
      </c>
      <c r="J35" s="26">
        <f t="shared" si="6"/>
        <v>0</v>
      </c>
      <c r="K35" s="26">
        <f t="shared" si="7"/>
        <v>0</v>
      </c>
      <c r="L35" s="26">
        <f t="shared" si="8"/>
        <v>-9.95</v>
      </c>
      <c r="M35" s="26">
        <f t="shared" si="9"/>
        <v>-1.19</v>
      </c>
      <c r="N35" s="26"/>
      <c r="O35" s="28">
        <f t="shared" si="10"/>
        <v>-187.86</v>
      </c>
      <c r="Q35" s="1" cm="1">
        <f t="array" ref="Q35">SUM(AF35,AH35:AI35)/(INDEX('小红书-订单明细'!W:W,MATCH(R35&amp;AC35,'小红书-订单明细'!A:A&amp;'小红书-订单明细'!O:O,0))/(INDEX('小红书-订单明细'!T:T,MATCH(R35&amp;AC35,'小红书-订单明细'!A:A&amp;'小红书-订单明细'!O:O,0))))</f>
        <v>-1</v>
      </c>
      <c r="R35" s="37" t="s">
        <v>1148</v>
      </c>
      <c r="S35" s="35" t="s">
        <v>1830</v>
      </c>
      <c r="T35" s="35" t="s">
        <v>1831</v>
      </c>
      <c r="U35" s="35" t="s">
        <v>1828</v>
      </c>
      <c r="V35" s="35" t="s">
        <v>1829</v>
      </c>
      <c r="W35" s="38" t="s">
        <v>1748</v>
      </c>
      <c r="X35" s="38" t="s">
        <v>1749</v>
      </c>
      <c r="Y35" s="35">
        <v>-187.86</v>
      </c>
      <c r="Z35" s="31" t="s">
        <v>1832</v>
      </c>
      <c r="AA35" s="38" t="s">
        <v>1833</v>
      </c>
      <c r="AB35" s="35" t="s">
        <v>1136</v>
      </c>
      <c r="AC35" s="37" t="s">
        <v>1137</v>
      </c>
      <c r="AD35" s="32">
        <v>0</v>
      </c>
      <c r="AE35" s="35">
        <v>-199</v>
      </c>
      <c r="AF35" s="37">
        <v>-199</v>
      </c>
      <c r="AG35" s="35">
        <v>0</v>
      </c>
      <c r="AH35" s="35">
        <v>0</v>
      </c>
      <c r="AI35" s="33">
        <v>0</v>
      </c>
      <c r="AJ35" s="33">
        <v>0</v>
      </c>
      <c r="AK35" s="32">
        <v>0</v>
      </c>
      <c r="AL35" s="32">
        <v>0</v>
      </c>
      <c r="AM35" s="33">
        <v>9.95</v>
      </c>
      <c r="AN35" s="33">
        <v>0</v>
      </c>
      <c r="AO35" s="32">
        <v>0</v>
      </c>
      <c r="AP35" s="32">
        <v>0</v>
      </c>
      <c r="AQ35" s="34" t="s">
        <v>101</v>
      </c>
      <c r="AR35" s="32">
        <v>0</v>
      </c>
      <c r="AS35" s="32">
        <v>0</v>
      </c>
      <c r="AT35" s="33">
        <v>1.19</v>
      </c>
      <c r="AU35" s="35" t="s">
        <v>148</v>
      </c>
      <c r="AV35" s="38" t="s">
        <v>1752</v>
      </c>
      <c r="AW35" s="38" t="s">
        <v>1753</v>
      </c>
      <c r="AX35" s="35"/>
      <c r="AY35" s="35"/>
      <c r="AZ35" s="33">
        <v>0</v>
      </c>
      <c r="BA35" s="32">
        <v>0</v>
      </c>
      <c r="BB35" s="32">
        <v>0</v>
      </c>
      <c r="BC35" s="32">
        <v>0</v>
      </c>
      <c r="BD35" s="32">
        <v>0</v>
      </c>
      <c r="BE35" s="35"/>
    </row>
    <row r="36" customHeight="1" spans="1:57">
      <c r="A36" s="25">
        <f t="shared" si="0"/>
        <v>2025</v>
      </c>
      <c r="B36" s="26">
        <f t="shared" si="1"/>
        <v>8</v>
      </c>
      <c r="C36" s="26" t="str">
        <f t="shared" si="2"/>
        <v>P770794262760472121</v>
      </c>
      <c r="D36" s="26">
        <f t="shared" si="3"/>
        <v>2</v>
      </c>
      <c r="E36" s="26">
        <f>COUNTIF($R$2:R36,R36)</f>
        <v>2</v>
      </c>
      <c r="F36" s="27" t="str" cm="1">
        <f t="array" ref="F36">INDEX('小红书-订单明细'!BQ:BQ,MATCH(R36&amp;AC36,'小红书-订单明细'!A:A&amp;'小红书-订单明细'!O:O,0))</f>
        <v>Z1248-黑色-S</v>
      </c>
      <c r="G36" s="27" t="str">
        <f t="shared" si="4"/>
        <v>Z1248</v>
      </c>
      <c r="H36" s="26" cm="1">
        <f t="array" ref="H36">IF(ABS(BG36)&gt;=1,SUM(AF36,AH36:AI36)/(INDEX('小红书-订单明细'!W:W,MATCH(R36&amp;AC36,'小红书-订单明细'!A:A&amp;'小红书-订单明细'!O:O,0))/(INDEX('小红书-订单明细'!T:T,MATCH(R36&amp;AC36,'小红书-订单明细'!A:A&amp;'小红书-订单明细'!O:O,0)))),IF(ABS(SUM(AF36,AH36:AI36)/(INDEX('小红书-订单明细'!W:W,MATCH(R36&amp;AC36,'小红书-订单明细'!A:A&amp;'小红书-订单明细'!O:O,0))/(INDEX('小红书-订单明细'!T:T,MATCH(R36&amp;AC36,'小红书-订单明细'!A:A&amp;'小红书-订单明细'!O:O,0)))))&gt;15%,ROUNDUP(SUM(AF36,AH36:AI36)/(INDEX('小红书-订单明细'!W:W,MATCH(R36&amp;AC36,'小红书-订单明细'!A:A&amp;'小红书-订单明细'!O:O,0))/(INDEX('小红书-订单明细'!T:T,MATCH(R36&amp;AC36,'小红书-订单明细'!A:A&amp;'小红书-订单明细'!O:O,0)))),0),ROUNDDOWN(SUM(AF36,AH36:AI36)/(INDEX('小红书-订单明细'!W:W,MATCH(R36&amp;AC36,'小红书-订单明细'!A:A&amp;'小红书-订单明细'!O:O,0))/(INDEX('小红书-订单明细'!T:T,MATCH(R36&amp;AC36,'小红书-订单明细'!A:A&amp;'小红书-订单明细'!O:O,0)))),0)))</f>
        <v>1</v>
      </c>
      <c r="I36" s="26">
        <f t="shared" si="5"/>
        <v>199</v>
      </c>
      <c r="J36" s="26">
        <f t="shared" si="6"/>
        <v>0</v>
      </c>
      <c r="K36" s="26">
        <f t="shared" si="7"/>
        <v>0</v>
      </c>
      <c r="L36" s="26">
        <f t="shared" si="8"/>
        <v>9.95</v>
      </c>
      <c r="M36" s="26">
        <f t="shared" si="9"/>
        <v>1.19</v>
      </c>
      <c r="N36" s="26"/>
      <c r="O36" s="28">
        <f t="shared" si="10"/>
        <v>187.86</v>
      </c>
      <c r="Q36" s="1" cm="1">
        <f t="array" ref="Q36">SUM(AF36,AH36:AI36)/(INDEX('小红书-订单明细'!W:W,MATCH(R36&amp;AC36,'小红书-订单明细'!A:A&amp;'小红书-订单明细'!O:O,0))/(INDEX('小红书-订单明细'!T:T,MATCH(R36&amp;AC36,'小红书-订单明细'!A:A&amp;'小红书-订单明细'!O:O,0))))</f>
        <v>1</v>
      </c>
      <c r="R36" s="37" t="s">
        <v>1148</v>
      </c>
      <c r="S36" s="35"/>
      <c r="T36" s="35" t="s">
        <v>1831</v>
      </c>
      <c r="U36" s="35" t="s">
        <v>1834</v>
      </c>
      <c r="V36" s="35" t="s">
        <v>1829</v>
      </c>
      <c r="W36" s="38" t="s">
        <v>1755</v>
      </c>
      <c r="X36" s="38" t="s">
        <v>1749</v>
      </c>
      <c r="Y36" s="35">
        <v>187.86</v>
      </c>
      <c r="Z36" s="31" t="s">
        <v>1832</v>
      </c>
      <c r="AA36" s="38" t="s">
        <v>1833</v>
      </c>
      <c r="AB36" s="35" t="s">
        <v>1136</v>
      </c>
      <c r="AC36" s="37" t="s">
        <v>1137</v>
      </c>
      <c r="AD36" s="32">
        <v>1</v>
      </c>
      <c r="AE36" s="35">
        <v>199</v>
      </c>
      <c r="AF36" s="36">
        <v>199</v>
      </c>
      <c r="AG36" s="35" t="s">
        <v>75</v>
      </c>
      <c r="AH36" s="35">
        <v>0</v>
      </c>
      <c r="AI36" s="33">
        <v>0</v>
      </c>
      <c r="AJ36" s="33">
        <v>0</v>
      </c>
      <c r="AK36" s="32">
        <v>0.05</v>
      </c>
      <c r="AL36" s="32">
        <v>0</v>
      </c>
      <c r="AM36" s="33">
        <v>-9.95</v>
      </c>
      <c r="AN36" s="33">
        <v>199</v>
      </c>
      <c r="AO36" s="32">
        <v>199</v>
      </c>
      <c r="AP36" s="32">
        <v>0</v>
      </c>
      <c r="AQ36" s="34" t="s">
        <v>101</v>
      </c>
      <c r="AR36" s="32">
        <v>0</v>
      </c>
      <c r="AS36" s="32">
        <v>0.006</v>
      </c>
      <c r="AT36" s="33">
        <v>-1.19</v>
      </c>
      <c r="AU36" s="35" t="s">
        <v>148</v>
      </c>
      <c r="AV36" s="38" t="s">
        <v>1752</v>
      </c>
      <c r="AW36" s="38" t="s">
        <v>1753</v>
      </c>
      <c r="AX36" s="35"/>
      <c r="AY36" s="35"/>
      <c r="AZ36" s="33">
        <v>0</v>
      </c>
      <c r="BA36" s="32">
        <v>0</v>
      </c>
      <c r="BB36" s="32">
        <v>0</v>
      </c>
      <c r="BC36" s="32">
        <v>0</v>
      </c>
      <c r="BD36" s="32">
        <v>0</v>
      </c>
      <c r="BE36" s="35"/>
    </row>
    <row r="37" customHeight="1" spans="1:57">
      <c r="A37" s="25">
        <f t="shared" si="0"/>
        <v>2025</v>
      </c>
      <c r="B37" s="26">
        <f t="shared" si="1"/>
        <v>8</v>
      </c>
      <c r="C37" s="26" t="str">
        <f t="shared" si="2"/>
        <v>P770794057829472761</v>
      </c>
      <c r="D37" s="26">
        <f t="shared" si="3"/>
        <v>2</v>
      </c>
      <c r="E37" s="26">
        <f>COUNTIF($R$2:R37,R37)</f>
        <v>2</v>
      </c>
      <c r="F37" s="27" t="str" cm="1">
        <f t="array" ref="F37">INDEX('小红书-订单明细'!BQ:BQ,MATCH(R37&amp;AC37,'小红书-订单明细'!A:A&amp;'小红书-订单明细'!O:O,0))</f>
        <v>Z2378-花纱色-S</v>
      </c>
      <c r="G37" s="27" t="str">
        <f t="shared" si="4"/>
        <v>Z2378</v>
      </c>
      <c r="H37" s="26" cm="1">
        <f t="array" ref="H37">IF(ABS(BG37)&gt;=1,SUM(AF37,AH37:AI37)/(INDEX('小红书-订单明细'!W:W,MATCH(R37&amp;AC37,'小红书-订单明细'!A:A&amp;'小红书-订单明细'!O:O,0))/(INDEX('小红书-订单明细'!T:T,MATCH(R37&amp;AC37,'小红书-订单明细'!A:A&amp;'小红书-订单明细'!O:O,0)))),IF(ABS(SUM(AF37,AH37:AI37)/(INDEX('小红书-订单明细'!W:W,MATCH(R37&amp;AC37,'小红书-订单明细'!A:A&amp;'小红书-订单明细'!O:O,0))/(INDEX('小红书-订单明细'!T:T,MATCH(R37&amp;AC37,'小红书-订单明细'!A:A&amp;'小红书-订单明细'!O:O,0)))))&gt;15%,ROUNDUP(SUM(AF37,AH37:AI37)/(INDEX('小红书-订单明细'!W:W,MATCH(R37&amp;AC37,'小红书-订单明细'!A:A&amp;'小红书-订单明细'!O:O,0))/(INDEX('小红书-订单明细'!T:T,MATCH(R37&amp;AC37,'小红书-订单明细'!A:A&amp;'小红书-订单明细'!O:O,0)))),0),ROUNDDOWN(SUM(AF37,AH37:AI37)/(INDEX('小红书-订单明细'!W:W,MATCH(R37&amp;AC37,'小红书-订单明细'!A:A&amp;'小红书-订单明细'!O:O,0))/(INDEX('小红书-订单明细'!T:T,MATCH(R37&amp;AC37,'小红书-订单明细'!A:A&amp;'小红书-订单明细'!O:O,0)))),0)))</f>
        <v>1</v>
      </c>
      <c r="I37" s="26">
        <f t="shared" si="5"/>
        <v>179</v>
      </c>
      <c r="J37" s="26">
        <f t="shared" si="6"/>
        <v>0</v>
      </c>
      <c r="K37" s="26">
        <f t="shared" si="7"/>
        <v>0</v>
      </c>
      <c r="L37" s="26">
        <f t="shared" si="8"/>
        <v>8.95</v>
      </c>
      <c r="M37" s="26">
        <f t="shared" si="9"/>
        <v>1.07</v>
      </c>
      <c r="N37" s="26"/>
      <c r="O37" s="28">
        <f t="shared" si="10"/>
        <v>168.98</v>
      </c>
      <c r="Q37" s="1" cm="1">
        <f t="array" ref="Q37">SUM(AF37,AH37:AI37)/(INDEX('小红书-订单明细'!W:W,MATCH(R37&amp;AC37,'小红书-订单明细'!A:A&amp;'小红书-订单明细'!O:O,0))/(INDEX('小红书-订单明细'!T:T,MATCH(R37&amp;AC37,'小红书-订单明细'!A:A&amp;'小红书-订单明细'!O:O,0))))</f>
        <v>1</v>
      </c>
      <c r="R37" s="37" t="s">
        <v>1223</v>
      </c>
      <c r="S37" s="35"/>
      <c r="T37" s="35" t="s">
        <v>1827</v>
      </c>
      <c r="U37" s="35" t="s">
        <v>1834</v>
      </c>
      <c r="V37" s="35" t="s">
        <v>1829</v>
      </c>
      <c r="W37" s="38" t="s">
        <v>1755</v>
      </c>
      <c r="X37" s="38" t="s">
        <v>1749</v>
      </c>
      <c r="Y37" s="35">
        <v>168.98</v>
      </c>
      <c r="Z37" s="31" t="s">
        <v>1807</v>
      </c>
      <c r="AA37" s="38" t="s">
        <v>1773</v>
      </c>
      <c r="AB37" s="35" t="s">
        <v>924</v>
      </c>
      <c r="AC37" s="37" t="s">
        <v>925</v>
      </c>
      <c r="AD37" s="32">
        <v>1</v>
      </c>
      <c r="AE37" s="35">
        <v>179</v>
      </c>
      <c r="AF37" s="36">
        <v>179</v>
      </c>
      <c r="AG37" s="35" t="s">
        <v>75</v>
      </c>
      <c r="AH37" s="35">
        <v>0</v>
      </c>
      <c r="AI37" s="33">
        <v>0</v>
      </c>
      <c r="AJ37" s="33">
        <v>0</v>
      </c>
      <c r="AK37" s="32">
        <v>0.05</v>
      </c>
      <c r="AL37" s="32">
        <v>0</v>
      </c>
      <c r="AM37" s="33">
        <v>-8.95</v>
      </c>
      <c r="AN37" s="33">
        <v>179</v>
      </c>
      <c r="AO37" s="32">
        <v>179</v>
      </c>
      <c r="AP37" s="32">
        <v>0</v>
      </c>
      <c r="AQ37" s="34" t="s">
        <v>101</v>
      </c>
      <c r="AR37" s="32">
        <v>0</v>
      </c>
      <c r="AS37" s="32">
        <v>0.006</v>
      </c>
      <c r="AT37" s="33">
        <v>-1.07</v>
      </c>
      <c r="AU37" s="35" t="s">
        <v>148</v>
      </c>
      <c r="AV37" s="38" t="s">
        <v>1752</v>
      </c>
      <c r="AW37" s="38" t="s">
        <v>1753</v>
      </c>
      <c r="AX37" s="35"/>
      <c r="AY37" s="35"/>
      <c r="AZ37" s="33">
        <v>0</v>
      </c>
      <c r="BA37" s="32">
        <v>0</v>
      </c>
      <c r="BB37" s="32">
        <v>0</v>
      </c>
      <c r="BC37" s="32">
        <v>0</v>
      </c>
      <c r="BD37" s="32">
        <v>0</v>
      </c>
      <c r="BE37" s="35"/>
    </row>
    <row r="38" customHeight="1" spans="1:57">
      <c r="A38" s="25">
        <f t="shared" si="0"/>
        <v>2025</v>
      </c>
      <c r="B38" s="26">
        <f t="shared" si="1"/>
        <v>8</v>
      </c>
      <c r="C38" s="26" t="str">
        <f t="shared" si="2"/>
        <v>P770795098672334381</v>
      </c>
      <c r="D38" s="26">
        <f t="shared" si="3"/>
        <v>1</v>
      </c>
      <c r="E38" s="26">
        <f>COUNTIF($R$2:R38,R38)</f>
        <v>1</v>
      </c>
      <c r="F38" s="27" t="str" cm="1">
        <f t="array" ref="F38">INDEX('小红书-订单明细'!BQ:BQ,MATCH(R38&amp;AC38,'小红书-订单明细'!A:A&amp;'小红书-订单明细'!O:O,0))</f>
        <v>Z2363-灰色-L</v>
      </c>
      <c r="G38" s="27" t="str">
        <f t="shared" si="4"/>
        <v>Z2363</v>
      </c>
      <c r="H38" s="26" cm="1">
        <f t="array" ref="H38">IF(ABS(BG38)&gt;=1,SUM(AF38,AH38:AI38)/(INDEX('小红书-订单明细'!W:W,MATCH(R38&amp;AC38,'小红书-订单明细'!A:A&amp;'小红书-订单明细'!O:O,0))/(INDEX('小红书-订单明细'!T:T,MATCH(R38&amp;AC38,'小红书-订单明细'!A:A&amp;'小红书-订单明细'!O:O,0)))),IF(ABS(SUM(AF38,AH38:AI38)/(INDEX('小红书-订单明细'!W:W,MATCH(R38&amp;AC38,'小红书-订单明细'!A:A&amp;'小红书-订单明细'!O:O,0))/(INDEX('小红书-订单明细'!T:T,MATCH(R38&amp;AC38,'小红书-订单明细'!A:A&amp;'小红书-订单明细'!O:O,0)))))&gt;15%,ROUNDUP(SUM(AF38,AH38:AI38)/(INDEX('小红书-订单明细'!W:W,MATCH(R38&amp;AC38,'小红书-订单明细'!A:A&amp;'小红书-订单明细'!O:O,0))/(INDEX('小红书-订单明细'!T:T,MATCH(R38&amp;AC38,'小红书-订单明细'!A:A&amp;'小红书-订单明细'!O:O,0)))),0),ROUNDDOWN(SUM(AF38,AH38:AI38)/(INDEX('小红书-订单明细'!W:W,MATCH(R38&amp;AC38,'小红书-订单明细'!A:A&amp;'小红书-订单明细'!O:O,0))/(INDEX('小红书-订单明细'!T:T,MATCH(R38&amp;AC38,'小红书-订单明细'!A:A&amp;'小红书-订单明细'!O:O,0)))),0)))</f>
        <v>1</v>
      </c>
      <c r="I38" s="26">
        <f t="shared" si="5"/>
        <v>359</v>
      </c>
      <c r="J38" s="26">
        <f t="shared" si="6"/>
        <v>0</v>
      </c>
      <c r="K38" s="26">
        <f t="shared" si="7"/>
        <v>0</v>
      </c>
      <c r="L38" s="26">
        <f t="shared" si="8"/>
        <v>17.95</v>
      </c>
      <c r="M38" s="26">
        <f t="shared" si="9"/>
        <v>2.15</v>
      </c>
      <c r="N38" s="26"/>
      <c r="O38" s="28">
        <f t="shared" si="10"/>
        <v>338.9</v>
      </c>
      <c r="Q38" s="1" cm="1">
        <f t="array" ref="Q38">SUM(AF38,AH38:AI38)/(INDEX('小红书-订单明细'!W:W,MATCH(R38&amp;AC38,'小红书-订单明细'!A:A&amp;'小红书-订单明细'!O:O,0))/(INDEX('小红书-订单明细'!T:T,MATCH(R38&amp;AC38,'小红书-订单明细'!A:A&amp;'小红书-订单明细'!O:O,0))))</f>
        <v>1</v>
      </c>
      <c r="R38" s="37" t="s">
        <v>1052</v>
      </c>
      <c r="S38" s="35"/>
      <c r="T38" s="35" t="s">
        <v>1029</v>
      </c>
      <c r="U38" s="35" t="s">
        <v>1067</v>
      </c>
      <c r="V38" s="35" t="s">
        <v>1835</v>
      </c>
      <c r="W38" s="38" t="s">
        <v>1755</v>
      </c>
      <c r="X38" s="38" t="s">
        <v>1749</v>
      </c>
      <c r="Y38" s="35">
        <v>338.9</v>
      </c>
      <c r="Z38" s="31" t="s">
        <v>1836</v>
      </c>
      <c r="AA38" s="38" t="s">
        <v>1758</v>
      </c>
      <c r="AB38" s="35" t="s">
        <v>1060</v>
      </c>
      <c r="AC38" s="37" t="s">
        <v>1061</v>
      </c>
      <c r="AD38" s="32">
        <v>1</v>
      </c>
      <c r="AE38" s="35">
        <v>359</v>
      </c>
      <c r="AF38" s="36">
        <v>359</v>
      </c>
      <c r="AG38" s="35" t="s">
        <v>75</v>
      </c>
      <c r="AH38" s="35">
        <v>0</v>
      </c>
      <c r="AI38" s="33">
        <v>0</v>
      </c>
      <c r="AJ38" s="33">
        <v>0</v>
      </c>
      <c r="AK38" s="32">
        <v>0.05</v>
      </c>
      <c r="AL38" s="32">
        <v>0</v>
      </c>
      <c r="AM38" s="33">
        <v>-17.95</v>
      </c>
      <c r="AN38" s="33">
        <v>359</v>
      </c>
      <c r="AO38" s="32">
        <v>359</v>
      </c>
      <c r="AP38" s="32">
        <v>0</v>
      </c>
      <c r="AQ38" s="34" t="s">
        <v>101</v>
      </c>
      <c r="AR38" s="32">
        <v>0</v>
      </c>
      <c r="AS38" s="32">
        <v>0.006</v>
      </c>
      <c r="AT38" s="33">
        <v>-2.15</v>
      </c>
      <c r="AU38" s="35" t="s">
        <v>148</v>
      </c>
      <c r="AV38" s="38" t="s">
        <v>1752</v>
      </c>
      <c r="AW38" s="38" t="s">
        <v>1753</v>
      </c>
      <c r="AX38" s="35"/>
      <c r="AY38" s="35"/>
      <c r="AZ38" s="33">
        <v>0</v>
      </c>
      <c r="BA38" s="32">
        <v>0</v>
      </c>
      <c r="BB38" s="32">
        <v>0</v>
      </c>
      <c r="BC38" s="32">
        <v>0</v>
      </c>
      <c r="BD38" s="32">
        <v>0</v>
      </c>
      <c r="BE38" s="35"/>
    </row>
    <row r="39" customHeight="1" spans="1:57">
      <c r="A39" s="25">
        <f t="shared" si="0"/>
        <v>2025</v>
      </c>
      <c r="B39" s="26">
        <f t="shared" si="1"/>
        <v>8</v>
      </c>
      <c r="C39" s="26" t="str">
        <f t="shared" si="2"/>
        <v>P770795099673396171</v>
      </c>
      <c r="D39" s="26">
        <f t="shared" si="3"/>
        <v>1</v>
      </c>
      <c r="E39" s="26">
        <f>COUNTIF($R$2:R39,R39)</f>
        <v>1</v>
      </c>
      <c r="F39" s="27" t="str" cm="1">
        <f t="array" ref="F39">INDEX('小红书-订单明细'!BQ:BQ,MATCH(R39&amp;AC39,'小红书-订单明细'!A:A&amp;'小红书-订单明细'!O:O,0))</f>
        <v>Z2363-灰色-M</v>
      </c>
      <c r="G39" s="27" t="str">
        <f t="shared" si="4"/>
        <v>Z2363</v>
      </c>
      <c r="H39" s="26" cm="1">
        <f t="array" ref="H39">IF(ABS(BG39)&gt;=1,SUM(AF39,AH39:AI39)/(INDEX('小红书-订单明细'!W:W,MATCH(R39&amp;AC39,'小红书-订单明细'!A:A&amp;'小红书-订单明细'!O:O,0))/(INDEX('小红书-订单明细'!T:T,MATCH(R39&amp;AC39,'小红书-订单明细'!A:A&amp;'小红书-订单明细'!O:O,0)))),IF(ABS(SUM(AF39,AH39:AI39)/(INDEX('小红书-订单明细'!W:W,MATCH(R39&amp;AC39,'小红书-订单明细'!A:A&amp;'小红书-订单明细'!O:O,0))/(INDEX('小红书-订单明细'!T:T,MATCH(R39&amp;AC39,'小红书-订单明细'!A:A&amp;'小红书-订单明细'!O:O,0)))))&gt;15%,ROUNDUP(SUM(AF39,AH39:AI39)/(INDEX('小红书-订单明细'!W:W,MATCH(R39&amp;AC39,'小红书-订单明细'!A:A&amp;'小红书-订单明细'!O:O,0))/(INDEX('小红书-订单明细'!T:T,MATCH(R39&amp;AC39,'小红书-订单明细'!A:A&amp;'小红书-订单明细'!O:O,0)))),0),ROUNDDOWN(SUM(AF39,AH39:AI39)/(INDEX('小红书-订单明细'!W:W,MATCH(R39&amp;AC39,'小红书-订单明细'!A:A&amp;'小红书-订单明细'!O:O,0))/(INDEX('小红书-订单明细'!T:T,MATCH(R39&amp;AC39,'小红书-订单明细'!A:A&amp;'小红书-订单明细'!O:O,0)))),0)))</f>
        <v>1</v>
      </c>
      <c r="I39" s="26">
        <f t="shared" si="5"/>
        <v>359</v>
      </c>
      <c r="J39" s="26">
        <f t="shared" si="6"/>
        <v>0</v>
      </c>
      <c r="K39" s="26">
        <f t="shared" si="7"/>
        <v>0</v>
      </c>
      <c r="L39" s="26">
        <f t="shared" si="8"/>
        <v>17.95</v>
      </c>
      <c r="M39" s="26">
        <f t="shared" si="9"/>
        <v>2.15</v>
      </c>
      <c r="N39" s="26"/>
      <c r="O39" s="28">
        <f t="shared" si="10"/>
        <v>338.9</v>
      </c>
      <c r="Q39" s="1" cm="1">
        <f t="array" ref="Q39">SUM(AF39,AH39:AI39)/(INDEX('小红书-订单明细'!W:W,MATCH(R39&amp;AC39,'小红书-订单明细'!A:A&amp;'小红书-订单明细'!O:O,0))/(INDEX('小红书-订单明细'!T:T,MATCH(R39&amp;AC39,'小红书-订单明细'!A:A&amp;'小红书-订单明细'!O:O,0))))</f>
        <v>1</v>
      </c>
      <c r="R39" s="37" t="s">
        <v>1036</v>
      </c>
      <c r="S39" s="35"/>
      <c r="T39" s="35" t="s">
        <v>1046</v>
      </c>
      <c r="U39" s="35" t="s">
        <v>1049</v>
      </c>
      <c r="V39" s="35" t="s">
        <v>1837</v>
      </c>
      <c r="W39" s="38" t="s">
        <v>1755</v>
      </c>
      <c r="X39" s="38" t="s">
        <v>1749</v>
      </c>
      <c r="Y39" s="35">
        <v>338.9</v>
      </c>
      <c r="Z39" s="31" t="s">
        <v>1757</v>
      </c>
      <c r="AA39" s="38" t="s">
        <v>1758</v>
      </c>
      <c r="AB39" s="35" t="s">
        <v>826</v>
      </c>
      <c r="AC39" s="37" t="s">
        <v>827</v>
      </c>
      <c r="AD39" s="32">
        <v>1</v>
      </c>
      <c r="AE39" s="35">
        <v>359</v>
      </c>
      <c r="AF39" s="36">
        <v>359</v>
      </c>
      <c r="AG39" s="35" t="s">
        <v>75</v>
      </c>
      <c r="AH39" s="35">
        <v>0</v>
      </c>
      <c r="AI39" s="33">
        <v>0</v>
      </c>
      <c r="AJ39" s="33">
        <v>0</v>
      </c>
      <c r="AK39" s="32">
        <v>0.05</v>
      </c>
      <c r="AL39" s="32">
        <v>0</v>
      </c>
      <c r="AM39" s="33">
        <v>-17.95</v>
      </c>
      <c r="AN39" s="33">
        <v>359</v>
      </c>
      <c r="AO39" s="32">
        <v>359</v>
      </c>
      <c r="AP39" s="32">
        <v>0</v>
      </c>
      <c r="AQ39" s="34" t="s">
        <v>101</v>
      </c>
      <c r="AR39" s="32">
        <v>0</v>
      </c>
      <c r="AS39" s="32">
        <v>0.006</v>
      </c>
      <c r="AT39" s="33">
        <v>-2.15</v>
      </c>
      <c r="AU39" s="35" t="s">
        <v>148</v>
      </c>
      <c r="AV39" s="38" t="s">
        <v>1752</v>
      </c>
      <c r="AW39" s="38" t="s">
        <v>1753</v>
      </c>
      <c r="AX39" s="35"/>
      <c r="AY39" s="35"/>
      <c r="AZ39" s="33">
        <v>0</v>
      </c>
      <c r="BA39" s="32">
        <v>0</v>
      </c>
      <c r="BB39" s="32">
        <v>0</v>
      </c>
      <c r="BC39" s="32">
        <v>0</v>
      </c>
      <c r="BD39" s="32">
        <v>0</v>
      </c>
      <c r="BE39" s="35"/>
    </row>
    <row r="40" customHeight="1" spans="1:57">
      <c r="A40" s="25">
        <f t="shared" si="0"/>
        <v>2025</v>
      </c>
      <c r="B40" s="26">
        <f t="shared" si="1"/>
        <v>8</v>
      </c>
      <c r="C40" s="26" t="str">
        <f t="shared" si="2"/>
        <v>P770800038248138451</v>
      </c>
      <c r="D40" s="26">
        <f t="shared" si="3"/>
        <v>4</v>
      </c>
      <c r="E40" s="26">
        <f>COUNTIF($R$2:R40,R40)</f>
        <v>1</v>
      </c>
      <c r="F40" s="27" t="str" cm="1">
        <f t="array" ref="F40">INDEX('小红书-订单明细'!BQ:BQ,MATCH(R40&amp;AC40,'小红书-订单明细'!A:A&amp;'小红书-订单明细'!O:O,0))</f>
        <v>Z2380-藏青色</v>
      </c>
      <c r="G40" s="27" t="str">
        <f t="shared" si="4"/>
        <v>Z2380</v>
      </c>
      <c r="H40" s="26" cm="1">
        <f t="array" ref="H40">IF(ABS(BG40)&gt;=1,SUM(AF40,AH40:AI40)/(INDEX('小红书-订单明细'!W:W,MATCH(R40&amp;AC40,'小红书-订单明细'!A:A&amp;'小红书-订单明细'!O:O,0))/(INDEX('小红书-订单明细'!T:T,MATCH(R40&amp;AC40,'小红书-订单明细'!A:A&amp;'小红书-订单明细'!O:O,0)))),IF(ABS(SUM(AF40,AH40:AI40)/(INDEX('小红书-订单明细'!W:W,MATCH(R40&amp;AC40,'小红书-订单明细'!A:A&amp;'小红书-订单明细'!O:O,0))/(INDEX('小红书-订单明细'!T:T,MATCH(R40&amp;AC40,'小红书-订单明细'!A:A&amp;'小红书-订单明细'!O:O,0)))))&gt;15%,ROUNDUP(SUM(AF40,AH40:AI40)/(INDEX('小红书-订单明细'!W:W,MATCH(R40&amp;AC40,'小红书-订单明细'!A:A&amp;'小红书-订单明细'!O:O,0))/(INDEX('小红书-订单明细'!T:T,MATCH(R40&amp;AC40,'小红书-订单明细'!A:A&amp;'小红书-订单明细'!O:O,0)))),0),ROUNDDOWN(SUM(AF40,AH40:AI40)/(INDEX('小红书-订单明细'!W:W,MATCH(R40&amp;AC40,'小红书-订单明细'!A:A&amp;'小红书-订单明细'!O:O,0))/(INDEX('小红书-订单明细'!T:T,MATCH(R40&amp;AC40,'小红书-订单明细'!A:A&amp;'小红书-订单明细'!O:O,0)))),0)))</f>
        <v>-1</v>
      </c>
      <c r="I40" s="26">
        <f t="shared" si="5"/>
        <v>-199</v>
      </c>
      <c r="J40" s="26">
        <f t="shared" si="6"/>
        <v>0</v>
      </c>
      <c r="K40" s="26">
        <f t="shared" si="7"/>
        <v>0</v>
      </c>
      <c r="L40" s="26">
        <f t="shared" si="8"/>
        <v>-9.95</v>
      </c>
      <c r="M40" s="26">
        <f t="shared" si="9"/>
        <v>-1.19</v>
      </c>
      <c r="N40" s="26"/>
      <c r="O40" s="28">
        <f t="shared" si="10"/>
        <v>-187.86</v>
      </c>
      <c r="Q40" s="1" cm="1">
        <f t="array" ref="Q40">SUM(AF40,AH40:AI40)/(INDEX('小红书-订单明细'!W:W,MATCH(R40&amp;AC40,'小红书-订单明细'!A:A&amp;'小红书-订单明细'!O:O,0))/(INDEX('小红书-订单明细'!T:T,MATCH(R40&amp;AC40,'小红书-订单明细'!A:A&amp;'小红书-订单明细'!O:O,0))))</f>
        <v>-1</v>
      </c>
      <c r="R40" s="37" t="s">
        <v>719</v>
      </c>
      <c r="S40" s="35" t="s">
        <v>1838</v>
      </c>
      <c r="T40" s="35" t="s">
        <v>730</v>
      </c>
      <c r="U40" s="35" t="s">
        <v>1839</v>
      </c>
      <c r="V40" s="35" t="s">
        <v>1840</v>
      </c>
      <c r="W40" s="38" t="s">
        <v>1748</v>
      </c>
      <c r="X40" s="38" t="s">
        <v>1749</v>
      </c>
      <c r="Y40" s="35">
        <v>-187.86</v>
      </c>
      <c r="Z40" s="31" t="s">
        <v>1841</v>
      </c>
      <c r="AA40" s="38" t="s">
        <v>1842</v>
      </c>
      <c r="AB40" s="35" t="s">
        <v>361</v>
      </c>
      <c r="AC40" s="37" t="s">
        <v>362</v>
      </c>
      <c r="AD40" s="32">
        <v>0</v>
      </c>
      <c r="AE40" s="35">
        <v>-199</v>
      </c>
      <c r="AF40" s="37">
        <v>-199</v>
      </c>
      <c r="AG40" s="35">
        <v>0</v>
      </c>
      <c r="AH40" s="35">
        <v>0</v>
      </c>
      <c r="AI40" s="33">
        <v>0</v>
      </c>
      <c r="AJ40" s="33">
        <v>0</v>
      </c>
      <c r="AK40" s="32">
        <v>0</v>
      </c>
      <c r="AL40" s="32">
        <v>0</v>
      </c>
      <c r="AM40" s="33">
        <v>9.95</v>
      </c>
      <c r="AN40" s="33">
        <v>0</v>
      </c>
      <c r="AO40" s="32">
        <v>0</v>
      </c>
      <c r="AP40" s="32">
        <v>0</v>
      </c>
      <c r="AQ40" s="34" t="s">
        <v>101</v>
      </c>
      <c r="AR40" s="32">
        <v>0</v>
      </c>
      <c r="AS40" s="32">
        <v>0</v>
      </c>
      <c r="AT40" s="33">
        <v>1.19</v>
      </c>
      <c r="AU40" s="35" t="s">
        <v>148</v>
      </c>
      <c r="AV40" s="38" t="s">
        <v>1752</v>
      </c>
      <c r="AW40" s="38" t="s">
        <v>1753</v>
      </c>
      <c r="AX40" s="35"/>
      <c r="AY40" s="35"/>
      <c r="AZ40" s="33">
        <v>0</v>
      </c>
      <c r="BA40" s="32">
        <v>0</v>
      </c>
      <c r="BB40" s="32">
        <v>0</v>
      </c>
      <c r="BC40" s="32">
        <v>0</v>
      </c>
      <c r="BD40" s="32">
        <v>0</v>
      </c>
      <c r="BE40" s="35"/>
    </row>
    <row r="41" customHeight="1" spans="1:57">
      <c r="A41" s="25">
        <f t="shared" si="0"/>
        <v>2025</v>
      </c>
      <c r="B41" s="26">
        <f t="shared" si="1"/>
        <v>8</v>
      </c>
      <c r="C41" s="26" t="str">
        <f t="shared" si="2"/>
        <v>P770800038248138451</v>
      </c>
      <c r="D41" s="26">
        <f t="shared" si="3"/>
        <v>4</v>
      </c>
      <c r="E41" s="26">
        <f>COUNTIF($R$2:R41,R41)</f>
        <v>2</v>
      </c>
      <c r="F41" s="27" t="str" cm="1">
        <f t="array" ref="F41">INDEX('小红书-订单明细'!BQ:BQ,MATCH(R41&amp;AC41,'小红书-订单明细'!A:A&amp;'小红书-订单明细'!O:O,0))</f>
        <v>Z2380-黑色</v>
      </c>
      <c r="G41" s="27" t="str">
        <f t="shared" si="4"/>
        <v>Z2380</v>
      </c>
      <c r="H41" s="26" cm="1">
        <f t="array" ref="H41">IF(ABS(BG41)&gt;=1,SUM(AF41,AH41:AI41)/(INDEX('小红书-订单明细'!W:W,MATCH(R41&amp;AC41,'小红书-订单明细'!A:A&amp;'小红书-订单明细'!O:O,0))/(INDEX('小红书-订单明细'!T:T,MATCH(R41&amp;AC41,'小红书-订单明细'!A:A&amp;'小红书-订单明细'!O:O,0)))),IF(ABS(SUM(AF41,AH41:AI41)/(INDEX('小红书-订单明细'!W:W,MATCH(R41&amp;AC41,'小红书-订单明细'!A:A&amp;'小红书-订单明细'!O:O,0))/(INDEX('小红书-订单明细'!T:T,MATCH(R41&amp;AC41,'小红书-订单明细'!A:A&amp;'小红书-订单明细'!O:O,0)))))&gt;15%,ROUNDUP(SUM(AF41,AH41:AI41)/(INDEX('小红书-订单明细'!W:W,MATCH(R41&amp;AC41,'小红书-订单明细'!A:A&amp;'小红书-订单明细'!O:O,0))/(INDEX('小红书-订单明细'!T:T,MATCH(R41&amp;AC41,'小红书-订单明细'!A:A&amp;'小红书-订单明细'!O:O,0)))),0),ROUNDDOWN(SUM(AF41,AH41:AI41)/(INDEX('小红书-订单明细'!W:W,MATCH(R41&amp;AC41,'小红书-订单明细'!A:A&amp;'小红书-订单明细'!O:O,0))/(INDEX('小红书-订单明细'!T:T,MATCH(R41&amp;AC41,'小红书-订单明细'!A:A&amp;'小红书-订单明细'!O:O,0)))),0)))</f>
        <v>-1</v>
      </c>
      <c r="I41" s="26">
        <f t="shared" si="5"/>
        <v>-199</v>
      </c>
      <c r="J41" s="26">
        <f t="shared" si="6"/>
        <v>0</v>
      </c>
      <c r="K41" s="26">
        <f t="shared" si="7"/>
        <v>0</v>
      </c>
      <c r="L41" s="26">
        <f t="shared" si="8"/>
        <v>-9.95</v>
      </c>
      <c r="M41" s="26">
        <f t="shared" si="9"/>
        <v>-1.19</v>
      </c>
      <c r="N41" s="26"/>
      <c r="O41" s="28">
        <f t="shared" si="10"/>
        <v>-187.86</v>
      </c>
      <c r="Q41" s="1" cm="1">
        <f t="array" ref="Q41">SUM(AF41,AH41:AI41)/(INDEX('小红书-订单明细'!W:W,MATCH(R41&amp;AC41,'小红书-订单明细'!A:A&amp;'小红书-订单明细'!O:O,0))/(INDEX('小红书-订单明细'!T:T,MATCH(R41&amp;AC41,'小红书-订单明细'!A:A&amp;'小红书-订单明细'!O:O,0))))</f>
        <v>-1</v>
      </c>
      <c r="R41" s="37" t="s">
        <v>719</v>
      </c>
      <c r="S41" s="35" t="s">
        <v>1843</v>
      </c>
      <c r="T41" s="35" t="s">
        <v>730</v>
      </c>
      <c r="U41" s="35" t="s">
        <v>1844</v>
      </c>
      <c r="V41" s="35" t="s">
        <v>1840</v>
      </c>
      <c r="W41" s="38" t="s">
        <v>1748</v>
      </c>
      <c r="X41" s="38" t="s">
        <v>1749</v>
      </c>
      <c r="Y41" s="35">
        <v>-187.86</v>
      </c>
      <c r="Z41" s="31" t="s">
        <v>1845</v>
      </c>
      <c r="AA41" s="38" t="s">
        <v>1842</v>
      </c>
      <c r="AB41" s="35" t="s">
        <v>512</v>
      </c>
      <c r="AC41" s="37" t="s">
        <v>513</v>
      </c>
      <c r="AD41" s="32">
        <v>0</v>
      </c>
      <c r="AE41" s="35">
        <v>-199</v>
      </c>
      <c r="AF41" s="37">
        <v>-199</v>
      </c>
      <c r="AG41" s="35">
        <v>0</v>
      </c>
      <c r="AH41" s="35">
        <v>0</v>
      </c>
      <c r="AI41" s="33">
        <v>0</v>
      </c>
      <c r="AJ41" s="33">
        <v>0</v>
      </c>
      <c r="AK41" s="32">
        <v>0</v>
      </c>
      <c r="AL41" s="32">
        <v>0</v>
      </c>
      <c r="AM41" s="33">
        <v>9.95</v>
      </c>
      <c r="AN41" s="33">
        <v>0</v>
      </c>
      <c r="AO41" s="32">
        <v>0</v>
      </c>
      <c r="AP41" s="32">
        <v>0</v>
      </c>
      <c r="AQ41" s="34" t="s">
        <v>101</v>
      </c>
      <c r="AR41" s="32">
        <v>0</v>
      </c>
      <c r="AS41" s="32">
        <v>0</v>
      </c>
      <c r="AT41" s="33">
        <v>1.19</v>
      </c>
      <c r="AU41" s="35" t="s">
        <v>148</v>
      </c>
      <c r="AV41" s="38" t="s">
        <v>1752</v>
      </c>
      <c r="AW41" s="38" t="s">
        <v>1753</v>
      </c>
      <c r="AX41" s="35"/>
      <c r="AY41" s="35"/>
      <c r="AZ41" s="33">
        <v>0</v>
      </c>
      <c r="BA41" s="32">
        <v>0</v>
      </c>
      <c r="BB41" s="32">
        <v>0</v>
      </c>
      <c r="BC41" s="32">
        <v>0</v>
      </c>
      <c r="BD41" s="32">
        <v>0</v>
      </c>
      <c r="BE41" s="35"/>
    </row>
    <row r="42" customHeight="1" spans="1:57">
      <c r="A42" s="25">
        <f t="shared" si="0"/>
        <v>2025</v>
      </c>
      <c r="B42" s="26">
        <f t="shared" si="1"/>
        <v>8</v>
      </c>
      <c r="C42" s="26" t="str">
        <f t="shared" si="2"/>
        <v>P770815073365177321</v>
      </c>
      <c r="D42" s="26">
        <f t="shared" si="3"/>
        <v>2</v>
      </c>
      <c r="E42" s="26">
        <f>COUNTIF($R$2:R42,R42)</f>
        <v>1</v>
      </c>
      <c r="F42" s="27" t="str" cm="1">
        <f t="array" ref="F42">INDEX('小红书-订单明细'!BQ:BQ,MATCH(R42&amp;AC42,'小红书-订单明细'!A:A&amp;'小红书-订单明细'!O:O,0))</f>
        <v>Z2378-灰色-S</v>
      </c>
      <c r="G42" s="27" t="str">
        <f t="shared" si="4"/>
        <v>Z2378</v>
      </c>
      <c r="H42" s="26" cm="1">
        <f t="array" ref="H42">IF(ABS(BG42)&gt;=1,SUM(AF42,AH42:AI42)/(INDEX('小红书-订单明细'!W:W,MATCH(R42&amp;AC42,'小红书-订单明细'!A:A&amp;'小红书-订单明细'!O:O,0))/(INDEX('小红书-订单明细'!T:T,MATCH(R42&amp;AC42,'小红书-订单明细'!A:A&amp;'小红书-订单明细'!O:O,0)))),IF(ABS(SUM(AF42,AH42:AI42)/(INDEX('小红书-订单明细'!W:W,MATCH(R42&amp;AC42,'小红书-订单明细'!A:A&amp;'小红书-订单明细'!O:O,0))/(INDEX('小红书-订单明细'!T:T,MATCH(R42&amp;AC42,'小红书-订单明细'!A:A&amp;'小红书-订单明细'!O:O,0)))))&gt;15%,ROUNDUP(SUM(AF42,AH42:AI42)/(INDEX('小红书-订单明细'!W:W,MATCH(R42&amp;AC42,'小红书-订单明细'!A:A&amp;'小红书-订单明细'!O:O,0))/(INDEX('小红书-订单明细'!T:T,MATCH(R42&amp;AC42,'小红书-订单明细'!A:A&amp;'小红书-订单明细'!O:O,0)))),0),ROUNDDOWN(SUM(AF42,AH42:AI42)/(INDEX('小红书-订单明细'!W:W,MATCH(R42&amp;AC42,'小红书-订单明细'!A:A&amp;'小红书-订单明细'!O:O,0))/(INDEX('小红书-订单明细'!T:T,MATCH(R42&amp;AC42,'小红书-订单明细'!A:A&amp;'小红书-订单明细'!O:O,0)))),0)))</f>
        <v>-1</v>
      </c>
      <c r="I42" s="26">
        <f t="shared" si="5"/>
        <v>-179</v>
      </c>
      <c r="J42" s="26">
        <f t="shared" si="6"/>
        <v>0</v>
      </c>
      <c r="K42" s="26">
        <f t="shared" si="7"/>
        <v>0</v>
      </c>
      <c r="L42" s="26">
        <f t="shared" si="8"/>
        <v>-8.95</v>
      </c>
      <c r="M42" s="26">
        <f t="shared" si="9"/>
        <v>-1.07</v>
      </c>
      <c r="N42" s="26"/>
      <c r="O42" s="28">
        <f t="shared" si="10"/>
        <v>-168.98</v>
      </c>
      <c r="Q42" s="1" cm="1">
        <f t="array" ref="Q42">SUM(AF42,AH42:AI42)/(INDEX('小红书-订单明细'!W:W,MATCH(R42&amp;AC42,'小红书-订单明细'!A:A&amp;'小红书-订单明细'!O:O,0))/(INDEX('小红书-订单明细'!T:T,MATCH(R42&amp;AC42,'小红书-订单明细'!A:A&amp;'小红书-订单明细'!O:O,0))))</f>
        <v>-1</v>
      </c>
      <c r="R42" s="37" t="s">
        <v>423</v>
      </c>
      <c r="S42" s="35" t="s">
        <v>1846</v>
      </c>
      <c r="T42" s="35" t="s">
        <v>438</v>
      </c>
      <c r="U42" s="35" t="s">
        <v>1847</v>
      </c>
      <c r="V42" s="35" t="s">
        <v>1840</v>
      </c>
      <c r="W42" s="38" t="s">
        <v>1748</v>
      </c>
      <c r="X42" s="38" t="s">
        <v>1749</v>
      </c>
      <c r="Y42" s="35">
        <v>-168.98</v>
      </c>
      <c r="Z42" s="31" t="s">
        <v>1848</v>
      </c>
      <c r="AA42" s="38" t="s">
        <v>1773</v>
      </c>
      <c r="AB42" s="35" t="s">
        <v>432</v>
      </c>
      <c r="AC42" s="37" t="s">
        <v>433</v>
      </c>
      <c r="AD42" s="32">
        <v>0</v>
      </c>
      <c r="AE42" s="35">
        <v>-179</v>
      </c>
      <c r="AF42" s="37">
        <v>-179</v>
      </c>
      <c r="AG42" s="35">
        <v>0</v>
      </c>
      <c r="AH42" s="35">
        <v>0</v>
      </c>
      <c r="AI42" s="33">
        <v>0</v>
      </c>
      <c r="AJ42" s="33">
        <v>0</v>
      </c>
      <c r="AK42" s="32">
        <v>0</v>
      </c>
      <c r="AL42" s="32">
        <v>0</v>
      </c>
      <c r="AM42" s="33">
        <v>8.95</v>
      </c>
      <c r="AN42" s="33">
        <v>0</v>
      </c>
      <c r="AO42" s="32">
        <v>0</v>
      </c>
      <c r="AP42" s="32">
        <v>0</v>
      </c>
      <c r="AQ42" s="34" t="s">
        <v>101</v>
      </c>
      <c r="AR42" s="32">
        <v>0</v>
      </c>
      <c r="AS42" s="32">
        <v>0</v>
      </c>
      <c r="AT42" s="33">
        <v>1.07</v>
      </c>
      <c r="AU42" s="35" t="s">
        <v>148</v>
      </c>
      <c r="AV42" s="38" t="s">
        <v>1752</v>
      </c>
      <c r="AW42" s="38" t="s">
        <v>1753</v>
      </c>
      <c r="AX42" s="35"/>
      <c r="AY42" s="35"/>
      <c r="AZ42" s="33">
        <v>0</v>
      </c>
      <c r="BA42" s="32">
        <v>0</v>
      </c>
      <c r="BB42" s="32">
        <v>0</v>
      </c>
      <c r="BC42" s="32">
        <v>0</v>
      </c>
      <c r="BD42" s="32">
        <v>0</v>
      </c>
      <c r="BE42" s="35"/>
    </row>
    <row r="43" customHeight="1" spans="1:57">
      <c r="A43" s="25">
        <f t="shared" si="0"/>
        <v>2025</v>
      </c>
      <c r="B43" s="26">
        <f t="shared" si="1"/>
        <v>8</v>
      </c>
      <c r="C43" s="26" t="str">
        <f t="shared" si="2"/>
        <v>P770815073365177321</v>
      </c>
      <c r="D43" s="26">
        <f t="shared" si="3"/>
        <v>2</v>
      </c>
      <c r="E43" s="26">
        <f>COUNTIF($R$2:R43,R43)</f>
        <v>2</v>
      </c>
      <c r="F43" s="27" t="str" cm="1">
        <f t="array" ref="F43">INDEX('小红书-订单明细'!BQ:BQ,MATCH(R43&amp;AC43,'小红书-订单明细'!A:A&amp;'小红书-订单明细'!O:O,0))</f>
        <v>Z2378-灰色-S</v>
      </c>
      <c r="G43" s="27" t="str">
        <f t="shared" si="4"/>
        <v>Z2378</v>
      </c>
      <c r="H43" s="26" cm="1">
        <f t="array" ref="H43">IF(ABS(BG43)&gt;=1,SUM(AF43,AH43:AI43)/(INDEX('小红书-订单明细'!W:W,MATCH(R43&amp;AC43,'小红书-订单明细'!A:A&amp;'小红书-订单明细'!O:O,0))/(INDEX('小红书-订单明细'!T:T,MATCH(R43&amp;AC43,'小红书-订单明细'!A:A&amp;'小红书-订单明细'!O:O,0)))),IF(ABS(SUM(AF43,AH43:AI43)/(INDEX('小红书-订单明细'!W:W,MATCH(R43&amp;AC43,'小红书-订单明细'!A:A&amp;'小红书-订单明细'!O:O,0))/(INDEX('小红书-订单明细'!T:T,MATCH(R43&amp;AC43,'小红书-订单明细'!A:A&amp;'小红书-订单明细'!O:O,0)))))&gt;15%,ROUNDUP(SUM(AF43,AH43:AI43)/(INDEX('小红书-订单明细'!W:W,MATCH(R43&amp;AC43,'小红书-订单明细'!A:A&amp;'小红书-订单明细'!O:O,0))/(INDEX('小红书-订单明细'!T:T,MATCH(R43&amp;AC43,'小红书-订单明细'!A:A&amp;'小红书-订单明细'!O:O,0)))),0),ROUNDDOWN(SUM(AF43,AH43:AI43)/(INDEX('小红书-订单明细'!W:W,MATCH(R43&amp;AC43,'小红书-订单明细'!A:A&amp;'小红书-订单明细'!O:O,0))/(INDEX('小红书-订单明细'!T:T,MATCH(R43&amp;AC43,'小红书-订单明细'!A:A&amp;'小红书-订单明细'!O:O,0)))),0)))</f>
        <v>1</v>
      </c>
      <c r="I43" s="26">
        <f t="shared" si="5"/>
        <v>179</v>
      </c>
      <c r="J43" s="26">
        <f t="shared" si="6"/>
        <v>0</v>
      </c>
      <c r="K43" s="26">
        <f t="shared" si="7"/>
        <v>0</v>
      </c>
      <c r="L43" s="26">
        <f t="shared" si="8"/>
        <v>8.95</v>
      </c>
      <c r="M43" s="26">
        <f t="shared" si="9"/>
        <v>1.07</v>
      </c>
      <c r="N43" s="26"/>
      <c r="O43" s="28">
        <f t="shared" si="10"/>
        <v>168.98</v>
      </c>
      <c r="Q43" s="1" cm="1">
        <f t="array" ref="Q43">SUM(AF43,AH43:AI43)/(INDEX('小红书-订单明细'!W:W,MATCH(R43&amp;AC43,'小红书-订单明细'!A:A&amp;'小红书-订单明细'!O:O,0))/(INDEX('小红书-订单明细'!T:T,MATCH(R43&amp;AC43,'小红书-订单明细'!A:A&amp;'小红书-订单明细'!O:O,0))))</f>
        <v>1</v>
      </c>
      <c r="R43" s="37" t="s">
        <v>423</v>
      </c>
      <c r="S43" s="35"/>
      <c r="T43" s="35" t="s">
        <v>438</v>
      </c>
      <c r="U43" s="35" t="s">
        <v>1849</v>
      </c>
      <c r="V43" s="35" t="s">
        <v>1840</v>
      </c>
      <c r="W43" s="38" t="s">
        <v>1755</v>
      </c>
      <c r="X43" s="38" t="s">
        <v>1749</v>
      </c>
      <c r="Y43" s="35">
        <v>168.98</v>
      </c>
      <c r="Z43" s="31" t="s">
        <v>1848</v>
      </c>
      <c r="AA43" s="38" t="s">
        <v>1773</v>
      </c>
      <c r="AB43" s="35" t="s">
        <v>432</v>
      </c>
      <c r="AC43" s="37" t="s">
        <v>433</v>
      </c>
      <c r="AD43" s="32">
        <v>1</v>
      </c>
      <c r="AE43" s="35">
        <v>179</v>
      </c>
      <c r="AF43" s="36">
        <v>179</v>
      </c>
      <c r="AG43" s="35" t="s">
        <v>75</v>
      </c>
      <c r="AH43" s="35">
        <v>0</v>
      </c>
      <c r="AI43" s="33">
        <v>0</v>
      </c>
      <c r="AJ43" s="33">
        <v>0</v>
      </c>
      <c r="AK43" s="32">
        <v>0.05</v>
      </c>
      <c r="AL43" s="32">
        <v>0</v>
      </c>
      <c r="AM43" s="33">
        <v>-8.95</v>
      </c>
      <c r="AN43" s="33">
        <v>179</v>
      </c>
      <c r="AO43" s="32">
        <v>179</v>
      </c>
      <c r="AP43" s="32">
        <v>0</v>
      </c>
      <c r="AQ43" s="34" t="s">
        <v>101</v>
      </c>
      <c r="AR43" s="32">
        <v>0</v>
      </c>
      <c r="AS43" s="32">
        <v>0.006</v>
      </c>
      <c r="AT43" s="33">
        <v>-1.07</v>
      </c>
      <c r="AU43" s="35" t="s">
        <v>148</v>
      </c>
      <c r="AV43" s="38" t="s">
        <v>1752</v>
      </c>
      <c r="AW43" s="38" t="s">
        <v>1753</v>
      </c>
      <c r="AX43" s="35"/>
      <c r="AY43" s="35"/>
      <c r="AZ43" s="33">
        <v>0</v>
      </c>
      <c r="BA43" s="32">
        <v>0</v>
      </c>
      <c r="BB43" s="32">
        <v>0</v>
      </c>
      <c r="BC43" s="32">
        <v>0</v>
      </c>
      <c r="BD43" s="32">
        <v>0</v>
      </c>
      <c r="BE43" s="35"/>
    </row>
    <row r="44" customHeight="1" spans="1:57">
      <c r="A44" s="25">
        <f t="shared" si="0"/>
        <v>2025</v>
      </c>
      <c r="B44" s="26">
        <f t="shared" si="1"/>
        <v>8</v>
      </c>
      <c r="C44" s="26" t="str">
        <f t="shared" si="2"/>
        <v>P770800038248138451</v>
      </c>
      <c r="D44" s="26">
        <f t="shared" si="3"/>
        <v>4</v>
      </c>
      <c r="E44" s="26">
        <f>COUNTIF($R$2:R44,R44)</f>
        <v>3</v>
      </c>
      <c r="F44" s="27" t="str" cm="1">
        <f t="array" ref="F44">INDEX('小红书-订单明细'!BQ:BQ,MATCH(R44&amp;AC44,'小红书-订单明细'!A:A&amp;'小红书-订单明细'!O:O,0))</f>
        <v>Z2380-黑色</v>
      </c>
      <c r="G44" s="27" t="str">
        <f t="shared" si="4"/>
        <v>Z2380</v>
      </c>
      <c r="H44" s="26" cm="1">
        <f t="array" ref="H44">IF(ABS(BG44)&gt;=1,SUM(AF44,AH44:AI44)/(INDEX('小红书-订单明细'!W:W,MATCH(R44&amp;AC44,'小红书-订单明细'!A:A&amp;'小红书-订单明细'!O:O,0))/(INDEX('小红书-订单明细'!T:T,MATCH(R44&amp;AC44,'小红书-订单明细'!A:A&amp;'小红书-订单明细'!O:O,0)))),IF(ABS(SUM(AF44,AH44:AI44)/(INDEX('小红书-订单明细'!W:W,MATCH(R44&amp;AC44,'小红书-订单明细'!A:A&amp;'小红书-订单明细'!O:O,0))/(INDEX('小红书-订单明细'!T:T,MATCH(R44&amp;AC44,'小红书-订单明细'!A:A&amp;'小红书-订单明细'!O:O,0)))))&gt;15%,ROUNDUP(SUM(AF44,AH44:AI44)/(INDEX('小红书-订单明细'!W:W,MATCH(R44&amp;AC44,'小红书-订单明细'!A:A&amp;'小红书-订单明细'!O:O,0))/(INDEX('小红书-订单明细'!T:T,MATCH(R44&amp;AC44,'小红书-订单明细'!A:A&amp;'小红书-订单明细'!O:O,0)))),0),ROUNDDOWN(SUM(AF44,AH44:AI44)/(INDEX('小红书-订单明细'!W:W,MATCH(R44&amp;AC44,'小红书-订单明细'!A:A&amp;'小红书-订单明细'!O:O,0))/(INDEX('小红书-订单明细'!T:T,MATCH(R44&amp;AC44,'小红书-订单明细'!A:A&amp;'小红书-订单明细'!O:O,0)))),0)))</f>
        <v>1</v>
      </c>
      <c r="I44" s="26">
        <f t="shared" si="5"/>
        <v>199</v>
      </c>
      <c r="J44" s="26">
        <f t="shared" si="6"/>
        <v>0</v>
      </c>
      <c r="K44" s="26">
        <f t="shared" si="7"/>
        <v>0</v>
      </c>
      <c r="L44" s="26">
        <f t="shared" si="8"/>
        <v>9.95</v>
      </c>
      <c r="M44" s="26">
        <f t="shared" si="9"/>
        <v>1.19</v>
      </c>
      <c r="N44" s="26"/>
      <c r="O44" s="28">
        <f t="shared" si="10"/>
        <v>187.86</v>
      </c>
      <c r="Q44" s="1" cm="1">
        <f t="array" ref="Q44">SUM(AF44,AH44:AI44)/(INDEX('小红书-订单明细'!W:W,MATCH(R44&amp;AC44,'小红书-订单明细'!A:A&amp;'小红书-订单明细'!O:O,0))/(INDEX('小红书-订单明细'!T:T,MATCH(R44&amp;AC44,'小红书-订单明细'!A:A&amp;'小红书-订单明细'!O:O,0))))</f>
        <v>1</v>
      </c>
      <c r="R44" s="37" t="s">
        <v>719</v>
      </c>
      <c r="S44" s="35"/>
      <c r="T44" s="35" t="s">
        <v>730</v>
      </c>
      <c r="U44" s="35" t="s">
        <v>1850</v>
      </c>
      <c r="V44" s="35" t="s">
        <v>1840</v>
      </c>
      <c r="W44" s="38" t="s">
        <v>1755</v>
      </c>
      <c r="X44" s="38" t="s">
        <v>1749</v>
      </c>
      <c r="Y44" s="35">
        <v>375.72</v>
      </c>
      <c r="Z44" s="31" t="s">
        <v>1845</v>
      </c>
      <c r="AA44" s="38" t="s">
        <v>1842</v>
      </c>
      <c r="AB44" s="35" t="s">
        <v>512</v>
      </c>
      <c r="AC44" s="37" t="s">
        <v>513</v>
      </c>
      <c r="AD44" s="32">
        <v>1</v>
      </c>
      <c r="AE44" s="35">
        <v>199</v>
      </c>
      <c r="AF44" s="36">
        <v>199</v>
      </c>
      <c r="AG44" s="35" t="s">
        <v>75</v>
      </c>
      <c r="AH44" s="35">
        <v>0</v>
      </c>
      <c r="AI44" s="33">
        <v>0</v>
      </c>
      <c r="AJ44" s="33">
        <v>0</v>
      </c>
      <c r="AK44" s="32">
        <v>0.05</v>
      </c>
      <c r="AL44" s="32">
        <v>0</v>
      </c>
      <c r="AM44" s="33">
        <v>-9.95</v>
      </c>
      <c r="AN44" s="33">
        <v>199</v>
      </c>
      <c r="AO44" s="32">
        <v>199</v>
      </c>
      <c r="AP44" s="32">
        <v>0</v>
      </c>
      <c r="AQ44" s="34" t="s">
        <v>101</v>
      </c>
      <c r="AR44" s="32">
        <v>0</v>
      </c>
      <c r="AS44" s="32">
        <v>0.006</v>
      </c>
      <c r="AT44" s="33">
        <v>-1.19</v>
      </c>
      <c r="AU44" s="35" t="s">
        <v>148</v>
      </c>
      <c r="AV44" s="38" t="s">
        <v>1752</v>
      </c>
      <c r="AW44" s="38" t="s">
        <v>1753</v>
      </c>
      <c r="AX44" s="35"/>
      <c r="AY44" s="35"/>
      <c r="AZ44" s="33">
        <v>0</v>
      </c>
      <c r="BA44" s="32">
        <v>0</v>
      </c>
      <c r="BB44" s="32">
        <v>0</v>
      </c>
      <c r="BC44" s="32">
        <v>0</v>
      </c>
      <c r="BD44" s="32">
        <v>0</v>
      </c>
      <c r="BE44" s="35"/>
    </row>
    <row r="45" customHeight="1" spans="1:57">
      <c r="A45" s="25">
        <f t="shared" si="0"/>
        <v>2025</v>
      </c>
      <c r="B45" s="26">
        <f t="shared" si="1"/>
        <v>8</v>
      </c>
      <c r="C45" s="26" t="str">
        <f t="shared" si="2"/>
        <v>P770800038248138451</v>
      </c>
      <c r="D45" s="26">
        <f t="shared" si="3"/>
        <v>4</v>
      </c>
      <c r="E45" s="26">
        <f>COUNTIF($R$2:R45,R45)</f>
        <v>4</v>
      </c>
      <c r="F45" s="27" t="str" cm="1">
        <f t="array" ref="F45">INDEX('小红书-订单明细'!BQ:BQ,MATCH(R45&amp;AC45,'小红书-订单明细'!A:A&amp;'小红书-订单明细'!O:O,0))</f>
        <v>Z2380-藏青色</v>
      </c>
      <c r="G45" s="27" t="str">
        <f t="shared" si="4"/>
        <v>Z2380</v>
      </c>
      <c r="H45" s="26" cm="1">
        <f t="array" ref="H45">IF(ABS(BG45)&gt;=1,SUM(AF45,AH45:AI45)/(INDEX('小红书-订单明细'!W:W,MATCH(R45&amp;AC45,'小红书-订单明细'!A:A&amp;'小红书-订单明细'!O:O,0))/(INDEX('小红书-订单明细'!T:T,MATCH(R45&amp;AC45,'小红书-订单明细'!A:A&amp;'小红书-订单明细'!O:O,0)))),IF(ABS(SUM(AF45,AH45:AI45)/(INDEX('小红书-订单明细'!W:W,MATCH(R45&amp;AC45,'小红书-订单明细'!A:A&amp;'小红书-订单明细'!O:O,0))/(INDEX('小红书-订单明细'!T:T,MATCH(R45&amp;AC45,'小红书-订单明细'!A:A&amp;'小红书-订单明细'!O:O,0)))))&gt;15%,ROUNDUP(SUM(AF45,AH45:AI45)/(INDEX('小红书-订单明细'!W:W,MATCH(R45&amp;AC45,'小红书-订单明细'!A:A&amp;'小红书-订单明细'!O:O,0))/(INDEX('小红书-订单明细'!T:T,MATCH(R45&amp;AC45,'小红书-订单明细'!A:A&amp;'小红书-订单明细'!O:O,0)))),0),ROUNDDOWN(SUM(AF45,AH45:AI45)/(INDEX('小红书-订单明细'!W:W,MATCH(R45&amp;AC45,'小红书-订单明细'!A:A&amp;'小红书-订单明细'!O:O,0))/(INDEX('小红书-订单明细'!T:T,MATCH(R45&amp;AC45,'小红书-订单明细'!A:A&amp;'小红书-订单明细'!O:O,0)))),0)))</f>
        <v>1</v>
      </c>
      <c r="I45" s="26">
        <f t="shared" si="5"/>
        <v>199</v>
      </c>
      <c r="J45" s="26">
        <f t="shared" si="6"/>
        <v>0</v>
      </c>
      <c r="K45" s="26">
        <f t="shared" si="7"/>
        <v>0</v>
      </c>
      <c r="L45" s="26">
        <f t="shared" si="8"/>
        <v>9.95</v>
      </c>
      <c r="M45" s="26">
        <f t="shared" si="9"/>
        <v>1.19</v>
      </c>
      <c r="N45" s="26"/>
      <c r="O45" s="28">
        <f t="shared" si="10"/>
        <v>187.86</v>
      </c>
      <c r="Q45" s="1" cm="1">
        <f t="array" ref="Q45">SUM(AF45,AH45:AI45)/(INDEX('小红书-订单明细'!W:W,MATCH(R45&amp;AC45,'小红书-订单明细'!A:A&amp;'小红书-订单明细'!O:O,0))/(INDEX('小红书-订单明细'!T:T,MATCH(R45&amp;AC45,'小红书-订单明细'!A:A&amp;'小红书-订单明细'!O:O,0))))</f>
        <v>1</v>
      </c>
      <c r="R45" s="37" t="s">
        <v>719</v>
      </c>
      <c r="S45" s="35"/>
      <c r="T45" s="35" t="s">
        <v>730</v>
      </c>
      <c r="U45" s="35" t="s">
        <v>1850</v>
      </c>
      <c r="V45" s="35" t="s">
        <v>1840</v>
      </c>
      <c r="W45" s="38" t="s">
        <v>1755</v>
      </c>
      <c r="X45" s="38" t="s">
        <v>1749</v>
      </c>
      <c r="Y45" s="35">
        <v>375.72</v>
      </c>
      <c r="Z45" s="31" t="s">
        <v>1841</v>
      </c>
      <c r="AA45" s="38" t="s">
        <v>1842</v>
      </c>
      <c r="AB45" s="35" t="s">
        <v>361</v>
      </c>
      <c r="AC45" s="37" t="s">
        <v>362</v>
      </c>
      <c r="AD45" s="32">
        <v>1</v>
      </c>
      <c r="AE45" s="35">
        <v>199</v>
      </c>
      <c r="AF45" s="36">
        <v>199</v>
      </c>
      <c r="AG45" s="35" t="s">
        <v>75</v>
      </c>
      <c r="AH45" s="35">
        <v>0</v>
      </c>
      <c r="AI45" s="33">
        <v>0</v>
      </c>
      <c r="AJ45" s="33">
        <v>0</v>
      </c>
      <c r="AK45" s="32">
        <v>0.05</v>
      </c>
      <c r="AL45" s="32">
        <v>0</v>
      </c>
      <c r="AM45" s="33">
        <v>-9.95</v>
      </c>
      <c r="AN45" s="33">
        <v>199</v>
      </c>
      <c r="AO45" s="32">
        <v>199</v>
      </c>
      <c r="AP45" s="32">
        <v>0</v>
      </c>
      <c r="AQ45" s="34" t="s">
        <v>101</v>
      </c>
      <c r="AR45" s="32">
        <v>0</v>
      </c>
      <c r="AS45" s="32">
        <v>0.006</v>
      </c>
      <c r="AT45" s="33">
        <v>-1.19</v>
      </c>
      <c r="AU45" s="35" t="s">
        <v>148</v>
      </c>
      <c r="AV45" s="38" t="s">
        <v>1752</v>
      </c>
      <c r="AW45" s="38" t="s">
        <v>1753</v>
      </c>
      <c r="AX45" s="35"/>
      <c r="AY45" s="35"/>
      <c r="AZ45" s="33">
        <v>0</v>
      </c>
      <c r="BA45" s="32">
        <v>0</v>
      </c>
      <c r="BB45" s="32">
        <v>0</v>
      </c>
      <c r="BC45" s="32">
        <v>0</v>
      </c>
      <c r="BD45" s="32">
        <v>0</v>
      </c>
      <c r="BE45" s="35"/>
    </row>
    <row r="46" customHeight="1" spans="1:57">
      <c r="A46" s="25">
        <f t="shared" si="0"/>
        <v>2025</v>
      </c>
      <c r="B46" s="26">
        <f t="shared" si="1"/>
        <v>8</v>
      </c>
      <c r="C46" s="26" t="str">
        <f t="shared" si="2"/>
        <v>P770645880641023381</v>
      </c>
      <c r="D46" s="26">
        <f t="shared" si="3"/>
        <v>2</v>
      </c>
      <c r="E46" s="26">
        <f>COUNTIF($R$2:R46,R46)</f>
        <v>1</v>
      </c>
      <c r="F46" s="27" t="str" cm="1">
        <f t="array" ref="F46">INDEX('小红书-订单明细'!BQ:BQ,MATCH(R46&amp;AC46,'小红书-订单明细'!A:A&amp;'小红书-订单明细'!O:O,0))</f>
        <v>Z1576-黑色-M</v>
      </c>
      <c r="G46" s="27" t="str">
        <f t="shared" si="4"/>
        <v>Z1576</v>
      </c>
      <c r="H46" s="26" cm="1">
        <f t="array" ref="H46">IF(ABS(BG46)&gt;=1,SUM(AF46,AH46:AI46)/(INDEX('小红书-订单明细'!W:W,MATCH(R46&amp;AC46,'小红书-订单明细'!A:A&amp;'小红书-订单明细'!O:O,0))/(INDEX('小红书-订单明细'!T:T,MATCH(R46&amp;AC46,'小红书-订单明细'!A:A&amp;'小红书-订单明细'!O:O,0)))),IF(ABS(SUM(AF46,AH46:AI46)/(INDEX('小红书-订单明细'!W:W,MATCH(R46&amp;AC46,'小红书-订单明细'!A:A&amp;'小红书-订单明细'!O:O,0))/(INDEX('小红书-订单明细'!T:T,MATCH(R46&amp;AC46,'小红书-订单明细'!A:A&amp;'小红书-订单明细'!O:O,0)))))&gt;15%,ROUNDUP(SUM(AF46,AH46:AI46)/(INDEX('小红书-订单明细'!W:W,MATCH(R46&amp;AC46,'小红书-订单明细'!A:A&amp;'小红书-订单明细'!O:O,0))/(INDEX('小红书-订单明细'!T:T,MATCH(R46&amp;AC46,'小红书-订单明细'!A:A&amp;'小红书-订单明细'!O:O,0)))),0),ROUNDDOWN(SUM(AF46,AH46:AI46)/(INDEX('小红书-订单明细'!W:W,MATCH(R46&amp;AC46,'小红书-订单明细'!A:A&amp;'小红书-订单明细'!O:O,0))/(INDEX('小红书-订单明细'!T:T,MATCH(R46&amp;AC46,'小红书-订单明细'!A:A&amp;'小红书-订单明细'!O:O,0)))),0)))</f>
        <v>-1</v>
      </c>
      <c r="I46" s="26">
        <f t="shared" si="5"/>
        <v>-199</v>
      </c>
      <c r="J46" s="26">
        <f t="shared" si="6"/>
        <v>0</v>
      </c>
      <c r="K46" s="26">
        <f t="shared" si="7"/>
        <v>0</v>
      </c>
      <c r="L46" s="26">
        <f t="shared" si="8"/>
        <v>-9.95</v>
      </c>
      <c r="M46" s="26">
        <f t="shared" si="9"/>
        <v>-1.19</v>
      </c>
      <c r="N46" s="26"/>
      <c r="O46" s="28">
        <f t="shared" si="10"/>
        <v>-187.86</v>
      </c>
      <c r="Q46" s="1" cm="1">
        <f t="array" ref="Q46">SUM(AF46,AH46:AI46)/(INDEX('小红书-订单明细'!W:W,MATCH(R46&amp;AC46,'小红书-订单明细'!A:A&amp;'小红书-订单明细'!O:O,0))/(INDEX('小红书-订单明细'!T:T,MATCH(R46&amp;AC46,'小红书-订单明细'!A:A&amp;'小红书-订单明细'!O:O,0))))</f>
        <v>-1</v>
      </c>
      <c r="R46" s="37" t="s">
        <v>1431</v>
      </c>
      <c r="S46" s="35" t="s">
        <v>1851</v>
      </c>
      <c r="T46" s="35" t="s">
        <v>1440</v>
      </c>
      <c r="U46" s="35" t="s">
        <v>1852</v>
      </c>
      <c r="V46" s="35" t="s">
        <v>1853</v>
      </c>
      <c r="W46" s="38" t="s">
        <v>1748</v>
      </c>
      <c r="X46" s="38" t="s">
        <v>1749</v>
      </c>
      <c r="Y46" s="35">
        <v>-187.86</v>
      </c>
      <c r="Z46" s="31" t="s">
        <v>1781</v>
      </c>
      <c r="AA46" s="38" t="s">
        <v>1751</v>
      </c>
      <c r="AB46" s="35" t="s">
        <v>386</v>
      </c>
      <c r="AC46" s="37" t="s">
        <v>387</v>
      </c>
      <c r="AD46" s="32">
        <v>0</v>
      </c>
      <c r="AE46" s="35">
        <v>-199</v>
      </c>
      <c r="AF46" s="37">
        <v>-199</v>
      </c>
      <c r="AG46" s="35">
        <v>0</v>
      </c>
      <c r="AH46" s="35">
        <v>0</v>
      </c>
      <c r="AI46" s="33">
        <v>0</v>
      </c>
      <c r="AJ46" s="33">
        <v>0</v>
      </c>
      <c r="AK46" s="32">
        <v>0</v>
      </c>
      <c r="AL46" s="32">
        <v>0</v>
      </c>
      <c r="AM46" s="33">
        <v>9.95</v>
      </c>
      <c r="AN46" s="33">
        <v>0</v>
      </c>
      <c r="AO46" s="32">
        <v>0</v>
      </c>
      <c r="AP46" s="32">
        <v>0</v>
      </c>
      <c r="AQ46" s="34" t="s">
        <v>101</v>
      </c>
      <c r="AR46" s="32">
        <v>0</v>
      </c>
      <c r="AS46" s="32">
        <v>0</v>
      </c>
      <c r="AT46" s="33">
        <v>1.19</v>
      </c>
      <c r="AU46" s="35" t="s">
        <v>148</v>
      </c>
      <c r="AV46" s="38" t="s">
        <v>1752</v>
      </c>
      <c r="AW46" s="38" t="s">
        <v>1753</v>
      </c>
      <c r="AX46" s="35"/>
      <c r="AY46" s="35"/>
      <c r="AZ46" s="33">
        <v>0</v>
      </c>
      <c r="BA46" s="32">
        <v>0</v>
      </c>
      <c r="BB46" s="32">
        <v>0</v>
      </c>
      <c r="BC46" s="32">
        <v>0</v>
      </c>
      <c r="BD46" s="32">
        <v>0</v>
      </c>
      <c r="BE46" s="35"/>
    </row>
    <row r="47" customHeight="1" spans="1:57">
      <c r="A47" s="25">
        <f t="shared" si="0"/>
        <v>2025</v>
      </c>
      <c r="B47" s="26">
        <f t="shared" si="1"/>
        <v>8</v>
      </c>
      <c r="C47" s="26" t="str">
        <f t="shared" si="2"/>
        <v>P770645880641023381</v>
      </c>
      <c r="D47" s="26">
        <f t="shared" si="3"/>
        <v>2</v>
      </c>
      <c r="E47" s="26">
        <f>COUNTIF($R$2:R47,R47)</f>
        <v>2</v>
      </c>
      <c r="F47" s="27" t="str" cm="1">
        <f t="array" ref="F47">INDEX('小红书-订单明细'!BQ:BQ,MATCH(R47&amp;AC47,'小红书-订单明细'!A:A&amp;'小红书-订单明细'!O:O,0))</f>
        <v>Z1576-黑色-M</v>
      </c>
      <c r="G47" s="27" t="str">
        <f t="shared" si="4"/>
        <v>Z1576</v>
      </c>
      <c r="H47" s="26" cm="1">
        <f t="array" ref="H47">IF(ABS(BG47)&gt;=1,SUM(AF47,AH47:AI47)/(INDEX('小红书-订单明细'!W:W,MATCH(R47&amp;AC47,'小红书-订单明细'!A:A&amp;'小红书-订单明细'!O:O,0))/(INDEX('小红书-订单明细'!T:T,MATCH(R47&amp;AC47,'小红书-订单明细'!A:A&amp;'小红书-订单明细'!O:O,0)))),IF(ABS(SUM(AF47,AH47:AI47)/(INDEX('小红书-订单明细'!W:W,MATCH(R47&amp;AC47,'小红书-订单明细'!A:A&amp;'小红书-订单明细'!O:O,0))/(INDEX('小红书-订单明细'!T:T,MATCH(R47&amp;AC47,'小红书-订单明细'!A:A&amp;'小红书-订单明细'!O:O,0)))))&gt;15%,ROUNDUP(SUM(AF47,AH47:AI47)/(INDEX('小红书-订单明细'!W:W,MATCH(R47&amp;AC47,'小红书-订单明细'!A:A&amp;'小红书-订单明细'!O:O,0))/(INDEX('小红书-订单明细'!T:T,MATCH(R47&amp;AC47,'小红书-订单明细'!A:A&amp;'小红书-订单明细'!O:O,0)))),0),ROUNDDOWN(SUM(AF47,AH47:AI47)/(INDEX('小红书-订单明细'!W:W,MATCH(R47&amp;AC47,'小红书-订单明细'!A:A&amp;'小红书-订单明细'!O:O,0))/(INDEX('小红书-订单明细'!T:T,MATCH(R47&amp;AC47,'小红书-订单明细'!A:A&amp;'小红书-订单明细'!O:O,0)))),0)))</f>
        <v>1</v>
      </c>
      <c r="I47" s="26">
        <f t="shared" si="5"/>
        <v>199</v>
      </c>
      <c r="J47" s="26">
        <f t="shared" si="6"/>
        <v>0</v>
      </c>
      <c r="K47" s="26">
        <f t="shared" si="7"/>
        <v>0</v>
      </c>
      <c r="L47" s="26">
        <f t="shared" si="8"/>
        <v>9.95</v>
      </c>
      <c r="M47" s="26">
        <f t="shared" si="9"/>
        <v>1.19</v>
      </c>
      <c r="N47" s="26"/>
      <c r="O47" s="28">
        <f t="shared" si="10"/>
        <v>187.86</v>
      </c>
      <c r="Q47" s="1" cm="1">
        <f t="array" ref="Q47">SUM(AF47,AH47:AI47)/(INDEX('小红书-订单明细'!W:W,MATCH(R47&amp;AC47,'小红书-订单明细'!A:A&amp;'小红书-订单明细'!O:O,0))/(INDEX('小红书-订单明细'!T:T,MATCH(R47&amp;AC47,'小红书-订单明细'!A:A&amp;'小红书-订单明细'!O:O,0))))</f>
        <v>1</v>
      </c>
      <c r="R47" s="37" t="s">
        <v>1431</v>
      </c>
      <c r="S47" s="35"/>
      <c r="T47" s="35" t="s">
        <v>1440</v>
      </c>
      <c r="U47" s="35" t="s">
        <v>1854</v>
      </c>
      <c r="V47" s="35" t="s">
        <v>1853</v>
      </c>
      <c r="W47" s="38" t="s">
        <v>1755</v>
      </c>
      <c r="X47" s="38" t="s">
        <v>1749</v>
      </c>
      <c r="Y47" s="35">
        <v>187.86</v>
      </c>
      <c r="Z47" s="31" t="s">
        <v>1781</v>
      </c>
      <c r="AA47" s="38" t="s">
        <v>1751</v>
      </c>
      <c r="AB47" s="35" t="s">
        <v>386</v>
      </c>
      <c r="AC47" s="37" t="s">
        <v>387</v>
      </c>
      <c r="AD47" s="32">
        <v>1</v>
      </c>
      <c r="AE47" s="35">
        <v>199</v>
      </c>
      <c r="AF47" s="36">
        <v>199</v>
      </c>
      <c r="AG47" s="35" t="s">
        <v>75</v>
      </c>
      <c r="AH47" s="35">
        <v>0</v>
      </c>
      <c r="AI47" s="33">
        <v>0</v>
      </c>
      <c r="AJ47" s="33">
        <v>0</v>
      </c>
      <c r="AK47" s="32">
        <v>0.05</v>
      </c>
      <c r="AL47" s="32">
        <v>0</v>
      </c>
      <c r="AM47" s="33">
        <v>-9.95</v>
      </c>
      <c r="AN47" s="33">
        <v>199</v>
      </c>
      <c r="AO47" s="32">
        <v>199</v>
      </c>
      <c r="AP47" s="32">
        <v>0</v>
      </c>
      <c r="AQ47" s="34" t="s">
        <v>101</v>
      </c>
      <c r="AR47" s="32">
        <v>0</v>
      </c>
      <c r="AS47" s="32">
        <v>0.006</v>
      </c>
      <c r="AT47" s="33">
        <v>-1.19</v>
      </c>
      <c r="AU47" s="35" t="s">
        <v>148</v>
      </c>
      <c r="AV47" s="38" t="s">
        <v>1752</v>
      </c>
      <c r="AW47" s="38" t="s">
        <v>1753</v>
      </c>
      <c r="AX47" s="35"/>
      <c r="AY47" s="35"/>
      <c r="AZ47" s="33">
        <v>0</v>
      </c>
      <c r="BA47" s="32">
        <v>0</v>
      </c>
      <c r="BB47" s="32">
        <v>0</v>
      </c>
      <c r="BC47" s="32">
        <v>0</v>
      </c>
      <c r="BD47" s="32">
        <v>0</v>
      </c>
      <c r="BE47" s="35"/>
    </row>
    <row r="48" customHeight="1" spans="1:57">
      <c r="A48" s="25">
        <f t="shared" si="0"/>
        <v>2025</v>
      </c>
      <c r="B48" s="26">
        <f t="shared" si="1"/>
        <v>8</v>
      </c>
      <c r="C48" s="26" t="str">
        <f t="shared" si="2"/>
        <v>P770799979667284611</v>
      </c>
      <c r="D48" s="26">
        <f t="shared" si="3"/>
        <v>2</v>
      </c>
      <c r="E48" s="26">
        <f>COUNTIF($R$2:R48,R48)</f>
        <v>1</v>
      </c>
      <c r="F48" s="27" t="str" cm="1">
        <f t="array" ref="F48">INDEX('小红书-订单明细'!BQ:BQ,MATCH(R48&amp;AC48,'小红书-订单明细'!A:A&amp;'小红书-订单明细'!O:O,0))</f>
        <v>Z2380-藏青色</v>
      </c>
      <c r="G48" s="27" t="str">
        <f t="shared" si="4"/>
        <v>Z2380</v>
      </c>
      <c r="H48" s="26" cm="1">
        <f t="array" ref="H48">IF(ABS(BG48)&gt;=1,SUM(AF48,AH48:AI48)/(INDEX('小红书-订单明细'!W:W,MATCH(R48&amp;AC48,'小红书-订单明细'!A:A&amp;'小红书-订单明细'!O:O,0))/(INDEX('小红书-订单明细'!T:T,MATCH(R48&amp;AC48,'小红书-订单明细'!A:A&amp;'小红书-订单明细'!O:O,0)))),IF(ABS(SUM(AF48,AH48:AI48)/(INDEX('小红书-订单明细'!W:W,MATCH(R48&amp;AC48,'小红书-订单明细'!A:A&amp;'小红书-订单明细'!O:O,0))/(INDEX('小红书-订单明细'!T:T,MATCH(R48&amp;AC48,'小红书-订单明细'!A:A&amp;'小红书-订单明细'!O:O,0)))))&gt;15%,ROUNDUP(SUM(AF48,AH48:AI48)/(INDEX('小红书-订单明细'!W:W,MATCH(R48&amp;AC48,'小红书-订单明细'!A:A&amp;'小红书-订单明细'!O:O,0))/(INDEX('小红书-订单明细'!T:T,MATCH(R48&amp;AC48,'小红书-订单明细'!A:A&amp;'小红书-订单明细'!O:O,0)))),0),ROUNDDOWN(SUM(AF48,AH48:AI48)/(INDEX('小红书-订单明细'!W:W,MATCH(R48&amp;AC48,'小红书-订单明细'!A:A&amp;'小红书-订单明细'!O:O,0))/(INDEX('小红书-订单明细'!T:T,MATCH(R48&amp;AC48,'小红书-订单明细'!A:A&amp;'小红书-订单明细'!O:O,0)))),0)))</f>
        <v>-1</v>
      </c>
      <c r="I48" s="26">
        <f t="shared" si="5"/>
        <v>-199</v>
      </c>
      <c r="J48" s="26">
        <f t="shared" si="6"/>
        <v>0</v>
      </c>
      <c r="K48" s="26">
        <f t="shared" si="7"/>
        <v>0</v>
      </c>
      <c r="L48" s="26">
        <f t="shared" si="8"/>
        <v>-9.95</v>
      </c>
      <c r="M48" s="26">
        <f t="shared" si="9"/>
        <v>-1.19</v>
      </c>
      <c r="N48" s="26"/>
      <c r="O48" s="28">
        <f t="shared" si="10"/>
        <v>-187.86</v>
      </c>
      <c r="Q48" s="1" cm="1">
        <f t="array" ref="Q48">SUM(AF48,AH48:AI48)/(INDEX('小红书-订单明细'!W:W,MATCH(R48&amp;AC48,'小红书-订单明细'!A:A&amp;'小红书-订单明细'!O:O,0))/(INDEX('小红书-订单明细'!T:T,MATCH(R48&amp;AC48,'小红书-订单明细'!A:A&amp;'小红书-订单明细'!O:O,0))))</f>
        <v>-1</v>
      </c>
      <c r="R48" s="37" t="s">
        <v>710</v>
      </c>
      <c r="S48" s="35" t="s">
        <v>1855</v>
      </c>
      <c r="T48" s="35" t="s">
        <v>714</v>
      </c>
      <c r="U48" s="35" t="s">
        <v>1856</v>
      </c>
      <c r="V48" s="35" t="s">
        <v>1857</v>
      </c>
      <c r="W48" s="38" t="s">
        <v>1748</v>
      </c>
      <c r="X48" s="38" t="s">
        <v>1749</v>
      </c>
      <c r="Y48" s="35">
        <v>-187.86</v>
      </c>
      <c r="Z48" s="31" t="s">
        <v>1841</v>
      </c>
      <c r="AA48" s="38" t="s">
        <v>1842</v>
      </c>
      <c r="AB48" s="35" t="s">
        <v>361</v>
      </c>
      <c r="AC48" s="37" t="s">
        <v>362</v>
      </c>
      <c r="AD48" s="32">
        <v>0</v>
      </c>
      <c r="AE48" s="35">
        <v>-199</v>
      </c>
      <c r="AF48" s="37">
        <v>-199</v>
      </c>
      <c r="AG48" s="35">
        <v>0</v>
      </c>
      <c r="AH48" s="35">
        <v>0</v>
      </c>
      <c r="AI48" s="33">
        <v>0</v>
      </c>
      <c r="AJ48" s="33">
        <v>0</v>
      </c>
      <c r="AK48" s="32">
        <v>0</v>
      </c>
      <c r="AL48" s="32">
        <v>0</v>
      </c>
      <c r="AM48" s="33">
        <v>9.95</v>
      </c>
      <c r="AN48" s="33">
        <v>0</v>
      </c>
      <c r="AO48" s="32">
        <v>0</v>
      </c>
      <c r="AP48" s="32">
        <v>0</v>
      </c>
      <c r="AQ48" s="34" t="s">
        <v>101</v>
      </c>
      <c r="AR48" s="32">
        <v>0</v>
      </c>
      <c r="AS48" s="32">
        <v>0</v>
      </c>
      <c r="AT48" s="33">
        <v>1.19</v>
      </c>
      <c r="AU48" s="35" t="s">
        <v>148</v>
      </c>
      <c r="AV48" s="38" t="s">
        <v>1752</v>
      </c>
      <c r="AW48" s="38" t="s">
        <v>1753</v>
      </c>
      <c r="AX48" s="35"/>
      <c r="AY48" s="35"/>
      <c r="AZ48" s="33">
        <v>0</v>
      </c>
      <c r="BA48" s="32">
        <v>0</v>
      </c>
      <c r="BB48" s="32">
        <v>0</v>
      </c>
      <c r="BC48" s="32">
        <v>0</v>
      </c>
      <c r="BD48" s="32">
        <v>0</v>
      </c>
      <c r="BE48" s="35"/>
    </row>
    <row r="49" customHeight="1" spans="1:57">
      <c r="A49" s="25">
        <f t="shared" si="0"/>
        <v>2025</v>
      </c>
      <c r="B49" s="26">
        <f t="shared" si="1"/>
        <v>8</v>
      </c>
      <c r="C49" s="26" t="str">
        <f t="shared" si="2"/>
        <v>P770798337207284891</v>
      </c>
      <c r="D49" s="26">
        <f t="shared" si="3"/>
        <v>2</v>
      </c>
      <c r="E49" s="26">
        <f>COUNTIF($R$2:R49,R49)</f>
        <v>1</v>
      </c>
      <c r="F49" s="27" t="str" cm="1">
        <f t="array" ref="F49">INDEX('小红书-订单明细'!BQ:BQ,MATCH(R49&amp;AC49,'小红书-订单明细'!A:A&amp;'小红书-订单明细'!O:O,0))</f>
        <v>Z2378-花纱色-M</v>
      </c>
      <c r="G49" s="27" t="str">
        <f t="shared" si="4"/>
        <v>Z2378</v>
      </c>
      <c r="H49" s="26" cm="1">
        <f t="array" ref="H49">IF(ABS(BG49)&gt;=1,SUM(AF49,AH49:AI49)/(INDEX('小红书-订单明细'!W:W,MATCH(R49&amp;AC49,'小红书-订单明细'!A:A&amp;'小红书-订单明细'!O:O,0))/(INDEX('小红书-订单明细'!T:T,MATCH(R49&amp;AC49,'小红书-订单明细'!A:A&amp;'小红书-订单明细'!O:O,0)))),IF(ABS(SUM(AF49,AH49:AI49)/(INDEX('小红书-订单明细'!W:W,MATCH(R49&amp;AC49,'小红书-订单明细'!A:A&amp;'小红书-订单明细'!O:O,0))/(INDEX('小红书-订单明细'!T:T,MATCH(R49&amp;AC49,'小红书-订单明细'!A:A&amp;'小红书-订单明细'!O:O,0)))))&gt;15%,ROUNDUP(SUM(AF49,AH49:AI49)/(INDEX('小红书-订单明细'!W:W,MATCH(R49&amp;AC49,'小红书-订单明细'!A:A&amp;'小红书-订单明细'!O:O,0))/(INDEX('小红书-订单明细'!T:T,MATCH(R49&amp;AC49,'小红书-订单明细'!A:A&amp;'小红书-订单明细'!O:O,0)))),0),ROUNDDOWN(SUM(AF49,AH49:AI49)/(INDEX('小红书-订单明细'!W:W,MATCH(R49&amp;AC49,'小红书-订单明细'!A:A&amp;'小红书-订单明细'!O:O,0))/(INDEX('小红书-订单明细'!T:T,MATCH(R49&amp;AC49,'小红书-订单明细'!A:A&amp;'小红书-订单明细'!O:O,0)))),0)))</f>
        <v>-1</v>
      </c>
      <c r="I49" s="26">
        <f t="shared" si="5"/>
        <v>-179</v>
      </c>
      <c r="J49" s="26">
        <f t="shared" si="6"/>
        <v>0</v>
      </c>
      <c r="K49" s="26">
        <f t="shared" si="7"/>
        <v>0</v>
      </c>
      <c r="L49" s="26">
        <f t="shared" si="8"/>
        <v>-8.95</v>
      </c>
      <c r="M49" s="26">
        <f t="shared" si="9"/>
        <v>-1.07</v>
      </c>
      <c r="N49" s="26"/>
      <c r="O49" s="28">
        <f t="shared" si="10"/>
        <v>-168.98</v>
      </c>
      <c r="Q49" s="1" cm="1">
        <f t="array" ref="Q49">SUM(AF49,AH49:AI49)/(INDEX('小红书-订单明细'!W:W,MATCH(R49&amp;AC49,'小红书-订单明细'!A:A&amp;'小红书-订单明细'!O:O,0))/(INDEX('小红书-订单明细'!T:T,MATCH(R49&amp;AC49,'小红书-订单明细'!A:A&amp;'小红书-订单明细'!O:O,0))))</f>
        <v>-1</v>
      </c>
      <c r="R49" s="37" t="s">
        <v>808</v>
      </c>
      <c r="S49" s="35" t="s">
        <v>1858</v>
      </c>
      <c r="T49" s="35" t="s">
        <v>817</v>
      </c>
      <c r="U49" s="35" t="s">
        <v>1856</v>
      </c>
      <c r="V49" s="35" t="s">
        <v>1857</v>
      </c>
      <c r="W49" s="38" t="s">
        <v>1748</v>
      </c>
      <c r="X49" s="38" t="s">
        <v>1749</v>
      </c>
      <c r="Y49" s="35">
        <v>-168.98</v>
      </c>
      <c r="Z49" s="31" t="s">
        <v>1799</v>
      </c>
      <c r="AA49" s="38" t="s">
        <v>1773</v>
      </c>
      <c r="AB49" s="35" t="s">
        <v>810</v>
      </c>
      <c r="AC49" s="37" t="s">
        <v>811</v>
      </c>
      <c r="AD49" s="32">
        <v>0</v>
      </c>
      <c r="AE49" s="35">
        <v>-179</v>
      </c>
      <c r="AF49" s="37">
        <v>-179</v>
      </c>
      <c r="AG49" s="35">
        <v>0</v>
      </c>
      <c r="AH49" s="35">
        <v>0</v>
      </c>
      <c r="AI49" s="33">
        <v>0</v>
      </c>
      <c r="AJ49" s="33">
        <v>0</v>
      </c>
      <c r="AK49" s="32">
        <v>0</v>
      </c>
      <c r="AL49" s="32">
        <v>0</v>
      </c>
      <c r="AM49" s="33">
        <v>8.95</v>
      </c>
      <c r="AN49" s="33">
        <v>0</v>
      </c>
      <c r="AO49" s="32">
        <v>0</v>
      </c>
      <c r="AP49" s="32">
        <v>0</v>
      </c>
      <c r="AQ49" s="34" t="s">
        <v>101</v>
      </c>
      <c r="AR49" s="32">
        <v>0</v>
      </c>
      <c r="AS49" s="32">
        <v>0</v>
      </c>
      <c r="AT49" s="33">
        <v>1.07</v>
      </c>
      <c r="AU49" s="35" t="s">
        <v>148</v>
      </c>
      <c r="AV49" s="38" t="s">
        <v>1752</v>
      </c>
      <c r="AW49" s="38" t="s">
        <v>1753</v>
      </c>
      <c r="AX49" s="35"/>
      <c r="AY49" s="35"/>
      <c r="AZ49" s="33">
        <v>0</v>
      </c>
      <c r="BA49" s="32">
        <v>0</v>
      </c>
      <c r="BB49" s="32">
        <v>0</v>
      </c>
      <c r="BC49" s="32">
        <v>0</v>
      </c>
      <c r="BD49" s="32">
        <v>0</v>
      </c>
      <c r="BE49" s="35"/>
    </row>
    <row r="50" customHeight="1" spans="1:57">
      <c r="A50" s="25">
        <f t="shared" si="0"/>
        <v>2025</v>
      </c>
      <c r="B50" s="26">
        <f t="shared" si="1"/>
        <v>8</v>
      </c>
      <c r="C50" s="26" t="str">
        <f t="shared" si="2"/>
        <v>P770798387983284011</v>
      </c>
      <c r="D50" s="26">
        <f t="shared" si="3"/>
        <v>2</v>
      </c>
      <c r="E50" s="26">
        <f>COUNTIF($R$2:R50,R50)</f>
        <v>1</v>
      </c>
      <c r="F50" s="27" t="str" cm="1">
        <f t="array" ref="F50">INDEX('小红书-订单明细'!BQ:BQ,MATCH(R50&amp;AC50,'小红书-订单明细'!A:A&amp;'小红书-订单明细'!O:O,0))</f>
        <v>Z1248-黑色-M</v>
      </c>
      <c r="G50" s="27" t="str">
        <f t="shared" si="4"/>
        <v>Z1248</v>
      </c>
      <c r="H50" s="26" cm="1">
        <f t="array" ref="H50">IF(ABS(BG50)&gt;=1,SUM(AF50,AH50:AI50)/(INDEX('小红书-订单明细'!W:W,MATCH(R50&amp;AC50,'小红书-订单明细'!A:A&amp;'小红书-订单明细'!O:O,0))/(INDEX('小红书-订单明细'!T:T,MATCH(R50&amp;AC50,'小红书-订单明细'!A:A&amp;'小红书-订单明细'!O:O,0)))),IF(ABS(SUM(AF50,AH50:AI50)/(INDEX('小红书-订单明细'!W:W,MATCH(R50&amp;AC50,'小红书-订单明细'!A:A&amp;'小红书-订单明细'!O:O,0))/(INDEX('小红书-订单明细'!T:T,MATCH(R50&amp;AC50,'小红书-订单明细'!A:A&amp;'小红书-订单明细'!O:O,0)))))&gt;15%,ROUNDUP(SUM(AF50,AH50:AI50)/(INDEX('小红书-订单明细'!W:W,MATCH(R50&amp;AC50,'小红书-订单明细'!A:A&amp;'小红书-订单明细'!O:O,0))/(INDEX('小红书-订单明细'!T:T,MATCH(R50&amp;AC50,'小红书-订单明细'!A:A&amp;'小红书-订单明细'!O:O,0)))),0),ROUNDDOWN(SUM(AF50,AH50:AI50)/(INDEX('小红书-订单明细'!W:W,MATCH(R50&amp;AC50,'小红书-订单明细'!A:A&amp;'小红书-订单明细'!O:O,0))/(INDEX('小红书-订单明细'!T:T,MATCH(R50&amp;AC50,'小红书-订单明细'!A:A&amp;'小红书-订单明细'!O:O,0)))),0)))</f>
        <v>-1</v>
      </c>
      <c r="I50" s="26">
        <f t="shared" si="5"/>
        <v>-199</v>
      </c>
      <c r="J50" s="26">
        <f t="shared" si="6"/>
        <v>0</v>
      </c>
      <c r="K50" s="26">
        <f t="shared" si="7"/>
        <v>0</v>
      </c>
      <c r="L50" s="26">
        <f t="shared" si="8"/>
        <v>-9.95</v>
      </c>
      <c r="M50" s="26">
        <f t="shared" si="9"/>
        <v>-1.19</v>
      </c>
      <c r="N50" s="26"/>
      <c r="O50" s="28">
        <f t="shared" si="10"/>
        <v>-187.86</v>
      </c>
      <c r="Q50" s="1" cm="1">
        <f t="array" ref="Q50">SUM(AF50,AH50:AI50)/(INDEX('小红书-订单明细'!W:W,MATCH(R50&amp;AC50,'小红书-订单明细'!A:A&amp;'小红书-订单明细'!O:O,0))/(INDEX('小红书-订单明细'!T:T,MATCH(R50&amp;AC50,'小红书-订单明细'!A:A&amp;'小红书-订单明细'!O:O,0))))</f>
        <v>-1</v>
      </c>
      <c r="R50" s="37" t="s">
        <v>763</v>
      </c>
      <c r="S50" s="35" t="s">
        <v>1859</v>
      </c>
      <c r="T50" s="35" t="s">
        <v>771</v>
      </c>
      <c r="U50" s="35" t="s">
        <v>1856</v>
      </c>
      <c r="V50" s="35" t="s">
        <v>1857</v>
      </c>
      <c r="W50" s="38" t="s">
        <v>1748</v>
      </c>
      <c r="X50" s="38" t="s">
        <v>1749</v>
      </c>
      <c r="Y50" s="35">
        <v>-187.86</v>
      </c>
      <c r="Z50" s="31" t="s">
        <v>1860</v>
      </c>
      <c r="AA50" s="38" t="s">
        <v>1833</v>
      </c>
      <c r="AB50" s="35" t="s">
        <v>765</v>
      </c>
      <c r="AC50" s="37" t="s">
        <v>766</v>
      </c>
      <c r="AD50" s="32">
        <v>0</v>
      </c>
      <c r="AE50" s="35">
        <v>-199</v>
      </c>
      <c r="AF50" s="37">
        <v>-199</v>
      </c>
      <c r="AG50" s="35">
        <v>0</v>
      </c>
      <c r="AH50" s="35">
        <v>0</v>
      </c>
      <c r="AI50" s="33">
        <v>0</v>
      </c>
      <c r="AJ50" s="33">
        <v>0</v>
      </c>
      <c r="AK50" s="32">
        <v>0</v>
      </c>
      <c r="AL50" s="32">
        <v>0</v>
      </c>
      <c r="AM50" s="33">
        <v>9.95</v>
      </c>
      <c r="AN50" s="33">
        <v>0</v>
      </c>
      <c r="AO50" s="32">
        <v>0</v>
      </c>
      <c r="AP50" s="32">
        <v>0</v>
      </c>
      <c r="AQ50" s="34" t="s">
        <v>101</v>
      </c>
      <c r="AR50" s="32">
        <v>0</v>
      </c>
      <c r="AS50" s="32">
        <v>0</v>
      </c>
      <c r="AT50" s="33">
        <v>1.19</v>
      </c>
      <c r="AU50" s="35" t="s">
        <v>148</v>
      </c>
      <c r="AV50" s="38" t="s">
        <v>1752</v>
      </c>
      <c r="AW50" s="38" t="s">
        <v>1753</v>
      </c>
      <c r="AX50" s="35"/>
      <c r="AY50" s="35"/>
      <c r="AZ50" s="33">
        <v>0</v>
      </c>
      <c r="BA50" s="32">
        <v>0</v>
      </c>
      <c r="BB50" s="32">
        <v>0</v>
      </c>
      <c r="BC50" s="32">
        <v>0</v>
      </c>
      <c r="BD50" s="32">
        <v>0</v>
      </c>
      <c r="BE50" s="35"/>
    </row>
    <row r="51" customHeight="1" spans="1:57">
      <c r="A51" s="25">
        <f t="shared" si="0"/>
        <v>2025</v>
      </c>
      <c r="B51" s="26">
        <f t="shared" si="1"/>
        <v>8</v>
      </c>
      <c r="C51" s="26" t="str">
        <f t="shared" si="2"/>
        <v>P770822898182284051</v>
      </c>
      <c r="D51" s="26">
        <f t="shared" si="3"/>
        <v>2</v>
      </c>
      <c r="E51" s="26">
        <f>COUNTIF($R$2:R51,R51)</f>
        <v>1</v>
      </c>
      <c r="F51" s="27" t="str" cm="1">
        <f t="array" ref="F51">INDEX('小红书-订单明细'!BQ:BQ,MATCH(R51&amp;AC51,'小红书-订单明细'!A:A&amp;'小红书-订单明细'!O:O,0))</f>
        <v>Z2376-黑白条纹-M</v>
      </c>
      <c r="G51" s="27" t="str">
        <f t="shared" si="4"/>
        <v>Z2376</v>
      </c>
      <c r="H51" s="26" cm="1">
        <f t="array" ref="H51">IF(ABS(BG51)&gt;=1,SUM(AF51,AH51:AI51)/(INDEX('小红书-订单明细'!W:W,MATCH(R51&amp;AC51,'小红书-订单明细'!A:A&amp;'小红书-订单明细'!O:O,0))/(INDEX('小红书-订单明细'!T:T,MATCH(R51&amp;AC51,'小红书-订单明细'!A:A&amp;'小红书-订单明细'!O:O,0)))),IF(ABS(SUM(AF51,AH51:AI51)/(INDEX('小红书-订单明细'!W:W,MATCH(R51&amp;AC51,'小红书-订单明细'!A:A&amp;'小红书-订单明细'!O:O,0))/(INDEX('小红书-订单明细'!T:T,MATCH(R51&amp;AC51,'小红书-订单明细'!A:A&amp;'小红书-订单明细'!O:O,0)))))&gt;15%,ROUNDUP(SUM(AF51,AH51:AI51)/(INDEX('小红书-订单明细'!W:W,MATCH(R51&amp;AC51,'小红书-订单明细'!A:A&amp;'小红书-订单明细'!O:O,0))/(INDEX('小红书-订单明细'!T:T,MATCH(R51&amp;AC51,'小红书-订单明细'!A:A&amp;'小红书-订单明细'!O:O,0)))),0),ROUNDDOWN(SUM(AF51,AH51:AI51)/(INDEX('小红书-订单明细'!W:W,MATCH(R51&amp;AC51,'小红书-订单明细'!A:A&amp;'小红书-订单明细'!O:O,0))/(INDEX('小红书-订单明细'!T:T,MATCH(R51&amp;AC51,'小红书-订单明细'!A:A&amp;'小红书-订单明细'!O:O,0)))),0)))</f>
        <v>-1</v>
      </c>
      <c r="I51" s="26">
        <f t="shared" si="5"/>
        <v>-219</v>
      </c>
      <c r="J51" s="26">
        <f t="shared" si="6"/>
        <v>0</v>
      </c>
      <c r="K51" s="26">
        <f t="shared" si="7"/>
        <v>0</v>
      </c>
      <c r="L51" s="26">
        <f t="shared" si="8"/>
        <v>-10.95</v>
      </c>
      <c r="M51" s="26">
        <f t="shared" si="9"/>
        <v>-1.31</v>
      </c>
      <c r="N51" s="26"/>
      <c r="O51" s="28">
        <f t="shared" si="10"/>
        <v>-206.74</v>
      </c>
      <c r="Q51" s="1" cm="1">
        <f t="array" ref="Q51">SUM(AF51,AH51:AI51)/(INDEX('小红书-订单明细'!W:W,MATCH(R51&amp;AC51,'小红书-订单明细'!A:A&amp;'小红书-订单明细'!O:O,0))/(INDEX('小红书-订单明细'!T:T,MATCH(R51&amp;AC51,'小红书-订单明细'!A:A&amp;'小红书-订单明细'!O:O,0))))</f>
        <v>-1</v>
      </c>
      <c r="R51" s="37" t="s">
        <v>309</v>
      </c>
      <c r="S51" s="35" t="s">
        <v>1861</v>
      </c>
      <c r="T51" s="35" t="s">
        <v>323</v>
      </c>
      <c r="U51" s="35" t="s">
        <v>1856</v>
      </c>
      <c r="V51" s="35" t="s">
        <v>1857</v>
      </c>
      <c r="W51" s="38" t="s">
        <v>1748</v>
      </c>
      <c r="X51" s="38" t="s">
        <v>1749</v>
      </c>
      <c r="Y51" s="35">
        <v>-206.74</v>
      </c>
      <c r="Z51" s="31" t="s">
        <v>1862</v>
      </c>
      <c r="AA51" s="38" t="s">
        <v>1761</v>
      </c>
      <c r="AB51" s="35" t="s">
        <v>316</v>
      </c>
      <c r="AC51" s="37" t="s">
        <v>317</v>
      </c>
      <c r="AD51" s="32">
        <v>0</v>
      </c>
      <c r="AE51" s="35">
        <v>-219</v>
      </c>
      <c r="AF51" s="37">
        <v>-219</v>
      </c>
      <c r="AG51" s="35">
        <v>0</v>
      </c>
      <c r="AH51" s="35">
        <v>0</v>
      </c>
      <c r="AI51" s="33">
        <v>0</v>
      </c>
      <c r="AJ51" s="33">
        <v>0</v>
      </c>
      <c r="AK51" s="32">
        <v>0</v>
      </c>
      <c r="AL51" s="32">
        <v>0</v>
      </c>
      <c r="AM51" s="33">
        <v>10.95</v>
      </c>
      <c r="AN51" s="33">
        <v>0</v>
      </c>
      <c r="AO51" s="32">
        <v>0</v>
      </c>
      <c r="AP51" s="32">
        <v>0</v>
      </c>
      <c r="AQ51" s="34" t="s">
        <v>101</v>
      </c>
      <c r="AR51" s="32">
        <v>0</v>
      </c>
      <c r="AS51" s="32">
        <v>0</v>
      </c>
      <c r="AT51" s="33">
        <v>1.31</v>
      </c>
      <c r="AU51" s="35" t="s">
        <v>148</v>
      </c>
      <c r="AV51" s="38" t="s">
        <v>1752</v>
      </c>
      <c r="AW51" s="38" t="s">
        <v>1753</v>
      </c>
      <c r="AX51" s="35"/>
      <c r="AY51" s="35"/>
      <c r="AZ51" s="33">
        <v>0</v>
      </c>
      <c r="BA51" s="32">
        <v>0</v>
      </c>
      <c r="BB51" s="32">
        <v>0</v>
      </c>
      <c r="BC51" s="32">
        <v>0</v>
      </c>
      <c r="BD51" s="32">
        <v>0</v>
      </c>
      <c r="BE51" s="35"/>
    </row>
    <row r="52" customHeight="1" spans="1:57">
      <c r="A52" s="25">
        <f t="shared" si="0"/>
        <v>2025</v>
      </c>
      <c r="B52" s="26">
        <f t="shared" si="1"/>
        <v>8</v>
      </c>
      <c r="C52" s="26" t="str">
        <f t="shared" si="2"/>
        <v>P770822898182284051</v>
      </c>
      <c r="D52" s="26">
        <f t="shared" si="3"/>
        <v>2</v>
      </c>
      <c r="E52" s="26">
        <f>COUNTIF($R$2:R52,R52)</f>
        <v>2</v>
      </c>
      <c r="F52" s="27" t="str" cm="1">
        <f t="array" ref="F52">INDEX('小红书-订单明细'!BQ:BQ,MATCH(R52&amp;AC52,'小红书-订单明细'!A:A&amp;'小红书-订单明细'!O:O,0))</f>
        <v>Z2376-黑白条纹-M</v>
      </c>
      <c r="G52" s="27" t="str">
        <f t="shared" si="4"/>
        <v>Z2376</v>
      </c>
      <c r="H52" s="26" cm="1">
        <f t="array" ref="H52">IF(ABS(BG52)&gt;=1,SUM(AF52,AH52:AI52)/(INDEX('小红书-订单明细'!W:W,MATCH(R52&amp;AC52,'小红书-订单明细'!A:A&amp;'小红书-订单明细'!O:O,0))/(INDEX('小红书-订单明细'!T:T,MATCH(R52&amp;AC52,'小红书-订单明细'!A:A&amp;'小红书-订单明细'!O:O,0)))),IF(ABS(SUM(AF52,AH52:AI52)/(INDEX('小红书-订单明细'!W:W,MATCH(R52&amp;AC52,'小红书-订单明细'!A:A&amp;'小红书-订单明细'!O:O,0))/(INDEX('小红书-订单明细'!T:T,MATCH(R52&amp;AC52,'小红书-订单明细'!A:A&amp;'小红书-订单明细'!O:O,0)))))&gt;15%,ROUNDUP(SUM(AF52,AH52:AI52)/(INDEX('小红书-订单明细'!W:W,MATCH(R52&amp;AC52,'小红书-订单明细'!A:A&amp;'小红书-订单明细'!O:O,0))/(INDEX('小红书-订单明细'!T:T,MATCH(R52&amp;AC52,'小红书-订单明细'!A:A&amp;'小红书-订单明细'!O:O,0)))),0),ROUNDDOWN(SUM(AF52,AH52:AI52)/(INDEX('小红书-订单明细'!W:W,MATCH(R52&amp;AC52,'小红书-订单明细'!A:A&amp;'小红书-订单明细'!O:O,0))/(INDEX('小红书-订单明细'!T:T,MATCH(R52&amp;AC52,'小红书-订单明细'!A:A&amp;'小红书-订单明细'!O:O,0)))),0)))</f>
        <v>1</v>
      </c>
      <c r="I52" s="26">
        <f t="shared" si="5"/>
        <v>219</v>
      </c>
      <c r="J52" s="26">
        <f t="shared" si="6"/>
        <v>0</v>
      </c>
      <c r="K52" s="26">
        <f t="shared" si="7"/>
        <v>0</v>
      </c>
      <c r="L52" s="26">
        <f t="shared" si="8"/>
        <v>10.95</v>
      </c>
      <c r="M52" s="26">
        <f t="shared" si="9"/>
        <v>1.31</v>
      </c>
      <c r="N52" s="26"/>
      <c r="O52" s="28">
        <f t="shared" si="10"/>
        <v>206.74</v>
      </c>
      <c r="Q52" s="1" cm="1">
        <f t="array" ref="Q52">SUM(AF52,AH52:AI52)/(INDEX('小红书-订单明细'!W:W,MATCH(R52&amp;AC52,'小红书-订单明细'!A:A&amp;'小红书-订单明细'!O:O,0))/(INDEX('小红书-订单明细'!T:T,MATCH(R52&amp;AC52,'小红书-订单明细'!A:A&amp;'小红书-订单明细'!O:O,0))))</f>
        <v>1</v>
      </c>
      <c r="R52" s="37" t="s">
        <v>309</v>
      </c>
      <c r="S52" s="35"/>
      <c r="T52" s="35" t="s">
        <v>323</v>
      </c>
      <c r="U52" s="35" t="s">
        <v>1856</v>
      </c>
      <c r="V52" s="35" t="s">
        <v>1857</v>
      </c>
      <c r="W52" s="38" t="s">
        <v>1755</v>
      </c>
      <c r="X52" s="38" t="s">
        <v>1749</v>
      </c>
      <c r="Y52" s="35">
        <v>206.74</v>
      </c>
      <c r="Z52" s="31" t="s">
        <v>1862</v>
      </c>
      <c r="AA52" s="38" t="s">
        <v>1761</v>
      </c>
      <c r="AB52" s="35" t="s">
        <v>316</v>
      </c>
      <c r="AC52" s="37" t="s">
        <v>317</v>
      </c>
      <c r="AD52" s="32">
        <v>1</v>
      </c>
      <c r="AE52" s="35">
        <v>219</v>
      </c>
      <c r="AF52" s="36">
        <v>219</v>
      </c>
      <c r="AG52" s="35" t="s">
        <v>75</v>
      </c>
      <c r="AH52" s="35">
        <v>0</v>
      </c>
      <c r="AI52" s="33">
        <v>0</v>
      </c>
      <c r="AJ52" s="33">
        <v>0</v>
      </c>
      <c r="AK52" s="32">
        <v>0.05</v>
      </c>
      <c r="AL52" s="32">
        <v>0</v>
      </c>
      <c r="AM52" s="33">
        <v>-10.95</v>
      </c>
      <c r="AN52" s="33">
        <v>219</v>
      </c>
      <c r="AO52" s="32">
        <v>219</v>
      </c>
      <c r="AP52" s="32">
        <v>0</v>
      </c>
      <c r="AQ52" s="34" t="s">
        <v>101</v>
      </c>
      <c r="AR52" s="32">
        <v>0</v>
      </c>
      <c r="AS52" s="32">
        <v>0.006</v>
      </c>
      <c r="AT52" s="33">
        <v>-1.31</v>
      </c>
      <c r="AU52" s="35" t="s">
        <v>148</v>
      </c>
      <c r="AV52" s="38" t="s">
        <v>1752</v>
      </c>
      <c r="AW52" s="38" t="s">
        <v>1753</v>
      </c>
      <c r="AX52" s="35"/>
      <c r="AY52" s="35"/>
      <c r="AZ52" s="33">
        <v>0</v>
      </c>
      <c r="BA52" s="32">
        <v>0</v>
      </c>
      <c r="BB52" s="32">
        <v>0</v>
      </c>
      <c r="BC52" s="32">
        <v>0</v>
      </c>
      <c r="BD52" s="32">
        <v>0</v>
      </c>
      <c r="BE52" s="35"/>
    </row>
    <row r="53" customHeight="1" spans="1:57">
      <c r="A53" s="25">
        <f t="shared" si="0"/>
        <v>2025</v>
      </c>
      <c r="B53" s="26">
        <f t="shared" si="1"/>
        <v>8</v>
      </c>
      <c r="C53" s="26" t="str">
        <f t="shared" si="2"/>
        <v>P770799979667284611</v>
      </c>
      <c r="D53" s="26">
        <f t="shared" si="3"/>
        <v>2</v>
      </c>
      <c r="E53" s="26">
        <f>COUNTIF($R$2:R53,R53)</f>
        <v>2</v>
      </c>
      <c r="F53" s="27" t="str" cm="1">
        <f t="array" ref="F53">INDEX('小红书-订单明细'!BQ:BQ,MATCH(R53&amp;AC53,'小红书-订单明细'!A:A&amp;'小红书-订单明细'!O:O,0))</f>
        <v>Z2380-藏青色</v>
      </c>
      <c r="G53" s="27" t="str">
        <f t="shared" si="4"/>
        <v>Z2380</v>
      </c>
      <c r="H53" s="26" cm="1">
        <f t="array" ref="H53">IF(ABS(BG53)&gt;=1,SUM(AF53,AH53:AI53)/(INDEX('小红书-订单明细'!W:W,MATCH(R53&amp;AC53,'小红书-订单明细'!A:A&amp;'小红书-订单明细'!O:O,0))/(INDEX('小红书-订单明细'!T:T,MATCH(R53&amp;AC53,'小红书-订单明细'!A:A&amp;'小红书-订单明细'!O:O,0)))),IF(ABS(SUM(AF53,AH53:AI53)/(INDEX('小红书-订单明细'!W:W,MATCH(R53&amp;AC53,'小红书-订单明细'!A:A&amp;'小红书-订单明细'!O:O,0))/(INDEX('小红书-订单明细'!T:T,MATCH(R53&amp;AC53,'小红书-订单明细'!A:A&amp;'小红书-订单明细'!O:O,0)))))&gt;15%,ROUNDUP(SUM(AF53,AH53:AI53)/(INDEX('小红书-订单明细'!W:W,MATCH(R53&amp;AC53,'小红书-订单明细'!A:A&amp;'小红书-订单明细'!O:O,0))/(INDEX('小红书-订单明细'!T:T,MATCH(R53&amp;AC53,'小红书-订单明细'!A:A&amp;'小红书-订单明细'!O:O,0)))),0),ROUNDDOWN(SUM(AF53,AH53:AI53)/(INDEX('小红书-订单明细'!W:W,MATCH(R53&amp;AC53,'小红书-订单明细'!A:A&amp;'小红书-订单明细'!O:O,0))/(INDEX('小红书-订单明细'!T:T,MATCH(R53&amp;AC53,'小红书-订单明细'!A:A&amp;'小红书-订单明细'!O:O,0)))),0)))</f>
        <v>1</v>
      </c>
      <c r="I53" s="26">
        <f t="shared" si="5"/>
        <v>199</v>
      </c>
      <c r="J53" s="26">
        <f t="shared" si="6"/>
        <v>0</v>
      </c>
      <c r="K53" s="26">
        <f t="shared" si="7"/>
        <v>0</v>
      </c>
      <c r="L53" s="26">
        <f t="shared" si="8"/>
        <v>9.95</v>
      </c>
      <c r="M53" s="26">
        <f t="shared" si="9"/>
        <v>1.19</v>
      </c>
      <c r="N53" s="26"/>
      <c r="O53" s="28">
        <f t="shared" si="10"/>
        <v>187.86</v>
      </c>
      <c r="Q53" s="1" cm="1">
        <f t="array" ref="Q53">SUM(AF53,AH53:AI53)/(INDEX('小红书-订单明细'!W:W,MATCH(R53&amp;AC53,'小红书-订单明细'!A:A&amp;'小红书-订单明细'!O:O,0))/(INDEX('小红书-订单明细'!T:T,MATCH(R53&amp;AC53,'小红书-订单明细'!A:A&amp;'小红书-订单明细'!O:O,0))))</f>
        <v>1</v>
      </c>
      <c r="R53" s="37" t="s">
        <v>710</v>
      </c>
      <c r="S53" s="35"/>
      <c r="T53" s="35" t="s">
        <v>714</v>
      </c>
      <c r="U53" s="35" t="s">
        <v>1856</v>
      </c>
      <c r="V53" s="35" t="s">
        <v>1857</v>
      </c>
      <c r="W53" s="38" t="s">
        <v>1755</v>
      </c>
      <c r="X53" s="38" t="s">
        <v>1749</v>
      </c>
      <c r="Y53" s="35">
        <v>187.86</v>
      </c>
      <c r="Z53" s="31" t="s">
        <v>1841</v>
      </c>
      <c r="AA53" s="38" t="s">
        <v>1842</v>
      </c>
      <c r="AB53" s="35" t="s">
        <v>361</v>
      </c>
      <c r="AC53" s="37" t="s">
        <v>362</v>
      </c>
      <c r="AD53" s="32">
        <v>1</v>
      </c>
      <c r="AE53" s="35">
        <v>199</v>
      </c>
      <c r="AF53" s="36">
        <v>199</v>
      </c>
      <c r="AG53" s="35" t="s">
        <v>75</v>
      </c>
      <c r="AH53" s="35">
        <v>0</v>
      </c>
      <c r="AI53" s="33">
        <v>0</v>
      </c>
      <c r="AJ53" s="33">
        <v>0</v>
      </c>
      <c r="AK53" s="32">
        <v>0.05</v>
      </c>
      <c r="AL53" s="32">
        <v>0</v>
      </c>
      <c r="AM53" s="33">
        <v>-9.95</v>
      </c>
      <c r="AN53" s="33">
        <v>199</v>
      </c>
      <c r="AO53" s="32">
        <v>199</v>
      </c>
      <c r="AP53" s="32">
        <v>0</v>
      </c>
      <c r="AQ53" s="34" t="s">
        <v>101</v>
      </c>
      <c r="AR53" s="32">
        <v>0</v>
      </c>
      <c r="AS53" s="32">
        <v>0.006</v>
      </c>
      <c r="AT53" s="33">
        <v>-1.19</v>
      </c>
      <c r="AU53" s="35" t="s">
        <v>148</v>
      </c>
      <c r="AV53" s="38" t="s">
        <v>1752</v>
      </c>
      <c r="AW53" s="38" t="s">
        <v>1753</v>
      </c>
      <c r="AX53" s="35"/>
      <c r="AY53" s="35"/>
      <c r="AZ53" s="33">
        <v>0</v>
      </c>
      <c r="BA53" s="32">
        <v>0</v>
      </c>
      <c r="BB53" s="32">
        <v>0</v>
      </c>
      <c r="BC53" s="32">
        <v>0</v>
      </c>
      <c r="BD53" s="32">
        <v>0</v>
      </c>
      <c r="BE53" s="35"/>
    </row>
    <row r="54" customHeight="1" spans="1:57">
      <c r="A54" s="25">
        <f t="shared" si="0"/>
        <v>2025</v>
      </c>
      <c r="B54" s="26">
        <f t="shared" si="1"/>
        <v>8</v>
      </c>
      <c r="C54" s="26" t="str">
        <f t="shared" si="2"/>
        <v>P770798387983284011</v>
      </c>
      <c r="D54" s="26">
        <f t="shared" si="3"/>
        <v>2</v>
      </c>
      <c r="E54" s="26">
        <f>COUNTIF($R$2:R54,R54)</f>
        <v>2</v>
      </c>
      <c r="F54" s="27" t="str" cm="1">
        <f t="array" ref="F54">INDEX('小红书-订单明细'!BQ:BQ,MATCH(R54&amp;AC54,'小红书-订单明细'!A:A&amp;'小红书-订单明细'!O:O,0))</f>
        <v>Z1248-黑色-M</v>
      </c>
      <c r="G54" s="27" t="str">
        <f t="shared" si="4"/>
        <v>Z1248</v>
      </c>
      <c r="H54" s="26" cm="1">
        <f t="array" ref="H54">IF(ABS(BG54)&gt;=1,SUM(AF54,AH54:AI54)/(INDEX('小红书-订单明细'!W:W,MATCH(R54&amp;AC54,'小红书-订单明细'!A:A&amp;'小红书-订单明细'!O:O,0))/(INDEX('小红书-订单明细'!T:T,MATCH(R54&amp;AC54,'小红书-订单明细'!A:A&amp;'小红书-订单明细'!O:O,0)))),IF(ABS(SUM(AF54,AH54:AI54)/(INDEX('小红书-订单明细'!W:W,MATCH(R54&amp;AC54,'小红书-订单明细'!A:A&amp;'小红书-订单明细'!O:O,0))/(INDEX('小红书-订单明细'!T:T,MATCH(R54&amp;AC54,'小红书-订单明细'!A:A&amp;'小红书-订单明细'!O:O,0)))))&gt;15%,ROUNDUP(SUM(AF54,AH54:AI54)/(INDEX('小红书-订单明细'!W:W,MATCH(R54&amp;AC54,'小红书-订单明细'!A:A&amp;'小红书-订单明细'!O:O,0))/(INDEX('小红书-订单明细'!T:T,MATCH(R54&amp;AC54,'小红书-订单明细'!A:A&amp;'小红书-订单明细'!O:O,0)))),0),ROUNDDOWN(SUM(AF54,AH54:AI54)/(INDEX('小红书-订单明细'!W:W,MATCH(R54&amp;AC54,'小红书-订单明细'!A:A&amp;'小红书-订单明细'!O:O,0))/(INDEX('小红书-订单明细'!T:T,MATCH(R54&amp;AC54,'小红书-订单明细'!A:A&amp;'小红书-订单明细'!O:O,0)))),0)))</f>
        <v>1</v>
      </c>
      <c r="I54" s="26">
        <f t="shared" si="5"/>
        <v>199</v>
      </c>
      <c r="J54" s="26">
        <f t="shared" si="6"/>
        <v>0</v>
      </c>
      <c r="K54" s="26">
        <f t="shared" si="7"/>
        <v>0</v>
      </c>
      <c r="L54" s="26">
        <f t="shared" si="8"/>
        <v>9.95</v>
      </c>
      <c r="M54" s="26">
        <f t="shared" si="9"/>
        <v>1.19</v>
      </c>
      <c r="N54" s="26"/>
      <c r="O54" s="28">
        <f t="shared" si="10"/>
        <v>187.86</v>
      </c>
      <c r="Q54" s="1" cm="1">
        <f t="array" ref="Q54">SUM(AF54,AH54:AI54)/(INDEX('小红书-订单明细'!W:W,MATCH(R54&amp;AC54,'小红书-订单明细'!A:A&amp;'小红书-订单明细'!O:O,0))/(INDEX('小红书-订单明细'!T:T,MATCH(R54&amp;AC54,'小红书-订单明细'!A:A&amp;'小红书-订单明细'!O:O,0))))</f>
        <v>1</v>
      </c>
      <c r="R54" s="37" t="s">
        <v>763</v>
      </c>
      <c r="S54" s="35"/>
      <c r="T54" s="35" t="s">
        <v>771</v>
      </c>
      <c r="U54" s="35" t="s">
        <v>1856</v>
      </c>
      <c r="V54" s="35" t="s">
        <v>1857</v>
      </c>
      <c r="W54" s="38" t="s">
        <v>1755</v>
      </c>
      <c r="X54" s="38" t="s">
        <v>1749</v>
      </c>
      <c r="Y54" s="35">
        <v>187.86</v>
      </c>
      <c r="Z54" s="31" t="s">
        <v>1860</v>
      </c>
      <c r="AA54" s="38" t="s">
        <v>1833</v>
      </c>
      <c r="AB54" s="35" t="s">
        <v>765</v>
      </c>
      <c r="AC54" s="37" t="s">
        <v>766</v>
      </c>
      <c r="AD54" s="32">
        <v>1</v>
      </c>
      <c r="AE54" s="35">
        <v>199</v>
      </c>
      <c r="AF54" s="36">
        <v>199</v>
      </c>
      <c r="AG54" s="35" t="s">
        <v>75</v>
      </c>
      <c r="AH54" s="35">
        <v>0</v>
      </c>
      <c r="AI54" s="33">
        <v>0</v>
      </c>
      <c r="AJ54" s="33">
        <v>0</v>
      </c>
      <c r="AK54" s="32">
        <v>0.05</v>
      </c>
      <c r="AL54" s="32">
        <v>0</v>
      </c>
      <c r="AM54" s="33">
        <v>-9.95</v>
      </c>
      <c r="AN54" s="33">
        <v>199</v>
      </c>
      <c r="AO54" s="32">
        <v>199</v>
      </c>
      <c r="AP54" s="32">
        <v>0</v>
      </c>
      <c r="AQ54" s="34" t="s">
        <v>101</v>
      </c>
      <c r="AR54" s="32">
        <v>0</v>
      </c>
      <c r="AS54" s="32">
        <v>0.006</v>
      </c>
      <c r="AT54" s="33">
        <v>-1.19</v>
      </c>
      <c r="AU54" s="35" t="s">
        <v>148</v>
      </c>
      <c r="AV54" s="38" t="s">
        <v>1752</v>
      </c>
      <c r="AW54" s="38" t="s">
        <v>1753</v>
      </c>
      <c r="AX54" s="35"/>
      <c r="AY54" s="35"/>
      <c r="AZ54" s="33">
        <v>0</v>
      </c>
      <c r="BA54" s="32">
        <v>0</v>
      </c>
      <c r="BB54" s="32">
        <v>0</v>
      </c>
      <c r="BC54" s="32">
        <v>0</v>
      </c>
      <c r="BD54" s="32">
        <v>0</v>
      </c>
      <c r="BE54" s="35"/>
    </row>
    <row r="55" customHeight="1" spans="1:57">
      <c r="A55" s="25">
        <f t="shared" si="0"/>
        <v>2025</v>
      </c>
      <c r="B55" s="26">
        <f t="shared" si="1"/>
        <v>8</v>
      </c>
      <c r="C55" s="26" t="str">
        <f t="shared" si="2"/>
        <v>P770798337207284891</v>
      </c>
      <c r="D55" s="26">
        <f t="shared" si="3"/>
        <v>2</v>
      </c>
      <c r="E55" s="26">
        <f>COUNTIF($R$2:R55,R55)</f>
        <v>2</v>
      </c>
      <c r="F55" s="27" t="str" cm="1">
        <f t="array" ref="F55">INDEX('小红书-订单明细'!BQ:BQ,MATCH(R55&amp;AC55,'小红书-订单明细'!A:A&amp;'小红书-订单明细'!O:O,0))</f>
        <v>Z2378-花纱色-M</v>
      </c>
      <c r="G55" s="27" t="str">
        <f t="shared" si="4"/>
        <v>Z2378</v>
      </c>
      <c r="H55" s="26" cm="1">
        <f t="array" ref="H55">IF(ABS(BG55)&gt;=1,SUM(AF55,AH55:AI55)/(INDEX('小红书-订单明细'!W:W,MATCH(R55&amp;AC55,'小红书-订单明细'!A:A&amp;'小红书-订单明细'!O:O,0))/(INDEX('小红书-订单明细'!T:T,MATCH(R55&amp;AC55,'小红书-订单明细'!A:A&amp;'小红书-订单明细'!O:O,0)))),IF(ABS(SUM(AF55,AH55:AI55)/(INDEX('小红书-订单明细'!W:W,MATCH(R55&amp;AC55,'小红书-订单明细'!A:A&amp;'小红书-订单明细'!O:O,0))/(INDEX('小红书-订单明细'!T:T,MATCH(R55&amp;AC55,'小红书-订单明细'!A:A&amp;'小红书-订单明细'!O:O,0)))))&gt;15%,ROUNDUP(SUM(AF55,AH55:AI55)/(INDEX('小红书-订单明细'!W:W,MATCH(R55&amp;AC55,'小红书-订单明细'!A:A&amp;'小红书-订单明细'!O:O,0))/(INDEX('小红书-订单明细'!T:T,MATCH(R55&amp;AC55,'小红书-订单明细'!A:A&amp;'小红书-订单明细'!O:O,0)))),0),ROUNDDOWN(SUM(AF55,AH55:AI55)/(INDEX('小红书-订单明细'!W:W,MATCH(R55&amp;AC55,'小红书-订单明细'!A:A&amp;'小红书-订单明细'!O:O,0))/(INDEX('小红书-订单明细'!T:T,MATCH(R55&amp;AC55,'小红书-订单明细'!A:A&amp;'小红书-订单明细'!O:O,0)))),0)))</f>
        <v>1</v>
      </c>
      <c r="I55" s="26">
        <f t="shared" si="5"/>
        <v>179</v>
      </c>
      <c r="J55" s="26">
        <f t="shared" si="6"/>
        <v>0</v>
      </c>
      <c r="K55" s="26">
        <f t="shared" si="7"/>
        <v>0</v>
      </c>
      <c r="L55" s="26">
        <f t="shared" si="8"/>
        <v>8.95</v>
      </c>
      <c r="M55" s="26">
        <f t="shared" si="9"/>
        <v>1.07</v>
      </c>
      <c r="N55" s="26"/>
      <c r="O55" s="28">
        <f t="shared" si="10"/>
        <v>168.98</v>
      </c>
      <c r="Q55" s="1" cm="1">
        <f t="array" ref="Q55">SUM(AF55,AH55:AI55)/(INDEX('小红书-订单明细'!W:W,MATCH(R55&amp;AC55,'小红书-订单明细'!A:A&amp;'小红书-订单明细'!O:O,0))/(INDEX('小红书-订单明细'!T:T,MATCH(R55&amp;AC55,'小红书-订单明细'!A:A&amp;'小红书-订单明细'!O:O,0))))</f>
        <v>1</v>
      </c>
      <c r="R55" s="37" t="s">
        <v>808</v>
      </c>
      <c r="S55" s="35"/>
      <c r="T55" s="35" t="s">
        <v>817</v>
      </c>
      <c r="U55" s="35" t="s">
        <v>1856</v>
      </c>
      <c r="V55" s="35" t="s">
        <v>1857</v>
      </c>
      <c r="W55" s="38" t="s">
        <v>1755</v>
      </c>
      <c r="X55" s="38" t="s">
        <v>1749</v>
      </c>
      <c r="Y55" s="35">
        <v>168.98</v>
      </c>
      <c r="Z55" s="31" t="s">
        <v>1799</v>
      </c>
      <c r="AA55" s="38" t="s">
        <v>1773</v>
      </c>
      <c r="AB55" s="35" t="s">
        <v>810</v>
      </c>
      <c r="AC55" s="37" t="s">
        <v>811</v>
      </c>
      <c r="AD55" s="32">
        <v>1</v>
      </c>
      <c r="AE55" s="35">
        <v>179</v>
      </c>
      <c r="AF55" s="36">
        <v>179</v>
      </c>
      <c r="AG55" s="35" t="s">
        <v>75</v>
      </c>
      <c r="AH55" s="35">
        <v>0</v>
      </c>
      <c r="AI55" s="33">
        <v>0</v>
      </c>
      <c r="AJ55" s="33">
        <v>0</v>
      </c>
      <c r="AK55" s="32">
        <v>0.05</v>
      </c>
      <c r="AL55" s="32">
        <v>0</v>
      </c>
      <c r="AM55" s="33">
        <v>-8.95</v>
      </c>
      <c r="AN55" s="33">
        <v>179</v>
      </c>
      <c r="AO55" s="32">
        <v>179</v>
      </c>
      <c r="AP55" s="32">
        <v>0</v>
      </c>
      <c r="AQ55" s="34" t="s">
        <v>101</v>
      </c>
      <c r="AR55" s="32">
        <v>0</v>
      </c>
      <c r="AS55" s="32">
        <v>0.006</v>
      </c>
      <c r="AT55" s="33">
        <v>-1.07</v>
      </c>
      <c r="AU55" s="35" t="s">
        <v>148</v>
      </c>
      <c r="AV55" s="38" t="s">
        <v>1752</v>
      </c>
      <c r="AW55" s="38" t="s">
        <v>1753</v>
      </c>
      <c r="AX55" s="35"/>
      <c r="AY55" s="35"/>
      <c r="AZ55" s="33">
        <v>0</v>
      </c>
      <c r="BA55" s="32">
        <v>0</v>
      </c>
      <c r="BB55" s="32">
        <v>0</v>
      </c>
      <c r="BC55" s="32">
        <v>0</v>
      </c>
      <c r="BD55" s="32">
        <v>0</v>
      </c>
      <c r="BE55" s="35"/>
    </row>
    <row r="56" customHeight="1" spans="1:57">
      <c r="A56" s="25">
        <f t="shared" si="0"/>
        <v>2025</v>
      </c>
      <c r="B56" s="26">
        <f t="shared" si="1"/>
        <v>8</v>
      </c>
      <c r="C56" s="26" t="str">
        <f t="shared" si="2"/>
        <v>P770795108315278051</v>
      </c>
      <c r="D56" s="26">
        <f t="shared" si="3"/>
        <v>2</v>
      </c>
      <c r="E56" s="26">
        <f>COUNTIF($R$2:R56,R56)</f>
        <v>1</v>
      </c>
      <c r="F56" s="27" t="str" cm="1">
        <f t="array" ref="F56">INDEX('小红书-订单明细'!BQ:BQ,MATCH(R56&amp;AC56,'小红书-订单明细'!A:A&amp;'小红书-订单明细'!O:O,0))</f>
        <v>Z2363-黑色-M</v>
      </c>
      <c r="G56" s="27" t="str">
        <f t="shared" si="4"/>
        <v>Z2363</v>
      </c>
      <c r="H56" s="26" cm="1">
        <f t="array" ref="H56">IF(ABS(BG56)&gt;=1,SUM(AF56,AH56:AI56)/(INDEX('小红书-订单明细'!W:W,MATCH(R56&amp;AC56,'小红书-订单明细'!A:A&amp;'小红书-订单明细'!O:O,0))/(INDEX('小红书-订单明细'!T:T,MATCH(R56&amp;AC56,'小红书-订单明细'!A:A&amp;'小红书-订单明细'!O:O,0)))),IF(ABS(SUM(AF56,AH56:AI56)/(INDEX('小红书-订单明细'!W:W,MATCH(R56&amp;AC56,'小红书-订单明细'!A:A&amp;'小红书-订单明细'!O:O,0))/(INDEX('小红书-订单明细'!T:T,MATCH(R56&amp;AC56,'小红书-订单明细'!A:A&amp;'小红书-订单明细'!O:O,0)))))&gt;15%,ROUNDUP(SUM(AF56,AH56:AI56)/(INDEX('小红书-订单明细'!W:W,MATCH(R56&amp;AC56,'小红书-订单明细'!A:A&amp;'小红书-订单明细'!O:O,0))/(INDEX('小红书-订单明细'!T:T,MATCH(R56&amp;AC56,'小红书-订单明细'!A:A&amp;'小红书-订单明细'!O:O,0)))),0),ROUNDDOWN(SUM(AF56,AH56:AI56)/(INDEX('小红书-订单明细'!W:W,MATCH(R56&amp;AC56,'小红书-订单明细'!A:A&amp;'小红书-订单明细'!O:O,0))/(INDEX('小红书-订单明细'!T:T,MATCH(R56&amp;AC56,'小红书-订单明细'!A:A&amp;'小红书-订单明细'!O:O,0)))),0)))</f>
        <v>-1</v>
      </c>
      <c r="I56" s="26">
        <f t="shared" si="5"/>
        <v>-359</v>
      </c>
      <c r="J56" s="26">
        <f t="shared" si="6"/>
        <v>0</v>
      </c>
      <c r="K56" s="26">
        <f t="shared" si="7"/>
        <v>0</v>
      </c>
      <c r="L56" s="26">
        <f t="shared" si="8"/>
        <v>-17.95</v>
      </c>
      <c r="M56" s="26">
        <f t="shared" si="9"/>
        <v>-2.15</v>
      </c>
      <c r="N56" s="26"/>
      <c r="O56" s="28">
        <f t="shared" si="10"/>
        <v>-338.9</v>
      </c>
      <c r="Q56" s="1" cm="1">
        <f t="array" ref="Q56">SUM(AF56,AH56:AI56)/(INDEX('小红书-订单明细'!W:W,MATCH(R56&amp;AC56,'小红书-订单明细'!A:A&amp;'小红书-订单明细'!O:O,0))/(INDEX('小红书-订单明细'!T:T,MATCH(R56&amp;AC56,'小红书-订单明细'!A:A&amp;'小红书-订单明细'!O:O,0))))</f>
        <v>-1</v>
      </c>
      <c r="R56" s="37" t="s">
        <v>963</v>
      </c>
      <c r="S56" s="35" t="s">
        <v>1863</v>
      </c>
      <c r="T56" s="35" t="s">
        <v>975</v>
      </c>
      <c r="U56" s="35" t="s">
        <v>1864</v>
      </c>
      <c r="V56" s="35" t="s">
        <v>1865</v>
      </c>
      <c r="W56" s="38" t="s">
        <v>1748</v>
      </c>
      <c r="X56" s="38" t="s">
        <v>1749</v>
      </c>
      <c r="Y56" s="35">
        <v>-338.9</v>
      </c>
      <c r="Z56" s="31" t="s">
        <v>1866</v>
      </c>
      <c r="AA56" s="38" t="s">
        <v>1758</v>
      </c>
      <c r="AB56" s="35" t="s">
        <v>969</v>
      </c>
      <c r="AC56" s="37" t="s">
        <v>970</v>
      </c>
      <c r="AD56" s="32">
        <v>0</v>
      </c>
      <c r="AE56" s="35">
        <v>-359</v>
      </c>
      <c r="AF56" s="37">
        <v>-359</v>
      </c>
      <c r="AG56" s="35">
        <v>0</v>
      </c>
      <c r="AH56" s="35">
        <v>0</v>
      </c>
      <c r="AI56" s="33">
        <v>0</v>
      </c>
      <c r="AJ56" s="33">
        <v>0</v>
      </c>
      <c r="AK56" s="32">
        <v>0</v>
      </c>
      <c r="AL56" s="32">
        <v>0</v>
      </c>
      <c r="AM56" s="33">
        <v>17.95</v>
      </c>
      <c r="AN56" s="33">
        <v>0</v>
      </c>
      <c r="AO56" s="32">
        <v>0</v>
      </c>
      <c r="AP56" s="32">
        <v>0</v>
      </c>
      <c r="AQ56" s="34" t="s">
        <v>101</v>
      </c>
      <c r="AR56" s="32">
        <v>0</v>
      </c>
      <c r="AS56" s="32">
        <v>0</v>
      </c>
      <c r="AT56" s="33">
        <v>2.15</v>
      </c>
      <c r="AU56" s="35" t="s">
        <v>148</v>
      </c>
      <c r="AV56" s="38" t="s">
        <v>1752</v>
      </c>
      <c r="AW56" s="38" t="s">
        <v>1753</v>
      </c>
      <c r="AX56" s="35"/>
      <c r="AY56" s="35"/>
      <c r="AZ56" s="33">
        <v>0</v>
      </c>
      <c r="BA56" s="32">
        <v>0</v>
      </c>
      <c r="BB56" s="32">
        <v>0</v>
      </c>
      <c r="BC56" s="32">
        <v>0</v>
      </c>
      <c r="BD56" s="32">
        <v>0</v>
      </c>
      <c r="BE56" s="35"/>
    </row>
    <row r="57" customHeight="1" spans="1:57">
      <c r="A57" s="25">
        <f t="shared" si="0"/>
        <v>2025</v>
      </c>
      <c r="B57" s="26">
        <f t="shared" si="1"/>
        <v>8</v>
      </c>
      <c r="C57" s="26" t="str">
        <f t="shared" si="2"/>
        <v>P770795400699278151</v>
      </c>
      <c r="D57" s="26">
        <f t="shared" si="3"/>
        <v>2</v>
      </c>
      <c r="E57" s="26">
        <f>COUNTIF($R$2:R57,R57)</f>
        <v>1</v>
      </c>
      <c r="F57" s="27" t="str" cm="1">
        <f t="array" ref="F57">INDEX('小红书-订单明细'!BQ:BQ,MATCH(R57&amp;AC57,'小红书-订单明细'!A:A&amp;'小红书-订单明细'!O:O,0))</f>
        <v>Z2363-灰色-M</v>
      </c>
      <c r="G57" s="27" t="str">
        <f t="shared" si="4"/>
        <v>Z2363</v>
      </c>
      <c r="H57" s="26" cm="1">
        <f t="array" ref="H57">IF(ABS(BG57)&gt;=1,SUM(AF57,AH57:AI57)/(INDEX('小红书-订单明细'!W:W,MATCH(R57&amp;AC57,'小红书-订单明细'!A:A&amp;'小红书-订单明细'!O:O,0))/(INDEX('小红书-订单明细'!T:T,MATCH(R57&amp;AC57,'小红书-订单明细'!A:A&amp;'小红书-订单明细'!O:O,0)))),IF(ABS(SUM(AF57,AH57:AI57)/(INDEX('小红书-订单明细'!W:W,MATCH(R57&amp;AC57,'小红书-订单明细'!A:A&amp;'小红书-订单明细'!O:O,0))/(INDEX('小红书-订单明细'!T:T,MATCH(R57&amp;AC57,'小红书-订单明细'!A:A&amp;'小红书-订单明细'!O:O,0)))))&gt;15%,ROUNDUP(SUM(AF57,AH57:AI57)/(INDEX('小红书-订单明细'!W:W,MATCH(R57&amp;AC57,'小红书-订单明细'!A:A&amp;'小红书-订单明细'!O:O,0))/(INDEX('小红书-订单明细'!T:T,MATCH(R57&amp;AC57,'小红书-订单明细'!A:A&amp;'小红书-订单明细'!O:O,0)))),0),ROUNDDOWN(SUM(AF57,AH57:AI57)/(INDEX('小红书-订单明细'!W:W,MATCH(R57&amp;AC57,'小红书-订单明细'!A:A&amp;'小红书-订单明细'!O:O,0))/(INDEX('小红书-订单明细'!T:T,MATCH(R57&amp;AC57,'小红书-订单明细'!A:A&amp;'小红书-订单明细'!O:O,0)))),0)))</f>
        <v>-1</v>
      </c>
      <c r="I57" s="26">
        <f t="shared" si="5"/>
        <v>-359</v>
      </c>
      <c r="J57" s="26">
        <f t="shared" si="6"/>
        <v>0</v>
      </c>
      <c r="K57" s="26">
        <f t="shared" si="7"/>
        <v>0</v>
      </c>
      <c r="L57" s="26">
        <f t="shared" si="8"/>
        <v>-17.95</v>
      </c>
      <c r="M57" s="26">
        <f t="shared" si="9"/>
        <v>-2.15</v>
      </c>
      <c r="N57" s="26"/>
      <c r="O57" s="28">
        <f t="shared" si="10"/>
        <v>-338.9</v>
      </c>
      <c r="Q57" s="1" cm="1">
        <f t="array" ref="Q57">SUM(AF57,AH57:AI57)/(INDEX('小红书-订单明细'!W:W,MATCH(R57&amp;AC57,'小红书-订单明细'!A:A&amp;'小红书-订单明细'!O:O,0))/(INDEX('小红书-订单明细'!T:T,MATCH(R57&amp;AC57,'小红书-订单明细'!A:A&amp;'小红书-订单明细'!O:O,0))))</f>
        <v>-1</v>
      </c>
      <c r="R57" s="37" t="s">
        <v>996</v>
      </c>
      <c r="S57" s="35" t="s">
        <v>1867</v>
      </c>
      <c r="T57" s="35" t="s">
        <v>1000</v>
      </c>
      <c r="U57" s="35" t="s">
        <v>1864</v>
      </c>
      <c r="V57" s="35" t="s">
        <v>1865</v>
      </c>
      <c r="W57" s="38" t="s">
        <v>1748</v>
      </c>
      <c r="X57" s="38" t="s">
        <v>1749</v>
      </c>
      <c r="Y57" s="35">
        <v>-338.9</v>
      </c>
      <c r="Z57" s="31" t="s">
        <v>1757</v>
      </c>
      <c r="AA57" s="38" t="s">
        <v>1758</v>
      </c>
      <c r="AB57" s="35" t="s">
        <v>826</v>
      </c>
      <c r="AC57" s="37" t="s">
        <v>827</v>
      </c>
      <c r="AD57" s="32">
        <v>0</v>
      </c>
      <c r="AE57" s="35">
        <v>-359</v>
      </c>
      <c r="AF57" s="37">
        <v>-359</v>
      </c>
      <c r="AG57" s="35">
        <v>0</v>
      </c>
      <c r="AH57" s="35">
        <v>0</v>
      </c>
      <c r="AI57" s="33">
        <v>0</v>
      </c>
      <c r="AJ57" s="33">
        <v>0</v>
      </c>
      <c r="AK57" s="32">
        <v>0</v>
      </c>
      <c r="AL57" s="32">
        <v>0</v>
      </c>
      <c r="AM57" s="33">
        <v>17.95</v>
      </c>
      <c r="AN57" s="33">
        <v>0</v>
      </c>
      <c r="AO57" s="32">
        <v>0</v>
      </c>
      <c r="AP57" s="32">
        <v>0</v>
      </c>
      <c r="AQ57" s="34" t="s">
        <v>101</v>
      </c>
      <c r="AR57" s="32">
        <v>0</v>
      </c>
      <c r="AS57" s="32">
        <v>0</v>
      </c>
      <c r="AT57" s="33">
        <v>2.15</v>
      </c>
      <c r="AU57" s="35" t="s">
        <v>148</v>
      </c>
      <c r="AV57" s="38" t="s">
        <v>1752</v>
      </c>
      <c r="AW57" s="38" t="s">
        <v>1753</v>
      </c>
      <c r="AX57" s="35"/>
      <c r="AY57" s="35"/>
      <c r="AZ57" s="33">
        <v>0</v>
      </c>
      <c r="BA57" s="32">
        <v>0</v>
      </c>
      <c r="BB57" s="32">
        <v>0</v>
      </c>
      <c r="BC57" s="32">
        <v>0</v>
      </c>
      <c r="BD57" s="32">
        <v>0</v>
      </c>
      <c r="BE57" s="35"/>
    </row>
    <row r="58" customHeight="1" spans="1:57">
      <c r="A58" s="25">
        <f t="shared" si="0"/>
        <v>2025</v>
      </c>
      <c r="B58" s="26">
        <f t="shared" si="1"/>
        <v>8</v>
      </c>
      <c r="C58" s="26" t="str">
        <f t="shared" si="2"/>
        <v>P770983921263440451</v>
      </c>
      <c r="D58" s="26">
        <f t="shared" si="3"/>
        <v>2</v>
      </c>
      <c r="E58" s="26">
        <f>COUNTIF($R$2:R58,R58)</f>
        <v>1</v>
      </c>
      <c r="F58" s="27" t="str" cm="1">
        <f t="array" ref="F58">INDEX('小红书-订单明细'!BQ:BQ,MATCH(R58&amp;AC58,'小红书-订单明细'!A:A&amp;'小红书-订单明细'!O:O,0))</f>
        <v>Z2218-黑色-L</v>
      </c>
      <c r="G58" s="27" t="str">
        <f t="shared" si="4"/>
        <v>Z2218</v>
      </c>
      <c r="H58" s="26" cm="1">
        <f t="array" ref="H58">IF(ABS(BG58)&gt;=1,SUM(AF58,AH58:AI58)/(INDEX('小红书-订单明细'!W:W,MATCH(R58&amp;AC58,'小红书-订单明细'!A:A&amp;'小红书-订单明细'!O:O,0))/(INDEX('小红书-订单明细'!T:T,MATCH(R58&amp;AC58,'小红书-订单明细'!A:A&amp;'小红书-订单明细'!O:O,0)))),IF(ABS(SUM(AF58,AH58:AI58)/(INDEX('小红书-订单明细'!W:W,MATCH(R58&amp;AC58,'小红书-订单明细'!A:A&amp;'小红书-订单明细'!O:O,0))/(INDEX('小红书-订单明细'!T:T,MATCH(R58&amp;AC58,'小红书-订单明细'!A:A&amp;'小红书-订单明细'!O:O,0)))))&gt;15%,ROUNDUP(SUM(AF58,AH58:AI58)/(INDEX('小红书-订单明细'!W:W,MATCH(R58&amp;AC58,'小红书-订单明细'!A:A&amp;'小红书-订单明细'!O:O,0))/(INDEX('小红书-订单明细'!T:T,MATCH(R58&amp;AC58,'小红书-订单明细'!A:A&amp;'小红书-订单明细'!O:O,0)))),0),ROUNDDOWN(SUM(AF58,AH58:AI58)/(INDEX('小红书-订单明细'!W:W,MATCH(R58&amp;AC58,'小红书-订单明细'!A:A&amp;'小红书-订单明细'!O:O,0))/(INDEX('小红书-订单明细'!T:T,MATCH(R58&amp;AC58,'小红书-订单明细'!A:A&amp;'小红书-订单明细'!O:O,0)))),0)))</f>
        <v>-1</v>
      </c>
      <c r="I58" s="26">
        <f t="shared" si="5"/>
        <v>-229</v>
      </c>
      <c r="J58" s="26">
        <f t="shared" si="6"/>
        <v>0</v>
      </c>
      <c r="K58" s="26">
        <f t="shared" si="7"/>
        <v>0</v>
      </c>
      <c r="L58" s="26">
        <f t="shared" si="8"/>
        <v>-11.45</v>
      </c>
      <c r="M58" s="26">
        <f t="shared" si="9"/>
        <v>-1.37</v>
      </c>
      <c r="N58" s="26"/>
      <c r="O58" s="28">
        <f t="shared" si="10"/>
        <v>-216.18</v>
      </c>
      <c r="Q58" s="1" cm="1">
        <f t="array" ref="Q58">SUM(AF58,AH58:AI58)/(INDEX('小红书-订单明细'!W:W,MATCH(R58&amp;AC58,'小红书-订单明细'!A:A&amp;'小红书-订单明细'!O:O,0))/(INDEX('小红书-订单明细'!T:T,MATCH(R58&amp;AC58,'小红书-订单明细'!A:A&amp;'小红书-订单明细'!O:O,0))))</f>
        <v>-1</v>
      </c>
      <c r="R58" s="37" t="s">
        <v>296</v>
      </c>
      <c r="S58" s="35" t="s">
        <v>1868</v>
      </c>
      <c r="T58" s="35" t="s">
        <v>305</v>
      </c>
      <c r="U58" s="35" t="s">
        <v>1869</v>
      </c>
      <c r="V58" s="35" t="s">
        <v>1865</v>
      </c>
      <c r="W58" s="38" t="s">
        <v>1748</v>
      </c>
      <c r="X58" s="38" t="s">
        <v>1749</v>
      </c>
      <c r="Y58" s="35">
        <v>-216.18</v>
      </c>
      <c r="Z58" s="31" t="s">
        <v>1772</v>
      </c>
      <c r="AA58" s="38" t="s">
        <v>1773</v>
      </c>
      <c r="AB58" s="35" t="s">
        <v>281</v>
      </c>
      <c r="AC58" s="37" t="s">
        <v>282</v>
      </c>
      <c r="AD58" s="32">
        <v>0</v>
      </c>
      <c r="AE58" s="35">
        <v>-229</v>
      </c>
      <c r="AF58" s="37">
        <v>-229</v>
      </c>
      <c r="AG58" s="35">
        <v>0</v>
      </c>
      <c r="AH58" s="35">
        <v>0</v>
      </c>
      <c r="AI58" s="33">
        <v>0</v>
      </c>
      <c r="AJ58" s="33">
        <v>0</v>
      </c>
      <c r="AK58" s="32">
        <v>0</v>
      </c>
      <c r="AL58" s="32">
        <v>0</v>
      </c>
      <c r="AM58" s="33">
        <v>11.45</v>
      </c>
      <c r="AN58" s="33">
        <v>0</v>
      </c>
      <c r="AO58" s="32">
        <v>0</v>
      </c>
      <c r="AP58" s="32">
        <v>0</v>
      </c>
      <c r="AQ58" s="34" t="s">
        <v>101</v>
      </c>
      <c r="AR58" s="32">
        <v>0</v>
      </c>
      <c r="AS58" s="32">
        <v>0</v>
      </c>
      <c r="AT58" s="33">
        <v>1.37</v>
      </c>
      <c r="AU58" s="35" t="s">
        <v>148</v>
      </c>
      <c r="AV58" s="38" t="s">
        <v>1752</v>
      </c>
      <c r="AW58" s="38" t="s">
        <v>1753</v>
      </c>
      <c r="AX58" s="35"/>
      <c r="AY58" s="35"/>
      <c r="AZ58" s="33">
        <v>0</v>
      </c>
      <c r="BA58" s="32">
        <v>0</v>
      </c>
      <c r="BB58" s="32">
        <v>0</v>
      </c>
      <c r="BC58" s="32">
        <v>0</v>
      </c>
      <c r="BD58" s="32">
        <v>0</v>
      </c>
      <c r="BE58" s="35"/>
    </row>
    <row r="59" customHeight="1" spans="1:57">
      <c r="A59" s="25">
        <f t="shared" si="0"/>
        <v>2025</v>
      </c>
      <c r="B59" s="26">
        <f t="shared" si="1"/>
        <v>8</v>
      </c>
      <c r="C59" s="26" t="str">
        <f t="shared" si="2"/>
        <v>P770983921263440451</v>
      </c>
      <c r="D59" s="26">
        <f t="shared" si="3"/>
        <v>2</v>
      </c>
      <c r="E59" s="26">
        <f>COUNTIF($R$2:R59,R59)</f>
        <v>2</v>
      </c>
      <c r="F59" s="27" t="str" cm="1">
        <f t="array" ref="F59">INDEX('小红书-订单明细'!BQ:BQ,MATCH(R59&amp;AC59,'小红书-订单明细'!A:A&amp;'小红书-订单明细'!O:O,0))</f>
        <v>Z2218-黑色-L</v>
      </c>
      <c r="G59" s="27" t="str">
        <f t="shared" si="4"/>
        <v>Z2218</v>
      </c>
      <c r="H59" s="26" cm="1">
        <f t="array" ref="H59">IF(ABS(BG59)&gt;=1,SUM(AF59,AH59:AI59)/(INDEX('小红书-订单明细'!W:W,MATCH(R59&amp;AC59,'小红书-订单明细'!A:A&amp;'小红书-订单明细'!O:O,0))/(INDEX('小红书-订单明细'!T:T,MATCH(R59&amp;AC59,'小红书-订单明细'!A:A&amp;'小红书-订单明细'!O:O,0)))),IF(ABS(SUM(AF59,AH59:AI59)/(INDEX('小红书-订单明细'!W:W,MATCH(R59&amp;AC59,'小红书-订单明细'!A:A&amp;'小红书-订单明细'!O:O,0))/(INDEX('小红书-订单明细'!T:T,MATCH(R59&amp;AC59,'小红书-订单明细'!A:A&amp;'小红书-订单明细'!O:O,0)))))&gt;15%,ROUNDUP(SUM(AF59,AH59:AI59)/(INDEX('小红书-订单明细'!W:W,MATCH(R59&amp;AC59,'小红书-订单明细'!A:A&amp;'小红书-订单明细'!O:O,0))/(INDEX('小红书-订单明细'!T:T,MATCH(R59&amp;AC59,'小红书-订单明细'!A:A&amp;'小红书-订单明细'!O:O,0)))),0),ROUNDDOWN(SUM(AF59,AH59:AI59)/(INDEX('小红书-订单明细'!W:W,MATCH(R59&amp;AC59,'小红书-订单明细'!A:A&amp;'小红书-订单明细'!O:O,0))/(INDEX('小红书-订单明细'!T:T,MATCH(R59&amp;AC59,'小红书-订单明细'!A:A&amp;'小红书-订单明细'!O:O,0)))),0)))</f>
        <v>1</v>
      </c>
      <c r="I59" s="26">
        <f t="shared" si="5"/>
        <v>229</v>
      </c>
      <c r="J59" s="26">
        <f t="shared" si="6"/>
        <v>0</v>
      </c>
      <c r="K59" s="26">
        <f t="shared" si="7"/>
        <v>0</v>
      </c>
      <c r="L59" s="26">
        <f t="shared" si="8"/>
        <v>11.45</v>
      </c>
      <c r="M59" s="26">
        <f t="shared" si="9"/>
        <v>1.37</v>
      </c>
      <c r="N59" s="26"/>
      <c r="O59" s="28">
        <f t="shared" si="10"/>
        <v>216.18</v>
      </c>
      <c r="Q59" s="1" cm="1">
        <f t="array" ref="Q59">SUM(AF59,AH59:AI59)/(INDEX('小红书-订单明细'!W:W,MATCH(R59&amp;AC59,'小红书-订单明细'!A:A&amp;'小红书-订单明细'!O:O,0))/(INDEX('小红书-订单明细'!T:T,MATCH(R59&amp;AC59,'小红书-订单明细'!A:A&amp;'小红书-订单明细'!O:O,0))))</f>
        <v>1</v>
      </c>
      <c r="R59" s="37" t="s">
        <v>296</v>
      </c>
      <c r="S59" s="35"/>
      <c r="T59" s="35" t="s">
        <v>305</v>
      </c>
      <c r="U59" s="35" t="s">
        <v>292</v>
      </c>
      <c r="V59" s="35" t="s">
        <v>1865</v>
      </c>
      <c r="W59" s="38" t="s">
        <v>1755</v>
      </c>
      <c r="X59" s="38" t="s">
        <v>1749</v>
      </c>
      <c r="Y59" s="35">
        <v>216.18</v>
      </c>
      <c r="Z59" s="31" t="s">
        <v>1772</v>
      </c>
      <c r="AA59" s="38" t="s">
        <v>1773</v>
      </c>
      <c r="AB59" s="35" t="s">
        <v>281</v>
      </c>
      <c r="AC59" s="37" t="s">
        <v>282</v>
      </c>
      <c r="AD59" s="32">
        <v>1</v>
      </c>
      <c r="AE59" s="35">
        <v>229</v>
      </c>
      <c r="AF59" s="36">
        <v>229</v>
      </c>
      <c r="AG59" s="35" t="s">
        <v>75</v>
      </c>
      <c r="AH59" s="35">
        <v>0</v>
      </c>
      <c r="AI59" s="33">
        <v>0</v>
      </c>
      <c r="AJ59" s="33">
        <v>0</v>
      </c>
      <c r="AK59" s="32">
        <v>0.05</v>
      </c>
      <c r="AL59" s="32">
        <v>0</v>
      </c>
      <c r="AM59" s="33">
        <v>-11.45</v>
      </c>
      <c r="AN59" s="33">
        <v>229</v>
      </c>
      <c r="AO59" s="32">
        <v>229</v>
      </c>
      <c r="AP59" s="32">
        <v>0</v>
      </c>
      <c r="AQ59" s="34" t="s">
        <v>101</v>
      </c>
      <c r="AR59" s="32">
        <v>0</v>
      </c>
      <c r="AS59" s="32">
        <v>0.006</v>
      </c>
      <c r="AT59" s="33">
        <v>-1.37</v>
      </c>
      <c r="AU59" s="35" t="s">
        <v>148</v>
      </c>
      <c r="AV59" s="38" t="s">
        <v>1752</v>
      </c>
      <c r="AW59" s="38" t="s">
        <v>1753</v>
      </c>
      <c r="AX59" s="35"/>
      <c r="AY59" s="35"/>
      <c r="AZ59" s="33">
        <v>0</v>
      </c>
      <c r="BA59" s="32">
        <v>0</v>
      </c>
      <c r="BB59" s="32">
        <v>0</v>
      </c>
      <c r="BC59" s="32">
        <v>0</v>
      </c>
      <c r="BD59" s="32">
        <v>0</v>
      </c>
      <c r="BE59" s="35"/>
    </row>
    <row r="60" customHeight="1" spans="1:57">
      <c r="A60" s="25">
        <f t="shared" si="0"/>
        <v>2025</v>
      </c>
      <c r="B60" s="26">
        <f t="shared" si="1"/>
        <v>8</v>
      </c>
      <c r="C60" s="26" t="str">
        <f t="shared" si="2"/>
        <v>P770795400699278151</v>
      </c>
      <c r="D60" s="26">
        <f t="shared" si="3"/>
        <v>2</v>
      </c>
      <c r="E60" s="26">
        <f>COUNTIF($R$2:R60,R60)</f>
        <v>2</v>
      </c>
      <c r="F60" s="27" t="str" cm="1">
        <f t="array" ref="F60">INDEX('小红书-订单明细'!BQ:BQ,MATCH(R60&amp;AC60,'小红书-订单明细'!A:A&amp;'小红书-订单明细'!O:O,0))</f>
        <v>Z2363-灰色-M</v>
      </c>
      <c r="G60" s="27" t="str">
        <f t="shared" si="4"/>
        <v>Z2363</v>
      </c>
      <c r="H60" s="26" cm="1">
        <f t="array" ref="H60">IF(ABS(BG60)&gt;=1,SUM(AF60,AH60:AI60)/(INDEX('小红书-订单明细'!W:W,MATCH(R60&amp;AC60,'小红书-订单明细'!A:A&amp;'小红书-订单明细'!O:O,0))/(INDEX('小红书-订单明细'!T:T,MATCH(R60&amp;AC60,'小红书-订单明细'!A:A&amp;'小红书-订单明细'!O:O,0)))),IF(ABS(SUM(AF60,AH60:AI60)/(INDEX('小红书-订单明细'!W:W,MATCH(R60&amp;AC60,'小红书-订单明细'!A:A&amp;'小红书-订单明细'!O:O,0))/(INDEX('小红书-订单明细'!T:T,MATCH(R60&amp;AC60,'小红书-订单明细'!A:A&amp;'小红书-订单明细'!O:O,0)))))&gt;15%,ROUNDUP(SUM(AF60,AH60:AI60)/(INDEX('小红书-订单明细'!W:W,MATCH(R60&amp;AC60,'小红书-订单明细'!A:A&amp;'小红书-订单明细'!O:O,0))/(INDEX('小红书-订单明细'!T:T,MATCH(R60&amp;AC60,'小红书-订单明细'!A:A&amp;'小红书-订单明细'!O:O,0)))),0),ROUNDDOWN(SUM(AF60,AH60:AI60)/(INDEX('小红书-订单明细'!W:W,MATCH(R60&amp;AC60,'小红书-订单明细'!A:A&amp;'小红书-订单明细'!O:O,0))/(INDEX('小红书-订单明细'!T:T,MATCH(R60&amp;AC60,'小红书-订单明细'!A:A&amp;'小红书-订单明细'!O:O,0)))),0)))</f>
        <v>1</v>
      </c>
      <c r="I60" s="26">
        <f t="shared" si="5"/>
        <v>359</v>
      </c>
      <c r="J60" s="26">
        <f t="shared" si="6"/>
        <v>0</v>
      </c>
      <c r="K60" s="26">
        <f t="shared" si="7"/>
        <v>0</v>
      </c>
      <c r="L60" s="26">
        <f t="shared" si="8"/>
        <v>17.95</v>
      </c>
      <c r="M60" s="26">
        <f t="shared" si="9"/>
        <v>2.15</v>
      </c>
      <c r="N60" s="26"/>
      <c r="O60" s="28">
        <f t="shared" si="10"/>
        <v>338.9</v>
      </c>
      <c r="Q60" s="1" cm="1">
        <f t="array" ref="Q60">SUM(AF60,AH60:AI60)/(INDEX('小红书-订单明细'!W:W,MATCH(R60&amp;AC60,'小红书-订单明细'!A:A&amp;'小红书-订单明细'!O:O,0))/(INDEX('小红书-订单明细'!T:T,MATCH(R60&amp;AC60,'小红书-订单明细'!A:A&amp;'小红书-订单明细'!O:O,0))))</f>
        <v>1</v>
      </c>
      <c r="R60" s="37" t="s">
        <v>996</v>
      </c>
      <c r="S60" s="35"/>
      <c r="T60" s="35" t="s">
        <v>1000</v>
      </c>
      <c r="U60" s="35" t="s">
        <v>1002</v>
      </c>
      <c r="V60" s="35" t="s">
        <v>1865</v>
      </c>
      <c r="W60" s="38" t="s">
        <v>1755</v>
      </c>
      <c r="X60" s="38" t="s">
        <v>1749</v>
      </c>
      <c r="Y60" s="35">
        <v>338.9</v>
      </c>
      <c r="Z60" s="31" t="s">
        <v>1757</v>
      </c>
      <c r="AA60" s="38" t="s">
        <v>1758</v>
      </c>
      <c r="AB60" s="35" t="s">
        <v>826</v>
      </c>
      <c r="AC60" s="37" t="s">
        <v>827</v>
      </c>
      <c r="AD60" s="32">
        <v>1</v>
      </c>
      <c r="AE60" s="35">
        <v>359</v>
      </c>
      <c r="AF60" s="36">
        <v>359</v>
      </c>
      <c r="AG60" s="35" t="s">
        <v>75</v>
      </c>
      <c r="AH60" s="35">
        <v>0</v>
      </c>
      <c r="AI60" s="33">
        <v>0</v>
      </c>
      <c r="AJ60" s="33">
        <v>0</v>
      </c>
      <c r="AK60" s="32">
        <v>0.05</v>
      </c>
      <c r="AL60" s="32">
        <v>0</v>
      </c>
      <c r="AM60" s="33">
        <v>-17.95</v>
      </c>
      <c r="AN60" s="33">
        <v>359</v>
      </c>
      <c r="AO60" s="32">
        <v>359</v>
      </c>
      <c r="AP60" s="32">
        <v>0</v>
      </c>
      <c r="AQ60" s="34" t="s">
        <v>101</v>
      </c>
      <c r="AR60" s="32">
        <v>0</v>
      </c>
      <c r="AS60" s="32">
        <v>0.006</v>
      </c>
      <c r="AT60" s="33">
        <v>-2.15</v>
      </c>
      <c r="AU60" s="35" t="s">
        <v>148</v>
      </c>
      <c r="AV60" s="38" t="s">
        <v>1752</v>
      </c>
      <c r="AW60" s="38" t="s">
        <v>1753</v>
      </c>
      <c r="AX60" s="35"/>
      <c r="AY60" s="35"/>
      <c r="AZ60" s="33">
        <v>0</v>
      </c>
      <c r="BA60" s="32">
        <v>0</v>
      </c>
      <c r="BB60" s="32">
        <v>0</v>
      </c>
      <c r="BC60" s="32">
        <v>0</v>
      </c>
      <c r="BD60" s="32">
        <v>0</v>
      </c>
      <c r="BE60" s="35"/>
    </row>
    <row r="61" customHeight="1" spans="1:57">
      <c r="A61" s="25">
        <f t="shared" si="0"/>
        <v>2025</v>
      </c>
      <c r="B61" s="26">
        <f t="shared" si="1"/>
        <v>8</v>
      </c>
      <c r="C61" s="26" t="str">
        <f t="shared" si="2"/>
        <v>P770795108315278051</v>
      </c>
      <c r="D61" s="26">
        <f t="shared" si="3"/>
        <v>2</v>
      </c>
      <c r="E61" s="26">
        <f>COUNTIF($R$2:R61,R61)</f>
        <v>2</v>
      </c>
      <c r="F61" s="27" t="str" cm="1">
        <f t="array" ref="F61">INDEX('小红书-订单明细'!BQ:BQ,MATCH(R61&amp;AC61,'小红书-订单明细'!A:A&amp;'小红书-订单明细'!O:O,0))</f>
        <v>Z2363-黑色-M</v>
      </c>
      <c r="G61" s="27" t="str">
        <f t="shared" si="4"/>
        <v>Z2363</v>
      </c>
      <c r="H61" s="26" cm="1">
        <f t="array" ref="H61">IF(ABS(BG61)&gt;=1,SUM(AF61,AH61:AI61)/(INDEX('小红书-订单明细'!W:W,MATCH(R61&amp;AC61,'小红书-订单明细'!A:A&amp;'小红书-订单明细'!O:O,0))/(INDEX('小红书-订单明细'!T:T,MATCH(R61&amp;AC61,'小红书-订单明细'!A:A&amp;'小红书-订单明细'!O:O,0)))),IF(ABS(SUM(AF61,AH61:AI61)/(INDEX('小红书-订单明细'!W:W,MATCH(R61&amp;AC61,'小红书-订单明细'!A:A&amp;'小红书-订单明细'!O:O,0))/(INDEX('小红书-订单明细'!T:T,MATCH(R61&amp;AC61,'小红书-订单明细'!A:A&amp;'小红书-订单明细'!O:O,0)))))&gt;15%,ROUNDUP(SUM(AF61,AH61:AI61)/(INDEX('小红书-订单明细'!W:W,MATCH(R61&amp;AC61,'小红书-订单明细'!A:A&amp;'小红书-订单明细'!O:O,0))/(INDEX('小红书-订单明细'!T:T,MATCH(R61&amp;AC61,'小红书-订单明细'!A:A&amp;'小红书-订单明细'!O:O,0)))),0),ROUNDDOWN(SUM(AF61,AH61:AI61)/(INDEX('小红书-订单明细'!W:W,MATCH(R61&amp;AC61,'小红书-订单明细'!A:A&amp;'小红书-订单明细'!O:O,0))/(INDEX('小红书-订单明细'!T:T,MATCH(R61&amp;AC61,'小红书-订单明细'!A:A&amp;'小红书-订单明细'!O:O,0)))),0)))</f>
        <v>1</v>
      </c>
      <c r="I61" s="26">
        <f t="shared" si="5"/>
        <v>359</v>
      </c>
      <c r="J61" s="26">
        <f t="shared" si="6"/>
        <v>0</v>
      </c>
      <c r="K61" s="26">
        <f t="shared" si="7"/>
        <v>0</v>
      </c>
      <c r="L61" s="26">
        <f t="shared" si="8"/>
        <v>17.95</v>
      </c>
      <c r="M61" s="26">
        <f t="shared" si="9"/>
        <v>2.15</v>
      </c>
      <c r="N61" s="26"/>
      <c r="O61" s="28">
        <f t="shared" si="10"/>
        <v>338.9</v>
      </c>
      <c r="Q61" s="1" cm="1">
        <f t="array" ref="Q61">SUM(AF61,AH61:AI61)/(INDEX('小红书-订单明细'!W:W,MATCH(R61&amp;AC61,'小红书-订单明细'!A:A&amp;'小红书-订单明细'!O:O,0))/(INDEX('小红书-订单明细'!T:T,MATCH(R61&amp;AC61,'小红书-订单明细'!A:A&amp;'小红书-订单明细'!O:O,0))))</f>
        <v>1</v>
      </c>
      <c r="R61" s="37" t="s">
        <v>963</v>
      </c>
      <c r="S61" s="35"/>
      <c r="T61" s="35" t="s">
        <v>975</v>
      </c>
      <c r="U61" s="35" t="s">
        <v>978</v>
      </c>
      <c r="V61" s="35" t="s">
        <v>1865</v>
      </c>
      <c r="W61" s="38" t="s">
        <v>1755</v>
      </c>
      <c r="X61" s="38" t="s">
        <v>1749</v>
      </c>
      <c r="Y61" s="35">
        <v>338.9</v>
      </c>
      <c r="Z61" s="31" t="s">
        <v>1866</v>
      </c>
      <c r="AA61" s="38" t="s">
        <v>1758</v>
      </c>
      <c r="AB61" s="35" t="s">
        <v>969</v>
      </c>
      <c r="AC61" s="37" t="s">
        <v>970</v>
      </c>
      <c r="AD61" s="32">
        <v>1</v>
      </c>
      <c r="AE61" s="35">
        <v>359</v>
      </c>
      <c r="AF61" s="36">
        <v>359</v>
      </c>
      <c r="AG61" s="35" t="s">
        <v>75</v>
      </c>
      <c r="AH61" s="35">
        <v>0</v>
      </c>
      <c r="AI61" s="33">
        <v>0</v>
      </c>
      <c r="AJ61" s="33">
        <v>0</v>
      </c>
      <c r="AK61" s="32">
        <v>0.05</v>
      </c>
      <c r="AL61" s="32">
        <v>0</v>
      </c>
      <c r="AM61" s="33">
        <v>-17.95</v>
      </c>
      <c r="AN61" s="33">
        <v>359</v>
      </c>
      <c r="AO61" s="32">
        <v>359</v>
      </c>
      <c r="AP61" s="32">
        <v>0</v>
      </c>
      <c r="AQ61" s="34" t="s">
        <v>101</v>
      </c>
      <c r="AR61" s="32">
        <v>0</v>
      </c>
      <c r="AS61" s="32">
        <v>0.006</v>
      </c>
      <c r="AT61" s="33">
        <v>-2.15</v>
      </c>
      <c r="AU61" s="35" t="s">
        <v>148</v>
      </c>
      <c r="AV61" s="38" t="s">
        <v>1752</v>
      </c>
      <c r="AW61" s="38" t="s">
        <v>1753</v>
      </c>
      <c r="AX61" s="35"/>
      <c r="AY61" s="35"/>
      <c r="AZ61" s="33">
        <v>0</v>
      </c>
      <c r="BA61" s="32">
        <v>0</v>
      </c>
      <c r="BB61" s="32">
        <v>0</v>
      </c>
      <c r="BC61" s="32">
        <v>0</v>
      </c>
      <c r="BD61" s="32">
        <v>0</v>
      </c>
      <c r="BE61" s="35"/>
    </row>
    <row r="62" customHeight="1" spans="1:57">
      <c r="A62" s="25">
        <f t="shared" si="0"/>
        <v>2025</v>
      </c>
      <c r="B62" s="26">
        <f t="shared" si="1"/>
        <v>8</v>
      </c>
      <c r="C62" s="26" t="str">
        <f t="shared" si="2"/>
        <v>P770796470293501151</v>
      </c>
      <c r="D62" s="26">
        <f t="shared" si="3"/>
        <v>2</v>
      </c>
      <c r="E62" s="26">
        <f>COUNTIF($R$2:R62,R62)</f>
        <v>1</v>
      </c>
      <c r="F62" s="27" t="str" cm="1">
        <f t="array" ref="F62">INDEX('小红书-订单明细'!BQ:BQ,MATCH(R62&amp;AC62,'小红书-订单明细'!A:A&amp;'小红书-订单明细'!O:O,0))</f>
        <v>Z1248-黑色-L</v>
      </c>
      <c r="G62" s="27" t="str">
        <f t="shared" si="4"/>
        <v>Z1248</v>
      </c>
      <c r="H62" s="26" cm="1">
        <f t="array" ref="H62">IF(ABS(BG62)&gt;=1,SUM(AF62,AH62:AI62)/(INDEX('小红书-订单明细'!W:W,MATCH(R62&amp;AC62,'小红书-订单明细'!A:A&amp;'小红书-订单明细'!O:O,0))/(INDEX('小红书-订单明细'!T:T,MATCH(R62&amp;AC62,'小红书-订单明细'!A:A&amp;'小红书-订单明细'!O:O,0)))),IF(ABS(SUM(AF62,AH62:AI62)/(INDEX('小红书-订单明细'!W:W,MATCH(R62&amp;AC62,'小红书-订单明细'!A:A&amp;'小红书-订单明细'!O:O,0))/(INDEX('小红书-订单明细'!T:T,MATCH(R62&amp;AC62,'小红书-订单明细'!A:A&amp;'小红书-订单明细'!O:O,0)))))&gt;15%,ROUNDUP(SUM(AF62,AH62:AI62)/(INDEX('小红书-订单明细'!W:W,MATCH(R62&amp;AC62,'小红书-订单明细'!A:A&amp;'小红书-订单明细'!O:O,0))/(INDEX('小红书-订单明细'!T:T,MATCH(R62&amp;AC62,'小红书-订单明细'!A:A&amp;'小红书-订单明细'!O:O,0)))),0),ROUNDDOWN(SUM(AF62,AH62:AI62)/(INDEX('小红书-订单明细'!W:W,MATCH(R62&amp;AC62,'小红书-订单明细'!A:A&amp;'小红书-订单明细'!O:O,0))/(INDEX('小红书-订单明细'!T:T,MATCH(R62&amp;AC62,'小红书-订单明细'!A:A&amp;'小红书-订单明细'!O:O,0)))),0)))</f>
        <v>-1</v>
      </c>
      <c r="I62" s="26">
        <f t="shared" si="5"/>
        <v>-199</v>
      </c>
      <c r="J62" s="26">
        <f t="shared" si="6"/>
        <v>0</v>
      </c>
      <c r="K62" s="26">
        <f t="shared" si="7"/>
        <v>0</v>
      </c>
      <c r="L62" s="26">
        <f t="shared" si="8"/>
        <v>-9.95</v>
      </c>
      <c r="M62" s="26">
        <f t="shared" si="9"/>
        <v>-1.19</v>
      </c>
      <c r="N62" s="26"/>
      <c r="O62" s="28">
        <f t="shared" si="10"/>
        <v>-187.86</v>
      </c>
      <c r="Q62" s="1" cm="1">
        <f t="array" ref="Q62">SUM(AF62,AH62:AI62)/(INDEX('小红书-订单明细'!W:W,MATCH(R62&amp;AC62,'小红书-订单明细'!A:A&amp;'小红书-订单明细'!O:O,0))/(INDEX('小红书-订单明细'!T:T,MATCH(R62&amp;AC62,'小红书-订单明细'!A:A&amp;'小红书-订单明细'!O:O,0))))</f>
        <v>-1</v>
      </c>
      <c r="R62" s="37" t="s">
        <v>883</v>
      </c>
      <c r="S62" s="35" t="s">
        <v>1870</v>
      </c>
      <c r="T62" s="35" t="s">
        <v>875</v>
      </c>
      <c r="U62" s="35" t="s">
        <v>1871</v>
      </c>
      <c r="V62" s="35" t="s">
        <v>1872</v>
      </c>
      <c r="W62" s="38" t="s">
        <v>1748</v>
      </c>
      <c r="X62" s="38" t="s">
        <v>1749</v>
      </c>
      <c r="Y62" s="35">
        <v>-187.86</v>
      </c>
      <c r="Z62" s="31" t="s">
        <v>1873</v>
      </c>
      <c r="AA62" s="38" t="s">
        <v>1833</v>
      </c>
      <c r="AB62" s="35" t="s">
        <v>787</v>
      </c>
      <c r="AC62" s="37" t="s">
        <v>788</v>
      </c>
      <c r="AD62" s="32">
        <v>0</v>
      </c>
      <c r="AE62" s="35">
        <v>-199</v>
      </c>
      <c r="AF62" s="37">
        <v>-199</v>
      </c>
      <c r="AG62" s="35">
        <v>0</v>
      </c>
      <c r="AH62" s="35">
        <v>0</v>
      </c>
      <c r="AI62" s="33">
        <v>0</v>
      </c>
      <c r="AJ62" s="33">
        <v>0</v>
      </c>
      <c r="AK62" s="32">
        <v>0</v>
      </c>
      <c r="AL62" s="32">
        <v>0</v>
      </c>
      <c r="AM62" s="33">
        <v>9.95</v>
      </c>
      <c r="AN62" s="33">
        <v>0</v>
      </c>
      <c r="AO62" s="32">
        <v>0</v>
      </c>
      <c r="AP62" s="32">
        <v>0</v>
      </c>
      <c r="AQ62" s="34" t="s">
        <v>101</v>
      </c>
      <c r="AR62" s="32">
        <v>0</v>
      </c>
      <c r="AS62" s="32">
        <v>0</v>
      </c>
      <c r="AT62" s="33">
        <v>1.19</v>
      </c>
      <c r="AU62" s="35" t="s">
        <v>148</v>
      </c>
      <c r="AV62" s="38" t="s">
        <v>1752</v>
      </c>
      <c r="AW62" s="38" t="s">
        <v>1753</v>
      </c>
      <c r="AX62" s="35"/>
      <c r="AY62" s="35"/>
      <c r="AZ62" s="33">
        <v>0</v>
      </c>
      <c r="BA62" s="32">
        <v>0</v>
      </c>
      <c r="BB62" s="32">
        <v>0</v>
      </c>
      <c r="BC62" s="32">
        <v>0</v>
      </c>
      <c r="BD62" s="32">
        <v>0</v>
      </c>
      <c r="BE62" s="35"/>
    </row>
    <row r="63" customHeight="1" spans="1:57">
      <c r="A63" s="25">
        <f t="shared" si="0"/>
        <v>2025</v>
      </c>
      <c r="B63" s="26">
        <f t="shared" si="1"/>
        <v>8</v>
      </c>
      <c r="C63" s="26" t="str">
        <f t="shared" si="2"/>
        <v>P770796470293501151</v>
      </c>
      <c r="D63" s="26">
        <f t="shared" si="3"/>
        <v>2</v>
      </c>
      <c r="E63" s="26">
        <f>COUNTIF($R$2:R63,R63)</f>
        <v>2</v>
      </c>
      <c r="F63" s="27" t="str" cm="1">
        <f t="array" ref="F63">INDEX('小红书-订单明细'!BQ:BQ,MATCH(R63&amp;AC63,'小红书-订单明细'!A:A&amp;'小红书-订单明细'!O:O,0))</f>
        <v>Z1248-黑色-L</v>
      </c>
      <c r="G63" s="27" t="str">
        <f t="shared" si="4"/>
        <v>Z1248</v>
      </c>
      <c r="H63" s="26" cm="1">
        <f t="array" ref="H63">IF(ABS(BG63)&gt;=1,SUM(AF63,AH63:AI63)/(INDEX('小红书-订单明细'!W:W,MATCH(R63&amp;AC63,'小红书-订单明细'!A:A&amp;'小红书-订单明细'!O:O,0))/(INDEX('小红书-订单明细'!T:T,MATCH(R63&amp;AC63,'小红书-订单明细'!A:A&amp;'小红书-订单明细'!O:O,0)))),IF(ABS(SUM(AF63,AH63:AI63)/(INDEX('小红书-订单明细'!W:W,MATCH(R63&amp;AC63,'小红书-订单明细'!A:A&amp;'小红书-订单明细'!O:O,0))/(INDEX('小红书-订单明细'!T:T,MATCH(R63&amp;AC63,'小红书-订单明细'!A:A&amp;'小红书-订单明细'!O:O,0)))))&gt;15%,ROUNDUP(SUM(AF63,AH63:AI63)/(INDEX('小红书-订单明细'!W:W,MATCH(R63&amp;AC63,'小红书-订单明细'!A:A&amp;'小红书-订单明细'!O:O,0))/(INDEX('小红书-订单明细'!T:T,MATCH(R63&amp;AC63,'小红书-订单明细'!A:A&amp;'小红书-订单明细'!O:O,0)))),0),ROUNDDOWN(SUM(AF63,AH63:AI63)/(INDEX('小红书-订单明细'!W:W,MATCH(R63&amp;AC63,'小红书-订单明细'!A:A&amp;'小红书-订单明细'!O:O,0))/(INDEX('小红书-订单明细'!T:T,MATCH(R63&amp;AC63,'小红书-订单明细'!A:A&amp;'小红书-订单明细'!O:O,0)))),0)))</f>
        <v>1</v>
      </c>
      <c r="I63" s="26">
        <f t="shared" si="5"/>
        <v>199</v>
      </c>
      <c r="J63" s="26">
        <f t="shared" si="6"/>
        <v>0</v>
      </c>
      <c r="K63" s="26">
        <f t="shared" si="7"/>
        <v>0</v>
      </c>
      <c r="L63" s="26">
        <f t="shared" si="8"/>
        <v>9.95</v>
      </c>
      <c r="M63" s="26">
        <f t="shared" si="9"/>
        <v>1.19</v>
      </c>
      <c r="N63" s="26"/>
      <c r="O63" s="28">
        <f t="shared" si="10"/>
        <v>187.86</v>
      </c>
      <c r="Q63" s="1" cm="1">
        <f t="array" ref="Q63">SUM(AF63,AH63:AI63)/(INDEX('小红书-订单明细'!W:W,MATCH(R63&amp;AC63,'小红书-订单明细'!A:A&amp;'小红书-订单明细'!O:O,0))/(INDEX('小红书-订单明细'!T:T,MATCH(R63&amp;AC63,'小红书-订单明细'!A:A&amp;'小红书-订单明细'!O:O,0))))</f>
        <v>1</v>
      </c>
      <c r="R63" s="37" t="s">
        <v>883</v>
      </c>
      <c r="S63" s="35"/>
      <c r="T63" s="35" t="s">
        <v>875</v>
      </c>
      <c r="U63" s="35" t="s">
        <v>1874</v>
      </c>
      <c r="V63" s="35" t="s">
        <v>1872</v>
      </c>
      <c r="W63" s="38" t="s">
        <v>1755</v>
      </c>
      <c r="X63" s="38" t="s">
        <v>1749</v>
      </c>
      <c r="Y63" s="35">
        <v>187.86</v>
      </c>
      <c r="Z63" s="31" t="s">
        <v>1873</v>
      </c>
      <c r="AA63" s="38" t="s">
        <v>1833</v>
      </c>
      <c r="AB63" s="35" t="s">
        <v>787</v>
      </c>
      <c r="AC63" s="37" t="s">
        <v>788</v>
      </c>
      <c r="AD63" s="32">
        <v>1</v>
      </c>
      <c r="AE63" s="35">
        <v>199</v>
      </c>
      <c r="AF63" s="36">
        <v>199</v>
      </c>
      <c r="AG63" s="35" t="s">
        <v>75</v>
      </c>
      <c r="AH63" s="35">
        <v>0</v>
      </c>
      <c r="AI63" s="33">
        <v>0</v>
      </c>
      <c r="AJ63" s="33">
        <v>0</v>
      </c>
      <c r="AK63" s="32">
        <v>0.05</v>
      </c>
      <c r="AL63" s="32">
        <v>0</v>
      </c>
      <c r="AM63" s="33">
        <v>-9.95</v>
      </c>
      <c r="AN63" s="33">
        <v>199</v>
      </c>
      <c r="AO63" s="32">
        <v>199</v>
      </c>
      <c r="AP63" s="32">
        <v>0</v>
      </c>
      <c r="AQ63" s="34" t="s">
        <v>101</v>
      </c>
      <c r="AR63" s="32">
        <v>0</v>
      </c>
      <c r="AS63" s="32">
        <v>0.006</v>
      </c>
      <c r="AT63" s="33">
        <v>-1.19</v>
      </c>
      <c r="AU63" s="35" t="s">
        <v>148</v>
      </c>
      <c r="AV63" s="38" t="s">
        <v>1752</v>
      </c>
      <c r="AW63" s="38" t="s">
        <v>1753</v>
      </c>
      <c r="AX63" s="35"/>
      <c r="AY63" s="35"/>
      <c r="AZ63" s="33">
        <v>0</v>
      </c>
      <c r="BA63" s="32">
        <v>0</v>
      </c>
      <c r="BB63" s="32">
        <v>0</v>
      </c>
      <c r="BC63" s="32">
        <v>0</v>
      </c>
      <c r="BD63" s="32">
        <v>0</v>
      </c>
      <c r="BE63" s="35"/>
    </row>
    <row r="64" customHeight="1" spans="1:57">
      <c r="A64" s="25">
        <f t="shared" si="0"/>
        <v>2025</v>
      </c>
      <c r="B64" s="26">
        <f t="shared" si="1"/>
        <v>8</v>
      </c>
      <c r="C64" s="26" t="str">
        <f t="shared" si="2"/>
        <v>P770797313602194761</v>
      </c>
      <c r="D64" s="26">
        <f t="shared" si="3"/>
        <v>2</v>
      </c>
      <c r="E64" s="26">
        <f>COUNTIF($R$2:R64,R64)</f>
        <v>1</v>
      </c>
      <c r="F64" s="27" t="str" cm="1">
        <f t="array" ref="F64">INDEX('小红书-订单明细'!BQ:BQ,MATCH(R64&amp;AC64,'小红书-订单明细'!A:A&amp;'小红书-订单明细'!O:O,0))</f>
        <v>Z1744-黑色-L</v>
      </c>
      <c r="G64" s="27" t="str">
        <f t="shared" si="4"/>
        <v>Z1744</v>
      </c>
      <c r="H64" s="26" cm="1">
        <f t="array" ref="H64">IF(ABS(BG64)&gt;=1,SUM(AF64,AH64:AI64)/(INDEX('小红书-订单明细'!W:W,MATCH(R64&amp;AC64,'小红书-订单明细'!A:A&amp;'小红书-订单明细'!O:O,0))/(INDEX('小红书-订单明细'!T:T,MATCH(R64&amp;AC64,'小红书-订单明细'!A:A&amp;'小红书-订单明细'!O:O,0)))),IF(ABS(SUM(AF64,AH64:AI64)/(INDEX('小红书-订单明细'!W:W,MATCH(R64&amp;AC64,'小红书-订单明细'!A:A&amp;'小红书-订单明细'!O:O,0))/(INDEX('小红书-订单明细'!T:T,MATCH(R64&amp;AC64,'小红书-订单明细'!A:A&amp;'小红书-订单明细'!O:O,0)))))&gt;15%,ROUNDUP(SUM(AF64,AH64:AI64)/(INDEX('小红书-订单明细'!W:W,MATCH(R64&amp;AC64,'小红书-订单明细'!A:A&amp;'小红书-订单明细'!O:O,0))/(INDEX('小红书-订单明细'!T:T,MATCH(R64&amp;AC64,'小红书-订单明细'!A:A&amp;'小红书-订单明细'!O:O,0)))),0),ROUNDDOWN(SUM(AF64,AH64:AI64)/(INDEX('小红书-订单明细'!W:W,MATCH(R64&amp;AC64,'小红书-订单明细'!A:A&amp;'小红书-订单明细'!O:O,0))/(INDEX('小红书-订单明细'!T:T,MATCH(R64&amp;AC64,'小红书-订单明细'!A:A&amp;'小红书-订单明细'!O:O,0)))),0)))</f>
        <v>-1</v>
      </c>
      <c r="I64" s="26">
        <f t="shared" si="5"/>
        <v>-289</v>
      </c>
      <c r="J64" s="26">
        <f t="shared" si="6"/>
        <v>0</v>
      </c>
      <c r="K64" s="26">
        <f t="shared" si="7"/>
        <v>0</v>
      </c>
      <c r="L64" s="26">
        <f t="shared" si="8"/>
        <v>-14.45</v>
      </c>
      <c r="M64" s="26">
        <f t="shared" si="9"/>
        <v>-1.73</v>
      </c>
      <c r="N64" s="26"/>
      <c r="O64" s="28">
        <f t="shared" si="10"/>
        <v>-272.82</v>
      </c>
      <c r="Q64" s="1" cm="1">
        <f t="array" ref="Q64">SUM(AF64,AH64:AI64)/(INDEX('小红书-订单明细'!W:W,MATCH(R64&amp;AC64,'小红书-订单明细'!A:A&amp;'小红书-订单明细'!O:O,0))/(INDEX('小红书-订单明细'!T:T,MATCH(R64&amp;AC64,'小红书-订单明细'!A:A&amp;'小红书-订单明细'!O:O,0))))</f>
        <v>-1</v>
      </c>
      <c r="R64" s="37" t="s">
        <v>841</v>
      </c>
      <c r="S64" s="35" t="s">
        <v>1875</v>
      </c>
      <c r="T64" s="35" t="s">
        <v>856</v>
      </c>
      <c r="U64" s="35" t="s">
        <v>1876</v>
      </c>
      <c r="V64" s="35" t="s">
        <v>1877</v>
      </c>
      <c r="W64" s="38" t="s">
        <v>1748</v>
      </c>
      <c r="X64" s="38" t="s">
        <v>1749</v>
      </c>
      <c r="Y64" s="35">
        <v>-272.82</v>
      </c>
      <c r="Z64" s="31" t="s">
        <v>1878</v>
      </c>
      <c r="AA64" s="38" t="s">
        <v>1879</v>
      </c>
      <c r="AB64" s="35" t="s">
        <v>850</v>
      </c>
      <c r="AC64" s="37" t="s">
        <v>851</v>
      </c>
      <c r="AD64" s="32">
        <v>0</v>
      </c>
      <c r="AE64" s="35">
        <v>-289</v>
      </c>
      <c r="AF64" s="37">
        <v>-289</v>
      </c>
      <c r="AG64" s="35">
        <v>0</v>
      </c>
      <c r="AH64" s="35">
        <v>0</v>
      </c>
      <c r="AI64" s="33">
        <v>0</v>
      </c>
      <c r="AJ64" s="33">
        <v>0</v>
      </c>
      <c r="AK64" s="32">
        <v>0</v>
      </c>
      <c r="AL64" s="32">
        <v>0</v>
      </c>
      <c r="AM64" s="33">
        <v>14.45</v>
      </c>
      <c r="AN64" s="33">
        <v>0</v>
      </c>
      <c r="AO64" s="32">
        <v>0</v>
      </c>
      <c r="AP64" s="32">
        <v>0</v>
      </c>
      <c r="AQ64" s="34" t="s">
        <v>101</v>
      </c>
      <c r="AR64" s="32">
        <v>0</v>
      </c>
      <c r="AS64" s="32">
        <v>0</v>
      </c>
      <c r="AT64" s="33">
        <v>1.73</v>
      </c>
      <c r="AU64" s="35" t="s">
        <v>148</v>
      </c>
      <c r="AV64" s="38" t="s">
        <v>1752</v>
      </c>
      <c r="AW64" s="38" t="s">
        <v>1753</v>
      </c>
      <c r="AX64" s="35"/>
      <c r="AY64" s="35"/>
      <c r="AZ64" s="33">
        <v>0</v>
      </c>
      <c r="BA64" s="32">
        <v>0</v>
      </c>
      <c r="BB64" s="32">
        <v>0</v>
      </c>
      <c r="BC64" s="32">
        <v>0</v>
      </c>
      <c r="BD64" s="32">
        <v>0</v>
      </c>
      <c r="BE64" s="35"/>
    </row>
    <row r="65" customHeight="1" spans="1:57">
      <c r="A65" s="25">
        <f t="shared" si="0"/>
        <v>2025</v>
      </c>
      <c r="B65" s="26">
        <f t="shared" si="1"/>
        <v>8</v>
      </c>
      <c r="C65" s="26" t="str">
        <f t="shared" si="2"/>
        <v>P770797313602194761</v>
      </c>
      <c r="D65" s="26">
        <f t="shared" si="3"/>
        <v>2</v>
      </c>
      <c r="E65" s="26">
        <f>COUNTIF($R$2:R65,R65)</f>
        <v>2</v>
      </c>
      <c r="F65" s="27" t="str" cm="1">
        <f t="array" ref="F65">INDEX('小红书-订单明细'!BQ:BQ,MATCH(R65&amp;AC65,'小红书-订单明细'!A:A&amp;'小红书-订单明细'!O:O,0))</f>
        <v>Z1744-黑色-L</v>
      </c>
      <c r="G65" s="27" t="str">
        <f t="shared" si="4"/>
        <v>Z1744</v>
      </c>
      <c r="H65" s="26" cm="1">
        <f t="array" ref="H65">IF(ABS(BG65)&gt;=1,SUM(AF65,AH65:AI65)/(INDEX('小红书-订单明细'!W:W,MATCH(R65&amp;AC65,'小红书-订单明细'!A:A&amp;'小红书-订单明细'!O:O,0))/(INDEX('小红书-订单明细'!T:T,MATCH(R65&amp;AC65,'小红书-订单明细'!A:A&amp;'小红书-订单明细'!O:O,0)))),IF(ABS(SUM(AF65,AH65:AI65)/(INDEX('小红书-订单明细'!W:W,MATCH(R65&amp;AC65,'小红书-订单明细'!A:A&amp;'小红书-订单明细'!O:O,0))/(INDEX('小红书-订单明细'!T:T,MATCH(R65&amp;AC65,'小红书-订单明细'!A:A&amp;'小红书-订单明细'!O:O,0)))))&gt;15%,ROUNDUP(SUM(AF65,AH65:AI65)/(INDEX('小红书-订单明细'!W:W,MATCH(R65&amp;AC65,'小红书-订单明细'!A:A&amp;'小红书-订单明细'!O:O,0))/(INDEX('小红书-订单明细'!T:T,MATCH(R65&amp;AC65,'小红书-订单明细'!A:A&amp;'小红书-订单明细'!O:O,0)))),0),ROUNDDOWN(SUM(AF65,AH65:AI65)/(INDEX('小红书-订单明细'!W:W,MATCH(R65&amp;AC65,'小红书-订单明细'!A:A&amp;'小红书-订单明细'!O:O,0))/(INDEX('小红书-订单明细'!T:T,MATCH(R65&amp;AC65,'小红书-订单明细'!A:A&amp;'小红书-订单明细'!O:O,0)))),0)))</f>
        <v>1</v>
      </c>
      <c r="I65" s="26">
        <f t="shared" si="5"/>
        <v>289</v>
      </c>
      <c r="J65" s="26">
        <f t="shared" si="6"/>
        <v>0</v>
      </c>
      <c r="K65" s="26">
        <f t="shared" si="7"/>
        <v>0</v>
      </c>
      <c r="L65" s="26">
        <f t="shared" si="8"/>
        <v>14.45</v>
      </c>
      <c r="M65" s="26">
        <f t="shared" si="9"/>
        <v>1.73</v>
      </c>
      <c r="N65" s="26"/>
      <c r="O65" s="28">
        <f t="shared" si="10"/>
        <v>272.82</v>
      </c>
      <c r="Q65" s="1" cm="1">
        <f t="array" ref="Q65">SUM(AF65,AH65:AI65)/(INDEX('小红书-订单明细'!W:W,MATCH(R65&amp;AC65,'小红书-订单明细'!A:A&amp;'小红书-订单明细'!O:O,0))/(INDEX('小红书-订单明细'!T:T,MATCH(R65&amp;AC65,'小红书-订单明细'!A:A&amp;'小红书-订单明细'!O:O,0))))</f>
        <v>1</v>
      </c>
      <c r="R65" s="37" t="s">
        <v>841</v>
      </c>
      <c r="S65" s="35"/>
      <c r="T65" s="35" t="s">
        <v>856</v>
      </c>
      <c r="U65" s="35" t="s">
        <v>1880</v>
      </c>
      <c r="V65" s="35" t="s">
        <v>1877</v>
      </c>
      <c r="W65" s="38" t="s">
        <v>1755</v>
      </c>
      <c r="X65" s="38" t="s">
        <v>1749</v>
      </c>
      <c r="Y65" s="35">
        <v>272.82</v>
      </c>
      <c r="Z65" s="31" t="s">
        <v>1878</v>
      </c>
      <c r="AA65" s="38" t="s">
        <v>1879</v>
      </c>
      <c r="AB65" s="35" t="s">
        <v>850</v>
      </c>
      <c r="AC65" s="37" t="s">
        <v>851</v>
      </c>
      <c r="AD65" s="32">
        <v>1</v>
      </c>
      <c r="AE65" s="35">
        <v>289</v>
      </c>
      <c r="AF65" s="36">
        <v>289</v>
      </c>
      <c r="AG65" s="35" t="s">
        <v>75</v>
      </c>
      <c r="AH65" s="35">
        <v>0</v>
      </c>
      <c r="AI65" s="33">
        <v>0</v>
      </c>
      <c r="AJ65" s="33">
        <v>0</v>
      </c>
      <c r="AK65" s="32">
        <v>0.05</v>
      </c>
      <c r="AL65" s="32">
        <v>0</v>
      </c>
      <c r="AM65" s="33">
        <v>-14.45</v>
      </c>
      <c r="AN65" s="33">
        <v>289</v>
      </c>
      <c r="AO65" s="32">
        <v>289</v>
      </c>
      <c r="AP65" s="32">
        <v>0</v>
      </c>
      <c r="AQ65" s="34" t="s">
        <v>101</v>
      </c>
      <c r="AR65" s="32">
        <v>0</v>
      </c>
      <c r="AS65" s="32">
        <v>0.006</v>
      </c>
      <c r="AT65" s="33">
        <v>-1.73</v>
      </c>
      <c r="AU65" s="35" t="s">
        <v>148</v>
      </c>
      <c r="AV65" s="38" t="s">
        <v>1752</v>
      </c>
      <c r="AW65" s="38" t="s">
        <v>1753</v>
      </c>
      <c r="AX65" s="35"/>
      <c r="AY65" s="35"/>
      <c r="AZ65" s="33">
        <v>0</v>
      </c>
      <c r="BA65" s="32">
        <v>0</v>
      </c>
      <c r="BB65" s="32">
        <v>0</v>
      </c>
      <c r="BC65" s="32">
        <v>0</v>
      </c>
      <c r="BD65" s="32">
        <v>0</v>
      </c>
      <c r="BE65" s="35"/>
    </row>
    <row r="66" customHeight="1" spans="1:57">
      <c r="A66" s="25">
        <f t="shared" ref="A66:A129" si="11">YEAR(V66)</f>
        <v>2025</v>
      </c>
      <c r="B66" s="26">
        <f t="shared" ref="B66:B129" si="12">MONTH(V66)</f>
        <v>8</v>
      </c>
      <c r="C66" s="26" t="str">
        <f t="shared" ref="C66:C129" si="13">R66</f>
        <v>P770990197404134041</v>
      </c>
      <c r="D66" s="26">
        <f t="shared" ref="D66:D129" si="14">COUNTIF(R:R,R66)</f>
        <v>2</v>
      </c>
      <c r="E66" s="26">
        <f>COUNTIF($R$2:R66,R66)</f>
        <v>1</v>
      </c>
      <c r="F66" s="27" t="str" cm="1">
        <f t="array" ref="F66">INDEX('小红书-订单明细'!BQ:BQ,MATCH(R66&amp;AC66,'小红书-订单明细'!A:A&amp;'小红书-订单明细'!O:O,0))</f>
        <v>Z2308-黑色-M</v>
      </c>
      <c r="G66" s="27" t="str">
        <f t="shared" ref="G66:G129" si="15">LEFT(F66,FIND("-",F66)-1)</f>
        <v>Z2308</v>
      </c>
      <c r="H66" s="26" cm="1">
        <f t="array" ref="H66">IF(ABS(BG66)&gt;=1,SUM(AF66,AH66:AI66)/(INDEX('小红书-订单明细'!W:W,MATCH(R66&amp;AC66,'小红书-订单明细'!A:A&amp;'小红书-订单明细'!O:O,0))/(INDEX('小红书-订单明细'!T:T,MATCH(R66&amp;AC66,'小红书-订单明细'!A:A&amp;'小红书-订单明细'!O:O,0)))),IF(ABS(SUM(AF66,AH66:AI66)/(INDEX('小红书-订单明细'!W:W,MATCH(R66&amp;AC66,'小红书-订单明细'!A:A&amp;'小红书-订单明细'!O:O,0))/(INDEX('小红书-订单明细'!T:T,MATCH(R66&amp;AC66,'小红书-订单明细'!A:A&amp;'小红书-订单明细'!O:O,0)))))&gt;15%,ROUNDUP(SUM(AF66,AH66:AI66)/(INDEX('小红书-订单明细'!W:W,MATCH(R66&amp;AC66,'小红书-订单明细'!A:A&amp;'小红书-订单明细'!O:O,0))/(INDEX('小红书-订单明细'!T:T,MATCH(R66&amp;AC66,'小红书-订单明细'!A:A&amp;'小红书-订单明细'!O:O,0)))),0),ROUNDDOWN(SUM(AF66,AH66:AI66)/(INDEX('小红书-订单明细'!W:W,MATCH(R66&amp;AC66,'小红书-订单明细'!A:A&amp;'小红书-订单明细'!O:O,0))/(INDEX('小红书-订单明细'!T:T,MATCH(R66&amp;AC66,'小红书-订单明细'!A:A&amp;'小红书-订单明细'!O:O,0)))),0)))</f>
        <v>-1</v>
      </c>
      <c r="I66" s="26">
        <f t="shared" ref="I66:I129" si="16">AF66</f>
        <v>-339</v>
      </c>
      <c r="J66" s="26">
        <f t="shared" ref="J66:J129" si="17">AI66+AJ66</f>
        <v>0</v>
      </c>
      <c r="K66" s="26">
        <f t="shared" ref="K66:K129" si="18">IF(AZ66&lt;=0,AZ66,AZ66/COUNTIFS(R:R,R66,AZ:AZ,"&gt;0"))</f>
        <v>0</v>
      </c>
      <c r="L66" s="26">
        <f t="shared" ref="L66:L129" si="19">-AM66</f>
        <v>-16.95</v>
      </c>
      <c r="M66" s="26">
        <f t="shared" ref="M66:M129" si="20">-AT66</f>
        <v>-2.03</v>
      </c>
      <c r="N66" s="26"/>
      <c r="O66" s="28">
        <f t="shared" ref="O66:O129" si="21">I66+J66+K66-L66-M66-N66</f>
        <v>-320.02</v>
      </c>
      <c r="Q66" s="1" cm="1">
        <f t="array" ref="Q66">SUM(AF66,AH66:AI66)/(INDEX('小红书-订单明细'!W:W,MATCH(R66&amp;AC66,'小红书-订单明细'!A:A&amp;'小红书-订单明细'!O:O,0))/(INDEX('小红书-订单明细'!T:T,MATCH(R66&amp;AC66,'小红书-订单明细'!A:A&amp;'小红书-订单明细'!O:O,0))))</f>
        <v>-1</v>
      </c>
      <c r="R66" s="37" t="s">
        <v>173</v>
      </c>
      <c r="S66" s="35" t="s">
        <v>1881</v>
      </c>
      <c r="T66" s="35" t="s">
        <v>187</v>
      </c>
      <c r="U66" s="35" t="s">
        <v>1882</v>
      </c>
      <c r="V66" s="35" t="s">
        <v>1883</v>
      </c>
      <c r="W66" s="38" t="s">
        <v>1748</v>
      </c>
      <c r="X66" s="38" t="s">
        <v>1749</v>
      </c>
      <c r="Y66" s="35">
        <v>-320.02</v>
      </c>
      <c r="Z66" s="31" t="s">
        <v>1884</v>
      </c>
      <c r="AA66" s="38" t="s">
        <v>1751</v>
      </c>
      <c r="AB66" s="35" t="s">
        <v>180</v>
      </c>
      <c r="AC66" s="37" t="s">
        <v>181</v>
      </c>
      <c r="AD66" s="32">
        <v>0</v>
      </c>
      <c r="AE66" s="35">
        <v>-339</v>
      </c>
      <c r="AF66" s="37">
        <v>-339</v>
      </c>
      <c r="AG66" s="35">
        <v>0</v>
      </c>
      <c r="AH66" s="35">
        <v>0</v>
      </c>
      <c r="AI66" s="33">
        <v>0</v>
      </c>
      <c r="AJ66" s="33">
        <v>0</v>
      </c>
      <c r="AK66" s="32">
        <v>0</v>
      </c>
      <c r="AL66" s="32">
        <v>0</v>
      </c>
      <c r="AM66" s="33">
        <v>16.95</v>
      </c>
      <c r="AN66" s="33">
        <v>0</v>
      </c>
      <c r="AO66" s="32">
        <v>0</v>
      </c>
      <c r="AP66" s="32">
        <v>0</v>
      </c>
      <c r="AQ66" s="34" t="s">
        <v>101</v>
      </c>
      <c r="AR66" s="32">
        <v>0</v>
      </c>
      <c r="AS66" s="32">
        <v>0</v>
      </c>
      <c r="AT66" s="33">
        <v>2.03</v>
      </c>
      <c r="AU66" s="35" t="s">
        <v>148</v>
      </c>
      <c r="AV66" s="38" t="s">
        <v>1752</v>
      </c>
      <c r="AW66" s="38" t="s">
        <v>1753</v>
      </c>
      <c r="AX66" s="35"/>
      <c r="AY66" s="35"/>
      <c r="AZ66" s="33">
        <v>0</v>
      </c>
      <c r="BA66" s="32">
        <v>0</v>
      </c>
      <c r="BB66" s="32">
        <v>0</v>
      </c>
      <c r="BC66" s="32">
        <v>0</v>
      </c>
      <c r="BD66" s="32">
        <v>0</v>
      </c>
      <c r="BE66" s="35"/>
    </row>
    <row r="67" customHeight="1" spans="1:57">
      <c r="A67" s="25">
        <f t="shared" si="11"/>
        <v>2025</v>
      </c>
      <c r="B67" s="26">
        <f t="shared" si="12"/>
        <v>8</v>
      </c>
      <c r="C67" s="26" t="str">
        <f t="shared" si="13"/>
        <v>P770798353781374661</v>
      </c>
      <c r="D67" s="26">
        <f t="shared" si="14"/>
        <v>2</v>
      </c>
      <c r="E67" s="26">
        <f>COUNTIF($R$2:R67,R67)</f>
        <v>1</v>
      </c>
      <c r="F67" s="27" t="str" cm="1">
        <f t="array" ref="F67">INDEX('小红书-订单明细'!BQ:BQ,MATCH(R67&amp;AC67,'小红书-订单明细'!A:A&amp;'小红书-订单明细'!O:O,0))</f>
        <v>Z2378-灰色-S</v>
      </c>
      <c r="G67" s="27" t="str">
        <f t="shared" si="15"/>
        <v>Z2378</v>
      </c>
      <c r="H67" s="26" cm="1">
        <f t="array" ref="H67">IF(ABS(BG67)&gt;=1,SUM(AF67,AH67:AI67)/(INDEX('小红书-订单明细'!W:W,MATCH(R67&amp;AC67,'小红书-订单明细'!A:A&amp;'小红书-订单明细'!O:O,0))/(INDEX('小红书-订单明细'!T:T,MATCH(R67&amp;AC67,'小红书-订单明细'!A:A&amp;'小红书-订单明细'!O:O,0)))),IF(ABS(SUM(AF67,AH67:AI67)/(INDEX('小红书-订单明细'!W:W,MATCH(R67&amp;AC67,'小红书-订单明细'!A:A&amp;'小红书-订单明细'!O:O,0))/(INDEX('小红书-订单明细'!T:T,MATCH(R67&amp;AC67,'小红书-订单明细'!A:A&amp;'小红书-订单明细'!O:O,0)))))&gt;15%,ROUNDUP(SUM(AF67,AH67:AI67)/(INDEX('小红书-订单明细'!W:W,MATCH(R67&amp;AC67,'小红书-订单明细'!A:A&amp;'小红书-订单明细'!O:O,0))/(INDEX('小红书-订单明细'!T:T,MATCH(R67&amp;AC67,'小红书-订单明细'!A:A&amp;'小红书-订单明细'!O:O,0)))),0),ROUNDDOWN(SUM(AF67,AH67:AI67)/(INDEX('小红书-订单明细'!W:W,MATCH(R67&amp;AC67,'小红书-订单明细'!A:A&amp;'小红书-订单明细'!O:O,0))/(INDEX('小红书-订单明细'!T:T,MATCH(R67&amp;AC67,'小红书-订单明细'!A:A&amp;'小红书-订单明细'!O:O,0)))),0)))</f>
        <v>-1</v>
      </c>
      <c r="I67" s="26">
        <f t="shared" si="16"/>
        <v>-179</v>
      </c>
      <c r="J67" s="26">
        <f t="shared" si="17"/>
        <v>0</v>
      </c>
      <c r="K67" s="26">
        <f t="shared" si="18"/>
        <v>0</v>
      </c>
      <c r="L67" s="26">
        <f t="shared" si="19"/>
        <v>-8.95</v>
      </c>
      <c r="M67" s="26">
        <f t="shared" si="20"/>
        <v>-1.07</v>
      </c>
      <c r="N67" s="26"/>
      <c r="O67" s="28">
        <f t="shared" si="21"/>
        <v>-168.98</v>
      </c>
      <c r="Q67" s="1" cm="1">
        <f t="array" ref="Q67">SUM(AF67,AH67:AI67)/(INDEX('小红书-订单明细'!W:W,MATCH(R67&amp;AC67,'小红书-订单明细'!A:A&amp;'小红书-订单明细'!O:O,0))/(INDEX('小红书-订单明细'!T:T,MATCH(R67&amp;AC67,'小红书-订单明细'!A:A&amp;'小红书-订单明细'!O:O,0))))</f>
        <v>-1</v>
      </c>
      <c r="R67" s="37" t="s">
        <v>751</v>
      </c>
      <c r="S67" s="35" t="s">
        <v>1885</v>
      </c>
      <c r="T67" s="35" t="s">
        <v>1886</v>
      </c>
      <c r="U67" s="35" t="s">
        <v>1887</v>
      </c>
      <c r="V67" s="35" t="s">
        <v>1883</v>
      </c>
      <c r="W67" s="38" t="s">
        <v>1748</v>
      </c>
      <c r="X67" s="38" t="s">
        <v>1749</v>
      </c>
      <c r="Y67" s="35">
        <v>-168.98</v>
      </c>
      <c r="Z67" s="31" t="s">
        <v>1848</v>
      </c>
      <c r="AA67" s="38" t="s">
        <v>1773</v>
      </c>
      <c r="AB67" s="35" t="s">
        <v>432</v>
      </c>
      <c r="AC67" s="37" t="s">
        <v>433</v>
      </c>
      <c r="AD67" s="32">
        <v>0</v>
      </c>
      <c r="AE67" s="35">
        <v>-179</v>
      </c>
      <c r="AF67" s="37">
        <v>-179</v>
      </c>
      <c r="AG67" s="35">
        <v>0</v>
      </c>
      <c r="AH67" s="35">
        <v>0</v>
      </c>
      <c r="AI67" s="33">
        <v>0</v>
      </c>
      <c r="AJ67" s="33">
        <v>0</v>
      </c>
      <c r="AK67" s="32">
        <v>0</v>
      </c>
      <c r="AL67" s="32">
        <v>0</v>
      </c>
      <c r="AM67" s="33">
        <v>8.95</v>
      </c>
      <c r="AN67" s="33">
        <v>0</v>
      </c>
      <c r="AO67" s="32">
        <v>0</v>
      </c>
      <c r="AP67" s="32">
        <v>0</v>
      </c>
      <c r="AQ67" s="34" t="s">
        <v>101</v>
      </c>
      <c r="AR67" s="32">
        <v>0</v>
      </c>
      <c r="AS67" s="32">
        <v>0</v>
      </c>
      <c r="AT67" s="33">
        <v>1.07</v>
      </c>
      <c r="AU67" s="35" t="s">
        <v>148</v>
      </c>
      <c r="AV67" s="38" t="s">
        <v>1752</v>
      </c>
      <c r="AW67" s="38" t="s">
        <v>1753</v>
      </c>
      <c r="AX67" s="35"/>
      <c r="AY67" s="35"/>
      <c r="AZ67" s="33">
        <v>0</v>
      </c>
      <c r="BA67" s="32">
        <v>0</v>
      </c>
      <c r="BB67" s="32">
        <v>0</v>
      </c>
      <c r="BC67" s="32">
        <v>0</v>
      </c>
      <c r="BD67" s="32">
        <v>0</v>
      </c>
      <c r="BE67" s="35"/>
    </row>
    <row r="68" customHeight="1" spans="1:57">
      <c r="A68" s="25">
        <f t="shared" si="11"/>
        <v>2025</v>
      </c>
      <c r="B68" s="26">
        <f t="shared" si="12"/>
        <v>8</v>
      </c>
      <c r="C68" s="26" t="str">
        <f t="shared" si="13"/>
        <v>P770990197404134041</v>
      </c>
      <c r="D68" s="26">
        <f t="shared" si="14"/>
        <v>2</v>
      </c>
      <c r="E68" s="26">
        <f>COUNTIF($R$2:R68,R68)</f>
        <v>2</v>
      </c>
      <c r="F68" s="27" t="str" cm="1">
        <f t="array" ref="F68">INDEX('小红书-订单明细'!BQ:BQ,MATCH(R68&amp;AC68,'小红书-订单明细'!A:A&amp;'小红书-订单明细'!O:O,0))</f>
        <v>Z2308-黑色-M</v>
      </c>
      <c r="G68" s="27" t="str">
        <f t="shared" si="15"/>
        <v>Z2308</v>
      </c>
      <c r="H68" s="26" cm="1">
        <f t="array" ref="H68">IF(ABS(BG68)&gt;=1,SUM(AF68,AH68:AI68)/(INDEX('小红书-订单明细'!W:W,MATCH(R68&amp;AC68,'小红书-订单明细'!A:A&amp;'小红书-订单明细'!O:O,0))/(INDEX('小红书-订单明细'!T:T,MATCH(R68&amp;AC68,'小红书-订单明细'!A:A&amp;'小红书-订单明细'!O:O,0)))),IF(ABS(SUM(AF68,AH68:AI68)/(INDEX('小红书-订单明细'!W:W,MATCH(R68&amp;AC68,'小红书-订单明细'!A:A&amp;'小红书-订单明细'!O:O,0))/(INDEX('小红书-订单明细'!T:T,MATCH(R68&amp;AC68,'小红书-订单明细'!A:A&amp;'小红书-订单明细'!O:O,0)))))&gt;15%,ROUNDUP(SUM(AF68,AH68:AI68)/(INDEX('小红书-订单明细'!W:W,MATCH(R68&amp;AC68,'小红书-订单明细'!A:A&amp;'小红书-订单明细'!O:O,0))/(INDEX('小红书-订单明细'!T:T,MATCH(R68&amp;AC68,'小红书-订单明细'!A:A&amp;'小红书-订单明细'!O:O,0)))),0),ROUNDDOWN(SUM(AF68,AH68:AI68)/(INDEX('小红书-订单明细'!W:W,MATCH(R68&amp;AC68,'小红书-订单明细'!A:A&amp;'小红书-订单明细'!O:O,0))/(INDEX('小红书-订单明细'!T:T,MATCH(R68&amp;AC68,'小红书-订单明细'!A:A&amp;'小红书-订单明细'!O:O,0)))),0)))</f>
        <v>1</v>
      </c>
      <c r="I68" s="26">
        <f t="shared" si="16"/>
        <v>339</v>
      </c>
      <c r="J68" s="26">
        <f t="shared" si="17"/>
        <v>0</v>
      </c>
      <c r="K68" s="26">
        <f t="shared" si="18"/>
        <v>0</v>
      </c>
      <c r="L68" s="26">
        <f t="shared" si="19"/>
        <v>16.95</v>
      </c>
      <c r="M68" s="26">
        <f t="shared" si="20"/>
        <v>2.03</v>
      </c>
      <c r="N68" s="26"/>
      <c r="O68" s="28">
        <f t="shared" si="21"/>
        <v>320.02</v>
      </c>
      <c r="Q68" s="1" cm="1">
        <f t="array" ref="Q68">SUM(AF68,AH68:AI68)/(INDEX('小红书-订单明细'!W:W,MATCH(R68&amp;AC68,'小红书-订单明细'!A:A&amp;'小红书-订单明细'!O:O,0))/(INDEX('小红书-订单明细'!T:T,MATCH(R68&amp;AC68,'小红书-订单明细'!A:A&amp;'小红书-订单明细'!O:O,0))))</f>
        <v>1</v>
      </c>
      <c r="R68" s="37" t="s">
        <v>173</v>
      </c>
      <c r="S68" s="35"/>
      <c r="T68" s="35" t="s">
        <v>187</v>
      </c>
      <c r="U68" s="35" t="s">
        <v>1888</v>
      </c>
      <c r="V68" s="35" t="s">
        <v>1883</v>
      </c>
      <c r="W68" s="38" t="s">
        <v>1755</v>
      </c>
      <c r="X68" s="38" t="s">
        <v>1749</v>
      </c>
      <c r="Y68" s="35">
        <v>320.02</v>
      </c>
      <c r="Z68" s="31" t="s">
        <v>1884</v>
      </c>
      <c r="AA68" s="38" t="s">
        <v>1751</v>
      </c>
      <c r="AB68" s="35" t="s">
        <v>180</v>
      </c>
      <c r="AC68" s="37" t="s">
        <v>181</v>
      </c>
      <c r="AD68" s="32">
        <v>1</v>
      </c>
      <c r="AE68" s="35">
        <v>339</v>
      </c>
      <c r="AF68" s="36">
        <v>339</v>
      </c>
      <c r="AG68" s="35" t="s">
        <v>75</v>
      </c>
      <c r="AH68" s="35">
        <v>0</v>
      </c>
      <c r="AI68" s="33">
        <v>0</v>
      </c>
      <c r="AJ68" s="33">
        <v>0</v>
      </c>
      <c r="AK68" s="32">
        <v>0.05</v>
      </c>
      <c r="AL68" s="32">
        <v>0</v>
      </c>
      <c r="AM68" s="33">
        <v>-16.95</v>
      </c>
      <c r="AN68" s="33">
        <v>339</v>
      </c>
      <c r="AO68" s="32">
        <v>339</v>
      </c>
      <c r="AP68" s="32">
        <v>0</v>
      </c>
      <c r="AQ68" s="34" t="s">
        <v>101</v>
      </c>
      <c r="AR68" s="32">
        <v>0</v>
      </c>
      <c r="AS68" s="32">
        <v>0.006</v>
      </c>
      <c r="AT68" s="33">
        <v>-2.03</v>
      </c>
      <c r="AU68" s="35" t="s">
        <v>148</v>
      </c>
      <c r="AV68" s="38" t="s">
        <v>1752</v>
      </c>
      <c r="AW68" s="38" t="s">
        <v>1753</v>
      </c>
      <c r="AX68" s="35"/>
      <c r="AY68" s="35"/>
      <c r="AZ68" s="33">
        <v>0</v>
      </c>
      <c r="BA68" s="32">
        <v>0</v>
      </c>
      <c r="BB68" s="32">
        <v>0</v>
      </c>
      <c r="BC68" s="32">
        <v>0</v>
      </c>
      <c r="BD68" s="32">
        <v>0</v>
      </c>
      <c r="BE68" s="35"/>
    </row>
    <row r="69" customHeight="1" spans="1:57">
      <c r="A69" s="25">
        <f t="shared" si="11"/>
        <v>2025</v>
      </c>
      <c r="B69" s="26">
        <f t="shared" si="12"/>
        <v>8</v>
      </c>
      <c r="C69" s="26" t="str">
        <f t="shared" si="13"/>
        <v>P770798353781374661</v>
      </c>
      <c r="D69" s="26">
        <f t="shared" si="14"/>
        <v>2</v>
      </c>
      <c r="E69" s="26">
        <f>COUNTIF($R$2:R69,R69)</f>
        <v>2</v>
      </c>
      <c r="F69" s="27" t="str" cm="1">
        <f t="array" ref="F69">INDEX('小红书-订单明细'!BQ:BQ,MATCH(R69&amp;AC69,'小红书-订单明细'!A:A&amp;'小红书-订单明细'!O:O,0))</f>
        <v>Z2378-灰色-S</v>
      </c>
      <c r="G69" s="27" t="str">
        <f t="shared" si="15"/>
        <v>Z2378</v>
      </c>
      <c r="H69" s="26" cm="1">
        <f t="array" ref="H69">IF(ABS(BG69)&gt;=1,SUM(AF69,AH69:AI69)/(INDEX('小红书-订单明细'!W:W,MATCH(R69&amp;AC69,'小红书-订单明细'!A:A&amp;'小红书-订单明细'!O:O,0))/(INDEX('小红书-订单明细'!T:T,MATCH(R69&amp;AC69,'小红书-订单明细'!A:A&amp;'小红书-订单明细'!O:O,0)))),IF(ABS(SUM(AF69,AH69:AI69)/(INDEX('小红书-订单明细'!W:W,MATCH(R69&amp;AC69,'小红书-订单明细'!A:A&amp;'小红书-订单明细'!O:O,0))/(INDEX('小红书-订单明细'!T:T,MATCH(R69&amp;AC69,'小红书-订单明细'!A:A&amp;'小红书-订单明细'!O:O,0)))))&gt;15%,ROUNDUP(SUM(AF69,AH69:AI69)/(INDEX('小红书-订单明细'!W:W,MATCH(R69&amp;AC69,'小红书-订单明细'!A:A&amp;'小红书-订单明细'!O:O,0))/(INDEX('小红书-订单明细'!T:T,MATCH(R69&amp;AC69,'小红书-订单明细'!A:A&amp;'小红书-订单明细'!O:O,0)))),0),ROUNDDOWN(SUM(AF69,AH69:AI69)/(INDEX('小红书-订单明细'!W:W,MATCH(R69&amp;AC69,'小红书-订单明细'!A:A&amp;'小红书-订单明细'!O:O,0))/(INDEX('小红书-订单明细'!T:T,MATCH(R69&amp;AC69,'小红书-订单明细'!A:A&amp;'小红书-订单明细'!O:O,0)))),0)))</f>
        <v>1</v>
      </c>
      <c r="I69" s="26">
        <f t="shared" si="16"/>
        <v>179</v>
      </c>
      <c r="J69" s="26">
        <f t="shared" si="17"/>
        <v>0</v>
      </c>
      <c r="K69" s="26">
        <f t="shared" si="18"/>
        <v>0</v>
      </c>
      <c r="L69" s="26">
        <f t="shared" si="19"/>
        <v>8.95</v>
      </c>
      <c r="M69" s="26">
        <f t="shared" si="20"/>
        <v>1.07</v>
      </c>
      <c r="N69" s="26"/>
      <c r="O69" s="28">
        <f t="shared" si="21"/>
        <v>168.98</v>
      </c>
      <c r="Q69" s="1" cm="1">
        <f t="array" ref="Q69">SUM(AF69,AH69:AI69)/(INDEX('小红书-订单明细'!W:W,MATCH(R69&amp;AC69,'小红书-订单明细'!A:A&amp;'小红书-订单明细'!O:O,0))/(INDEX('小红书-订单明细'!T:T,MATCH(R69&amp;AC69,'小红书-订单明细'!A:A&amp;'小红书-订单明细'!O:O,0))))</f>
        <v>1</v>
      </c>
      <c r="R69" s="37" t="s">
        <v>751</v>
      </c>
      <c r="S69" s="35"/>
      <c r="T69" s="35" t="s">
        <v>1886</v>
      </c>
      <c r="U69" s="35" t="s">
        <v>1889</v>
      </c>
      <c r="V69" s="35" t="s">
        <v>1883</v>
      </c>
      <c r="W69" s="38" t="s">
        <v>1755</v>
      </c>
      <c r="X69" s="38" t="s">
        <v>1749</v>
      </c>
      <c r="Y69" s="35">
        <v>168.98</v>
      </c>
      <c r="Z69" s="31" t="s">
        <v>1848</v>
      </c>
      <c r="AA69" s="38" t="s">
        <v>1773</v>
      </c>
      <c r="AB69" s="35" t="s">
        <v>432</v>
      </c>
      <c r="AC69" s="37" t="s">
        <v>433</v>
      </c>
      <c r="AD69" s="32">
        <v>1</v>
      </c>
      <c r="AE69" s="35">
        <v>179</v>
      </c>
      <c r="AF69" s="36">
        <v>179</v>
      </c>
      <c r="AG69" s="35" t="s">
        <v>75</v>
      </c>
      <c r="AH69" s="35">
        <v>0</v>
      </c>
      <c r="AI69" s="33">
        <v>0</v>
      </c>
      <c r="AJ69" s="33">
        <v>0</v>
      </c>
      <c r="AK69" s="32">
        <v>0.05</v>
      </c>
      <c r="AL69" s="32">
        <v>0</v>
      </c>
      <c r="AM69" s="33">
        <v>-8.95</v>
      </c>
      <c r="AN69" s="33">
        <v>179</v>
      </c>
      <c r="AO69" s="32">
        <v>179</v>
      </c>
      <c r="AP69" s="32">
        <v>0</v>
      </c>
      <c r="AQ69" s="34" t="s">
        <v>101</v>
      </c>
      <c r="AR69" s="32">
        <v>0</v>
      </c>
      <c r="AS69" s="32">
        <v>0.006</v>
      </c>
      <c r="AT69" s="33">
        <v>-1.07</v>
      </c>
      <c r="AU69" s="35" t="s">
        <v>148</v>
      </c>
      <c r="AV69" s="38" t="s">
        <v>1752</v>
      </c>
      <c r="AW69" s="38" t="s">
        <v>1753</v>
      </c>
      <c r="AX69" s="35"/>
      <c r="AY69" s="35"/>
      <c r="AZ69" s="33">
        <v>0</v>
      </c>
      <c r="BA69" s="32">
        <v>0</v>
      </c>
      <c r="BB69" s="32">
        <v>0</v>
      </c>
      <c r="BC69" s="32">
        <v>0</v>
      </c>
      <c r="BD69" s="32">
        <v>0</v>
      </c>
      <c r="BE69" s="35"/>
    </row>
    <row r="70" customHeight="1" spans="1:57">
      <c r="A70" s="25">
        <f t="shared" si="11"/>
        <v>2025</v>
      </c>
      <c r="B70" s="26">
        <f t="shared" si="12"/>
        <v>8</v>
      </c>
      <c r="C70" s="26" t="str">
        <f t="shared" si="13"/>
        <v>P770809432946213601</v>
      </c>
      <c r="D70" s="26">
        <f t="shared" si="14"/>
        <v>2</v>
      </c>
      <c r="E70" s="26">
        <f>COUNTIF($R$2:R70,R70)</f>
        <v>1</v>
      </c>
      <c r="F70" s="27" t="str" cm="1">
        <f t="array" ref="F70">INDEX('小红书-订单明细'!BQ:BQ,MATCH(R70&amp;AC70,'小红书-订单明细'!A:A&amp;'小红书-订单明细'!O:O,0))</f>
        <v>Z2365-灰色-M</v>
      </c>
      <c r="G70" s="27" t="str">
        <f t="shared" si="15"/>
        <v>Z2365</v>
      </c>
      <c r="H70" s="26" cm="1">
        <f t="array" ref="H70">IF(ABS(BG70)&gt;=1,SUM(AF70,AH70:AI70)/(INDEX('小红书-订单明细'!W:W,MATCH(R70&amp;AC70,'小红书-订单明细'!A:A&amp;'小红书-订单明细'!O:O,0))/(INDEX('小红书-订单明细'!T:T,MATCH(R70&amp;AC70,'小红书-订单明细'!A:A&amp;'小红书-订单明细'!O:O,0)))),IF(ABS(SUM(AF70,AH70:AI70)/(INDEX('小红书-订单明细'!W:W,MATCH(R70&amp;AC70,'小红书-订单明细'!A:A&amp;'小红书-订单明细'!O:O,0))/(INDEX('小红书-订单明细'!T:T,MATCH(R70&amp;AC70,'小红书-订单明细'!A:A&amp;'小红书-订单明细'!O:O,0)))))&gt;15%,ROUNDUP(SUM(AF70,AH70:AI70)/(INDEX('小红书-订单明细'!W:W,MATCH(R70&amp;AC70,'小红书-订单明细'!A:A&amp;'小红书-订单明细'!O:O,0))/(INDEX('小红书-订单明细'!T:T,MATCH(R70&amp;AC70,'小红书-订单明细'!A:A&amp;'小红书-订单明细'!O:O,0)))),0),ROUNDDOWN(SUM(AF70,AH70:AI70)/(INDEX('小红书-订单明细'!W:W,MATCH(R70&amp;AC70,'小红书-订单明细'!A:A&amp;'小红书-订单明细'!O:O,0))/(INDEX('小红书-订单明细'!T:T,MATCH(R70&amp;AC70,'小红书-订单明细'!A:A&amp;'小红书-订单明细'!O:O,0)))),0)))</f>
        <v>-1</v>
      </c>
      <c r="I70" s="26">
        <f t="shared" si="16"/>
        <v>-219</v>
      </c>
      <c r="J70" s="26">
        <f t="shared" si="17"/>
        <v>0</v>
      </c>
      <c r="K70" s="26">
        <f t="shared" si="18"/>
        <v>0</v>
      </c>
      <c r="L70" s="26">
        <f t="shared" si="19"/>
        <v>-10.95</v>
      </c>
      <c r="M70" s="26">
        <f t="shared" si="20"/>
        <v>-1.31</v>
      </c>
      <c r="N70" s="26"/>
      <c r="O70" s="28">
        <f t="shared" si="21"/>
        <v>-206.74</v>
      </c>
      <c r="Q70" s="1" cm="1">
        <f t="array" ref="Q70">SUM(AF70,AH70:AI70)/(INDEX('小红书-订单明细'!W:W,MATCH(R70&amp;AC70,'小红书-订单明细'!A:A&amp;'小红书-订单明细'!O:O,0))/(INDEX('小红书-订单明细'!T:T,MATCH(R70&amp;AC70,'小红书-订单明细'!A:A&amp;'小红书-订单明细'!O:O,0))))</f>
        <v>-1</v>
      </c>
      <c r="R70" s="37" t="s">
        <v>482</v>
      </c>
      <c r="S70" s="35" t="s">
        <v>1890</v>
      </c>
      <c r="T70" s="35" t="s">
        <v>1891</v>
      </c>
      <c r="U70" s="35" t="s">
        <v>1892</v>
      </c>
      <c r="V70" s="35" t="s">
        <v>1893</v>
      </c>
      <c r="W70" s="38" t="s">
        <v>1748</v>
      </c>
      <c r="X70" s="38" t="s">
        <v>1749</v>
      </c>
      <c r="Y70" s="35">
        <v>-206.74</v>
      </c>
      <c r="Z70" s="31" t="s">
        <v>1894</v>
      </c>
      <c r="AA70" s="38" t="s">
        <v>1761</v>
      </c>
      <c r="AB70" s="35" t="s">
        <v>490</v>
      </c>
      <c r="AC70" s="37" t="s">
        <v>491</v>
      </c>
      <c r="AD70" s="32">
        <v>0</v>
      </c>
      <c r="AE70" s="35">
        <v>-219</v>
      </c>
      <c r="AF70" s="37">
        <v>-219</v>
      </c>
      <c r="AG70" s="35">
        <v>0</v>
      </c>
      <c r="AH70" s="35">
        <v>0</v>
      </c>
      <c r="AI70" s="33">
        <v>0</v>
      </c>
      <c r="AJ70" s="33">
        <v>0</v>
      </c>
      <c r="AK70" s="32">
        <v>0</v>
      </c>
      <c r="AL70" s="32">
        <v>0</v>
      </c>
      <c r="AM70" s="33">
        <v>10.95</v>
      </c>
      <c r="AN70" s="33">
        <v>0</v>
      </c>
      <c r="AO70" s="32">
        <v>0</v>
      </c>
      <c r="AP70" s="32">
        <v>0</v>
      </c>
      <c r="AQ70" s="34" t="s">
        <v>101</v>
      </c>
      <c r="AR70" s="32">
        <v>0</v>
      </c>
      <c r="AS70" s="32">
        <v>0</v>
      </c>
      <c r="AT70" s="33">
        <v>1.31</v>
      </c>
      <c r="AU70" s="35" t="s">
        <v>148</v>
      </c>
      <c r="AV70" s="38" t="s">
        <v>1752</v>
      </c>
      <c r="AW70" s="38" t="s">
        <v>1753</v>
      </c>
      <c r="AX70" s="35"/>
      <c r="AY70" s="35"/>
      <c r="AZ70" s="33">
        <v>0</v>
      </c>
      <c r="BA70" s="32">
        <v>0</v>
      </c>
      <c r="BB70" s="32">
        <v>0</v>
      </c>
      <c r="BC70" s="32">
        <v>0</v>
      </c>
      <c r="BD70" s="32">
        <v>0</v>
      </c>
      <c r="BE70" s="35"/>
    </row>
    <row r="71" customHeight="1" spans="1:57">
      <c r="A71" s="25">
        <f t="shared" si="11"/>
        <v>2025</v>
      </c>
      <c r="B71" s="26">
        <f t="shared" si="12"/>
        <v>8</v>
      </c>
      <c r="C71" s="26" t="str">
        <f t="shared" si="13"/>
        <v>P770809432946213601</v>
      </c>
      <c r="D71" s="26">
        <f t="shared" si="14"/>
        <v>2</v>
      </c>
      <c r="E71" s="26">
        <f>COUNTIF($R$2:R71,R71)</f>
        <v>2</v>
      </c>
      <c r="F71" s="27" t="str" cm="1">
        <f t="array" ref="F71">INDEX('小红书-订单明细'!BQ:BQ,MATCH(R71&amp;AC71,'小红书-订单明细'!A:A&amp;'小红书-订单明细'!O:O,0))</f>
        <v>Z2365-灰色-M</v>
      </c>
      <c r="G71" s="27" t="str">
        <f t="shared" si="15"/>
        <v>Z2365</v>
      </c>
      <c r="H71" s="26" cm="1">
        <f t="array" ref="H71">IF(ABS(BG71)&gt;=1,SUM(AF71,AH71:AI71)/(INDEX('小红书-订单明细'!W:W,MATCH(R71&amp;AC71,'小红书-订单明细'!A:A&amp;'小红书-订单明细'!O:O,0))/(INDEX('小红书-订单明细'!T:T,MATCH(R71&amp;AC71,'小红书-订单明细'!A:A&amp;'小红书-订单明细'!O:O,0)))),IF(ABS(SUM(AF71,AH71:AI71)/(INDEX('小红书-订单明细'!W:W,MATCH(R71&amp;AC71,'小红书-订单明细'!A:A&amp;'小红书-订单明细'!O:O,0))/(INDEX('小红书-订单明细'!T:T,MATCH(R71&amp;AC71,'小红书-订单明细'!A:A&amp;'小红书-订单明细'!O:O,0)))))&gt;15%,ROUNDUP(SUM(AF71,AH71:AI71)/(INDEX('小红书-订单明细'!W:W,MATCH(R71&amp;AC71,'小红书-订单明细'!A:A&amp;'小红书-订单明细'!O:O,0))/(INDEX('小红书-订单明细'!T:T,MATCH(R71&amp;AC71,'小红书-订单明细'!A:A&amp;'小红书-订单明细'!O:O,0)))),0),ROUNDDOWN(SUM(AF71,AH71:AI71)/(INDEX('小红书-订单明细'!W:W,MATCH(R71&amp;AC71,'小红书-订单明细'!A:A&amp;'小红书-订单明细'!O:O,0))/(INDEX('小红书-订单明细'!T:T,MATCH(R71&amp;AC71,'小红书-订单明细'!A:A&amp;'小红书-订单明细'!O:O,0)))),0)))</f>
        <v>1</v>
      </c>
      <c r="I71" s="26">
        <f t="shared" si="16"/>
        <v>219</v>
      </c>
      <c r="J71" s="26">
        <f t="shared" si="17"/>
        <v>0</v>
      </c>
      <c r="K71" s="26">
        <f t="shared" si="18"/>
        <v>0</v>
      </c>
      <c r="L71" s="26">
        <f t="shared" si="19"/>
        <v>10.95</v>
      </c>
      <c r="M71" s="26">
        <f t="shared" si="20"/>
        <v>1.31</v>
      </c>
      <c r="N71" s="26"/>
      <c r="O71" s="28">
        <f t="shared" si="21"/>
        <v>206.74</v>
      </c>
      <c r="Q71" s="1" cm="1">
        <f t="array" ref="Q71">SUM(AF71,AH71:AI71)/(INDEX('小红书-订单明细'!W:W,MATCH(R71&amp;AC71,'小红书-订单明细'!A:A&amp;'小红书-订单明细'!O:O,0))/(INDEX('小红书-订单明细'!T:T,MATCH(R71&amp;AC71,'小红书-订单明细'!A:A&amp;'小红书-订单明细'!O:O,0))))</f>
        <v>1</v>
      </c>
      <c r="R71" s="37" t="s">
        <v>482</v>
      </c>
      <c r="S71" s="35"/>
      <c r="T71" s="35" t="s">
        <v>1891</v>
      </c>
      <c r="U71" s="35" t="s">
        <v>1895</v>
      </c>
      <c r="V71" s="35" t="s">
        <v>1893</v>
      </c>
      <c r="W71" s="38" t="s">
        <v>1755</v>
      </c>
      <c r="X71" s="38" t="s">
        <v>1749</v>
      </c>
      <c r="Y71" s="35">
        <v>206.74</v>
      </c>
      <c r="Z71" s="31" t="s">
        <v>1894</v>
      </c>
      <c r="AA71" s="38" t="s">
        <v>1761</v>
      </c>
      <c r="AB71" s="35" t="s">
        <v>490</v>
      </c>
      <c r="AC71" s="37" t="s">
        <v>491</v>
      </c>
      <c r="AD71" s="32">
        <v>1</v>
      </c>
      <c r="AE71" s="35">
        <v>219</v>
      </c>
      <c r="AF71" s="36">
        <v>219</v>
      </c>
      <c r="AG71" s="35" t="s">
        <v>75</v>
      </c>
      <c r="AH71" s="35">
        <v>0</v>
      </c>
      <c r="AI71" s="33">
        <v>0</v>
      </c>
      <c r="AJ71" s="33">
        <v>0</v>
      </c>
      <c r="AK71" s="32">
        <v>0.05</v>
      </c>
      <c r="AL71" s="32">
        <v>0</v>
      </c>
      <c r="AM71" s="33">
        <v>-10.95</v>
      </c>
      <c r="AN71" s="33">
        <v>219</v>
      </c>
      <c r="AO71" s="32">
        <v>219</v>
      </c>
      <c r="AP71" s="32">
        <v>0</v>
      </c>
      <c r="AQ71" s="34" t="s">
        <v>101</v>
      </c>
      <c r="AR71" s="32">
        <v>0</v>
      </c>
      <c r="AS71" s="32">
        <v>0.006</v>
      </c>
      <c r="AT71" s="33">
        <v>-1.31</v>
      </c>
      <c r="AU71" s="35" t="s">
        <v>148</v>
      </c>
      <c r="AV71" s="38" t="s">
        <v>1752</v>
      </c>
      <c r="AW71" s="38" t="s">
        <v>1753</v>
      </c>
      <c r="AX71" s="35"/>
      <c r="AY71" s="35"/>
      <c r="AZ71" s="33">
        <v>0</v>
      </c>
      <c r="BA71" s="32">
        <v>0</v>
      </c>
      <c r="BB71" s="32">
        <v>0</v>
      </c>
      <c r="BC71" s="32">
        <v>0</v>
      </c>
      <c r="BD71" s="32">
        <v>0</v>
      </c>
      <c r="BE71" s="35"/>
    </row>
    <row r="72" customHeight="1" spans="1:57">
      <c r="A72" s="25">
        <f t="shared" si="11"/>
        <v>2025</v>
      </c>
      <c r="B72" s="26">
        <f t="shared" si="12"/>
        <v>8</v>
      </c>
      <c r="C72" s="26" t="str">
        <f t="shared" si="13"/>
        <v>P770794260083193631</v>
      </c>
      <c r="D72" s="26">
        <f t="shared" si="14"/>
        <v>1</v>
      </c>
      <c r="E72" s="26">
        <f>COUNTIF($R$2:R72,R72)</f>
        <v>1</v>
      </c>
      <c r="F72" s="27" t="str" cm="1">
        <f t="array" ref="F72">INDEX('小红书-订单明细'!BQ:BQ,MATCH(R72&amp;AC72,'小红书-订单明细'!A:A&amp;'小红书-订单明细'!O:O,0))</f>
        <v>Z1248-黑色-L</v>
      </c>
      <c r="G72" s="27" t="str">
        <f t="shared" si="15"/>
        <v>Z1248</v>
      </c>
      <c r="H72" s="26" cm="1">
        <f t="array" ref="H72">IF(ABS(BG72)&gt;=1,SUM(AF72,AH72:AI72)/(INDEX('小红书-订单明细'!W:W,MATCH(R72&amp;AC72,'小红书-订单明细'!A:A&amp;'小红书-订单明细'!O:O,0))/(INDEX('小红书-订单明细'!T:T,MATCH(R72&amp;AC72,'小红书-订单明细'!A:A&amp;'小红书-订单明细'!O:O,0)))),IF(ABS(SUM(AF72,AH72:AI72)/(INDEX('小红书-订单明细'!W:W,MATCH(R72&amp;AC72,'小红书-订单明细'!A:A&amp;'小红书-订单明细'!O:O,0))/(INDEX('小红书-订单明细'!T:T,MATCH(R72&amp;AC72,'小红书-订单明细'!A:A&amp;'小红书-订单明细'!O:O,0)))))&gt;15%,ROUNDUP(SUM(AF72,AH72:AI72)/(INDEX('小红书-订单明细'!W:W,MATCH(R72&amp;AC72,'小红书-订单明细'!A:A&amp;'小红书-订单明细'!O:O,0))/(INDEX('小红书-订单明细'!T:T,MATCH(R72&amp;AC72,'小红书-订单明细'!A:A&amp;'小红书-订单明细'!O:O,0)))),0),ROUNDDOWN(SUM(AF72,AH72:AI72)/(INDEX('小红书-订单明细'!W:W,MATCH(R72&amp;AC72,'小红书-订单明细'!A:A&amp;'小红书-订单明细'!O:O,0))/(INDEX('小红书-订单明细'!T:T,MATCH(R72&amp;AC72,'小红书-订单明细'!A:A&amp;'小红书-订单明细'!O:O,0)))),0)))</f>
        <v>1</v>
      </c>
      <c r="I72" s="26">
        <f t="shared" si="16"/>
        <v>199</v>
      </c>
      <c r="J72" s="26">
        <f t="shared" si="17"/>
        <v>0</v>
      </c>
      <c r="K72" s="26">
        <f t="shared" si="18"/>
        <v>0</v>
      </c>
      <c r="L72" s="26">
        <f t="shared" si="19"/>
        <v>9.95</v>
      </c>
      <c r="M72" s="26">
        <f t="shared" si="20"/>
        <v>1.19</v>
      </c>
      <c r="N72" s="26"/>
      <c r="O72" s="28">
        <f t="shared" si="21"/>
        <v>187.86</v>
      </c>
      <c r="Q72" s="1" cm="1">
        <f t="array" ref="Q72">SUM(AF72,AH72:AI72)/(INDEX('小红书-订单明细'!W:W,MATCH(R72&amp;AC72,'小红书-订单明细'!A:A&amp;'小红书-订单明细'!O:O,0))/(INDEX('小红书-订单明细'!T:T,MATCH(R72&amp;AC72,'小红书-订单明细'!A:A&amp;'小红书-订单明细'!O:O,0))))</f>
        <v>1</v>
      </c>
      <c r="R72" s="37" t="s">
        <v>1201</v>
      </c>
      <c r="S72" s="35"/>
      <c r="T72" s="35" t="s">
        <v>1211</v>
      </c>
      <c r="U72" s="35" t="s">
        <v>1212</v>
      </c>
      <c r="V72" s="35" t="s">
        <v>1896</v>
      </c>
      <c r="W72" s="38" t="s">
        <v>1755</v>
      </c>
      <c r="X72" s="38" t="s">
        <v>1749</v>
      </c>
      <c r="Y72" s="35">
        <v>187.86</v>
      </c>
      <c r="Z72" s="31" t="s">
        <v>1873</v>
      </c>
      <c r="AA72" s="38" t="s">
        <v>1833</v>
      </c>
      <c r="AB72" s="35" t="s">
        <v>787</v>
      </c>
      <c r="AC72" s="37" t="s">
        <v>788</v>
      </c>
      <c r="AD72" s="32">
        <v>1</v>
      </c>
      <c r="AE72" s="35">
        <v>199</v>
      </c>
      <c r="AF72" s="36">
        <v>199</v>
      </c>
      <c r="AG72" s="35" t="s">
        <v>75</v>
      </c>
      <c r="AH72" s="35">
        <v>0</v>
      </c>
      <c r="AI72" s="33">
        <v>0</v>
      </c>
      <c r="AJ72" s="33">
        <v>0</v>
      </c>
      <c r="AK72" s="32">
        <v>0.05</v>
      </c>
      <c r="AL72" s="32">
        <v>0</v>
      </c>
      <c r="AM72" s="33">
        <v>-9.95</v>
      </c>
      <c r="AN72" s="33">
        <v>199</v>
      </c>
      <c r="AO72" s="32">
        <v>199</v>
      </c>
      <c r="AP72" s="32">
        <v>0</v>
      </c>
      <c r="AQ72" s="34" t="s">
        <v>101</v>
      </c>
      <c r="AR72" s="32">
        <v>0</v>
      </c>
      <c r="AS72" s="32">
        <v>0.006</v>
      </c>
      <c r="AT72" s="33">
        <v>-1.19</v>
      </c>
      <c r="AU72" s="35" t="s">
        <v>148</v>
      </c>
      <c r="AV72" s="38" t="s">
        <v>1752</v>
      </c>
      <c r="AW72" s="38" t="s">
        <v>1753</v>
      </c>
      <c r="AX72" s="35"/>
      <c r="AY72" s="35"/>
      <c r="AZ72" s="33">
        <v>0</v>
      </c>
      <c r="BA72" s="32">
        <v>0</v>
      </c>
      <c r="BB72" s="32">
        <v>0</v>
      </c>
      <c r="BC72" s="32">
        <v>0</v>
      </c>
      <c r="BD72" s="32">
        <v>0</v>
      </c>
      <c r="BE72" s="35"/>
    </row>
    <row r="73" customHeight="1" spans="1:57">
      <c r="A73" s="25">
        <f t="shared" si="11"/>
        <v>2025</v>
      </c>
      <c r="B73" s="26">
        <f t="shared" si="12"/>
        <v>8</v>
      </c>
      <c r="C73" s="26" t="str">
        <f t="shared" si="13"/>
        <v>P770625887719453891</v>
      </c>
      <c r="D73" s="26">
        <f t="shared" si="14"/>
        <v>2</v>
      </c>
      <c r="E73" s="26">
        <f>COUNTIF($R$2:R73,R73)</f>
        <v>1</v>
      </c>
      <c r="F73" s="27" t="str" cm="1">
        <f t="array" ref="F73">INDEX('小红书-订单明细'!BQ:BQ,MATCH(R73&amp;AC73,'小红书-订单明细'!A:A&amp;'小红书-订单明细'!O:O,0))</f>
        <v>Z2284-牛仔蓝色-L</v>
      </c>
      <c r="G73" s="27" t="str">
        <f t="shared" si="15"/>
        <v>Z2284</v>
      </c>
      <c r="H73" s="26" cm="1">
        <f t="array" ref="H73">IF(ABS(BG73)&gt;=1,SUM(AF73,AH73:AI73)/(INDEX('小红书-订单明细'!W:W,MATCH(R73&amp;AC73,'小红书-订单明细'!A:A&amp;'小红书-订单明细'!O:O,0))/(INDEX('小红书-订单明细'!T:T,MATCH(R73&amp;AC73,'小红书-订单明细'!A:A&amp;'小红书-订单明细'!O:O,0)))),IF(ABS(SUM(AF73,AH73:AI73)/(INDEX('小红书-订单明细'!W:W,MATCH(R73&amp;AC73,'小红书-订单明细'!A:A&amp;'小红书-订单明细'!O:O,0))/(INDEX('小红书-订单明细'!T:T,MATCH(R73&amp;AC73,'小红书-订单明细'!A:A&amp;'小红书-订单明细'!O:O,0)))))&gt;15%,ROUNDUP(SUM(AF73,AH73:AI73)/(INDEX('小红书-订单明细'!W:W,MATCH(R73&amp;AC73,'小红书-订单明细'!A:A&amp;'小红书-订单明细'!O:O,0))/(INDEX('小红书-订单明细'!T:T,MATCH(R73&amp;AC73,'小红书-订单明细'!A:A&amp;'小红书-订单明细'!O:O,0)))),0),ROUNDDOWN(SUM(AF73,AH73:AI73)/(INDEX('小红书-订单明细'!W:W,MATCH(R73&amp;AC73,'小红书-订单明细'!A:A&amp;'小红书-订单明细'!O:O,0))/(INDEX('小红书-订单明细'!T:T,MATCH(R73&amp;AC73,'小红书-订单明细'!A:A&amp;'小红书-订单明细'!O:O,0)))),0)))</f>
        <v>-1</v>
      </c>
      <c r="I73" s="26">
        <f t="shared" si="16"/>
        <v>-399</v>
      </c>
      <c r="J73" s="26">
        <f t="shared" si="17"/>
        <v>0</v>
      </c>
      <c r="K73" s="26">
        <f t="shared" si="18"/>
        <v>0</v>
      </c>
      <c r="L73" s="26">
        <f t="shared" si="19"/>
        <v>-19.95</v>
      </c>
      <c r="M73" s="26">
        <f t="shared" si="20"/>
        <v>-2.39</v>
      </c>
      <c r="N73" s="26"/>
      <c r="O73" s="28">
        <f t="shared" si="21"/>
        <v>-376.66</v>
      </c>
      <c r="Q73" s="1" cm="1">
        <f t="array" ref="Q73">SUM(AF73,AH73:AI73)/(INDEX('小红书-订单明细'!W:W,MATCH(R73&amp;AC73,'小红书-订单明细'!A:A&amp;'小红书-订单明细'!O:O,0))/(INDEX('小红书-订单明细'!T:T,MATCH(R73&amp;AC73,'小红书-订单明细'!A:A&amp;'小红书-订单明细'!O:O,0))))</f>
        <v>-1</v>
      </c>
      <c r="R73" s="37" t="s">
        <v>1545</v>
      </c>
      <c r="S73" s="35" t="s">
        <v>1897</v>
      </c>
      <c r="T73" s="35" t="s">
        <v>1558</v>
      </c>
      <c r="U73" s="35" t="s">
        <v>1898</v>
      </c>
      <c r="V73" s="35" t="s">
        <v>1899</v>
      </c>
      <c r="W73" s="38" t="s">
        <v>1748</v>
      </c>
      <c r="X73" s="38" t="s">
        <v>1749</v>
      </c>
      <c r="Y73" s="35">
        <v>-376.66</v>
      </c>
      <c r="Z73" s="31" t="s">
        <v>1900</v>
      </c>
      <c r="AA73" s="38" t="s">
        <v>1901</v>
      </c>
      <c r="AB73" s="35" t="s">
        <v>1551</v>
      </c>
      <c r="AC73" s="37" t="s">
        <v>1552</v>
      </c>
      <c r="AD73" s="32">
        <v>0</v>
      </c>
      <c r="AE73" s="35">
        <v>-399</v>
      </c>
      <c r="AF73" s="37">
        <v>-399</v>
      </c>
      <c r="AG73" s="35">
        <v>0</v>
      </c>
      <c r="AH73" s="35">
        <v>0</v>
      </c>
      <c r="AI73" s="33">
        <v>0</v>
      </c>
      <c r="AJ73" s="33">
        <v>0</v>
      </c>
      <c r="AK73" s="32">
        <v>0</v>
      </c>
      <c r="AL73" s="32">
        <v>0</v>
      </c>
      <c r="AM73" s="33">
        <v>19.95</v>
      </c>
      <c r="AN73" s="33">
        <v>0</v>
      </c>
      <c r="AO73" s="32">
        <v>0</v>
      </c>
      <c r="AP73" s="32">
        <v>0</v>
      </c>
      <c r="AQ73" s="34" t="s">
        <v>101</v>
      </c>
      <c r="AR73" s="32">
        <v>0</v>
      </c>
      <c r="AS73" s="32">
        <v>0</v>
      </c>
      <c r="AT73" s="33">
        <v>2.39</v>
      </c>
      <c r="AU73" s="35" t="s">
        <v>148</v>
      </c>
      <c r="AV73" s="38" t="s">
        <v>1752</v>
      </c>
      <c r="AW73" s="38" t="s">
        <v>1753</v>
      </c>
      <c r="AX73" s="35"/>
      <c r="AY73" s="35"/>
      <c r="AZ73" s="33">
        <v>0</v>
      </c>
      <c r="BA73" s="32">
        <v>0</v>
      </c>
      <c r="BB73" s="32">
        <v>0</v>
      </c>
      <c r="BC73" s="32">
        <v>0</v>
      </c>
      <c r="BD73" s="32">
        <v>0</v>
      </c>
      <c r="BE73" s="35"/>
    </row>
    <row r="74" customHeight="1" spans="1:57">
      <c r="A74" s="25">
        <f t="shared" si="11"/>
        <v>2025</v>
      </c>
      <c r="B74" s="26">
        <f t="shared" si="12"/>
        <v>8</v>
      </c>
      <c r="C74" s="26" t="str">
        <f t="shared" si="13"/>
        <v>P770643835711413521</v>
      </c>
      <c r="D74" s="26">
        <f t="shared" si="14"/>
        <v>6</v>
      </c>
      <c r="E74" s="26">
        <f>COUNTIF($R$2:R74,R74)</f>
        <v>1</v>
      </c>
      <c r="F74" s="27" t="str" cm="1">
        <f t="array" ref="F74">INDEX('小红书-订单明细'!BQ:BQ,MATCH(R74&amp;AC74,'小红书-订单明细'!A:A&amp;'小红书-订单明细'!O:O,0))</f>
        <v>Z1645-黑色-S</v>
      </c>
      <c r="G74" s="27" t="str">
        <f t="shared" si="15"/>
        <v>Z1645</v>
      </c>
      <c r="H74" s="26" cm="1">
        <f t="array" ref="H74">IF(ABS(BG74)&gt;=1,SUM(AF74,AH74:AI74)/(INDEX('小红书-订单明细'!W:W,MATCH(R74&amp;AC74,'小红书-订单明细'!A:A&amp;'小红书-订单明细'!O:O,0))/(INDEX('小红书-订单明细'!T:T,MATCH(R74&amp;AC74,'小红书-订单明细'!A:A&amp;'小红书-订单明细'!O:O,0)))),IF(ABS(SUM(AF74,AH74:AI74)/(INDEX('小红书-订单明细'!W:W,MATCH(R74&amp;AC74,'小红书-订单明细'!A:A&amp;'小红书-订单明细'!O:O,0))/(INDEX('小红书-订单明细'!T:T,MATCH(R74&amp;AC74,'小红书-订单明细'!A:A&amp;'小红书-订单明细'!O:O,0)))))&gt;15%,ROUNDUP(SUM(AF74,AH74:AI74)/(INDEX('小红书-订单明细'!W:W,MATCH(R74&amp;AC74,'小红书-订单明细'!A:A&amp;'小红书-订单明细'!O:O,0))/(INDEX('小红书-订单明细'!T:T,MATCH(R74&amp;AC74,'小红书-订单明细'!A:A&amp;'小红书-订单明细'!O:O,0)))),0),ROUNDDOWN(SUM(AF74,AH74:AI74)/(INDEX('小红书-订单明细'!W:W,MATCH(R74&amp;AC74,'小红书-订单明细'!A:A&amp;'小红书-订单明细'!O:O,0))/(INDEX('小红书-订单明细'!T:T,MATCH(R74&amp;AC74,'小红书-订单明细'!A:A&amp;'小红书-订单明细'!O:O,0)))),0)))</f>
        <v>-1</v>
      </c>
      <c r="I74" s="26">
        <f t="shared" si="16"/>
        <v>-189</v>
      </c>
      <c r="J74" s="26">
        <f t="shared" si="17"/>
        <v>0</v>
      </c>
      <c r="K74" s="26">
        <f t="shared" si="18"/>
        <v>0</v>
      </c>
      <c r="L74" s="26">
        <f t="shared" si="19"/>
        <v>-9.45</v>
      </c>
      <c r="M74" s="26">
        <f t="shared" si="20"/>
        <v>0</v>
      </c>
      <c r="N74" s="26"/>
      <c r="O74" s="28">
        <f t="shared" si="21"/>
        <v>-179.55</v>
      </c>
      <c r="Q74" s="1" cm="1">
        <f t="array" ref="Q74">SUM(AF74,AH74:AI74)/(INDEX('小红书-订单明细'!W:W,MATCH(R74&amp;AC74,'小红书-订单明细'!A:A&amp;'小红书-订单明细'!O:O,0))/(INDEX('小红书-订单明细'!T:T,MATCH(R74&amp;AC74,'小红书-订单明细'!A:A&amp;'小红书-订单明细'!O:O,0))))</f>
        <v>-1</v>
      </c>
      <c r="R74" s="37" t="s">
        <v>1391</v>
      </c>
      <c r="S74" s="35" t="s">
        <v>1902</v>
      </c>
      <c r="T74" s="35" t="s">
        <v>1903</v>
      </c>
      <c r="U74" s="35" t="s">
        <v>1904</v>
      </c>
      <c r="V74" s="35" t="s">
        <v>1899</v>
      </c>
      <c r="W74" s="38" t="s">
        <v>1748</v>
      </c>
      <c r="X74" s="38" t="s">
        <v>1749</v>
      </c>
      <c r="Y74" s="35">
        <v>-179.55</v>
      </c>
      <c r="Z74" s="31" t="s">
        <v>1905</v>
      </c>
      <c r="AA74" s="38" t="s">
        <v>1906</v>
      </c>
      <c r="AB74" s="35" t="s">
        <v>409</v>
      </c>
      <c r="AC74" s="37" t="s">
        <v>410</v>
      </c>
      <c r="AD74" s="32">
        <v>0</v>
      </c>
      <c r="AE74" s="35">
        <v>-189</v>
      </c>
      <c r="AF74" s="37">
        <v>-189</v>
      </c>
      <c r="AG74" s="35">
        <v>0</v>
      </c>
      <c r="AH74" s="35">
        <v>0</v>
      </c>
      <c r="AI74" s="33">
        <v>0</v>
      </c>
      <c r="AJ74" s="33">
        <v>0</v>
      </c>
      <c r="AK74" s="32">
        <v>0</v>
      </c>
      <c r="AL74" s="32">
        <v>0</v>
      </c>
      <c r="AM74" s="33">
        <v>9.45</v>
      </c>
      <c r="AN74" s="33">
        <v>0</v>
      </c>
      <c r="AO74" s="32">
        <v>0</v>
      </c>
      <c r="AP74" s="32">
        <v>0</v>
      </c>
      <c r="AQ74" s="34" t="s">
        <v>101</v>
      </c>
      <c r="AR74" s="32">
        <v>0</v>
      </c>
      <c r="AS74" s="32">
        <v>0</v>
      </c>
      <c r="AT74" s="33">
        <v>0</v>
      </c>
      <c r="AU74" s="35" t="s">
        <v>75</v>
      </c>
      <c r="AV74" s="35" t="s">
        <v>75</v>
      </c>
      <c r="AW74" s="35"/>
      <c r="AX74" s="35"/>
      <c r="AY74" s="35"/>
      <c r="AZ74" s="33">
        <v>0</v>
      </c>
      <c r="BA74" s="32">
        <v>0</v>
      </c>
      <c r="BB74" s="32">
        <v>0</v>
      </c>
      <c r="BC74" s="32">
        <v>0</v>
      </c>
      <c r="BD74" s="32">
        <v>0</v>
      </c>
      <c r="BE74" s="35"/>
    </row>
    <row r="75" customHeight="1" spans="1:57">
      <c r="A75" s="25">
        <f t="shared" si="11"/>
        <v>2025</v>
      </c>
      <c r="B75" s="26">
        <f t="shared" si="12"/>
        <v>8</v>
      </c>
      <c r="C75" s="26" t="str">
        <f t="shared" si="13"/>
        <v>P770643835711413521</v>
      </c>
      <c r="D75" s="26">
        <f t="shared" si="14"/>
        <v>6</v>
      </c>
      <c r="E75" s="26">
        <f>COUNTIF($R$2:R75,R75)</f>
        <v>2</v>
      </c>
      <c r="F75" s="27" t="str" cm="1">
        <f t="array" ref="F75">INDEX('小红书-订单明细'!BQ:BQ,MATCH(R75&amp;AC75,'小红书-订单明细'!A:A&amp;'小红书-订单明细'!O:O,0))</f>
        <v>Z1576-黑色-S</v>
      </c>
      <c r="G75" s="27" t="str">
        <f t="shared" si="15"/>
        <v>Z1576</v>
      </c>
      <c r="H75" s="26" cm="1">
        <f t="array" ref="H75">IF(ABS(BG75)&gt;=1,SUM(AF75,AH75:AI75)/(INDEX('小红书-订单明细'!W:W,MATCH(R75&amp;AC75,'小红书-订单明细'!A:A&amp;'小红书-订单明细'!O:O,0))/(INDEX('小红书-订单明细'!T:T,MATCH(R75&amp;AC75,'小红书-订单明细'!A:A&amp;'小红书-订单明细'!O:O,0)))),IF(ABS(SUM(AF75,AH75:AI75)/(INDEX('小红书-订单明细'!W:W,MATCH(R75&amp;AC75,'小红书-订单明细'!A:A&amp;'小红书-订单明细'!O:O,0))/(INDEX('小红书-订单明细'!T:T,MATCH(R75&amp;AC75,'小红书-订单明细'!A:A&amp;'小红书-订单明细'!O:O,0)))))&gt;15%,ROUNDUP(SUM(AF75,AH75:AI75)/(INDEX('小红书-订单明细'!W:W,MATCH(R75&amp;AC75,'小红书-订单明细'!A:A&amp;'小红书-订单明细'!O:O,0))/(INDEX('小红书-订单明细'!T:T,MATCH(R75&amp;AC75,'小红书-订单明细'!A:A&amp;'小红书-订单明细'!O:O,0)))),0),ROUNDDOWN(SUM(AF75,AH75:AI75)/(INDEX('小红书-订单明细'!W:W,MATCH(R75&amp;AC75,'小红书-订单明细'!A:A&amp;'小红书-订单明细'!O:O,0))/(INDEX('小红书-订单明细'!T:T,MATCH(R75&amp;AC75,'小红书-订单明细'!A:A&amp;'小红书-订单明细'!O:O,0)))),0)))</f>
        <v>-1</v>
      </c>
      <c r="I75" s="26">
        <f t="shared" si="16"/>
        <v>-199</v>
      </c>
      <c r="J75" s="26">
        <f t="shared" si="17"/>
        <v>0</v>
      </c>
      <c r="K75" s="26">
        <f t="shared" si="18"/>
        <v>0</v>
      </c>
      <c r="L75" s="26">
        <f t="shared" si="19"/>
        <v>-9.95</v>
      </c>
      <c r="M75" s="26">
        <f t="shared" si="20"/>
        <v>-1.19</v>
      </c>
      <c r="N75" s="26"/>
      <c r="O75" s="28">
        <f t="shared" si="21"/>
        <v>-187.86</v>
      </c>
      <c r="Q75" s="1" cm="1">
        <f t="array" ref="Q75">SUM(AF75,AH75:AI75)/(INDEX('小红书-订单明细'!W:W,MATCH(R75&amp;AC75,'小红书-订单明细'!A:A&amp;'小红书-订单明细'!O:O,0))/(INDEX('小红书-订单明细'!T:T,MATCH(R75&amp;AC75,'小红书-订单明细'!A:A&amp;'小红书-订单明细'!O:O,0))))</f>
        <v>-1</v>
      </c>
      <c r="R75" s="37" t="s">
        <v>1391</v>
      </c>
      <c r="S75" s="35" t="s">
        <v>1907</v>
      </c>
      <c r="T75" s="35" t="s">
        <v>1903</v>
      </c>
      <c r="U75" s="35" t="s">
        <v>1908</v>
      </c>
      <c r="V75" s="35" t="s">
        <v>1899</v>
      </c>
      <c r="W75" s="38" t="s">
        <v>1748</v>
      </c>
      <c r="X75" s="38" t="s">
        <v>1749</v>
      </c>
      <c r="Y75" s="35">
        <v>-187.86</v>
      </c>
      <c r="Z75" s="31" t="s">
        <v>1909</v>
      </c>
      <c r="AA75" s="38" t="s">
        <v>1751</v>
      </c>
      <c r="AB75" s="35" t="s">
        <v>1407</v>
      </c>
      <c r="AC75" s="37" t="s">
        <v>1408</v>
      </c>
      <c r="AD75" s="32">
        <v>0</v>
      </c>
      <c r="AE75" s="35">
        <v>-199</v>
      </c>
      <c r="AF75" s="37">
        <v>-199</v>
      </c>
      <c r="AG75" s="35">
        <v>0</v>
      </c>
      <c r="AH75" s="35">
        <v>0</v>
      </c>
      <c r="AI75" s="33">
        <v>0</v>
      </c>
      <c r="AJ75" s="33">
        <v>0</v>
      </c>
      <c r="AK75" s="32">
        <v>0</v>
      </c>
      <c r="AL75" s="32">
        <v>0</v>
      </c>
      <c r="AM75" s="33">
        <v>9.95</v>
      </c>
      <c r="AN75" s="33">
        <v>0</v>
      </c>
      <c r="AO75" s="32">
        <v>0</v>
      </c>
      <c r="AP75" s="32">
        <v>0</v>
      </c>
      <c r="AQ75" s="34" t="s">
        <v>101</v>
      </c>
      <c r="AR75" s="32">
        <v>0</v>
      </c>
      <c r="AS75" s="32">
        <v>0</v>
      </c>
      <c r="AT75" s="33">
        <v>1.19</v>
      </c>
      <c r="AU75" s="35" t="s">
        <v>148</v>
      </c>
      <c r="AV75" s="38" t="s">
        <v>1752</v>
      </c>
      <c r="AW75" s="38" t="s">
        <v>1753</v>
      </c>
      <c r="AX75" s="35"/>
      <c r="AY75" s="35"/>
      <c r="AZ75" s="33">
        <v>0</v>
      </c>
      <c r="BA75" s="32">
        <v>0</v>
      </c>
      <c r="BB75" s="32">
        <v>0</v>
      </c>
      <c r="BC75" s="32">
        <v>0</v>
      </c>
      <c r="BD75" s="32">
        <v>0</v>
      </c>
      <c r="BE75" s="35"/>
    </row>
    <row r="76" customHeight="1" spans="1:57">
      <c r="A76" s="25">
        <f t="shared" si="11"/>
        <v>2025</v>
      </c>
      <c r="B76" s="26">
        <f t="shared" si="12"/>
        <v>8</v>
      </c>
      <c r="C76" s="26" t="str">
        <f t="shared" si="13"/>
        <v>P770643835711413521</v>
      </c>
      <c r="D76" s="26">
        <f t="shared" si="14"/>
        <v>6</v>
      </c>
      <c r="E76" s="26">
        <f>COUNTIF($R$2:R76,R76)</f>
        <v>3</v>
      </c>
      <c r="F76" s="27" t="str" cm="1">
        <f t="array" ref="F76">INDEX('小红书-订单明细'!BQ:BQ,MATCH(R76&amp;AC76,'小红书-订单明细'!A:A&amp;'小红书-订单明细'!O:O,0))</f>
        <v>Z1640-黑色-S</v>
      </c>
      <c r="G76" s="27" t="str">
        <f t="shared" si="15"/>
        <v>Z1640</v>
      </c>
      <c r="H76" s="26" cm="1">
        <f t="array" ref="H76">IF(ABS(BG76)&gt;=1,SUM(AF76,AH76:AI76)/(INDEX('小红书-订单明细'!W:W,MATCH(R76&amp;AC76,'小红书-订单明细'!A:A&amp;'小红书-订单明细'!O:O,0))/(INDEX('小红书-订单明细'!T:T,MATCH(R76&amp;AC76,'小红书-订单明细'!A:A&amp;'小红书-订单明细'!O:O,0)))),IF(ABS(SUM(AF76,AH76:AI76)/(INDEX('小红书-订单明细'!W:W,MATCH(R76&amp;AC76,'小红书-订单明细'!A:A&amp;'小红书-订单明细'!O:O,0))/(INDEX('小红书-订单明细'!T:T,MATCH(R76&amp;AC76,'小红书-订单明细'!A:A&amp;'小红书-订单明细'!O:O,0)))))&gt;15%,ROUNDUP(SUM(AF76,AH76:AI76)/(INDEX('小红书-订单明细'!W:W,MATCH(R76&amp;AC76,'小红书-订单明细'!A:A&amp;'小红书-订单明细'!O:O,0))/(INDEX('小红书-订单明细'!T:T,MATCH(R76&amp;AC76,'小红书-订单明细'!A:A&amp;'小红书-订单明细'!O:O,0)))),0),ROUNDDOWN(SUM(AF76,AH76:AI76)/(INDEX('小红书-订单明细'!W:W,MATCH(R76&amp;AC76,'小红书-订单明细'!A:A&amp;'小红书-订单明细'!O:O,0))/(INDEX('小红书-订单明细'!T:T,MATCH(R76&amp;AC76,'小红书-订单明细'!A:A&amp;'小红书-订单明细'!O:O,0)))),0)))</f>
        <v>-1</v>
      </c>
      <c r="I76" s="26">
        <f t="shared" si="16"/>
        <v>-289</v>
      </c>
      <c r="J76" s="26">
        <f t="shared" si="17"/>
        <v>0</v>
      </c>
      <c r="K76" s="26">
        <f t="shared" si="18"/>
        <v>0</v>
      </c>
      <c r="L76" s="26">
        <f t="shared" si="19"/>
        <v>-14.45</v>
      </c>
      <c r="M76" s="26">
        <f t="shared" si="20"/>
        <v>-1.73</v>
      </c>
      <c r="N76" s="26"/>
      <c r="O76" s="28">
        <f t="shared" si="21"/>
        <v>-272.82</v>
      </c>
      <c r="Q76" s="1" cm="1">
        <f t="array" ref="Q76">SUM(AF76,AH76:AI76)/(INDEX('小红书-订单明细'!W:W,MATCH(R76&amp;AC76,'小红书-订单明细'!A:A&amp;'小红书-订单明细'!O:O,0))/(INDEX('小红书-订单明细'!T:T,MATCH(R76&amp;AC76,'小红书-订单明细'!A:A&amp;'小红书-订单明细'!O:O,0))))</f>
        <v>-1</v>
      </c>
      <c r="R76" s="37" t="s">
        <v>1391</v>
      </c>
      <c r="S76" s="35" t="s">
        <v>1910</v>
      </c>
      <c r="T76" s="35" t="s">
        <v>1903</v>
      </c>
      <c r="U76" s="35" t="s">
        <v>1911</v>
      </c>
      <c r="V76" s="35" t="s">
        <v>1899</v>
      </c>
      <c r="W76" s="38" t="s">
        <v>1748</v>
      </c>
      <c r="X76" s="38" t="s">
        <v>1749</v>
      </c>
      <c r="Y76" s="35">
        <v>-272.82</v>
      </c>
      <c r="Z76" s="31" t="s">
        <v>1912</v>
      </c>
      <c r="AA76" s="38" t="s">
        <v>1773</v>
      </c>
      <c r="AB76" s="35" t="s">
        <v>1414</v>
      </c>
      <c r="AC76" s="37" t="s">
        <v>1415</v>
      </c>
      <c r="AD76" s="32">
        <v>0</v>
      </c>
      <c r="AE76" s="35">
        <v>-289</v>
      </c>
      <c r="AF76" s="37">
        <v>-289</v>
      </c>
      <c r="AG76" s="35">
        <v>0</v>
      </c>
      <c r="AH76" s="35">
        <v>0</v>
      </c>
      <c r="AI76" s="33">
        <v>0</v>
      </c>
      <c r="AJ76" s="33">
        <v>0</v>
      </c>
      <c r="AK76" s="32">
        <v>0</v>
      </c>
      <c r="AL76" s="32">
        <v>0</v>
      </c>
      <c r="AM76" s="33">
        <v>14.45</v>
      </c>
      <c r="AN76" s="33">
        <v>0</v>
      </c>
      <c r="AO76" s="32">
        <v>0</v>
      </c>
      <c r="AP76" s="32">
        <v>0</v>
      </c>
      <c r="AQ76" s="34" t="s">
        <v>101</v>
      </c>
      <c r="AR76" s="32">
        <v>0</v>
      </c>
      <c r="AS76" s="32">
        <v>0</v>
      </c>
      <c r="AT76" s="33">
        <v>1.73</v>
      </c>
      <c r="AU76" s="35" t="s">
        <v>148</v>
      </c>
      <c r="AV76" s="38" t="s">
        <v>1752</v>
      </c>
      <c r="AW76" s="38" t="s">
        <v>1753</v>
      </c>
      <c r="AX76" s="35"/>
      <c r="AY76" s="35"/>
      <c r="AZ76" s="33">
        <v>0</v>
      </c>
      <c r="BA76" s="32">
        <v>0</v>
      </c>
      <c r="BB76" s="32">
        <v>0</v>
      </c>
      <c r="BC76" s="32">
        <v>0</v>
      </c>
      <c r="BD76" s="32">
        <v>0</v>
      </c>
      <c r="BE76" s="35"/>
    </row>
    <row r="77" customHeight="1" spans="1:57">
      <c r="A77" s="25">
        <f t="shared" si="11"/>
        <v>2025</v>
      </c>
      <c r="B77" s="26">
        <f t="shared" si="12"/>
        <v>8</v>
      </c>
      <c r="C77" s="26" t="str">
        <f t="shared" si="13"/>
        <v>P770643835711413521</v>
      </c>
      <c r="D77" s="26">
        <f t="shared" si="14"/>
        <v>6</v>
      </c>
      <c r="E77" s="26">
        <f>COUNTIF($R$2:R77,R77)</f>
        <v>4</v>
      </c>
      <c r="F77" s="27" t="str" cm="1">
        <f t="array" ref="F77">INDEX('小红书-订单明细'!BQ:BQ,MATCH(R77&amp;AC77,'小红书-订单明细'!A:A&amp;'小红书-订单明细'!O:O,0))</f>
        <v>Z1576-黑色-S</v>
      </c>
      <c r="G77" s="27" t="str">
        <f t="shared" si="15"/>
        <v>Z1576</v>
      </c>
      <c r="H77" s="26" cm="1">
        <f t="array" ref="H77">IF(ABS(BG77)&gt;=1,SUM(AF77,AH77:AI77)/(INDEX('小红书-订单明细'!W:W,MATCH(R77&amp;AC77,'小红书-订单明细'!A:A&amp;'小红书-订单明细'!O:O,0))/(INDEX('小红书-订单明细'!T:T,MATCH(R77&amp;AC77,'小红书-订单明细'!A:A&amp;'小红书-订单明细'!O:O,0)))),IF(ABS(SUM(AF77,AH77:AI77)/(INDEX('小红书-订单明细'!W:W,MATCH(R77&amp;AC77,'小红书-订单明细'!A:A&amp;'小红书-订单明细'!O:O,0))/(INDEX('小红书-订单明细'!T:T,MATCH(R77&amp;AC77,'小红书-订单明细'!A:A&amp;'小红书-订单明细'!O:O,0)))))&gt;15%,ROUNDUP(SUM(AF77,AH77:AI77)/(INDEX('小红书-订单明细'!W:W,MATCH(R77&amp;AC77,'小红书-订单明细'!A:A&amp;'小红书-订单明细'!O:O,0))/(INDEX('小红书-订单明细'!T:T,MATCH(R77&amp;AC77,'小红书-订单明细'!A:A&amp;'小红书-订单明细'!O:O,0)))),0),ROUNDDOWN(SUM(AF77,AH77:AI77)/(INDEX('小红书-订单明细'!W:W,MATCH(R77&amp;AC77,'小红书-订单明细'!A:A&amp;'小红书-订单明细'!O:O,0))/(INDEX('小红书-订单明细'!T:T,MATCH(R77&amp;AC77,'小红书-订单明细'!A:A&amp;'小红书-订单明细'!O:O,0)))),0)))</f>
        <v>1</v>
      </c>
      <c r="I77" s="26">
        <f t="shared" si="16"/>
        <v>199</v>
      </c>
      <c r="J77" s="26">
        <f t="shared" si="17"/>
        <v>0</v>
      </c>
      <c r="K77" s="26">
        <f t="shared" si="18"/>
        <v>0</v>
      </c>
      <c r="L77" s="26">
        <f t="shared" si="19"/>
        <v>9.95</v>
      </c>
      <c r="M77" s="26">
        <f t="shared" si="20"/>
        <v>1.19</v>
      </c>
      <c r="N77" s="26"/>
      <c r="O77" s="28">
        <f t="shared" si="21"/>
        <v>187.86</v>
      </c>
      <c r="Q77" s="1" cm="1">
        <f t="array" ref="Q77">SUM(AF77,AH77:AI77)/(INDEX('小红书-订单明细'!W:W,MATCH(R77&amp;AC77,'小红书-订单明细'!A:A&amp;'小红书-订单明细'!O:O,0))/(INDEX('小红书-订单明细'!T:T,MATCH(R77&amp;AC77,'小红书-订单明细'!A:A&amp;'小红书-订单明细'!O:O,0))))</f>
        <v>1</v>
      </c>
      <c r="R77" s="37" t="s">
        <v>1391</v>
      </c>
      <c r="S77" s="35"/>
      <c r="T77" s="35" t="s">
        <v>1903</v>
      </c>
      <c r="U77" s="35" t="s">
        <v>1913</v>
      </c>
      <c r="V77" s="35" t="s">
        <v>1899</v>
      </c>
      <c r="W77" s="38" t="s">
        <v>1755</v>
      </c>
      <c r="X77" s="38" t="s">
        <v>1749</v>
      </c>
      <c r="Y77" s="35">
        <v>640.23</v>
      </c>
      <c r="Z77" s="31" t="s">
        <v>1909</v>
      </c>
      <c r="AA77" s="38" t="s">
        <v>1751</v>
      </c>
      <c r="AB77" s="35" t="s">
        <v>1407</v>
      </c>
      <c r="AC77" s="37" t="s">
        <v>1408</v>
      </c>
      <c r="AD77" s="32">
        <v>1</v>
      </c>
      <c r="AE77" s="35">
        <v>199</v>
      </c>
      <c r="AF77" s="36">
        <v>199</v>
      </c>
      <c r="AG77" s="35" t="s">
        <v>75</v>
      </c>
      <c r="AH77" s="35">
        <v>0</v>
      </c>
      <c r="AI77" s="33">
        <v>0</v>
      </c>
      <c r="AJ77" s="33">
        <v>0</v>
      </c>
      <c r="AK77" s="32">
        <v>0.05</v>
      </c>
      <c r="AL77" s="32">
        <v>0</v>
      </c>
      <c r="AM77" s="33">
        <v>-9.95</v>
      </c>
      <c r="AN77" s="33">
        <v>199</v>
      </c>
      <c r="AO77" s="32">
        <v>199</v>
      </c>
      <c r="AP77" s="32">
        <v>0</v>
      </c>
      <c r="AQ77" s="34" t="s">
        <v>101</v>
      </c>
      <c r="AR77" s="32">
        <v>0</v>
      </c>
      <c r="AS77" s="32">
        <v>0.006</v>
      </c>
      <c r="AT77" s="33">
        <v>-1.19</v>
      </c>
      <c r="AU77" s="35" t="s">
        <v>148</v>
      </c>
      <c r="AV77" s="38" t="s">
        <v>1752</v>
      </c>
      <c r="AW77" s="38" t="s">
        <v>1753</v>
      </c>
      <c r="AX77" s="35"/>
      <c r="AY77" s="35"/>
      <c r="AZ77" s="33">
        <v>0</v>
      </c>
      <c r="BA77" s="32">
        <v>0</v>
      </c>
      <c r="BB77" s="32">
        <v>0</v>
      </c>
      <c r="BC77" s="32">
        <v>0</v>
      </c>
      <c r="BD77" s="32">
        <v>0</v>
      </c>
      <c r="BE77" s="35"/>
    </row>
    <row r="78" customHeight="1" spans="1:57">
      <c r="A78" s="25">
        <f t="shared" si="11"/>
        <v>2025</v>
      </c>
      <c r="B78" s="26">
        <f t="shared" si="12"/>
        <v>8</v>
      </c>
      <c r="C78" s="26" t="str">
        <f t="shared" si="13"/>
        <v>P770643835711413521</v>
      </c>
      <c r="D78" s="26">
        <f t="shared" si="14"/>
        <v>6</v>
      </c>
      <c r="E78" s="26">
        <f>COUNTIF($R$2:R78,R78)</f>
        <v>5</v>
      </c>
      <c r="F78" s="27" t="str" cm="1">
        <f t="array" ref="F78">INDEX('小红书-订单明细'!BQ:BQ,MATCH(R78&amp;AC78,'小红书-订单明细'!A:A&amp;'小红书-订单明细'!O:O,0))</f>
        <v>Z1640-黑色-S</v>
      </c>
      <c r="G78" s="27" t="str">
        <f t="shared" si="15"/>
        <v>Z1640</v>
      </c>
      <c r="H78" s="26" cm="1">
        <f t="array" ref="H78">IF(ABS(BG78)&gt;=1,SUM(AF78,AH78:AI78)/(INDEX('小红书-订单明细'!W:W,MATCH(R78&amp;AC78,'小红书-订单明细'!A:A&amp;'小红书-订单明细'!O:O,0))/(INDEX('小红书-订单明细'!T:T,MATCH(R78&amp;AC78,'小红书-订单明细'!A:A&amp;'小红书-订单明细'!O:O,0)))),IF(ABS(SUM(AF78,AH78:AI78)/(INDEX('小红书-订单明细'!W:W,MATCH(R78&amp;AC78,'小红书-订单明细'!A:A&amp;'小红书-订单明细'!O:O,0))/(INDEX('小红书-订单明细'!T:T,MATCH(R78&amp;AC78,'小红书-订单明细'!A:A&amp;'小红书-订单明细'!O:O,0)))))&gt;15%,ROUNDUP(SUM(AF78,AH78:AI78)/(INDEX('小红书-订单明细'!W:W,MATCH(R78&amp;AC78,'小红书-订单明细'!A:A&amp;'小红书-订单明细'!O:O,0))/(INDEX('小红书-订单明细'!T:T,MATCH(R78&amp;AC78,'小红书-订单明细'!A:A&amp;'小红书-订单明细'!O:O,0)))),0),ROUNDDOWN(SUM(AF78,AH78:AI78)/(INDEX('小红书-订单明细'!W:W,MATCH(R78&amp;AC78,'小红书-订单明细'!A:A&amp;'小红书-订单明细'!O:O,0))/(INDEX('小红书-订单明细'!T:T,MATCH(R78&amp;AC78,'小红书-订单明细'!A:A&amp;'小红书-订单明细'!O:O,0)))),0)))</f>
        <v>1</v>
      </c>
      <c r="I78" s="26">
        <f t="shared" si="16"/>
        <v>289</v>
      </c>
      <c r="J78" s="26">
        <f t="shared" si="17"/>
        <v>0</v>
      </c>
      <c r="K78" s="26">
        <f t="shared" si="18"/>
        <v>0</v>
      </c>
      <c r="L78" s="26">
        <f t="shared" si="19"/>
        <v>14.45</v>
      </c>
      <c r="M78" s="26">
        <f t="shared" si="20"/>
        <v>1.73</v>
      </c>
      <c r="N78" s="26"/>
      <c r="O78" s="28">
        <f t="shared" si="21"/>
        <v>272.82</v>
      </c>
      <c r="Q78" s="1" cm="1">
        <f t="array" ref="Q78">SUM(AF78,AH78:AI78)/(INDEX('小红书-订单明细'!W:W,MATCH(R78&amp;AC78,'小红书-订单明细'!A:A&amp;'小红书-订单明细'!O:O,0))/(INDEX('小红书-订单明细'!T:T,MATCH(R78&amp;AC78,'小红书-订单明细'!A:A&amp;'小红书-订单明细'!O:O,0))))</f>
        <v>1</v>
      </c>
      <c r="R78" s="37" t="s">
        <v>1391</v>
      </c>
      <c r="S78" s="35"/>
      <c r="T78" s="35" t="s">
        <v>1903</v>
      </c>
      <c r="U78" s="35" t="s">
        <v>1913</v>
      </c>
      <c r="V78" s="35" t="s">
        <v>1899</v>
      </c>
      <c r="W78" s="38" t="s">
        <v>1755</v>
      </c>
      <c r="X78" s="38" t="s">
        <v>1749</v>
      </c>
      <c r="Y78" s="35">
        <v>640.23</v>
      </c>
      <c r="Z78" s="31" t="s">
        <v>1912</v>
      </c>
      <c r="AA78" s="38" t="s">
        <v>1773</v>
      </c>
      <c r="AB78" s="35" t="s">
        <v>1414</v>
      </c>
      <c r="AC78" s="37" t="s">
        <v>1415</v>
      </c>
      <c r="AD78" s="32">
        <v>1</v>
      </c>
      <c r="AE78" s="35">
        <v>289</v>
      </c>
      <c r="AF78" s="36">
        <v>289</v>
      </c>
      <c r="AG78" s="35" t="s">
        <v>75</v>
      </c>
      <c r="AH78" s="35">
        <v>0</v>
      </c>
      <c r="AI78" s="33">
        <v>0</v>
      </c>
      <c r="AJ78" s="33">
        <v>0</v>
      </c>
      <c r="AK78" s="32">
        <v>0.05</v>
      </c>
      <c r="AL78" s="32">
        <v>0</v>
      </c>
      <c r="AM78" s="33">
        <v>-14.45</v>
      </c>
      <c r="AN78" s="33">
        <v>289</v>
      </c>
      <c r="AO78" s="32">
        <v>289</v>
      </c>
      <c r="AP78" s="32">
        <v>0</v>
      </c>
      <c r="AQ78" s="34" t="s">
        <v>101</v>
      </c>
      <c r="AR78" s="32">
        <v>0</v>
      </c>
      <c r="AS78" s="32">
        <v>0.006</v>
      </c>
      <c r="AT78" s="33">
        <v>-1.73</v>
      </c>
      <c r="AU78" s="35" t="s">
        <v>148</v>
      </c>
      <c r="AV78" s="38" t="s">
        <v>1752</v>
      </c>
      <c r="AW78" s="38" t="s">
        <v>1753</v>
      </c>
      <c r="AX78" s="35"/>
      <c r="AY78" s="35"/>
      <c r="AZ78" s="33">
        <v>0</v>
      </c>
      <c r="BA78" s="32">
        <v>0</v>
      </c>
      <c r="BB78" s="32">
        <v>0</v>
      </c>
      <c r="BC78" s="32">
        <v>0</v>
      </c>
      <c r="BD78" s="32">
        <v>0</v>
      </c>
      <c r="BE78" s="35"/>
    </row>
    <row r="79" customHeight="1" spans="1:57">
      <c r="A79" s="25">
        <f t="shared" si="11"/>
        <v>2025</v>
      </c>
      <c r="B79" s="26">
        <f t="shared" si="12"/>
        <v>8</v>
      </c>
      <c r="C79" s="26" t="str">
        <f t="shared" si="13"/>
        <v>P770643835711413521</v>
      </c>
      <c r="D79" s="26">
        <f t="shared" si="14"/>
        <v>6</v>
      </c>
      <c r="E79" s="26">
        <f>COUNTIF($R$2:R79,R79)</f>
        <v>6</v>
      </c>
      <c r="F79" s="27" t="str" cm="1">
        <f t="array" ref="F79">INDEX('小红书-订单明细'!BQ:BQ,MATCH(R79&amp;AC79,'小红书-订单明细'!A:A&amp;'小红书-订单明细'!O:O,0))</f>
        <v>Z1645-黑色-S</v>
      </c>
      <c r="G79" s="27" t="str">
        <f t="shared" si="15"/>
        <v>Z1645</v>
      </c>
      <c r="H79" s="26" cm="1">
        <f t="array" ref="H79">IF(ABS(BG79)&gt;=1,SUM(AF79,AH79:AI79)/(INDEX('小红书-订单明细'!W:W,MATCH(R79&amp;AC79,'小红书-订单明细'!A:A&amp;'小红书-订单明细'!O:O,0))/(INDEX('小红书-订单明细'!T:T,MATCH(R79&amp;AC79,'小红书-订单明细'!A:A&amp;'小红书-订单明细'!O:O,0)))),IF(ABS(SUM(AF79,AH79:AI79)/(INDEX('小红书-订单明细'!W:W,MATCH(R79&amp;AC79,'小红书-订单明细'!A:A&amp;'小红书-订单明细'!O:O,0))/(INDEX('小红书-订单明细'!T:T,MATCH(R79&amp;AC79,'小红书-订单明细'!A:A&amp;'小红书-订单明细'!O:O,0)))))&gt;15%,ROUNDUP(SUM(AF79,AH79:AI79)/(INDEX('小红书-订单明细'!W:W,MATCH(R79&amp;AC79,'小红书-订单明细'!A:A&amp;'小红书-订单明细'!O:O,0))/(INDEX('小红书-订单明细'!T:T,MATCH(R79&amp;AC79,'小红书-订单明细'!A:A&amp;'小红书-订单明细'!O:O,0)))),0),ROUNDDOWN(SUM(AF79,AH79:AI79)/(INDEX('小红书-订单明细'!W:W,MATCH(R79&amp;AC79,'小红书-订单明细'!A:A&amp;'小红书-订单明细'!O:O,0))/(INDEX('小红书-订单明细'!T:T,MATCH(R79&amp;AC79,'小红书-订单明细'!A:A&amp;'小红书-订单明细'!O:O,0)))),0)))</f>
        <v>1</v>
      </c>
      <c r="I79" s="26">
        <f t="shared" si="16"/>
        <v>189</v>
      </c>
      <c r="J79" s="26">
        <f t="shared" si="17"/>
        <v>0</v>
      </c>
      <c r="K79" s="26">
        <f t="shared" si="18"/>
        <v>0</v>
      </c>
      <c r="L79" s="26">
        <f t="shared" si="19"/>
        <v>9.45</v>
      </c>
      <c r="M79" s="26">
        <f t="shared" si="20"/>
        <v>0</v>
      </c>
      <c r="N79" s="26"/>
      <c r="O79" s="28">
        <f t="shared" si="21"/>
        <v>179.55</v>
      </c>
      <c r="Q79" s="1" cm="1">
        <f t="array" ref="Q79">SUM(AF79,AH79:AI79)/(INDEX('小红书-订单明细'!W:W,MATCH(R79&amp;AC79,'小红书-订单明细'!A:A&amp;'小红书-订单明细'!O:O,0))/(INDEX('小红书-订单明细'!T:T,MATCH(R79&amp;AC79,'小红书-订单明细'!A:A&amp;'小红书-订单明细'!O:O,0))))</f>
        <v>1</v>
      </c>
      <c r="R79" s="37" t="s">
        <v>1391</v>
      </c>
      <c r="S79" s="35"/>
      <c r="T79" s="35" t="s">
        <v>1903</v>
      </c>
      <c r="U79" s="35" t="s">
        <v>1913</v>
      </c>
      <c r="V79" s="35" t="s">
        <v>1899</v>
      </c>
      <c r="W79" s="38" t="s">
        <v>1755</v>
      </c>
      <c r="X79" s="38" t="s">
        <v>1749</v>
      </c>
      <c r="Y79" s="35">
        <v>640.23</v>
      </c>
      <c r="Z79" s="31" t="s">
        <v>1905</v>
      </c>
      <c r="AA79" s="38" t="s">
        <v>1906</v>
      </c>
      <c r="AB79" s="35" t="s">
        <v>409</v>
      </c>
      <c r="AC79" s="37" t="s">
        <v>410</v>
      </c>
      <c r="AD79" s="32">
        <v>1</v>
      </c>
      <c r="AE79" s="35">
        <v>189</v>
      </c>
      <c r="AF79" s="36">
        <v>189</v>
      </c>
      <c r="AG79" s="35" t="s">
        <v>75</v>
      </c>
      <c r="AH79" s="35">
        <v>0</v>
      </c>
      <c r="AI79" s="33">
        <v>0</v>
      </c>
      <c r="AJ79" s="33">
        <v>0</v>
      </c>
      <c r="AK79" s="32">
        <v>0.05</v>
      </c>
      <c r="AL79" s="32">
        <v>0</v>
      </c>
      <c r="AM79" s="33">
        <v>-9.45</v>
      </c>
      <c r="AN79" s="33">
        <v>189</v>
      </c>
      <c r="AO79" s="32">
        <v>189</v>
      </c>
      <c r="AP79" s="32">
        <v>0</v>
      </c>
      <c r="AQ79" s="34" t="s">
        <v>101</v>
      </c>
      <c r="AR79" s="32">
        <v>0</v>
      </c>
      <c r="AS79" s="32">
        <v>0</v>
      </c>
      <c r="AT79" s="33">
        <v>0</v>
      </c>
      <c r="AU79" s="35" t="s">
        <v>75</v>
      </c>
      <c r="AV79" s="35" t="s">
        <v>75</v>
      </c>
      <c r="AW79" s="35"/>
      <c r="AX79" s="35"/>
      <c r="AY79" s="35"/>
      <c r="AZ79" s="33">
        <v>0</v>
      </c>
      <c r="BA79" s="32">
        <v>0</v>
      </c>
      <c r="BB79" s="32">
        <v>0</v>
      </c>
      <c r="BC79" s="32">
        <v>0</v>
      </c>
      <c r="BD79" s="32">
        <v>0</v>
      </c>
      <c r="BE79" s="35"/>
    </row>
    <row r="80" customHeight="1" spans="1:57">
      <c r="A80" s="25">
        <f t="shared" si="11"/>
        <v>2025</v>
      </c>
      <c r="B80" s="26">
        <f t="shared" si="12"/>
        <v>8</v>
      </c>
      <c r="C80" s="26" t="str">
        <f t="shared" si="13"/>
        <v>P770625887719453891</v>
      </c>
      <c r="D80" s="26">
        <f t="shared" si="14"/>
        <v>2</v>
      </c>
      <c r="E80" s="26">
        <f>COUNTIF($R$2:R80,R80)</f>
        <v>2</v>
      </c>
      <c r="F80" s="27" t="str" cm="1">
        <f t="array" ref="F80">INDEX('小红书-订单明细'!BQ:BQ,MATCH(R80&amp;AC80,'小红书-订单明细'!A:A&amp;'小红书-订单明细'!O:O,0))</f>
        <v>Z2284-牛仔蓝色-L</v>
      </c>
      <c r="G80" s="27" t="str">
        <f t="shared" si="15"/>
        <v>Z2284</v>
      </c>
      <c r="H80" s="26" cm="1">
        <f t="array" ref="H80">IF(ABS(BG80)&gt;=1,SUM(AF80,AH80:AI80)/(INDEX('小红书-订单明细'!W:W,MATCH(R80&amp;AC80,'小红书-订单明细'!A:A&amp;'小红书-订单明细'!O:O,0))/(INDEX('小红书-订单明细'!T:T,MATCH(R80&amp;AC80,'小红书-订单明细'!A:A&amp;'小红书-订单明细'!O:O,0)))),IF(ABS(SUM(AF80,AH80:AI80)/(INDEX('小红书-订单明细'!W:W,MATCH(R80&amp;AC80,'小红书-订单明细'!A:A&amp;'小红书-订单明细'!O:O,0))/(INDEX('小红书-订单明细'!T:T,MATCH(R80&amp;AC80,'小红书-订单明细'!A:A&amp;'小红书-订单明细'!O:O,0)))))&gt;15%,ROUNDUP(SUM(AF80,AH80:AI80)/(INDEX('小红书-订单明细'!W:W,MATCH(R80&amp;AC80,'小红书-订单明细'!A:A&amp;'小红书-订单明细'!O:O,0))/(INDEX('小红书-订单明细'!T:T,MATCH(R80&amp;AC80,'小红书-订单明细'!A:A&amp;'小红书-订单明细'!O:O,0)))),0),ROUNDDOWN(SUM(AF80,AH80:AI80)/(INDEX('小红书-订单明细'!W:W,MATCH(R80&amp;AC80,'小红书-订单明细'!A:A&amp;'小红书-订单明细'!O:O,0))/(INDEX('小红书-订单明细'!T:T,MATCH(R80&amp;AC80,'小红书-订单明细'!A:A&amp;'小红书-订单明细'!O:O,0)))),0)))</f>
        <v>1</v>
      </c>
      <c r="I80" s="26">
        <f t="shared" si="16"/>
        <v>399</v>
      </c>
      <c r="J80" s="26">
        <f t="shared" si="17"/>
        <v>0</v>
      </c>
      <c r="K80" s="26">
        <f t="shared" si="18"/>
        <v>0</v>
      </c>
      <c r="L80" s="26">
        <f t="shared" si="19"/>
        <v>19.95</v>
      </c>
      <c r="M80" s="26">
        <f t="shared" si="20"/>
        <v>2.39</v>
      </c>
      <c r="N80" s="26"/>
      <c r="O80" s="28">
        <f t="shared" si="21"/>
        <v>376.66</v>
      </c>
      <c r="Q80" s="1" cm="1">
        <f t="array" ref="Q80">SUM(AF80,AH80:AI80)/(INDEX('小红书-订单明细'!W:W,MATCH(R80&amp;AC80,'小红书-订单明细'!A:A&amp;'小红书-订单明细'!O:O,0))/(INDEX('小红书-订单明细'!T:T,MATCH(R80&amp;AC80,'小红书-订单明细'!A:A&amp;'小红书-订单明细'!O:O,0))))</f>
        <v>1</v>
      </c>
      <c r="R80" s="37" t="s">
        <v>1545</v>
      </c>
      <c r="S80" s="35"/>
      <c r="T80" s="35" t="s">
        <v>1558</v>
      </c>
      <c r="U80" s="35" t="s">
        <v>1561</v>
      </c>
      <c r="V80" s="35" t="s">
        <v>1899</v>
      </c>
      <c r="W80" s="38" t="s">
        <v>1755</v>
      </c>
      <c r="X80" s="38" t="s">
        <v>1749</v>
      </c>
      <c r="Y80" s="35">
        <v>376.66</v>
      </c>
      <c r="Z80" s="31" t="s">
        <v>1900</v>
      </c>
      <c r="AA80" s="38" t="s">
        <v>1901</v>
      </c>
      <c r="AB80" s="35" t="s">
        <v>1551</v>
      </c>
      <c r="AC80" s="37" t="s">
        <v>1552</v>
      </c>
      <c r="AD80" s="32">
        <v>1</v>
      </c>
      <c r="AE80" s="35">
        <v>399</v>
      </c>
      <c r="AF80" s="36">
        <v>399</v>
      </c>
      <c r="AG80" s="35" t="s">
        <v>75</v>
      </c>
      <c r="AH80" s="35">
        <v>0</v>
      </c>
      <c r="AI80" s="33">
        <v>0</v>
      </c>
      <c r="AJ80" s="33">
        <v>0</v>
      </c>
      <c r="AK80" s="32">
        <v>0.05</v>
      </c>
      <c r="AL80" s="32">
        <v>0</v>
      </c>
      <c r="AM80" s="33">
        <v>-19.95</v>
      </c>
      <c r="AN80" s="33">
        <v>399</v>
      </c>
      <c r="AO80" s="32">
        <v>399</v>
      </c>
      <c r="AP80" s="32">
        <v>0</v>
      </c>
      <c r="AQ80" s="34" t="s">
        <v>101</v>
      </c>
      <c r="AR80" s="32">
        <v>0</v>
      </c>
      <c r="AS80" s="32">
        <v>0.006</v>
      </c>
      <c r="AT80" s="33">
        <v>-2.39</v>
      </c>
      <c r="AU80" s="35" t="s">
        <v>148</v>
      </c>
      <c r="AV80" s="38" t="s">
        <v>1752</v>
      </c>
      <c r="AW80" s="38" t="s">
        <v>1753</v>
      </c>
      <c r="AX80" s="35"/>
      <c r="AY80" s="35"/>
      <c r="AZ80" s="33">
        <v>0</v>
      </c>
      <c r="BA80" s="32">
        <v>0</v>
      </c>
      <c r="BB80" s="32">
        <v>0</v>
      </c>
      <c r="BC80" s="32">
        <v>0</v>
      </c>
      <c r="BD80" s="32">
        <v>0</v>
      </c>
      <c r="BE80" s="35"/>
    </row>
    <row r="81" customHeight="1" spans="1:57">
      <c r="A81" s="25">
        <f t="shared" si="11"/>
        <v>2025</v>
      </c>
      <c r="B81" s="26">
        <f t="shared" si="12"/>
        <v>8</v>
      </c>
      <c r="C81" s="26" t="str">
        <f t="shared" si="13"/>
        <v>P770986869946371481</v>
      </c>
      <c r="D81" s="26">
        <f t="shared" si="14"/>
        <v>4</v>
      </c>
      <c r="E81" s="26">
        <f>COUNTIF($R$2:R81,R81)</f>
        <v>1</v>
      </c>
      <c r="F81" s="27" t="str" cm="1">
        <f t="array" ref="F81">INDEX('小红书-订单明细'!BQ:BQ,MATCH(R81&amp;AC81,'小红书-订单明细'!A:A&amp;'小红书-订单明细'!O:O,0))</f>
        <v>Z2218-黑色-M</v>
      </c>
      <c r="G81" s="27" t="str">
        <f t="shared" si="15"/>
        <v>Z2218</v>
      </c>
      <c r="H81" s="26" cm="1">
        <f t="array" ref="H81">IF(ABS(BG81)&gt;=1,SUM(AF81,AH81:AI81)/(INDEX('小红书-订单明细'!W:W,MATCH(R81&amp;AC81,'小红书-订单明细'!A:A&amp;'小红书-订单明细'!O:O,0))/(INDEX('小红书-订单明细'!T:T,MATCH(R81&amp;AC81,'小红书-订单明细'!A:A&amp;'小红书-订单明细'!O:O,0)))),IF(ABS(SUM(AF81,AH81:AI81)/(INDEX('小红书-订单明细'!W:W,MATCH(R81&amp;AC81,'小红书-订单明细'!A:A&amp;'小红书-订单明细'!O:O,0))/(INDEX('小红书-订单明细'!T:T,MATCH(R81&amp;AC81,'小红书-订单明细'!A:A&amp;'小红书-订单明细'!O:O,0)))))&gt;15%,ROUNDUP(SUM(AF81,AH81:AI81)/(INDEX('小红书-订单明细'!W:W,MATCH(R81&amp;AC81,'小红书-订单明细'!A:A&amp;'小红书-订单明细'!O:O,0))/(INDEX('小红书-订单明细'!T:T,MATCH(R81&amp;AC81,'小红书-订单明细'!A:A&amp;'小红书-订单明细'!O:O,0)))),0),ROUNDDOWN(SUM(AF81,AH81:AI81)/(INDEX('小红书-订单明细'!W:W,MATCH(R81&amp;AC81,'小红书-订单明细'!A:A&amp;'小红书-订单明细'!O:O,0))/(INDEX('小红书-订单明细'!T:T,MATCH(R81&amp;AC81,'小红书-订单明细'!A:A&amp;'小红书-订单明细'!O:O,0)))),0)))</f>
        <v>-1</v>
      </c>
      <c r="I81" s="26">
        <f t="shared" si="16"/>
        <v>-229</v>
      </c>
      <c r="J81" s="26">
        <f t="shared" si="17"/>
        <v>0</v>
      </c>
      <c r="K81" s="26">
        <f t="shared" si="18"/>
        <v>0</v>
      </c>
      <c r="L81" s="26">
        <f t="shared" si="19"/>
        <v>-11.45</v>
      </c>
      <c r="M81" s="26">
        <f t="shared" si="20"/>
        <v>-1.37</v>
      </c>
      <c r="N81" s="26"/>
      <c r="O81" s="28">
        <f t="shared" si="21"/>
        <v>-216.18</v>
      </c>
      <c r="Q81" s="1" cm="1">
        <f t="array" ref="Q81">SUM(AF81,AH81:AI81)/(INDEX('小红书-订单明细'!W:W,MATCH(R81&amp;AC81,'小红书-订单明细'!A:A&amp;'小红书-订单明细'!O:O,0))/(INDEX('小红书-订单明细'!T:T,MATCH(R81&amp;AC81,'小红书-订单明细'!A:A&amp;'小红书-订单明细'!O:O,0))))</f>
        <v>-1</v>
      </c>
      <c r="R81" s="37" t="s">
        <v>222</v>
      </c>
      <c r="S81" s="35" t="s">
        <v>1914</v>
      </c>
      <c r="T81" s="35" t="s">
        <v>1915</v>
      </c>
      <c r="U81" s="35" t="s">
        <v>1916</v>
      </c>
      <c r="V81" s="35" t="s">
        <v>1917</v>
      </c>
      <c r="W81" s="38" t="s">
        <v>1748</v>
      </c>
      <c r="X81" s="38" t="s">
        <v>1749</v>
      </c>
      <c r="Y81" s="35">
        <v>-216.18</v>
      </c>
      <c r="Z81" s="31" t="s">
        <v>1918</v>
      </c>
      <c r="AA81" s="38" t="s">
        <v>1773</v>
      </c>
      <c r="AB81" s="35" t="s">
        <v>231</v>
      </c>
      <c r="AC81" s="37" t="s">
        <v>232</v>
      </c>
      <c r="AD81" s="32">
        <v>0</v>
      </c>
      <c r="AE81" s="35">
        <v>-229</v>
      </c>
      <c r="AF81" s="37">
        <v>-229</v>
      </c>
      <c r="AG81" s="35">
        <v>0</v>
      </c>
      <c r="AH81" s="35">
        <v>0</v>
      </c>
      <c r="AI81" s="33">
        <v>0</v>
      </c>
      <c r="AJ81" s="33">
        <v>0</v>
      </c>
      <c r="AK81" s="32">
        <v>0</v>
      </c>
      <c r="AL81" s="32">
        <v>0</v>
      </c>
      <c r="AM81" s="33">
        <v>11.45</v>
      </c>
      <c r="AN81" s="33">
        <v>0</v>
      </c>
      <c r="AO81" s="32">
        <v>0</v>
      </c>
      <c r="AP81" s="32">
        <v>0</v>
      </c>
      <c r="AQ81" s="34" t="s">
        <v>101</v>
      </c>
      <c r="AR81" s="32">
        <v>0</v>
      </c>
      <c r="AS81" s="32">
        <v>0</v>
      </c>
      <c r="AT81" s="33">
        <v>1.37</v>
      </c>
      <c r="AU81" s="35" t="s">
        <v>148</v>
      </c>
      <c r="AV81" s="38" t="s">
        <v>1752</v>
      </c>
      <c r="AW81" s="38" t="s">
        <v>1753</v>
      </c>
      <c r="AX81" s="35"/>
      <c r="AY81" s="35"/>
      <c r="AZ81" s="33">
        <v>0</v>
      </c>
      <c r="BA81" s="32">
        <v>0</v>
      </c>
      <c r="BB81" s="32">
        <v>0</v>
      </c>
      <c r="BC81" s="32">
        <v>0</v>
      </c>
      <c r="BD81" s="32">
        <v>0</v>
      </c>
      <c r="BE81" s="35"/>
    </row>
    <row r="82" customHeight="1" spans="1:57">
      <c r="A82" s="25">
        <f t="shared" si="11"/>
        <v>2025</v>
      </c>
      <c r="B82" s="26">
        <f t="shared" si="12"/>
        <v>8</v>
      </c>
      <c r="C82" s="26" t="str">
        <f t="shared" si="13"/>
        <v>P770986869946371481</v>
      </c>
      <c r="D82" s="26">
        <f t="shared" si="14"/>
        <v>4</v>
      </c>
      <c r="E82" s="26">
        <f>COUNTIF($R$2:R82,R82)</f>
        <v>2</v>
      </c>
      <c r="F82" s="27" t="str" cm="1">
        <f t="array" ref="F82">INDEX('小红书-订单明细'!BQ:BQ,MATCH(R82&amp;AC82,'小红书-订单明细'!A:A&amp;'小红书-订单明细'!O:O,0))</f>
        <v>Z2218-黑色-S</v>
      </c>
      <c r="G82" s="27" t="str">
        <f t="shared" si="15"/>
        <v>Z2218</v>
      </c>
      <c r="H82" s="26" cm="1">
        <f t="array" ref="H82">IF(ABS(BG82)&gt;=1,SUM(AF82,AH82:AI82)/(INDEX('小红书-订单明细'!W:W,MATCH(R82&amp;AC82,'小红书-订单明细'!A:A&amp;'小红书-订单明细'!O:O,0))/(INDEX('小红书-订单明细'!T:T,MATCH(R82&amp;AC82,'小红书-订单明细'!A:A&amp;'小红书-订单明细'!O:O,0)))),IF(ABS(SUM(AF82,AH82:AI82)/(INDEX('小红书-订单明细'!W:W,MATCH(R82&amp;AC82,'小红书-订单明细'!A:A&amp;'小红书-订单明细'!O:O,0))/(INDEX('小红书-订单明细'!T:T,MATCH(R82&amp;AC82,'小红书-订单明细'!A:A&amp;'小红书-订单明细'!O:O,0)))))&gt;15%,ROUNDUP(SUM(AF82,AH82:AI82)/(INDEX('小红书-订单明细'!W:W,MATCH(R82&amp;AC82,'小红书-订单明细'!A:A&amp;'小红书-订单明细'!O:O,0))/(INDEX('小红书-订单明细'!T:T,MATCH(R82&amp;AC82,'小红书-订单明细'!A:A&amp;'小红书-订单明细'!O:O,0)))),0),ROUNDDOWN(SUM(AF82,AH82:AI82)/(INDEX('小红书-订单明细'!W:W,MATCH(R82&amp;AC82,'小红书-订单明细'!A:A&amp;'小红书-订单明细'!O:O,0))/(INDEX('小红书-订单明细'!T:T,MATCH(R82&amp;AC82,'小红书-订单明细'!A:A&amp;'小红书-订单明细'!O:O,0)))),0)))</f>
        <v>-1</v>
      </c>
      <c r="I82" s="26">
        <f t="shared" si="16"/>
        <v>-229</v>
      </c>
      <c r="J82" s="26">
        <f t="shared" si="17"/>
        <v>0</v>
      </c>
      <c r="K82" s="26">
        <f t="shared" si="18"/>
        <v>0</v>
      </c>
      <c r="L82" s="26">
        <f t="shared" si="19"/>
        <v>-11.45</v>
      </c>
      <c r="M82" s="26">
        <f t="shared" si="20"/>
        <v>-1.37</v>
      </c>
      <c r="N82" s="26"/>
      <c r="O82" s="28">
        <f t="shared" si="21"/>
        <v>-216.18</v>
      </c>
      <c r="Q82" s="1" cm="1">
        <f t="array" ref="Q82">SUM(AF82,AH82:AI82)/(INDEX('小红书-订单明细'!W:W,MATCH(R82&amp;AC82,'小红书-订单明细'!A:A&amp;'小红书-订单明细'!O:O,0))/(INDEX('小红书-订单明细'!T:T,MATCH(R82&amp;AC82,'小红书-订单明细'!A:A&amp;'小红书-订单明细'!O:O,0))))</f>
        <v>-1</v>
      </c>
      <c r="R82" s="37" t="s">
        <v>222</v>
      </c>
      <c r="S82" s="35" t="s">
        <v>1919</v>
      </c>
      <c r="T82" s="35" t="s">
        <v>1915</v>
      </c>
      <c r="U82" s="35" t="s">
        <v>1920</v>
      </c>
      <c r="V82" s="35" t="s">
        <v>1917</v>
      </c>
      <c r="W82" s="38" t="s">
        <v>1748</v>
      </c>
      <c r="X82" s="38" t="s">
        <v>1749</v>
      </c>
      <c r="Y82" s="35">
        <v>-216.18</v>
      </c>
      <c r="Z82" s="31" t="s">
        <v>1787</v>
      </c>
      <c r="AA82" s="38" t="s">
        <v>1773</v>
      </c>
      <c r="AB82" s="35" t="s">
        <v>247</v>
      </c>
      <c r="AC82" s="37" t="s">
        <v>248</v>
      </c>
      <c r="AD82" s="32">
        <v>0</v>
      </c>
      <c r="AE82" s="35">
        <v>-229</v>
      </c>
      <c r="AF82" s="37">
        <v>-229</v>
      </c>
      <c r="AG82" s="35">
        <v>0</v>
      </c>
      <c r="AH82" s="35">
        <v>0</v>
      </c>
      <c r="AI82" s="33">
        <v>0</v>
      </c>
      <c r="AJ82" s="33">
        <v>0</v>
      </c>
      <c r="AK82" s="32">
        <v>0</v>
      </c>
      <c r="AL82" s="32">
        <v>0</v>
      </c>
      <c r="AM82" s="33">
        <v>11.45</v>
      </c>
      <c r="AN82" s="33">
        <v>0</v>
      </c>
      <c r="AO82" s="32">
        <v>0</v>
      </c>
      <c r="AP82" s="32">
        <v>0</v>
      </c>
      <c r="AQ82" s="34" t="s">
        <v>101</v>
      </c>
      <c r="AR82" s="32">
        <v>0</v>
      </c>
      <c r="AS82" s="32">
        <v>0</v>
      </c>
      <c r="AT82" s="33">
        <v>1.37</v>
      </c>
      <c r="AU82" s="35" t="s">
        <v>148</v>
      </c>
      <c r="AV82" s="38" t="s">
        <v>1752</v>
      </c>
      <c r="AW82" s="38" t="s">
        <v>1753</v>
      </c>
      <c r="AX82" s="35"/>
      <c r="AY82" s="35"/>
      <c r="AZ82" s="33">
        <v>0</v>
      </c>
      <c r="BA82" s="32">
        <v>0</v>
      </c>
      <c r="BB82" s="32">
        <v>0</v>
      </c>
      <c r="BC82" s="32">
        <v>0</v>
      </c>
      <c r="BD82" s="32">
        <v>0</v>
      </c>
      <c r="BE82" s="35"/>
    </row>
    <row r="83" customHeight="1" spans="1:57">
      <c r="A83" s="25">
        <f t="shared" si="11"/>
        <v>2025</v>
      </c>
      <c r="B83" s="26">
        <f t="shared" si="12"/>
        <v>8</v>
      </c>
      <c r="C83" s="26" t="str">
        <f t="shared" si="13"/>
        <v>P770628663394212021</v>
      </c>
      <c r="D83" s="26">
        <f t="shared" si="14"/>
        <v>2</v>
      </c>
      <c r="E83" s="26">
        <f>COUNTIF($R$2:R83,R83)</f>
        <v>1</v>
      </c>
      <c r="F83" s="27" t="str" cm="1">
        <f t="array" ref="F83">INDEX('小红书-订单明细'!BQ:BQ,MATCH(R83&amp;AC83,'小红书-订单明细'!A:A&amp;'小红书-订单明细'!O:O,0))</f>
        <v>Z2333-米白色-M</v>
      </c>
      <c r="G83" s="27" t="str">
        <f t="shared" si="15"/>
        <v>Z2333</v>
      </c>
      <c r="H83" s="26" cm="1">
        <f t="array" ref="H83">IF(ABS(BG83)&gt;=1,SUM(AF83,AH83:AI83)/(INDEX('小红书-订单明细'!W:W,MATCH(R83&amp;AC83,'小红书-订单明细'!A:A&amp;'小红书-订单明细'!O:O,0))/(INDEX('小红书-订单明细'!T:T,MATCH(R83&amp;AC83,'小红书-订单明细'!A:A&amp;'小红书-订单明细'!O:O,0)))),IF(ABS(SUM(AF83,AH83:AI83)/(INDEX('小红书-订单明细'!W:W,MATCH(R83&amp;AC83,'小红书-订单明细'!A:A&amp;'小红书-订单明细'!O:O,0))/(INDEX('小红书-订单明细'!T:T,MATCH(R83&amp;AC83,'小红书-订单明细'!A:A&amp;'小红书-订单明细'!O:O,0)))))&gt;15%,ROUNDUP(SUM(AF83,AH83:AI83)/(INDEX('小红书-订单明细'!W:W,MATCH(R83&amp;AC83,'小红书-订单明细'!A:A&amp;'小红书-订单明细'!O:O,0))/(INDEX('小红书-订单明细'!T:T,MATCH(R83&amp;AC83,'小红书-订单明细'!A:A&amp;'小红书-订单明细'!O:O,0)))),0),ROUNDDOWN(SUM(AF83,AH83:AI83)/(INDEX('小红书-订单明细'!W:W,MATCH(R83&amp;AC83,'小红书-订单明细'!A:A&amp;'小红书-订单明细'!O:O,0))/(INDEX('小红书-订单明细'!T:T,MATCH(R83&amp;AC83,'小红书-订单明细'!A:A&amp;'小红书-订单明细'!O:O,0)))),0)))</f>
        <v>-1</v>
      </c>
      <c r="I83" s="26">
        <f t="shared" si="16"/>
        <v>-169</v>
      </c>
      <c r="J83" s="26">
        <f t="shared" si="17"/>
        <v>0</v>
      </c>
      <c r="K83" s="26">
        <f t="shared" si="18"/>
        <v>0</v>
      </c>
      <c r="L83" s="26">
        <f t="shared" si="19"/>
        <v>-8.45</v>
      </c>
      <c r="M83" s="26">
        <f t="shared" si="20"/>
        <v>-1.01</v>
      </c>
      <c r="N83" s="26"/>
      <c r="O83" s="28">
        <f t="shared" si="21"/>
        <v>-159.54</v>
      </c>
      <c r="Q83" s="1" cm="1">
        <f t="array" ref="Q83">SUM(AF83,AH83:AI83)/(INDEX('小红书-订单明细'!W:W,MATCH(R83&amp;AC83,'小红书-订单明细'!A:A&amp;'小红书-订单明细'!O:O,0))/(INDEX('小红书-订单明细'!T:T,MATCH(R83&amp;AC83,'小红书-订单明细'!A:A&amp;'小红书-订单明细'!O:O,0))))</f>
        <v>-1</v>
      </c>
      <c r="R83" s="37" t="s">
        <v>1524</v>
      </c>
      <c r="S83" s="35" t="s">
        <v>1921</v>
      </c>
      <c r="T83" s="35" t="s">
        <v>1539</v>
      </c>
      <c r="U83" s="35" t="s">
        <v>1922</v>
      </c>
      <c r="V83" s="35" t="s">
        <v>1917</v>
      </c>
      <c r="W83" s="38" t="s">
        <v>1748</v>
      </c>
      <c r="X83" s="38" t="s">
        <v>1749</v>
      </c>
      <c r="Y83" s="35">
        <v>-159.54</v>
      </c>
      <c r="Z83" s="31" t="s">
        <v>1923</v>
      </c>
      <c r="AA83" s="38" t="s">
        <v>1761</v>
      </c>
      <c r="AB83" s="35" t="s">
        <v>1532</v>
      </c>
      <c r="AC83" s="37" t="s">
        <v>1533</v>
      </c>
      <c r="AD83" s="32">
        <v>0</v>
      </c>
      <c r="AE83" s="35">
        <v>-169</v>
      </c>
      <c r="AF83" s="37">
        <v>-169</v>
      </c>
      <c r="AG83" s="35">
        <v>0</v>
      </c>
      <c r="AH83" s="35">
        <v>0</v>
      </c>
      <c r="AI83" s="33">
        <v>0</v>
      </c>
      <c r="AJ83" s="33">
        <v>0</v>
      </c>
      <c r="AK83" s="32">
        <v>0</v>
      </c>
      <c r="AL83" s="32">
        <v>0</v>
      </c>
      <c r="AM83" s="33">
        <v>8.45</v>
      </c>
      <c r="AN83" s="33">
        <v>0</v>
      </c>
      <c r="AO83" s="32">
        <v>0</v>
      </c>
      <c r="AP83" s="32">
        <v>0</v>
      </c>
      <c r="AQ83" s="34" t="s">
        <v>101</v>
      </c>
      <c r="AR83" s="32">
        <v>0</v>
      </c>
      <c r="AS83" s="32">
        <v>0</v>
      </c>
      <c r="AT83" s="33">
        <v>1.01</v>
      </c>
      <c r="AU83" s="35" t="s">
        <v>148</v>
      </c>
      <c r="AV83" s="38" t="s">
        <v>1752</v>
      </c>
      <c r="AW83" s="38" t="s">
        <v>1753</v>
      </c>
      <c r="AX83" s="35"/>
      <c r="AY83" s="35"/>
      <c r="AZ83" s="33">
        <v>0</v>
      </c>
      <c r="BA83" s="32">
        <v>0</v>
      </c>
      <c r="BB83" s="32">
        <v>0</v>
      </c>
      <c r="BC83" s="32">
        <v>0</v>
      </c>
      <c r="BD83" s="32">
        <v>0</v>
      </c>
      <c r="BE83" s="35"/>
    </row>
    <row r="84" customHeight="1" spans="1:57">
      <c r="A84" s="25">
        <f t="shared" si="11"/>
        <v>2025</v>
      </c>
      <c r="B84" s="26">
        <f t="shared" si="12"/>
        <v>8</v>
      </c>
      <c r="C84" s="26" t="str">
        <f t="shared" si="13"/>
        <v>P770990615215304131</v>
      </c>
      <c r="D84" s="26">
        <f t="shared" si="14"/>
        <v>2</v>
      </c>
      <c r="E84" s="26">
        <f>COUNTIF($R$2:R84,R84)</f>
        <v>1</v>
      </c>
      <c r="F84" s="27" t="str" cm="1">
        <f t="array" ref="F84">INDEX('小红书-订单明细'!BQ:BQ,MATCH(R84&amp;AC84,'小红书-订单明细'!A:A&amp;'小红书-订单明细'!O:O,0))</f>
        <v>Z2233-黄绿色-S</v>
      </c>
      <c r="G84" s="27" t="str">
        <f t="shared" si="15"/>
        <v>Z2233</v>
      </c>
      <c r="H84" s="26" cm="1">
        <f t="array" ref="H84">IF(ABS(BG84)&gt;=1,SUM(AF84,AH84:AI84)/(INDEX('小红书-订单明细'!W:W,MATCH(R84&amp;AC84,'小红书-订单明细'!A:A&amp;'小红书-订单明细'!O:O,0))/(INDEX('小红书-订单明细'!T:T,MATCH(R84&amp;AC84,'小红书-订单明细'!A:A&amp;'小红书-订单明细'!O:O,0)))),IF(ABS(SUM(AF84,AH84:AI84)/(INDEX('小红书-订单明细'!W:W,MATCH(R84&amp;AC84,'小红书-订单明细'!A:A&amp;'小红书-订单明细'!O:O,0))/(INDEX('小红书-订单明细'!T:T,MATCH(R84&amp;AC84,'小红书-订单明细'!A:A&amp;'小红书-订单明细'!O:O,0)))))&gt;15%,ROUNDUP(SUM(AF84,AH84:AI84)/(INDEX('小红书-订单明细'!W:W,MATCH(R84&amp;AC84,'小红书-订单明细'!A:A&amp;'小红书-订单明细'!O:O,0))/(INDEX('小红书-订单明细'!T:T,MATCH(R84&amp;AC84,'小红书-订单明细'!A:A&amp;'小红书-订单明细'!O:O,0)))),0),ROUNDDOWN(SUM(AF84,AH84:AI84)/(INDEX('小红书-订单明细'!W:W,MATCH(R84&amp;AC84,'小红书-订单明细'!A:A&amp;'小红书-订单明细'!O:O,0))/(INDEX('小红书-订单明细'!T:T,MATCH(R84&amp;AC84,'小红书-订单明细'!A:A&amp;'小红书-订单明细'!O:O,0)))),0)))</f>
        <v>-1</v>
      </c>
      <c r="I84" s="26">
        <f t="shared" si="16"/>
        <v>-269</v>
      </c>
      <c r="J84" s="26">
        <f t="shared" si="17"/>
        <v>0</v>
      </c>
      <c r="K84" s="26">
        <f t="shared" si="18"/>
        <v>0</v>
      </c>
      <c r="L84" s="26">
        <f t="shared" si="19"/>
        <v>-13.45</v>
      </c>
      <c r="M84" s="26">
        <f t="shared" si="20"/>
        <v>-1.61</v>
      </c>
      <c r="N84" s="26"/>
      <c r="O84" s="28">
        <f t="shared" si="21"/>
        <v>-253.94</v>
      </c>
      <c r="Q84" s="1" cm="1">
        <f t="array" ref="Q84">SUM(AF84,AH84:AI84)/(INDEX('小红书-订单明细'!W:W,MATCH(R84&amp;AC84,'小红书-订单明细'!A:A&amp;'小红书-订单明细'!O:O,0))/(INDEX('小红书-订单明细'!T:T,MATCH(R84&amp;AC84,'小红书-订单明细'!A:A&amp;'小红书-订单明细'!O:O,0))))</f>
        <v>-1</v>
      </c>
      <c r="R84" s="37" t="s">
        <v>196</v>
      </c>
      <c r="S84" s="35" t="s">
        <v>1924</v>
      </c>
      <c r="T84" s="35" t="s">
        <v>213</v>
      </c>
      <c r="U84" s="35" t="s">
        <v>1925</v>
      </c>
      <c r="V84" s="35" t="s">
        <v>1917</v>
      </c>
      <c r="W84" s="38" t="s">
        <v>1748</v>
      </c>
      <c r="X84" s="38" t="s">
        <v>1749</v>
      </c>
      <c r="Y84" s="35">
        <v>-253.94</v>
      </c>
      <c r="Z84" s="31" t="s">
        <v>1926</v>
      </c>
      <c r="AA84" s="38" t="s">
        <v>1751</v>
      </c>
      <c r="AB84" s="35" t="s">
        <v>205</v>
      </c>
      <c r="AC84" s="37" t="s">
        <v>206</v>
      </c>
      <c r="AD84" s="32">
        <v>0</v>
      </c>
      <c r="AE84" s="35">
        <v>-269</v>
      </c>
      <c r="AF84" s="37">
        <v>-269</v>
      </c>
      <c r="AG84" s="35">
        <v>0</v>
      </c>
      <c r="AH84" s="35">
        <v>0</v>
      </c>
      <c r="AI84" s="33">
        <v>0</v>
      </c>
      <c r="AJ84" s="33">
        <v>0</v>
      </c>
      <c r="AK84" s="32">
        <v>0</v>
      </c>
      <c r="AL84" s="32">
        <v>0</v>
      </c>
      <c r="AM84" s="33">
        <v>13.45</v>
      </c>
      <c r="AN84" s="33">
        <v>0</v>
      </c>
      <c r="AO84" s="32">
        <v>0</v>
      </c>
      <c r="AP84" s="32">
        <v>0</v>
      </c>
      <c r="AQ84" s="34" t="s">
        <v>101</v>
      </c>
      <c r="AR84" s="32">
        <v>0</v>
      </c>
      <c r="AS84" s="32">
        <v>0</v>
      </c>
      <c r="AT84" s="33">
        <v>1.61</v>
      </c>
      <c r="AU84" s="35" t="s">
        <v>148</v>
      </c>
      <c r="AV84" s="38" t="s">
        <v>1752</v>
      </c>
      <c r="AW84" s="38" t="s">
        <v>1753</v>
      </c>
      <c r="AX84" s="35"/>
      <c r="AY84" s="35"/>
      <c r="AZ84" s="33">
        <v>0</v>
      </c>
      <c r="BA84" s="32">
        <v>0</v>
      </c>
      <c r="BB84" s="32">
        <v>0</v>
      </c>
      <c r="BC84" s="32">
        <v>0</v>
      </c>
      <c r="BD84" s="32">
        <v>0</v>
      </c>
      <c r="BE84" s="35"/>
    </row>
    <row r="85" customHeight="1" spans="1:57">
      <c r="A85" s="25">
        <f t="shared" si="11"/>
        <v>2025</v>
      </c>
      <c r="B85" s="26">
        <f t="shared" si="12"/>
        <v>8</v>
      </c>
      <c r="C85" s="26" t="str">
        <f t="shared" si="13"/>
        <v>P770990615215304131</v>
      </c>
      <c r="D85" s="26">
        <f t="shared" si="14"/>
        <v>2</v>
      </c>
      <c r="E85" s="26">
        <f>COUNTIF($R$2:R85,R85)</f>
        <v>2</v>
      </c>
      <c r="F85" s="27" t="str" cm="1">
        <f t="array" ref="F85">INDEX('小红书-订单明细'!BQ:BQ,MATCH(R85&amp;AC85,'小红书-订单明细'!A:A&amp;'小红书-订单明细'!O:O,0))</f>
        <v>Z2233-黄绿色-S</v>
      </c>
      <c r="G85" s="27" t="str">
        <f t="shared" si="15"/>
        <v>Z2233</v>
      </c>
      <c r="H85" s="26" cm="1">
        <f t="array" ref="H85">IF(ABS(BG85)&gt;=1,SUM(AF85,AH85:AI85)/(INDEX('小红书-订单明细'!W:W,MATCH(R85&amp;AC85,'小红书-订单明细'!A:A&amp;'小红书-订单明细'!O:O,0))/(INDEX('小红书-订单明细'!T:T,MATCH(R85&amp;AC85,'小红书-订单明细'!A:A&amp;'小红书-订单明细'!O:O,0)))),IF(ABS(SUM(AF85,AH85:AI85)/(INDEX('小红书-订单明细'!W:W,MATCH(R85&amp;AC85,'小红书-订单明细'!A:A&amp;'小红书-订单明细'!O:O,0))/(INDEX('小红书-订单明细'!T:T,MATCH(R85&amp;AC85,'小红书-订单明细'!A:A&amp;'小红书-订单明细'!O:O,0)))))&gt;15%,ROUNDUP(SUM(AF85,AH85:AI85)/(INDEX('小红书-订单明细'!W:W,MATCH(R85&amp;AC85,'小红书-订单明细'!A:A&amp;'小红书-订单明细'!O:O,0))/(INDEX('小红书-订单明细'!T:T,MATCH(R85&amp;AC85,'小红书-订单明细'!A:A&amp;'小红书-订单明细'!O:O,0)))),0),ROUNDDOWN(SUM(AF85,AH85:AI85)/(INDEX('小红书-订单明细'!W:W,MATCH(R85&amp;AC85,'小红书-订单明细'!A:A&amp;'小红书-订单明细'!O:O,0))/(INDEX('小红书-订单明细'!T:T,MATCH(R85&amp;AC85,'小红书-订单明细'!A:A&amp;'小红书-订单明细'!O:O,0)))),0)))</f>
        <v>1</v>
      </c>
      <c r="I85" s="26">
        <f t="shared" si="16"/>
        <v>269</v>
      </c>
      <c r="J85" s="26">
        <f t="shared" si="17"/>
        <v>0</v>
      </c>
      <c r="K85" s="26">
        <f t="shared" si="18"/>
        <v>0</v>
      </c>
      <c r="L85" s="26">
        <f t="shared" si="19"/>
        <v>13.45</v>
      </c>
      <c r="M85" s="26">
        <f t="shared" si="20"/>
        <v>1.61</v>
      </c>
      <c r="N85" s="26"/>
      <c r="O85" s="28">
        <f t="shared" si="21"/>
        <v>253.94</v>
      </c>
      <c r="Q85" s="1" cm="1">
        <f t="array" ref="Q85">SUM(AF85,AH85:AI85)/(INDEX('小红书-订单明细'!W:W,MATCH(R85&amp;AC85,'小红书-订单明细'!A:A&amp;'小红书-订单明细'!O:O,0))/(INDEX('小红书-订单明细'!T:T,MATCH(R85&amp;AC85,'小红书-订单明细'!A:A&amp;'小红书-订单明细'!O:O,0))))</f>
        <v>1</v>
      </c>
      <c r="R85" s="37" t="s">
        <v>196</v>
      </c>
      <c r="S85" s="35"/>
      <c r="T85" s="35" t="s">
        <v>213</v>
      </c>
      <c r="U85" s="35" t="s">
        <v>1927</v>
      </c>
      <c r="V85" s="35" t="s">
        <v>1917</v>
      </c>
      <c r="W85" s="38" t="s">
        <v>1755</v>
      </c>
      <c r="X85" s="38" t="s">
        <v>1749</v>
      </c>
      <c r="Y85" s="35">
        <v>253.94</v>
      </c>
      <c r="Z85" s="31" t="s">
        <v>1926</v>
      </c>
      <c r="AA85" s="38" t="s">
        <v>1751</v>
      </c>
      <c r="AB85" s="35" t="s">
        <v>205</v>
      </c>
      <c r="AC85" s="37" t="s">
        <v>206</v>
      </c>
      <c r="AD85" s="32">
        <v>1</v>
      </c>
      <c r="AE85" s="35">
        <v>269</v>
      </c>
      <c r="AF85" s="36">
        <v>269</v>
      </c>
      <c r="AG85" s="35" t="s">
        <v>75</v>
      </c>
      <c r="AH85" s="35">
        <v>0</v>
      </c>
      <c r="AI85" s="33">
        <v>0</v>
      </c>
      <c r="AJ85" s="33">
        <v>0</v>
      </c>
      <c r="AK85" s="32">
        <v>0.05</v>
      </c>
      <c r="AL85" s="32">
        <v>0</v>
      </c>
      <c r="AM85" s="33">
        <v>-13.45</v>
      </c>
      <c r="AN85" s="33">
        <v>269</v>
      </c>
      <c r="AO85" s="32">
        <v>269</v>
      </c>
      <c r="AP85" s="32">
        <v>0</v>
      </c>
      <c r="AQ85" s="34" t="s">
        <v>101</v>
      </c>
      <c r="AR85" s="32">
        <v>0</v>
      </c>
      <c r="AS85" s="32">
        <v>0.006</v>
      </c>
      <c r="AT85" s="33">
        <v>-1.61</v>
      </c>
      <c r="AU85" s="35" t="s">
        <v>148</v>
      </c>
      <c r="AV85" s="38" t="s">
        <v>1752</v>
      </c>
      <c r="AW85" s="38" t="s">
        <v>1753</v>
      </c>
      <c r="AX85" s="35"/>
      <c r="AY85" s="35"/>
      <c r="AZ85" s="33">
        <v>0</v>
      </c>
      <c r="BA85" s="32">
        <v>0</v>
      </c>
      <c r="BB85" s="32">
        <v>0</v>
      </c>
      <c r="BC85" s="32">
        <v>0</v>
      </c>
      <c r="BD85" s="32">
        <v>0</v>
      </c>
      <c r="BE85" s="35"/>
    </row>
    <row r="86" customHeight="1" spans="1:57">
      <c r="A86" s="25">
        <f t="shared" si="11"/>
        <v>2025</v>
      </c>
      <c r="B86" s="26">
        <f t="shared" si="12"/>
        <v>8</v>
      </c>
      <c r="C86" s="26" t="str">
        <f t="shared" si="13"/>
        <v>P770986869946371481</v>
      </c>
      <c r="D86" s="26">
        <f t="shared" si="14"/>
        <v>4</v>
      </c>
      <c r="E86" s="26">
        <f>COUNTIF($R$2:R86,R86)</f>
        <v>3</v>
      </c>
      <c r="F86" s="27" t="str" cm="1">
        <f t="array" ref="F86">INDEX('小红书-订单明细'!BQ:BQ,MATCH(R86&amp;AC86,'小红书-订单明细'!A:A&amp;'小红书-订单明细'!O:O,0))</f>
        <v>Z2218-黑色-S</v>
      </c>
      <c r="G86" s="27" t="str">
        <f t="shared" si="15"/>
        <v>Z2218</v>
      </c>
      <c r="H86" s="26" cm="1">
        <f t="array" ref="H86">IF(ABS(BG86)&gt;=1,SUM(AF86,AH86:AI86)/(INDEX('小红书-订单明细'!W:W,MATCH(R86&amp;AC86,'小红书-订单明细'!A:A&amp;'小红书-订单明细'!O:O,0))/(INDEX('小红书-订单明细'!T:T,MATCH(R86&amp;AC86,'小红书-订单明细'!A:A&amp;'小红书-订单明细'!O:O,0)))),IF(ABS(SUM(AF86,AH86:AI86)/(INDEX('小红书-订单明细'!W:W,MATCH(R86&amp;AC86,'小红书-订单明细'!A:A&amp;'小红书-订单明细'!O:O,0))/(INDEX('小红书-订单明细'!T:T,MATCH(R86&amp;AC86,'小红书-订单明细'!A:A&amp;'小红书-订单明细'!O:O,0)))))&gt;15%,ROUNDUP(SUM(AF86,AH86:AI86)/(INDEX('小红书-订单明细'!W:W,MATCH(R86&amp;AC86,'小红书-订单明细'!A:A&amp;'小红书-订单明细'!O:O,0))/(INDEX('小红书-订单明细'!T:T,MATCH(R86&amp;AC86,'小红书-订单明细'!A:A&amp;'小红书-订单明细'!O:O,0)))),0),ROUNDDOWN(SUM(AF86,AH86:AI86)/(INDEX('小红书-订单明细'!W:W,MATCH(R86&amp;AC86,'小红书-订单明细'!A:A&amp;'小红书-订单明细'!O:O,0))/(INDEX('小红书-订单明细'!T:T,MATCH(R86&amp;AC86,'小红书-订单明细'!A:A&amp;'小红书-订单明细'!O:O,0)))),0)))</f>
        <v>1</v>
      </c>
      <c r="I86" s="26">
        <f t="shared" si="16"/>
        <v>229</v>
      </c>
      <c r="J86" s="26">
        <f t="shared" si="17"/>
        <v>0</v>
      </c>
      <c r="K86" s="26">
        <f t="shared" si="18"/>
        <v>0</v>
      </c>
      <c r="L86" s="26">
        <f t="shared" si="19"/>
        <v>11.45</v>
      </c>
      <c r="M86" s="26">
        <f t="shared" si="20"/>
        <v>1.37</v>
      </c>
      <c r="N86" s="26"/>
      <c r="O86" s="28">
        <f t="shared" si="21"/>
        <v>216.18</v>
      </c>
      <c r="Q86" s="1" cm="1">
        <f t="array" ref="Q86">SUM(AF86,AH86:AI86)/(INDEX('小红书-订单明细'!W:W,MATCH(R86&amp;AC86,'小红书-订单明细'!A:A&amp;'小红书-订单明细'!O:O,0))/(INDEX('小红书-订单明细'!T:T,MATCH(R86&amp;AC86,'小红书-订单明细'!A:A&amp;'小红书-订单明细'!O:O,0))))</f>
        <v>1</v>
      </c>
      <c r="R86" s="37" t="s">
        <v>222</v>
      </c>
      <c r="S86" s="35"/>
      <c r="T86" s="35" t="s">
        <v>1915</v>
      </c>
      <c r="U86" s="35" t="s">
        <v>1928</v>
      </c>
      <c r="V86" s="35" t="s">
        <v>1917</v>
      </c>
      <c r="W86" s="38" t="s">
        <v>1755</v>
      </c>
      <c r="X86" s="38" t="s">
        <v>1749</v>
      </c>
      <c r="Y86" s="35">
        <v>432.36</v>
      </c>
      <c r="Z86" s="31" t="s">
        <v>1787</v>
      </c>
      <c r="AA86" s="38" t="s">
        <v>1773</v>
      </c>
      <c r="AB86" s="35" t="s">
        <v>247</v>
      </c>
      <c r="AC86" s="37" t="s">
        <v>248</v>
      </c>
      <c r="AD86" s="32">
        <v>1</v>
      </c>
      <c r="AE86" s="35">
        <v>229</v>
      </c>
      <c r="AF86" s="36">
        <v>229</v>
      </c>
      <c r="AG86" s="35" t="s">
        <v>75</v>
      </c>
      <c r="AH86" s="35">
        <v>0</v>
      </c>
      <c r="AI86" s="33">
        <v>0</v>
      </c>
      <c r="AJ86" s="33">
        <v>0</v>
      </c>
      <c r="AK86" s="32">
        <v>0.05</v>
      </c>
      <c r="AL86" s="32">
        <v>0</v>
      </c>
      <c r="AM86" s="33">
        <v>-11.45</v>
      </c>
      <c r="AN86" s="33">
        <v>229</v>
      </c>
      <c r="AO86" s="32">
        <v>229</v>
      </c>
      <c r="AP86" s="32">
        <v>0</v>
      </c>
      <c r="AQ86" s="34" t="s">
        <v>101</v>
      </c>
      <c r="AR86" s="32">
        <v>0</v>
      </c>
      <c r="AS86" s="32">
        <v>0.006</v>
      </c>
      <c r="AT86" s="33">
        <v>-1.37</v>
      </c>
      <c r="AU86" s="35" t="s">
        <v>148</v>
      </c>
      <c r="AV86" s="38" t="s">
        <v>1752</v>
      </c>
      <c r="AW86" s="38" t="s">
        <v>1753</v>
      </c>
      <c r="AX86" s="35"/>
      <c r="AY86" s="35"/>
      <c r="AZ86" s="33">
        <v>0</v>
      </c>
      <c r="BA86" s="32">
        <v>0</v>
      </c>
      <c r="BB86" s="32">
        <v>0</v>
      </c>
      <c r="BC86" s="32">
        <v>0</v>
      </c>
      <c r="BD86" s="32">
        <v>0</v>
      </c>
      <c r="BE86" s="35"/>
    </row>
    <row r="87" customHeight="1" spans="1:57">
      <c r="A87" s="25">
        <f t="shared" si="11"/>
        <v>2025</v>
      </c>
      <c r="B87" s="26">
        <f t="shared" si="12"/>
        <v>8</v>
      </c>
      <c r="C87" s="26" t="str">
        <f t="shared" si="13"/>
        <v>P770986869946371481</v>
      </c>
      <c r="D87" s="26">
        <f t="shared" si="14"/>
        <v>4</v>
      </c>
      <c r="E87" s="26">
        <f>COUNTIF($R$2:R87,R87)</f>
        <v>4</v>
      </c>
      <c r="F87" s="27" t="str" cm="1">
        <f t="array" ref="F87">INDEX('小红书-订单明细'!BQ:BQ,MATCH(R87&amp;AC87,'小红书-订单明细'!A:A&amp;'小红书-订单明细'!O:O,0))</f>
        <v>Z2218-黑色-M</v>
      </c>
      <c r="G87" s="27" t="str">
        <f t="shared" si="15"/>
        <v>Z2218</v>
      </c>
      <c r="H87" s="26" cm="1">
        <f t="array" ref="H87">IF(ABS(BG87)&gt;=1,SUM(AF87,AH87:AI87)/(INDEX('小红书-订单明细'!W:W,MATCH(R87&amp;AC87,'小红书-订单明细'!A:A&amp;'小红书-订单明细'!O:O,0))/(INDEX('小红书-订单明细'!T:T,MATCH(R87&amp;AC87,'小红书-订单明细'!A:A&amp;'小红书-订单明细'!O:O,0)))),IF(ABS(SUM(AF87,AH87:AI87)/(INDEX('小红书-订单明细'!W:W,MATCH(R87&amp;AC87,'小红书-订单明细'!A:A&amp;'小红书-订单明细'!O:O,0))/(INDEX('小红书-订单明细'!T:T,MATCH(R87&amp;AC87,'小红书-订单明细'!A:A&amp;'小红书-订单明细'!O:O,0)))))&gt;15%,ROUNDUP(SUM(AF87,AH87:AI87)/(INDEX('小红书-订单明细'!W:W,MATCH(R87&amp;AC87,'小红书-订单明细'!A:A&amp;'小红书-订单明细'!O:O,0))/(INDEX('小红书-订单明细'!T:T,MATCH(R87&amp;AC87,'小红书-订单明细'!A:A&amp;'小红书-订单明细'!O:O,0)))),0),ROUNDDOWN(SUM(AF87,AH87:AI87)/(INDEX('小红书-订单明细'!W:W,MATCH(R87&amp;AC87,'小红书-订单明细'!A:A&amp;'小红书-订单明细'!O:O,0))/(INDEX('小红书-订单明细'!T:T,MATCH(R87&amp;AC87,'小红书-订单明细'!A:A&amp;'小红书-订单明细'!O:O,0)))),0)))</f>
        <v>1</v>
      </c>
      <c r="I87" s="26">
        <f t="shared" si="16"/>
        <v>229</v>
      </c>
      <c r="J87" s="26">
        <f t="shared" si="17"/>
        <v>0</v>
      </c>
      <c r="K87" s="26">
        <f t="shared" si="18"/>
        <v>0</v>
      </c>
      <c r="L87" s="26">
        <f t="shared" si="19"/>
        <v>11.45</v>
      </c>
      <c r="M87" s="26">
        <f t="shared" si="20"/>
        <v>1.37</v>
      </c>
      <c r="N87" s="26"/>
      <c r="O87" s="28">
        <f t="shared" si="21"/>
        <v>216.18</v>
      </c>
      <c r="Q87" s="1" cm="1">
        <f t="array" ref="Q87">SUM(AF87,AH87:AI87)/(INDEX('小红书-订单明细'!W:W,MATCH(R87&amp;AC87,'小红书-订单明细'!A:A&amp;'小红书-订单明细'!O:O,0))/(INDEX('小红书-订单明细'!T:T,MATCH(R87&amp;AC87,'小红书-订单明细'!A:A&amp;'小红书-订单明细'!O:O,0))))</f>
        <v>1</v>
      </c>
      <c r="R87" s="37" t="s">
        <v>222</v>
      </c>
      <c r="S87" s="35"/>
      <c r="T87" s="35" t="s">
        <v>1915</v>
      </c>
      <c r="U87" s="35" t="s">
        <v>1928</v>
      </c>
      <c r="V87" s="35" t="s">
        <v>1917</v>
      </c>
      <c r="W87" s="38" t="s">
        <v>1755</v>
      </c>
      <c r="X87" s="38" t="s">
        <v>1749</v>
      </c>
      <c r="Y87" s="35">
        <v>432.36</v>
      </c>
      <c r="Z87" s="31" t="s">
        <v>1918</v>
      </c>
      <c r="AA87" s="38" t="s">
        <v>1773</v>
      </c>
      <c r="AB87" s="35" t="s">
        <v>231</v>
      </c>
      <c r="AC87" s="37" t="s">
        <v>232</v>
      </c>
      <c r="AD87" s="32">
        <v>1</v>
      </c>
      <c r="AE87" s="35">
        <v>229</v>
      </c>
      <c r="AF87" s="36">
        <v>229</v>
      </c>
      <c r="AG87" s="35" t="s">
        <v>75</v>
      </c>
      <c r="AH87" s="35">
        <v>0</v>
      </c>
      <c r="AI87" s="33">
        <v>0</v>
      </c>
      <c r="AJ87" s="33">
        <v>0</v>
      </c>
      <c r="AK87" s="32">
        <v>0.05</v>
      </c>
      <c r="AL87" s="32">
        <v>0</v>
      </c>
      <c r="AM87" s="33">
        <v>-11.45</v>
      </c>
      <c r="AN87" s="33">
        <v>229</v>
      </c>
      <c r="AO87" s="32">
        <v>229</v>
      </c>
      <c r="AP87" s="32">
        <v>0</v>
      </c>
      <c r="AQ87" s="34" t="s">
        <v>101</v>
      </c>
      <c r="AR87" s="32">
        <v>0</v>
      </c>
      <c r="AS87" s="32">
        <v>0.006</v>
      </c>
      <c r="AT87" s="33">
        <v>-1.37</v>
      </c>
      <c r="AU87" s="35" t="s">
        <v>148</v>
      </c>
      <c r="AV87" s="38" t="s">
        <v>1752</v>
      </c>
      <c r="AW87" s="38" t="s">
        <v>1753</v>
      </c>
      <c r="AX87" s="35"/>
      <c r="AY87" s="35"/>
      <c r="AZ87" s="33">
        <v>0</v>
      </c>
      <c r="BA87" s="32">
        <v>0</v>
      </c>
      <c r="BB87" s="32">
        <v>0</v>
      </c>
      <c r="BC87" s="32">
        <v>0</v>
      </c>
      <c r="BD87" s="32">
        <v>0</v>
      </c>
      <c r="BE87" s="35"/>
    </row>
    <row r="88" customHeight="1" spans="1:57">
      <c r="A88" s="25">
        <f t="shared" si="11"/>
        <v>2025</v>
      </c>
      <c r="B88" s="26">
        <f t="shared" si="12"/>
        <v>8</v>
      </c>
      <c r="C88" s="26" t="str">
        <f t="shared" si="13"/>
        <v>P770628663394212021</v>
      </c>
      <c r="D88" s="26">
        <f t="shared" si="14"/>
        <v>2</v>
      </c>
      <c r="E88" s="26">
        <f>COUNTIF($R$2:R88,R88)</f>
        <v>2</v>
      </c>
      <c r="F88" s="27" t="str" cm="1">
        <f t="array" ref="F88">INDEX('小红书-订单明细'!BQ:BQ,MATCH(R88&amp;AC88,'小红书-订单明细'!A:A&amp;'小红书-订单明细'!O:O,0))</f>
        <v>Z2333-米白色-M</v>
      </c>
      <c r="G88" s="27" t="str">
        <f t="shared" si="15"/>
        <v>Z2333</v>
      </c>
      <c r="H88" s="26" cm="1">
        <f t="array" ref="H88">IF(ABS(BG88)&gt;=1,SUM(AF88,AH88:AI88)/(INDEX('小红书-订单明细'!W:W,MATCH(R88&amp;AC88,'小红书-订单明细'!A:A&amp;'小红书-订单明细'!O:O,0))/(INDEX('小红书-订单明细'!T:T,MATCH(R88&amp;AC88,'小红书-订单明细'!A:A&amp;'小红书-订单明细'!O:O,0)))),IF(ABS(SUM(AF88,AH88:AI88)/(INDEX('小红书-订单明细'!W:W,MATCH(R88&amp;AC88,'小红书-订单明细'!A:A&amp;'小红书-订单明细'!O:O,0))/(INDEX('小红书-订单明细'!T:T,MATCH(R88&amp;AC88,'小红书-订单明细'!A:A&amp;'小红书-订单明细'!O:O,0)))))&gt;15%,ROUNDUP(SUM(AF88,AH88:AI88)/(INDEX('小红书-订单明细'!W:W,MATCH(R88&amp;AC88,'小红书-订单明细'!A:A&amp;'小红书-订单明细'!O:O,0))/(INDEX('小红书-订单明细'!T:T,MATCH(R88&amp;AC88,'小红书-订单明细'!A:A&amp;'小红书-订单明细'!O:O,0)))),0),ROUNDDOWN(SUM(AF88,AH88:AI88)/(INDEX('小红书-订单明细'!W:W,MATCH(R88&amp;AC88,'小红书-订单明细'!A:A&amp;'小红书-订单明细'!O:O,0))/(INDEX('小红书-订单明细'!T:T,MATCH(R88&amp;AC88,'小红书-订单明细'!A:A&amp;'小红书-订单明细'!O:O,0)))),0)))</f>
        <v>1</v>
      </c>
      <c r="I88" s="26">
        <f t="shared" si="16"/>
        <v>169</v>
      </c>
      <c r="J88" s="26">
        <f t="shared" si="17"/>
        <v>0</v>
      </c>
      <c r="K88" s="26">
        <f t="shared" si="18"/>
        <v>0</v>
      </c>
      <c r="L88" s="26">
        <f t="shared" si="19"/>
        <v>8.45</v>
      </c>
      <c r="M88" s="26">
        <f t="shared" si="20"/>
        <v>1.01</v>
      </c>
      <c r="N88" s="26"/>
      <c r="O88" s="28">
        <f t="shared" si="21"/>
        <v>159.54</v>
      </c>
      <c r="Q88" s="1" cm="1">
        <f t="array" ref="Q88">SUM(AF88,AH88:AI88)/(INDEX('小红书-订单明细'!W:W,MATCH(R88&amp;AC88,'小红书-订单明细'!A:A&amp;'小红书-订单明细'!O:O,0))/(INDEX('小红书-订单明细'!T:T,MATCH(R88&amp;AC88,'小红书-订单明细'!A:A&amp;'小红书-订单明细'!O:O,0))))</f>
        <v>1</v>
      </c>
      <c r="R88" s="37" t="s">
        <v>1524</v>
      </c>
      <c r="S88" s="35"/>
      <c r="T88" s="35" t="s">
        <v>1539</v>
      </c>
      <c r="U88" s="35" t="s">
        <v>1929</v>
      </c>
      <c r="V88" s="35" t="s">
        <v>1917</v>
      </c>
      <c r="W88" s="38" t="s">
        <v>1755</v>
      </c>
      <c r="X88" s="38" t="s">
        <v>1749</v>
      </c>
      <c r="Y88" s="35">
        <v>159.54</v>
      </c>
      <c r="Z88" s="31" t="s">
        <v>1923</v>
      </c>
      <c r="AA88" s="38" t="s">
        <v>1761</v>
      </c>
      <c r="AB88" s="35" t="s">
        <v>1532</v>
      </c>
      <c r="AC88" s="37" t="s">
        <v>1533</v>
      </c>
      <c r="AD88" s="32">
        <v>1</v>
      </c>
      <c r="AE88" s="35">
        <v>169</v>
      </c>
      <c r="AF88" s="36">
        <v>169</v>
      </c>
      <c r="AG88" s="35" t="s">
        <v>75</v>
      </c>
      <c r="AH88" s="35">
        <v>0</v>
      </c>
      <c r="AI88" s="33">
        <v>0</v>
      </c>
      <c r="AJ88" s="33">
        <v>0</v>
      </c>
      <c r="AK88" s="32">
        <v>0.05</v>
      </c>
      <c r="AL88" s="32">
        <v>0</v>
      </c>
      <c r="AM88" s="33">
        <v>-8.45</v>
      </c>
      <c r="AN88" s="33">
        <v>169</v>
      </c>
      <c r="AO88" s="32">
        <v>169</v>
      </c>
      <c r="AP88" s="32">
        <v>0</v>
      </c>
      <c r="AQ88" s="34" t="s">
        <v>101</v>
      </c>
      <c r="AR88" s="32">
        <v>0</v>
      </c>
      <c r="AS88" s="32">
        <v>0.006</v>
      </c>
      <c r="AT88" s="33">
        <v>-1.01</v>
      </c>
      <c r="AU88" s="35" t="s">
        <v>148</v>
      </c>
      <c r="AV88" s="38" t="s">
        <v>1752</v>
      </c>
      <c r="AW88" s="38" t="s">
        <v>1753</v>
      </c>
      <c r="AX88" s="35"/>
      <c r="AY88" s="35"/>
      <c r="AZ88" s="33">
        <v>0</v>
      </c>
      <c r="BA88" s="32">
        <v>0</v>
      </c>
      <c r="BB88" s="32">
        <v>0</v>
      </c>
      <c r="BC88" s="32">
        <v>0</v>
      </c>
      <c r="BD88" s="32">
        <v>0</v>
      </c>
      <c r="BE88" s="35"/>
    </row>
    <row r="89" customHeight="1" spans="1:57">
      <c r="A89" s="25">
        <f t="shared" si="11"/>
        <v>2025</v>
      </c>
      <c r="B89" s="26">
        <f t="shared" si="12"/>
        <v>8</v>
      </c>
      <c r="C89" s="26" t="str">
        <f t="shared" si="13"/>
        <v>P770796465763337081</v>
      </c>
      <c r="D89" s="26">
        <f t="shared" si="14"/>
        <v>1</v>
      </c>
      <c r="E89" s="26">
        <f>COUNTIF($R$2:R89,R89)</f>
        <v>1</v>
      </c>
      <c r="F89" s="27" t="str" cm="1">
        <f t="array" ref="F89">INDEX('小红书-订单明细'!BQ:BQ,MATCH(R89&amp;AC89,'小红书-订单明细'!A:A&amp;'小红书-订单明细'!O:O,0))</f>
        <v>Z1248-杏色-M</v>
      </c>
      <c r="G89" s="27" t="str">
        <f t="shared" si="15"/>
        <v>Z1248</v>
      </c>
      <c r="H89" s="26" cm="1">
        <f t="array" ref="H89">IF(ABS(BG89)&gt;=1,SUM(AF89,AH89:AI89)/(INDEX('小红书-订单明细'!W:W,MATCH(R89&amp;AC89,'小红书-订单明细'!A:A&amp;'小红书-订单明细'!O:O,0))/(INDEX('小红书-订单明细'!T:T,MATCH(R89&amp;AC89,'小红书-订单明细'!A:A&amp;'小红书-订单明细'!O:O,0)))),IF(ABS(SUM(AF89,AH89:AI89)/(INDEX('小红书-订单明细'!W:W,MATCH(R89&amp;AC89,'小红书-订单明细'!A:A&amp;'小红书-订单明细'!O:O,0))/(INDEX('小红书-订单明细'!T:T,MATCH(R89&amp;AC89,'小红书-订单明细'!A:A&amp;'小红书-订单明细'!O:O,0)))))&gt;15%,ROUNDUP(SUM(AF89,AH89:AI89)/(INDEX('小红书-订单明细'!W:W,MATCH(R89&amp;AC89,'小红书-订单明细'!A:A&amp;'小红书-订单明细'!O:O,0))/(INDEX('小红书-订单明细'!T:T,MATCH(R89&amp;AC89,'小红书-订单明细'!A:A&amp;'小红书-订单明细'!O:O,0)))),0),ROUNDDOWN(SUM(AF89,AH89:AI89)/(INDEX('小红书-订单明细'!W:W,MATCH(R89&amp;AC89,'小红书-订单明细'!A:A&amp;'小红书-订单明细'!O:O,0))/(INDEX('小红书-订单明细'!T:T,MATCH(R89&amp;AC89,'小红书-订单明细'!A:A&amp;'小红书-订单明细'!O:O,0)))),0)))</f>
        <v>1</v>
      </c>
      <c r="I89" s="26">
        <f t="shared" si="16"/>
        <v>199</v>
      </c>
      <c r="J89" s="26">
        <f t="shared" si="17"/>
        <v>0</v>
      </c>
      <c r="K89" s="26">
        <f t="shared" si="18"/>
        <v>0</v>
      </c>
      <c r="L89" s="26">
        <f t="shared" si="19"/>
        <v>9.95</v>
      </c>
      <c r="M89" s="26">
        <f t="shared" si="20"/>
        <v>1.19</v>
      </c>
      <c r="N89" s="26"/>
      <c r="O89" s="28">
        <f t="shared" si="21"/>
        <v>187.86</v>
      </c>
      <c r="Q89" s="1" cm="1">
        <f t="array" ref="Q89">SUM(AF89,AH89:AI89)/(INDEX('小红书-订单明细'!W:W,MATCH(R89&amp;AC89,'小红书-订单明细'!A:A&amp;'小红书-订单明细'!O:O,0))/(INDEX('小红书-订单明细'!T:T,MATCH(R89&amp;AC89,'小红书-订单明细'!A:A&amp;'小红书-订单明细'!O:O,0))))</f>
        <v>1</v>
      </c>
      <c r="R89" s="37" t="s">
        <v>865</v>
      </c>
      <c r="S89" s="35"/>
      <c r="T89" s="35" t="s">
        <v>1930</v>
      </c>
      <c r="U89" s="35" t="s">
        <v>880</v>
      </c>
      <c r="V89" s="35" t="s">
        <v>1931</v>
      </c>
      <c r="W89" s="38" t="s">
        <v>1755</v>
      </c>
      <c r="X89" s="38" t="s">
        <v>1749</v>
      </c>
      <c r="Y89" s="35">
        <v>187.86</v>
      </c>
      <c r="Z89" s="31" t="s">
        <v>1932</v>
      </c>
      <c r="AA89" s="38" t="s">
        <v>1833</v>
      </c>
      <c r="AB89" s="35" t="s">
        <v>870</v>
      </c>
      <c r="AC89" s="37" t="s">
        <v>871</v>
      </c>
      <c r="AD89" s="32">
        <v>1</v>
      </c>
      <c r="AE89" s="35">
        <v>199</v>
      </c>
      <c r="AF89" s="36">
        <v>199</v>
      </c>
      <c r="AG89" s="35" t="s">
        <v>75</v>
      </c>
      <c r="AH89" s="35">
        <v>0</v>
      </c>
      <c r="AI89" s="33">
        <v>0</v>
      </c>
      <c r="AJ89" s="33">
        <v>0</v>
      </c>
      <c r="AK89" s="32">
        <v>0.05</v>
      </c>
      <c r="AL89" s="32">
        <v>0</v>
      </c>
      <c r="AM89" s="33">
        <v>-9.95</v>
      </c>
      <c r="AN89" s="33">
        <v>199</v>
      </c>
      <c r="AO89" s="32">
        <v>199</v>
      </c>
      <c r="AP89" s="32">
        <v>0</v>
      </c>
      <c r="AQ89" s="34" t="s">
        <v>101</v>
      </c>
      <c r="AR89" s="32">
        <v>0</v>
      </c>
      <c r="AS89" s="32">
        <v>0.006</v>
      </c>
      <c r="AT89" s="33">
        <v>-1.19</v>
      </c>
      <c r="AU89" s="35" t="s">
        <v>148</v>
      </c>
      <c r="AV89" s="38" t="s">
        <v>1752</v>
      </c>
      <c r="AW89" s="38" t="s">
        <v>1753</v>
      </c>
      <c r="AX89" s="35"/>
      <c r="AY89" s="35"/>
      <c r="AZ89" s="33">
        <v>0</v>
      </c>
      <c r="BA89" s="32">
        <v>0</v>
      </c>
      <c r="BB89" s="32">
        <v>0</v>
      </c>
      <c r="BC89" s="32">
        <v>0</v>
      </c>
      <c r="BD89" s="32">
        <v>0</v>
      </c>
      <c r="BE89" s="35"/>
    </row>
    <row r="90" customHeight="1" spans="1:57">
      <c r="A90" s="25">
        <f t="shared" si="11"/>
        <v>2025</v>
      </c>
      <c r="B90" s="26">
        <f t="shared" si="12"/>
        <v>8</v>
      </c>
      <c r="C90" s="26" t="str">
        <f t="shared" si="13"/>
        <v>P770794613000337021</v>
      </c>
      <c r="D90" s="26">
        <f t="shared" si="14"/>
        <v>1</v>
      </c>
      <c r="E90" s="26">
        <f>COUNTIF($R$2:R90,R90)</f>
        <v>1</v>
      </c>
      <c r="F90" s="27" t="str" cm="1">
        <f t="array" ref="F90">INDEX('小红书-订单明细'!BQ:BQ,MATCH(R90&amp;AC90,'小红书-订单明细'!A:A&amp;'小红书-订单明细'!O:O,0))</f>
        <v>Z1248-黑色-M</v>
      </c>
      <c r="G90" s="27" t="str">
        <f t="shared" si="15"/>
        <v>Z1248</v>
      </c>
      <c r="H90" s="26" cm="1">
        <f t="array" ref="H90">IF(ABS(BG90)&gt;=1,SUM(AF90,AH90:AI90)/(INDEX('小红书-订单明细'!W:W,MATCH(R90&amp;AC90,'小红书-订单明细'!A:A&amp;'小红书-订单明细'!O:O,0))/(INDEX('小红书-订单明细'!T:T,MATCH(R90&amp;AC90,'小红书-订单明细'!A:A&amp;'小红书-订单明细'!O:O,0)))),IF(ABS(SUM(AF90,AH90:AI90)/(INDEX('小红书-订单明细'!W:W,MATCH(R90&amp;AC90,'小红书-订单明细'!A:A&amp;'小红书-订单明细'!O:O,0))/(INDEX('小红书-订单明细'!T:T,MATCH(R90&amp;AC90,'小红书-订单明细'!A:A&amp;'小红书-订单明细'!O:O,0)))))&gt;15%,ROUNDUP(SUM(AF90,AH90:AI90)/(INDEX('小红书-订单明细'!W:W,MATCH(R90&amp;AC90,'小红书-订单明细'!A:A&amp;'小红书-订单明细'!O:O,0))/(INDEX('小红书-订单明细'!T:T,MATCH(R90&amp;AC90,'小红书-订单明细'!A:A&amp;'小红书-订单明细'!O:O,0)))),0),ROUNDDOWN(SUM(AF90,AH90:AI90)/(INDEX('小红书-订单明细'!W:W,MATCH(R90&amp;AC90,'小红书-订单明细'!A:A&amp;'小红书-订单明细'!O:O,0))/(INDEX('小红书-订单明细'!T:T,MATCH(R90&amp;AC90,'小红书-订单明细'!A:A&amp;'小红书-订单明细'!O:O,0)))),0)))</f>
        <v>1</v>
      </c>
      <c r="I90" s="26">
        <f t="shared" si="16"/>
        <v>199</v>
      </c>
      <c r="J90" s="26">
        <f t="shared" si="17"/>
        <v>0</v>
      </c>
      <c r="K90" s="26">
        <f t="shared" si="18"/>
        <v>0</v>
      </c>
      <c r="L90" s="26">
        <f t="shared" si="19"/>
        <v>9.95</v>
      </c>
      <c r="M90" s="26">
        <f t="shared" si="20"/>
        <v>1.19</v>
      </c>
      <c r="N90" s="26"/>
      <c r="O90" s="28">
        <f t="shared" si="21"/>
        <v>187.86</v>
      </c>
      <c r="Q90" s="1" cm="1">
        <f t="array" ref="Q90">SUM(AF90,AH90:AI90)/(INDEX('小红书-订单明细'!W:W,MATCH(R90&amp;AC90,'小红书-订单明细'!A:A&amp;'小红书-订单明细'!O:O,0))/(INDEX('小红书-订单明细'!T:T,MATCH(R90&amp;AC90,'小红书-订单明细'!A:A&amp;'小红书-订单明细'!O:O,0))))</f>
        <v>1</v>
      </c>
      <c r="R90" s="37" t="s">
        <v>1216</v>
      </c>
      <c r="S90" s="35"/>
      <c r="T90" s="35" t="s">
        <v>1220</v>
      </c>
      <c r="U90" s="35" t="s">
        <v>1222</v>
      </c>
      <c r="V90" s="35" t="s">
        <v>1931</v>
      </c>
      <c r="W90" s="38" t="s">
        <v>1755</v>
      </c>
      <c r="X90" s="38" t="s">
        <v>1749</v>
      </c>
      <c r="Y90" s="35">
        <v>187.86</v>
      </c>
      <c r="Z90" s="31" t="s">
        <v>1860</v>
      </c>
      <c r="AA90" s="38" t="s">
        <v>1833</v>
      </c>
      <c r="AB90" s="35" t="s">
        <v>765</v>
      </c>
      <c r="AC90" s="37" t="s">
        <v>766</v>
      </c>
      <c r="AD90" s="32">
        <v>1</v>
      </c>
      <c r="AE90" s="35">
        <v>199</v>
      </c>
      <c r="AF90" s="36">
        <v>199</v>
      </c>
      <c r="AG90" s="35" t="s">
        <v>75</v>
      </c>
      <c r="AH90" s="35">
        <v>0</v>
      </c>
      <c r="AI90" s="33">
        <v>0</v>
      </c>
      <c r="AJ90" s="33">
        <v>0</v>
      </c>
      <c r="AK90" s="32">
        <v>0.05</v>
      </c>
      <c r="AL90" s="32">
        <v>0</v>
      </c>
      <c r="AM90" s="33">
        <v>-9.95</v>
      </c>
      <c r="AN90" s="33">
        <v>199</v>
      </c>
      <c r="AO90" s="32">
        <v>199</v>
      </c>
      <c r="AP90" s="32">
        <v>0</v>
      </c>
      <c r="AQ90" s="34" t="s">
        <v>101</v>
      </c>
      <c r="AR90" s="32">
        <v>0</v>
      </c>
      <c r="AS90" s="32">
        <v>0.006</v>
      </c>
      <c r="AT90" s="33">
        <v>-1.19</v>
      </c>
      <c r="AU90" s="35" t="s">
        <v>148</v>
      </c>
      <c r="AV90" s="38" t="s">
        <v>1752</v>
      </c>
      <c r="AW90" s="38" t="s">
        <v>1753</v>
      </c>
      <c r="AX90" s="35"/>
      <c r="AY90" s="35"/>
      <c r="AZ90" s="33">
        <v>0</v>
      </c>
      <c r="BA90" s="32">
        <v>0</v>
      </c>
      <c r="BB90" s="32">
        <v>0</v>
      </c>
      <c r="BC90" s="32">
        <v>0</v>
      </c>
      <c r="BD90" s="32">
        <v>0</v>
      </c>
      <c r="BE90" s="35"/>
    </row>
    <row r="91" customHeight="1" spans="1:57">
      <c r="A91" s="25">
        <f t="shared" si="11"/>
        <v>2025</v>
      </c>
      <c r="B91" s="26">
        <f t="shared" si="12"/>
        <v>8</v>
      </c>
      <c r="C91" s="26" t="str">
        <f t="shared" si="13"/>
        <v>P770796110033183261</v>
      </c>
      <c r="D91" s="26">
        <f t="shared" si="14"/>
        <v>2</v>
      </c>
      <c r="E91" s="26">
        <f>COUNTIF($R$2:R91,R91)</f>
        <v>1</v>
      </c>
      <c r="F91" s="27" t="str" cm="1">
        <f t="array" ref="F91">INDEX('小红书-订单明细'!BQ:BQ,MATCH(R91&amp;AC91,'小红书-订单明细'!A:A&amp;'小红书-订单明细'!O:O,0))</f>
        <v>Z2378-花纱色-S</v>
      </c>
      <c r="G91" s="27" t="str">
        <f t="shared" si="15"/>
        <v>Z2378</v>
      </c>
      <c r="H91" s="26" cm="1">
        <f t="array" ref="H91">IF(ABS(BG91)&gt;=1,SUM(AF91,AH91:AI91)/(INDEX('小红书-订单明细'!W:W,MATCH(R91&amp;AC91,'小红书-订单明细'!A:A&amp;'小红书-订单明细'!O:O,0))/(INDEX('小红书-订单明细'!T:T,MATCH(R91&amp;AC91,'小红书-订单明细'!A:A&amp;'小红书-订单明细'!O:O,0)))),IF(ABS(SUM(AF91,AH91:AI91)/(INDEX('小红书-订单明细'!W:W,MATCH(R91&amp;AC91,'小红书-订单明细'!A:A&amp;'小红书-订单明细'!O:O,0))/(INDEX('小红书-订单明细'!T:T,MATCH(R91&amp;AC91,'小红书-订单明细'!A:A&amp;'小红书-订单明细'!O:O,0)))))&gt;15%,ROUNDUP(SUM(AF91,AH91:AI91)/(INDEX('小红书-订单明细'!W:W,MATCH(R91&amp;AC91,'小红书-订单明细'!A:A&amp;'小红书-订单明细'!O:O,0))/(INDEX('小红书-订单明细'!T:T,MATCH(R91&amp;AC91,'小红书-订单明细'!A:A&amp;'小红书-订单明细'!O:O,0)))),0),ROUNDDOWN(SUM(AF91,AH91:AI91)/(INDEX('小红书-订单明细'!W:W,MATCH(R91&amp;AC91,'小红书-订单明细'!A:A&amp;'小红书-订单明细'!O:O,0))/(INDEX('小红书-订单明细'!T:T,MATCH(R91&amp;AC91,'小红书-订单明细'!A:A&amp;'小红书-订单明细'!O:O,0)))),0)))</f>
        <v>-1</v>
      </c>
      <c r="I91" s="26">
        <f t="shared" si="16"/>
        <v>-179</v>
      </c>
      <c r="J91" s="26">
        <f t="shared" si="17"/>
        <v>0</v>
      </c>
      <c r="K91" s="26">
        <f t="shared" si="18"/>
        <v>0</v>
      </c>
      <c r="L91" s="26">
        <f t="shared" si="19"/>
        <v>-8.95</v>
      </c>
      <c r="M91" s="26">
        <f t="shared" si="20"/>
        <v>-1.07</v>
      </c>
      <c r="N91" s="26"/>
      <c r="O91" s="28">
        <f t="shared" si="21"/>
        <v>-168.98</v>
      </c>
      <c r="Q91" s="1" cm="1">
        <f t="array" ref="Q91">SUM(AF91,AH91:AI91)/(INDEX('小红书-订单明细'!W:W,MATCH(R91&amp;AC91,'小红书-订单明细'!A:A&amp;'小红书-订单明细'!O:O,0))/(INDEX('小红书-订单明细'!T:T,MATCH(R91&amp;AC91,'小红书-订单明细'!A:A&amp;'小红书-订单明细'!O:O,0))))</f>
        <v>-1</v>
      </c>
      <c r="R91" s="37" t="s">
        <v>918</v>
      </c>
      <c r="S91" s="35" t="s">
        <v>1933</v>
      </c>
      <c r="T91" s="35" t="s">
        <v>931</v>
      </c>
      <c r="U91" s="35" t="s">
        <v>1934</v>
      </c>
      <c r="V91" s="35" t="s">
        <v>1935</v>
      </c>
      <c r="W91" s="38" t="s">
        <v>1748</v>
      </c>
      <c r="X91" s="38" t="s">
        <v>1749</v>
      </c>
      <c r="Y91" s="35">
        <v>-168.98</v>
      </c>
      <c r="Z91" s="31" t="s">
        <v>1807</v>
      </c>
      <c r="AA91" s="38" t="s">
        <v>1773</v>
      </c>
      <c r="AB91" s="35" t="s">
        <v>924</v>
      </c>
      <c r="AC91" s="37" t="s">
        <v>925</v>
      </c>
      <c r="AD91" s="32">
        <v>0</v>
      </c>
      <c r="AE91" s="35">
        <v>-179</v>
      </c>
      <c r="AF91" s="37">
        <v>-179</v>
      </c>
      <c r="AG91" s="35">
        <v>0</v>
      </c>
      <c r="AH91" s="35">
        <v>0</v>
      </c>
      <c r="AI91" s="33">
        <v>0</v>
      </c>
      <c r="AJ91" s="33">
        <v>0</v>
      </c>
      <c r="AK91" s="32">
        <v>0</v>
      </c>
      <c r="AL91" s="32">
        <v>0</v>
      </c>
      <c r="AM91" s="33">
        <v>8.95</v>
      </c>
      <c r="AN91" s="33">
        <v>0</v>
      </c>
      <c r="AO91" s="32">
        <v>0</v>
      </c>
      <c r="AP91" s="32">
        <v>0</v>
      </c>
      <c r="AQ91" s="34" t="s">
        <v>101</v>
      </c>
      <c r="AR91" s="32">
        <v>0</v>
      </c>
      <c r="AS91" s="32">
        <v>0</v>
      </c>
      <c r="AT91" s="33">
        <v>1.07</v>
      </c>
      <c r="AU91" s="35" t="s">
        <v>148</v>
      </c>
      <c r="AV91" s="38" t="s">
        <v>1752</v>
      </c>
      <c r="AW91" s="38" t="s">
        <v>1753</v>
      </c>
      <c r="AX91" s="35"/>
      <c r="AY91" s="35"/>
      <c r="AZ91" s="33">
        <v>0</v>
      </c>
      <c r="BA91" s="32">
        <v>0</v>
      </c>
      <c r="BB91" s="32">
        <v>0</v>
      </c>
      <c r="BC91" s="32">
        <v>0</v>
      </c>
      <c r="BD91" s="32">
        <v>0</v>
      </c>
      <c r="BE91" s="35"/>
    </row>
    <row r="92" customHeight="1" spans="1:57">
      <c r="A92" s="25">
        <f t="shared" si="11"/>
        <v>2025</v>
      </c>
      <c r="B92" s="26">
        <f t="shared" si="12"/>
        <v>8</v>
      </c>
      <c r="C92" s="26" t="str">
        <f t="shared" si="13"/>
        <v>P770796110033183261</v>
      </c>
      <c r="D92" s="26">
        <f t="shared" si="14"/>
        <v>2</v>
      </c>
      <c r="E92" s="26">
        <f>COUNTIF($R$2:R92,R92)</f>
        <v>2</v>
      </c>
      <c r="F92" s="27" t="str" cm="1">
        <f t="array" ref="F92">INDEX('小红书-订单明细'!BQ:BQ,MATCH(R92&amp;AC92,'小红书-订单明细'!A:A&amp;'小红书-订单明细'!O:O,0))</f>
        <v>Z2378-花纱色-S</v>
      </c>
      <c r="G92" s="27" t="str">
        <f t="shared" si="15"/>
        <v>Z2378</v>
      </c>
      <c r="H92" s="26" cm="1">
        <f t="array" ref="H92">IF(ABS(BG92)&gt;=1,SUM(AF92,AH92:AI92)/(INDEX('小红书-订单明细'!W:W,MATCH(R92&amp;AC92,'小红书-订单明细'!A:A&amp;'小红书-订单明细'!O:O,0))/(INDEX('小红书-订单明细'!T:T,MATCH(R92&amp;AC92,'小红书-订单明细'!A:A&amp;'小红书-订单明细'!O:O,0)))),IF(ABS(SUM(AF92,AH92:AI92)/(INDEX('小红书-订单明细'!W:W,MATCH(R92&amp;AC92,'小红书-订单明细'!A:A&amp;'小红书-订单明细'!O:O,0))/(INDEX('小红书-订单明细'!T:T,MATCH(R92&amp;AC92,'小红书-订单明细'!A:A&amp;'小红书-订单明细'!O:O,0)))))&gt;15%,ROUNDUP(SUM(AF92,AH92:AI92)/(INDEX('小红书-订单明细'!W:W,MATCH(R92&amp;AC92,'小红书-订单明细'!A:A&amp;'小红书-订单明细'!O:O,0))/(INDEX('小红书-订单明细'!T:T,MATCH(R92&amp;AC92,'小红书-订单明细'!A:A&amp;'小红书-订单明细'!O:O,0)))),0),ROUNDDOWN(SUM(AF92,AH92:AI92)/(INDEX('小红书-订单明细'!W:W,MATCH(R92&amp;AC92,'小红书-订单明细'!A:A&amp;'小红书-订单明细'!O:O,0))/(INDEX('小红书-订单明细'!T:T,MATCH(R92&amp;AC92,'小红书-订单明细'!A:A&amp;'小红书-订单明细'!O:O,0)))),0)))</f>
        <v>1</v>
      </c>
      <c r="I92" s="26">
        <f t="shared" si="16"/>
        <v>179</v>
      </c>
      <c r="J92" s="26">
        <f t="shared" si="17"/>
        <v>0</v>
      </c>
      <c r="K92" s="26">
        <f t="shared" si="18"/>
        <v>0</v>
      </c>
      <c r="L92" s="26">
        <f t="shared" si="19"/>
        <v>8.95</v>
      </c>
      <c r="M92" s="26">
        <f t="shared" si="20"/>
        <v>1.07</v>
      </c>
      <c r="N92" s="26"/>
      <c r="O92" s="28">
        <f t="shared" si="21"/>
        <v>168.98</v>
      </c>
      <c r="Q92" s="1" cm="1">
        <f t="array" ref="Q92">SUM(AF92,AH92:AI92)/(INDEX('小红书-订单明细'!W:W,MATCH(R92&amp;AC92,'小红书-订单明细'!A:A&amp;'小红书-订单明细'!O:O,0))/(INDEX('小红书-订单明细'!T:T,MATCH(R92&amp;AC92,'小红书-订单明细'!A:A&amp;'小红书-订单明细'!O:O,0))))</f>
        <v>1</v>
      </c>
      <c r="R92" s="37" t="s">
        <v>918</v>
      </c>
      <c r="S92" s="35"/>
      <c r="T92" s="35" t="s">
        <v>931</v>
      </c>
      <c r="U92" s="35" t="s">
        <v>1936</v>
      </c>
      <c r="V92" s="35" t="s">
        <v>1935</v>
      </c>
      <c r="W92" s="38" t="s">
        <v>1755</v>
      </c>
      <c r="X92" s="38" t="s">
        <v>1749</v>
      </c>
      <c r="Y92" s="35">
        <v>168.98</v>
      </c>
      <c r="Z92" s="31" t="s">
        <v>1807</v>
      </c>
      <c r="AA92" s="38" t="s">
        <v>1773</v>
      </c>
      <c r="AB92" s="35" t="s">
        <v>924</v>
      </c>
      <c r="AC92" s="37" t="s">
        <v>925</v>
      </c>
      <c r="AD92" s="32">
        <v>1</v>
      </c>
      <c r="AE92" s="35">
        <v>179</v>
      </c>
      <c r="AF92" s="36">
        <v>179</v>
      </c>
      <c r="AG92" s="35" t="s">
        <v>75</v>
      </c>
      <c r="AH92" s="35">
        <v>0</v>
      </c>
      <c r="AI92" s="33">
        <v>0</v>
      </c>
      <c r="AJ92" s="33">
        <v>0</v>
      </c>
      <c r="AK92" s="32">
        <v>0.05</v>
      </c>
      <c r="AL92" s="32">
        <v>0</v>
      </c>
      <c r="AM92" s="33">
        <v>-8.95</v>
      </c>
      <c r="AN92" s="33">
        <v>179</v>
      </c>
      <c r="AO92" s="32">
        <v>179</v>
      </c>
      <c r="AP92" s="32">
        <v>0</v>
      </c>
      <c r="AQ92" s="34" t="s">
        <v>101</v>
      </c>
      <c r="AR92" s="32">
        <v>0</v>
      </c>
      <c r="AS92" s="32">
        <v>0.006</v>
      </c>
      <c r="AT92" s="33">
        <v>-1.07</v>
      </c>
      <c r="AU92" s="35" t="s">
        <v>148</v>
      </c>
      <c r="AV92" s="38" t="s">
        <v>1752</v>
      </c>
      <c r="AW92" s="38" t="s">
        <v>1753</v>
      </c>
      <c r="AX92" s="35"/>
      <c r="AY92" s="35"/>
      <c r="AZ92" s="33">
        <v>0</v>
      </c>
      <c r="BA92" s="32">
        <v>0</v>
      </c>
      <c r="BB92" s="32">
        <v>0</v>
      </c>
      <c r="BC92" s="32">
        <v>0</v>
      </c>
      <c r="BD92" s="32">
        <v>0</v>
      </c>
      <c r="BE92" s="35"/>
    </row>
    <row r="93" customHeight="1" spans="1:57">
      <c r="A93" s="25">
        <f t="shared" si="11"/>
        <v>2025</v>
      </c>
      <c r="B93" s="26">
        <f t="shared" si="12"/>
        <v>8</v>
      </c>
      <c r="C93" s="26" t="str">
        <f t="shared" si="13"/>
        <v>P770797478381146081</v>
      </c>
      <c r="D93" s="26">
        <f t="shared" si="14"/>
        <v>1</v>
      </c>
      <c r="E93" s="26">
        <f>COUNTIF($R$2:R93,R93)</f>
        <v>1</v>
      </c>
      <c r="F93" s="27" t="str" cm="1">
        <f t="array" ref="F93">INDEX('小红书-订单明细'!BQ:BQ,MATCH(R93&amp;AC93,'小红书-订单明细'!A:A&amp;'小红书-订单明细'!O:O,0))</f>
        <v>Z2363-灰色-M</v>
      </c>
      <c r="G93" s="27" t="str">
        <f t="shared" si="15"/>
        <v>Z2363</v>
      </c>
      <c r="H93" s="26" cm="1">
        <f t="array" ref="H93">IF(ABS(BG93)&gt;=1,SUM(AF93,AH93:AI93)/(INDEX('小红书-订单明细'!W:W,MATCH(R93&amp;AC93,'小红书-订单明细'!A:A&amp;'小红书-订单明细'!O:O,0))/(INDEX('小红书-订单明细'!T:T,MATCH(R93&amp;AC93,'小红书-订单明细'!A:A&amp;'小红书-订单明细'!O:O,0)))),IF(ABS(SUM(AF93,AH93:AI93)/(INDEX('小红书-订单明细'!W:W,MATCH(R93&amp;AC93,'小红书-订单明细'!A:A&amp;'小红书-订单明细'!O:O,0))/(INDEX('小红书-订单明细'!T:T,MATCH(R93&amp;AC93,'小红书-订单明细'!A:A&amp;'小红书-订单明细'!O:O,0)))))&gt;15%,ROUNDUP(SUM(AF93,AH93:AI93)/(INDEX('小红书-订单明细'!W:W,MATCH(R93&amp;AC93,'小红书-订单明细'!A:A&amp;'小红书-订单明细'!O:O,0))/(INDEX('小红书-订单明细'!T:T,MATCH(R93&amp;AC93,'小红书-订单明细'!A:A&amp;'小红书-订单明细'!O:O,0)))),0),ROUNDDOWN(SUM(AF93,AH93:AI93)/(INDEX('小红书-订单明细'!W:W,MATCH(R93&amp;AC93,'小红书-订单明细'!A:A&amp;'小红书-订单明细'!O:O,0))/(INDEX('小红书-订单明细'!T:T,MATCH(R93&amp;AC93,'小红书-订单明细'!A:A&amp;'小红书-订单明细'!O:O,0)))),0)))</f>
        <v>1</v>
      </c>
      <c r="I93" s="26">
        <f t="shared" si="16"/>
        <v>359</v>
      </c>
      <c r="J93" s="26">
        <f t="shared" si="17"/>
        <v>0</v>
      </c>
      <c r="K93" s="26">
        <f t="shared" si="18"/>
        <v>0</v>
      </c>
      <c r="L93" s="26">
        <f t="shared" si="19"/>
        <v>17.95</v>
      </c>
      <c r="M93" s="26">
        <f t="shared" si="20"/>
        <v>2.15</v>
      </c>
      <c r="N93" s="26"/>
      <c r="O93" s="28">
        <f t="shared" si="21"/>
        <v>338.9</v>
      </c>
      <c r="Q93" s="1" cm="1">
        <f t="array" ref="Q93">SUM(AF93,AH93:AI93)/(INDEX('小红书-订单明细'!W:W,MATCH(R93&amp;AC93,'小红书-订单明细'!A:A&amp;'小红书-订单明细'!O:O,0))/(INDEX('小红书-订单明细'!T:T,MATCH(R93&amp;AC93,'小红书-订单明细'!A:A&amp;'小红书-订单明细'!O:O,0))))</f>
        <v>1</v>
      </c>
      <c r="R93" s="37" t="s">
        <v>822</v>
      </c>
      <c r="S93" s="35"/>
      <c r="T93" s="35" t="s">
        <v>833</v>
      </c>
      <c r="U93" s="35" t="s">
        <v>836</v>
      </c>
      <c r="V93" s="35" t="s">
        <v>1937</v>
      </c>
      <c r="W93" s="38" t="s">
        <v>1755</v>
      </c>
      <c r="X93" s="38" t="s">
        <v>1749</v>
      </c>
      <c r="Y93" s="35">
        <v>338.9</v>
      </c>
      <c r="Z93" s="31" t="s">
        <v>1757</v>
      </c>
      <c r="AA93" s="38" t="s">
        <v>1758</v>
      </c>
      <c r="AB93" s="35" t="s">
        <v>826</v>
      </c>
      <c r="AC93" s="37" t="s">
        <v>827</v>
      </c>
      <c r="AD93" s="32">
        <v>1</v>
      </c>
      <c r="AE93" s="35">
        <v>359</v>
      </c>
      <c r="AF93" s="36">
        <v>359</v>
      </c>
      <c r="AG93" s="35" t="s">
        <v>75</v>
      </c>
      <c r="AH93" s="35">
        <v>0</v>
      </c>
      <c r="AI93" s="33">
        <v>0</v>
      </c>
      <c r="AJ93" s="33">
        <v>0</v>
      </c>
      <c r="AK93" s="32">
        <v>0.05</v>
      </c>
      <c r="AL93" s="32">
        <v>0</v>
      </c>
      <c r="AM93" s="33">
        <v>-17.95</v>
      </c>
      <c r="AN93" s="33">
        <v>359</v>
      </c>
      <c r="AO93" s="32">
        <v>359</v>
      </c>
      <c r="AP93" s="32">
        <v>0</v>
      </c>
      <c r="AQ93" s="34" t="s">
        <v>101</v>
      </c>
      <c r="AR93" s="32">
        <v>0</v>
      </c>
      <c r="AS93" s="32">
        <v>0.006</v>
      </c>
      <c r="AT93" s="33">
        <v>-2.15</v>
      </c>
      <c r="AU93" s="35" t="s">
        <v>148</v>
      </c>
      <c r="AV93" s="38" t="s">
        <v>1752</v>
      </c>
      <c r="AW93" s="38" t="s">
        <v>1753</v>
      </c>
      <c r="AX93" s="35"/>
      <c r="AY93" s="35"/>
      <c r="AZ93" s="33">
        <v>0</v>
      </c>
      <c r="BA93" s="32">
        <v>0</v>
      </c>
      <c r="BB93" s="32">
        <v>0</v>
      </c>
      <c r="BC93" s="32">
        <v>0</v>
      </c>
      <c r="BD93" s="32">
        <v>0</v>
      </c>
      <c r="BE93" s="35"/>
    </row>
    <row r="94" customHeight="1" spans="1:57">
      <c r="A94" s="25">
        <f t="shared" si="11"/>
        <v>2025</v>
      </c>
      <c r="B94" s="26">
        <f t="shared" si="12"/>
        <v>8</v>
      </c>
      <c r="C94" s="26" t="str">
        <f t="shared" si="13"/>
        <v>P770633097859472931</v>
      </c>
      <c r="D94" s="26">
        <f t="shared" si="14"/>
        <v>2</v>
      </c>
      <c r="E94" s="26">
        <f>COUNTIF($R$2:R94,R94)</f>
        <v>1</v>
      </c>
      <c r="F94" s="27" t="str" cm="1">
        <f t="array" ref="F94">INDEX('小红书-订单明细'!BQ:BQ,MATCH(R94&amp;AC94,'小红书-订单明细'!A:A&amp;'小红书-订单明细'!O:O,0))</f>
        <v>Z1581-黑色-L</v>
      </c>
      <c r="G94" s="27" t="str">
        <f t="shared" si="15"/>
        <v>Z1581</v>
      </c>
      <c r="H94" s="26" cm="1">
        <f t="array" ref="H94">IF(ABS(BG94)&gt;=1,SUM(AF94,AH94:AI94)/(INDEX('小红书-订单明细'!W:W,MATCH(R94&amp;AC94,'小红书-订单明细'!A:A&amp;'小红书-订单明细'!O:O,0))/(INDEX('小红书-订单明细'!T:T,MATCH(R94&amp;AC94,'小红书-订单明细'!A:A&amp;'小红书-订单明细'!O:O,0)))),IF(ABS(SUM(AF94,AH94:AI94)/(INDEX('小红书-订单明细'!W:W,MATCH(R94&amp;AC94,'小红书-订单明细'!A:A&amp;'小红书-订单明细'!O:O,0))/(INDEX('小红书-订单明细'!T:T,MATCH(R94&amp;AC94,'小红书-订单明细'!A:A&amp;'小红书-订单明细'!O:O,0)))))&gt;15%,ROUNDUP(SUM(AF94,AH94:AI94)/(INDEX('小红书-订单明细'!W:W,MATCH(R94&amp;AC94,'小红书-订单明细'!A:A&amp;'小红书-订单明细'!O:O,0))/(INDEX('小红书-订单明细'!T:T,MATCH(R94&amp;AC94,'小红书-订单明细'!A:A&amp;'小红书-订单明细'!O:O,0)))),0),ROUNDDOWN(SUM(AF94,AH94:AI94)/(INDEX('小红书-订单明细'!W:W,MATCH(R94&amp;AC94,'小红书-订单明细'!A:A&amp;'小红书-订单明细'!O:O,0))/(INDEX('小红书-订单明细'!T:T,MATCH(R94&amp;AC94,'小红书-订单明细'!A:A&amp;'小红书-订单明细'!O:O,0)))),0)))</f>
        <v>-1</v>
      </c>
      <c r="I94" s="26">
        <f t="shared" si="16"/>
        <v>-289</v>
      </c>
      <c r="J94" s="26">
        <f t="shared" si="17"/>
        <v>0</v>
      </c>
      <c r="K94" s="26">
        <f t="shared" si="18"/>
        <v>0</v>
      </c>
      <c r="L94" s="26">
        <f t="shared" si="19"/>
        <v>-14.45</v>
      </c>
      <c r="M94" s="26">
        <f t="shared" si="20"/>
        <v>-1.73</v>
      </c>
      <c r="N94" s="26"/>
      <c r="O94" s="28">
        <f t="shared" si="21"/>
        <v>-272.82</v>
      </c>
      <c r="Q94" s="1" cm="1">
        <f t="array" ref="Q94">SUM(AF94,AH94:AI94)/(INDEX('小红书-订单明细'!W:W,MATCH(R94&amp;AC94,'小红书-订单明细'!A:A&amp;'小红书-订单明细'!O:O,0))/(INDEX('小红书-订单明细'!T:T,MATCH(R94&amp;AC94,'小红书-订单明细'!A:A&amp;'小红书-订单明细'!O:O,0))))</f>
        <v>-1</v>
      </c>
      <c r="R94" s="37" t="s">
        <v>1504</v>
      </c>
      <c r="S94" s="35" t="s">
        <v>1938</v>
      </c>
      <c r="T94" s="35" t="s">
        <v>1939</v>
      </c>
      <c r="U94" s="35" t="s">
        <v>1940</v>
      </c>
      <c r="V94" s="35" t="s">
        <v>1941</v>
      </c>
      <c r="W94" s="38" t="s">
        <v>1748</v>
      </c>
      <c r="X94" s="38" t="s">
        <v>1749</v>
      </c>
      <c r="Y94" s="35">
        <v>-272.82</v>
      </c>
      <c r="Z94" s="31" t="s">
        <v>1942</v>
      </c>
      <c r="AA94" s="38" t="s">
        <v>1764</v>
      </c>
      <c r="AB94" s="35" t="s">
        <v>1511</v>
      </c>
      <c r="AC94" s="37" t="s">
        <v>1512</v>
      </c>
      <c r="AD94" s="32">
        <v>0</v>
      </c>
      <c r="AE94" s="35">
        <v>-289</v>
      </c>
      <c r="AF94" s="37">
        <v>-289</v>
      </c>
      <c r="AG94" s="35">
        <v>0</v>
      </c>
      <c r="AH94" s="35">
        <v>0</v>
      </c>
      <c r="AI94" s="33">
        <v>0</v>
      </c>
      <c r="AJ94" s="33">
        <v>0</v>
      </c>
      <c r="AK94" s="32">
        <v>0</v>
      </c>
      <c r="AL94" s="32">
        <v>0</v>
      </c>
      <c r="AM94" s="33">
        <v>14.45</v>
      </c>
      <c r="AN94" s="33">
        <v>0</v>
      </c>
      <c r="AO94" s="32">
        <v>0</v>
      </c>
      <c r="AP94" s="32">
        <v>0</v>
      </c>
      <c r="AQ94" s="34" t="s">
        <v>101</v>
      </c>
      <c r="AR94" s="32">
        <v>0</v>
      </c>
      <c r="AS94" s="32">
        <v>0</v>
      </c>
      <c r="AT94" s="33">
        <v>1.73</v>
      </c>
      <c r="AU94" s="35" t="s">
        <v>148</v>
      </c>
      <c r="AV94" s="38" t="s">
        <v>1752</v>
      </c>
      <c r="AW94" s="38" t="s">
        <v>1753</v>
      </c>
      <c r="AX94" s="35"/>
      <c r="AY94" s="35"/>
      <c r="AZ94" s="33">
        <v>0</v>
      </c>
      <c r="BA94" s="32">
        <v>0</v>
      </c>
      <c r="BB94" s="32">
        <v>0</v>
      </c>
      <c r="BC94" s="32">
        <v>0</v>
      </c>
      <c r="BD94" s="32">
        <v>0</v>
      </c>
      <c r="BE94" s="35"/>
    </row>
    <row r="95" customHeight="1" spans="1:57">
      <c r="A95" s="25">
        <f t="shared" si="11"/>
        <v>2025</v>
      </c>
      <c r="B95" s="26">
        <f t="shared" si="12"/>
        <v>8</v>
      </c>
      <c r="C95" s="26" t="str">
        <f t="shared" si="13"/>
        <v>P770633097859472931</v>
      </c>
      <c r="D95" s="26">
        <f t="shared" si="14"/>
        <v>2</v>
      </c>
      <c r="E95" s="26">
        <f>COUNTIF($R$2:R95,R95)</f>
        <v>2</v>
      </c>
      <c r="F95" s="27" t="str" cm="1">
        <f t="array" ref="F95">INDEX('小红书-订单明细'!BQ:BQ,MATCH(R95&amp;AC95,'小红书-订单明细'!A:A&amp;'小红书-订单明细'!O:O,0))</f>
        <v>Z1581-黑色-L</v>
      </c>
      <c r="G95" s="27" t="str">
        <f t="shared" si="15"/>
        <v>Z1581</v>
      </c>
      <c r="H95" s="26" cm="1">
        <f t="array" ref="H95">IF(ABS(BG95)&gt;=1,SUM(AF95,AH95:AI95)/(INDEX('小红书-订单明细'!W:W,MATCH(R95&amp;AC95,'小红书-订单明细'!A:A&amp;'小红书-订单明细'!O:O,0))/(INDEX('小红书-订单明细'!T:T,MATCH(R95&amp;AC95,'小红书-订单明细'!A:A&amp;'小红书-订单明细'!O:O,0)))),IF(ABS(SUM(AF95,AH95:AI95)/(INDEX('小红书-订单明细'!W:W,MATCH(R95&amp;AC95,'小红书-订单明细'!A:A&amp;'小红书-订单明细'!O:O,0))/(INDEX('小红书-订单明细'!T:T,MATCH(R95&amp;AC95,'小红书-订单明细'!A:A&amp;'小红书-订单明细'!O:O,0)))))&gt;15%,ROUNDUP(SUM(AF95,AH95:AI95)/(INDEX('小红书-订单明细'!W:W,MATCH(R95&amp;AC95,'小红书-订单明细'!A:A&amp;'小红书-订单明细'!O:O,0))/(INDEX('小红书-订单明细'!T:T,MATCH(R95&amp;AC95,'小红书-订单明细'!A:A&amp;'小红书-订单明细'!O:O,0)))),0),ROUNDDOWN(SUM(AF95,AH95:AI95)/(INDEX('小红书-订单明细'!W:W,MATCH(R95&amp;AC95,'小红书-订单明细'!A:A&amp;'小红书-订单明细'!O:O,0))/(INDEX('小红书-订单明细'!T:T,MATCH(R95&amp;AC95,'小红书-订单明细'!A:A&amp;'小红书-订单明细'!O:O,0)))),0)))</f>
        <v>1</v>
      </c>
      <c r="I95" s="26">
        <f t="shared" si="16"/>
        <v>289</v>
      </c>
      <c r="J95" s="26">
        <f t="shared" si="17"/>
        <v>0</v>
      </c>
      <c r="K95" s="26">
        <f t="shared" si="18"/>
        <v>0</v>
      </c>
      <c r="L95" s="26">
        <f t="shared" si="19"/>
        <v>14.45</v>
      </c>
      <c r="M95" s="26">
        <f t="shared" si="20"/>
        <v>1.73</v>
      </c>
      <c r="N95" s="26"/>
      <c r="O95" s="28">
        <f t="shared" si="21"/>
        <v>272.82</v>
      </c>
      <c r="Q95" s="1" cm="1">
        <f t="array" ref="Q95">SUM(AF95,AH95:AI95)/(INDEX('小红书-订单明细'!W:W,MATCH(R95&amp;AC95,'小红书-订单明细'!A:A&amp;'小红书-订单明细'!O:O,0))/(INDEX('小红书-订单明细'!T:T,MATCH(R95&amp;AC95,'小红书-订单明细'!A:A&amp;'小红书-订单明细'!O:O,0))))</f>
        <v>1</v>
      </c>
      <c r="R95" s="37" t="s">
        <v>1504</v>
      </c>
      <c r="S95" s="35"/>
      <c r="T95" s="35" t="s">
        <v>1939</v>
      </c>
      <c r="U95" s="35" t="s">
        <v>1943</v>
      </c>
      <c r="V95" s="35" t="s">
        <v>1941</v>
      </c>
      <c r="W95" s="38" t="s">
        <v>1755</v>
      </c>
      <c r="X95" s="38" t="s">
        <v>1749</v>
      </c>
      <c r="Y95" s="35">
        <v>272.82</v>
      </c>
      <c r="Z95" s="31" t="s">
        <v>1942</v>
      </c>
      <c r="AA95" s="38" t="s">
        <v>1764</v>
      </c>
      <c r="AB95" s="35" t="s">
        <v>1511</v>
      </c>
      <c r="AC95" s="37" t="s">
        <v>1512</v>
      </c>
      <c r="AD95" s="32">
        <v>1</v>
      </c>
      <c r="AE95" s="35">
        <v>289</v>
      </c>
      <c r="AF95" s="36">
        <v>289</v>
      </c>
      <c r="AG95" s="35" t="s">
        <v>75</v>
      </c>
      <c r="AH95" s="35">
        <v>0</v>
      </c>
      <c r="AI95" s="33">
        <v>0</v>
      </c>
      <c r="AJ95" s="33">
        <v>0</v>
      </c>
      <c r="AK95" s="32">
        <v>0.05</v>
      </c>
      <c r="AL95" s="32">
        <v>0</v>
      </c>
      <c r="AM95" s="33">
        <v>-14.45</v>
      </c>
      <c r="AN95" s="33">
        <v>289</v>
      </c>
      <c r="AO95" s="32">
        <v>289</v>
      </c>
      <c r="AP95" s="32">
        <v>0</v>
      </c>
      <c r="AQ95" s="34" t="s">
        <v>101</v>
      </c>
      <c r="AR95" s="32">
        <v>0</v>
      </c>
      <c r="AS95" s="32">
        <v>0.006</v>
      </c>
      <c r="AT95" s="33">
        <v>-1.73</v>
      </c>
      <c r="AU95" s="35" t="s">
        <v>148</v>
      </c>
      <c r="AV95" s="38" t="s">
        <v>1752</v>
      </c>
      <c r="AW95" s="38" t="s">
        <v>1753</v>
      </c>
      <c r="AX95" s="35"/>
      <c r="AY95" s="35"/>
      <c r="AZ95" s="33">
        <v>0</v>
      </c>
      <c r="BA95" s="32">
        <v>0</v>
      </c>
      <c r="BB95" s="32">
        <v>0</v>
      </c>
      <c r="BC95" s="32">
        <v>0</v>
      </c>
      <c r="BD95" s="32">
        <v>0</v>
      </c>
      <c r="BE95" s="35"/>
    </row>
    <row r="96" customHeight="1" spans="1:57">
      <c r="A96" s="25">
        <f t="shared" si="11"/>
        <v>2025</v>
      </c>
      <c r="B96" s="26">
        <f t="shared" si="12"/>
        <v>8</v>
      </c>
      <c r="C96" s="26" t="str">
        <f t="shared" si="13"/>
        <v>P770798754835129721</v>
      </c>
      <c r="D96" s="26">
        <f t="shared" si="14"/>
        <v>1</v>
      </c>
      <c r="E96" s="26">
        <f>COUNTIF($R$2:R96,R96)</f>
        <v>1</v>
      </c>
      <c r="F96" s="27" t="str" cm="1">
        <f t="array" ref="F96">INDEX('小红书-订单明细'!BQ:BQ,MATCH(R96&amp;AC96,'小红书-订单明细'!A:A&amp;'小红书-订单明细'!O:O,0))</f>
        <v>Z1248-黑色-L</v>
      </c>
      <c r="G96" s="27" t="str">
        <f t="shared" si="15"/>
        <v>Z1248</v>
      </c>
      <c r="H96" s="26" cm="1">
        <f t="array" ref="H96">IF(ABS(BG96)&gt;=1,SUM(AF96,AH96:AI96)/(INDEX('小红书-订单明细'!W:W,MATCH(R96&amp;AC96,'小红书-订单明细'!A:A&amp;'小红书-订单明细'!O:O,0))/(INDEX('小红书-订单明细'!T:T,MATCH(R96&amp;AC96,'小红书-订单明细'!A:A&amp;'小红书-订单明细'!O:O,0)))),IF(ABS(SUM(AF96,AH96:AI96)/(INDEX('小红书-订单明细'!W:W,MATCH(R96&amp;AC96,'小红书-订单明细'!A:A&amp;'小红书-订单明细'!O:O,0))/(INDEX('小红书-订单明细'!T:T,MATCH(R96&amp;AC96,'小红书-订单明细'!A:A&amp;'小红书-订单明细'!O:O,0)))))&gt;15%,ROUNDUP(SUM(AF96,AH96:AI96)/(INDEX('小红书-订单明细'!W:W,MATCH(R96&amp;AC96,'小红书-订单明细'!A:A&amp;'小红书-订单明细'!O:O,0))/(INDEX('小红书-订单明细'!T:T,MATCH(R96&amp;AC96,'小红书-订单明细'!A:A&amp;'小红书-订单明细'!O:O,0)))),0),ROUNDDOWN(SUM(AF96,AH96:AI96)/(INDEX('小红书-订单明细'!W:W,MATCH(R96&amp;AC96,'小红书-订单明细'!A:A&amp;'小红书-订单明细'!O:O,0))/(INDEX('小红书-订单明细'!T:T,MATCH(R96&amp;AC96,'小红书-订单明细'!A:A&amp;'小红书-订单明细'!O:O,0)))),0)))</f>
        <v>1</v>
      </c>
      <c r="I96" s="26">
        <f t="shared" si="16"/>
        <v>199</v>
      </c>
      <c r="J96" s="26">
        <f t="shared" si="17"/>
        <v>0</v>
      </c>
      <c r="K96" s="26">
        <f t="shared" si="18"/>
        <v>0</v>
      </c>
      <c r="L96" s="26">
        <f t="shared" si="19"/>
        <v>9.95</v>
      </c>
      <c r="M96" s="26">
        <f t="shared" si="20"/>
        <v>1.19</v>
      </c>
      <c r="N96" s="26"/>
      <c r="O96" s="28">
        <f t="shared" si="21"/>
        <v>187.86</v>
      </c>
      <c r="Q96" s="1" cm="1">
        <f t="array" ref="Q96">SUM(AF96,AH96:AI96)/(INDEX('小红书-订单明细'!W:W,MATCH(R96&amp;AC96,'小红书-订单明细'!A:A&amp;'小红书-订单明细'!O:O,0))/(INDEX('小红书-订单明细'!T:T,MATCH(R96&amp;AC96,'小红书-订单明细'!A:A&amp;'小红书-订单明细'!O:O,0))))</f>
        <v>1</v>
      </c>
      <c r="R96" s="37" t="s">
        <v>778</v>
      </c>
      <c r="S96" s="35"/>
      <c r="T96" s="35" t="s">
        <v>1944</v>
      </c>
      <c r="U96" s="35" t="s">
        <v>796</v>
      </c>
      <c r="V96" s="35" t="s">
        <v>1945</v>
      </c>
      <c r="W96" s="38" t="s">
        <v>1755</v>
      </c>
      <c r="X96" s="38" t="s">
        <v>1749</v>
      </c>
      <c r="Y96" s="35">
        <v>187.86</v>
      </c>
      <c r="Z96" s="31" t="s">
        <v>1873</v>
      </c>
      <c r="AA96" s="38" t="s">
        <v>1833</v>
      </c>
      <c r="AB96" s="35" t="s">
        <v>787</v>
      </c>
      <c r="AC96" s="37" t="s">
        <v>788</v>
      </c>
      <c r="AD96" s="32">
        <v>1</v>
      </c>
      <c r="AE96" s="35">
        <v>199</v>
      </c>
      <c r="AF96" s="36">
        <v>199</v>
      </c>
      <c r="AG96" s="35" t="s">
        <v>75</v>
      </c>
      <c r="AH96" s="35">
        <v>0</v>
      </c>
      <c r="AI96" s="33">
        <v>0</v>
      </c>
      <c r="AJ96" s="33">
        <v>0</v>
      </c>
      <c r="AK96" s="32">
        <v>0.05</v>
      </c>
      <c r="AL96" s="32">
        <v>0</v>
      </c>
      <c r="AM96" s="33">
        <v>-9.95</v>
      </c>
      <c r="AN96" s="33">
        <v>199</v>
      </c>
      <c r="AO96" s="32">
        <v>199</v>
      </c>
      <c r="AP96" s="32">
        <v>0</v>
      </c>
      <c r="AQ96" s="34" t="s">
        <v>101</v>
      </c>
      <c r="AR96" s="32">
        <v>0</v>
      </c>
      <c r="AS96" s="32">
        <v>0.006</v>
      </c>
      <c r="AT96" s="33">
        <v>-1.19</v>
      </c>
      <c r="AU96" s="35" t="s">
        <v>148</v>
      </c>
      <c r="AV96" s="38" t="s">
        <v>1752</v>
      </c>
      <c r="AW96" s="38" t="s">
        <v>1753</v>
      </c>
      <c r="AX96" s="35"/>
      <c r="AY96" s="35"/>
      <c r="AZ96" s="33">
        <v>0</v>
      </c>
      <c r="BA96" s="32">
        <v>0</v>
      </c>
      <c r="BB96" s="32">
        <v>0</v>
      </c>
      <c r="BC96" s="32">
        <v>0</v>
      </c>
      <c r="BD96" s="32">
        <v>0</v>
      </c>
      <c r="BE96" s="35"/>
    </row>
    <row r="97" customHeight="1" spans="1:57">
      <c r="A97" s="25">
        <f t="shared" si="11"/>
        <v>2025</v>
      </c>
      <c r="B97" s="26">
        <f t="shared" si="12"/>
        <v>8</v>
      </c>
      <c r="C97" s="26" t="str">
        <f t="shared" si="13"/>
        <v>P770794938906198011</v>
      </c>
      <c r="D97" s="26">
        <f t="shared" si="14"/>
        <v>1</v>
      </c>
      <c r="E97" s="26">
        <f>COUNTIF($R$2:R97,R97)</f>
        <v>1</v>
      </c>
      <c r="F97" s="27" t="str" cm="1">
        <f t="array" ref="F97">INDEX('小红书-订单明细'!BQ:BQ,MATCH(R97&amp;AC97,'小红书-订单明细'!A:A&amp;'小红书-订单明细'!O:O,0))</f>
        <v>Z2363-灰色-S</v>
      </c>
      <c r="G97" s="27" t="str">
        <f t="shared" si="15"/>
        <v>Z2363</v>
      </c>
      <c r="H97" s="26" cm="1">
        <f t="array" ref="H97">IF(ABS(BG97)&gt;=1,SUM(AF97,AH97:AI97)/(INDEX('小红书-订单明细'!W:W,MATCH(R97&amp;AC97,'小红书-订单明细'!A:A&amp;'小红书-订单明细'!O:O,0))/(INDEX('小红书-订单明细'!T:T,MATCH(R97&amp;AC97,'小红书-订单明细'!A:A&amp;'小红书-订单明细'!O:O,0)))),IF(ABS(SUM(AF97,AH97:AI97)/(INDEX('小红书-订单明细'!W:W,MATCH(R97&amp;AC97,'小红书-订单明细'!A:A&amp;'小红书-订单明细'!O:O,0))/(INDEX('小红书-订单明细'!T:T,MATCH(R97&amp;AC97,'小红书-订单明细'!A:A&amp;'小红书-订单明细'!O:O,0)))))&gt;15%,ROUNDUP(SUM(AF97,AH97:AI97)/(INDEX('小红书-订单明细'!W:W,MATCH(R97&amp;AC97,'小红书-订单明细'!A:A&amp;'小红书-订单明细'!O:O,0))/(INDEX('小红书-订单明细'!T:T,MATCH(R97&amp;AC97,'小红书-订单明细'!A:A&amp;'小红书-订单明细'!O:O,0)))),0),ROUNDDOWN(SUM(AF97,AH97:AI97)/(INDEX('小红书-订单明细'!W:W,MATCH(R97&amp;AC97,'小红书-订单明细'!A:A&amp;'小红书-订单明细'!O:O,0))/(INDEX('小红书-订单明细'!T:T,MATCH(R97&amp;AC97,'小红书-订单明细'!A:A&amp;'小红书-订单明细'!O:O,0)))),0)))</f>
        <v>1</v>
      </c>
      <c r="I97" s="26">
        <f t="shared" si="16"/>
        <v>359</v>
      </c>
      <c r="J97" s="26">
        <f t="shared" si="17"/>
        <v>0</v>
      </c>
      <c r="K97" s="26">
        <f t="shared" si="18"/>
        <v>0</v>
      </c>
      <c r="L97" s="26">
        <f t="shared" si="19"/>
        <v>17.95</v>
      </c>
      <c r="M97" s="26">
        <f t="shared" si="20"/>
        <v>2.15</v>
      </c>
      <c r="N97" s="26"/>
      <c r="O97" s="28">
        <f t="shared" si="21"/>
        <v>338.9</v>
      </c>
      <c r="Q97" s="1" cm="1">
        <f t="array" ref="Q97">SUM(AF97,AH97:AI97)/(INDEX('小红书-订单明细'!W:W,MATCH(R97&amp;AC97,'小红书-订单明细'!A:A&amp;'小红书-订单明细'!O:O,0))/(INDEX('小红书-订单明细'!T:T,MATCH(R97&amp;AC97,'小红书-订单明细'!A:A&amp;'小红书-订单明细'!O:O,0))))</f>
        <v>1</v>
      </c>
      <c r="R97" s="37" t="s">
        <v>1103</v>
      </c>
      <c r="S97" s="35"/>
      <c r="T97" s="35" t="s">
        <v>1946</v>
      </c>
      <c r="U97" s="35" t="s">
        <v>1116</v>
      </c>
      <c r="V97" s="35" t="s">
        <v>1947</v>
      </c>
      <c r="W97" s="38" t="s">
        <v>1755</v>
      </c>
      <c r="X97" s="38" t="s">
        <v>1749</v>
      </c>
      <c r="Y97" s="35">
        <v>338.9</v>
      </c>
      <c r="Z97" s="31" t="s">
        <v>1948</v>
      </c>
      <c r="AA97" s="38" t="s">
        <v>1758</v>
      </c>
      <c r="AB97" s="35" t="s">
        <v>1092</v>
      </c>
      <c r="AC97" s="37" t="s">
        <v>1093</v>
      </c>
      <c r="AD97" s="32">
        <v>1</v>
      </c>
      <c r="AE97" s="35">
        <v>359</v>
      </c>
      <c r="AF97" s="36">
        <v>359</v>
      </c>
      <c r="AG97" s="35" t="s">
        <v>75</v>
      </c>
      <c r="AH97" s="35">
        <v>0</v>
      </c>
      <c r="AI97" s="33">
        <v>0</v>
      </c>
      <c r="AJ97" s="33">
        <v>0</v>
      </c>
      <c r="AK97" s="32">
        <v>0.05</v>
      </c>
      <c r="AL97" s="32">
        <v>0</v>
      </c>
      <c r="AM97" s="33">
        <v>-17.95</v>
      </c>
      <c r="AN97" s="33">
        <v>359</v>
      </c>
      <c r="AO97" s="32">
        <v>359</v>
      </c>
      <c r="AP97" s="32">
        <v>0</v>
      </c>
      <c r="AQ97" s="34" t="s">
        <v>101</v>
      </c>
      <c r="AR97" s="32">
        <v>0</v>
      </c>
      <c r="AS97" s="32">
        <v>0.006</v>
      </c>
      <c r="AT97" s="33">
        <v>-2.15</v>
      </c>
      <c r="AU97" s="35" t="s">
        <v>148</v>
      </c>
      <c r="AV97" s="38" t="s">
        <v>1752</v>
      </c>
      <c r="AW97" s="38" t="s">
        <v>1753</v>
      </c>
      <c r="AX97" s="35"/>
      <c r="AY97" s="35"/>
      <c r="AZ97" s="33">
        <v>0</v>
      </c>
      <c r="BA97" s="32">
        <v>0</v>
      </c>
      <c r="BB97" s="32">
        <v>0</v>
      </c>
      <c r="BC97" s="32">
        <v>0</v>
      </c>
      <c r="BD97" s="32">
        <v>0</v>
      </c>
      <c r="BE97" s="35"/>
    </row>
    <row r="98" customHeight="1" spans="1:57">
      <c r="A98" s="25">
        <f t="shared" si="11"/>
        <v>2025</v>
      </c>
      <c r="B98" s="26">
        <f t="shared" si="12"/>
        <v>8</v>
      </c>
      <c r="C98" s="26" t="str">
        <f t="shared" si="13"/>
        <v>P770794018587272501</v>
      </c>
      <c r="D98" s="26">
        <f t="shared" si="14"/>
        <v>2</v>
      </c>
      <c r="E98" s="26">
        <f>COUNTIF($R$2:R98,R98)</f>
        <v>1</v>
      </c>
      <c r="F98" s="27" t="str" cm="1">
        <f t="array" ref="F98">INDEX('小红书-订单明细'!BQ:BQ,MATCH(R98&amp;AC98,'小红书-订单明细'!A:A&amp;'小红书-订单明细'!O:O,0))</f>
        <v>Z2378-花纱色-M</v>
      </c>
      <c r="G98" s="27" t="str">
        <f t="shared" si="15"/>
        <v>Z2378</v>
      </c>
      <c r="H98" s="26" cm="1">
        <f t="array" ref="H98">IF(ABS(BG98)&gt;=1,SUM(AF98,AH98:AI98)/(INDEX('小红书-订单明细'!W:W,MATCH(R98&amp;AC98,'小红书-订单明细'!A:A&amp;'小红书-订单明细'!O:O,0))/(INDEX('小红书-订单明细'!T:T,MATCH(R98&amp;AC98,'小红书-订单明细'!A:A&amp;'小红书-订单明细'!O:O,0)))),IF(ABS(SUM(AF98,AH98:AI98)/(INDEX('小红书-订单明细'!W:W,MATCH(R98&amp;AC98,'小红书-订单明细'!A:A&amp;'小红书-订单明细'!O:O,0))/(INDEX('小红书-订单明细'!T:T,MATCH(R98&amp;AC98,'小红书-订单明细'!A:A&amp;'小红书-订单明细'!O:O,0)))))&gt;15%,ROUNDUP(SUM(AF98,AH98:AI98)/(INDEX('小红书-订单明细'!W:W,MATCH(R98&amp;AC98,'小红书-订单明细'!A:A&amp;'小红书-订单明细'!O:O,0))/(INDEX('小红书-订单明细'!T:T,MATCH(R98&amp;AC98,'小红书-订单明细'!A:A&amp;'小红书-订单明细'!O:O,0)))),0),ROUNDDOWN(SUM(AF98,AH98:AI98)/(INDEX('小红书-订单明细'!W:W,MATCH(R98&amp;AC98,'小红书-订单明细'!A:A&amp;'小红书-订单明细'!O:O,0))/(INDEX('小红书-订单明细'!T:T,MATCH(R98&amp;AC98,'小红书-订单明细'!A:A&amp;'小红书-订单明细'!O:O,0)))),0)))</f>
        <v>-1</v>
      </c>
      <c r="I98" s="26">
        <f t="shared" si="16"/>
        <v>-179</v>
      </c>
      <c r="J98" s="26">
        <f t="shared" si="17"/>
        <v>0</v>
      </c>
      <c r="K98" s="26">
        <f t="shared" si="18"/>
        <v>0</v>
      </c>
      <c r="L98" s="26">
        <f t="shared" si="19"/>
        <v>-8.95</v>
      </c>
      <c r="M98" s="26">
        <f t="shared" si="20"/>
        <v>-1.07</v>
      </c>
      <c r="N98" s="26"/>
      <c r="O98" s="28">
        <f t="shared" si="21"/>
        <v>-168.98</v>
      </c>
      <c r="Q98" s="1" cm="1">
        <f t="array" ref="Q98">SUM(AF98,AH98:AI98)/(INDEX('小红书-订单明细'!W:W,MATCH(R98&amp;AC98,'小红书-订单明细'!A:A&amp;'小红书-订单明细'!O:O,0))/(INDEX('小红书-订单明细'!T:T,MATCH(R98&amp;AC98,'小红书-订单明细'!A:A&amp;'小红书-订单明细'!O:O,0))))</f>
        <v>-1</v>
      </c>
      <c r="R98" s="37" t="s">
        <v>1312</v>
      </c>
      <c r="S98" s="35" t="s">
        <v>1949</v>
      </c>
      <c r="T98" s="35" t="s">
        <v>1262</v>
      </c>
      <c r="U98" s="35" t="s">
        <v>1950</v>
      </c>
      <c r="V98" s="35" t="s">
        <v>1951</v>
      </c>
      <c r="W98" s="38" t="s">
        <v>1748</v>
      </c>
      <c r="X98" s="38" t="s">
        <v>1749</v>
      </c>
      <c r="Y98" s="35">
        <v>-168.98</v>
      </c>
      <c r="Z98" s="31" t="s">
        <v>1799</v>
      </c>
      <c r="AA98" s="38" t="s">
        <v>1773</v>
      </c>
      <c r="AB98" s="35" t="s">
        <v>810</v>
      </c>
      <c r="AC98" s="37" t="s">
        <v>811</v>
      </c>
      <c r="AD98" s="32">
        <v>0</v>
      </c>
      <c r="AE98" s="35">
        <v>-179</v>
      </c>
      <c r="AF98" s="37">
        <v>-179</v>
      </c>
      <c r="AG98" s="35">
        <v>0</v>
      </c>
      <c r="AH98" s="35">
        <v>0</v>
      </c>
      <c r="AI98" s="33">
        <v>0</v>
      </c>
      <c r="AJ98" s="33">
        <v>0</v>
      </c>
      <c r="AK98" s="32">
        <v>0</v>
      </c>
      <c r="AL98" s="32">
        <v>0</v>
      </c>
      <c r="AM98" s="33">
        <v>8.95</v>
      </c>
      <c r="AN98" s="33">
        <v>0</v>
      </c>
      <c r="AO98" s="32">
        <v>0</v>
      </c>
      <c r="AP98" s="32">
        <v>0</v>
      </c>
      <c r="AQ98" s="34" t="s">
        <v>101</v>
      </c>
      <c r="AR98" s="32">
        <v>0</v>
      </c>
      <c r="AS98" s="32">
        <v>0</v>
      </c>
      <c r="AT98" s="33">
        <v>1.07</v>
      </c>
      <c r="AU98" s="35" t="s">
        <v>148</v>
      </c>
      <c r="AV98" s="38" t="s">
        <v>1752</v>
      </c>
      <c r="AW98" s="38" t="s">
        <v>1753</v>
      </c>
      <c r="AX98" s="35"/>
      <c r="AY98" s="35"/>
      <c r="AZ98" s="33">
        <v>0</v>
      </c>
      <c r="BA98" s="32">
        <v>0</v>
      </c>
      <c r="BB98" s="32">
        <v>0</v>
      </c>
      <c r="BC98" s="32">
        <v>0</v>
      </c>
      <c r="BD98" s="32">
        <v>0</v>
      </c>
      <c r="BE98" s="35"/>
    </row>
    <row r="99" customHeight="1" spans="1:57">
      <c r="A99" s="25">
        <f t="shared" si="11"/>
        <v>2025</v>
      </c>
      <c r="B99" s="26">
        <f t="shared" si="12"/>
        <v>8</v>
      </c>
      <c r="C99" s="26" t="str">
        <f t="shared" si="13"/>
        <v>P770794018587272501</v>
      </c>
      <c r="D99" s="26">
        <f t="shared" si="14"/>
        <v>2</v>
      </c>
      <c r="E99" s="26">
        <f>COUNTIF($R$2:R99,R99)</f>
        <v>2</v>
      </c>
      <c r="F99" s="27" t="str" cm="1">
        <f t="array" ref="F99">INDEX('小红书-订单明细'!BQ:BQ,MATCH(R99&amp;AC99,'小红书-订单明细'!A:A&amp;'小红书-订单明细'!O:O,0))</f>
        <v>Z2378-花纱色-M</v>
      </c>
      <c r="G99" s="27" t="str">
        <f t="shared" si="15"/>
        <v>Z2378</v>
      </c>
      <c r="H99" s="26" cm="1">
        <f t="array" ref="H99">IF(ABS(BG99)&gt;=1,SUM(AF99,AH99:AI99)/(INDEX('小红书-订单明细'!W:W,MATCH(R99&amp;AC99,'小红书-订单明细'!A:A&amp;'小红书-订单明细'!O:O,0))/(INDEX('小红书-订单明细'!T:T,MATCH(R99&amp;AC99,'小红书-订单明细'!A:A&amp;'小红书-订单明细'!O:O,0)))),IF(ABS(SUM(AF99,AH99:AI99)/(INDEX('小红书-订单明细'!W:W,MATCH(R99&amp;AC99,'小红书-订单明细'!A:A&amp;'小红书-订单明细'!O:O,0))/(INDEX('小红书-订单明细'!T:T,MATCH(R99&amp;AC99,'小红书-订单明细'!A:A&amp;'小红书-订单明细'!O:O,0)))))&gt;15%,ROUNDUP(SUM(AF99,AH99:AI99)/(INDEX('小红书-订单明细'!W:W,MATCH(R99&amp;AC99,'小红书-订单明细'!A:A&amp;'小红书-订单明细'!O:O,0))/(INDEX('小红书-订单明细'!T:T,MATCH(R99&amp;AC99,'小红书-订单明细'!A:A&amp;'小红书-订单明细'!O:O,0)))),0),ROUNDDOWN(SUM(AF99,AH99:AI99)/(INDEX('小红书-订单明细'!W:W,MATCH(R99&amp;AC99,'小红书-订单明细'!A:A&amp;'小红书-订单明细'!O:O,0))/(INDEX('小红书-订单明细'!T:T,MATCH(R99&amp;AC99,'小红书-订单明细'!A:A&amp;'小红书-订单明细'!O:O,0)))),0)))</f>
        <v>1</v>
      </c>
      <c r="I99" s="26">
        <f t="shared" si="16"/>
        <v>179</v>
      </c>
      <c r="J99" s="26">
        <f t="shared" si="17"/>
        <v>0</v>
      </c>
      <c r="K99" s="26">
        <f t="shared" si="18"/>
        <v>0</v>
      </c>
      <c r="L99" s="26">
        <f t="shared" si="19"/>
        <v>8.95</v>
      </c>
      <c r="M99" s="26">
        <f t="shared" si="20"/>
        <v>1.07</v>
      </c>
      <c r="N99" s="26"/>
      <c r="O99" s="28">
        <f t="shared" si="21"/>
        <v>168.98</v>
      </c>
      <c r="Q99" s="1" cm="1">
        <f t="array" ref="Q99">SUM(AF99,AH99:AI99)/(INDEX('小红书-订单明细'!W:W,MATCH(R99&amp;AC99,'小红书-订单明细'!A:A&amp;'小红书-订单明细'!O:O,0))/(INDEX('小红书-订单明细'!T:T,MATCH(R99&amp;AC99,'小红书-订单明细'!A:A&amp;'小红书-订单明细'!O:O,0))))</f>
        <v>1</v>
      </c>
      <c r="R99" s="37" t="s">
        <v>1312</v>
      </c>
      <c r="S99" s="35"/>
      <c r="T99" s="35" t="s">
        <v>1262</v>
      </c>
      <c r="U99" s="35" t="s">
        <v>1952</v>
      </c>
      <c r="V99" s="35" t="s">
        <v>1951</v>
      </c>
      <c r="W99" s="38" t="s">
        <v>1755</v>
      </c>
      <c r="X99" s="38" t="s">
        <v>1749</v>
      </c>
      <c r="Y99" s="35">
        <v>168.98</v>
      </c>
      <c r="Z99" s="31" t="s">
        <v>1799</v>
      </c>
      <c r="AA99" s="38" t="s">
        <v>1773</v>
      </c>
      <c r="AB99" s="35" t="s">
        <v>810</v>
      </c>
      <c r="AC99" s="37" t="s">
        <v>811</v>
      </c>
      <c r="AD99" s="32">
        <v>1</v>
      </c>
      <c r="AE99" s="35">
        <v>179</v>
      </c>
      <c r="AF99" s="36">
        <v>179</v>
      </c>
      <c r="AG99" s="35" t="s">
        <v>75</v>
      </c>
      <c r="AH99" s="35">
        <v>0</v>
      </c>
      <c r="AI99" s="33">
        <v>0</v>
      </c>
      <c r="AJ99" s="33">
        <v>0</v>
      </c>
      <c r="AK99" s="32">
        <v>0.05</v>
      </c>
      <c r="AL99" s="32">
        <v>0</v>
      </c>
      <c r="AM99" s="33">
        <v>-8.95</v>
      </c>
      <c r="AN99" s="33">
        <v>179</v>
      </c>
      <c r="AO99" s="32">
        <v>179</v>
      </c>
      <c r="AP99" s="32">
        <v>0</v>
      </c>
      <c r="AQ99" s="34" t="s">
        <v>101</v>
      </c>
      <c r="AR99" s="32">
        <v>0</v>
      </c>
      <c r="AS99" s="32">
        <v>0.006</v>
      </c>
      <c r="AT99" s="33">
        <v>-1.07</v>
      </c>
      <c r="AU99" s="35" t="s">
        <v>148</v>
      </c>
      <c r="AV99" s="38" t="s">
        <v>1752</v>
      </c>
      <c r="AW99" s="38" t="s">
        <v>1753</v>
      </c>
      <c r="AX99" s="35"/>
      <c r="AY99" s="35"/>
      <c r="AZ99" s="33">
        <v>0</v>
      </c>
      <c r="BA99" s="32">
        <v>0</v>
      </c>
      <c r="BB99" s="32">
        <v>0</v>
      </c>
      <c r="BC99" s="32">
        <v>0</v>
      </c>
      <c r="BD99" s="32">
        <v>0</v>
      </c>
      <c r="BE99" s="35"/>
    </row>
    <row r="100" customHeight="1" spans="1:57">
      <c r="A100" s="25">
        <f t="shared" si="11"/>
        <v>2025</v>
      </c>
      <c r="B100" s="26">
        <f t="shared" si="12"/>
        <v>8</v>
      </c>
      <c r="C100" s="26" t="str">
        <f t="shared" si="13"/>
        <v>P770794027175352691</v>
      </c>
      <c r="D100" s="26">
        <f t="shared" si="14"/>
        <v>1</v>
      </c>
      <c r="E100" s="26">
        <f>COUNTIF($R$2:R100,R100)</f>
        <v>1</v>
      </c>
      <c r="F100" s="27" t="str" cm="1">
        <f t="array" ref="F100">INDEX('小红书-订单明细'!BQ:BQ,MATCH(R100&amp;AC100,'小红书-订单明细'!A:A&amp;'小红书-订单明细'!O:O,0))</f>
        <v>Z2378-花纱色-S</v>
      </c>
      <c r="G100" s="27" t="str">
        <f t="shared" si="15"/>
        <v>Z2378</v>
      </c>
      <c r="H100" s="26" cm="1">
        <f t="array" ref="H100">IF(ABS(BG100)&gt;=1,SUM(AF100,AH100:AI100)/(INDEX('小红书-订单明细'!W:W,MATCH(R100&amp;AC100,'小红书-订单明细'!A:A&amp;'小红书-订单明细'!O:O,0))/(INDEX('小红书-订单明细'!T:T,MATCH(R100&amp;AC100,'小红书-订单明细'!A:A&amp;'小红书-订单明细'!O:O,0)))),IF(ABS(SUM(AF100,AH100:AI100)/(INDEX('小红书-订单明细'!W:W,MATCH(R100&amp;AC100,'小红书-订单明细'!A:A&amp;'小红书-订单明细'!O:O,0))/(INDEX('小红书-订单明细'!T:T,MATCH(R100&amp;AC100,'小红书-订单明细'!A:A&amp;'小红书-订单明细'!O:O,0)))))&gt;15%,ROUNDUP(SUM(AF100,AH100:AI100)/(INDEX('小红书-订单明细'!W:W,MATCH(R100&amp;AC100,'小红书-订单明细'!A:A&amp;'小红书-订单明细'!O:O,0))/(INDEX('小红书-订单明细'!T:T,MATCH(R100&amp;AC100,'小红书-订单明细'!A:A&amp;'小红书-订单明细'!O:O,0)))),0),ROUNDDOWN(SUM(AF100,AH100:AI100)/(INDEX('小红书-订单明细'!W:W,MATCH(R100&amp;AC100,'小红书-订单明细'!A:A&amp;'小红书-订单明细'!O:O,0))/(INDEX('小红书-订单明细'!T:T,MATCH(R100&amp;AC100,'小红书-订单明细'!A:A&amp;'小红书-订单明细'!O:O,0)))),0)))</f>
        <v>1</v>
      </c>
      <c r="I100" s="26">
        <f t="shared" si="16"/>
        <v>179</v>
      </c>
      <c r="J100" s="26">
        <f t="shared" si="17"/>
        <v>0</v>
      </c>
      <c r="K100" s="26">
        <f t="shared" si="18"/>
        <v>0</v>
      </c>
      <c r="L100" s="26">
        <f t="shared" si="19"/>
        <v>8.95</v>
      </c>
      <c r="M100" s="26">
        <f t="shared" si="20"/>
        <v>1.07</v>
      </c>
      <c r="N100" s="26"/>
      <c r="O100" s="28">
        <f t="shared" si="21"/>
        <v>168.98</v>
      </c>
      <c r="Q100" s="1" cm="1">
        <f t="array" ref="Q100">SUM(AF100,AH100:AI100)/(INDEX('小红书-订单明细'!W:W,MATCH(R100&amp;AC100,'小红书-订单明细'!A:A&amp;'小红书-订单明细'!O:O,0))/(INDEX('小红书-订单明细'!T:T,MATCH(R100&amp;AC100,'小红书-订单明细'!A:A&amp;'小红书-订单明细'!O:O,0))))</f>
        <v>1</v>
      </c>
      <c r="R100" s="37" t="s">
        <v>1231</v>
      </c>
      <c r="S100" s="35"/>
      <c r="T100" s="35" t="s">
        <v>1235</v>
      </c>
      <c r="U100" s="35" t="s">
        <v>1237</v>
      </c>
      <c r="V100" s="35" t="s">
        <v>1953</v>
      </c>
      <c r="W100" s="38" t="s">
        <v>1755</v>
      </c>
      <c r="X100" s="38" t="s">
        <v>1749</v>
      </c>
      <c r="Y100" s="35">
        <v>168.98</v>
      </c>
      <c r="Z100" s="31" t="s">
        <v>1807</v>
      </c>
      <c r="AA100" s="38" t="s">
        <v>1773</v>
      </c>
      <c r="AB100" s="35" t="s">
        <v>924</v>
      </c>
      <c r="AC100" s="37" t="s">
        <v>925</v>
      </c>
      <c r="AD100" s="32">
        <v>1</v>
      </c>
      <c r="AE100" s="35">
        <v>179</v>
      </c>
      <c r="AF100" s="36">
        <v>179</v>
      </c>
      <c r="AG100" s="35" t="s">
        <v>75</v>
      </c>
      <c r="AH100" s="35">
        <v>0</v>
      </c>
      <c r="AI100" s="33">
        <v>0</v>
      </c>
      <c r="AJ100" s="33">
        <v>0</v>
      </c>
      <c r="AK100" s="32">
        <v>0.05</v>
      </c>
      <c r="AL100" s="32">
        <v>0</v>
      </c>
      <c r="AM100" s="33">
        <v>-8.95</v>
      </c>
      <c r="AN100" s="33">
        <v>179</v>
      </c>
      <c r="AO100" s="32">
        <v>179</v>
      </c>
      <c r="AP100" s="32">
        <v>0</v>
      </c>
      <c r="AQ100" s="34" t="s">
        <v>101</v>
      </c>
      <c r="AR100" s="32">
        <v>0</v>
      </c>
      <c r="AS100" s="32">
        <v>0.006</v>
      </c>
      <c r="AT100" s="33">
        <v>-1.07</v>
      </c>
      <c r="AU100" s="35" t="s">
        <v>148</v>
      </c>
      <c r="AV100" s="38" t="s">
        <v>1752</v>
      </c>
      <c r="AW100" s="38" t="s">
        <v>1753</v>
      </c>
      <c r="AX100" s="35"/>
      <c r="AY100" s="35"/>
      <c r="AZ100" s="33">
        <v>0</v>
      </c>
      <c r="BA100" s="32">
        <v>0</v>
      </c>
      <c r="BB100" s="32">
        <v>0</v>
      </c>
      <c r="BC100" s="32">
        <v>0</v>
      </c>
      <c r="BD100" s="32">
        <v>0</v>
      </c>
      <c r="BE100" s="35"/>
    </row>
    <row r="101" customHeight="1" spans="1:57">
      <c r="A101" s="25">
        <f t="shared" si="11"/>
        <v>2025</v>
      </c>
      <c r="B101" s="26">
        <f t="shared" si="12"/>
        <v>8</v>
      </c>
      <c r="C101" s="26" t="str">
        <f t="shared" si="13"/>
        <v>P770794618887352631</v>
      </c>
      <c r="D101" s="26">
        <f t="shared" si="14"/>
        <v>1</v>
      </c>
      <c r="E101" s="26">
        <f>COUNTIF($R$2:R101,R101)</f>
        <v>1</v>
      </c>
      <c r="F101" s="27" t="str" cm="1">
        <f t="array" ref="F101">INDEX('小红书-订单明细'!BQ:BQ,MATCH(R101&amp;AC101,'小红书-订单明细'!A:A&amp;'小红书-订单明细'!O:O,0))</f>
        <v>Z1248-黑色-S</v>
      </c>
      <c r="G101" s="27" t="str">
        <f t="shared" si="15"/>
        <v>Z1248</v>
      </c>
      <c r="H101" s="26" cm="1">
        <f t="array" ref="H101">IF(ABS(BG101)&gt;=1,SUM(AF101,AH101:AI101)/(INDEX('小红书-订单明细'!W:W,MATCH(R101&amp;AC101,'小红书-订单明细'!A:A&amp;'小红书-订单明细'!O:O,0))/(INDEX('小红书-订单明细'!T:T,MATCH(R101&amp;AC101,'小红书-订单明细'!A:A&amp;'小红书-订单明细'!O:O,0)))),IF(ABS(SUM(AF101,AH101:AI101)/(INDEX('小红书-订单明细'!W:W,MATCH(R101&amp;AC101,'小红书-订单明细'!A:A&amp;'小红书-订单明细'!O:O,0))/(INDEX('小红书-订单明细'!T:T,MATCH(R101&amp;AC101,'小红书-订单明细'!A:A&amp;'小红书-订单明细'!O:O,0)))))&gt;15%,ROUNDUP(SUM(AF101,AH101:AI101)/(INDEX('小红书-订单明细'!W:W,MATCH(R101&amp;AC101,'小红书-订单明细'!A:A&amp;'小红书-订单明细'!O:O,0))/(INDEX('小红书-订单明细'!T:T,MATCH(R101&amp;AC101,'小红书-订单明细'!A:A&amp;'小红书-订单明细'!O:O,0)))),0),ROUNDDOWN(SUM(AF101,AH101:AI101)/(INDEX('小红书-订单明细'!W:W,MATCH(R101&amp;AC101,'小红书-订单明细'!A:A&amp;'小红书-订单明细'!O:O,0))/(INDEX('小红书-订单明细'!T:T,MATCH(R101&amp;AC101,'小红书-订单明细'!A:A&amp;'小红书-订单明细'!O:O,0)))),0)))</f>
        <v>1</v>
      </c>
      <c r="I101" s="26">
        <f t="shared" si="16"/>
        <v>199</v>
      </c>
      <c r="J101" s="26">
        <f t="shared" si="17"/>
        <v>0</v>
      </c>
      <c r="K101" s="26">
        <f t="shared" si="18"/>
        <v>0</v>
      </c>
      <c r="L101" s="26">
        <f t="shared" si="19"/>
        <v>9.95</v>
      </c>
      <c r="M101" s="26">
        <f t="shared" si="20"/>
        <v>1.19</v>
      </c>
      <c r="N101" s="26"/>
      <c r="O101" s="28">
        <f t="shared" si="21"/>
        <v>187.86</v>
      </c>
      <c r="Q101" s="1" cm="1">
        <f t="array" ref="Q101">SUM(AF101,AH101:AI101)/(INDEX('小红书-订单明细'!W:W,MATCH(R101&amp;AC101,'小红书-订单明细'!A:A&amp;'小红书-订单明细'!O:O,0))/(INDEX('小红书-订单明细'!T:T,MATCH(R101&amp;AC101,'小红书-订单明细'!A:A&amp;'小红书-订单明细'!O:O,0))))</f>
        <v>1</v>
      </c>
      <c r="R101" s="37" t="s">
        <v>1132</v>
      </c>
      <c r="S101" s="35"/>
      <c r="T101" s="35" t="s">
        <v>1954</v>
      </c>
      <c r="U101" s="35" t="s">
        <v>1145</v>
      </c>
      <c r="V101" s="35" t="s">
        <v>1955</v>
      </c>
      <c r="W101" s="38" t="s">
        <v>1755</v>
      </c>
      <c r="X101" s="38" t="s">
        <v>1749</v>
      </c>
      <c r="Y101" s="35">
        <v>187.86</v>
      </c>
      <c r="Z101" s="31" t="s">
        <v>1832</v>
      </c>
      <c r="AA101" s="38" t="s">
        <v>1833</v>
      </c>
      <c r="AB101" s="35" t="s">
        <v>1136</v>
      </c>
      <c r="AC101" s="37" t="s">
        <v>1137</v>
      </c>
      <c r="AD101" s="32">
        <v>1</v>
      </c>
      <c r="AE101" s="35">
        <v>199</v>
      </c>
      <c r="AF101" s="36">
        <v>199</v>
      </c>
      <c r="AG101" s="35" t="s">
        <v>75</v>
      </c>
      <c r="AH101" s="35">
        <v>0</v>
      </c>
      <c r="AI101" s="33">
        <v>0</v>
      </c>
      <c r="AJ101" s="33">
        <v>0</v>
      </c>
      <c r="AK101" s="32">
        <v>0.05</v>
      </c>
      <c r="AL101" s="32">
        <v>0</v>
      </c>
      <c r="AM101" s="33">
        <v>-9.95</v>
      </c>
      <c r="AN101" s="33">
        <v>199</v>
      </c>
      <c r="AO101" s="32">
        <v>199</v>
      </c>
      <c r="AP101" s="32">
        <v>0</v>
      </c>
      <c r="AQ101" s="34" t="s">
        <v>101</v>
      </c>
      <c r="AR101" s="32">
        <v>0</v>
      </c>
      <c r="AS101" s="32">
        <v>0.006</v>
      </c>
      <c r="AT101" s="33">
        <v>-1.19</v>
      </c>
      <c r="AU101" s="35" t="s">
        <v>148</v>
      </c>
      <c r="AV101" s="38" t="s">
        <v>1752</v>
      </c>
      <c r="AW101" s="38" t="s">
        <v>1753</v>
      </c>
      <c r="AX101" s="35"/>
      <c r="AY101" s="35"/>
      <c r="AZ101" s="33">
        <v>0</v>
      </c>
      <c r="BA101" s="32">
        <v>0</v>
      </c>
      <c r="BB101" s="32">
        <v>0</v>
      </c>
      <c r="BC101" s="32">
        <v>0</v>
      </c>
      <c r="BD101" s="32">
        <v>0</v>
      </c>
      <c r="BE101" s="35"/>
    </row>
    <row r="102" customHeight="1" spans="1:57">
      <c r="A102" s="25">
        <f t="shared" si="11"/>
        <v>2025</v>
      </c>
      <c r="B102" s="26">
        <f t="shared" si="12"/>
        <v>8</v>
      </c>
      <c r="C102" s="26" t="str">
        <f t="shared" si="13"/>
        <v>P770795096898414161</v>
      </c>
      <c r="D102" s="26">
        <f t="shared" si="14"/>
        <v>2</v>
      </c>
      <c r="E102" s="26">
        <f>COUNTIF($R$2:R102,R102)</f>
        <v>1</v>
      </c>
      <c r="F102" s="27" t="str" cm="1">
        <f t="array" ref="F102">INDEX('小红书-订单明细'!BQ:BQ,MATCH(R102&amp;AC102,'小红书-订单明细'!A:A&amp;'小红书-订单明细'!O:O,0))</f>
        <v>Z2363-灰色-M</v>
      </c>
      <c r="G102" s="27" t="str">
        <f t="shared" si="15"/>
        <v>Z2363</v>
      </c>
      <c r="H102" s="26" cm="1">
        <f t="array" ref="H102">IF(ABS(BG102)&gt;=1,SUM(AF102,AH102:AI102)/(INDEX('小红书-订单明细'!W:W,MATCH(R102&amp;AC102,'小红书-订单明细'!A:A&amp;'小红书-订单明细'!O:O,0))/(INDEX('小红书-订单明细'!T:T,MATCH(R102&amp;AC102,'小红书-订单明细'!A:A&amp;'小红书-订单明细'!O:O,0)))),IF(ABS(SUM(AF102,AH102:AI102)/(INDEX('小红书-订单明细'!W:W,MATCH(R102&amp;AC102,'小红书-订单明细'!A:A&amp;'小红书-订单明细'!O:O,0))/(INDEX('小红书-订单明细'!T:T,MATCH(R102&amp;AC102,'小红书-订单明细'!A:A&amp;'小红书-订单明细'!O:O,0)))))&gt;15%,ROUNDUP(SUM(AF102,AH102:AI102)/(INDEX('小红书-订单明细'!W:W,MATCH(R102&amp;AC102,'小红书-订单明细'!A:A&amp;'小红书-订单明细'!O:O,0))/(INDEX('小红书-订单明细'!T:T,MATCH(R102&amp;AC102,'小红书-订单明细'!A:A&amp;'小红书-订单明细'!O:O,0)))),0),ROUNDDOWN(SUM(AF102,AH102:AI102)/(INDEX('小红书-订单明细'!W:W,MATCH(R102&amp;AC102,'小红书-订单明细'!A:A&amp;'小红书-订单明细'!O:O,0))/(INDEX('小红书-订单明细'!T:T,MATCH(R102&amp;AC102,'小红书-订单明细'!A:A&amp;'小红书-订单明细'!O:O,0)))),0)))</f>
        <v>-1</v>
      </c>
      <c r="I102" s="26">
        <f t="shared" si="16"/>
        <v>-359</v>
      </c>
      <c r="J102" s="26">
        <f t="shared" si="17"/>
        <v>0</v>
      </c>
      <c r="K102" s="26">
        <f t="shared" si="18"/>
        <v>0</v>
      </c>
      <c r="L102" s="26">
        <f t="shared" si="19"/>
        <v>-17.95</v>
      </c>
      <c r="M102" s="26">
        <f t="shared" si="20"/>
        <v>-2.15</v>
      </c>
      <c r="N102" s="26"/>
      <c r="O102" s="28">
        <f t="shared" si="21"/>
        <v>-338.9</v>
      </c>
      <c r="Q102" s="1" cm="1">
        <f t="array" ref="Q102">SUM(AF102,AH102:AI102)/(INDEX('小红书-订单明细'!W:W,MATCH(R102&amp;AC102,'小红书-订单明细'!A:A&amp;'小红书-订单明细'!O:O,0))/(INDEX('小红书-订单明细'!T:T,MATCH(R102&amp;AC102,'小红书-订单明细'!A:A&amp;'小红书-订单明细'!O:O,0))))</f>
        <v>-1</v>
      </c>
      <c r="R102" s="37" t="s">
        <v>1070</v>
      </c>
      <c r="S102" s="35" t="s">
        <v>1956</v>
      </c>
      <c r="T102" s="35" t="s">
        <v>1957</v>
      </c>
      <c r="U102" s="35" t="s">
        <v>1958</v>
      </c>
      <c r="V102" s="35" t="s">
        <v>1959</v>
      </c>
      <c r="W102" s="38" t="s">
        <v>1748</v>
      </c>
      <c r="X102" s="38" t="s">
        <v>1749</v>
      </c>
      <c r="Y102" s="35">
        <v>-338.9</v>
      </c>
      <c r="Z102" s="31" t="s">
        <v>1757</v>
      </c>
      <c r="AA102" s="38" t="s">
        <v>1758</v>
      </c>
      <c r="AB102" s="35" t="s">
        <v>826</v>
      </c>
      <c r="AC102" s="37" t="s">
        <v>827</v>
      </c>
      <c r="AD102" s="32">
        <v>0</v>
      </c>
      <c r="AE102" s="35">
        <v>-359</v>
      </c>
      <c r="AF102" s="37">
        <v>-359</v>
      </c>
      <c r="AG102" s="35">
        <v>0</v>
      </c>
      <c r="AH102" s="35">
        <v>0</v>
      </c>
      <c r="AI102" s="33">
        <v>0</v>
      </c>
      <c r="AJ102" s="33">
        <v>0</v>
      </c>
      <c r="AK102" s="32">
        <v>0</v>
      </c>
      <c r="AL102" s="32">
        <v>0</v>
      </c>
      <c r="AM102" s="33">
        <v>17.95</v>
      </c>
      <c r="AN102" s="33">
        <v>0</v>
      </c>
      <c r="AO102" s="32">
        <v>0</v>
      </c>
      <c r="AP102" s="32">
        <v>0</v>
      </c>
      <c r="AQ102" s="34" t="s">
        <v>101</v>
      </c>
      <c r="AR102" s="32">
        <v>0</v>
      </c>
      <c r="AS102" s="32">
        <v>0</v>
      </c>
      <c r="AT102" s="33">
        <v>2.15</v>
      </c>
      <c r="AU102" s="35" t="s">
        <v>148</v>
      </c>
      <c r="AV102" s="38" t="s">
        <v>1752</v>
      </c>
      <c r="AW102" s="38" t="s">
        <v>1753</v>
      </c>
      <c r="AX102" s="35"/>
      <c r="AY102" s="35"/>
      <c r="AZ102" s="33">
        <v>0</v>
      </c>
      <c r="BA102" s="32">
        <v>0</v>
      </c>
      <c r="BB102" s="32">
        <v>0</v>
      </c>
      <c r="BC102" s="32">
        <v>0</v>
      </c>
      <c r="BD102" s="32">
        <v>0</v>
      </c>
      <c r="BE102" s="35"/>
    </row>
    <row r="103" customHeight="1" spans="1:57">
      <c r="A103" s="25">
        <f t="shared" si="11"/>
        <v>2025</v>
      </c>
      <c r="B103" s="26">
        <f t="shared" si="12"/>
        <v>8</v>
      </c>
      <c r="C103" s="26" t="str">
        <f t="shared" si="13"/>
        <v>P770817653033321541</v>
      </c>
      <c r="D103" s="26">
        <f t="shared" si="14"/>
        <v>2</v>
      </c>
      <c r="E103" s="26">
        <f>COUNTIF($R$2:R103,R103)</f>
        <v>1</v>
      </c>
      <c r="F103" s="27" t="str" cm="1">
        <f t="array" ref="F103">INDEX('小红书-订单明细'!BQ:BQ,MATCH(R103&amp;AC103,'小红书-订单明细'!A:A&amp;'小红书-订单明细'!O:O,0))</f>
        <v>Z1645-黑色-S</v>
      </c>
      <c r="G103" s="27" t="str">
        <f t="shared" si="15"/>
        <v>Z1645</v>
      </c>
      <c r="H103" s="26" cm="1">
        <f t="array" ref="H103">IF(ABS(BG103)&gt;=1,SUM(AF103,AH103:AI103)/(INDEX('小红书-订单明细'!W:W,MATCH(R103&amp;AC103,'小红书-订单明细'!A:A&amp;'小红书-订单明细'!O:O,0))/(INDEX('小红书-订单明细'!T:T,MATCH(R103&amp;AC103,'小红书-订单明细'!A:A&amp;'小红书-订单明细'!O:O,0)))),IF(ABS(SUM(AF103,AH103:AI103)/(INDEX('小红书-订单明细'!W:W,MATCH(R103&amp;AC103,'小红书-订单明细'!A:A&amp;'小红书-订单明细'!O:O,0))/(INDEX('小红书-订单明细'!T:T,MATCH(R103&amp;AC103,'小红书-订单明细'!A:A&amp;'小红书-订单明细'!O:O,0)))))&gt;15%,ROUNDUP(SUM(AF103,AH103:AI103)/(INDEX('小红书-订单明细'!W:W,MATCH(R103&amp;AC103,'小红书-订单明细'!A:A&amp;'小红书-订单明细'!O:O,0))/(INDEX('小红书-订单明细'!T:T,MATCH(R103&amp;AC103,'小红书-订单明细'!A:A&amp;'小红书-订单明细'!O:O,0)))),0),ROUNDDOWN(SUM(AF103,AH103:AI103)/(INDEX('小红书-订单明细'!W:W,MATCH(R103&amp;AC103,'小红书-订单明细'!A:A&amp;'小红书-订单明细'!O:O,0))/(INDEX('小红书-订单明细'!T:T,MATCH(R103&amp;AC103,'小红书-订单明细'!A:A&amp;'小红书-订单明细'!O:O,0)))),0)))</f>
        <v>-1</v>
      </c>
      <c r="I103" s="26">
        <f t="shared" si="16"/>
        <v>-189</v>
      </c>
      <c r="J103" s="26">
        <f t="shared" si="17"/>
        <v>0</v>
      </c>
      <c r="K103" s="26">
        <f t="shared" si="18"/>
        <v>0</v>
      </c>
      <c r="L103" s="26">
        <f t="shared" si="19"/>
        <v>-9.45</v>
      </c>
      <c r="M103" s="26">
        <f t="shared" si="20"/>
        <v>-1.13</v>
      </c>
      <c r="N103" s="26"/>
      <c r="O103" s="28">
        <f t="shared" si="21"/>
        <v>-178.42</v>
      </c>
      <c r="Q103" s="1" cm="1">
        <f t="array" ref="Q103">SUM(AF103,AH103:AI103)/(INDEX('小红书-订单明细'!W:W,MATCH(R103&amp;AC103,'小红书-订单明细'!A:A&amp;'小红书-订单明细'!O:O,0))/(INDEX('小红书-订单明细'!T:T,MATCH(R103&amp;AC103,'小红书-订单明细'!A:A&amp;'小红书-订单明细'!O:O,0))))</f>
        <v>-1</v>
      </c>
      <c r="R103" s="37" t="s">
        <v>400</v>
      </c>
      <c r="S103" s="35" t="s">
        <v>1960</v>
      </c>
      <c r="T103" s="35" t="s">
        <v>415</v>
      </c>
      <c r="U103" s="35" t="s">
        <v>1961</v>
      </c>
      <c r="V103" s="35" t="s">
        <v>1959</v>
      </c>
      <c r="W103" s="38" t="s">
        <v>1748</v>
      </c>
      <c r="X103" s="38" t="s">
        <v>1749</v>
      </c>
      <c r="Y103" s="35">
        <v>-178.42</v>
      </c>
      <c r="Z103" s="31" t="s">
        <v>1905</v>
      </c>
      <c r="AA103" s="38" t="s">
        <v>1906</v>
      </c>
      <c r="AB103" s="35" t="s">
        <v>409</v>
      </c>
      <c r="AC103" s="37" t="s">
        <v>410</v>
      </c>
      <c r="AD103" s="32">
        <v>0</v>
      </c>
      <c r="AE103" s="35">
        <v>-189</v>
      </c>
      <c r="AF103" s="37">
        <v>-189</v>
      </c>
      <c r="AG103" s="35">
        <v>0</v>
      </c>
      <c r="AH103" s="35">
        <v>0</v>
      </c>
      <c r="AI103" s="33">
        <v>0</v>
      </c>
      <c r="AJ103" s="33">
        <v>0</v>
      </c>
      <c r="AK103" s="32">
        <v>0</v>
      </c>
      <c r="AL103" s="32">
        <v>0</v>
      </c>
      <c r="AM103" s="33">
        <v>9.45</v>
      </c>
      <c r="AN103" s="33">
        <v>0</v>
      </c>
      <c r="AO103" s="32">
        <v>0</v>
      </c>
      <c r="AP103" s="32">
        <v>0</v>
      </c>
      <c r="AQ103" s="34" t="s">
        <v>101</v>
      </c>
      <c r="AR103" s="32">
        <v>0</v>
      </c>
      <c r="AS103" s="32">
        <v>0</v>
      </c>
      <c r="AT103" s="33">
        <v>1.13</v>
      </c>
      <c r="AU103" s="35" t="s">
        <v>148</v>
      </c>
      <c r="AV103" s="38" t="s">
        <v>1752</v>
      </c>
      <c r="AW103" s="38" t="s">
        <v>1753</v>
      </c>
      <c r="AX103" s="35"/>
      <c r="AY103" s="35"/>
      <c r="AZ103" s="33">
        <v>0</v>
      </c>
      <c r="BA103" s="32">
        <v>0</v>
      </c>
      <c r="BB103" s="32">
        <v>0</v>
      </c>
      <c r="BC103" s="32">
        <v>0</v>
      </c>
      <c r="BD103" s="32">
        <v>0</v>
      </c>
      <c r="BE103" s="35"/>
    </row>
    <row r="104" customHeight="1" spans="1:57">
      <c r="A104" s="25">
        <f t="shared" si="11"/>
        <v>2025</v>
      </c>
      <c r="B104" s="26">
        <f t="shared" si="12"/>
        <v>8</v>
      </c>
      <c r="C104" s="26" t="str">
        <f t="shared" si="13"/>
        <v>P770817653033321541</v>
      </c>
      <c r="D104" s="26">
        <f t="shared" si="14"/>
        <v>2</v>
      </c>
      <c r="E104" s="26">
        <f>COUNTIF($R$2:R104,R104)</f>
        <v>2</v>
      </c>
      <c r="F104" s="27" t="str" cm="1">
        <f t="array" ref="F104">INDEX('小红书-订单明细'!BQ:BQ,MATCH(R104&amp;AC104,'小红书-订单明细'!A:A&amp;'小红书-订单明细'!O:O,0))</f>
        <v>Z1645-黑色-S</v>
      </c>
      <c r="G104" s="27" t="str">
        <f t="shared" si="15"/>
        <v>Z1645</v>
      </c>
      <c r="H104" s="26" cm="1">
        <f t="array" ref="H104">IF(ABS(BG104)&gt;=1,SUM(AF104,AH104:AI104)/(INDEX('小红书-订单明细'!W:W,MATCH(R104&amp;AC104,'小红书-订单明细'!A:A&amp;'小红书-订单明细'!O:O,0))/(INDEX('小红书-订单明细'!T:T,MATCH(R104&amp;AC104,'小红书-订单明细'!A:A&amp;'小红书-订单明细'!O:O,0)))),IF(ABS(SUM(AF104,AH104:AI104)/(INDEX('小红书-订单明细'!W:W,MATCH(R104&amp;AC104,'小红书-订单明细'!A:A&amp;'小红书-订单明细'!O:O,0))/(INDEX('小红书-订单明细'!T:T,MATCH(R104&amp;AC104,'小红书-订单明细'!A:A&amp;'小红书-订单明细'!O:O,0)))))&gt;15%,ROUNDUP(SUM(AF104,AH104:AI104)/(INDEX('小红书-订单明细'!W:W,MATCH(R104&amp;AC104,'小红书-订单明细'!A:A&amp;'小红书-订单明细'!O:O,0))/(INDEX('小红书-订单明细'!T:T,MATCH(R104&amp;AC104,'小红书-订单明细'!A:A&amp;'小红书-订单明细'!O:O,0)))),0),ROUNDDOWN(SUM(AF104,AH104:AI104)/(INDEX('小红书-订单明细'!W:W,MATCH(R104&amp;AC104,'小红书-订单明细'!A:A&amp;'小红书-订单明细'!O:O,0))/(INDEX('小红书-订单明细'!T:T,MATCH(R104&amp;AC104,'小红书-订单明细'!A:A&amp;'小红书-订单明细'!O:O,0)))),0)))</f>
        <v>1</v>
      </c>
      <c r="I104" s="26">
        <f t="shared" si="16"/>
        <v>189</v>
      </c>
      <c r="J104" s="26">
        <f t="shared" si="17"/>
        <v>0</v>
      </c>
      <c r="K104" s="26">
        <f t="shared" si="18"/>
        <v>0</v>
      </c>
      <c r="L104" s="26">
        <f t="shared" si="19"/>
        <v>9.45</v>
      </c>
      <c r="M104" s="26">
        <f t="shared" si="20"/>
        <v>1.13</v>
      </c>
      <c r="N104" s="26"/>
      <c r="O104" s="28">
        <f t="shared" si="21"/>
        <v>178.42</v>
      </c>
      <c r="Q104" s="1" cm="1">
        <f t="array" ref="Q104">SUM(AF104,AH104:AI104)/(INDEX('小红书-订单明细'!W:W,MATCH(R104&amp;AC104,'小红书-订单明细'!A:A&amp;'小红书-订单明细'!O:O,0))/(INDEX('小红书-订单明细'!T:T,MATCH(R104&amp;AC104,'小红书-订单明细'!A:A&amp;'小红书-订单明细'!O:O,0))))</f>
        <v>1</v>
      </c>
      <c r="R104" s="37" t="s">
        <v>400</v>
      </c>
      <c r="S104" s="35"/>
      <c r="T104" s="35" t="s">
        <v>415</v>
      </c>
      <c r="U104" s="35" t="s">
        <v>1962</v>
      </c>
      <c r="V104" s="35" t="s">
        <v>1959</v>
      </c>
      <c r="W104" s="38" t="s">
        <v>1755</v>
      </c>
      <c r="X104" s="38" t="s">
        <v>1749</v>
      </c>
      <c r="Y104" s="35">
        <v>178.42</v>
      </c>
      <c r="Z104" s="31" t="s">
        <v>1905</v>
      </c>
      <c r="AA104" s="38" t="s">
        <v>1906</v>
      </c>
      <c r="AB104" s="35" t="s">
        <v>409</v>
      </c>
      <c r="AC104" s="37" t="s">
        <v>410</v>
      </c>
      <c r="AD104" s="32">
        <v>1</v>
      </c>
      <c r="AE104" s="35">
        <v>189</v>
      </c>
      <c r="AF104" s="36">
        <v>189</v>
      </c>
      <c r="AG104" s="35" t="s">
        <v>75</v>
      </c>
      <c r="AH104" s="35">
        <v>0</v>
      </c>
      <c r="AI104" s="33">
        <v>0</v>
      </c>
      <c r="AJ104" s="33">
        <v>0</v>
      </c>
      <c r="AK104" s="32">
        <v>0.05</v>
      </c>
      <c r="AL104" s="32">
        <v>0</v>
      </c>
      <c r="AM104" s="33">
        <v>-9.45</v>
      </c>
      <c r="AN104" s="33">
        <v>189</v>
      </c>
      <c r="AO104" s="32">
        <v>189</v>
      </c>
      <c r="AP104" s="32">
        <v>0</v>
      </c>
      <c r="AQ104" s="34" t="s">
        <v>101</v>
      </c>
      <c r="AR104" s="32">
        <v>0</v>
      </c>
      <c r="AS104" s="32">
        <v>0.006</v>
      </c>
      <c r="AT104" s="33">
        <v>-1.13</v>
      </c>
      <c r="AU104" s="35" t="s">
        <v>148</v>
      </c>
      <c r="AV104" s="38" t="s">
        <v>1752</v>
      </c>
      <c r="AW104" s="38" t="s">
        <v>1753</v>
      </c>
      <c r="AX104" s="35"/>
      <c r="AY104" s="35"/>
      <c r="AZ104" s="33">
        <v>0</v>
      </c>
      <c r="BA104" s="32">
        <v>0</v>
      </c>
      <c r="BB104" s="32">
        <v>0</v>
      </c>
      <c r="BC104" s="32">
        <v>0</v>
      </c>
      <c r="BD104" s="32">
        <v>0</v>
      </c>
      <c r="BE104" s="35"/>
    </row>
    <row r="105" customHeight="1" spans="1:57">
      <c r="A105" s="25">
        <f t="shared" si="11"/>
        <v>2025</v>
      </c>
      <c r="B105" s="26">
        <f t="shared" si="12"/>
        <v>8</v>
      </c>
      <c r="C105" s="26" t="str">
        <f t="shared" si="13"/>
        <v>P770795096898414161</v>
      </c>
      <c r="D105" s="26">
        <f t="shared" si="14"/>
        <v>2</v>
      </c>
      <c r="E105" s="26">
        <f>COUNTIF($R$2:R105,R105)</f>
        <v>2</v>
      </c>
      <c r="F105" s="27" t="str" cm="1">
        <f t="array" ref="F105">INDEX('小红书-订单明细'!BQ:BQ,MATCH(R105&amp;AC105,'小红书-订单明细'!A:A&amp;'小红书-订单明细'!O:O,0))</f>
        <v>Z2363-灰色-M</v>
      </c>
      <c r="G105" s="27" t="str">
        <f t="shared" si="15"/>
        <v>Z2363</v>
      </c>
      <c r="H105" s="26" cm="1">
        <f t="array" ref="H105">IF(ABS(BG105)&gt;=1,SUM(AF105,AH105:AI105)/(INDEX('小红书-订单明细'!W:W,MATCH(R105&amp;AC105,'小红书-订单明细'!A:A&amp;'小红书-订单明细'!O:O,0))/(INDEX('小红书-订单明细'!T:T,MATCH(R105&amp;AC105,'小红书-订单明细'!A:A&amp;'小红书-订单明细'!O:O,0)))),IF(ABS(SUM(AF105,AH105:AI105)/(INDEX('小红书-订单明细'!W:W,MATCH(R105&amp;AC105,'小红书-订单明细'!A:A&amp;'小红书-订单明细'!O:O,0))/(INDEX('小红书-订单明细'!T:T,MATCH(R105&amp;AC105,'小红书-订单明细'!A:A&amp;'小红书-订单明细'!O:O,0)))))&gt;15%,ROUNDUP(SUM(AF105,AH105:AI105)/(INDEX('小红书-订单明细'!W:W,MATCH(R105&amp;AC105,'小红书-订单明细'!A:A&amp;'小红书-订单明细'!O:O,0))/(INDEX('小红书-订单明细'!T:T,MATCH(R105&amp;AC105,'小红书-订单明细'!A:A&amp;'小红书-订单明细'!O:O,0)))),0),ROUNDDOWN(SUM(AF105,AH105:AI105)/(INDEX('小红书-订单明细'!W:W,MATCH(R105&amp;AC105,'小红书-订单明细'!A:A&amp;'小红书-订单明细'!O:O,0))/(INDEX('小红书-订单明细'!T:T,MATCH(R105&amp;AC105,'小红书-订单明细'!A:A&amp;'小红书-订单明细'!O:O,0)))),0)))</f>
        <v>1</v>
      </c>
      <c r="I105" s="26">
        <f t="shared" si="16"/>
        <v>359</v>
      </c>
      <c r="J105" s="26">
        <f t="shared" si="17"/>
        <v>0</v>
      </c>
      <c r="K105" s="26">
        <f t="shared" si="18"/>
        <v>0</v>
      </c>
      <c r="L105" s="26">
        <f t="shared" si="19"/>
        <v>17.95</v>
      </c>
      <c r="M105" s="26">
        <f t="shared" si="20"/>
        <v>2.15</v>
      </c>
      <c r="N105" s="26"/>
      <c r="O105" s="28">
        <f t="shared" si="21"/>
        <v>338.9</v>
      </c>
      <c r="Q105" s="1" cm="1">
        <f t="array" ref="Q105">SUM(AF105,AH105:AI105)/(INDEX('小红书-订单明细'!W:W,MATCH(R105&amp;AC105,'小红书-订单明细'!A:A&amp;'小红书-订单明细'!O:O,0))/(INDEX('小红书-订单明细'!T:T,MATCH(R105&amp;AC105,'小红书-订单明细'!A:A&amp;'小红书-订单明细'!O:O,0))))</f>
        <v>1</v>
      </c>
      <c r="R105" s="37" t="s">
        <v>1070</v>
      </c>
      <c r="S105" s="35"/>
      <c r="T105" s="35" t="s">
        <v>1957</v>
      </c>
      <c r="U105" s="35" t="s">
        <v>1963</v>
      </c>
      <c r="V105" s="35" t="s">
        <v>1959</v>
      </c>
      <c r="W105" s="38" t="s">
        <v>1755</v>
      </c>
      <c r="X105" s="38" t="s">
        <v>1749</v>
      </c>
      <c r="Y105" s="35">
        <v>338.9</v>
      </c>
      <c r="Z105" s="31" t="s">
        <v>1757</v>
      </c>
      <c r="AA105" s="38" t="s">
        <v>1758</v>
      </c>
      <c r="AB105" s="35" t="s">
        <v>826</v>
      </c>
      <c r="AC105" s="37" t="s">
        <v>827</v>
      </c>
      <c r="AD105" s="32">
        <v>1</v>
      </c>
      <c r="AE105" s="35">
        <v>359</v>
      </c>
      <c r="AF105" s="36">
        <v>359</v>
      </c>
      <c r="AG105" s="35" t="s">
        <v>75</v>
      </c>
      <c r="AH105" s="35">
        <v>0</v>
      </c>
      <c r="AI105" s="33">
        <v>0</v>
      </c>
      <c r="AJ105" s="33">
        <v>0</v>
      </c>
      <c r="AK105" s="32">
        <v>0.05</v>
      </c>
      <c r="AL105" s="32">
        <v>0</v>
      </c>
      <c r="AM105" s="33">
        <v>-17.95</v>
      </c>
      <c r="AN105" s="33">
        <v>359</v>
      </c>
      <c r="AO105" s="32">
        <v>359</v>
      </c>
      <c r="AP105" s="32">
        <v>0</v>
      </c>
      <c r="AQ105" s="34" t="s">
        <v>101</v>
      </c>
      <c r="AR105" s="32">
        <v>0</v>
      </c>
      <c r="AS105" s="32">
        <v>0.006</v>
      </c>
      <c r="AT105" s="33">
        <v>-2.15</v>
      </c>
      <c r="AU105" s="35" t="s">
        <v>148</v>
      </c>
      <c r="AV105" s="38" t="s">
        <v>1752</v>
      </c>
      <c r="AW105" s="38" t="s">
        <v>1753</v>
      </c>
      <c r="AX105" s="35"/>
      <c r="AY105" s="35"/>
      <c r="AZ105" s="33">
        <v>0</v>
      </c>
      <c r="BA105" s="32">
        <v>0</v>
      </c>
      <c r="BB105" s="32">
        <v>0</v>
      </c>
      <c r="BC105" s="32">
        <v>0</v>
      </c>
      <c r="BD105" s="32">
        <v>0</v>
      </c>
      <c r="BE105" s="35"/>
    </row>
    <row r="106" customHeight="1" spans="1:57">
      <c r="A106" s="25">
        <f t="shared" si="11"/>
        <v>2025</v>
      </c>
      <c r="B106" s="26">
        <f t="shared" si="12"/>
        <v>8</v>
      </c>
      <c r="C106" s="26" t="str">
        <f t="shared" si="13"/>
        <v>P770799964547510201</v>
      </c>
      <c r="D106" s="26">
        <f t="shared" si="14"/>
        <v>2</v>
      </c>
      <c r="E106" s="26">
        <f>COUNTIF($R$2:R106,R106)</f>
        <v>1</v>
      </c>
      <c r="F106" s="27" t="str" cm="1">
        <f t="array" ref="F106">INDEX('小红书-订单明细'!BQ:BQ,MATCH(R106&amp;AC106,'小红书-订单明细'!A:A&amp;'小红书-订单明细'!O:O,0))</f>
        <v>Z2380-黑色</v>
      </c>
      <c r="G106" s="27" t="str">
        <f t="shared" si="15"/>
        <v>Z2380</v>
      </c>
      <c r="H106" s="26" cm="1">
        <f t="array" ref="H106">IF(ABS(BG106)&gt;=1,SUM(AF106,AH106:AI106)/(INDEX('小红书-订单明细'!W:W,MATCH(R106&amp;AC106,'小红书-订单明细'!A:A&amp;'小红书-订单明细'!O:O,0))/(INDEX('小红书-订单明细'!T:T,MATCH(R106&amp;AC106,'小红书-订单明细'!A:A&amp;'小红书-订单明细'!O:O,0)))),IF(ABS(SUM(AF106,AH106:AI106)/(INDEX('小红书-订单明细'!W:W,MATCH(R106&amp;AC106,'小红书-订单明细'!A:A&amp;'小红书-订单明细'!O:O,0))/(INDEX('小红书-订单明细'!T:T,MATCH(R106&amp;AC106,'小红书-订单明细'!A:A&amp;'小红书-订单明细'!O:O,0)))))&gt;15%,ROUNDUP(SUM(AF106,AH106:AI106)/(INDEX('小红书-订单明细'!W:W,MATCH(R106&amp;AC106,'小红书-订单明细'!A:A&amp;'小红书-订单明细'!O:O,0))/(INDEX('小红书-订单明细'!T:T,MATCH(R106&amp;AC106,'小红书-订单明细'!A:A&amp;'小红书-订单明细'!O:O,0)))),0),ROUNDDOWN(SUM(AF106,AH106:AI106)/(INDEX('小红书-订单明细'!W:W,MATCH(R106&amp;AC106,'小红书-订单明细'!A:A&amp;'小红书-订单明细'!O:O,0))/(INDEX('小红书-订单明细'!T:T,MATCH(R106&amp;AC106,'小红书-订单明细'!A:A&amp;'小红书-订单明细'!O:O,0)))),0)))</f>
        <v>-1</v>
      </c>
      <c r="I106" s="26">
        <f t="shared" si="16"/>
        <v>-199</v>
      </c>
      <c r="J106" s="26">
        <f t="shared" si="17"/>
        <v>0</v>
      </c>
      <c r="K106" s="26">
        <f t="shared" si="18"/>
        <v>0</v>
      </c>
      <c r="L106" s="26">
        <f t="shared" si="19"/>
        <v>-9.95</v>
      </c>
      <c r="M106" s="26">
        <f t="shared" si="20"/>
        <v>-1.19</v>
      </c>
      <c r="N106" s="26"/>
      <c r="O106" s="28">
        <f t="shared" si="21"/>
        <v>-187.86</v>
      </c>
      <c r="Q106" s="1" cm="1">
        <f t="array" ref="Q106">SUM(AF106,AH106:AI106)/(INDEX('小红书-订单明细'!W:W,MATCH(R106&amp;AC106,'小红书-订单明细'!A:A&amp;'小红书-订单明细'!O:O,0))/(INDEX('小红书-订单明细'!T:T,MATCH(R106&amp;AC106,'小红书-订单明细'!A:A&amp;'小红书-订单明细'!O:O,0))))</f>
        <v>-1</v>
      </c>
      <c r="R106" s="37" t="s">
        <v>738</v>
      </c>
      <c r="S106" s="35" t="s">
        <v>1964</v>
      </c>
      <c r="T106" s="35" t="s">
        <v>747</v>
      </c>
      <c r="U106" s="35" t="s">
        <v>1965</v>
      </c>
      <c r="V106" s="35" t="s">
        <v>1966</v>
      </c>
      <c r="W106" s="38" t="s">
        <v>1748</v>
      </c>
      <c r="X106" s="38" t="s">
        <v>1749</v>
      </c>
      <c r="Y106" s="35">
        <v>-187.86</v>
      </c>
      <c r="Z106" s="31" t="s">
        <v>1845</v>
      </c>
      <c r="AA106" s="38" t="s">
        <v>1842</v>
      </c>
      <c r="AB106" s="35" t="s">
        <v>512</v>
      </c>
      <c r="AC106" s="37" t="s">
        <v>513</v>
      </c>
      <c r="AD106" s="32">
        <v>0</v>
      </c>
      <c r="AE106" s="35">
        <v>-199</v>
      </c>
      <c r="AF106" s="37">
        <v>-199</v>
      </c>
      <c r="AG106" s="35">
        <v>0</v>
      </c>
      <c r="AH106" s="35">
        <v>0</v>
      </c>
      <c r="AI106" s="33">
        <v>0</v>
      </c>
      <c r="AJ106" s="33">
        <v>0</v>
      </c>
      <c r="AK106" s="32">
        <v>0</v>
      </c>
      <c r="AL106" s="32">
        <v>0</v>
      </c>
      <c r="AM106" s="33">
        <v>9.95</v>
      </c>
      <c r="AN106" s="33">
        <v>0</v>
      </c>
      <c r="AO106" s="32">
        <v>0</v>
      </c>
      <c r="AP106" s="32">
        <v>0</v>
      </c>
      <c r="AQ106" s="34" t="s">
        <v>101</v>
      </c>
      <c r="AR106" s="32">
        <v>0</v>
      </c>
      <c r="AS106" s="32">
        <v>0</v>
      </c>
      <c r="AT106" s="33">
        <v>1.19</v>
      </c>
      <c r="AU106" s="35" t="s">
        <v>148</v>
      </c>
      <c r="AV106" s="38" t="s">
        <v>1752</v>
      </c>
      <c r="AW106" s="38" t="s">
        <v>1753</v>
      </c>
      <c r="AX106" s="35"/>
      <c r="AY106" s="35"/>
      <c r="AZ106" s="33">
        <v>0</v>
      </c>
      <c r="BA106" s="32">
        <v>0</v>
      </c>
      <c r="BB106" s="32">
        <v>0</v>
      </c>
      <c r="BC106" s="32">
        <v>0</v>
      </c>
      <c r="BD106" s="32">
        <v>0</v>
      </c>
      <c r="BE106" s="35"/>
    </row>
    <row r="107" customHeight="1" spans="1:57">
      <c r="A107" s="25">
        <f t="shared" si="11"/>
        <v>2025</v>
      </c>
      <c r="B107" s="26">
        <f t="shared" si="12"/>
        <v>8</v>
      </c>
      <c r="C107" s="26" t="str">
        <f t="shared" si="13"/>
        <v>P770799964547510201</v>
      </c>
      <c r="D107" s="26">
        <f t="shared" si="14"/>
        <v>2</v>
      </c>
      <c r="E107" s="26">
        <f>COUNTIF($R$2:R107,R107)</f>
        <v>2</v>
      </c>
      <c r="F107" s="27" t="str" cm="1">
        <f t="array" ref="F107">INDEX('小红书-订单明细'!BQ:BQ,MATCH(R107&amp;AC107,'小红书-订单明细'!A:A&amp;'小红书-订单明细'!O:O,0))</f>
        <v>Z2380-黑色</v>
      </c>
      <c r="G107" s="27" t="str">
        <f t="shared" si="15"/>
        <v>Z2380</v>
      </c>
      <c r="H107" s="26" cm="1">
        <f t="array" ref="H107">IF(ABS(BG107)&gt;=1,SUM(AF107,AH107:AI107)/(INDEX('小红书-订单明细'!W:W,MATCH(R107&amp;AC107,'小红书-订单明细'!A:A&amp;'小红书-订单明细'!O:O,0))/(INDEX('小红书-订单明细'!T:T,MATCH(R107&amp;AC107,'小红书-订单明细'!A:A&amp;'小红书-订单明细'!O:O,0)))),IF(ABS(SUM(AF107,AH107:AI107)/(INDEX('小红书-订单明细'!W:W,MATCH(R107&amp;AC107,'小红书-订单明细'!A:A&amp;'小红书-订单明细'!O:O,0))/(INDEX('小红书-订单明细'!T:T,MATCH(R107&amp;AC107,'小红书-订单明细'!A:A&amp;'小红书-订单明细'!O:O,0)))))&gt;15%,ROUNDUP(SUM(AF107,AH107:AI107)/(INDEX('小红书-订单明细'!W:W,MATCH(R107&amp;AC107,'小红书-订单明细'!A:A&amp;'小红书-订单明细'!O:O,0))/(INDEX('小红书-订单明细'!T:T,MATCH(R107&amp;AC107,'小红书-订单明细'!A:A&amp;'小红书-订单明细'!O:O,0)))),0),ROUNDDOWN(SUM(AF107,AH107:AI107)/(INDEX('小红书-订单明细'!W:W,MATCH(R107&amp;AC107,'小红书-订单明细'!A:A&amp;'小红书-订单明细'!O:O,0))/(INDEX('小红书-订单明细'!T:T,MATCH(R107&amp;AC107,'小红书-订单明细'!A:A&amp;'小红书-订单明细'!O:O,0)))),0)))</f>
        <v>1</v>
      </c>
      <c r="I107" s="26">
        <f t="shared" si="16"/>
        <v>199</v>
      </c>
      <c r="J107" s="26">
        <f t="shared" si="17"/>
        <v>0</v>
      </c>
      <c r="K107" s="26">
        <f t="shared" si="18"/>
        <v>0</v>
      </c>
      <c r="L107" s="26">
        <f t="shared" si="19"/>
        <v>9.95</v>
      </c>
      <c r="M107" s="26">
        <f t="shared" si="20"/>
        <v>1.19</v>
      </c>
      <c r="N107" s="26"/>
      <c r="O107" s="28">
        <f t="shared" si="21"/>
        <v>187.86</v>
      </c>
      <c r="Q107" s="1" cm="1">
        <f t="array" ref="Q107">SUM(AF107,AH107:AI107)/(INDEX('小红书-订单明细'!W:W,MATCH(R107&amp;AC107,'小红书-订单明细'!A:A&amp;'小红书-订单明细'!O:O,0))/(INDEX('小红书-订单明细'!T:T,MATCH(R107&amp;AC107,'小红书-订单明细'!A:A&amp;'小红书-订单明细'!O:O,0))))</f>
        <v>1</v>
      </c>
      <c r="R107" s="37" t="s">
        <v>738</v>
      </c>
      <c r="S107" s="35"/>
      <c r="T107" s="35" t="s">
        <v>747</v>
      </c>
      <c r="U107" s="35" t="s">
        <v>1967</v>
      </c>
      <c r="V107" s="35" t="s">
        <v>1966</v>
      </c>
      <c r="W107" s="38" t="s">
        <v>1755</v>
      </c>
      <c r="X107" s="38" t="s">
        <v>1749</v>
      </c>
      <c r="Y107" s="35">
        <v>187.86</v>
      </c>
      <c r="Z107" s="31" t="s">
        <v>1845</v>
      </c>
      <c r="AA107" s="38" t="s">
        <v>1842</v>
      </c>
      <c r="AB107" s="35" t="s">
        <v>512</v>
      </c>
      <c r="AC107" s="37" t="s">
        <v>513</v>
      </c>
      <c r="AD107" s="32">
        <v>1</v>
      </c>
      <c r="AE107" s="35">
        <v>199</v>
      </c>
      <c r="AF107" s="36">
        <v>199</v>
      </c>
      <c r="AG107" s="35" t="s">
        <v>75</v>
      </c>
      <c r="AH107" s="35">
        <v>0</v>
      </c>
      <c r="AI107" s="33">
        <v>0</v>
      </c>
      <c r="AJ107" s="33">
        <v>0</v>
      </c>
      <c r="AK107" s="32">
        <v>0.05</v>
      </c>
      <c r="AL107" s="32">
        <v>0</v>
      </c>
      <c r="AM107" s="33">
        <v>-9.95</v>
      </c>
      <c r="AN107" s="33">
        <v>199</v>
      </c>
      <c r="AO107" s="32">
        <v>199</v>
      </c>
      <c r="AP107" s="32">
        <v>0</v>
      </c>
      <c r="AQ107" s="34" t="s">
        <v>101</v>
      </c>
      <c r="AR107" s="32">
        <v>0</v>
      </c>
      <c r="AS107" s="32">
        <v>0.006</v>
      </c>
      <c r="AT107" s="33">
        <v>-1.19</v>
      </c>
      <c r="AU107" s="35" t="s">
        <v>148</v>
      </c>
      <c r="AV107" s="38" t="s">
        <v>1752</v>
      </c>
      <c r="AW107" s="38" t="s">
        <v>1753</v>
      </c>
      <c r="AX107" s="35"/>
      <c r="AY107" s="35"/>
      <c r="AZ107" s="33">
        <v>0</v>
      </c>
      <c r="BA107" s="32">
        <v>0</v>
      </c>
      <c r="BB107" s="32">
        <v>0</v>
      </c>
      <c r="BC107" s="32">
        <v>0</v>
      </c>
      <c r="BD107" s="32">
        <v>0</v>
      </c>
      <c r="BE107" s="35"/>
    </row>
    <row r="108" customHeight="1" spans="1:57">
      <c r="A108" s="25">
        <f t="shared" si="11"/>
        <v>2025</v>
      </c>
      <c r="B108" s="26">
        <f t="shared" si="12"/>
        <v>8</v>
      </c>
      <c r="C108" s="26" t="str">
        <f t="shared" si="13"/>
        <v>P770794446611478281</v>
      </c>
      <c r="D108" s="26">
        <f t="shared" si="14"/>
        <v>2</v>
      </c>
      <c r="E108" s="26">
        <f>COUNTIF($R$2:R108,R108)</f>
        <v>1</v>
      </c>
      <c r="F108" s="27" t="str" cm="1">
        <f t="array" ref="F108">INDEX('小红书-订单明细'!BQ:BQ,MATCH(R108&amp;AC108,'小红书-订单明细'!A:A&amp;'小红书-订单明细'!O:O,0))</f>
        <v>Z2378-花纱色-S</v>
      </c>
      <c r="G108" s="27" t="str">
        <f t="shared" si="15"/>
        <v>Z2378</v>
      </c>
      <c r="H108" s="26" cm="1">
        <f t="array" ref="H108">IF(ABS(BG108)&gt;=1,SUM(AF108,AH108:AI108)/(INDEX('小红书-订单明细'!W:W,MATCH(R108&amp;AC108,'小红书-订单明细'!A:A&amp;'小红书-订单明细'!O:O,0))/(INDEX('小红书-订单明细'!T:T,MATCH(R108&amp;AC108,'小红书-订单明细'!A:A&amp;'小红书-订单明细'!O:O,0)))),IF(ABS(SUM(AF108,AH108:AI108)/(INDEX('小红书-订单明细'!W:W,MATCH(R108&amp;AC108,'小红书-订单明细'!A:A&amp;'小红书-订单明细'!O:O,0))/(INDEX('小红书-订单明细'!T:T,MATCH(R108&amp;AC108,'小红书-订单明细'!A:A&amp;'小红书-订单明细'!O:O,0)))))&gt;15%,ROUNDUP(SUM(AF108,AH108:AI108)/(INDEX('小红书-订单明细'!W:W,MATCH(R108&amp;AC108,'小红书-订单明细'!A:A&amp;'小红书-订单明细'!O:O,0))/(INDEX('小红书-订单明细'!T:T,MATCH(R108&amp;AC108,'小红书-订单明细'!A:A&amp;'小红书-订单明细'!O:O,0)))),0),ROUNDDOWN(SUM(AF108,AH108:AI108)/(INDEX('小红书-订单明细'!W:W,MATCH(R108&amp;AC108,'小红书-订单明细'!A:A&amp;'小红书-订单明细'!O:O,0))/(INDEX('小红书-订单明细'!T:T,MATCH(R108&amp;AC108,'小红书-订单明细'!A:A&amp;'小红书-订单明细'!O:O,0)))),0)))</f>
        <v>-1</v>
      </c>
      <c r="I108" s="26">
        <f t="shared" si="16"/>
        <v>-179</v>
      </c>
      <c r="J108" s="26">
        <f t="shared" si="17"/>
        <v>0</v>
      </c>
      <c r="K108" s="26">
        <f t="shared" si="18"/>
        <v>0</v>
      </c>
      <c r="L108" s="26">
        <f t="shared" si="19"/>
        <v>-8.95</v>
      </c>
      <c r="M108" s="26">
        <f t="shared" si="20"/>
        <v>-1.07</v>
      </c>
      <c r="N108" s="26"/>
      <c r="O108" s="28">
        <f t="shared" si="21"/>
        <v>-168.98</v>
      </c>
      <c r="Q108" s="1" cm="1">
        <f t="array" ref="Q108">SUM(AF108,AH108:AI108)/(INDEX('小红书-订单明细'!W:W,MATCH(R108&amp;AC108,'小红书-订单明细'!A:A&amp;'小红书-订单明细'!O:O,0))/(INDEX('小红书-订单明细'!T:T,MATCH(R108&amp;AC108,'小红书-订单明细'!A:A&amp;'小红书-订单明细'!O:O,0))))</f>
        <v>-1</v>
      </c>
      <c r="R108" s="37" t="s">
        <v>1187</v>
      </c>
      <c r="S108" s="35" t="s">
        <v>1968</v>
      </c>
      <c r="T108" s="35" t="s">
        <v>1197</v>
      </c>
      <c r="U108" s="35" t="s">
        <v>1969</v>
      </c>
      <c r="V108" s="35" t="s">
        <v>1970</v>
      </c>
      <c r="W108" s="38" t="s">
        <v>1748</v>
      </c>
      <c r="X108" s="38" t="s">
        <v>1749</v>
      </c>
      <c r="Y108" s="35">
        <v>-168.98</v>
      </c>
      <c r="Z108" s="31" t="s">
        <v>1807</v>
      </c>
      <c r="AA108" s="38" t="s">
        <v>1773</v>
      </c>
      <c r="AB108" s="35" t="s">
        <v>924</v>
      </c>
      <c r="AC108" s="37" t="s">
        <v>925</v>
      </c>
      <c r="AD108" s="32">
        <v>0</v>
      </c>
      <c r="AE108" s="35">
        <v>-179</v>
      </c>
      <c r="AF108" s="37">
        <v>-179</v>
      </c>
      <c r="AG108" s="35">
        <v>0</v>
      </c>
      <c r="AH108" s="35">
        <v>0</v>
      </c>
      <c r="AI108" s="33">
        <v>0</v>
      </c>
      <c r="AJ108" s="33">
        <v>0</v>
      </c>
      <c r="AK108" s="32">
        <v>0</v>
      </c>
      <c r="AL108" s="32">
        <v>0</v>
      </c>
      <c r="AM108" s="33">
        <v>8.95</v>
      </c>
      <c r="AN108" s="33">
        <v>0</v>
      </c>
      <c r="AO108" s="32">
        <v>0</v>
      </c>
      <c r="AP108" s="32">
        <v>0</v>
      </c>
      <c r="AQ108" s="34" t="s">
        <v>101</v>
      </c>
      <c r="AR108" s="32">
        <v>0</v>
      </c>
      <c r="AS108" s="32">
        <v>0</v>
      </c>
      <c r="AT108" s="33">
        <v>1.07</v>
      </c>
      <c r="AU108" s="35" t="s">
        <v>148</v>
      </c>
      <c r="AV108" s="38" t="s">
        <v>1752</v>
      </c>
      <c r="AW108" s="38" t="s">
        <v>1753</v>
      </c>
      <c r="AX108" s="35"/>
      <c r="AY108" s="35"/>
      <c r="AZ108" s="33">
        <v>0</v>
      </c>
      <c r="BA108" s="32">
        <v>0</v>
      </c>
      <c r="BB108" s="32">
        <v>0</v>
      </c>
      <c r="BC108" s="32">
        <v>0</v>
      </c>
      <c r="BD108" s="32">
        <v>0</v>
      </c>
      <c r="BE108" s="35"/>
    </row>
    <row r="109" customHeight="1" spans="1:57">
      <c r="A109" s="25">
        <f t="shared" si="11"/>
        <v>2025</v>
      </c>
      <c r="B109" s="26">
        <f t="shared" si="12"/>
        <v>8</v>
      </c>
      <c r="C109" s="26" t="str">
        <f t="shared" si="13"/>
        <v>P770794446611478281</v>
      </c>
      <c r="D109" s="26">
        <f t="shared" si="14"/>
        <v>2</v>
      </c>
      <c r="E109" s="26">
        <f>COUNTIF($R$2:R109,R109)</f>
        <v>2</v>
      </c>
      <c r="F109" s="27" t="str" cm="1">
        <f t="array" ref="F109">INDEX('小红书-订单明细'!BQ:BQ,MATCH(R109&amp;AC109,'小红书-订单明细'!A:A&amp;'小红书-订单明细'!O:O,0))</f>
        <v>Z2378-花纱色-S</v>
      </c>
      <c r="G109" s="27" t="str">
        <f t="shared" si="15"/>
        <v>Z2378</v>
      </c>
      <c r="H109" s="26" cm="1">
        <f t="array" ref="H109">IF(ABS(BG109)&gt;=1,SUM(AF109,AH109:AI109)/(INDEX('小红书-订单明细'!W:W,MATCH(R109&amp;AC109,'小红书-订单明细'!A:A&amp;'小红书-订单明细'!O:O,0))/(INDEX('小红书-订单明细'!T:T,MATCH(R109&amp;AC109,'小红书-订单明细'!A:A&amp;'小红书-订单明细'!O:O,0)))),IF(ABS(SUM(AF109,AH109:AI109)/(INDEX('小红书-订单明细'!W:W,MATCH(R109&amp;AC109,'小红书-订单明细'!A:A&amp;'小红书-订单明细'!O:O,0))/(INDEX('小红书-订单明细'!T:T,MATCH(R109&amp;AC109,'小红书-订单明细'!A:A&amp;'小红书-订单明细'!O:O,0)))))&gt;15%,ROUNDUP(SUM(AF109,AH109:AI109)/(INDEX('小红书-订单明细'!W:W,MATCH(R109&amp;AC109,'小红书-订单明细'!A:A&amp;'小红书-订单明细'!O:O,0))/(INDEX('小红书-订单明细'!T:T,MATCH(R109&amp;AC109,'小红书-订单明细'!A:A&amp;'小红书-订单明细'!O:O,0)))),0),ROUNDDOWN(SUM(AF109,AH109:AI109)/(INDEX('小红书-订单明细'!W:W,MATCH(R109&amp;AC109,'小红书-订单明细'!A:A&amp;'小红书-订单明细'!O:O,0))/(INDEX('小红书-订单明细'!T:T,MATCH(R109&amp;AC109,'小红书-订单明细'!A:A&amp;'小红书-订单明细'!O:O,0)))),0)))</f>
        <v>1</v>
      </c>
      <c r="I109" s="26">
        <f t="shared" si="16"/>
        <v>179</v>
      </c>
      <c r="J109" s="26">
        <f t="shared" si="17"/>
        <v>0</v>
      </c>
      <c r="K109" s="26">
        <f t="shared" si="18"/>
        <v>0</v>
      </c>
      <c r="L109" s="26">
        <f t="shared" si="19"/>
        <v>8.95</v>
      </c>
      <c r="M109" s="26">
        <f t="shared" si="20"/>
        <v>1.07</v>
      </c>
      <c r="N109" s="26"/>
      <c r="O109" s="28">
        <f t="shared" si="21"/>
        <v>168.98</v>
      </c>
      <c r="Q109" s="1" cm="1">
        <f t="array" ref="Q109">SUM(AF109,AH109:AI109)/(INDEX('小红书-订单明细'!W:W,MATCH(R109&amp;AC109,'小红书-订单明细'!A:A&amp;'小红书-订单明细'!O:O,0))/(INDEX('小红书-订单明细'!T:T,MATCH(R109&amp;AC109,'小红书-订单明细'!A:A&amp;'小红书-订单明细'!O:O,0))))</f>
        <v>1</v>
      </c>
      <c r="R109" s="37" t="s">
        <v>1187</v>
      </c>
      <c r="S109" s="35"/>
      <c r="T109" s="35" t="s">
        <v>1197</v>
      </c>
      <c r="U109" s="35" t="s">
        <v>1971</v>
      </c>
      <c r="V109" s="35" t="s">
        <v>1970</v>
      </c>
      <c r="W109" s="38" t="s">
        <v>1755</v>
      </c>
      <c r="X109" s="38" t="s">
        <v>1749</v>
      </c>
      <c r="Y109" s="35">
        <v>168.98</v>
      </c>
      <c r="Z109" s="31" t="s">
        <v>1807</v>
      </c>
      <c r="AA109" s="38" t="s">
        <v>1773</v>
      </c>
      <c r="AB109" s="35" t="s">
        <v>924</v>
      </c>
      <c r="AC109" s="37" t="s">
        <v>925</v>
      </c>
      <c r="AD109" s="32">
        <v>1</v>
      </c>
      <c r="AE109" s="35">
        <v>179</v>
      </c>
      <c r="AF109" s="36">
        <v>179</v>
      </c>
      <c r="AG109" s="35" t="s">
        <v>75</v>
      </c>
      <c r="AH109" s="35">
        <v>0</v>
      </c>
      <c r="AI109" s="33">
        <v>0</v>
      </c>
      <c r="AJ109" s="33">
        <v>0</v>
      </c>
      <c r="AK109" s="32">
        <v>0.05</v>
      </c>
      <c r="AL109" s="32">
        <v>0</v>
      </c>
      <c r="AM109" s="33">
        <v>-8.95</v>
      </c>
      <c r="AN109" s="33">
        <v>179</v>
      </c>
      <c r="AO109" s="32">
        <v>179</v>
      </c>
      <c r="AP109" s="32">
        <v>0</v>
      </c>
      <c r="AQ109" s="34" t="s">
        <v>101</v>
      </c>
      <c r="AR109" s="32">
        <v>0</v>
      </c>
      <c r="AS109" s="32">
        <v>0.006</v>
      </c>
      <c r="AT109" s="33">
        <v>-1.07</v>
      </c>
      <c r="AU109" s="35" t="s">
        <v>148</v>
      </c>
      <c r="AV109" s="38" t="s">
        <v>1752</v>
      </c>
      <c r="AW109" s="38" t="s">
        <v>1753</v>
      </c>
      <c r="AX109" s="35"/>
      <c r="AY109" s="35"/>
      <c r="AZ109" s="33">
        <v>0</v>
      </c>
      <c r="BA109" s="32">
        <v>0</v>
      </c>
      <c r="BB109" s="32">
        <v>0</v>
      </c>
      <c r="BC109" s="32">
        <v>0</v>
      </c>
      <c r="BD109" s="32">
        <v>0</v>
      </c>
      <c r="BE109" s="35"/>
    </row>
    <row r="110" customHeight="1" spans="1:57">
      <c r="A110" s="25">
        <f t="shared" si="11"/>
        <v>2025</v>
      </c>
      <c r="B110" s="26">
        <f t="shared" si="12"/>
        <v>8</v>
      </c>
      <c r="C110" s="26" t="str">
        <f t="shared" si="13"/>
        <v>P770794257861206101</v>
      </c>
      <c r="D110" s="26">
        <f t="shared" si="14"/>
        <v>1</v>
      </c>
      <c r="E110" s="26">
        <f>COUNTIF($R$2:R110,R110)</f>
        <v>1</v>
      </c>
      <c r="F110" s="27" t="str" cm="1">
        <f t="array" ref="F110">INDEX('小红书-订单明细'!BQ:BQ,MATCH(R110&amp;AC110,'小红书-订单明细'!A:A&amp;'小红书-订单明细'!O:O,0))</f>
        <v>Z1248-黑色-L</v>
      </c>
      <c r="G110" s="27" t="str">
        <f t="shared" si="15"/>
        <v>Z1248</v>
      </c>
      <c r="H110" s="26" cm="1">
        <f t="array" ref="H110">IF(ABS(BG110)&gt;=1,SUM(AF110,AH110:AI110)/(INDEX('小红书-订单明细'!W:W,MATCH(R110&amp;AC110,'小红书-订单明细'!A:A&amp;'小红书-订单明细'!O:O,0))/(INDEX('小红书-订单明细'!T:T,MATCH(R110&amp;AC110,'小红书-订单明细'!A:A&amp;'小红书-订单明细'!O:O,0)))),IF(ABS(SUM(AF110,AH110:AI110)/(INDEX('小红书-订单明细'!W:W,MATCH(R110&amp;AC110,'小红书-订单明细'!A:A&amp;'小红书-订单明细'!O:O,0))/(INDEX('小红书-订单明细'!T:T,MATCH(R110&amp;AC110,'小红书-订单明细'!A:A&amp;'小红书-订单明细'!O:O,0)))))&gt;15%,ROUNDUP(SUM(AF110,AH110:AI110)/(INDEX('小红书-订单明细'!W:W,MATCH(R110&amp;AC110,'小红书-订单明细'!A:A&amp;'小红书-订单明细'!O:O,0))/(INDEX('小红书-订单明细'!T:T,MATCH(R110&amp;AC110,'小红书-订单明细'!A:A&amp;'小红书-订单明细'!O:O,0)))),0),ROUNDDOWN(SUM(AF110,AH110:AI110)/(INDEX('小红书-订单明细'!W:W,MATCH(R110&amp;AC110,'小红书-订单明细'!A:A&amp;'小红书-订单明细'!O:O,0))/(INDEX('小红书-订单明细'!T:T,MATCH(R110&amp;AC110,'小红书-订单明细'!A:A&amp;'小红书-订单明细'!O:O,0)))),0)))</f>
        <v>1</v>
      </c>
      <c r="I110" s="26">
        <f t="shared" si="16"/>
        <v>199</v>
      </c>
      <c r="J110" s="26">
        <f t="shared" si="17"/>
        <v>0</v>
      </c>
      <c r="K110" s="26">
        <f t="shared" si="18"/>
        <v>0</v>
      </c>
      <c r="L110" s="26">
        <f t="shared" si="19"/>
        <v>9.95</v>
      </c>
      <c r="M110" s="26">
        <f t="shared" si="20"/>
        <v>1.19</v>
      </c>
      <c r="N110" s="26"/>
      <c r="O110" s="28">
        <f t="shared" si="21"/>
        <v>187.86</v>
      </c>
      <c r="Q110" s="1" cm="1">
        <f t="array" ref="Q110">SUM(AF110,AH110:AI110)/(INDEX('小红书-订单明细'!W:W,MATCH(R110&amp;AC110,'小红书-订单明细'!A:A&amp;'小红书-订单明细'!O:O,0))/(INDEX('小红书-订单明细'!T:T,MATCH(R110&amp;AC110,'小红书-订单明细'!A:A&amp;'小红书-订单明细'!O:O,0))))</f>
        <v>1</v>
      </c>
      <c r="R110" s="37" t="s">
        <v>1175</v>
      </c>
      <c r="S110" s="35"/>
      <c r="T110" s="35" t="s">
        <v>1972</v>
      </c>
      <c r="U110" s="35" t="s">
        <v>1183</v>
      </c>
      <c r="V110" s="35" t="s">
        <v>1973</v>
      </c>
      <c r="W110" s="38" t="s">
        <v>1755</v>
      </c>
      <c r="X110" s="38" t="s">
        <v>1749</v>
      </c>
      <c r="Y110" s="35">
        <v>187.86</v>
      </c>
      <c r="Z110" s="31" t="s">
        <v>1873</v>
      </c>
      <c r="AA110" s="38" t="s">
        <v>1833</v>
      </c>
      <c r="AB110" s="35" t="s">
        <v>787</v>
      </c>
      <c r="AC110" s="37" t="s">
        <v>788</v>
      </c>
      <c r="AD110" s="32">
        <v>1</v>
      </c>
      <c r="AE110" s="35">
        <v>199</v>
      </c>
      <c r="AF110" s="36">
        <v>199</v>
      </c>
      <c r="AG110" s="35" t="s">
        <v>75</v>
      </c>
      <c r="AH110" s="35">
        <v>0</v>
      </c>
      <c r="AI110" s="33">
        <v>0</v>
      </c>
      <c r="AJ110" s="33">
        <v>0</v>
      </c>
      <c r="AK110" s="32">
        <v>0.05</v>
      </c>
      <c r="AL110" s="32">
        <v>0</v>
      </c>
      <c r="AM110" s="33">
        <v>-9.95</v>
      </c>
      <c r="AN110" s="33">
        <v>199</v>
      </c>
      <c r="AO110" s="32">
        <v>199</v>
      </c>
      <c r="AP110" s="32">
        <v>0</v>
      </c>
      <c r="AQ110" s="34" t="s">
        <v>101</v>
      </c>
      <c r="AR110" s="32">
        <v>0</v>
      </c>
      <c r="AS110" s="32">
        <v>0.006</v>
      </c>
      <c r="AT110" s="33">
        <v>-1.19</v>
      </c>
      <c r="AU110" s="35" t="s">
        <v>148</v>
      </c>
      <c r="AV110" s="38" t="s">
        <v>1752</v>
      </c>
      <c r="AW110" s="38" t="s">
        <v>1753</v>
      </c>
      <c r="AX110" s="35"/>
      <c r="AY110" s="35"/>
      <c r="AZ110" s="33">
        <v>0</v>
      </c>
      <c r="BA110" s="32">
        <v>0</v>
      </c>
      <c r="BB110" s="32">
        <v>0</v>
      </c>
      <c r="BC110" s="32">
        <v>0</v>
      </c>
      <c r="BD110" s="32">
        <v>0</v>
      </c>
      <c r="BE110" s="35"/>
    </row>
    <row r="111" customHeight="1" spans="1:57">
      <c r="A111" s="25">
        <f t="shared" si="11"/>
        <v>2025</v>
      </c>
      <c r="B111" s="26">
        <f t="shared" si="12"/>
        <v>8</v>
      </c>
      <c r="C111" s="26" t="str">
        <f t="shared" si="13"/>
        <v>P770818894631507761</v>
      </c>
      <c r="D111" s="26">
        <f t="shared" si="14"/>
        <v>1</v>
      </c>
      <c r="E111" s="26">
        <f>COUNTIF($R$2:R111,R111)</f>
        <v>1</v>
      </c>
      <c r="F111" s="27" t="str" cm="1">
        <f t="array" ref="F111">INDEX('小红书-订单明细'!BQ:BQ,MATCH(R111&amp;AC111,'小红书-订单明细'!A:A&amp;'小红书-订单明细'!O:O,0))</f>
        <v>Z2380-藏青色</v>
      </c>
      <c r="G111" s="27" t="str">
        <f t="shared" si="15"/>
        <v>Z2380</v>
      </c>
      <c r="H111" s="26" cm="1">
        <f t="array" ref="H111">IF(ABS(BG111)&gt;=1,SUM(AF111,AH111:AI111)/(INDEX('小红书-订单明细'!W:W,MATCH(R111&amp;AC111,'小红书-订单明细'!A:A&amp;'小红书-订单明细'!O:O,0))/(INDEX('小红书-订单明细'!T:T,MATCH(R111&amp;AC111,'小红书-订单明细'!A:A&amp;'小红书-订单明细'!O:O,0)))),IF(ABS(SUM(AF111,AH111:AI111)/(INDEX('小红书-订单明细'!W:W,MATCH(R111&amp;AC111,'小红书-订单明细'!A:A&amp;'小红书-订单明细'!O:O,0))/(INDEX('小红书-订单明细'!T:T,MATCH(R111&amp;AC111,'小红书-订单明细'!A:A&amp;'小红书-订单明细'!O:O,0)))))&gt;15%,ROUNDUP(SUM(AF111,AH111:AI111)/(INDEX('小红书-订单明细'!W:W,MATCH(R111&amp;AC111,'小红书-订单明细'!A:A&amp;'小红书-订单明细'!O:O,0))/(INDEX('小红书-订单明细'!T:T,MATCH(R111&amp;AC111,'小红书-订单明细'!A:A&amp;'小红书-订单明细'!O:O,0)))),0),ROUNDDOWN(SUM(AF111,AH111:AI111)/(INDEX('小红书-订单明细'!W:W,MATCH(R111&amp;AC111,'小红书-订单明细'!A:A&amp;'小红书-订单明细'!O:O,0))/(INDEX('小红书-订单明细'!T:T,MATCH(R111&amp;AC111,'小红书-订单明细'!A:A&amp;'小红书-订单明细'!O:O,0)))),0)))</f>
        <v>1</v>
      </c>
      <c r="I111" s="26">
        <f t="shared" si="16"/>
        <v>199</v>
      </c>
      <c r="J111" s="26">
        <f t="shared" si="17"/>
        <v>0</v>
      </c>
      <c r="K111" s="26">
        <f t="shared" si="18"/>
        <v>0</v>
      </c>
      <c r="L111" s="26">
        <f t="shared" si="19"/>
        <v>9.95</v>
      </c>
      <c r="M111" s="26">
        <f t="shared" si="20"/>
        <v>1.19</v>
      </c>
      <c r="N111" s="26"/>
      <c r="O111" s="28">
        <f t="shared" si="21"/>
        <v>187.86</v>
      </c>
      <c r="Q111" s="1" cm="1">
        <f t="array" ref="Q111">SUM(AF111,AH111:AI111)/(INDEX('小红书-订单明细'!W:W,MATCH(R111&amp;AC111,'小红书-订单明细'!A:A&amp;'小红书-订单明细'!O:O,0))/(INDEX('小红书-订单明细'!T:T,MATCH(R111&amp;AC111,'小红书-订单明细'!A:A&amp;'小红书-订单明细'!O:O,0))))</f>
        <v>1</v>
      </c>
      <c r="R111" s="37" t="s">
        <v>354</v>
      </c>
      <c r="S111" s="35"/>
      <c r="T111" s="35" t="s">
        <v>369</v>
      </c>
      <c r="U111" s="35" t="s">
        <v>372</v>
      </c>
      <c r="V111" s="35" t="s">
        <v>1974</v>
      </c>
      <c r="W111" s="38" t="s">
        <v>1755</v>
      </c>
      <c r="X111" s="38" t="s">
        <v>1749</v>
      </c>
      <c r="Y111" s="35">
        <v>187.86</v>
      </c>
      <c r="Z111" s="31" t="s">
        <v>1841</v>
      </c>
      <c r="AA111" s="38" t="s">
        <v>1842</v>
      </c>
      <c r="AB111" s="35" t="s">
        <v>361</v>
      </c>
      <c r="AC111" s="37" t="s">
        <v>362</v>
      </c>
      <c r="AD111" s="32">
        <v>1</v>
      </c>
      <c r="AE111" s="35">
        <v>199</v>
      </c>
      <c r="AF111" s="36">
        <v>199</v>
      </c>
      <c r="AG111" s="35" t="s">
        <v>75</v>
      </c>
      <c r="AH111" s="35">
        <v>0</v>
      </c>
      <c r="AI111" s="33">
        <v>0</v>
      </c>
      <c r="AJ111" s="33">
        <v>0</v>
      </c>
      <c r="AK111" s="32">
        <v>0.05</v>
      </c>
      <c r="AL111" s="32">
        <v>0</v>
      </c>
      <c r="AM111" s="33">
        <v>-9.95</v>
      </c>
      <c r="AN111" s="33">
        <v>199</v>
      </c>
      <c r="AO111" s="32">
        <v>199</v>
      </c>
      <c r="AP111" s="32">
        <v>0</v>
      </c>
      <c r="AQ111" s="34" t="s">
        <v>101</v>
      </c>
      <c r="AR111" s="32">
        <v>0</v>
      </c>
      <c r="AS111" s="32">
        <v>0.006</v>
      </c>
      <c r="AT111" s="33">
        <v>-1.19</v>
      </c>
      <c r="AU111" s="35" t="s">
        <v>148</v>
      </c>
      <c r="AV111" s="38" t="s">
        <v>1752</v>
      </c>
      <c r="AW111" s="38" t="s">
        <v>1753</v>
      </c>
      <c r="AX111" s="35"/>
      <c r="AY111" s="35"/>
      <c r="AZ111" s="33">
        <v>0</v>
      </c>
      <c r="BA111" s="32">
        <v>0</v>
      </c>
      <c r="BB111" s="32">
        <v>0</v>
      </c>
      <c r="BC111" s="32">
        <v>0</v>
      </c>
      <c r="BD111" s="32">
        <v>0</v>
      </c>
      <c r="BE111" s="35"/>
    </row>
    <row r="112" customHeight="1" spans="1:57">
      <c r="A112" s="25">
        <f t="shared" si="11"/>
        <v>2025</v>
      </c>
      <c r="B112" s="26">
        <f t="shared" si="12"/>
        <v>8</v>
      </c>
      <c r="C112" s="26" t="str">
        <f t="shared" si="13"/>
        <v>P770802455479324851</v>
      </c>
      <c r="D112" s="26">
        <f t="shared" si="14"/>
        <v>1</v>
      </c>
      <c r="E112" s="26">
        <f>COUNTIF($R$2:R112,R112)</f>
        <v>1</v>
      </c>
      <c r="F112" s="27" t="str" cm="1">
        <f t="array" ref="F112">INDEX('小红书-订单明细'!BQ:BQ,MATCH(R112&amp;AC112,'小红书-订单明细'!A:A&amp;'小红书-订单明细'!O:O,0))</f>
        <v>Z2351-黑色-L</v>
      </c>
      <c r="G112" s="27" t="str">
        <f t="shared" si="15"/>
        <v>Z2351</v>
      </c>
      <c r="H112" s="26" cm="1">
        <f t="array" ref="H112">IF(ABS(BG112)&gt;=1,SUM(AF112,AH112:AI112)/(INDEX('小红书-订单明细'!W:W,MATCH(R112&amp;AC112,'小红书-订单明细'!A:A&amp;'小红书-订单明细'!O:O,0))/(INDEX('小红书-订单明细'!T:T,MATCH(R112&amp;AC112,'小红书-订单明细'!A:A&amp;'小红书-订单明细'!O:O,0)))),IF(ABS(SUM(AF112,AH112:AI112)/(INDEX('小红书-订单明细'!W:W,MATCH(R112&amp;AC112,'小红书-订单明细'!A:A&amp;'小红书-订单明细'!O:O,0))/(INDEX('小红书-订单明细'!T:T,MATCH(R112&amp;AC112,'小红书-订单明细'!A:A&amp;'小红书-订单明细'!O:O,0)))))&gt;15%,ROUNDUP(SUM(AF112,AH112:AI112)/(INDEX('小红书-订单明细'!W:W,MATCH(R112&amp;AC112,'小红书-订单明细'!A:A&amp;'小红书-订单明细'!O:O,0))/(INDEX('小红书-订单明细'!T:T,MATCH(R112&amp;AC112,'小红书-订单明细'!A:A&amp;'小红书-订单明细'!O:O,0)))),0),ROUNDDOWN(SUM(AF112,AH112:AI112)/(INDEX('小红书-订单明细'!W:W,MATCH(R112&amp;AC112,'小红书-订单明细'!A:A&amp;'小红书-订单明细'!O:O,0))/(INDEX('小红书-订单明细'!T:T,MATCH(R112&amp;AC112,'小红书-订单明细'!A:A&amp;'小红书-订单明细'!O:O,0)))),0)))</f>
        <v>1</v>
      </c>
      <c r="I112" s="26">
        <f t="shared" si="16"/>
        <v>219</v>
      </c>
      <c r="J112" s="26">
        <f t="shared" si="17"/>
        <v>0</v>
      </c>
      <c r="K112" s="26">
        <f t="shared" si="18"/>
        <v>0</v>
      </c>
      <c r="L112" s="26">
        <f t="shared" si="19"/>
        <v>10.95</v>
      </c>
      <c r="M112" s="26">
        <f t="shared" si="20"/>
        <v>1.31</v>
      </c>
      <c r="N112" s="26"/>
      <c r="O112" s="28">
        <f t="shared" si="21"/>
        <v>206.74</v>
      </c>
      <c r="Q112" s="1" cm="1">
        <f t="array" ref="Q112">SUM(AF112,AH112:AI112)/(INDEX('小红书-订单明细'!W:W,MATCH(R112&amp;AC112,'小红书-订单明细'!A:A&amp;'小红书-订单明细'!O:O,0))/(INDEX('小红书-订单明细'!T:T,MATCH(R112&amp;AC112,'小红书-订单明细'!A:A&amp;'小红书-订单明细'!O:O,0))))</f>
        <v>1</v>
      </c>
      <c r="R112" s="37" t="s">
        <v>525</v>
      </c>
      <c r="S112" s="35"/>
      <c r="T112" s="35" t="s">
        <v>539</v>
      </c>
      <c r="U112" s="35" t="s">
        <v>542</v>
      </c>
      <c r="V112" s="35" t="s">
        <v>1975</v>
      </c>
      <c r="W112" s="38" t="s">
        <v>1755</v>
      </c>
      <c r="X112" s="38" t="s">
        <v>1749</v>
      </c>
      <c r="Y112" s="35">
        <v>206.74</v>
      </c>
      <c r="Z112" s="31" t="s">
        <v>1976</v>
      </c>
      <c r="AA112" s="38" t="s">
        <v>1761</v>
      </c>
      <c r="AB112" s="35" t="s">
        <v>532</v>
      </c>
      <c r="AC112" s="37" t="s">
        <v>533</v>
      </c>
      <c r="AD112" s="32">
        <v>1</v>
      </c>
      <c r="AE112" s="35">
        <v>219</v>
      </c>
      <c r="AF112" s="36">
        <v>219</v>
      </c>
      <c r="AG112" s="35" t="s">
        <v>75</v>
      </c>
      <c r="AH112" s="35">
        <v>0</v>
      </c>
      <c r="AI112" s="33">
        <v>0</v>
      </c>
      <c r="AJ112" s="33">
        <v>0</v>
      </c>
      <c r="AK112" s="32">
        <v>0.05</v>
      </c>
      <c r="AL112" s="32">
        <v>0</v>
      </c>
      <c r="AM112" s="33">
        <v>-10.95</v>
      </c>
      <c r="AN112" s="33">
        <v>219</v>
      </c>
      <c r="AO112" s="32">
        <v>219</v>
      </c>
      <c r="AP112" s="32">
        <v>0</v>
      </c>
      <c r="AQ112" s="34" t="s">
        <v>101</v>
      </c>
      <c r="AR112" s="32">
        <v>0</v>
      </c>
      <c r="AS112" s="32">
        <v>0.006</v>
      </c>
      <c r="AT112" s="33">
        <v>-1.31</v>
      </c>
      <c r="AU112" s="35" t="s">
        <v>148</v>
      </c>
      <c r="AV112" s="38" t="s">
        <v>1752</v>
      </c>
      <c r="AW112" s="38" t="s">
        <v>1753</v>
      </c>
      <c r="AX112" s="35"/>
      <c r="AY112" s="35"/>
      <c r="AZ112" s="33">
        <v>0</v>
      </c>
      <c r="BA112" s="32">
        <v>0</v>
      </c>
      <c r="BB112" s="32">
        <v>0</v>
      </c>
      <c r="BC112" s="32">
        <v>0</v>
      </c>
      <c r="BD112" s="32">
        <v>0</v>
      </c>
      <c r="BE112" s="35"/>
    </row>
    <row r="113" customHeight="1" spans="1:57">
      <c r="A113" s="25">
        <f t="shared" si="11"/>
        <v>2025</v>
      </c>
      <c r="B113" s="26">
        <f t="shared" si="12"/>
        <v>8</v>
      </c>
      <c r="C113" s="26" t="str">
        <f t="shared" si="13"/>
        <v>P770629227939064881</v>
      </c>
      <c r="D113" s="26">
        <f t="shared" si="14"/>
        <v>1</v>
      </c>
      <c r="E113" s="26">
        <f>COUNTIF($R$2:R113,R113)</f>
        <v>1</v>
      </c>
      <c r="F113" s="27" t="str" cm="1">
        <f t="array" ref="F113">INDEX('小红书-订单明细'!BQ:BQ,MATCH(R113&amp;AC113,'小红书-订单明细'!A:A&amp;'小红书-订单明细'!O:O,0))</f>
        <v>Z2333-米白色-L</v>
      </c>
      <c r="G113" s="27" t="str">
        <f t="shared" si="15"/>
        <v>Z2333</v>
      </c>
      <c r="H113" s="26" cm="1">
        <f t="array" ref="H113">IF(ABS(BG113)&gt;=1,SUM(AF113,AH113:AI113)/(INDEX('小红书-订单明细'!W:W,MATCH(R113&amp;AC113,'小红书-订单明细'!A:A&amp;'小红书-订单明细'!O:O,0))/(INDEX('小红书-订单明细'!T:T,MATCH(R113&amp;AC113,'小红书-订单明细'!A:A&amp;'小红书-订单明细'!O:O,0)))),IF(ABS(SUM(AF113,AH113:AI113)/(INDEX('小红书-订单明细'!W:W,MATCH(R113&amp;AC113,'小红书-订单明细'!A:A&amp;'小红书-订单明细'!O:O,0))/(INDEX('小红书-订单明细'!T:T,MATCH(R113&amp;AC113,'小红书-订单明细'!A:A&amp;'小红书-订单明细'!O:O,0)))))&gt;15%,ROUNDUP(SUM(AF113,AH113:AI113)/(INDEX('小红书-订单明细'!W:W,MATCH(R113&amp;AC113,'小红书-订单明细'!A:A&amp;'小红书-订单明细'!O:O,0))/(INDEX('小红书-订单明细'!T:T,MATCH(R113&amp;AC113,'小红书-订单明细'!A:A&amp;'小红书-订单明细'!O:O,0)))),0),ROUNDDOWN(SUM(AF113,AH113:AI113)/(INDEX('小红书-订单明细'!W:W,MATCH(R113&amp;AC113,'小红书-订单明细'!A:A&amp;'小红书-订单明细'!O:O,0))/(INDEX('小红书-订单明细'!T:T,MATCH(R113&amp;AC113,'小红书-订单明细'!A:A&amp;'小红书-订单明细'!O:O,0)))),0)))</f>
        <v>1</v>
      </c>
      <c r="I113" s="26">
        <f t="shared" si="16"/>
        <v>169</v>
      </c>
      <c r="J113" s="26">
        <f t="shared" si="17"/>
        <v>0</v>
      </c>
      <c r="K113" s="26">
        <f t="shared" si="18"/>
        <v>0</v>
      </c>
      <c r="L113" s="26">
        <f t="shared" si="19"/>
        <v>8.45</v>
      </c>
      <c r="M113" s="26">
        <f t="shared" si="20"/>
        <v>1.01</v>
      </c>
      <c r="N113" s="26"/>
      <c r="O113" s="28">
        <f t="shared" si="21"/>
        <v>159.54</v>
      </c>
      <c r="Q113" s="1" cm="1">
        <f t="array" ref="Q113">SUM(AF113,AH113:AI113)/(INDEX('小红书-订单明细'!W:W,MATCH(R113&amp;AC113,'小红书-订单明细'!A:A&amp;'小红书-订单明细'!O:O,0))/(INDEX('小红书-订单明细'!T:T,MATCH(R113&amp;AC113,'小红书-订单明细'!A:A&amp;'小红书-订单明细'!O:O,0))))</f>
        <v>1</v>
      </c>
      <c r="R113" s="37" t="s">
        <v>1483</v>
      </c>
      <c r="S113" s="35"/>
      <c r="T113" s="35" t="s">
        <v>1977</v>
      </c>
      <c r="U113" s="35" t="s">
        <v>1499</v>
      </c>
      <c r="V113" s="35" t="s">
        <v>1978</v>
      </c>
      <c r="W113" s="38" t="s">
        <v>1755</v>
      </c>
      <c r="X113" s="38" t="s">
        <v>1749</v>
      </c>
      <c r="Y113" s="35">
        <v>159.54</v>
      </c>
      <c r="Z113" s="31" t="s">
        <v>1979</v>
      </c>
      <c r="AA113" s="38" t="s">
        <v>1761</v>
      </c>
      <c r="AB113" s="35" t="s">
        <v>1490</v>
      </c>
      <c r="AC113" s="37" t="s">
        <v>1491</v>
      </c>
      <c r="AD113" s="32">
        <v>1</v>
      </c>
      <c r="AE113" s="35">
        <v>169</v>
      </c>
      <c r="AF113" s="36">
        <v>169</v>
      </c>
      <c r="AG113" s="35" t="s">
        <v>75</v>
      </c>
      <c r="AH113" s="35">
        <v>0</v>
      </c>
      <c r="AI113" s="33">
        <v>0</v>
      </c>
      <c r="AJ113" s="33">
        <v>0</v>
      </c>
      <c r="AK113" s="32">
        <v>0.05</v>
      </c>
      <c r="AL113" s="32">
        <v>0</v>
      </c>
      <c r="AM113" s="33">
        <v>-8.45</v>
      </c>
      <c r="AN113" s="33">
        <v>169</v>
      </c>
      <c r="AO113" s="32">
        <v>169</v>
      </c>
      <c r="AP113" s="32">
        <v>0</v>
      </c>
      <c r="AQ113" s="34" t="s">
        <v>101</v>
      </c>
      <c r="AR113" s="32">
        <v>0</v>
      </c>
      <c r="AS113" s="32">
        <v>0.006</v>
      </c>
      <c r="AT113" s="33">
        <v>-1.01</v>
      </c>
      <c r="AU113" s="35" t="s">
        <v>148</v>
      </c>
      <c r="AV113" s="38" t="s">
        <v>1752</v>
      </c>
      <c r="AW113" s="38" t="s">
        <v>1753</v>
      </c>
      <c r="AX113" s="35"/>
      <c r="AY113" s="35"/>
      <c r="AZ113" s="33">
        <v>0</v>
      </c>
      <c r="BA113" s="32">
        <v>0</v>
      </c>
      <c r="BB113" s="32">
        <v>0</v>
      </c>
      <c r="BC113" s="32">
        <v>0</v>
      </c>
      <c r="BD113" s="32">
        <v>0</v>
      </c>
      <c r="BE113" s="35"/>
    </row>
    <row r="114" customHeight="1" spans="1:57">
      <c r="A114" s="25">
        <f t="shared" si="11"/>
        <v>2025</v>
      </c>
      <c r="B114" s="26">
        <f t="shared" si="12"/>
        <v>8</v>
      </c>
      <c r="C114" s="26" t="str">
        <f t="shared" si="13"/>
        <v>P770795097742070261</v>
      </c>
      <c r="D114" s="26">
        <f t="shared" si="14"/>
        <v>2</v>
      </c>
      <c r="E114" s="26">
        <f>COUNTIF($R$2:R114,R114)</f>
        <v>1</v>
      </c>
      <c r="F114" s="27" t="str" cm="1">
        <f t="array" ref="F114">INDEX('小红书-订单明细'!BQ:BQ,MATCH(R114&amp;AC114,'小红书-订单明细'!A:A&amp;'小红书-订单明细'!O:O,0))</f>
        <v>Z2363-灰色-S</v>
      </c>
      <c r="G114" s="27" t="str">
        <f t="shared" si="15"/>
        <v>Z2363</v>
      </c>
      <c r="H114" s="26" cm="1">
        <f t="array" ref="H114">IF(ABS(BG114)&gt;=1,SUM(AF114,AH114:AI114)/(INDEX('小红书-订单明细'!W:W,MATCH(R114&amp;AC114,'小红书-订单明细'!A:A&amp;'小红书-订单明细'!O:O,0))/(INDEX('小红书-订单明细'!T:T,MATCH(R114&amp;AC114,'小红书-订单明细'!A:A&amp;'小红书-订单明细'!O:O,0)))),IF(ABS(SUM(AF114,AH114:AI114)/(INDEX('小红书-订单明细'!W:W,MATCH(R114&amp;AC114,'小红书-订单明细'!A:A&amp;'小红书-订单明细'!O:O,0))/(INDEX('小红书-订单明细'!T:T,MATCH(R114&amp;AC114,'小红书-订单明细'!A:A&amp;'小红书-订单明细'!O:O,0)))))&gt;15%,ROUNDUP(SUM(AF114,AH114:AI114)/(INDEX('小红书-订单明细'!W:W,MATCH(R114&amp;AC114,'小红书-订单明细'!A:A&amp;'小红书-订单明细'!O:O,0))/(INDEX('小红书-订单明细'!T:T,MATCH(R114&amp;AC114,'小红书-订单明细'!A:A&amp;'小红书-订单明细'!O:O,0)))),0),ROUNDDOWN(SUM(AF114,AH114:AI114)/(INDEX('小红书-订单明细'!W:W,MATCH(R114&amp;AC114,'小红书-订单明细'!A:A&amp;'小红书-订单明细'!O:O,0))/(INDEX('小红书-订单明细'!T:T,MATCH(R114&amp;AC114,'小红书-订单明细'!A:A&amp;'小红书-订单明细'!O:O,0)))),0)))</f>
        <v>-1</v>
      </c>
      <c r="I114" s="26">
        <f t="shared" si="16"/>
        <v>-359</v>
      </c>
      <c r="J114" s="26">
        <f t="shared" si="17"/>
        <v>0</v>
      </c>
      <c r="K114" s="26">
        <f t="shared" si="18"/>
        <v>0</v>
      </c>
      <c r="L114" s="26">
        <f t="shared" si="19"/>
        <v>-17.95</v>
      </c>
      <c r="M114" s="26">
        <f t="shared" si="20"/>
        <v>-2.15</v>
      </c>
      <c r="N114" s="26"/>
      <c r="O114" s="28">
        <f t="shared" si="21"/>
        <v>-338.9</v>
      </c>
      <c r="Q114" s="1" cm="1">
        <f t="array" ref="Q114">SUM(AF114,AH114:AI114)/(INDEX('小红书-订单明细'!W:W,MATCH(R114&amp;AC114,'小红书-订单明细'!A:A&amp;'小红书-订单明细'!O:O,0))/(INDEX('小红书-订单明细'!T:T,MATCH(R114&amp;AC114,'小红书-订单明细'!A:A&amp;'小红书-订单明细'!O:O,0))))</f>
        <v>-1</v>
      </c>
      <c r="R114" s="37" t="s">
        <v>1083</v>
      </c>
      <c r="S114" s="35" t="s">
        <v>1980</v>
      </c>
      <c r="T114" s="35" t="s">
        <v>1078</v>
      </c>
      <c r="U114" s="35" t="s">
        <v>1981</v>
      </c>
      <c r="V114" s="35" t="s">
        <v>1982</v>
      </c>
      <c r="W114" s="38" t="s">
        <v>1748</v>
      </c>
      <c r="X114" s="38" t="s">
        <v>1749</v>
      </c>
      <c r="Y114" s="35">
        <v>-338.9</v>
      </c>
      <c r="Z114" s="31" t="s">
        <v>1948</v>
      </c>
      <c r="AA114" s="38" t="s">
        <v>1758</v>
      </c>
      <c r="AB114" s="35" t="s">
        <v>1092</v>
      </c>
      <c r="AC114" s="37" t="s">
        <v>1093</v>
      </c>
      <c r="AD114" s="32">
        <v>0</v>
      </c>
      <c r="AE114" s="35">
        <v>-359</v>
      </c>
      <c r="AF114" s="37">
        <v>-359</v>
      </c>
      <c r="AG114" s="35">
        <v>0</v>
      </c>
      <c r="AH114" s="35">
        <v>0</v>
      </c>
      <c r="AI114" s="33">
        <v>0</v>
      </c>
      <c r="AJ114" s="33">
        <v>0</v>
      </c>
      <c r="AK114" s="32">
        <v>0</v>
      </c>
      <c r="AL114" s="32">
        <v>0</v>
      </c>
      <c r="AM114" s="33">
        <v>17.95</v>
      </c>
      <c r="AN114" s="33">
        <v>0</v>
      </c>
      <c r="AO114" s="32">
        <v>0</v>
      </c>
      <c r="AP114" s="32">
        <v>0</v>
      </c>
      <c r="AQ114" s="34" t="s">
        <v>101</v>
      </c>
      <c r="AR114" s="32">
        <v>0</v>
      </c>
      <c r="AS114" s="32">
        <v>0</v>
      </c>
      <c r="AT114" s="33">
        <v>2.15</v>
      </c>
      <c r="AU114" s="35" t="s">
        <v>148</v>
      </c>
      <c r="AV114" s="38" t="s">
        <v>1752</v>
      </c>
      <c r="AW114" s="38" t="s">
        <v>1753</v>
      </c>
      <c r="AX114" s="35"/>
      <c r="AY114" s="35"/>
      <c r="AZ114" s="33">
        <v>0</v>
      </c>
      <c r="BA114" s="32">
        <v>0</v>
      </c>
      <c r="BB114" s="32">
        <v>0</v>
      </c>
      <c r="BC114" s="32">
        <v>0</v>
      </c>
      <c r="BD114" s="32">
        <v>0</v>
      </c>
      <c r="BE114" s="35"/>
    </row>
    <row r="115" customHeight="1" spans="1:57">
      <c r="A115" s="25">
        <f t="shared" si="11"/>
        <v>2025</v>
      </c>
      <c r="B115" s="26">
        <f t="shared" si="12"/>
        <v>8</v>
      </c>
      <c r="C115" s="26" t="str">
        <f t="shared" si="13"/>
        <v>P770795097742070261</v>
      </c>
      <c r="D115" s="26">
        <f t="shared" si="14"/>
        <v>2</v>
      </c>
      <c r="E115" s="26">
        <f>COUNTIF($R$2:R115,R115)</f>
        <v>2</v>
      </c>
      <c r="F115" s="27" t="str" cm="1">
        <f t="array" ref="F115">INDEX('小红书-订单明细'!BQ:BQ,MATCH(R115&amp;AC115,'小红书-订单明细'!A:A&amp;'小红书-订单明细'!O:O,0))</f>
        <v>Z2363-灰色-S</v>
      </c>
      <c r="G115" s="27" t="str">
        <f t="shared" si="15"/>
        <v>Z2363</v>
      </c>
      <c r="H115" s="26" cm="1">
        <f t="array" ref="H115">IF(ABS(BG115)&gt;=1,SUM(AF115,AH115:AI115)/(INDEX('小红书-订单明细'!W:W,MATCH(R115&amp;AC115,'小红书-订单明细'!A:A&amp;'小红书-订单明细'!O:O,0))/(INDEX('小红书-订单明细'!T:T,MATCH(R115&amp;AC115,'小红书-订单明细'!A:A&amp;'小红书-订单明细'!O:O,0)))),IF(ABS(SUM(AF115,AH115:AI115)/(INDEX('小红书-订单明细'!W:W,MATCH(R115&amp;AC115,'小红书-订单明细'!A:A&amp;'小红书-订单明细'!O:O,0))/(INDEX('小红书-订单明细'!T:T,MATCH(R115&amp;AC115,'小红书-订单明细'!A:A&amp;'小红书-订单明细'!O:O,0)))))&gt;15%,ROUNDUP(SUM(AF115,AH115:AI115)/(INDEX('小红书-订单明细'!W:W,MATCH(R115&amp;AC115,'小红书-订单明细'!A:A&amp;'小红书-订单明细'!O:O,0))/(INDEX('小红书-订单明细'!T:T,MATCH(R115&amp;AC115,'小红书-订单明细'!A:A&amp;'小红书-订单明细'!O:O,0)))),0),ROUNDDOWN(SUM(AF115,AH115:AI115)/(INDEX('小红书-订单明细'!W:W,MATCH(R115&amp;AC115,'小红书-订单明细'!A:A&amp;'小红书-订单明细'!O:O,0))/(INDEX('小红书-订单明细'!T:T,MATCH(R115&amp;AC115,'小红书-订单明细'!A:A&amp;'小红书-订单明细'!O:O,0)))),0)))</f>
        <v>1</v>
      </c>
      <c r="I115" s="26">
        <f t="shared" si="16"/>
        <v>359</v>
      </c>
      <c r="J115" s="26">
        <f t="shared" si="17"/>
        <v>0</v>
      </c>
      <c r="K115" s="26">
        <f t="shared" si="18"/>
        <v>0</v>
      </c>
      <c r="L115" s="26">
        <f t="shared" si="19"/>
        <v>17.95</v>
      </c>
      <c r="M115" s="26">
        <f t="shared" si="20"/>
        <v>2.15</v>
      </c>
      <c r="N115" s="26"/>
      <c r="O115" s="28">
        <f t="shared" si="21"/>
        <v>338.9</v>
      </c>
      <c r="Q115" s="1" cm="1">
        <f t="array" ref="Q115">SUM(AF115,AH115:AI115)/(INDEX('小红书-订单明细'!W:W,MATCH(R115&amp;AC115,'小红书-订单明细'!A:A&amp;'小红书-订单明细'!O:O,0))/(INDEX('小红书-订单明细'!T:T,MATCH(R115&amp;AC115,'小红书-订单明细'!A:A&amp;'小红书-订单明细'!O:O,0))))</f>
        <v>1</v>
      </c>
      <c r="R115" s="37" t="s">
        <v>1083</v>
      </c>
      <c r="S115" s="35"/>
      <c r="T115" s="35" t="s">
        <v>1078</v>
      </c>
      <c r="U115" s="35" t="s">
        <v>1983</v>
      </c>
      <c r="V115" s="35" t="s">
        <v>1982</v>
      </c>
      <c r="W115" s="38" t="s">
        <v>1755</v>
      </c>
      <c r="X115" s="38" t="s">
        <v>1749</v>
      </c>
      <c r="Y115" s="35">
        <v>338.9</v>
      </c>
      <c r="Z115" s="31" t="s">
        <v>1948</v>
      </c>
      <c r="AA115" s="38" t="s">
        <v>1758</v>
      </c>
      <c r="AB115" s="35" t="s">
        <v>1092</v>
      </c>
      <c r="AC115" s="37" t="s">
        <v>1093</v>
      </c>
      <c r="AD115" s="32">
        <v>1</v>
      </c>
      <c r="AE115" s="35">
        <v>359</v>
      </c>
      <c r="AF115" s="36">
        <v>359</v>
      </c>
      <c r="AG115" s="35" t="s">
        <v>75</v>
      </c>
      <c r="AH115" s="35">
        <v>0</v>
      </c>
      <c r="AI115" s="33">
        <v>0</v>
      </c>
      <c r="AJ115" s="33">
        <v>0</v>
      </c>
      <c r="AK115" s="32">
        <v>0.05</v>
      </c>
      <c r="AL115" s="32">
        <v>0</v>
      </c>
      <c r="AM115" s="33">
        <v>-17.95</v>
      </c>
      <c r="AN115" s="33">
        <v>359</v>
      </c>
      <c r="AO115" s="32">
        <v>359</v>
      </c>
      <c r="AP115" s="32">
        <v>0</v>
      </c>
      <c r="AQ115" s="34" t="s">
        <v>101</v>
      </c>
      <c r="AR115" s="32">
        <v>0</v>
      </c>
      <c r="AS115" s="32">
        <v>0.006</v>
      </c>
      <c r="AT115" s="33">
        <v>-2.15</v>
      </c>
      <c r="AU115" s="35" t="s">
        <v>148</v>
      </c>
      <c r="AV115" s="38" t="s">
        <v>1752</v>
      </c>
      <c r="AW115" s="38" t="s">
        <v>1753</v>
      </c>
      <c r="AX115" s="35"/>
      <c r="AY115" s="35"/>
      <c r="AZ115" s="33">
        <v>0</v>
      </c>
      <c r="BA115" s="32">
        <v>0</v>
      </c>
      <c r="BB115" s="32">
        <v>0</v>
      </c>
      <c r="BC115" s="32">
        <v>0</v>
      </c>
      <c r="BD115" s="32">
        <v>0</v>
      </c>
      <c r="BE115" s="35"/>
    </row>
    <row r="116" customHeight="1" spans="1:57">
      <c r="A116" s="25">
        <f t="shared" si="11"/>
        <v>2025</v>
      </c>
      <c r="B116" s="26">
        <f t="shared" si="12"/>
        <v>8</v>
      </c>
      <c r="C116" s="26" t="str">
        <f t="shared" si="13"/>
        <v>P770645825682316701</v>
      </c>
      <c r="D116" s="26">
        <f t="shared" si="14"/>
        <v>1</v>
      </c>
      <c r="E116" s="26">
        <f>COUNTIF($R$2:R116,R116)</f>
        <v>1</v>
      </c>
      <c r="F116" s="27" t="str" cm="1">
        <f t="array" ref="F116">INDEX('小红书-订单明细'!BQ:BQ,MATCH(R116&amp;AC116,'小红书-订单明细'!A:A&amp;'小红书-订单明细'!O:O,0))</f>
        <v>Z1576-黑色-M</v>
      </c>
      <c r="G116" s="27" t="str">
        <f t="shared" si="15"/>
        <v>Z1576</v>
      </c>
      <c r="H116" s="26" cm="1">
        <f t="array" ref="H116">IF(ABS(BG116)&gt;=1,SUM(AF116,AH116:AI116)/(INDEX('小红书-订单明细'!W:W,MATCH(R116&amp;AC116,'小红书-订单明细'!A:A&amp;'小红书-订单明细'!O:O,0))/(INDEX('小红书-订单明细'!T:T,MATCH(R116&amp;AC116,'小红书-订单明细'!A:A&amp;'小红书-订单明细'!O:O,0)))),IF(ABS(SUM(AF116,AH116:AI116)/(INDEX('小红书-订单明细'!W:W,MATCH(R116&amp;AC116,'小红书-订单明细'!A:A&amp;'小红书-订单明细'!O:O,0))/(INDEX('小红书-订单明细'!T:T,MATCH(R116&amp;AC116,'小红书-订单明细'!A:A&amp;'小红书-订单明细'!O:O,0)))))&gt;15%,ROUNDUP(SUM(AF116,AH116:AI116)/(INDEX('小红书-订单明细'!W:W,MATCH(R116&amp;AC116,'小红书-订单明细'!A:A&amp;'小红书-订单明细'!O:O,0))/(INDEX('小红书-订单明细'!T:T,MATCH(R116&amp;AC116,'小红书-订单明细'!A:A&amp;'小红书-订单明细'!O:O,0)))),0),ROUNDDOWN(SUM(AF116,AH116:AI116)/(INDEX('小红书-订单明细'!W:W,MATCH(R116&amp;AC116,'小红书-订单明细'!A:A&amp;'小红书-订单明细'!O:O,0))/(INDEX('小红书-订单明细'!T:T,MATCH(R116&amp;AC116,'小红书-订单明细'!A:A&amp;'小红书-订单明细'!O:O,0)))),0)))</f>
        <v>1</v>
      </c>
      <c r="I116" s="26">
        <f t="shared" si="16"/>
        <v>199</v>
      </c>
      <c r="J116" s="26">
        <f t="shared" si="17"/>
        <v>0</v>
      </c>
      <c r="K116" s="26">
        <f t="shared" si="18"/>
        <v>0</v>
      </c>
      <c r="L116" s="26">
        <f t="shared" si="19"/>
        <v>9.95</v>
      </c>
      <c r="M116" s="26">
        <f t="shared" si="20"/>
        <v>1.19</v>
      </c>
      <c r="N116" s="26"/>
      <c r="O116" s="28">
        <f t="shared" si="21"/>
        <v>187.86</v>
      </c>
      <c r="Q116" s="1" cm="1">
        <f t="array" ref="Q116">SUM(AF116,AH116:AI116)/(INDEX('小红书-订单明细'!W:W,MATCH(R116&amp;AC116,'小红书-订单明细'!A:A&amp;'小红书-订单明细'!O:O,0))/(INDEX('小红书-订单明细'!T:T,MATCH(R116&amp;AC116,'小红书-订单明细'!A:A&amp;'小红书-订单明细'!O:O,0))))</f>
        <v>1</v>
      </c>
      <c r="R116" s="37" t="s">
        <v>1420</v>
      </c>
      <c r="S116" s="35"/>
      <c r="T116" s="35" t="s">
        <v>1427</v>
      </c>
      <c r="U116" s="35" t="s">
        <v>1429</v>
      </c>
      <c r="V116" s="35" t="s">
        <v>1984</v>
      </c>
      <c r="W116" s="38" t="s">
        <v>1755</v>
      </c>
      <c r="X116" s="38" t="s">
        <v>1749</v>
      </c>
      <c r="Y116" s="35">
        <v>187.86</v>
      </c>
      <c r="Z116" s="31" t="s">
        <v>1781</v>
      </c>
      <c r="AA116" s="38" t="s">
        <v>1751</v>
      </c>
      <c r="AB116" s="35" t="s">
        <v>386</v>
      </c>
      <c r="AC116" s="37" t="s">
        <v>387</v>
      </c>
      <c r="AD116" s="32">
        <v>1</v>
      </c>
      <c r="AE116" s="35">
        <v>199</v>
      </c>
      <c r="AF116" s="36">
        <v>199</v>
      </c>
      <c r="AG116" s="35" t="s">
        <v>75</v>
      </c>
      <c r="AH116" s="35">
        <v>0</v>
      </c>
      <c r="AI116" s="33">
        <v>0</v>
      </c>
      <c r="AJ116" s="33">
        <v>0</v>
      </c>
      <c r="AK116" s="32">
        <v>0.05</v>
      </c>
      <c r="AL116" s="32">
        <v>0</v>
      </c>
      <c r="AM116" s="33">
        <v>-9.95</v>
      </c>
      <c r="AN116" s="33">
        <v>199</v>
      </c>
      <c r="AO116" s="32">
        <v>199</v>
      </c>
      <c r="AP116" s="32">
        <v>0</v>
      </c>
      <c r="AQ116" s="34" t="s">
        <v>101</v>
      </c>
      <c r="AR116" s="32">
        <v>0</v>
      </c>
      <c r="AS116" s="32">
        <v>0.006</v>
      </c>
      <c r="AT116" s="33">
        <v>-1.19</v>
      </c>
      <c r="AU116" s="35" t="s">
        <v>148</v>
      </c>
      <c r="AV116" s="38" t="s">
        <v>1752</v>
      </c>
      <c r="AW116" s="38" t="s">
        <v>1753</v>
      </c>
      <c r="AX116" s="35"/>
      <c r="AY116" s="35"/>
      <c r="AZ116" s="33">
        <v>0</v>
      </c>
      <c r="BA116" s="32">
        <v>0</v>
      </c>
      <c r="BB116" s="32">
        <v>0</v>
      </c>
      <c r="BC116" s="32">
        <v>0</v>
      </c>
      <c r="BD116" s="32">
        <v>0</v>
      </c>
      <c r="BE116" s="35"/>
    </row>
    <row r="117" customHeight="1" spans="1:57">
      <c r="A117" s="25">
        <f t="shared" si="11"/>
        <v>2025</v>
      </c>
      <c r="B117" s="26">
        <f t="shared" si="12"/>
        <v>8</v>
      </c>
      <c r="C117" s="26" t="str">
        <f t="shared" si="13"/>
        <v>P770367158896295821</v>
      </c>
      <c r="D117" s="26">
        <f t="shared" si="14"/>
        <v>1</v>
      </c>
      <c r="E117" s="26">
        <f>COUNTIF($R$2:R117,R117)</f>
        <v>1</v>
      </c>
      <c r="F117" s="27" t="str" cm="1">
        <f t="array" ref="F117">INDEX('小红书-订单明细'!BQ:BQ,MATCH(R117&amp;AC117,'小红书-订单明细'!A:A&amp;'小红书-订单明细'!O:O,0))</f>
        <v>Z2333-米白色-S</v>
      </c>
      <c r="G117" s="27" t="str">
        <f t="shared" si="15"/>
        <v>Z2333</v>
      </c>
      <c r="H117" s="26" cm="1">
        <f t="array" ref="H117">IF(ABS(BG117)&gt;=1,SUM(AF117,AH117:AI117)/(INDEX('小红书-订单明细'!W:W,MATCH(R117&amp;AC117,'小红书-订单明细'!A:A&amp;'小红书-订单明细'!O:O,0))/(INDEX('小红书-订单明细'!T:T,MATCH(R117&amp;AC117,'小红书-订单明细'!A:A&amp;'小红书-订单明细'!O:O,0)))),IF(ABS(SUM(AF117,AH117:AI117)/(INDEX('小红书-订单明细'!W:W,MATCH(R117&amp;AC117,'小红书-订单明细'!A:A&amp;'小红书-订单明细'!O:O,0))/(INDEX('小红书-订单明细'!T:T,MATCH(R117&amp;AC117,'小红书-订单明细'!A:A&amp;'小红书-订单明细'!O:O,0)))))&gt;15%,ROUNDUP(SUM(AF117,AH117:AI117)/(INDEX('小红书-订单明细'!W:W,MATCH(R117&amp;AC117,'小红书-订单明细'!A:A&amp;'小红书-订单明细'!O:O,0))/(INDEX('小红书-订单明细'!T:T,MATCH(R117&amp;AC117,'小红书-订单明细'!A:A&amp;'小红书-订单明细'!O:O,0)))),0),ROUNDDOWN(SUM(AF117,AH117:AI117)/(INDEX('小红书-订单明细'!W:W,MATCH(R117&amp;AC117,'小红书-订单明细'!A:A&amp;'小红书-订单明细'!O:O,0))/(INDEX('小红书-订单明细'!T:T,MATCH(R117&amp;AC117,'小红书-订单明细'!A:A&amp;'小红书-订单明细'!O:O,0)))),0)))</f>
        <v>1</v>
      </c>
      <c r="I117" s="26">
        <f t="shared" si="16"/>
        <v>159</v>
      </c>
      <c r="J117" s="26">
        <f t="shared" si="17"/>
        <v>10</v>
      </c>
      <c r="K117" s="26">
        <f t="shared" si="18"/>
        <v>0</v>
      </c>
      <c r="L117" s="26">
        <f t="shared" si="19"/>
        <v>8.45</v>
      </c>
      <c r="M117" s="26">
        <f t="shared" si="20"/>
        <v>1.01</v>
      </c>
      <c r="N117" s="26"/>
      <c r="O117" s="28">
        <f t="shared" si="21"/>
        <v>159.54</v>
      </c>
      <c r="Q117" s="1" cm="1">
        <f t="array" ref="Q117">SUM(AF117,AH117:AI117)/(INDEX('小红书-订单明细'!W:W,MATCH(R117&amp;AC117,'小红书-订单明细'!A:A&amp;'小红书-订单明细'!O:O,0))/(INDEX('小红书-订单明细'!T:T,MATCH(R117&amp;AC117,'小红书-订单明细'!A:A&amp;'小红书-订单明细'!O:O,0))))</f>
        <v>1</v>
      </c>
      <c r="R117" s="37" t="s">
        <v>1646</v>
      </c>
      <c r="S117" s="35"/>
      <c r="T117" s="35" t="s">
        <v>1985</v>
      </c>
      <c r="U117" s="35" t="s">
        <v>1986</v>
      </c>
      <c r="V117" s="35" t="s">
        <v>1987</v>
      </c>
      <c r="W117" s="38" t="s">
        <v>1755</v>
      </c>
      <c r="X117" s="38" t="s">
        <v>1749</v>
      </c>
      <c r="Y117" s="35">
        <v>159.54</v>
      </c>
      <c r="Z117" s="31" t="s">
        <v>1988</v>
      </c>
      <c r="AA117" s="38" t="s">
        <v>1761</v>
      </c>
      <c r="AB117" s="35" t="s">
        <v>1574</v>
      </c>
      <c r="AC117" s="37" t="s">
        <v>1575</v>
      </c>
      <c r="AD117" s="32">
        <v>1</v>
      </c>
      <c r="AE117" s="35">
        <v>169</v>
      </c>
      <c r="AF117" s="36">
        <v>159</v>
      </c>
      <c r="AG117" s="38" t="s">
        <v>1989</v>
      </c>
      <c r="AH117" s="35">
        <v>0</v>
      </c>
      <c r="AI117" s="33">
        <v>10</v>
      </c>
      <c r="AJ117" s="33">
        <v>0</v>
      </c>
      <c r="AK117" s="32">
        <v>0.05</v>
      </c>
      <c r="AL117" s="32">
        <v>0</v>
      </c>
      <c r="AM117" s="33">
        <v>-8.45</v>
      </c>
      <c r="AN117" s="33">
        <v>169</v>
      </c>
      <c r="AO117" s="32">
        <v>169</v>
      </c>
      <c r="AP117" s="32">
        <v>0</v>
      </c>
      <c r="AQ117" s="34" t="s">
        <v>101</v>
      </c>
      <c r="AR117" s="32">
        <v>0</v>
      </c>
      <c r="AS117" s="32">
        <v>0.006</v>
      </c>
      <c r="AT117" s="33">
        <v>-1.01</v>
      </c>
      <c r="AU117" s="35" t="s">
        <v>148</v>
      </c>
      <c r="AV117" s="38" t="s">
        <v>1752</v>
      </c>
      <c r="AW117" s="38" t="s">
        <v>1753</v>
      </c>
      <c r="AX117" s="35"/>
      <c r="AY117" s="35"/>
      <c r="AZ117" s="33">
        <v>0</v>
      </c>
      <c r="BA117" s="32">
        <v>0</v>
      </c>
      <c r="BB117" s="32">
        <v>0</v>
      </c>
      <c r="BC117" s="32">
        <v>0</v>
      </c>
      <c r="BD117" s="32">
        <v>0</v>
      </c>
      <c r="BE117" s="35"/>
    </row>
    <row r="118" customHeight="1" spans="1:57">
      <c r="A118" s="25">
        <f t="shared" si="11"/>
        <v>2025</v>
      </c>
      <c r="B118" s="26">
        <f t="shared" si="12"/>
        <v>8</v>
      </c>
      <c r="C118" s="26" t="str">
        <f t="shared" si="13"/>
        <v>P770638780093456882</v>
      </c>
      <c r="D118" s="26">
        <f t="shared" si="14"/>
        <v>1</v>
      </c>
      <c r="E118" s="26">
        <f>COUNTIF($R$2:R118,R118)</f>
        <v>1</v>
      </c>
      <c r="F118" s="27" t="str" cm="1">
        <f t="array" ref="F118">INDEX('小红书-订单明细'!BQ:BQ,MATCH(R118&amp;AC118,'小红书-订单明细'!A:A&amp;'小红书-订单明细'!O:O,0))</f>
        <v>Z1581-黑色-M</v>
      </c>
      <c r="G118" s="27" t="str">
        <f t="shared" si="15"/>
        <v>Z1581</v>
      </c>
      <c r="H118" s="26" cm="1">
        <f t="array" ref="H118">IF(ABS(BG118)&gt;=1,SUM(AF118,AH118:AI118)/(INDEX('小红书-订单明细'!W:W,MATCH(R118&amp;AC118,'小红书-订单明细'!A:A&amp;'小红书-订单明细'!O:O,0))/(INDEX('小红书-订单明细'!T:T,MATCH(R118&amp;AC118,'小红书-订单明细'!A:A&amp;'小红书-订单明细'!O:O,0)))),IF(ABS(SUM(AF118,AH118:AI118)/(INDEX('小红书-订单明细'!W:W,MATCH(R118&amp;AC118,'小红书-订单明细'!A:A&amp;'小红书-订单明细'!O:O,0))/(INDEX('小红书-订单明细'!T:T,MATCH(R118&amp;AC118,'小红书-订单明细'!A:A&amp;'小红书-订单明细'!O:O,0)))))&gt;15%,ROUNDUP(SUM(AF118,AH118:AI118)/(INDEX('小红书-订单明细'!W:W,MATCH(R118&amp;AC118,'小红书-订单明细'!A:A&amp;'小红书-订单明细'!O:O,0))/(INDEX('小红书-订单明细'!T:T,MATCH(R118&amp;AC118,'小红书-订单明细'!A:A&amp;'小红书-订单明细'!O:O,0)))),0),ROUNDDOWN(SUM(AF118,AH118:AI118)/(INDEX('小红书-订单明细'!W:W,MATCH(R118&amp;AC118,'小红书-订单明细'!A:A&amp;'小红书-订单明细'!O:O,0))/(INDEX('小红书-订单明细'!T:T,MATCH(R118&amp;AC118,'小红书-订单明细'!A:A&amp;'小红书-订单明细'!O:O,0)))),0)))</f>
        <v>1</v>
      </c>
      <c r="I118" s="26">
        <f t="shared" si="16"/>
        <v>289</v>
      </c>
      <c r="J118" s="26">
        <f t="shared" si="17"/>
        <v>0</v>
      </c>
      <c r="K118" s="26">
        <f t="shared" si="18"/>
        <v>0</v>
      </c>
      <c r="L118" s="26">
        <f t="shared" si="19"/>
        <v>14.45</v>
      </c>
      <c r="M118" s="26">
        <f t="shared" si="20"/>
        <v>1.73</v>
      </c>
      <c r="N118" s="26"/>
      <c r="O118" s="28">
        <f t="shared" si="21"/>
        <v>272.82</v>
      </c>
      <c r="Q118" s="1" cm="1">
        <f t="array" ref="Q118">SUM(AF118,AH118:AI118)/(INDEX('小红书-订单明细'!W:W,MATCH(R118&amp;AC118,'小红书-订单明细'!A:A&amp;'小红书-订单明细'!O:O,0))/(INDEX('小红书-订单明细'!T:T,MATCH(R118&amp;AC118,'小红书-订单明细'!A:A&amp;'小红书-订单明细'!O:O,0))))</f>
        <v>1</v>
      </c>
      <c r="R118" s="37" t="s">
        <v>1445</v>
      </c>
      <c r="S118" s="35"/>
      <c r="T118" s="35" t="s">
        <v>1454</v>
      </c>
      <c r="U118" s="35" t="s">
        <v>1457</v>
      </c>
      <c r="V118" s="35" t="s">
        <v>1990</v>
      </c>
      <c r="W118" s="38" t="s">
        <v>1755</v>
      </c>
      <c r="X118" s="38" t="s">
        <v>1749</v>
      </c>
      <c r="Y118" s="35">
        <v>272.82</v>
      </c>
      <c r="Z118" s="31" t="s">
        <v>1991</v>
      </c>
      <c r="AA118" s="38" t="s">
        <v>1764</v>
      </c>
      <c r="AB118" s="35" t="s">
        <v>1449</v>
      </c>
      <c r="AC118" s="37" t="s">
        <v>1450</v>
      </c>
      <c r="AD118" s="32">
        <v>1</v>
      </c>
      <c r="AE118" s="35">
        <v>289</v>
      </c>
      <c r="AF118" s="36">
        <v>289</v>
      </c>
      <c r="AG118" s="35" t="s">
        <v>75</v>
      </c>
      <c r="AH118" s="35">
        <v>0</v>
      </c>
      <c r="AI118" s="33">
        <v>0</v>
      </c>
      <c r="AJ118" s="33">
        <v>0</v>
      </c>
      <c r="AK118" s="32">
        <v>0.05</v>
      </c>
      <c r="AL118" s="32">
        <v>0</v>
      </c>
      <c r="AM118" s="33">
        <v>-14.45</v>
      </c>
      <c r="AN118" s="33">
        <v>289</v>
      </c>
      <c r="AO118" s="32">
        <v>289</v>
      </c>
      <c r="AP118" s="32">
        <v>0</v>
      </c>
      <c r="AQ118" s="34" t="s">
        <v>101</v>
      </c>
      <c r="AR118" s="32">
        <v>0</v>
      </c>
      <c r="AS118" s="32">
        <v>0.006</v>
      </c>
      <c r="AT118" s="33">
        <v>-1.73</v>
      </c>
      <c r="AU118" s="35" t="s">
        <v>148</v>
      </c>
      <c r="AV118" s="38" t="s">
        <v>1752</v>
      </c>
      <c r="AW118" s="38" t="s">
        <v>1753</v>
      </c>
      <c r="AX118" s="35"/>
      <c r="AY118" s="35"/>
      <c r="AZ118" s="33">
        <v>0</v>
      </c>
      <c r="BA118" s="32">
        <v>0</v>
      </c>
      <c r="BB118" s="32">
        <v>0</v>
      </c>
      <c r="BC118" s="32">
        <v>0</v>
      </c>
      <c r="BD118" s="32">
        <v>0</v>
      </c>
      <c r="BE118" s="35"/>
    </row>
    <row r="119" customHeight="1" spans="1:57">
      <c r="A119" s="25">
        <f t="shared" si="11"/>
        <v>2025</v>
      </c>
      <c r="B119" s="26">
        <f t="shared" si="12"/>
        <v>8</v>
      </c>
      <c r="C119" s="26" t="str">
        <f t="shared" si="13"/>
        <v>P771077302074017641</v>
      </c>
      <c r="D119" s="26">
        <f t="shared" si="14"/>
        <v>3</v>
      </c>
      <c r="E119" s="26">
        <f>COUNTIF($R$2:R119,R119)</f>
        <v>1</v>
      </c>
      <c r="F119" s="27" t="str" cm="1">
        <f t="array" ref="F119">INDEX('小红书-订单明细'!BQ:BQ,MATCH(R119&amp;AC119,'小红书-订单明细'!A:A&amp;'小红书-订单明细'!O:O,0))</f>
        <v>Z2183-米白色-M</v>
      </c>
      <c r="G119" s="27" t="str">
        <f t="shared" si="15"/>
        <v>Z2183</v>
      </c>
      <c r="H119" s="26" cm="1">
        <f t="array" ref="H119">IF(ABS(BG119)&gt;=1,SUM(AF119,AH119:AI119)/(INDEX('小红书-订单明细'!W:W,MATCH(R119&amp;AC119,'小红书-订单明细'!A:A&amp;'小红书-订单明细'!O:O,0))/(INDEX('小红书-订单明细'!T:T,MATCH(R119&amp;AC119,'小红书-订单明细'!A:A&amp;'小红书-订单明细'!O:O,0)))),IF(ABS(SUM(AF119,AH119:AI119)/(INDEX('小红书-订单明细'!W:W,MATCH(R119&amp;AC119,'小红书-订单明细'!A:A&amp;'小红书-订单明细'!O:O,0))/(INDEX('小红书-订单明细'!T:T,MATCH(R119&amp;AC119,'小红书-订单明细'!A:A&amp;'小红书-订单明细'!O:O,0)))))&gt;15%,ROUNDUP(SUM(AF119,AH119:AI119)/(INDEX('小红书-订单明细'!W:W,MATCH(R119&amp;AC119,'小红书-订单明细'!A:A&amp;'小红书-订单明细'!O:O,0))/(INDEX('小红书-订单明细'!T:T,MATCH(R119&amp;AC119,'小红书-订单明细'!A:A&amp;'小红书-订单明细'!O:O,0)))),0),ROUNDDOWN(SUM(AF119,AH119:AI119)/(INDEX('小红书-订单明细'!W:W,MATCH(R119&amp;AC119,'小红书-订单明细'!A:A&amp;'小红书-订单明细'!O:O,0))/(INDEX('小红书-订单明细'!T:T,MATCH(R119&amp;AC119,'小红书-订单明细'!A:A&amp;'小红书-订单明细'!O:O,0)))),0)))</f>
        <v>-1</v>
      </c>
      <c r="I119" s="26">
        <f t="shared" si="16"/>
        <v>-129</v>
      </c>
      <c r="J119" s="26">
        <f t="shared" si="17"/>
        <v>0</v>
      </c>
      <c r="K119" s="26">
        <f t="shared" si="18"/>
        <v>0</v>
      </c>
      <c r="L119" s="26">
        <f t="shared" si="19"/>
        <v>-6.45</v>
      </c>
      <c r="M119" s="26">
        <f t="shared" si="20"/>
        <v>-0.77</v>
      </c>
      <c r="N119" s="26"/>
      <c r="O119" s="28">
        <f t="shared" si="21"/>
        <v>-121.78</v>
      </c>
      <c r="Q119" s="1" cm="1">
        <f t="array" ref="Q119">SUM(AF119,AH119:AI119)/(INDEX('小红书-订单明细'!W:W,MATCH(R119&amp;AC119,'小红书-订单明细'!A:A&amp;'小红书-订单明细'!O:O,0))/(INDEX('小红书-订单明细'!T:T,MATCH(R119&amp;AC119,'小红书-订单明细'!A:A&amp;'小红书-订单明细'!O:O,0))))</f>
        <v>-1</v>
      </c>
      <c r="R119" s="37" t="s">
        <v>136</v>
      </c>
      <c r="S119" s="35" t="s">
        <v>1992</v>
      </c>
      <c r="T119" s="35" t="s">
        <v>155</v>
      </c>
      <c r="U119" s="35" t="s">
        <v>1993</v>
      </c>
      <c r="V119" s="35" t="s">
        <v>1994</v>
      </c>
      <c r="W119" s="38" t="s">
        <v>1748</v>
      </c>
      <c r="X119" s="38" t="s">
        <v>1749</v>
      </c>
      <c r="Y119" s="35">
        <v>-121.78</v>
      </c>
      <c r="Z119" s="31" t="s">
        <v>1995</v>
      </c>
      <c r="AA119" s="38" t="s">
        <v>1751</v>
      </c>
      <c r="AB119" s="35" t="s">
        <v>166</v>
      </c>
      <c r="AC119" s="37" t="s">
        <v>167</v>
      </c>
      <c r="AD119" s="32">
        <v>0</v>
      </c>
      <c r="AE119" s="35">
        <v>-129</v>
      </c>
      <c r="AF119" s="37">
        <v>-129</v>
      </c>
      <c r="AG119" s="35">
        <v>0</v>
      </c>
      <c r="AH119" s="35">
        <v>0</v>
      </c>
      <c r="AI119" s="33">
        <v>0</v>
      </c>
      <c r="AJ119" s="33">
        <v>0</v>
      </c>
      <c r="AK119" s="32">
        <v>0</v>
      </c>
      <c r="AL119" s="32">
        <v>0</v>
      </c>
      <c r="AM119" s="33">
        <v>6.45</v>
      </c>
      <c r="AN119" s="33">
        <v>0</v>
      </c>
      <c r="AO119" s="32">
        <v>0</v>
      </c>
      <c r="AP119" s="32">
        <v>0</v>
      </c>
      <c r="AQ119" s="34" t="s">
        <v>101</v>
      </c>
      <c r="AR119" s="32">
        <v>0</v>
      </c>
      <c r="AS119" s="32">
        <v>0</v>
      </c>
      <c r="AT119" s="33">
        <v>0.77</v>
      </c>
      <c r="AU119" s="35" t="s">
        <v>148</v>
      </c>
      <c r="AV119" s="38" t="s">
        <v>1752</v>
      </c>
      <c r="AW119" s="38" t="s">
        <v>1753</v>
      </c>
      <c r="AX119" s="35"/>
      <c r="AY119" s="35"/>
      <c r="AZ119" s="33">
        <v>0</v>
      </c>
      <c r="BA119" s="32">
        <v>0</v>
      </c>
      <c r="BB119" s="32">
        <v>0</v>
      </c>
      <c r="BC119" s="32">
        <v>0</v>
      </c>
      <c r="BD119" s="32">
        <v>0</v>
      </c>
      <c r="BE119" s="35"/>
    </row>
    <row r="120" customHeight="1" spans="1:57">
      <c r="A120" s="25">
        <f t="shared" si="11"/>
        <v>2025</v>
      </c>
      <c r="B120" s="26">
        <f t="shared" si="12"/>
        <v>8</v>
      </c>
      <c r="C120" s="26" t="str">
        <f t="shared" si="13"/>
        <v>P771077302074017641</v>
      </c>
      <c r="D120" s="26">
        <f t="shared" si="14"/>
        <v>3</v>
      </c>
      <c r="E120" s="26">
        <f>COUNTIF($R$2:R120,R120)</f>
        <v>2</v>
      </c>
      <c r="F120" s="27" t="str" cm="1">
        <f t="array" ref="F120">INDEX('小红书-订单明细'!BQ:BQ,MATCH(R120&amp;AC120,'小红书-订单明细'!A:A&amp;'小红书-订单明细'!O:O,0))</f>
        <v>Z2183-黑色-M</v>
      </c>
      <c r="G120" s="27" t="str">
        <f t="shared" si="15"/>
        <v>Z2183</v>
      </c>
      <c r="H120" s="26" cm="1">
        <f t="array" ref="H120">IF(ABS(BG120)&gt;=1,SUM(AF120,AH120:AI120)/(INDEX('小红书-订单明细'!W:W,MATCH(R120&amp;AC120,'小红书-订单明细'!A:A&amp;'小红书-订单明细'!O:O,0))/(INDEX('小红书-订单明细'!T:T,MATCH(R120&amp;AC120,'小红书-订单明细'!A:A&amp;'小红书-订单明细'!O:O,0)))),IF(ABS(SUM(AF120,AH120:AI120)/(INDEX('小红书-订单明细'!W:W,MATCH(R120&amp;AC120,'小红书-订单明细'!A:A&amp;'小红书-订单明细'!O:O,0))/(INDEX('小红书-订单明细'!T:T,MATCH(R120&amp;AC120,'小红书-订单明细'!A:A&amp;'小红书-订单明细'!O:O,0)))))&gt;15%,ROUNDUP(SUM(AF120,AH120:AI120)/(INDEX('小红书-订单明细'!W:W,MATCH(R120&amp;AC120,'小红书-订单明细'!A:A&amp;'小红书-订单明细'!O:O,0))/(INDEX('小红书-订单明细'!T:T,MATCH(R120&amp;AC120,'小红书-订单明细'!A:A&amp;'小红书-订单明细'!O:O,0)))),0),ROUNDDOWN(SUM(AF120,AH120:AI120)/(INDEX('小红书-订单明细'!W:W,MATCH(R120&amp;AC120,'小红书-订单明细'!A:A&amp;'小红书-订单明细'!O:O,0))/(INDEX('小红书-订单明细'!T:T,MATCH(R120&amp;AC120,'小红书-订单明细'!A:A&amp;'小红书-订单明细'!O:O,0)))),0)))</f>
        <v>1</v>
      </c>
      <c r="I120" s="26">
        <f t="shared" si="16"/>
        <v>129</v>
      </c>
      <c r="J120" s="26">
        <f t="shared" si="17"/>
        <v>0</v>
      </c>
      <c r="K120" s="26">
        <f t="shared" si="18"/>
        <v>0</v>
      </c>
      <c r="L120" s="26">
        <f t="shared" si="19"/>
        <v>6.45</v>
      </c>
      <c r="M120" s="26">
        <f t="shared" si="20"/>
        <v>0.77</v>
      </c>
      <c r="N120" s="26"/>
      <c r="O120" s="28">
        <f t="shared" si="21"/>
        <v>121.78</v>
      </c>
      <c r="Q120" s="1" cm="1">
        <f t="array" ref="Q120">SUM(AF120,AH120:AI120)/(INDEX('小红书-订单明细'!W:W,MATCH(R120&amp;AC120,'小红书-订单明细'!A:A&amp;'小红书-订单明细'!O:O,0))/(INDEX('小红书-订单明细'!T:T,MATCH(R120&amp;AC120,'小红书-订单明细'!A:A&amp;'小红书-订单明细'!O:O,0))))</f>
        <v>1</v>
      </c>
      <c r="R120" s="37" t="s">
        <v>136</v>
      </c>
      <c r="S120" s="35"/>
      <c r="T120" s="35" t="s">
        <v>155</v>
      </c>
      <c r="U120" s="35" t="s">
        <v>1996</v>
      </c>
      <c r="V120" s="35" t="s">
        <v>1994</v>
      </c>
      <c r="W120" s="38" t="s">
        <v>1755</v>
      </c>
      <c r="X120" s="38" t="s">
        <v>1749</v>
      </c>
      <c r="Y120" s="35">
        <v>243.56</v>
      </c>
      <c r="Z120" s="31" t="s">
        <v>1997</v>
      </c>
      <c r="AA120" s="38" t="s">
        <v>1751</v>
      </c>
      <c r="AB120" s="35" t="s">
        <v>146</v>
      </c>
      <c r="AC120" s="37" t="s">
        <v>147</v>
      </c>
      <c r="AD120" s="32">
        <v>1</v>
      </c>
      <c r="AE120" s="35">
        <v>129</v>
      </c>
      <c r="AF120" s="36">
        <v>129</v>
      </c>
      <c r="AG120" s="35" t="s">
        <v>75</v>
      </c>
      <c r="AH120" s="35">
        <v>0</v>
      </c>
      <c r="AI120" s="33">
        <v>0</v>
      </c>
      <c r="AJ120" s="33">
        <v>0</v>
      </c>
      <c r="AK120" s="32">
        <v>0.05</v>
      </c>
      <c r="AL120" s="32">
        <v>0</v>
      </c>
      <c r="AM120" s="33">
        <v>-6.45</v>
      </c>
      <c r="AN120" s="33">
        <v>129</v>
      </c>
      <c r="AO120" s="32">
        <v>129</v>
      </c>
      <c r="AP120" s="32">
        <v>0</v>
      </c>
      <c r="AQ120" s="34" t="s">
        <v>101</v>
      </c>
      <c r="AR120" s="32">
        <v>0</v>
      </c>
      <c r="AS120" s="32">
        <v>0.006</v>
      </c>
      <c r="AT120" s="33">
        <v>-0.77</v>
      </c>
      <c r="AU120" s="35" t="s">
        <v>148</v>
      </c>
      <c r="AV120" s="38" t="s">
        <v>1752</v>
      </c>
      <c r="AW120" s="38" t="s">
        <v>1753</v>
      </c>
      <c r="AX120" s="35"/>
      <c r="AY120" s="35"/>
      <c r="AZ120" s="33">
        <v>0</v>
      </c>
      <c r="BA120" s="32">
        <v>0</v>
      </c>
      <c r="BB120" s="32">
        <v>0</v>
      </c>
      <c r="BC120" s="32">
        <v>0</v>
      </c>
      <c r="BD120" s="32">
        <v>0</v>
      </c>
      <c r="BE120" s="35"/>
    </row>
    <row r="121" customHeight="1" spans="1:57">
      <c r="A121" s="25">
        <f t="shared" si="11"/>
        <v>2025</v>
      </c>
      <c r="B121" s="26">
        <f t="shared" si="12"/>
        <v>8</v>
      </c>
      <c r="C121" s="26" t="str">
        <f t="shared" si="13"/>
        <v>P771077302074017641</v>
      </c>
      <c r="D121" s="26">
        <f t="shared" si="14"/>
        <v>3</v>
      </c>
      <c r="E121" s="26">
        <f>COUNTIF($R$2:R121,R121)</f>
        <v>3</v>
      </c>
      <c r="F121" s="27" t="str" cm="1">
        <f t="array" ref="F121">INDEX('小红书-订单明细'!BQ:BQ,MATCH(R121&amp;AC121,'小红书-订单明细'!A:A&amp;'小红书-订单明细'!O:O,0))</f>
        <v>Z2183-米白色-M</v>
      </c>
      <c r="G121" s="27" t="str">
        <f t="shared" si="15"/>
        <v>Z2183</v>
      </c>
      <c r="H121" s="26" cm="1">
        <f t="array" ref="H121">IF(ABS(BG121)&gt;=1,SUM(AF121,AH121:AI121)/(INDEX('小红书-订单明细'!W:W,MATCH(R121&amp;AC121,'小红书-订单明细'!A:A&amp;'小红书-订单明细'!O:O,0))/(INDEX('小红书-订单明细'!T:T,MATCH(R121&amp;AC121,'小红书-订单明细'!A:A&amp;'小红书-订单明细'!O:O,0)))),IF(ABS(SUM(AF121,AH121:AI121)/(INDEX('小红书-订单明细'!W:W,MATCH(R121&amp;AC121,'小红书-订单明细'!A:A&amp;'小红书-订单明细'!O:O,0))/(INDEX('小红书-订单明细'!T:T,MATCH(R121&amp;AC121,'小红书-订单明细'!A:A&amp;'小红书-订单明细'!O:O,0)))))&gt;15%,ROUNDUP(SUM(AF121,AH121:AI121)/(INDEX('小红书-订单明细'!W:W,MATCH(R121&amp;AC121,'小红书-订单明细'!A:A&amp;'小红书-订单明细'!O:O,0))/(INDEX('小红书-订单明细'!T:T,MATCH(R121&amp;AC121,'小红书-订单明细'!A:A&amp;'小红书-订单明细'!O:O,0)))),0),ROUNDDOWN(SUM(AF121,AH121:AI121)/(INDEX('小红书-订单明细'!W:W,MATCH(R121&amp;AC121,'小红书-订单明细'!A:A&amp;'小红书-订单明细'!O:O,0))/(INDEX('小红书-订单明细'!T:T,MATCH(R121&amp;AC121,'小红书-订单明细'!A:A&amp;'小红书-订单明细'!O:O,0)))),0)))</f>
        <v>1</v>
      </c>
      <c r="I121" s="26">
        <f t="shared" si="16"/>
        <v>129</v>
      </c>
      <c r="J121" s="26">
        <f t="shared" si="17"/>
        <v>0</v>
      </c>
      <c r="K121" s="26">
        <f t="shared" si="18"/>
        <v>0</v>
      </c>
      <c r="L121" s="26">
        <f t="shared" si="19"/>
        <v>6.45</v>
      </c>
      <c r="M121" s="26">
        <f t="shared" si="20"/>
        <v>0.77</v>
      </c>
      <c r="N121" s="26"/>
      <c r="O121" s="28">
        <f t="shared" si="21"/>
        <v>121.78</v>
      </c>
      <c r="Q121" s="1" cm="1">
        <f t="array" ref="Q121">SUM(AF121,AH121:AI121)/(INDEX('小红书-订单明细'!W:W,MATCH(R121&amp;AC121,'小红书-订单明细'!A:A&amp;'小红书-订单明细'!O:O,0))/(INDEX('小红书-订单明细'!T:T,MATCH(R121&amp;AC121,'小红书-订单明细'!A:A&amp;'小红书-订单明细'!O:O,0))))</f>
        <v>1</v>
      </c>
      <c r="R121" s="37" t="s">
        <v>136</v>
      </c>
      <c r="S121" s="35"/>
      <c r="T121" s="35" t="s">
        <v>155</v>
      </c>
      <c r="U121" s="35" t="s">
        <v>1996</v>
      </c>
      <c r="V121" s="35" t="s">
        <v>1994</v>
      </c>
      <c r="W121" s="38" t="s">
        <v>1755</v>
      </c>
      <c r="X121" s="38" t="s">
        <v>1749</v>
      </c>
      <c r="Y121" s="35">
        <v>243.56</v>
      </c>
      <c r="Z121" s="31" t="s">
        <v>1995</v>
      </c>
      <c r="AA121" s="38" t="s">
        <v>1751</v>
      </c>
      <c r="AB121" s="35" t="s">
        <v>166</v>
      </c>
      <c r="AC121" s="37" t="s">
        <v>167</v>
      </c>
      <c r="AD121" s="32">
        <v>1</v>
      </c>
      <c r="AE121" s="35">
        <v>129</v>
      </c>
      <c r="AF121" s="36">
        <v>129</v>
      </c>
      <c r="AG121" s="35" t="s">
        <v>75</v>
      </c>
      <c r="AH121" s="35">
        <v>0</v>
      </c>
      <c r="AI121" s="33">
        <v>0</v>
      </c>
      <c r="AJ121" s="33">
        <v>0</v>
      </c>
      <c r="AK121" s="32">
        <v>0.05</v>
      </c>
      <c r="AL121" s="32">
        <v>0</v>
      </c>
      <c r="AM121" s="33">
        <v>-6.45</v>
      </c>
      <c r="AN121" s="33">
        <v>129</v>
      </c>
      <c r="AO121" s="32">
        <v>129</v>
      </c>
      <c r="AP121" s="32">
        <v>0</v>
      </c>
      <c r="AQ121" s="34" t="s">
        <v>101</v>
      </c>
      <c r="AR121" s="32">
        <v>0</v>
      </c>
      <c r="AS121" s="32">
        <v>0.006</v>
      </c>
      <c r="AT121" s="33">
        <v>-0.77</v>
      </c>
      <c r="AU121" s="35" t="s">
        <v>148</v>
      </c>
      <c r="AV121" s="38" t="s">
        <v>1752</v>
      </c>
      <c r="AW121" s="38" t="s">
        <v>1753</v>
      </c>
      <c r="AX121" s="35"/>
      <c r="AY121" s="35"/>
      <c r="AZ121" s="33">
        <v>0</v>
      </c>
      <c r="BA121" s="32">
        <v>0</v>
      </c>
      <c r="BB121" s="32">
        <v>0</v>
      </c>
      <c r="BC121" s="32">
        <v>0</v>
      </c>
      <c r="BD121" s="32">
        <v>0</v>
      </c>
      <c r="BE121" s="35"/>
    </row>
    <row r="122" customHeight="1" spans="1:57">
      <c r="A122" s="25">
        <f t="shared" si="11"/>
        <v>2025</v>
      </c>
      <c r="B122" s="26">
        <f t="shared" si="12"/>
        <v>8</v>
      </c>
      <c r="C122" s="26" t="str">
        <f t="shared" si="13"/>
        <v>P770807071130358401</v>
      </c>
      <c r="D122" s="26">
        <f t="shared" si="14"/>
        <v>1</v>
      </c>
      <c r="E122" s="26">
        <f>COUNTIF($R$2:R122,R122)</f>
        <v>1</v>
      </c>
      <c r="F122" s="27" t="str" cm="1">
        <f t="array" ref="F122">INDEX('小红书-订单明细'!BQ:BQ,MATCH(R122&amp;AC122,'小红书-订单明细'!A:A&amp;'小红书-订单明细'!O:O,0))</f>
        <v>Z2380-黑色</v>
      </c>
      <c r="G122" s="27" t="str">
        <f t="shared" si="15"/>
        <v>Z2380</v>
      </c>
      <c r="H122" s="26" cm="1">
        <f t="array" ref="H122">IF(ABS(BG122)&gt;=1,SUM(AF122,AH122:AI122)/(INDEX('小红书-订单明细'!W:W,MATCH(R122&amp;AC122,'小红书-订单明细'!A:A&amp;'小红书-订单明细'!O:O,0))/(INDEX('小红书-订单明细'!T:T,MATCH(R122&amp;AC122,'小红书-订单明细'!A:A&amp;'小红书-订单明细'!O:O,0)))),IF(ABS(SUM(AF122,AH122:AI122)/(INDEX('小红书-订单明细'!W:W,MATCH(R122&amp;AC122,'小红书-订单明细'!A:A&amp;'小红书-订单明细'!O:O,0))/(INDEX('小红书-订单明细'!T:T,MATCH(R122&amp;AC122,'小红书-订单明细'!A:A&amp;'小红书-订单明细'!O:O,0)))))&gt;15%,ROUNDUP(SUM(AF122,AH122:AI122)/(INDEX('小红书-订单明细'!W:W,MATCH(R122&amp;AC122,'小红书-订单明细'!A:A&amp;'小红书-订单明细'!O:O,0))/(INDEX('小红书-订单明细'!T:T,MATCH(R122&amp;AC122,'小红书-订单明细'!A:A&amp;'小红书-订单明细'!O:O,0)))),0),ROUNDDOWN(SUM(AF122,AH122:AI122)/(INDEX('小红书-订单明细'!W:W,MATCH(R122&amp;AC122,'小红书-订单明细'!A:A&amp;'小红书-订单明细'!O:O,0))/(INDEX('小红书-订单明细'!T:T,MATCH(R122&amp;AC122,'小红书-订单明细'!A:A&amp;'小红书-订单明细'!O:O,0)))),0)))</f>
        <v>1</v>
      </c>
      <c r="I122" s="26">
        <f t="shared" si="16"/>
        <v>199</v>
      </c>
      <c r="J122" s="26">
        <f t="shared" si="17"/>
        <v>0</v>
      </c>
      <c r="K122" s="26">
        <f t="shared" si="18"/>
        <v>0</v>
      </c>
      <c r="L122" s="26">
        <f t="shared" si="19"/>
        <v>9.95</v>
      </c>
      <c r="M122" s="26">
        <f t="shared" si="20"/>
        <v>1.19</v>
      </c>
      <c r="N122" s="26"/>
      <c r="O122" s="28">
        <f t="shared" si="21"/>
        <v>187.86</v>
      </c>
      <c r="Q122" s="1" cm="1">
        <f t="array" ref="Q122">SUM(AF122,AH122:AI122)/(INDEX('小红书-订单明细'!W:W,MATCH(R122&amp;AC122,'小红书-订单明细'!A:A&amp;'小红书-订单明细'!O:O,0))/(INDEX('小红书-订单明细'!T:T,MATCH(R122&amp;AC122,'小红书-订单明细'!A:A&amp;'小红书-订单明细'!O:O,0))))</f>
        <v>1</v>
      </c>
      <c r="R122" s="37" t="s">
        <v>504</v>
      </c>
      <c r="S122" s="35"/>
      <c r="T122" s="35" t="s">
        <v>519</v>
      </c>
      <c r="U122" s="35" t="s">
        <v>522</v>
      </c>
      <c r="V122" s="35" t="s">
        <v>1998</v>
      </c>
      <c r="W122" s="38" t="s">
        <v>1755</v>
      </c>
      <c r="X122" s="38" t="s">
        <v>1749</v>
      </c>
      <c r="Y122" s="35">
        <v>187.86</v>
      </c>
      <c r="Z122" s="31" t="s">
        <v>1845</v>
      </c>
      <c r="AA122" s="38" t="s">
        <v>1842</v>
      </c>
      <c r="AB122" s="35" t="s">
        <v>512</v>
      </c>
      <c r="AC122" s="37" t="s">
        <v>513</v>
      </c>
      <c r="AD122" s="32">
        <v>1</v>
      </c>
      <c r="AE122" s="35">
        <v>199</v>
      </c>
      <c r="AF122" s="36">
        <v>199</v>
      </c>
      <c r="AG122" s="35" t="s">
        <v>75</v>
      </c>
      <c r="AH122" s="35">
        <v>0</v>
      </c>
      <c r="AI122" s="33">
        <v>0</v>
      </c>
      <c r="AJ122" s="33">
        <v>0</v>
      </c>
      <c r="AK122" s="32">
        <v>0.05</v>
      </c>
      <c r="AL122" s="32">
        <v>0</v>
      </c>
      <c r="AM122" s="33">
        <v>-9.95</v>
      </c>
      <c r="AN122" s="33">
        <v>199</v>
      </c>
      <c r="AO122" s="32">
        <v>199</v>
      </c>
      <c r="AP122" s="32">
        <v>0</v>
      </c>
      <c r="AQ122" s="34" t="s">
        <v>101</v>
      </c>
      <c r="AR122" s="32">
        <v>0</v>
      </c>
      <c r="AS122" s="32">
        <v>0.006</v>
      </c>
      <c r="AT122" s="33">
        <v>-1.19</v>
      </c>
      <c r="AU122" s="35" t="s">
        <v>148</v>
      </c>
      <c r="AV122" s="38" t="s">
        <v>1752</v>
      </c>
      <c r="AW122" s="38" t="s">
        <v>1753</v>
      </c>
      <c r="AX122" s="35"/>
      <c r="AY122" s="35"/>
      <c r="AZ122" s="33">
        <v>0</v>
      </c>
      <c r="BA122" s="32">
        <v>0</v>
      </c>
      <c r="BB122" s="32">
        <v>0</v>
      </c>
      <c r="BC122" s="32">
        <v>0</v>
      </c>
      <c r="BD122" s="32">
        <v>0</v>
      </c>
      <c r="BE122" s="35"/>
    </row>
    <row r="123" customHeight="1" spans="1:57">
      <c r="A123" s="25">
        <f t="shared" si="11"/>
        <v>2025</v>
      </c>
      <c r="B123" s="26">
        <f t="shared" si="12"/>
        <v>8</v>
      </c>
      <c r="C123" s="26" t="str">
        <f t="shared" si="13"/>
        <v>P770368565398098151</v>
      </c>
      <c r="D123" s="26">
        <f t="shared" si="14"/>
        <v>1</v>
      </c>
      <c r="E123" s="26">
        <f>COUNTIF($R$2:R123,R123)</f>
        <v>1</v>
      </c>
      <c r="F123" s="27" t="str" cm="1">
        <f t="array" ref="F123">INDEX('小红书-订单明细'!BQ:BQ,MATCH(R123&amp;AC123,'小红书-订单明细'!A:A&amp;'小红书-订单明细'!O:O,0))</f>
        <v>Z1581-白色-S</v>
      </c>
      <c r="G123" s="27" t="str">
        <f t="shared" si="15"/>
        <v>Z1581</v>
      </c>
      <c r="H123" s="26" cm="1">
        <f t="array" ref="H123">IF(ABS(BG123)&gt;=1,SUM(AF123,AH123:AI123)/(INDEX('小红书-订单明细'!W:W,MATCH(R123&amp;AC123,'小红书-订单明细'!A:A&amp;'小红书-订单明细'!O:O,0))/(INDEX('小红书-订单明细'!T:T,MATCH(R123&amp;AC123,'小红书-订单明细'!A:A&amp;'小红书-订单明细'!O:O,0)))),IF(ABS(SUM(AF123,AH123:AI123)/(INDEX('小红书-订单明细'!W:W,MATCH(R123&amp;AC123,'小红书-订单明细'!A:A&amp;'小红书-订单明细'!O:O,0))/(INDEX('小红书-订单明细'!T:T,MATCH(R123&amp;AC123,'小红书-订单明细'!A:A&amp;'小红书-订单明细'!O:O,0)))))&gt;15%,ROUNDUP(SUM(AF123,AH123:AI123)/(INDEX('小红书-订单明细'!W:W,MATCH(R123&amp;AC123,'小红书-订单明细'!A:A&amp;'小红书-订单明细'!O:O,0))/(INDEX('小红书-订单明细'!T:T,MATCH(R123&amp;AC123,'小红书-订单明细'!A:A&amp;'小红书-订单明细'!O:O,0)))),0),ROUNDDOWN(SUM(AF123,AH123:AI123)/(INDEX('小红书-订单明细'!W:W,MATCH(R123&amp;AC123,'小红书-订单明细'!A:A&amp;'小红书-订单明细'!O:O,0))/(INDEX('小红书-订单明细'!T:T,MATCH(R123&amp;AC123,'小红书-订单明细'!A:A&amp;'小红书-订单明细'!O:O,0)))),0)))</f>
        <v>1</v>
      </c>
      <c r="I123" s="26">
        <f t="shared" si="16"/>
        <v>289</v>
      </c>
      <c r="J123" s="26">
        <f t="shared" si="17"/>
        <v>0</v>
      </c>
      <c r="K123" s="26">
        <f t="shared" si="18"/>
        <v>0</v>
      </c>
      <c r="L123" s="26">
        <f t="shared" si="19"/>
        <v>14.45</v>
      </c>
      <c r="M123" s="26">
        <f t="shared" si="20"/>
        <v>1.73</v>
      </c>
      <c r="N123" s="26"/>
      <c r="O123" s="28">
        <f t="shared" si="21"/>
        <v>272.82</v>
      </c>
      <c r="Q123" s="1" cm="1">
        <f t="array" ref="Q123">SUM(AF123,AH123:AI123)/(INDEX('小红书-订单明细'!W:W,MATCH(R123&amp;AC123,'小红书-订单明细'!A:A&amp;'小红书-订单明细'!O:O,0))/(INDEX('小红书-订单明细'!T:T,MATCH(R123&amp;AC123,'小红书-订单明细'!A:A&amp;'小红书-订单明细'!O:O,0))))</f>
        <v>1</v>
      </c>
      <c r="R123" s="37" t="s">
        <v>1659</v>
      </c>
      <c r="S123" s="35"/>
      <c r="T123" s="35" t="s">
        <v>1671</v>
      </c>
      <c r="U123" s="35" t="s">
        <v>1674</v>
      </c>
      <c r="V123" s="35" t="s">
        <v>1999</v>
      </c>
      <c r="W123" s="38" t="s">
        <v>1755</v>
      </c>
      <c r="X123" s="38" t="s">
        <v>1749</v>
      </c>
      <c r="Y123" s="35">
        <v>272.82</v>
      </c>
      <c r="Z123" s="31" t="s">
        <v>2000</v>
      </c>
      <c r="AA123" s="38" t="s">
        <v>1764</v>
      </c>
      <c r="AB123" s="35" t="s">
        <v>1664</v>
      </c>
      <c r="AC123" s="37" t="s">
        <v>1665</v>
      </c>
      <c r="AD123" s="32">
        <v>1</v>
      </c>
      <c r="AE123" s="35">
        <v>289</v>
      </c>
      <c r="AF123" s="36">
        <v>289</v>
      </c>
      <c r="AG123" s="35" t="s">
        <v>75</v>
      </c>
      <c r="AH123" s="35">
        <v>0</v>
      </c>
      <c r="AI123" s="33">
        <v>0</v>
      </c>
      <c r="AJ123" s="33">
        <v>0</v>
      </c>
      <c r="AK123" s="32">
        <v>0.05</v>
      </c>
      <c r="AL123" s="32">
        <v>0</v>
      </c>
      <c r="AM123" s="33">
        <v>-14.45</v>
      </c>
      <c r="AN123" s="33">
        <v>289</v>
      </c>
      <c r="AO123" s="32">
        <v>289</v>
      </c>
      <c r="AP123" s="32">
        <v>0</v>
      </c>
      <c r="AQ123" s="34" t="s">
        <v>101</v>
      </c>
      <c r="AR123" s="32">
        <v>0</v>
      </c>
      <c r="AS123" s="32">
        <v>0.006</v>
      </c>
      <c r="AT123" s="33">
        <v>-1.73</v>
      </c>
      <c r="AU123" s="35" t="s">
        <v>148</v>
      </c>
      <c r="AV123" s="38" t="s">
        <v>1752</v>
      </c>
      <c r="AW123" s="38" t="s">
        <v>1753</v>
      </c>
      <c r="AX123" s="35"/>
      <c r="AY123" s="35"/>
      <c r="AZ123" s="33">
        <v>0</v>
      </c>
      <c r="BA123" s="32">
        <v>0</v>
      </c>
      <c r="BB123" s="32">
        <v>0</v>
      </c>
      <c r="BC123" s="32">
        <v>0</v>
      </c>
      <c r="BD123" s="32">
        <v>0</v>
      </c>
      <c r="BE123" s="35"/>
    </row>
    <row r="124" customHeight="1" spans="1:57">
      <c r="A124" s="25">
        <f t="shared" si="11"/>
        <v>2025</v>
      </c>
      <c r="B124" s="26">
        <f t="shared" si="12"/>
        <v>8</v>
      </c>
      <c r="C124" s="26" t="str">
        <f t="shared" si="13"/>
        <v>P770794018572034931</v>
      </c>
      <c r="D124" s="26">
        <f t="shared" si="14"/>
        <v>1</v>
      </c>
      <c r="E124" s="26">
        <f>COUNTIF($R$2:R124,R124)</f>
        <v>1</v>
      </c>
      <c r="F124" s="27" t="str" cm="1">
        <f t="array" ref="F124">INDEX('小红书-订单明细'!BQ:BQ,MATCH(R124&amp;AC124,'小红书-订单明细'!A:A&amp;'小红书-订单明细'!O:O,0))</f>
        <v>Z2378-花纱色-S</v>
      </c>
      <c r="G124" s="27" t="str">
        <f t="shared" si="15"/>
        <v>Z2378</v>
      </c>
      <c r="H124" s="26" cm="1">
        <f t="array" ref="H124">IF(ABS(BG124)&gt;=1,SUM(AF124,AH124:AI124)/(INDEX('小红书-订单明细'!W:W,MATCH(R124&amp;AC124,'小红书-订单明细'!A:A&amp;'小红书-订单明细'!O:O,0))/(INDEX('小红书-订单明细'!T:T,MATCH(R124&amp;AC124,'小红书-订单明细'!A:A&amp;'小红书-订单明细'!O:O,0)))),IF(ABS(SUM(AF124,AH124:AI124)/(INDEX('小红书-订单明细'!W:W,MATCH(R124&amp;AC124,'小红书-订单明细'!A:A&amp;'小红书-订单明细'!O:O,0))/(INDEX('小红书-订单明细'!T:T,MATCH(R124&amp;AC124,'小红书-订单明细'!A:A&amp;'小红书-订单明细'!O:O,0)))))&gt;15%,ROUNDUP(SUM(AF124,AH124:AI124)/(INDEX('小红书-订单明细'!W:W,MATCH(R124&amp;AC124,'小红书-订单明细'!A:A&amp;'小红书-订单明细'!O:O,0))/(INDEX('小红书-订单明细'!T:T,MATCH(R124&amp;AC124,'小红书-订单明细'!A:A&amp;'小红书-订单明细'!O:O,0)))),0),ROUNDDOWN(SUM(AF124,AH124:AI124)/(INDEX('小红书-订单明细'!W:W,MATCH(R124&amp;AC124,'小红书-订单明细'!A:A&amp;'小红书-订单明细'!O:O,0))/(INDEX('小红书-订单明细'!T:T,MATCH(R124&amp;AC124,'小红书-订单明细'!A:A&amp;'小红书-订单明细'!O:O,0)))),0)))</f>
        <v>1</v>
      </c>
      <c r="I124" s="26">
        <f t="shared" si="16"/>
        <v>179</v>
      </c>
      <c r="J124" s="26">
        <f t="shared" si="17"/>
        <v>0</v>
      </c>
      <c r="K124" s="26">
        <f t="shared" si="18"/>
        <v>0</v>
      </c>
      <c r="L124" s="26">
        <f t="shared" si="19"/>
        <v>8.95</v>
      </c>
      <c r="M124" s="26">
        <f t="shared" si="20"/>
        <v>1.07</v>
      </c>
      <c r="N124" s="26"/>
      <c r="O124" s="28">
        <f t="shared" si="21"/>
        <v>168.98</v>
      </c>
      <c r="Q124" s="1" cm="1">
        <f t="array" ref="Q124">SUM(AF124,AH124:AI124)/(INDEX('小红书-订单明细'!W:W,MATCH(R124&amp;AC124,'小红书-订单明细'!A:A&amp;'小红书-订单明细'!O:O,0))/(INDEX('小红书-订单明细'!T:T,MATCH(R124&amp;AC124,'小红书-订单明细'!A:A&amp;'小红书-订单明细'!O:O,0))))</f>
        <v>1</v>
      </c>
      <c r="R124" s="37" t="s">
        <v>1252</v>
      </c>
      <c r="S124" s="35"/>
      <c r="T124" s="35" t="s">
        <v>1262</v>
      </c>
      <c r="U124" s="35" t="s">
        <v>1265</v>
      </c>
      <c r="V124" s="35" t="s">
        <v>2001</v>
      </c>
      <c r="W124" s="38" t="s">
        <v>1755</v>
      </c>
      <c r="X124" s="38" t="s">
        <v>1749</v>
      </c>
      <c r="Y124" s="35">
        <v>168.98</v>
      </c>
      <c r="Z124" s="31" t="s">
        <v>1807</v>
      </c>
      <c r="AA124" s="38" t="s">
        <v>1773</v>
      </c>
      <c r="AB124" s="35" t="s">
        <v>924</v>
      </c>
      <c r="AC124" s="37" t="s">
        <v>925</v>
      </c>
      <c r="AD124" s="32">
        <v>1</v>
      </c>
      <c r="AE124" s="35">
        <v>179</v>
      </c>
      <c r="AF124" s="36">
        <v>179</v>
      </c>
      <c r="AG124" s="35" t="s">
        <v>75</v>
      </c>
      <c r="AH124" s="35">
        <v>0</v>
      </c>
      <c r="AI124" s="33">
        <v>0</v>
      </c>
      <c r="AJ124" s="33">
        <v>0</v>
      </c>
      <c r="AK124" s="32">
        <v>0.05</v>
      </c>
      <c r="AL124" s="32">
        <v>0</v>
      </c>
      <c r="AM124" s="33">
        <v>-8.95</v>
      </c>
      <c r="AN124" s="33">
        <v>179</v>
      </c>
      <c r="AO124" s="32">
        <v>179</v>
      </c>
      <c r="AP124" s="32">
        <v>0</v>
      </c>
      <c r="AQ124" s="34" t="s">
        <v>101</v>
      </c>
      <c r="AR124" s="32">
        <v>0</v>
      </c>
      <c r="AS124" s="32">
        <v>0.006</v>
      </c>
      <c r="AT124" s="33">
        <v>-1.07</v>
      </c>
      <c r="AU124" s="35" t="s">
        <v>148</v>
      </c>
      <c r="AV124" s="38" t="s">
        <v>1752</v>
      </c>
      <c r="AW124" s="38" t="s">
        <v>1753</v>
      </c>
      <c r="AX124" s="35"/>
      <c r="AY124" s="35"/>
      <c r="AZ124" s="33">
        <v>0</v>
      </c>
      <c r="BA124" s="32">
        <v>0</v>
      </c>
      <c r="BB124" s="32">
        <v>0</v>
      </c>
      <c r="BC124" s="32">
        <v>0</v>
      </c>
      <c r="BD124" s="32">
        <v>0</v>
      </c>
      <c r="BE124" s="35"/>
    </row>
    <row r="125" customHeight="1" spans="1:57">
      <c r="A125" s="25">
        <f t="shared" si="11"/>
        <v>2025</v>
      </c>
      <c r="B125" s="26">
        <f t="shared" si="12"/>
        <v>8</v>
      </c>
      <c r="C125" s="26" t="str">
        <f t="shared" si="13"/>
        <v>P770800356297378821</v>
      </c>
      <c r="D125" s="26">
        <f t="shared" si="14"/>
        <v>1</v>
      </c>
      <c r="E125" s="26">
        <f>COUNTIF($R$2:R125,R125)</f>
        <v>1</v>
      </c>
      <c r="F125" s="27" t="str" cm="1">
        <f t="array" ref="F125">INDEX('小红书-订单明细'!BQ:BQ,MATCH(R125&amp;AC125,'小红书-订单明细'!A:A&amp;'小红书-订单明细'!O:O,0))</f>
        <v>Z2375-杏色-L</v>
      </c>
      <c r="G125" s="27" t="str">
        <f t="shared" si="15"/>
        <v>Z2375</v>
      </c>
      <c r="H125" s="26" cm="1">
        <f t="array" ref="H125">IF(ABS(BG125)&gt;=1,SUM(AF125,AH125:AI125)/(INDEX('小红书-订单明细'!W:W,MATCH(R125&amp;AC125,'小红书-订单明细'!A:A&amp;'小红书-订单明细'!O:O,0))/(INDEX('小红书-订单明细'!T:T,MATCH(R125&amp;AC125,'小红书-订单明细'!A:A&amp;'小红书-订单明细'!O:O,0)))),IF(ABS(SUM(AF125,AH125:AI125)/(INDEX('小红书-订单明细'!W:W,MATCH(R125&amp;AC125,'小红书-订单明细'!A:A&amp;'小红书-订单明细'!O:O,0))/(INDEX('小红书-订单明细'!T:T,MATCH(R125&amp;AC125,'小红书-订单明细'!A:A&amp;'小红书-订单明细'!O:O,0)))))&gt;15%,ROUNDUP(SUM(AF125,AH125:AI125)/(INDEX('小红书-订单明细'!W:W,MATCH(R125&amp;AC125,'小红书-订单明细'!A:A&amp;'小红书-订单明细'!O:O,0))/(INDEX('小红书-订单明细'!T:T,MATCH(R125&amp;AC125,'小红书-订单明细'!A:A&amp;'小红书-订单明细'!O:O,0)))),0),ROUNDDOWN(SUM(AF125,AH125:AI125)/(INDEX('小红书-订单明细'!W:W,MATCH(R125&amp;AC125,'小红书-订单明细'!A:A&amp;'小红书-订单明细'!O:O,0))/(INDEX('小红书-订单明细'!T:T,MATCH(R125&amp;AC125,'小红书-订单明细'!A:A&amp;'小红书-订单明细'!O:O,0)))),0)))</f>
        <v>1</v>
      </c>
      <c r="I125" s="26">
        <f t="shared" si="16"/>
        <v>299</v>
      </c>
      <c r="J125" s="26">
        <f t="shared" si="17"/>
        <v>0</v>
      </c>
      <c r="K125" s="26">
        <f t="shared" si="18"/>
        <v>0</v>
      </c>
      <c r="L125" s="26">
        <f t="shared" si="19"/>
        <v>14.95</v>
      </c>
      <c r="M125" s="26">
        <f t="shared" si="20"/>
        <v>1.79</v>
      </c>
      <c r="N125" s="26"/>
      <c r="O125" s="28">
        <f t="shared" si="21"/>
        <v>282.26</v>
      </c>
      <c r="Q125" s="1" cm="1">
        <f t="array" ref="Q125">SUM(AF125,AH125:AI125)/(INDEX('小红书-订单明细'!W:W,MATCH(R125&amp;AC125,'小红书-订单明细'!A:A&amp;'小红书-订单明细'!O:O,0))/(INDEX('小红书-订单明细'!T:T,MATCH(R125&amp;AC125,'小红书-订单明细'!A:A&amp;'小红书-订单明细'!O:O,0))))</f>
        <v>1</v>
      </c>
      <c r="R125" s="37" t="s">
        <v>696</v>
      </c>
      <c r="S125" s="35"/>
      <c r="T125" s="35" t="s">
        <v>705</v>
      </c>
      <c r="U125" s="35" t="s">
        <v>708</v>
      </c>
      <c r="V125" s="35" t="s">
        <v>2002</v>
      </c>
      <c r="W125" s="38" t="s">
        <v>1755</v>
      </c>
      <c r="X125" s="38" t="s">
        <v>1749</v>
      </c>
      <c r="Y125" s="35">
        <v>282.26</v>
      </c>
      <c r="Z125" s="31" t="s">
        <v>2003</v>
      </c>
      <c r="AA125" s="38" t="s">
        <v>1764</v>
      </c>
      <c r="AB125" s="35" t="s">
        <v>698</v>
      </c>
      <c r="AC125" s="37" t="s">
        <v>699</v>
      </c>
      <c r="AD125" s="32">
        <v>1</v>
      </c>
      <c r="AE125" s="35">
        <v>299</v>
      </c>
      <c r="AF125" s="36">
        <v>299</v>
      </c>
      <c r="AG125" s="35" t="s">
        <v>75</v>
      </c>
      <c r="AH125" s="35">
        <v>0</v>
      </c>
      <c r="AI125" s="33">
        <v>0</v>
      </c>
      <c r="AJ125" s="33">
        <v>0</v>
      </c>
      <c r="AK125" s="32">
        <v>0.05</v>
      </c>
      <c r="AL125" s="32">
        <v>0</v>
      </c>
      <c r="AM125" s="33">
        <v>-14.95</v>
      </c>
      <c r="AN125" s="33">
        <v>299</v>
      </c>
      <c r="AO125" s="32">
        <v>299</v>
      </c>
      <c r="AP125" s="32">
        <v>0</v>
      </c>
      <c r="AQ125" s="34" t="s">
        <v>101</v>
      </c>
      <c r="AR125" s="32">
        <v>0</v>
      </c>
      <c r="AS125" s="32">
        <v>0.006</v>
      </c>
      <c r="AT125" s="33">
        <v>-1.79</v>
      </c>
      <c r="AU125" s="35" t="s">
        <v>148</v>
      </c>
      <c r="AV125" s="38" t="s">
        <v>1752</v>
      </c>
      <c r="AW125" s="38" t="s">
        <v>1753</v>
      </c>
      <c r="AX125" s="35"/>
      <c r="AY125" s="35"/>
      <c r="AZ125" s="33">
        <v>0</v>
      </c>
      <c r="BA125" s="32">
        <v>0</v>
      </c>
      <c r="BB125" s="32">
        <v>0</v>
      </c>
      <c r="BC125" s="32">
        <v>0</v>
      </c>
      <c r="BD125" s="32">
        <v>0</v>
      </c>
      <c r="BE125" s="35"/>
    </row>
    <row r="126" customHeight="1" spans="1:57">
      <c r="A126" s="25">
        <f t="shared" si="11"/>
        <v>2025</v>
      </c>
      <c r="B126" s="26">
        <f t="shared" si="12"/>
        <v>8</v>
      </c>
      <c r="C126" s="26" t="str">
        <f t="shared" si="13"/>
        <v>P770800342402378981</v>
      </c>
      <c r="D126" s="26">
        <f t="shared" si="14"/>
        <v>1</v>
      </c>
      <c r="E126" s="26">
        <f>COUNTIF($R$2:R126,R126)</f>
        <v>1</v>
      </c>
      <c r="F126" s="27" t="str" cm="1">
        <f t="array" ref="F126">INDEX('小红书-订单明细'!BQ:BQ,MATCH(R126&amp;AC126,'小红书-订单明细'!A:A&amp;'小红书-订单明细'!O:O,0))</f>
        <v>Z2375-深藏青色-L</v>
      </c>
      <c r="G126" s="27" t="str">
        <f t="shared" si="15"/>
        <v>Z2375</v>
      </c>
      <c r="H126" s="26" cm="1">
        <f t="array" ref="H126">IF(ABS(BG126)&gt;=1,SUM(AF126,AH126:AI126)/(INDEX('小红书-订单明细'!W:W,MATCH(R126&amp;AC126,'小红书-订单明细'!A:A&amp;'小红书-订单明细'!O:O,0))/(INDEX('小红书-订单明细'!T:T,MATCH(R126&amp;AC126,'小红书-订单明细'!A:A&amp;'小红书-订单明细'!O:O,0)))),IF(ABS(SUM(AF126,AH126:AI126)/(INDEX('小红书-订单明细'!W:W,MATCH(R126&amp;AC126,'小红书-订单明细'!A:A&amp;'小红书-订单明细'!O:O,0))/(INDEX('小红书-订单明细'!T:T,MATCH(R126&amp;AC126,'小红书-订单明细'!A:A&amp;'小红书-订单明细'!O:O,0)))))&gt;15%,ROUNDUP(SUM(AF126,AH126:AI126)/(INDEX('小红书-订单明细'!W:W,MATCH(R126&amp;AC126,'小红书-订单明细'!A:A&amp;'小红书-订单明细'!O:O,0))/(INDEX('小红书-订单明细'!T:T,MATCH(R126&amp;AC126,'小红书-订单明细'!A:A&amp;'小红书-订单明细'!O:O,0)))),0),ROUNDDOWN(SUM(AF126,AH126:AI126)/(INDEX('小红书-订单明细'!W:W,MATCH(R126&amp;AC126,'小红书-订单明细'!A:A&amp;'小红书-订单明细'!O:O,0))/(INDEX('小红书-订单明细'!T:T,MATCH(R126&amp;AC126,'小红书-订单明细'!A:A&amp;'小红书-订单明细'!O:O,0)))),0)))</f>
        <v>1</v>
      </c>
      <c r="I126" s="26">
        <f t="shared" si="16"/>
        <v>299</v>
      </c>
      <c r="J126" s="26">
        <f t="shared" si="17"/>
        <v>0</v>
      </c>
      <c r="K126" s="26">
        <f t="shared" si="18"/>
        <v>0</v>
      </c>
      <c r="L126" s="26">
        <f t="shared" si="19"/>
        <v>14.95</v>
      </c>
      <c r="M126" s="26">
        <f t="shared" si="20"/>
        <v>1.79</v>
      </c>
      <c r="N126" s="26"/>
      <c r="O126" s="28">
        <f t="shared" si="21"/>
        <v>282.26</v>
      </c>
      <c r="Q126" s="1" cm="1">
        <f t="array" ref="Q126">SUM(AF126,AH126:AI126)/(INDEX('小红书-订单明细'!W:W,MATCH(R126&amp;AC126,'小红书-订单明细'!A:A&amp;'小红书-订单明细'!O:O,0))/(INDEX('小红书-订单明细'!T:T,MATCH(R126&amp;AC126,'小红书-订单明细'!A:A&amp;'小红书-订单明细'!O:O,0))))</f>
        <v>1</v>
      </c>
      <c r="R126" s="37" t="s">
        <v>585</v>
      </c>
      <c r="S126" s="35"/>
      <c r="T126" s="35" t="s">
        <v>600</v>
      </c>
      <c r="U126" s="35" t="s">
        <v>603</v>
      </c>
      <c r="V126" s="35" t="s">
        <v>2002</v>
      </c>
      <c r="W126" s="38" t="s">
        <v>1755</v>
      </c>
      <c r="X126" s="38" t="s">
        <v>1749</v>
      </c>
      <c r="Y126" s="35">
        <v>282.26</v>
      </c>
      <c r="Z126" s="31" t="s">
        <v>2004</v>
      </c>
      <c r="AA126" s="38" t="s">
        <v>1764</v>
      </c>
      <c r="AB126" s="35" t="s">
        <v>593</v>
      </c>
      <c r="AC126" s="37" t="s">
        <v>594</v>
      </c>
      <c r="AD126" s="32">
        <v>1</v>
      </c>
      <c r="AE126" s="35">
        <v>299</v>
      </c>
      <c r="AF126" s="36">
        <v>299</v>
      </c>
      <c r="AG126" s="35" t="s">
        <v>75</v>
      </c>
      <c r="AH126" s="35">
        <v>0</v>
      </c>
      <c r="AI126" s="33">
        <v>0</v>
      </c>
      <c r="AJ126" s="33">
        <v>0</v>
      </c>
      <c r="AK126" s="32">
        <v>0.05</v>
      </c>
      <c r="AL126" s="32">
        <v>0</v>
      </c>
      <c r="AM126" s="33">
        <v>-14.95</v>
      </c>
      <c r="AN126" s="33">
        <v>299</v>
      </c>
      <c r="AO126" s="32">
        <v>299</v>
      </c>
      <c r="AP126" s="32">
        <v>0</v>
      </c>
      <c r="AQ126" s="34" t="s">
        <v>101</v>
      </c>
      <c r="AR126" s="32">
        <v>0</v>
      </c>
      <c r="AS126" s="32">
        <v>0.006</v>
      </c>
      <c r="AT126" s="33">
        <v>-1.79</v>
      </c>
      <c r="AU126" s="35" t="s">
        <v>148</v>
      </c>
      <c r="AV126" s="38" t="s">
        <v>1752</v>
      </c>
      <c r="AW126" s="38" t="s">
        <v>1753</v>
      </c>
      <c r="AX126" s="35"/>
      <c r="AY126" s="35"/>
      <c r="AZ126" s="33">
        <v>0</v>
      </c>
      <c r="BA126" s="32">
        <v>0</v>
      </c>
      <c r="BB126" s="32">
        <v>0</v>
      </c>
      <c r="BC126" s="32">
        <v>0</v>
      </c>
      <c r="BD126" s="32">
        <v>0</v>
      </c>
      <c r="BE126" s="35"/>
    </row>
    <row r="127" customHeight="1" spans="1:57">
      <c r="A127" s="25">
        <f t="shared" si="11"/>
        <v>2025</v>
      </c>
      <c r="B127" s="26">
        <f t="shared" si="12"/>
        <v>8</v>
      </c>
      <c r="C127" s="26" t="str">
        <f t="shared" si="13"/>
        <v>P770794017000112911</v>
      </c>
      <c r="D127" s="26">
        <f t="shared" si="14"/>
        <v>1</v>
      </c>
      <c r="E127" s="26">
        <f>COUNTIF($R$2:R127,R127)</f>
        <v>1</v>
      </c>
      <c r="F127" s="27" t="str" cm="1">
        <f t="array" ref="F127">INDEX('小红书-订单明细'!BQ:BQ,MATCH(R127&amp;AC127,'小红书-订单明细'!A:A&amp;'小红书-订单明细'!O:O,0))</f>
        <v>Z2378-花纱色-S</v>
      </c>
      <c r="G127" s="27" t="str">
        <f t="shared" si="15"/>
        <v>Z2378</v>
      </c>
      <c r="H127" s="26" cm="1">
        <f t="array" ref="H127">IF(ABS(BG127)&gt;=1,SUM(AF127,AH127:AI127)/(INDEX('小红书-订单明细'!W:W,MATCH(R127&amp;AC127,'小红书-订单明细'!A:A&amp;'小红书-订单明细'!O:O,0))/(INDEX('小红书-订单明细'!T:T,MATCH(R127&amp;AC127,'小红书-订单明细'!A:A&amp;'小红书-订单明细'!O:O,0)))),IF(ABS(SUM(AF127,AH127:AI127)/(INDEX('小红书-订单明细'!W:W,MATCH(R127&amp;AC127,'小红书-订单明细'!A:A&amp;'小红书-订单明细'!O:O,0))/(INDEX('小红书-订单明细'!T:T,MATCH(R127&amp;AC127,'小红书-订单明细'!A:A&amp;'小红书-订单明细'!O:O,0)))))&gt;15%,ROUNDUP(SUM(AF127,AH127:AI127)/(INDEX('小红书-订单明细'!W:W,MATCH(R127&amp;AC127,'小红书-订单明细'!A:A&amp;'小红书-订单明细'!O:O,0))/(INDEX('小红书-订单明细'!T:T,MATCH(R127&amp;AC127,'小红书-订单明细'!A:A&amp;'小红书-订单明细'!O:O,0)))),0),ROUNDDOWN(SUM(AF127,AH127:AI127)/(INDEX('小红书-订单明细'!W:W,MATCH(R127&amp;AC127,'小红书-订单明细'!A:A&amp;'小红书-订单明细'!O:O,0))/(INDEX('小红书-订单明细'!T:T,MATCH(R127&amp;AC127,'小红书-订单明细'!A:A&amp;'小红书-订单明细'!O:O,0)))),0)))</f>
        <v>1</v>
      </c>
      <c r="I127" s="26">
        <f t="shared" si="16"/>
        <v>179</v>
      </c>
      <c r="J127" s="26">
        <f t="shared" si="17"/>
        <v>0</v>
      </c>
      <c r="K127" s="26">
        <f t="shared" si="18"/>
        <v>0</v>
      </c>
      <c r="L127" s="26">
        <f t="shared" si="19"/>
        <v>8.95</v>
      </c>
      <c r="M127" s="26">
        <f t="shared" si="20"/>
        <v>1.07</v>
      </c>
      <c r="N127" s="26"/>
      <c r="O127" s="28">
        <f t="shared" si="21"/>
        <v>168.98</v>
      </c>
      <c r="Q127" s="1" cm="1">
        <f t="array" ref="Q127">SUM(AF127,AH127:AI127)/(INDEX('小红书-订单明细'!W:W,MATCH(R127&amp;AC127,'小红书-订单明细'!A:A&amp;'小红书-订单明细'!O:O,0))/(INDEX('小红书-订单明细'!T:T,MATCH(R127&amp;AC127,'小红书-订单明细'!A:A&amp;'小红书-订单明细'!O:O,0))))</f>
        <v>1</v>
      </c>
      <c r="R127" s="37" t="s">
        <v>1381</v>
      </c>
      <c r="S127" s="35"/>
      <c r="T127" s="35" t="s">
        <v>1389</v>
      </c>
      <c r="U127" s="35" t="s">
        <v>1265</v>
      </c>
      <c r="V127" s="35" t="s">
        <v>2005</v>
      </c>
      <c r="W127" s="38" t="s">
        <v>1755</v>
      </c>
      <c r="X127" s="38" t="s">
        <v>1749</v>
      </c>
      <c r="Y127" s="35">
        <v>168.98</v>
      </c>
      <c r="Z127" s="31" t="s">
        <v>1807</v>
      </c>
      <c r="AA127" s="38" t="s">
        <v>1773</v>
      </c>
      <c r="AB127" s="35" t="s">
        <v>924</v>
      </c>
      <c r="AC127" s="37" t="s">
        <v>925</v>
      </c>
      <c r="AD127" s="32">
        <v>1</v>
      </c>
      <c r="AE127" s="35">
        <v>179</v>
      </c>
      <c r="AF127" s="36">
        <v>179</v>
      </c>
      <c r="AG127" s="35" t="s">
        <v>75</v>
      </c>
      <c r="AH127" s="35">
        <v>0</v>
      </c>
      <c r="AI127" s="33">
        <v>0</v>
      </c>
      <c r="AJ127" s="33">
        <v>0</v>
      </c>
      <c r="AK127" s="32">
        <v>0.05</v>
      </c>
      <c r="AL127" s="32">
        <v>0</v>
      </c>
      <c r="AM127" s="33">
        <v>-8.95</v>
      </c>
      <c r="AN127" s="33">
        <v>179</v>
      </c>
      <c r="AO127" s="32">
        <v>179</v>
      </c>
      <c r="AP127" s="32">
        <v>0</v>
      </c>
      <c r="AQ127" s="34" t="s">
        <v>101</v>
      </c>
      <c r="AR127" s="32">
        <v>0</v>
      </c>
      <c r="AS127" s="32">
        <v>0.006</v>
      </c>
      <c r="AT127" s="33">
        <v>-1.07</v>
      </c>
      <c r="AU127" s="35" t="s">
        <v>148</v>
      </c>
      <c r="AV127" s="38" t="s">
        <v>1752</v>
      </c>
      <c r="AW127" s="38" t="s">
        <v>1753</v>
      </c>
      <c r="AX127" s="35"/>
      <c r="AY127" s="35"/>
      <c r="AZ127" s="33">
        <v>0</v>
      </c>
      <c r="BA127" s="32">
        <v>0</v>
      </c>
      <c r="BB127" s="32">
        <v>0</v>
      </c>
      <c r="BC127" s="32">
        <v>0</v>
      </c>
      <c r="BD127" s="32">
        <v>0</v>
      </c>
      <c r="BE127" s="35"/>
    </row>
    <row r="128" customHeight="1" spans="1:57">
      <c r="A128" s="25">
        <f t="shared" si="11"/>
        <v>2025</v>
      </c>
      <c r="B128" s="26">
        <f t="shared" si="12"/>
        <v>8</v>
      </c>
      <c r="C128" s="26" t="str">
        <f t="shared" si="13"/>
        <v>P770794934880461651</v>
      </c>
      <c r="D128" s="26">
        <f t="shared" si="14"/>
        <v>1</v>
      </c>
      <c r="E128" s="26">
        <f>COUNTIF($R$2:R128,R128)</f>
        <v>1</v>
      </c>
      <c r="F128" s="27" t="str" cm="1">
        <f t="array" ref="F128">INDEX('小红书-订单明细'!BQ:BQ,MATCH(R128&amp;AC128,'小红书-订单明细'!A:A&amp;'小红书-订单明细'!O:O,0))</f>
        <v>Z2363-灰色-M</v>
      </c>
      <c r="G128" s="27" t="str">
        <f t="shared" si="15"/>
        <v>Z2363</v>
      </c>
      <c r="H128" s="26" cm="1">
        <f t="array" ref="H128">IF(ABS(BG128)&gt;=1,SUM(AF128,AH128:AI128)/(INDEX('小红书-订单明细'!W:W,MATCH(R128&amp;AC128,'小红书-订单明细'!A:A&amp;'小红书-订单明细'!O:O,0))/(INDEX('小红书-订单明细'!T:T,MATCH(R128&amp;AC128,'小红书-订单明细'!A:A&amp;'小红书-订单明细'!O:O,0)))),IF(ABS(SUM(AF128,AH128:AI128)/(INDEX('小红书-订单明细'!W:W,MATCH(R128&amp;AC128,'小红书-订单明细'!A:A&amp;'小红书-订单明细'!O:O,0))/(INDEX('小红书-订单明细'!T:T,MATCH(R128&amp;AC128,'小红书-订单明细'!A:A&amp;'小红书-订单明细'!O:O,0)))))&gt;15%,ROUNDUP(SUM(AF128,AH128:AI128)/(INDEX('小红书-订单明细'!W:W,MATCH(R128&amp;AC128,'小红书-订单明细'!A:A&amp;'小红书-订单明细'!O:O,0))/(INDEX('小红书-订单明细'!T:T,MATCH(R128&amp;AC128,'小红书-订单明细'!A:A&amp;'小红书-订单明细'!O:O,0)))),0),ROUNDDOWN(SUM(AF128,AH128:AI128)/(INDEX('小红书-订单明细'!W:W,MATCH(R128&amp;AC128,'小红书-订单明细'!A:A&amp;'小红书-订单明细'!O:O,0))/(INDEX('小红书-订单明细'!T:T,MATCH(R128&amp;AC128,'小红书-订单明细'!A:A&amp;'小红书-订单明细'!O:O,0)))),0)))</f>
        <v>1</v>
      </c>
      <c r="I128" s="26">
        <f t="shared" si="16"/>
        <v>359</v>
      </c>
      <c r="J128" s="26">
        <f t="shared" si="17"/>
        <v>0</v>
      </c>
      <c r="K128" s="26">
        <f t="shared" si="18"/>
        <v>0</v>
      </c>
      <c r="L128" s="26">
        <f t="shared" si="19"/>
        <v>17.95</v>
      </c>
      <c r="M128" s="26">
        <f t="shared" si="20"/>
        <v>2.15</v>
      </c>
      <c r="N128" s="26"/>
      <c r="O128" s="28">
        <f t="shared" si="21"/>
        <v>338.9</v>
      </c>
      <c r="Q128" s="1" cm="1">
        <f t="array" ref="Q128">SUM(AF128,AH128:AI128)/(INDEX('小红书-订单明细'!W:W,MATCH(R128&amp;AC128,'小红书-订单明细'!A:A&amp;'小红书-订单明细'!O:O,0))/(INDEX('小红书-订单明细'!T:T,MATCH(R128&amp;AC128,'小红书-订单明细'!A:A&amp;'小红书-订单明细'!O:O,0))))</f>
        <v>1</v>
      </c>
      <c r="R128" s="37" t="s">
        <v>1118</v>
      </c>
      <c r="S128" s="35"/>
      <c r="T128" s="35" t="s">
        <v>2006</v>
      </c>
      <c r="U128" s="35" t="s">
        <v>1130</v>
      </c>
      <c r="V128" s="35" t="s">
        <v>2007</v>
      </c>
      <c r="W128" s="38" t="s">
        <v>1755</v>
      </c>
      <c r="X128" s="38" t="s">
        <v>1749</v>
      </c>
      <c r="Y128" s="35">
        <v>338.9</v>
      </c>
      <c r="Z128" s="31" t="s">
        <v>1757</v>
      </c>
      <c r="AA128" s="38" t="s">
        <v>1758</v>
      </c>
      <c r="AB128" s="35" t="s">
        <v>826</v>
      </c>
      <c r="AC128" s="37" t="s">
        <v>827</v>
      </c>
      <c r="AD128" s="32">
        <v>1</v>
      </c>
      <c r="AE128" s="35">
        <v>359</v>
      </c>
      <c r="AF128" s="36">
        <v>359</v>
      </c>
      <c r="AG128" s="35" t="s">
        <v>75</v>
      </c>
      <c r="AH128" s="35">
        <v>0</v>
      </c>
      <c r="AI128" s="33">
        <v>0</v>
      </c>
      <c r="AJ128" s="33">
        <v>0</v>
      </c>
      <c r="AK128" s="32">
        <v>0.05</v>
      </c>
      <c r="AL128" s="32">
        <v>0</v>
      </c>
      <c r="AM128" s="33">
        <v>-17.95</v>
      </c>
      <c r="AN128" s="33">
        <v>359</v>
      </c>
      <c r="AO128" s="32">
        <v>359</v>
      </c>
      <c r="AP128" s="32">
        <v>0</v>
      </c>
      <c r="AQ128" s="34" t="s">
        <v>101</v>
      </c>
      <c r="AR128" s="32">
        <v>0</v>
      </c>
      <c r="AS128" s="32">
        <v>0.006</v>
      </c>
      <c r="AT128" s="33">
        <v>-2.15</v>
      </c>
      <c r="AU128" s="35" t="s">
        <v>148</v>
      </c>
      <c r="AV128" s="38" t="s">
        <v>1752</v>
      </c>
      <c r="AW128" s="38" t="s">
        <v>1753</v>
      </c>
      <c r="AX128" s="35"/>
      <c r="AY128" s="35"/>
      <c r="AZ128" s="33">
        <v>0</v>
      </c>
      <c r="BA128" s="32">
        <v>0</v>
      </c>
      <c r="BB128" s="32">
        <v>0</v>
      </c>
      <c r="BC128" s="32">
        <v>0</v>
      </c>
      <c r="BD128" s="32">
        <v>0</v>
      </c>
      <c r="BE128" s="35"/>
    </row>
    <row r="129" customHeight="1" spans="1:57">
      <c r="A129" s="25">
        <f t="shared" si="11"/>
        <v>2025</v>
      </c>
      <c r="B129" s="26">
        <f t="shared" si="12"/>
        <v>8</v>
      </c>
      <c r="C129" s="26" t="str">
        <f t="shared" si="13"/>
        <v>P770794019068036511</v>
      </c>
      <c r="D129" s="26">
        <f t="shared" si="14"/>
        <v>1</v>
      </c>
      <c r="E129" s="26">
        <f>COUNTIF($R$2:R129,R129)</f>
        <v>1</v>
      </c>
      <c r="F129" s="27" t="str" cm="1">
        <f t="array" ref="F129">INDEX('小红书-订单明细'!BQ:BQ,MATCH(R129&amp;AC129,'小红书-订单明细'!A:A&amp;'小红书-订单明细'!O:O,0))</f>
        <v>Z2378-花纱色-M</v>
      </c>
      <c r="G129" s="27" t="str">
        <f t="shared" si="15"/>
        <v>Z2378</v>
      </c>
      <c r="H129" s="26" cm="1">
        <f t="array" ref="H129">IF(ABS(BG129)&gt;=1,SUM(AF129,AH129:AI129)/(INDEX('小红书-订单明细'!W:W,MATCH(R129&amp;AC129,'小红书-订单明细'!A:A&amp;'小红书-订单明细'!O:O,0))/(INDEX('小红书-订单明细'!T:T,MATCH(R129&amp;AC129,'小红书-订单明细'!A:A&amp;'小红书-订单明细'!O:O,0)))),IF(ABS(SUM(AF129,AH129:AI129)/(INDEX('小红书-订单明细'!W:W,MATCH(R129&amp;AC129,'小红书-订单明细'!A:A&amp;'小红书-订单明细'!O:O,0))/(INDEX('小红书-订单明细'!T:T,MATCH(R129&amp;AC129,'小红书-订单明细'!A:A&amp;'小红书-订单明细'!O:O,0)))))&gt;15%,ROUNDUP(SUM(AF129,AH129:AI129)/(INDEX('小红书-订单明细'!W:W,MATCH(R129&amp;AC129,'小红书-订单明细'!A:A&amp;'小红书-订单明细'!O:O,0))/(INDEX('小红书-订单明细'!T:T,MATCH(R129&amp;AC129,'小红书-订单明细'!A:A&amp;'小红书-订单明细'!O:O,0)))),0),ROUNDDOWN(SUM(AF129,AH129:AI129)/(INDEX('小红书-订单明细'!W:W,MATCH(R129&amp;AC129,'小红书-订单明细'!A:A&amp;'小红书-订单明细'!O:O,0))/(INDEX('小红书-订单明细'!T:T,MATCH(R129&amp;AC129,'小红书-订单明细'!A:A&amp;'小红书-订单明细'!O:O,0)))),0)))</f>
        <v>1</v>
      </c>
      <c r="I129" s="26">
        <f t="shared" si="16"/>
        <v>179</v>
      </c>
      <c r="J129" s="26">
        <f t="shared" si="17"/>
        <v>0</v>
      </c>
      <c r="K129" s="26">
        <f t="shared" si="18"/>
        <v>0</v>
      </c>
      <c r="L129" s="26">
        <f t="shared" si="19"/>
        <v>8.95</v>
      </c>
      <c r="M129" s="26">
        <f t="shared" si="20"/>
        <v>1.07</v>
      </c>
      <c r="N129" s="26"/>
      <c r="O129" s="28">
        <f t="shared" si="21"/>
        <v>168.98</v>
      </c>
      <c r="Q129" s="1" cm="1">
        <f t="array" ref="Q129">SUM(AF129,AH129:AI129)/(INDEX('小红书-订单明细'!W:W,MATCH(R129&amp;AC129,'小红书-订单明细'!A:A&amp;'小红书-订单明细'!O:O,0))/(INDEX('小红书-订单明细'!T:T,MATCH(R129&amp;AC129,'小红书-订单明细'!A:A&amp;'小红书-订单明细'!O:O,0))))</f>
        <v>1</v>
      </c>
      <c r="R129" s="37" t="s">
        <v>1360</v>
      </c>
      <c r="S129" s="35"/>
      <c r="T129" s="35" t="s">
        <v>1332</v>
      </c>
      <c r="U129" s="35" t="s">
        <v>1275</v>
      </c>
      <c r="V129" s="35" t="s">
        <v>2008</v>
      </c>
      <c r="W129" s="38" t="s">
        <v>1755</v>
      </c>
      <c r="X129" s="38" t="s">
        <v>1749</v>
      </c>
      <c r="Y129" s="35">
        <v>168.98</v>
      </c>
      <c r="Z129" s="31" t="s">
        <v>1799</v>
      </c>
      <c r="AA129" s="38" t="s">
        <v>1773</v>
      </c>
      <c r="AB129" s="35" t="s">
        <v>810</v>
      </c>
      <c r="AC129" s="37" t="s">
        <v>811</v>
      </c>
      <c r="AD129" s="32">
        <v>1</v>
      </c>
      <c r="AE129" s="35">
        <v>179</v>
      </c>
      <c r="AF129" s="36">
        <v>179</v>
      </c>
      <c r="AG129" s="35" t="s">
        <v>75</v>
      </c>
      <c r="AH129" s="35">
        <v>0</v>
      </c>
      <c r="AI129" s="33">
        <v>0</v>
      </c>
      <c r="AJ129" s="33">
        <v>0</v>
      </c>
      <c r="AK129" s="32">
        <v>0.05</v>
      </c>
      <c r="AL129" s="32">
        <v>0</v>
      </c>
      <c r="AM129" s="33">
        <v>-8.95</v>
      </c>
      <c r="AN129" s="33">
        <v>179</v>
      </c>
      <c r="AO129" s="32">
        <v>179</v>
      </c>
      <c r="AP129" s="32">
        <v>0</v>
      </c>
      <c r="AQ129" s="34" t="s">
        <v>101</v>
      </c>
      <c r="AR129" s="32">
        <v>0</v>
      </c>
      <c r="AS129" s="32">
        <v>0.006</v>
      </c>
      <c r="AT129" s="33">
        <v>-1.07</v>
      </c>
      <c r="AU129" s="35" t="s">
        <v>148</v>
      </c>
      <c r="AV129" s="38" t="s">
        <v>1752</v>
      </c>
      <c r="AW129" s="38" t="s">
        <v>1753</v>
      </c>
      <c r="AX129" s="35"/>
      <c r="AY129" s="35"/>
      <c r="AZ129" s="33">
        <v>0</v>
      </c>
      <c r="BA129" s="32">
        <v>0</v>
      </c>
      <c r="BB129" s="32">
        <v>0</v>
      </c>
      <c r="BC129" s="32">
        <v>0</v>
      </c>
      <c r="BD129" s="32">
        <v>0</v>
      </c>
      <c r="BE129" s="35"/>
    </row>
    <row r="130" customHeight="1" spans="1:57">
      <c r="A130" s="25">
        <f t="shared" ref="A130:A151" si="22">YEAR(V130)</f>
        <v>2025</v>
      </c>
      <c r="B130" s="26">
        <f t="shared" ref="B130:B151" si="23">MONTH(V130)</f>
        <v>8</v>
      </c>
      <c r="C130" s="26" t="str">
        <f t="shared" ref="C130:C151" si="24">R130</f>
        <v>P770794525672392531</v>
      </c>
      <c r="D130" s="26">
        <f t="shared" ref="D130:D151" si="25">COUNTIF(R:R,R130)</f>
        <v>1</v>
      </c>
      <c r="E130" s="26">
        <f>COUNTIF($R$2:R130,R130)</f>
        <v>1</v>
      </c>
      <c r="F130" s="27" t="str" cm="1">
        <f t="array" ref="F130">INDEX('小红书-订单明细'!BQ:BQ,MATCH(R130&amp;AC130,'小红书-订单明细'!A:A&amp;'小红书-订单明细'!O:O,0))</f>
        <v>Z2378-灰色-S</v>
      </c>
      <c r="G130" s="27" t="str">
        <f t="shared" ref="G130:G151" si="26">LEFT(F130,FIND("-",F130)-1)</f>
        <v>Z2378</v>
      </c>
      <c r="H130" s="26" cm="1">
        <f t="array" ref="H130">IF(ABS(BG130)&gt;=1,SUM(AF130,AH130:AI130)/(INDEX('小红书-订单明细'!W:W,MATCH(R130&amp;AC130,'小红书-订单明细'!A:A&amp;'小红书-订单明细'!O:O,0))/(INDEX('小红书-订单明细'!T:T,MATCH(R130&amp;AC130,'小红书-订单明细'!A:A&amp;'小红书-订单明细'!O:O,0)))),IF(ABS(SUM(AF130,AH130:AI130)/(INDEX('小红书-订单明细'!W:W,MATCH(R130&amp;AC130,'小红书-订单明细'!A:A&amp;'小红书-订单明细'!O:O,0))/(INDEX('小红书-订单明细'!T:T,MATCH(R130&amp;AC130,'小红书-订单明细'!A:A&amp;'小红书-订单明细'!O:O,0)))))&gt;15%,ROUNDUP(SUM(AF130,AH130:AI130)/(INDEX('小红书-订单明细'!W:W,MATCH(R130&amp;AC130,'小红书-订单明细'!A:A&amp;'小红书-订单明细'!O:O,0))/(INDEX('小红书-订单明细'!T:T,MATCH(R130&amp;AC130,'小红书-订单明细'!A:A&amp;'小红书-订单明细'!O:O,0)))),0),ROUNDDOWN(SUM(AF130,AH130:AI130)/(INDEX('小红书-订单明细'!W:W,MATCH(R130&amp;AC130,'小红书-订单明细'!A:A&amp;'小红书-订单明细'!O:O,0))/(INDEX('小红书-订单明细'!T:T,MATCH(R130&amp;AC130,'小红书-订单明细'!A:A&amp;'小红书-订单明细'!O:O,0)))),0)))</f>
        <v>1</v>
      </c>
      <c r="I130" s="26">
        <f t="shared" ref="I130:I151" si="27">AF130</f>
        <v>179</v>
      </c>
      <c r="J130" s="26">
        <f t="shared" ref="J130:J151" si="28">AI130+AJ130</f>
        <v>0</v>
      </c>
      <c r="K130" s="26">
        <f t="shared" ref="K130:K151" si="29">IF(AZ130&lt;=0,AZ130,AZ130/COUNTIFS(R:R,R130,AZ:AZ,"&gt;0"))</f>
        <v>0</v>
      </c>
      <c r="L130" s="26">
        <f t="shared" ref="L130:L151" si="30">-AM130</f>
        <v>8.95</v>
      </c>
      <c r="M130" s="26">
        <f t="shared" ref="M130:M151" si="31">-AT130</f>
        <v>1.07</v>
      </c>
      <c r="N130" s="26"/>
      <c r="O130" s="28">
        <f t="shared" ref="O130:O151" si="32">I130+J130+K130-L130-M130-N130</f>
        <v>168.98</v>
      </c>
      <c r="Q130" s="1" cm="1">
        <f t="array" ref="Q130">SUM(AF130,AH130:AI130)/(INDEX('小红书-订单明细'!W:W,MATCH(R130&amp;AC130,'小红书-订单明细'!A:A&amp;'小红书-订单明细'!O:O,0))/(INDEX('小红书-订单明细'!T:T,MATCH(R130&amp;AC130,'小红书-订单明细'!A:A&amp;'小红书-订单明细'!O:O,0))))</f>
        <v>1</v>
      </c>
      <c r="R130" s="37" t="s">
        <v>1162</v>
      </c>
      <c r="S130" s="35"/>
      <c r="T130" s="35" t="s">
        <v>1172</v>
      </c>
      <c r="U130" s="35" t="s">
        <v>760</v>
      </c>
      <c r="V130" s="35" t="s">
        <v>2009</v>
      </c>
      <c r="W130" s="38" t="s">
        <v>1755</v>
      </c>
      <c r="X130" s="38" t="s">
        <v>1749</v>
      </c>
      <c r="Y130" s="35">
        <v>168.98</v>
      </c>
      <c r="Z130" s="31" t="s">
        <v>1848</v>
      </c>
      <c r="AA130" s="38" t="s">
        <v>1773</v>
      </c>
      <c r="AB130" s="35" t="s">
        <v>432</v>
      </c>
      <c r="AC130" s="37" t="s">
        <v>433</v>
      </c>
      <c r="AD130" s="32">
        <v>1</v>
      </c>
      <c r="AE130" s="35">
        <v>179</v>
      </c>
      <c r="AF130" s="36">
        <v>179</v>
      </c>
      <c r="AG130" s="35" t="s">
        <v>75</v>
      </c>
      <c r="AH130" s="35">
        <v>0</v>
      </c>
      <c r="AI130" s="33">
        <v>0</v>
      </c>
      <c r="AJ130" s="33">
        <v>0</v>
      </c>
      <c r="AK130" s="32">
        <v>0.05</v>
      </c>
      <c r="AL130" s="32">
        <v>0</v>
      </c>
      <c r="AM130" s="33">
        <v>-8.95</v>
      </c>
      <c r="AN130" s="33">
        <v>179</v>
      </c>
      <c r="AO130" s="32">
        <v>179</v>
      </c>
      <c r="AP130" s="32">
        <v>0</v>
      </c>
      <c r="AQ130" s="34" t="s">
        <v>101</v>
      </c>
      <c r="AR130" s="32">
        <v>0</v>
      </c>
      <c r="AS130" s="32">
        <v>0.006</v>
      </c>
      <c r="AT130" s="33">
        <v>-1.07</v>
      </c>
      <c r="AU130" s="35" t="s">
        <v>148</v>
      </c>
      <c r="AV130" s="38" t="s">
        <v>1752</v>
      </c>
      <c r="AW130" s="38" t="s">
        <v>1753</v>
      </c>
      <c r="AX130" s="35"/>
      <c r="AY130" s="35"/>
      <c r="AZ130" s="33">
        <v>0</v>
      </c>
      <c r="BA130" s="32">
        <v>0</v>
      </c>
      <c r="BB130" s="32">
        <v>0</v>
      </c>
      <c r="BC130" s="32">
        <v>0</v>
      </c>
      <c r="BD130" s="32">
        <v>0</v>
      </c>
      <c r="BE130" s="35"/>
    </row>
    <row r="131" customHeight="1" spans="1:57">
      <c r="A131" s="25">
        <f t="shared" si="22"/>
        <v>2025</v>
      </c>
      <c r="B131" s="26">
        <f t="shared" si="23"/>
        <v>8</v>
      </c>
      <c r="C131" s="26" t="str">
        <f t="shared" si="24"/>
        <v>P770800341731245681</v>
      </c>
      <c r="D131" s="26">
        <f t="shared" si="25"/>
        <v>1</v>
      </c>
      <c r="E131" s="26">
        <f>COUNTIF($R$2:R131,R131)</f>
        <v>1</v>
      </c>
      <c r="F131" s="27" t="str" cm="1">
        <f t="array" ref="F131">INDEX('小红书-订单明细'!BQ:BQ,MATCH(R131&amp;AC131,'小红书-订单明细'!A:A&amp;'小红书-订单明细'!O:O,0))</f>
        <v>Z2375-深藏青色-M</v>
      </c>
      <c r="G131" s="27" t="str">
        <f t="shared" si="26"/>
        <v>Z2375</v>
      </c>
      <c r="H131" s="26" cm="1">
        <f t="array" ref="H131">IF(ABS(BG131)&gt;=1,SUM(AF131,AH131:AI131)/(INDEX('小红书-订单明细'!W:W,MATCH(R131&amp;AC131,'小红书-订单明细'!A:A&amp;'小红书-订单明细'!O:O,0))/(INDEX('小红书-订单明细'!T:T,MATCH(R131&amp;AC131,'小红书-订单明细'!A:A&amp;'小红书-订单明细'!O:O,0)))),IF(ABS(SUM(AF131,AH131:AI131)/(INDEX('小红书-订单明细'!W:W,MATCH(R131&amp;AC131,'小红书-订单明细'!A:A&amp;'小红书-订单明细'!O:O,0))/(INDEX('小红书-订单明细'!T:T,MATCH(R131&amp;AC131,'小红书-订单明细'!A:A&amp;'小红书-订单明细'!O:O,0)))))&gt;15%,ROUNDUP(SUM(AF131,AH131:AI131)/(INDEX('小红书-订单明细'!W:W,MATCH(R131&amp;AC131,'小红书-订单明细'!A:A&amp;'小红书-订单明细'!O:O,0))/(INDEX('小红书-订单明细'!T:T,MATCH(R131&amp;AC131,'小红书-订单明细'!A:A&amp;'小红书-订单明细'!O:O,0)))),0),ROUNDDOWN(SUM(AF131,AH131:AI131)/(INDEX('小红书-订单明细'!W:W,MATCH(R131&amp;AC131,'小红书-订单明细'!A:A&amp;'小红书-订单明细'!O:O,0))/(INDEX('小红书-订单明细'!T:T,MATCH(R131&amp;AC131,'小红书-订单明细'!A:A&amp;'小红书-订单明细'!O:O,0)))),0)))</f>
        <v>1</v>
      </c>
      <c r="I131" s="26">
        <f t="shared" si="27"/>
        <v>299</v>
      </c>
      <c r="J131" s="26">
        <f t="shared" si="28"/>
        <v>0</v>
      </c>
      <c r="K131" s="26">
        <f t="shared" si="29"/>
        <v>0</v>
      </c>
      <c r="L131" s="26">
        <f t="shared" si="30"/>
        <v>14.95</v>
      </c>
      <c r="M131" s="26">
        <f t="shared" si="31"/>
        <v>1.79</v>
      </c>
      <c r="N131" s="26"/>
      <c r="O131" s="28">
        <f t="shared" si="32"/>
        <v>282.26</v>
      </c>
      <c r="Q131" s="1" cm="1">
        <f t="array" ref="Q131">SUM(AF131,AH131:AI131)/(INDEX('小红书-订单明细'!W:W,MATCH(R131&amp;AC131,'小红书-订单明细'!A:A&amp;'小红书-订单明细'!O:O,0))/(INDEX('小红书-订单明细'!T:T,MATCH(R131&amp;AC131,'小红书-订单明细'!A:A&amp;'小红书-订单明细'!O:O,0))))</f>
        <v>1</v>
      </c>
      <c r="R131" s="37" t="s">
        <v>658</v>
      </c>
      <c r="S131" s="35"/>
      <c r="T131" s="35" t="s">
        <v>672</v>
      </c>
      <c r="U131" s="35" t="s">
        <v>675</v>
      </c>
      <c r="V131" s="35" t="s">
        <v>2010</v>
      </c>
      <c r="W131" s="38" t="s">
        <v>1755</v>
      </c>
      <c r="X131" s="38" t="s">
        <v>1749</v>
      </c>
      <c r="Y131" s="35">
        <v>282.26</v>
      </c>
      <c r="Z131" s="31" t="s">
        <v>2011</v>
      </c>
      <c r="AA131" s="38" t="s">
        <v>1764</v>
      </c>
      <c r="AB131" s="35" t="s">
        <v>666</v>
      </c>
      <c r="AC131" s="37" t="s">
        <v>667</v>
      </c>
      <c r="AD131" s="32">
        <v>1</v>
      </c>
      <c r="AE131" s="35">
        <v>299</v>
      </c>
      <c r="AF131" s="36">
        <v>299</v>
      </c>
      <c r="AG131" s="35" t="s">
        <v>75</v>
      </c>
      <c r="AH131" s="35">
        <v>0</v>
      </c>
      <c r="AI131" s="33">
        <v>0</v>
      </c>
      <c r="AJ131" s="33">
        <v>0</v>
      </c>
      <c r="AK131" s="32">
        <v>0.05</v>
      </c>
      <c r="AL131" s="32">
        <v>0</v>
      </c>
      <c r="AM131" s="33">
        <v>-14.95</v>
      </c>
      <c r="AN131" s="33">
        <v>299</v>
      </c>
      <c r="AO131" s="32">
        <v>299</v>
      </c>
      <c r="AP131" s="32">
        <v>0</v>
      </c>
      <c r="AQ131" s="34" t="s">
        <v>101</v>
      </c>
      <c r="AR131" s="32">
        <v>0</v>
      </c>
      <c r="AS131" s="32">
        <v>0.006</v>
      </c>
      <c r="AT131" s="33">
        <v>-1.79</v>
      </c>
      <c r="AU131" s="35" t="s">
        <v>148</v>
      </c>
      <c r="AV131" s="38" t="s">
        <v>1752</v>
      </c>
      <c r="AW131" s="38" t="s">
        <v>1753</v>
      </c>
      <c r="AX131" s="35"/>
      <c r="AY131" s="35"/>
      <c r="AZ131" s="33">
        <v>0</v>
      </c>
      <c r="BA131" s="32">
        <v>0</v>
      </c>
      <c r="BB131" s="32">
        <v>0</v>
      </c>
      <c r="BC131" s="32">
        <v>0</v>
      </c>
      <c r="BD131" s="32">
        <v>0</v>
      </c>
      <c r="BE131" s="35"/>
    </row>
    <row r="132" customHeight="1" spans="1:57">
      <c r="A132" s="25">
        <f t="shared" si="22"/>
        <v>2025</v>
      </c>
      <c r="B132" s="26">
        <f t="shared" si="23"/>
        <v>8</v>
      </c>
      <c r="C132" s="26" t="str">
        <f t="shared" si="24"/>
        <v>P770794020469428631</v>
      </c>
      <c r="D132" s="26">
        <f t="shared" si="25"/>
        <v>1</v>
      </c>
      <c r="E132" s="26">
        <f>COUNTIF($R$2:R132,R132)</f>
        <v>1</v>
      </c>
      <c r="F132" s="27" t="str" cm="1">
        <f t="array" ref="F132">INDEX('小红书-订单明细'!BQ:BQ,MATCH(R132&amp;AC132,'小红书-订单明细'!A:A&amp;'小红书-订单明细'!O:O,0))</f>
        <v>Z2378-花纱色-M</v>
      </c>
      <c r="G132" s="27" t="str">
        <f t="shared" si="26"/>
        <v>Z2378</v>
      </c>
      <c r="H132" s="26" cm="1">
        <f t="array" ref="H132">IF(ABS(BG132)&gt;=1,SUM(AF132,AH132:AI132)/(INDEX('小红书-订单明细'!W:W,MATCH(R132&amp;AC132,'小红书-订单明细'!A:A&amp;'小红书-订单明细'!O:O,0))/(INDEX('小红书-订单明细'!T:T,MATCH(R132&amp;AC132,'小红书-订单明细'!A:A&amp;'小红书-订单明细'!O:O,0)))),IF(ABS(SUM(AF132,AH132:AI132)/(INDEX('小红书-订单明细'!W:W,MATCH(R132&amp;AC132,'小红书-订单明细'!A:A&amp;'小红书-订单明细'!O:O,0))/(INDEX('小红书-订单明细'!T:T,MATCH(R132&amp;AC132,'小红书-订单明细'!A:A&amp;'小红书-订单明细'!O:O,0)))))&gt;15%,ROUNDUP(SUM(AF132,AH132:AI132)/(INDEX('小红书-订单明细'!W:W,MATCH(R132&amp;AC132,'小红书-订单明细'!A:A&amp;'小红书-订单明细'!O:O,0))/(INDEX('小红书-订单明细'!T:T,MATCH(R132&amp;AC132,'小红书-订单明细'!A:A&amp;'小红书-订单明细'!O:O,0)))),0),ROUNDDOWN(SUM(AF132,AH132:AI132)/(INDEX('小红书-订单明细'!W:W,MATCH(R132&amp;AC132,'小红书-订单明细'!A:A&amp;'小红书-订单明细'!O:O,0))/(INDEX('小红书-订单明细'!T:T,MATCH(R132&amp;AC132,'小红书-订单明细'!A:A&amp;'小红书-订单明细'!O:O,0)))),0)))</f>
        <v>1</v>
      </c>
      <c r="I132" s="26">
        <f t="shared" si="27"/>
        <v>179</v>
      </c>
      <c r="J132" s="26">
        <f t="shared" si="28"/>
        <v>0</v>
      </c>
      <c r="K132" s="26">
        <f t="shared" si="29"/>
        <v>0</v>
      </c>
      <c r="L132" s="26">
        <f t="shared" si="30"/>
        <v>8.95</v>
      </c>
      <c r="M132" s="26">
        <f t="shared" si="31"/>
        <v>1.07</v>
      </c>
      <c r="N132" s="26"/>
      <c r="O132" s="28">
        <f t="shared" si="32"/>
        <v>168.98</v>
      </c>
      <c r="Q132" s="1" cm="1">
        <f t="array" ref="Q132">SUM(AF132,AH132:AI132)/(INDEX('小红书-订单明细'!W:W,MATCH(R132&amp;AC132,'小红书-订单明细'!A:A&amp;'小红书-订单明细'!O:O,0))/(INDEX('小红书-订单明细'!T:T,MATCH(R132&amp;AC132,'小红书-订单明细'!A:A&amp;'小红书-订单明细'!O:O,0))))</f>
        <v>1</v>
      </c>
      <c r="R132" s="37" t="s">
        <v>1343</v>
      </c>
      <c r="S132" s="35"/>
      <c r="T132" s="35" t="s">
        <v>1272</v>
      </c>
      <c r="U132" s="35" t="s">
        <v>1275</v>
      </c>
      <c r="V132" s="35" t="s">
        <v>2012</v>
      </c>
      <c r="W132" s="38" t="s">
        <v>1755</v>
      </c>
      <c r="X132" s="38" t="s">
        <v>1749</v>
      </c>
      <c r="Y132" s="35">
        <v>168.98</v>
      </c>
      <c r="Z132" s="31" t="s">
        <v>1799</v>
      </c>
      <c r="AA132" s="38" t="s">
        <v>1773</v>
      </c>
      <c r="AB132" s="35" t="s">
        <v>810</v>
      </c>
      <c r="AC132" s="37" t="s">
        <v>811</v>
      </c>
      <c r="AD132" s="32">
        <v>1</v>
      </c>
      <c r="AE132" s="35">
        <v>179</v>
      </c>
      <c r="AF132" s="36">
        <v>179</v>
      </c>
      <c r="AG132" s="35" t="s">
        <v>75</v>
      </c>
      <c r="AH132" s="35">
        <v>0</v>
      </c>
      <c r="AI132" s="33">
        <v>0</v>
      </c>
      <c r="AJ132" s="33">
        <v>0</v>
      </c>
      <c r="AK132" s="32">
        <v>0.05</v>
      </c>
      <c r="AL132" s="32">
        <v>0</v>
      </c>
      <c r="AM132" s="33">
        <v>-8.95</v>
      </c>
      <c r="AN132" s="33">
        <v>179</v>
      </c>
      <c r="AO132" s="32">
        <v>179</v>
      </c>
      <c r="AP132" s="32">
        <v>0</v>
      </c>
      <c r="AQ132" s="34" t="s">
        <v>101</v>
      </c>
      <c r="AR132" s="32">
        <v>0</v>
      </c>
      <c r="AS132" s="32">
        <v>0.006</v>
      </c>
      <c r="AT132" s="33">
        <v>-1.07</v>
      </c>
      <c r="AU132" s="35" t="s">
        <v>148</v>
      </c>
      <c r="AV132" s="38" t="s">
        <v>1752</v>
      </c>
      <c r="AW132" s="38" t="s">
        <v>1753</v>
      </c>
      <c r="AX132" s="35"/>
      <c r="AY132" s="35"/>
      <c r="AZ132" s="33">
        <v>0</v>
      </c>
      <c r="BA132" s="32">
        <v>0</v>
      </c>
      <c r="BB132" s="32">
        <v>0</v>
      </c>
      <c r="BC132" s="32">
        <v>0</v>
      </c>
      <c r="BD132" s="32">
        <v>0</v>
      </c>
      <c r="BE132" s="35"/>
    </row>
    <row r="133" customHeight="1" spans="1:57">
      <c r="A133" s="25">
        <f t="shared" si="22"/>
        <v>2025</v>
      </c>
      <c r="B133" s="26">
        <f t="shared" si="23"/>
        <v>8</v>
      </c>
      <c r="C133" s="26" t="str">
        <f t="shared" si="24"/>
        <v>P770800350927090411</v>
      </c>
      <c r="D133" s="26">
        <f t="shared" si="25"/>
        <v>1</v>
      </c>
      <c r="E133" s="26">
        <f>COUNTIF($R$2:R133,R133)</f>
        <v>1</v>
      </c>
      <c r="F133" s="27" t="str" cm="1">
        <f t="array" ref="F133">INDEX('小红书-订单明细'!BQ:BQ,MATCH(R133&amp;AC133,'小红书-订单明细'!A:A&amp;'小红书-订单明细'!O:O,0))</f>
        <v>Z2375-深藏青色-M</v>
      </c>
      <c r="G133" s="27" t="str">
        <f t="shared" si="26"/>
        <v>Z2375</v>
      </c>
      <c r="H133" s="26" cm="1">
        <f t="array" ref="H133">IF(ABS(BG133)&gt;=1,SUM(AF133,AH133:AI133)/(INDEX('小红书-订单明细'!W:W,MATCH(R133&amp;AC133,'小红书-订单明细'!A:A&amp;'小红书-订单明细'!O:O,0))/(INDEX('小红书-订单明细'!T:T,MATCH(R133&amp;AC133,'小红书-订单明细'!A:A&amp;'小红书-订单明细'!O:O,0)))),IF(ABS(SUM(AF133,AH133:AI133)/(INDEX('小红书-订单明细'!W:W,MATCH(R133&amp;AC133,'小红书-订单明细'!A:A&amp;'小红书-订单明细'!O:O,0))/(INDEX('小红书-订单明细'!T:T,MATCH(R133&amp;AC133,'小红书-订单明细'!A:A&amp;'小红书-订单明细'!O:O,0)))))&gt;15%,ROUNDUP(SUM(AF133,AH133:AI133)/(INDEX('小红书-订单明细'!W:W,MATCH(R133&amp;AC133,'小红书-订单明细'!A:A&amp;'小红书-订单明细'!O:O,0))/(INDEX('小红书-订单明细'!T:T,MATCH(R133&amp;AC133,'小红书-订单明细'!A:A&amp;'小红书-订单明细'!O:O,0)))),0),ROUNDDOWN(SUM(AF133,AH133:AI133)/(INDEX('小红书-订单明细'!W:W,MATCH(R133&amp;AC133,'小红书-订单明细'!A:A&amp;'小红书-订单明细'!O:O,0))/(INDEX('小红书-订单明细'!T:T,MATCH(R133&amp;AC133,'小红书-订单明细'!A:A&amp;'小红书-订单明细'!O:O,0)))),0)))</f>
        <v>1</v>
      </c>
      <c r="I133" s="26">
        <f t="shared" si="27"/>
        <v>299</v>
      </c>
      <c r="J133" s="26">
        <f t="shared" si="28"/>
        <v>0</v>
      </c>
      <c r="K133" s="26">
        <f t="shared" si="29"/>
        <v>0</v>
      </c>
      <c r="L133" s="26">
        <f t="shared" si="30"/>
        <v>14.95</v>
      </c>
      <c r="M133" s="26">
        <f t="shared" si="31"/>
        <v>1.79</v>
      </c>
      <c r="N133" s="26"/>
      <c r="O133" s="28">
        <f t="shared" si="32"/>
        <v>282.26</v>
      </c>
      <c r="Q133" s="1" cm="1">
        <f t="array" ref="Q133">SUM(AF133,AH133:AI133)/(INDEX('小红书-订单明细'!W:W,MATCH(R133&amp;AC133,'小红书-订单明细'!A:A&amp;'小红书-订单明细'!O:O,0))/(INDEX('小红书-订单明细'!T:T,MATCH(R133&amp;AC133,'小红书-订单明细'!A:A&amp;'小红书-订单明细'!O:O,0))))</f>
        <v>1</v>
      </c>
      <c r="R133" s="37" t="s">
        <v>678</v>
      </c>
      <c r="S133" s="35"/>
      <c r="T133" s="35" t="s">
        <v>636</v>
      </c>
      <c r="U133" s="35" t="s">
        <v>675</v>
      </c>
      <c r="V133" s="35" t="s">
        <v>2013</v>
      </c>
      <c r="W133" s="38" t="s">
        <v>1755</v>
      </c>
      <c r="X133" s="38" t="s">
        <v>1749</v>
      </c>
      <c r="Y133" s="35">
        <v>282.26</v>
      </c>
      <c r="Z133" s="31" t="s">
        <v>2011</v>
      </c>
      <c r="AA133" s="38" t="s">
        <v>1764</v>
      </c>
      <c r="AB133" s="35" t="s">
        <v>666</v>
      </c>
      <c r="AC133" s="37" t="s">
        <v>667</v>
      </c>
      <c r="AD133" s="32">
        <v>1</v>
      </c>
      <c r="AE133" s="35">
        <v>299</v>
      </c>
      <c r="AF133" s="36">
        <v>299</v>
      </c>
      <c r="AG133" s="35" t="s">
        <v>75</v>
      </c>
      <c r="AH133" s="35">
        <v>0</v>
      </c>
      <c r="AI133" s="33">
        <v>0</v>
      </c>
      <c r="AJ133" s="33">
        <v>0</v>
      </c>
      <c r="AK133" s="32">
        <v>0.05</v>
      </c>
      <c r="AL133" s="32">
        <v>0</v>
      </c>
      <c r="AM133" s="33">
        <v>-14.95</v>
      </c>
      <c r="AN133" s="33">
        <v>299</v>
      </c>
      <c r="AO133" s="32">
        <v>299</v>
      </c>
      <c r="AP133" s="32">
        <v>0</v>
      </c>
      <c r="AQ133" s="34" t="s">
        <v>101</v>
      </c>
      <c r="AR133" s="32">
        <v>0</v>
      </c>
      <c r="AS133" s="32">
        <v>0.006</v>
      </c>
      <c r="AT133" s="33">
        <v>-1.79</v>
      </c>
      <c r="AU133" s="35" t="s">
        <v>148</v>
      </c>
      <c r="AV133" s="38" t="s">
        <v>1752</v>
      </c>
      <c r="AW133" s="38" t="s">
        <v>1753</v>
      </c>
      <c r="AX133" s="35"/>
      <c r="AY133" s="35"/>
      <c r="AZ133" s="33">
        <v>0</v>
      </c>
      <c r="BA133" s="32">
        <v>0</v>
      </c>
      <c r="BB133" s="32">
        <v>0</v>
      </c>
      <c r="BC133" s="32">
        <v>0</v>
      </c>
      <c r="BD133" s="32">
        <v>0</v>
      </c>
      <c r="BE133" s="35"/>
    </row>
    <row r="134" customHeight="1" spans="1:57">
      <c r="A134" s="25">
        <f t="shared" si="22"/>
        <v>2025</v>
      </c>
      <c r="B134" s="26">
        <f t="shared" si="23"/>
        <v>8</v>
      </c>
      <c r="C134" s="26" t="str">
        <f t="shared" si="24"/>
        <v>P770794018286221631</v>
      </c>
      <c r="D134" s="26">
        <f t="shared" si="25"/>
        <v>1</v>
      </c>
      <c r="E134" s="26">
        <f>COUNTIF($R$2:R134,R134)</f>
        <v>1</v>
      </c>
      <c r="F134" s="27" t="str" cm="1">
        <f t="array" ref="F134">INDEX('小红书-订单明细'!BQ:BQ,MATCH(R134&amp;AC134,'小红书-订单明细'!A:A&amp;'小红书-订单明细'!O:O,0))</f>
        <v>Z2378-花纱色-S</v>
      </c>
      <c r="G134" s="27" t="str">
        <f t="shared" si="26"/>
        <v>Z2378</v>
      </c>
      <c r="H134" s="26" cm="1">
        <f t="array" ref="H134">IF(ABS(BG134)&gt;=1,SUM(AF134,AH134:AI134)/(INDEX('小红书-订单明细'!W:W,MATCH(R134&amp;AC134,'小红书-订单明细'!A:A&amp;'小红书-订单明细'!O:O,0))/(INDEX('小红书-订单明细'!T:T,MATCH(R134&amp;AC134,'小红书-订单明细'!A:A&amp;'小红书-订单明细'!O:O,0)))),IF(ABS(SUM(AF134,AH134:AI134)/(INDEX('小红书-订单明细'!W:W,MATCH(R134&amp;AC134,'小红书-订单明细'!A:A&amp;'小红书-订单明细'!O:O,0))/(INDEX('小红书-订单明细'!T:T,MATCH(R134&amp;AC134,'小红书-订单明细'!A:A&amp;'小红书-订单明细'!O:O,0)))))&gt;15%,ROUNDUP(SUM(AF134,AH134:AI134)/(INDEX('小红书-订单明细'!W:W,MATCH(R134&amp;AC134,'小红书-订单明细'!A:A&amp;'小红书-订单明细'!O:O,0))/(INDEX('小红书-订单明细'!T:T,MATCH(R134&amp;AC134,'小红书-订单明细'!A:A&amp;'小红书-订单明细'!O:O,0)))),0),ROUNDDOWN(SUM(AF134,AH134:AI134)/(INDEX('小红书-订单明细'!W:W,MATCH(R134&amp;AC134,'小红书-订单明细'!A:A&amp;'小红书-订单明细'!O:O,0))/(INDEX('小红书-订单明细'!T:T,MATCH(R134&amp;AC134,'小红书-订单明细'!A:A&amp;'小红书-订单明细'!O:O,0)))),0)))</f>
        <v>1</v>
      </c>
      <c r="I134" s="26">
        <f t="shared" si="27"/>
        <v>179</v>
      </c>
      <c r="J134" s="26">
        <f t="shared" si="28"/>
        <v>0</v>
      </c>
      <c r="K134" s="26">
        <f t="shared" si="29"/>
        <v>0</v>
      </c>
      <c r="L134" s="26">
        <f t="shared" si="30"/>
        <v>8.95</v>
      </c>
      <c r="M134" s="26">
        <f t="shared" si="31"/>
        <v>1.07</v>
      </c>
      <c r="N134" s="26"/>
      <c r="O134" s="28">
        <f t="shared" si="32"/>
        <v>168.98</v>
      </c>
      <c r="Q134" s="1" cm="1">
        <f t="array" ref="Q134">SUM(AF134,AH134:AI134)/(INDEX('小红书-订单明细'!W:W,MATCH(R134&amp;AC134,'小红书-订单明细'!A:A&amp;'小红书-订单明细'!O:O,0))/(INDEX('小红书-订单明细'!T:T,MATCH(R134&amp;AC134,'小红书-订单明细'!A:A&amp;'小红书-订单明细'!O:O,0))))</f>
        <v>1</v>
      </c>
      <c r="R134" s="37" t="s">
        <v>1335</v>
      </c>
      <c r="S134" s="35"/>
      <c r="T134" s="35" t="s">
        <v>1262</v>
      </c>
      <c r="U134" s="35" t="s">
        <v>1265</v>
      </c>
      <c r="V134" s="35" t="s">
        <v>2014</v>
      </c>
      <c r="W134" s="38" t="s">
        <v>1755</v>
      </c>
      <c r="X134" s="38" t="s">
        <v>1749</v>
      </c>
      <c r="Y134" s="35">
        <v>168.98</v>
      </c>
      <c r="Z134" s="31" t="s">
        <v>1807</v>
      </c>
      <c r="AA134" s="38" t="s">
        <v>1773</v>
      </c>
      <c r="AB134" s="35" t="s">
        <v>924</v>
      </c>
      <c r="AC134" s="37" t="s">
        <v>925</v>
      </c>
      <c r="AD134" s="32">
        <v>1</v>
      </c>
      <c r="AE134" s="35">
        <v>179</v>
      </c>
      <c r="AF134" s="36">
        <v>179</v>
      </c>
      <c r="AG134" s="35" t="s">
        <v>75</v>
      </c>
      <c r="AH134" s="35">
        <v>0</v>
      </c>
      <c r="AI134" s="33">
        <v>0</v>
      </c>
      <c r="AJ134" s="33">
        <v>0</v>
      </c>
      <c r="AK134" s="32">
        <v>0.05</v>
      </c>
      <c r="AL134" s="32">
        <v>0</v>
      </c>
      <c r="AM134" s="33">
        <v>-8.95</v>
      </c>
      <c r="AN134" s="33">
        <v>179</v>
      </c>
      <c r="AO134" s="32">
        <v>179</v>
      </c>
      <c r="AP134" s="32">
        <v>0</v>
      </c>
      <c r="AQ134" s="34" t="s">
        <v>101</v>
      </c>
      <c r="AR134" s="32">
        <v>0</v>
      </c>
      <c r="AS134" s="32">
        <v>0.006</v>
      </c>
      <c r="AT134" s="33">
        <v>-1.07</v>
      </c>
      <c r="AU134" s="35" t="s">
        <v>148</v>
      </c>
      <c r="AV134" s="38" t="s">
        <v>1752</v>
      </c>
      <c r="AW134" s="38" t="s">
        <v>1753</v>
      </c>
      <c r="AX134" s="35"/>
      <c r="AY134" s="35"/>
      <c r="AZ134" s="33">
        <v>0</v>
      </c>
      <c r="BA134" s="32">
        <v>0</v>
      </c>
      <c r="BB134" s="32">
        <v>0</v>
      </c>
      <c r="BC134" s="32">
        <v>0</v>
      </c>
      <c r="BD134" s="32">
        <v>0</v>
      </c>
      <c r="BE134" s="35"/>
    </row>
    <row r="135" customHeight="1" spans="1:57">
      <c r="A135" s="25">
        <f t="shared" si="22"/>
        <v>2025</v>
      </c>
      <c r="B135" s="26">
        <f t="shared" si="23"/>
        <v>8</v>
      </c>
      <c r="C135" s="26" t="str">
        <f t="shared" si="24"/>
        <v>P770801203180185471</v>
      </c>
      <c r="D135" s="26">
        <f t="shared" si="25"/>
        <v>1</v>
      </c>
      <c r="E135" s="26">
        <f>COUNTIF($R$2:R135,R135)</f>
        <v>1</v>
      </c>
      <c r="F135" s="27" t="str" cm="1">
        <f t="array" ref="F135">INDEX('小红书-订单明细'!BQ:BQ,MATCH(R135&amp;AC135,'小红书-订单明细'!A:A&amp;'小红书-订单明细'!O:O,0))</f>
        <v>Z2366-灰色-S</v>
      </c>
      <c r="G135" s="27" t="str">
        <f t="shared" si="26"/>
        <v>Z2366</v>
      </c>
      <c r="H135" s="26" cm="1">
        <f t="array" ref="H135">IF(ABS(BG135)&gt;=1,SUM(AF135,AH135:AI135)/(INDEX('小红书-订单明细'!W:W,MATCH(R135&amp;AC135,'小红书-订单明细'!A:A&amp;'小红书-订单明细'!O:O,0))/(INDEX('小红书-订单明细'!T:T,MATCH(R135&amp;AC135,'小红书-订单明细'!A:A&amp;'小红书-订单明细'!O:O,0)))),IF(ABS(SUM(AF135,AH135:AI135)/(INDEX('小红书-订单明细'!W:W,MATCH(R135&amp;AC135,'小红书-订单明细'!A:A&amp;'小红书-订单明细'!O:O,0))/(INDEX('小红书-订单明细'!T:T,MATCH(R135&amp;AC135,'小红书-订单明细'!A:A&amp;'小红书-订单明细'!O:O,0)))))&gt;15%,ROUNDUP(SUM(AF135,AH135:AI135)/(INDEX('小红书-订单明细'!W:W,MATCH(R135&amp;AC135,'小红书-订单明细'!A:A&amp;'小红书-订单明细'!O:O,0))/(INDEX('小红书-订单明细'!T:T,MATCH(R135&amp;AC135,'小红书-订单明细'!A:A&amp;'小红书-订单明细'!O:O,0)))),0),ROUNDDOWN(SUM(AF135,AH135:AI135)/(INDEX('小红书-订单明细'!W:W,MATCH(R135&amp;AC135,'小红书-订单明细'!A:A&amp;'小红书-订单明细'!O:O,0))/(INDEX('小红书-订单明细'!T:T,MATCH(R135&amp;AC135,'小红书-订单明细'!A:A&amp;'小红书-订单明细'!O:O,0)))),0)))</f>
        <v>1</v>
      </c>
      <c r="I135" s="26">
        <f t="shared" si="27"/>
        <v>299</v>
      </c>
      <c r="J135" s="26">
        <f t="shared" si="28"/>
        <v>0</v>
      </c>
      <c r="K135" s="26">
        <f t="shared" si="29"/>
        <v>0</v>
      </c>
      <c r="L135" s="26">
        <f t="shared" si="30"/>
        <v>14.95</v>
      </c>
      <c r="M135" s="26">
        <f t="shared" si="31"/>
        <v>1.79</v>
      </c>
      <c r="N135" s="26"/>
      <c r="O135" s="28">
        <f t="shared" si="32"/>
        <v>282.26</v>
      </c>
      <c r="Q135" s="1" cm="1">
        <f t="array" ref="Q135">SUM(AF135,AH135:AI135)/(INDEX('小红书-订单明细'!W:W,MATCH(R135&amp;AC135,'小红书-订单明细'!A:A&amp;'小红书-订单明细'!O:O,0))/(INDEX('小红书-订单明细'!T:T,MATCH(R135&amp;AC135,'小红书-订单明细'!A:A&amp;'小红书-订单明细'!O:O,0))))</f>
        <v>1</v>
      </c>
      <c r="R135" s="37" t="s">
        <v>563</v>
      </c>
      <c r="S135" s="35"/>
      <c r="T135" s="35" t="s">
        <v>577</v>
      </c>
      <c r="U135" s="35" t="s">
        <v>580</v>
      </c>
      <c r="V135" s="35" t="s">
        <v>2015</v>
      </c>
      <c r="W135" s="38" t="s">
        <v>1755</v>
      </c>
      <c r="X135" s="38" t="s">
        <v>1749</v>
      </c>
      <c r="Y135" s="35">
        <v>282.26</v>
      </c>
      <c r="Z135" s="31" t="s">
        <v>2016</v>
      </c>
      <c r="AA135" s="38" t="s">
        <v>1761</v>
      </c>
      <c r="AB135" s="35" t="s">
        <v>571</v>
      </c>
      <c r="AC135" s="37" t="s">
        <v>572</v>
      </c>
      <c r="AD135" s="32">
        <v>1</v>
      </c>
      <c r="AE135" s="35">
        <v>299</v>
      </c>
      <c r="AF135" s="36">
        <v>299</v>
      </c>
      <c r="AG135" s="35" t="s">
        <v>75</v>
      </c>
      <c r="AH135" s="35">
        <v>0</v>
      </c>
      <c r="AI135" s="33">
        <v>0</v>
      </c>
      <c r="AJ135" s="33">
        <v>0</v>
      </c>
      <c r="AK135" s="32">
        <v>0.05</v>
      </c>
      <c r="AL135" s="32">
        <v>0</v>
      </c>
      <c r="AM135" s="33">
        <v>-14.95</v>
      </c>
      <c r="AN135" s="33">
        <v>299</v>
      </c>
      <c r="AO135" s="32">
        <v>299</v>
      </c>
      <c r="AP135" s="32">
        <v>0</v>
      </c>
      <c r="AQ135" s="34" t="s">
        <v>101</v>
      </c>
      <c r="AR135" s="32">
        <v>0</v>
      </c>
      <c r="AS135" s="32">
        <v>0.006</v>
      </c>
      <c r="AT135" s="33">
        <v>-1.79</v>
      </c>
      <c r="AU135" s="35" t="s">
        <v>148</v>
      </c>
      <c r="AV135" s="38" t="s">
        <v>1752</v>
      </c>
      <c r="AW135" s="38" t="s">
        <v>1753</v>
      </c>
      <c r="AX135" s="35"/>
      <c r="AY135" s="35"/>
      <c r="AZ135" s="33">
        <v>0</v>
      </c>
      <c r="BA135" s="32">
        <v>0</v>
      </c>
      <c r="BB135" s="32">
        <v>0</v>
      </c>
      <c r="BC135" s="32">
        <v>0</v>
      </c>
      <c r="BD135" s="32">
        <v>0</v>
      </c>
      <c r="BE135" s="35"/>
    </row>
    <row r="136" customHeight="1" spans="1:57">
      <c r="A136" s="25">
        <f t="shared" si="22"/>
        <v>2025</v>
      </c>
      <c r="B136" s="26">
        <f t="shared" si="23"/>
        <v>8</v>
      </c>
      <c r="C136" s="26" t="str">
        <f t="shared" si="24"/>
        <v>P770794019357298741</v>
      </c>
      <c r="D136" s="26">
        <f t="shared" si="25"/>
        <v>1</v>
      </c>
      <c r="E136" s="26">
        <f>COUNTIF($R$2:R136,R136)</f>
        <v>1</v>
      </c>
      <c r="F136" s="27" t="str" cm="1">
        <f t="array" ref="F136">INDEX('小红书-订单明细'!BQ:BQ,MATCH(R136&amp;AC136,'小红书-订单明细'!A:A&amp;'小红书-订单明细'!O:O,0))</f>
        <v>Z2378-花纱色-M</v>
      </c>
      <c r="G136" s="27" t="str">
        <f t="shared" si="26"/>
        <v>Z2378</v>
      </c>
      <c r="H136" s="26" cm="1">
        <f t="array" ref="H136">IF(ABS(BG136)&gt;=1,SUM(AF136,AH136:AI136)/(INDEX('小红书-订单明细'!W:W,MATCH(R136&amp;AC136,'小红书-订单明细'!A:A&amp;'小红书-订单明细'!O:O,0))/(INDEX('小红书-订单明细'!T:T,MATCH(R136&amp;AC136,'小红书-订单明细'!A:A&amp;'小红书-订单明细'!O:O,0)))),IF(ABS(SUM(AF136,AH136:AI136)/(INDEX('小红书-订单明细'!W:W,MATCH(R136&amp;AC136,'小红书-订单明细'!A:A&amp;'小红书-订单明细'!O:O,0))/(INDEX('小红书-订单明细'!T:T,MATCH(R136&amp;AC136,'小红书-订单明细'!A:A&amp;'小红书-订单明细'!O:O,0)))))&gt;15%,ROUNDUP(SUM(AF136,AH136:AI136)/(INDEX('小红书-订单明细'!W:W,MATCH(R136&amp;AC136,'小红书-订单明细'!A:A&amp;'小红书-订单明细'!O:O,0))/(INDEX('小红书-订单明细'!T:T,MATCH(R136&amp;AC136,'小红书-订单明细'!A:A&amp;'小红书-订单明细'!O:O,0)))),0),ROUNDDOWN(SUM(AF136,AH136:AI136)/(INDEX('小红书-订单明细'!W:W,MATCH(R136&amp;AC136,'小红书-订单明细'!A:A&amp;'小红书-订单明细'!O:O,0))/(INDEX('小红书-订单明细'!T:T,MATCH(R136&amp;AC136,'小红书-订单明细'!A:A&amp;'小红书-订单明细'!O:O,0)))),0)))</f>
        <v>1</v>
      </c>
      <c r="I136" s="26">
        <f t="shared" si="27"/>
        <v>179</v>
      </c>
      <c r="J136" s="26">
        <f t="shared" si="28"/>
        <v>0</v>
      </c>
      <c r="K136" s="26">
        <f t="shared" si="29"/>
        <v>0</v>
      </c>
      <c r="L136" s="26">
        <f t="shared" si="30"/>
        <v>8.95</v>
      </c>
      <c r="M136" s="26">
        <f t="shared" si="31"/>
        <v>1.07</v>
      </c>
      <c r="N136" s="26"/>
      <c r="O136" s="28">
        <f t="shared" si="32"/>
        <v>168.98</v>
      </c>
      <c r="Q136" s="1" cm="1">
        <f t="array" ref="Q136">SUM(AF136,AH136:AI136)/(INDEX('小红书-订单明细'!W:W,MATCH(R136&amp;AC136,'小红书-订单明细'!A:A&amp;'小红书-订单明细'!O:O,0))/(INDEX('小红书-订单明细'!T:T,MATCH(R136&amp;AC136,'小红书-订单明细'!A:A&amp;'小红书-订单明细'!O:O,0))))</f>
        <v>1</v>
      </c>
      <c r="R136" s="37" t="s">
        <v>1322</v>
      </c>
      <c r="S136" s="35"/>
      <c r="T136" s="35" t="s">
        <v>1332</v>
      </c>
      <c r="U136" s="35" t="s">
        <v>1275</v>
      </c>
      <c r="V136" s="35" t="s">
        <v>2017</v>
      </c>
      <c r="W136" s="38" t="s">
        <v>1755</v>
      </c>
      <c r="X136" s="38" t="s">
        <v>1749</v>
      </c>
      <c r="Y136" s="35">
        <v>168.98</v>
      </c>
      <c r="Z136" s="31" t="s">
        <v>1799</v>
      </c>
      <c r="AA136" s="38" t="s">
        <v>1773</v>
      </c>
      <c r="AB136" s="35" t="s">
        <v>810</v>
      </c>
      <c r="AC136" s="37" t="s">
        <v>811</v>
      </c>
      <c r="AD136" s="32">
        <v>1</v>
      </c>
      <c r="AE136" s="35">
        <v>179</v>
      </c>
      <c r="AF136" s="36">
        <v>179</v>
      </c>
      <c r="AG136" s="35" t="s">
        <v>75</v>
      </c>
      <c r="AH136" s="35">
        <v>0</v>
      </c>
      <c r="AI136" s="33">
        <v>0</v>
      </c>
      <c r="AJ136" s="33">
        <v>0</v>
      </c>
      <c r="AK136" s="32">
        <v>0.05</v>
      </c>
      <c r="AL136" s="32">
        <v>0</v>
      </c>
      <c r="AM136" s="33">
        <v>-8.95</v>
      </c>
      <c r="AN136" s="33">
        <v>179</v>
      </c>
      <c r="AO136" s="32">
        <v>179</v>
      </c>
      <c r="AP136" s="32">
        <v>0</v>
      </c>
      <c r="AQ136" s="34" t="s">
        <v>101</v>
      </c>
      <c r="AR136" s="32">
        <v>0</v>
      </c>
      <c r="AS136" s="32">
        <v>0.006</v>
      </c>
      <c r="AT136" s="33">
        <v>-1.07</v>
      </c>
      <c r="AU136" s="35" t="s">
        <v>148</v>
      </c>
      <c r="AV136" s="38" t="s">
        <v>1752</v>
      </c>
      <c r="AW136" s="38" t="s">
        <v>1753</v>
      </c>
      <c r="AX136" s="35"/>
      <c r="AY136" s="35"/>
      <c r="AZ136" s="33">
        <v>0</v>
      </c>
      <c r="BA136" s="32">
        <v>0</v>
      </c>
      <c r="BB136" s="32">
        <v>0</v>
      </c>
      <c r="BC136" s="32">
        <v>0</v>
      </c>
      <c r="BD136" s="32">
        <v>0</v>
      </c>
      <c r="BE136" s="35"/>
    </row>
    <row r="137" customHeight="1" spans="1:57">
      <c r="A137" s="25">
        <f t="shared" si="22"/>
        <v>2025</v>
      </c>
      <c r="B137" s="26">
        <f t="shared" si="23"/>
        <v>8</v>
      </c>
      <c r="C137" s="26" t="str">
        <f t="shared" si="24"/>
        <v>P770388218319370581</v>
      </c>
      <c r="D137" s="26">
        <f t="shared" si="25"/>
        <v>1</v>
      </c>
      <c r="E137" s="26">
        <f>COUNTIF($R$2:R137,R137)</f>
        <v>1</v>
      </c>
      <c r="F137" s="27" t="str" cm="1">
        <f t="array" ref="F137">INDEX('小红书-订单明细'!BQ:BQ,MATCH(R137&amp;AC137,'小红书-订单明细'!A:A&amp;'小红书-订单明细'!O:O,0))</f>
        <v>Z2333-米白色-S</v>
      </c>
      <c r="G137" s="27" t="str">
        <f t="shared" si="26"/>
        <v>Z2333</v>
      </c>
      <c r="H137" s="26" cm="1">
        <f t="array" ref="H137">IF(ABS(BG137)&gt;=1,SUM(AF137,AH137:AI137)/(INDEX('小红书-订单明细'!W:W,MATCH(R137&amp;AC137,'小红书-订单明细'!A:A&amp;'小红书-订单明细'!O:O,0))/(INDEX('小红书-订单明细'!T:T,MATCH(R137&amp;AC137,'小红书-订单明细'!A:A&amp;'小红书-订单明细'!O:O,0)))),IF(ABS(SUM(AF137,AH137:AI137)/(INDEX('小红书-订单明细'!W:W,MATCH(R137&amp;AC137,'小红书-订单明细'!A:A&amp;'小红书-订单明细'!O:O,0))/(INDEX('小红书-订单明细'!T:T,MATCH(R137&amp;AC137,'小红书-订单明细'!A:A&amp;'小红书-订单明细'!O:O,0)))))&gt;15%,ROUNDUP(SUM(AF137,AH137:AI137)/(INDEX('小红书-订单明细'!W:W,MATCH(R137&amp;AC137,'小红书-订单明细'!A:A&amp;'小红书-订单明细'!O:O,0))/(INDEX('小红书-订单明细'!T:T,MATCH(R137&amp;AC137,'小红书-订单明细'!A:A&amp;'小红书-订单明细'!O:O,0)))),0),ROUNDDOWN(SUM(AF137,AH137:AI137)/(INDEX('小红书-订单明细'!W:W,MATCH(R137&amp;AC137,'小红书-订单明细'!A:A&amp;'小红书-订单明细'!O:O,0))/(INDEX('小红书-订单明细'!T:T,MATCH(R137&amp;AC137,'小红书-订单明细'!A:A&amp;'小红书-订单明细'!O:O,0)))),0)))</f>
        <v>1</v>
      </c>
      <c r="I137" s="26">
        <f t="shared" si="27"/>
        <v>169</v>
      </c>
      <c r="J137" s="26">
        <f t="shared" si="28"/>
        <v>0</v>
      </c>
      <c r="K137" s="26">
        <f t="shared" si="29"/>
        <v>0</v>
      </c>
      <c r="L137" s="26">
        <f t="shared" si="30"/>
        <v>8.45</v>
      </c>
      <c r="M137" s="26">
        <f t="shared" si="31"/>
        <v>1.01</v>
      </c>
      <c r="N137" s="26"/>
      <c r="O137" s="28">
        <f t="shared" si="32"/>
        <v>159.54</v>
      </c>
      <c r="Q137" s="1" cm="1">
        <f t="array" ref="Q137">SUM(AF137,AH137:AI137)/(INDEX('小红书-订单明细'!W:W,MATCH(R137&amp;AC137,'小红书-订单明细'!A:A&amp;'小红书-订单明细'!O:O,0))/(INDEX('小红书-订单明细'!T:T,MATCH(R137&amp;AC137,'小红书-订单明细'!A:A&amp;'小红书-订单明细'!O:O,0))))</f>
        <v>1</v>
      </c>
      <c r="R137" s="37" t="s">
        <v>1567</v>
      </c>
      <c r="S137" s="35"/>
      <c r="T137" s="35" t="s">
        <v>1581</v>
      </c>
      <c r="U137" s="35" t="s">
        <v>1584</v>
      </c>
      <c r="V137" s="35" t="s">
        <v>2018</v>
      </c>
      <c r="W137" s="38" t="s">
        <v>1755</v>
      </c>
      <c r="X137" s="38" t="s">
        <v>1749</v>
      </c>
      <c r="Y137" s="35">
        <v>159.54</v>
      </c>
      <c r="Z137" s="31" t="s">
        <v>1988</v>
      </c>
      <c r="AA137" s="38" t="s">
        <v>1761</v>
      </c>
      <c r="AB137" s="35" t="s">
        <v>1574</v>
      </c>
      <c r="AC137" s="37" t="s">
        <v>1575</v>
      </c>
      <c r="AD137" s="32">
        <v>1</v>
      </c>
      <c r="AE137" s="35">
        <v>169</v>
      </c>
      <c r="AF137" s="36">
        <v>169</v>
      </c>
      <c r="AG137" s="35" t="s">
        <v>75</v>
      </c>
      <c r="AH137" s="35">
        <v>0</v>
      </c>
      <c r="AI137" s="33">
        <v>0</v>
      </c>
      <c r="AJ137" s="33">
        <v>0</v>
      </c>
      <c r="AK137" s="32">
        <v>0.05</v>
      </c>
      <c r="AL137" s="32">
        <v>0</v>
      </c>
      <c r="AM137" s="33">
        <v>-8.45</v>
      </c>
      <c r="AN137" s="33">
        <v>169</v>
      </c>
      <c r="AO137" s="32">
        <v>169</v>
      </c>
      <c r="AP137" s="32">
        <v>0</v>
      </c>
      <c r="AQ137" s="34" t="s">
        <v>101</v>
      </c>
      <c r="AR137" s="32">
        <v>0</v>
      </c>
      <c r="AS137" s="32">
        <v>0.006</v>
      </c>
      <c r="AT137" s="33">
        <v>-1.01</v>
      </c>
      <c r="AU137" s="35" t="s">
        <v>148</v>
      </c>
      <c r="AV137" s="38" t="s">
        <v>1752</v>
      </c>
      <c r="AW137" s="38" t="s">
        <v>1753</v>
      </c>
      <c r="AX137" s="35"/>
      <c r="AY137" s="35"/>
      <c r="AZ137" s="33">
        <v>0</v>
      </c>
      <c r="BA137" s="32">
        <v>0</v>
      </c>
      <c r="BB137" s="32">
        <v>0</v>
      </c>
      <c r="BC137" s="32">
        <v>0</v>
      </c>
      <c r="BD137" s="32">
        <v>0</v>
      </c>
      <c r="BE137" s="35"/>
    </row>
    <row r="138" customHeight="1" spans="1:57">
      <c r="A138" s="25">
        <f t="shared" si="22"/>
        <v>2025</v>
      </c>
      <c r="B138" s="26">
        <f t="shared" si="23"/>
        <v>8</v>
      </c>
      <c r="C138" s="26" t="str">
        <f t="shared" si="24"/>
        <v>P770800347247449271</v>
      </c>
      <c r="D138" s="26">
        <f t="shared" si="25"/>
        <v>1</v>
      </c>
      <c r="E138" s="26">
        <f>COUNTIF($R$2:R138,R138)</f>
        <v>1</v>
      </c>
      <c r="F138" s="27" t="str" cm="1">
        <f t="array" ref="F138">INDEX('小红书-订单明细'!BQ:BQ,MATCH(R138&amp;AC138,'小红书-订单明细'!A:A&amp;'小红书-订单明细'!O:O,0))</f>
        <v>Z2375-深藏青色-M</v>
      </c>
      <c r="G138" s="27" t="str">
        <f t="shared" si="26"/>
        <v>Z2375</v>
      </c>
      <c r="H138" s="26" cm="1">
        <f t="array" ref="H138">IF(ABS(BG138)&gt;=1,SUM(AF138,AH138:AI138)/(INDEX('小红书-订单明细'!W:W,MATCH(R138&amp;AC138,'小红书-订单明细'!A:A&amp;'小红书-订单明细'!O:O,0))/(INDEX('小红书-订单明细'!T:T,MATCH(R138&amp;AC138,'小红书-订单明细'!A:A&amp;'小红书-订单明细'!O:O,0)))),IF(ABS(SUM(AF138,AH138:AI138)/(INDEX('小红书-订单明细'!W:W,MATCH(R138&amp;AC138,'小红书-订单明细'!A:A&amp;'小红书-订单明细'!O:O,0))/(INDEX('小红书-订单明细'!T:T,MATCH(R138&amp;AC138,'小红书-订单明细'!A:A&amp;'小红书-订单明细'!O:O,0)))))&gt;15%,ROUNDUP(SUM(AF138,AH138:AI138)/(INDEX('小红书-订单明细'!W:W,MATCH(R138&amp;AC138,'小红书-订单明细'!A:A&amp;'小红书-订单明细'!O:O,0))/(INDEX('小红书-订单明细'!T:T,MATCH(R138&amp;AC138,'小红书-订单明细'!A:A&amp;'小红书-订单明细'!O:O,0)))),0),ROUNDDOWN(SUM(AF138,AH138:AI138)/(INDEX('小红书-订单明细'!W:W,MATCH(R138&amp;AC138,'小红书-订单明细'!A:A&amp;'小红书-订单明细'!O:O,0))/(INDEX('小红书-订单明细'!T:T,MATCH(R138&amp;AC138,'小红书-订单明细'!A:A&amp;'小红书-订单明细'!O:O,0)))),0)))</f>
        <v>1</v>
      </c>
      <c r="I138" s="26">
        <f t="shared" si="27"/>
        <v>299</v>
      </c>
      <c r="J138" s="26">
        <f t="shared" si="28"/>
        <v>0</v>
      </c>
      <c r="K138" s="26">
        <f t="shared" si="29"/>
        <v>0</v>
      </c>
      <c r="L138" s="26">
        <f t="shared" si="30"/>
        <v>14.95</v>
      </c>
      <c r="M138" s="26">
        <f t="shared" si="31"/>
        <v>1.79</v>
      </c>
      <c r="N138" s="26"/>
      <c r="O138" s="28">
        <f t="shared" si="32"/>
        <v>282.26</v>
      </c>
      <c r="Q138" s="1" cm="1">
        <f t="array" ref="Q138">SUM(AF138,AH138:AI138)/(INDEX('小红书-订单明细'!W:W,MATCH(R138&amp;AC138,'小红书-订单明细'!A:A&amp;'小红书-订单明细'!O:O,0))/(INDEX('小红书-订单明细'!T:T,MATCH(R138&amp;AC138,'小红书-订单明细'!A:A&amp;'小红书-订单明细'!O:O,0))))</f>
        <v>1</v>
      </c>
      <c r="R138" s="37" t="s">
        <v>690</v>
      </c>
      <c r="S138" s="35"/>
      <c r="T138" s="35" t="s">
        <v>650</v>
      </c>
      <c r="U138" s="35" t="s">
        <v>675</v>
      </c>
      <c r="V138" s="35" t="s">
        <v>2019</v>
      </c>
      <c r="W138" s="38" t="s">
        <v>1755</v>
      </c>
      <c r="X138" s="38" t="s">
        <v>1749</v>
      </c>
      <c r="Y138" s="35">
        <v>282.26</v>
      </c>
      <c r="Z138" s="31" t="s">
        <v>2011</v>
      </c>
      <c r="AA138" s="38" t="s">
        <v>1764</v>
      </c>
      <c r="AB138" s="35" t="s">
        <v>666</v>
      </c>
      <c r="AC138" s="37" t="s">
        <v>667</v>
      </c>
      <c r="AD138" s="32">
        <v>1</v>
      </c>
      <c r="AE138" s="35">
        <v>299</v>
      </c>
      <c r="AF138" s="36">
        <v>299</v>
      </c>
      <c r="AG138" s="35" t="s">
        <v>75</v>
      </c>
      <c r="AH138" s="35">
        <v>0</v>
      </c>
      <c r="AI138" s="33">
        <v>0</v>
      </c>
      <c r="AJ138" s="33">
        <v>0</v>
      </c>
      <c r="AK138" s="32">
        <v>0.05</v>
      </c>
      <c r="AL138" s="32">
        <v>0</v>
      </c>
      <c r="AM138" s="33">
        <v>-14.95</v>
      </c>
      <c r="AN138" s="33">
        <v>299</v>
      </c>
      <c r="AO138" s="32">
        <v>299</v>
      </c>
      <c r="AP138" s="32">
        <v>0</v>
      </c>
      <c r="AQ138" s="34" t="s">
        <v>101</v>
      </c>
      <c r="AR138" s="32">
        <v>0</v>
      </c>
      <c r="AS138" s="32">
        <v>0.006</v>
      </c>
      <c r="AT138" s="33">
        <v>-1.79</v>
      </c>
      <c r="AU138" s="35" t="s">
        <v>148</v>
      </c>
      <c r="AV138" s="38" t="s">
        <v>1752</v>
      </c>
      <c r="AW138" s="38" t="s">
        <v>1753</v>
      </c>
      <c r="AX138" s="35"/>
      <c r="AY138" s="35"/>
      <c r="AZ138" s="33">
        <v>0</v>
      </c>
      <c r="BA138" s="32">
        <v>0</v>
      </c>
      <c r="BB138" s="32">
        <v>0</v>
      </c>
      <c r="BC138" s="32">
        <v>0</v>
      </c>
      <c r="BD138" s="32">
        <v>0</v>
      </c>
      <c r="BE138" s="35"/>
    </row>
    <row r="139" customHeight="1" spans="1:57">
      <c r="A139" s="25">
        <f t="shared" si="22"/>
        <v>2025</v>
      </c>
      <c r="B139" s="26">
        <f t="shared" si="23"/>
        <v>8</v>
      </c>
      <c r="C139" s="26" t="str">
        <f t="shared" si="24"/>
        <v>P770388132291000981</v>
      </c>
      <c r="D139" s="26">
        <f t="shared" si="25"/>
        <v>1</v>
      </c>
      <c r="E139" s="26">
        <f>COUNTIF($R$2:R139,R139)</f>
        <v>1</v>
      </c>
      <c r="F139" s="27" t="str" cm="1">
        <f t="array" ref="F139">INDEX('小红书-订单明细'!BQ:BQ,MATCH(R139&amp;AC139,'小红书-订单明细'!A:A&amp;'小红书-订单明细'!O:O,0))</f>
        <v>Z2333-米白色-S</v>
      </c>
      <c r="G139" s="27" t="str">
        <f t="shared" si="26"/>
        <v>Z2333</v>
      </c>
      <c r="H139" s="26" cm="1">
        <f t="array" ref="H139">IF(ABS(BG139)&gt;=1,SUM(AF139,AH139:AI139)/(INDEX('小红书-订单明细'!W:W,MATCH(R139&amp;AC139,'小红书-订单明细'!A:A&amp;'小红书-订单明细'!O:O,0))/(INDEX('小红书-订单明细'!T:T,MATCH(R139&amp;AC139,'小红书-订单明细'!A:A&amp;'小红书-订单明细'!O:O,0)))),IF(ABS(SUM(AF139,AH139:AI139)/(INDEX('小红书-订单明细'!W:W,MATCH(R139&amp;AC139,'小红书-订单明细'!A:A&amp;'小红书-订单明细'!O:O,0))/(INDEX('小红书-订单明细'!T:T,MATCH(R139&amp;AC139,'小红书-订单明细'!A:A&amp;'小红书-订单明细'!O:O,0)))))&gt;15%,ROUNDUP(SUM(AF139,AH139:AI139)/(INDEX('小红书-订单明细'!W:W,MATCH(R139&amp;AC139,'小红书-订单明细'!A:A&amp;'小红书-订单明细'!O:O,0))/(INDEX('小红书-订单明细'!T:T,MATCH(R139&amp;AC139,'小红书-订单明细'!A:A&amp;'小红书-订单明细'!O:O,0)))),0),ROUNDDOWN(SUM(AF139,AH139:AI139)/(INDEX('小红书-订单明细'!W:W,MATCH(R139&amp;AC139,'小红书-订单明细'!A:A&amp;'小红书-订单明细'!O:O,0))/(INDEX('小红书-订单明细'!T:T,MATCH(R139&amp;AC139,'小红书-订单明细'!A:A&amp;'小红书-订单明细'!O:O,0)))),0)))</f>
        <v>1</v>
      </c>
      <c r="I139" s="26">
        <f t="shared" si="27"/>
        <v>169</v>
      </c>
      <c r="J139" s="26">
        <f t="shared" si="28"/>
        <v>0</v>
      </c>
      <c r="K139" s="26">
        <f t="shared" si="29"/>
        <v>0</v>
      </c>
      <c r="L139" s="26">
        <f t="shared" si="30"/>
        <v>8.45</v>
      </c>
      <c r="M139" s="26">
        <f t="shared" si="31"/>
        <v>1.01</v>
      </c>
      <c r="N139" s="26"/>
      <c r="O139" s="28">
        <f t="shared" si="32"/>
        <v>159.54</v>
      </c>
      <c r="Q139" s="1" cm="1">
        <f t="array" ref="Q139">SUM(AF139,AH139:AI139)/(INDEX('小红书-订单明细'!W:W,MATCH(R139&amp;AC139,'小红书-订单明细'!A:A&amp;'小红书-订单明细'!O:O,0))/(INDEX('小红书-订单明细'!T:T,MATCH(R139&amp;AC139,'小红书-订单明细'!A:A&amp;'小红书-订单明细'!O:O,0))))</f>
        <v>1</v>
      </c>
      <c r="R139" s="37" t="s">
        <v>1587</v>
      </c>
      <c r="S139" s="35"/>
      <c r="T139" s="35" t="s">
        <v>1596</v>
      </c>
      <c r="U139" s="35" t="s">
        <v>1599</v>
      </c>
      <c r="V139" s="35" t="s">
        <v>2020</v>
      </c>
      <c r="W139" s="38" t="s">
        <v>1755</v>
      </c>
      <c r="X139" s="38" t="s">
        <v>1749</v>
      </c>
      <c r="Y139" s="35">
        <v>159.54</v>
      </c>
      <c r="Z139" s="31" t="s">
        <v>1988</v>
      </c>
      <c r="AA139" s="38" t="s">
        <v>1761</v>
      </c>
      <c r="AB139" s="35" t="s">
        <v>1574</v>
      </c>
      <c r="AC139" s="37" t="s">
        <v>1575</v>
      </c>
      <c r="AD139" s="32">
        <v>1</v>
      </c>
      <c r="AE139" s="35">
        <v>169</v>
      </c>
      <c r="AF139" s="36">
        <v>169</v>
      </c>
      <c r="AG139" s="35" t="s">
        <v>75</v>
      </c>
      <c r="AH139" s="35">
        <v>0</v>
      </c>
      <c r="AI139" s="33">
        <v>0</v>
      </c>
      <c r="AJ139" s="33">
        <v>0</v>
      </c>
      <c r="AK139" s="32">
        <v>0.05</v>
      </c>
      <c r="AL139" s="32">
        <v>0</v>
      </c>
      <c r="AM139" s="33">
        <v>-8.45</v>
      </c>
      <c r="AN139" s="33">
        <v>169</v>
      </c>
      <c r="AO139" s="32">
        <v>169</v>
      </c>
      <c r="AP139" s="32">
        <v>0</v>
      </c>
      <c r="AQ139" s="34" t="s">
        <v>101</v>
      </c>
      <c r="AR139" s="32">
        <v>0</v>
      </c>
      <c r="AS139" s="32">
        <v>0.006</v>
      </c>
      <c r="AT139" s="33">
        <v>-1.01</v>
      </c>
      <c r="AU139" s="35" t="s">
        <v>148</v>
      </c>
      <c r="AV139" s="38" t="s">
        <v>1752</v>
      </c>
      <c r="AW139" s="38" t="s">
        <v>1753</v>
      </c>
      <c r="AX139" s="35"/>
      <c r="AY139" s="35"/>
      <c r="AZ139" s="33">
        <v>0</v>
      </c>
      <c r="BA139" s="32">
        <v>0</v>
      </c>
      <c r="BB139" s="32">
        <v>0</v>
      </c>
      <c r="BC139" s="32">
        <v>0</v>
      </c>
      <c r="BD139" s="32">
        <v>0</v>
      </c>
      <c r="BE139" s="35"/>
    </row>
    <row r="140" customHeight="1" spans="1:57">
      <c r="A140" s="25">
        <f t="shared" si="22"/>
        <v>2025</v>
      </c>
      <c r="B140" s="26">
        <f t="shared" si="23"/>
        <v>8</v>
      </c>
      <c r="C140" s="26" t="str">
        <f t="shared" si="24"/>
        <v>P770802417453059131</v>
      </c>
      <c r="D140" s="26">
        <f t="shared" si="25"/>
        <v>1</v>
      </c>
      <c r="E140" s="26">
        <f>COUNTIF($R$2:R140,R140)</f>
        <v>1</v>
      </c>
      <c r="F140" s="27" t="str" cm="1">
        <f t="array" ref="F140">INDEX('小红书-订单明细'!BQ:BQ,MATCH(R140&amp;AC140,'小红书-订单明细'!A:A&amp;'小红书-订单明细'!O:O,0))</f>
        <v>Z2351-黑色-L</v>
      </c>
      <c r="G140" s="27" t="str">
        <f t="shared" si="26"/>
        <v>Z2351</v>
      </c>
      <c r="H140" s="26" cm="1">
        <f t="array" ref="H140">IF(ABS(BG140)&gt;=1,SUM(AF140,AH140:AI140)/(INDEX('小红书-订单明细'!W:W,MATCH(R140&amp;AC140,'小红书-订单明细'!A:A&amp;'小红书-订单明细'!O:O,0))/(INDEX('小红书-订单明细'!T:T,MATCH(R140&amp;AC140,'小红书-订单明细'!A:A&amp;'小红书-订单明细'!O:O,0)))),IF(ABS(SUM(AF140,AH140:AI140)/(INDEX('小红书-订单明细'!W:W,MATCH(R140&amp;AC140,'小红书-订单明细'!A:A&amp;'小红书-订单明细'!O:O,0))/(INDEX('小红书-订单明细'!T:T,MATCH(R140&amp;AC140,'小红书-订单明细'!A:A&amp;'小红书-订单明细'!O:O,0)))))&gt;15%,ROUNDUP(SUM(AF140,AH140:AI140)/(INDEX('小红书-订单明细'!W:W,MATCH(R140&amp;AC140,'小红书-订单明细'!A:A&amp;'小红书-订单明细'!O:O,0))/(INDEX('小红书-订单明细'!T:T,MATCH(R140&amp;AC140,'小红书-订单明细'!A:A&amp;'小红书-订单明细'!O:O,0)))),0),ROUNDDOWN(SUM(AF140,AH140:AI140)/(INDEX('小红书-订单明细'!W:W,MATCH(R140&amp;AC140,'小红书-订单明细'!A:A&amp;'小红书-订单明细'!O:O,0))/(INDEX('小红书-订单明细'!T:T,MATCH(R140&amp;AC140,'小红书-订单明细'!A:A&amp;'小红书-订单明细'!O:O,0)))),0)))</f>
        <v>1</v>
      </c>
      <c r="I140" s="26">
        <f t="shared" si="27"/>
        <v>219</v>
      </c>
      <c r="J140" s="26">
        <f t="shared" si="28"/>
        <v>0</v>
      </c>
      <c r="K140" s="26">
        <f t="shared" si="29"/>
        <v>10</v>
      </c>
      <c r="L140" s="26">
        <f t="shared" si="30"/>
        <v>10.95</v>
      </c>
      <c r="M140" s="26">
        <f t="shared" si="31"/>
        <v>1.31</v>
      </c>
      <c r="N140" s="26"/>
      <c r="O140" s="28">
        <f t="shared" si="32"/>
        <v>216.74</v>
      </c>
      <c r="Q140" s="1" cm="1">
        <f t="array" ref="Q140">SUM(AF140,AH140:AI140)/(INDEX('小红书-订单明细'!W:W,MATCH(R140&amp;AC140,'小红书-订单明细'!A:A&amp;'小红书-订单明细'!O:O,0))/(INDEX('小红书-订单明细'!T:T,MATCH(R140&amp;AC140,'小红书-订单明细'!A:A&amp;'小红书-订单明细'!O:O,0))))</f>
        <v>1</v>
      </c>
      <c r="R140" s="37" t="s">
        <v>547</v>
      </c>
      <c r="S140" s="35"/>
      <c r="T140" s="35" t="s">
        <v>559</v>
      </c>
      <c r="U140" s="35" t="s">
        <v>561</v>
      </c>
      <c r="V140" s="35" t="s">
        <v>2021</v>
      </c>
      <c r="W140" s="38" t="s">
        <v>1755</v>
      </c>
      <c r="X140" s="38" t="s">
        <v>1749</v>
      </c>
      <c r="Y140" s="35">
        <v>216.74</v>
      </c>
      <c r="Z140" s="31" t="s">
        <v>1976</v>
      </c>
      <c r="AA140" s="38" t="s">
        <v>1761</v>
      </c>
      <c r="AB140" s="35" t="s">
        <v>532</v>
      </c>
      <c r="AC140" s="37" t="s">
        <v>533</v>
      </c>
      <c r="AD140" s="32">
        <v>1</v>
      </c>
      <c r="AE140" s="35">
        <v>219</v>
      </c>
      <c r="AF140" s="36">
        <v>219</v>
      </c>
      <c r="AG140" s="35" t="s">
        <v>75</v>
      </c>
      <c r="AH140" s="35">
        <v>0</v>
      </c>
      <c r="AI140" s="33">
        <v>0</v>
      </c>
      <c r="AJ140" s="33">
        <v>0</v>
      </c>
      <c r="AK140" s="32">
        <v>0.05</v>
      </c>
      <c r="AL140" s="32">
        <v>0</v>
      </c>
      <c r="AM140" s="33">
        <v>-10.95</v>
      </c>
      <c r="AN140" s="33">
        <v>219</v>
      </c>
      <c r="AO140" s="32">
        <v>219</v>
      </c>
      <c r="AP140" s="32">
        <v>0</v>
      </c>
      <c r="AQ140" s="34" t="s">
        <v>101</v>
      </c>
      <c r="AR140" s="32">
        <v>0</v>
      </c>
      <c r="AS140" s="32">
        <v>0.006</v>
      </c>
      <c r="AT140" s="33">
        <v>-1.31</v>
      </c>
      <c r="AU140" s="35" t="s">
        <v>148</v>
      </c>
      <c r="AV140" s="38" t="s">
        <v>1752</v>
      </c>
      <c r="AW140" s="38" t="s">
        <v>1753</v>
      </c>
      <c r="AX140" s="35"/>
      <c r="AY140" s="35"/>
      <c r="AZ140" s="33">
        <v>10</v>
      </c>
      <c r="BA140" s="32">
        <v>0</v>
      </c>
      <c r="BB140" s="32">
        <v>0</v>
      </c>
      <c r="BC140" s="32">
        <v>0</v>
      </c>
      <c r="BD140" s="32">
        <v>0</v>
      </c>
      <c r="BE140" s="35"/>
    </row>
    <row r="141" customHeight="1" spans="1:57">
      <c r="A141" s="25">
        <f t="shared" si="22"/>
        <v>2025</v>
      </c>
      <c r="B141" s="26">
        <f t="shared" si="23"/>
        <v>8</v>
      </c>
      <c r="C141" s="26" t="str">
        <f t="shared" si="24"/>
        <v>P770800349964423951</v>
      </c>
      <c r="D141" s="26">
        <f t="shared" si="25"/>
        <v>1</v>
      </c>
      <c r="E141" s="26">
        <f>COUNTIF($R$2:R141,R141)</f>
        <v>1</v>
      </c>
      <c r="F141" s="27" t="str" cm="1">
        <f t="array" ref="F141">INDEX('小红书-订单明细'!BQ:BQ,MATCH(R141&amp;AC141,'小红书-订单明细'!A:A&amp;'小红书-订单明细'!O:O,0))</f>
        <v>Z2375-深藏青色-L</v>
      </c>
      <c r="G141" s="27" t="str">
        <f t="shared" si="26"/>
        <v>Z2375</v>
      </c>
      <c r="H141" s="26" cm="1">
        <f t="array" ref="H141">IF(ABS(BG141)&gt;=1,SUM(AF141,AH141:AI141)/(INDEX('小红书-订单明细'!W:W,MATCH(R141&amp;AC141,'小红书-订单明细'!A:A&amp;'小红书-订单明细'!O:O,0))/(INDEX('小红书-订单明细'!T:T,MATCH(R141&amp;AC141,'小红书-订单明细'!A:A&amp;'小红书-订单明细'!O:O,0)))),IF(ABS(SUM(AF141,AH141:AI141)/(INDEX('小红书-订单明细'!W:W,MATCH(R141&amp;AC141,'小红书-订单明细'!A:A&amp;'小红书-订单明细'!O:O,0))/(INDEX('小红书-订单明细'!T:T,MATCH(R141&amp;AC141,'小红书-订单明细'!A:A&amp;'小红书-订单明细'!O:O,0)))))&gt;15%,ROUNDUP(SUM(AF141,AH141:AI141)/(INDEX('小红书-订单明细'!W:W,MATCH(R141&amp;AC141,'小红书-订单明细'!A:A&amp;'小红书-订单明细'!O:O,0))/(INDEX('小红书-订单明细'!T:T,MATCH(R141&amp;AC141,'小红书-订单明细'!A:A&amp;'小红书-订单明细'!O:O,0)))),0),ROUNDDOWN(SUM(AF141,AH141:AI141)/(INDEX('小红书-订单明细'!W:W,MATCH(R141&amp;AC141,'小红书-订单明细'!A:A&amp;'小红书-订单明细'!O:O,0))/(INDEX('小红书-订单明细'!T:T,MATCH(R141&amp;AC141,'小红书-订单明细'!A:A&amp;'小红书-订单明细'!O:O,0)))),0)))</f>
        <v>1</v>
      </c>
      <c r="I141" s="26">
        <f t="shared" si="27"/>
        <v>299</v>
      </c>
      <c r="J141" s="26">
        <f t="shared" si="28"/>
        <v>0</v>
      </c>
      <c r="K141" s="26">
        <f t="shared" si="29"/>
        <v>0</v>
      </c>
      <c r="L141" s="26">
        <f t="shared" si="30"/>
        <v>14.95</v>
      </c>
      <c r="M141" s="26">
        <f t="shared" si="31"/>
        <v>1.79</v>
      </c>
      <c r="N141" s="26"/>
      <c r="O141" s="28">
        <f t="shared" si="32"/>
        <v>282.26</v>
      </c>
      <c r="Q141" s="1" cm="1">
        <f t="array" ref="Q141">SUM(AF141,AH141:AI141)/(INDEX('小红书-订单明细'!W:W,MATCH(R141&amp;AC141,'小红书-订单明细'!A:A&amp;'小红书-订单明细'!O:O,0))/(INDEX('小红书-订单明细'!T:T,MATCH(R141&amp;AC141,'小红书-订单明细'!A:A&amp;'小红书-订单明细'!O:O,0))))</f>
        <v>1</v>
      </c>
      <c r="R141" s="37" t="s">
        <v>628</v>
      </c>
      <c r="S141" s="35"/>
      <c r="T141" s="35" t="s">
        <v>636</v>
      </c>
      <c r="U141" s="35" t="s">
        <v>603</v>
      </c>
      <c r="V141" s="35" t="s">
        <v>2022</v>
      </c>
      <c r="W141" s="38" t="s">
        <v>1755</v>
      </c>
      <c r="X141" s="38" t="s">
        <v>1749</v>
      </c>
      <c r="Y141" s="35">
        <v>282.26</v>
      </c>
      <c r="Z141" s="31" t="s">
        <v>2004</v>
      </c>
      <c r="AA141" s="38" t="s">
        <v>1764</v>
      </c>
      <c r="AB141" s="35" t="s">
        <v>593</v>
      </c>
      <c r="AC141" s="37" t="s">
        <v>594</v>
      </c>
      <c r="AD141" s="32">
        <v>1</v>
      </c>
      <c r="AE141" s="35">
        <v>299</v>
      </c>
      <c r="AF141" s="36">
        <v>299</v>
      </c>
      <c r="AG141" s="35" t="s">
        <v>75</v>
      </c>
      <c r="AH141" s="35">
        <v>0</v>
      </c>
      <c r="AI141" s="33">
        <v>0</v>
      </c>
      <c r="AJ141" s="33">
        <v>0</v>
      </c>
      <c r="AK141" s="32">
        <v>0.05</v>
      </c>
      <c r="AL141" s="32">
        <v>0</v>
      </c>
      <c r="AM141" s="33">
        <v>-14.95</v>
      </c>
      <c r="AN141" s="33">
        <v>299</v>
      </c>
      <c r="AO141" s="32">
        <v>299</v>
      </c>
      <c r="AP141" s="32">
        <v>0</v>
      </c>
      <c r="AQ141" s="34" t="s">
        <v>101</v>
      </c>
      <c r="AR141" s="32">
        <v>0</v>
      </c>
      <c r="AS141" s="32">
        <v>0.006</v>
      </c>
      <c r="AT141" s="33">
        <v>-1.79</v>
      </c>
      <c r="AU141" s="35" t="s">
        <v>148</v>
      </c>
      <c r="AV141" s="38" t="s">
        <v>1752</v>
      </c>
      <c r="AW141" s="38" t="s">
        <v>1753</v>
      </c>
      <c r="AX141" s="35"/>
      <c r="AY141" s="35"/>
      <c r="AZ141" s="33">
        <v>0</v>
      </c>
      <c r="BA141" s="32">
        <v>0</v>
      </c>
      <c r="BB141" s="32">
        <v>0</v>
      </c>
      <c r="BC141" s="32">
        <v>0</v>
      </c>
      <c r="BD141" s="32">
        <v>0</v>
      </c>
      <c r="BE141" s="35"/>
    </row>
    <row r="142" customHeight="1" spans="1:57">
      <c r="A142" s="25">
        <f t="shared" si="22"/>
        <v>2025</v>
      </c>
      <c r="B142" s="26">
        <f t="shared" si="23"/>
        <v>8</v>
      </c>
      <c r="C142" s="26" t="str">
        <f t="shared" si="24"/>
        <v>P770800340656114071</v>
      </c>
      <c r="D142" s="26">
        <f t="shared" si="25"/>
        <v>1</v>
      </c>
      <c r="E142" s="26">
        <f>COUNTIF($R$2:R142,R142)</f>
        <v>1</v>
      </c>
      <c r="F142" s="27" t="str" cm="1">
        <f t="array" ref="F142">INDEX('小红书-订单明细'!BQ:BQ,MATCH(R142&amp;AC142,'小红书-订单明细'!A:A&amp;'小红书-订单明细'!O:O,0))</f>
        <v>Z2375-杏色-M</v>
      </c>
      <c r="G142" s="27" t="str">
        <f t="shared" si="26"/>
        <v>Z2375</v>
      </c>
      <c r="H142" s="26" cm="1">
        <f t="array" ref="H142">IF(ABS(BG142)&gt;=1,SUM(AF142,AH142:AI142)/(INDEX('小红书-订单明细'!W:W,MATCH(R142&amp;AC142,'小红书-订单明细'!A:A&amp;'小红书-订单明细'!O:O,0))/(INDEX('小红书-订单明细'!T:T,MATCH(R142&amp;AC142,'小红书-订单明细'!A:A&amp;'小红书-订单明细'!O:O,0)))),IF(ABS(SUM(AF142,AH142:AI142)/(INDEX('小红书-订单明细'!W:W,MATCH(R142&amp;AC142,'小红书-订单明细'!A:A&amp;'小红书-订单明细'!O:O,0))/(INDEX('小红书-订单明细'!T:T,MATCH(R142&amp;AC142,'小红书-订单明细'!A:A&amp;'小红书-订单明细'!O:O,0)))))&gt;15%,ROUNDUP(SUM(AF142,AH142:AI142)/(INDEX('小红书-订单明细'!W:W,MATCH(R142&amp;AC142,'小红书-订单明细'!A:A&amp;'小红书-订单明细'!O:O,0))/(INDEX('小红书-订单明细'!T:T,MATCH(R142&amp;AC142,'小红书-订单明细'!A:A&amp;'小红书-订单明细'!O:O,0)))),0),ROUNDDOWN(SUM(AF142,AH142:AI142)/(INDEX('小红书-订单明细'!W:W,MATCH(R142&amp;AC142,'小红书-订单明细'!A:A&amp;'小红书-订单明细'!O:O,0))/(INDEX('小红书-订单明细'!T:T,MATCH(R142&amp;AC142,'小红书-订单明细'!A:A&amp;'小红书-订单明细'!O:O,0)))),0)))</f>
        <v>1</v>
      </c>
      <c r="I142" s="26">
        <f t="shared" si="27"/>
        <v>299</v>
      </c>
      <c r="J142" s="26">
        <f t="shared" si="28"/>
        <v>0</v>
      </c>
      <c r="K142" s="26">
        <f t="shared" si="29"/>
        <v>0</v>
      </c>
      <c r="L142" s="26">
        <f t="shared" si="30"/>
        <v>14.95</v>
      </c>
      <c r="M142" s="26">
        <f t="shared" si="31"/>
        <v>1.79</v>
      </c>
      <c r="N142" s="26"/>
      <c r="O142" s="28">
        <f t="shared" si="32"/>
        <v>282.26</v>
      </c>
      <c r="Q142" s="1" cm="1">
        <f t="array" ref="Q142">SUM(AF142,AH142:AI142)/(INDEX('小红书-订单明细'!W:W,MATCH(R142&amp;AC142,'小红书-订单明细'!A:A&amp;'小红书-订单明细'!O:O,0))/(INDEX('小红书-订单明细'!T:T,MATCH(R142&amp;AC142,'小红书-订单明细'!A:A&amp;'小红书-订单明细'!O:O,0))))</f>
        <v>1</v>
      </c>
      <c r="R142" s="37" t="s">
        <v>638</v>
      </c>
      <c r="S142" s="35"/>
      <c r="T142" s="35" t="s">
        <v>652</v>
      </c>
      <c r="U142" s="35" t="s">
        <v>655</v>
      </c>
      <c r="V142" s="35" t="s">
        <v>2022</v>
      </c>
      <c r="W142" s="38" t="s">
        <v>1755</v>
      </c>
      <c r="X142" s="38" t="s">
        <v>1749</v>
      </c>
      <c r="Y142" s="35">
        <v>282.26</v>
      </c>
      <c r="Z142" s="31" t="s">
        <v>2023</v>
      </c>
      <c r="AA142" s="38" t="s">
        <v>1764</v>
      </c>
      <c r="AB142" s="35" t="s">
        <v>645</v>
      </c>
      <c r="AC142" s="37" t="s">
        <v>646</v>
      </c>
      <c r="AD142" s="32">
        <v>1</v>
      </c>
      <c r="AE142" s="35">
        <v>299</v>
      </c>
      <c r="AF142" s="36">
        <v>299</v>
      </c>
      <c r="AG142" s="35" t="s">
        <v>75</v>
      </c>
      <c r="AH142" s="35">
        <v>0</v>
      </c>
      <c r="AI142" s="33">
        <v>0</v>
      </c>
      <c r="AJ142" s="33">
        <v>0</v>
      </c>
      <c r="AK142" s="32">
        <v>0.05</v>
      </c>
      <c r="AL142" s="32">
        <v>0</v>
      </c>
      <c r="AM142" s="33">
        <v>-14.95</v>
      </c>
      <c r="AN142" s="33">
        <v>299</v>
      </c>
      <c r="AO142" s="32">
        <v>299</v>
      </c>
      <c r="AP142" s="32">
        <v>0</v>
      </c>
      <c r="AQ142" s="34" t="s">
        <v>101</v>
      </c>
      <c r="AR142" s="32">
        <v>0</v>
      </c>
      <c r="AS142" s="32">
        <v>0.006</v>
      </c>
      <c r="AT142" s="33">
        <v>-1.79</v>
      </c>
      <c r="AU142" s="35" t="s">
        <v>148</v>
      </c>
      <c r="AV142" s="38" t="s">
        <v>1752</v>
      </c>
      <c r="AW142" s="38" t="s">
        <v>1753</v>
      </c>
      <c r="AX142" s="35"/>
      <c r="AY142" s="35"/>
      <c r="AZ142" s="33">
        <v>0</v>
      </c>
      <c r="BA142" s="32">
        <v>0</v>
      </c>
      <c r="BB142" s="32">
        <v>0</v>
      </c>
      <c r="BC142" s="32">
        <v>0</v>
      </c>
      <c r="BD142" s="32">
        <v>0</v>
      </c>
      <c r="BE142" s="35"/>
    </row>
    <row r="143" customHeight="1" spans="1:57">
      <c r="A143" s="25">
        <f t="shared" si="22"/>
        <v>2025</v>
      </c>
      <c r="B143" s="26">
        <f t="shared" si="23"/>
        <v>8</v>
      </c>
      <c r="C143" s="26" t="str">
        <f t="shared" si="24"/>
        <v>P770796111496158521</v>
      </c>
      <c r="D143" s="26">
        <f t="shared" si="25"/>
        <v>1</v>
      </c>
      <c r="E143" s="26">
        <f>COUNTIF($R$2:R143,R143)</f>
        <v>1</v>
      </c>
      <c r="F143" s="27" t="str" cm="1">
        <f t="array" ref="F143">INDEX('小红书-订单明细'!BQ:BQ,MATCH(R143&amp;AC143,'小红书-订单明细'!A:A&amp;'小红书-订单明细'!O:O,0))</f>
        <v>Z2378-灰色-S</v>
      </c>
      <c r="G143" s="27" t="str">
        <f t="shared" si="26"/>
        <v>Z2378</v>
      </c>
      <c r="H143" s="26" cm="1">
        <f t="array" ref="H143">IF(ABS(BG143)&gt;=1,SUM(AF143,AH143:AI143)/(INDEX('小红书-订单明细'!W:W,MATCH(R143&amp;AC143,'小红书-订单明细'!A:A&amp;'小红书-订单明细'!O:O,0))/(INDEX('小红书-订单明细'!T:T,MATCH(R143&amp;AC143,'小红书-订单明细'!A:A&amp;'小红书-订单明细'!O:O,0)))),IF(ABS(SUM(AF143,AH143:AI143)/(INDEX('小红书-订单明细'!W:W,MATCH(R143&amp;AC143,'小红书-订单明细'!A:A&amp;'小红书-订单明细'!O:O,0))/(INDEX('小红书-订单明细'!T:T,MATCH(R143&amp;AC143,'小红书-订单明细'!A:A&amp;'小红书-订单明细'!O:O,0)))))&gt;15%,ROUNDUP(SUM(AF143,AH143:AI143)/(INDEX('小红书-订单明细'!W:W,MATCH(R143&amp;AC143,'小红书-订单明细'!A:A&amp;'小红书-订单明细'!O:O,0))/(INDEX('小红书-订单明细'!T:T,MATCH(R143&amp;AC143,'小红书-订单明细'!A:A&amp;'小红书-订单明细'!O:O,0)))),0),ROUNDDOWN(SUM(AF143,AH143:AI143)/(INDEX('小红书-订单明细'!W:W,MATCH(R143&amp;AC143,'小红书-订单明细'!A:A&amp;'小红书-订单明细'!O:O,0))/(INDEX('小红书-订单明细'!T:T,MATCH(R143&amp;AC143,'小红书-订单明细'!A:A&amp;'小红书-订单明细'!O:O,0)))),0)))</f>
        <v>1</v>
      </c>
      <c r="I143" s="26">
        <f t="shared" si="27"/>
        <v>179</v>
      </c>
      <c r="J143" s="26">
        <f t="shared" si="28"/>
        <v>0</v>
      </c>
      <c r="K143" s="26">
        <f t="shared" si="29"/>
        <v>0</v>
      </c>
      <c r="L143" s="26">
        <f t="shared" si="30"/>
        <v>8.95</v>
      </c>
      <c r="M143" s="26">
        <f t="shared" si="31"/>
        <v>1.07</v>
      </c>
      <c r="N143" s="26"/>
      <c r="O143" s="28">
        <f t="shared" si="32"/>
        <v>168.98</v>
      </c>
      <c r="Q143" s="1" cm="1">
        <f t="array" ref="Q143">SUM(AF143,AH143:AI143)/(INDEX('小红书-订单明细'!W:W,MATCH(R143&amp;AC143,'小红书-订单明细'!A:A&amp;'小红书-订单明细'!O:O,0))/(INDEX('小红书-订单明细'!T:T,MATCH(R143&amp;AC143,'小红书-订单明细'!A:A&amp;'小红书-订单明细'!O:O,0))))</f>
        <v>1</v>
      </c>
      <c r="R143" s="37" t="s">
        <v>951</v>
      </c>
      <c r="S143" s="35"/>
      <c r="T143" s="35" t="s">
        <v>960</v>
      </c>
      <c r="U143" s="35" t="s">
        <v>760</v>
      </c>
      <c r="V143" s="35" t="s">
        <v>2024</v>
      </c>
      <c r="W143" s="38" t="s">
        <v>1755</v>
      </c>
      <c r="X143" s="38" t="s">
        <v>1749</v>
      </c>
      <c r="Y143" s="35">
        <v>168.98</v>
      </c>
      <c r="Z143" s="31" t="s">
        <v>1848</v>
      </c>
      <c r="AA143" s="38" t="s">
        <v>1773</v>
      </c>
      <c r="AB143" s="35" t="s">
        <v>432</v>
      </c>
      <c r="AC143" s="37" t="s">
        <v>433</v>
      </c>
      <c r="AD143" s="32">
        <v>1</v>
      </c>
      <c r="AE143" s="35">
        <v>179</v>
      </c>
      <c r="AF143" s="36">
        <v>179</v>
      </c>
      <c r="AG143" s="35" t="s">
        <v>75</v>
      </c>
      <c r="AH143" s="35">
        <v>0</v>
      </c>
      <c r="AI143" s="33">
        <v>0</v>
      </c>
      <c r="AJ143" s="33">
        <v>0</v>
      </c>
      <c r="AK143" s="32">
        <v>0.05</v>
      </c>
      <c r="AL143" s="32">
        <v>0</v>
      </c>
      <c r="AM143" s="33">
        <v>-8.95</v>
      </c>
      <c r="AN143" s="33">
        <v>179</v>
      </c>
      <c r="AO143" s="32">
        <v>179</v>
      </c>
      <c r="AP143" s="32">
        <v>0</v>
      </c>
      <c r="AQ143" s="34" t="s">
        <v>101</v>
      </c>
      <c r="AR143" s="32">
        <v>0</v>
      </c>
      <c r="AS143" s="32">
        <v>0.006</v>
      </c>
      <c r="AT143" s="33">
        <v>-1.07</v>
      </c>
      <c r="AU143" s="35" t="s">
        <v>148</v>
      </c>
      <c r="AV143" s="38" t="s">
        <v>1752</v>
      </c>
      <c r="AW143" s="38" t="s">
        <v>1753</v>
      </c>
      <c r="AX143" s="35"/>
      <c r="AY143" s="35"/>
      <c r="AZ143" s="33">
        <v>0</v>
      </c>
      <c r="BA143" s="32">
        <v>0</v>
      </c>
      <c r="BB143" s="32">
        <v>0</v>
      </c>
      <c r="BC143" s="32">
        <v>0</v>
      </c>
      <c r="BD143" s="32">
        <v>0</v>
      </c>
      <c r="BE143" s="35"/>
    </row>
    <row r="144" customHeight="1" spans="1:57">
      <c r="A144" s="25">
        <f t="shared" si="22"/>
        <v>2025</v>
      </c>
      <c r="B144" s="26">
        <f t="shared" si="23"/>
        <v>8</v>
      </c>
      <c r="C144" s="26" t="str">
        <f t="shared" si="24"/>
        <v>P770796096694064811</v>
      </c>
      <c r="D144" s="26">
        <f t="shared" si="25"/>
        <v>1</v>
      </c>
      <c r="E144" s="26">
        <f>COUNTIF($R$2:R144,R144)</f>
        <v>1</v>
      </c>
      <c r="F144" s="27" t="str" cm="1">
        <f t="array" ref="F144">INDEX('小红书-订单明细'!BQ:BQ,MATCH(R144&amp;AC144,'小红书-订单明细'!A:A&amp;'小红书-订单明细'!O:O,0))</f>
        <v>Z2378-灰色-M</v>
      </c>
      <c r="G144" s="27" t="str">
        <f t="shared" si="26"/>
        <v>Z2378</v>
      </c>
      <c r="H144" s="26" cm="1">
        <f t="array" ref="H144">IF(ABS(BG144)&gt;=1,SUM(AF144,AH144:AI144)/(INDEX('小红书-订单明细'!W:W,MATCH(R144&amp;AC144,'小红书-订单明细'!A:A&amp;'小红书-订单明细'!O:O,0))/(INDEX('小红书-订单明细'!T:T,MATCH(R144&amp;AC144,'小红书-订单明细'!A:A&amp;'小红书-订单明细'!O:O,0)))),IF(ABS(SUM(AF144,AH144:AI144)/(INDEX('小红书-订单明细'!W:W,MATCH(R144&amp;AC144,'小红书-订单明细'!A:A&amp;'小红书-订单明细'!O:O,0))/(INDEX('小红书-订单明细'!T:T,MATCH(R144&amp;AC144,'小红书-订单明细'!A:A&amp;'小红书-订单明细'!O:O,0)))))&gt;15%,ROUNDUP(SUM(AF144,AH144:AI144)/(INDEX('小红书-订单明细'!W:W,MATCH(R144&amp;AC144,'小红书-订单明细'!A:A&amp;'小红书-订单明细'!O:O,0))/(INDEX('小红书-订单明细'!T:T,MATCH(R144&amp;AC144,'小红书-订单明细'!A:A&amp;'小红书-订单明细'!O:O,0)))),0),ROUNDDOWN(SUM(AF144,AH144:AI144)/(INDEX('小红书-订单明细'!W:W,MATCH(R144&amp;AC144,'小红书-订单明细'!A:A&amp;'小红书-订单明细'!O:O,0))/(INDEX('小红书-订单明细'!T:T,MATCH(R144&amp;AC144,'小红书-订单明细'!A:A&amp;'小红书-订单明细'!O:O,0)))),0)))</f>
        <v>1</v>
      </c>
      <c r="I144" s="26">
        <f t="shared" si="27"/>
        <v>179</v>
      </c>
      <c r="J144" s="26">
        <f t="shared" si="28"/>
        <v>0</v>
      </c>
      <c r="K144" s="26">
        <f t="shared" si="29"/>
        <v>0</v>
      </c>
      <c r="L144" s="26">
        <f t="shared" si="30"/>
        <v>8.95</v>
      </c>
      <c r="M144" s="26">
        <f t="shared" si="31"/>
        <v>1.07</v>
      </c>
      <c r="N144" s="26"/>
      <c r="O144" s="28">
        <f t="shared" si="32"/>
        <v>168.98</v>
      </c>
      <c r="Q144" s="1" cm="1">
        <f t="array" ref="Q144">SUM(AF144,AH144:AI144)/(INDEX('小红书-订单明细'!W:W,MATCH(R144&amp;AC144,'小红书-订单明细'!A:A&amp;'小红书-订单明细'!O:O,0))/(INDEX('小红书-订单明细'!T:T,MATCH(R144&amp;AC144,'小红书-订单明细'!A:A&amp;'小红书-订单明细'!O:O,0))))</f>
        <v>1</v>
      </c>
      <c r="R144" s="37" t="s">
        <v>898</v>
      </c>
      <c r="S144" s="35"/>
      <c r="T144" s="35" t="s">
        <v>912</v>
      </c>
      <c r="U144" s="35" t="s">
        <v>915</v>
      </c>
      <c r="V144" s="35" t="s">
        <v>2025</v>
      </c>
      <c r="W144" s="38" t="s">
        <v>1755</v>
      </c>
      <c r="X144" s="38" t="s">
        <v>1749</v>
      </c>
      <c r="Y144" s="35">
        <v>168.98</v>
      </c>
      <c r="Z144" s="31" t="s">
        <v>1804</v>
      </c>
      <c r="AA144" s="38" t="s">
        <v>1773</v>
      </c>
      <c r="AB144" s="35" t="s">
        <v>906</v>
      </c>
      <c r="AC144" s="37" t="s">
        <v>907</v>
      </c>
      <c r="AD144" s="32">
        <v>1</v>
      </c>
      <c r="AE144" s="35">
        <v>179</v>
      </c>
      <c r="AF144" s="36">
        <v>179</v>
      </c>
      <c r="AG144" s="35" t="s">
        <v>75</v>
      </c>
      <c r="AH144" s="35">
        <v>0</v>
      </c>
      <c r="AI144" s="33">
        <v>0</v>
      </c>
      <c r="AJ144" s="33">
        <v>0</v>
      </c>
      <c r="AK144" s="32">
        <v>0.05</v>
      </c>
      <c r="AL144" s="32">
        <v>0</v>
      </c>
      <c r="AM144" s="33">
        <v>-8.95</v>
      </c>
      <c r="AN144" s="33">
        <v>179</v>
      </c>
      <c r="AO144" s="32">
        <v>179</v>
      </c>
      <c r="AP144" s="32">
        <v>0</v>
      </c>
      <c r="AQ144" s="34" t="s">
        <v>101</v>
      </c>
      <c r="AR144" s="32">
        <v>0</v>
      </c>
      <c r="AS144" s="32">
        <v>0.006</v>
      </c>
      <c r="AT144" s="33">
        <v>-1.07</v>
      </c>
      <c r="AU144" s="35" t="s">
        <v>148</v>
      </c>
      <c r="AV144" s="38" t="s">
        <v>1752</v>
      </c>
      <c r="AW144" s="38" t="s">
        <v>1753</v>
      </c>
      <c r="AX144" s="35"/>
      <c r="AY144" s="35"/>
      <c r="AZ144" s="33">
        <v>0</v>
      </c>
      <c r="BA144" s="32">
        <v>0</v>
      </c>
      <c r="BB144" s="32">
        <v>0</v>
      </c>
      <c r="BC144" s="32">
        <v>0</v>
      </c>
      <c r="BD144" s="32">
        <v>0</v>
      </c>
      <c r="BE144" s="35"/>
    </row>
    <row r="145" customHeight="1" spans="1:57">
      <c r="A145" s="25">
        <f t="shared" si="22"/>
        <v>2025</v>
      </c>
      <c r="B145" s="26">
        <f t="shared" si="23"/>
        <v>8</v>
      </c>
      <c r="C145" s="26" t="str">
        <f t="shared" si="24"/>
        <v>P770811839659457301</v>
      </c>
      <c r="D145" s="26">
        <f t="shared" si="25"/>
        <v>1</v>
      </c>
      <c r="E145" s="26">
        <f>COUNTIF($R$2:R145,R145)</f>
        <v>1</v>
      </c>
      <c r="F145" s="27" t="str" cm="1">
        <f t="array" ref="F145">INDEX('小红书-订单明细'!BQ:BQ,MATCH(R145&amp;AC145,'小红书-订单明细'!A:A&amp;'小红书-订单明细'!O:O,0))</f>
        <v>Z2380-藏青色</v>
      </c>
      <c r="G145" s="27" t="str">
        <f t="shared" si="26"/>
        <v>Z2380</v>
      </c>
      <c r="H145" s="26" cm="1">
        <f t="array" ref="H145">IF(ABS(BG145)&gt;=1,SUM(AF145,AH145:AI145)/(INDEX('小红书-订单明细'!W:W,MATCH(R145&amp;AC145,'小红书-订单明细'!A:A&amp;'小红书-订单明细'!O:O,0))/(INDEX('小红书-订单明细'!T:T,MATCH(R145&amp;AC145,'小红书-订单明细'!A:A&amp;'小红书-订单明细'!O:O,0)))),IF(ABS(SUM(AF145,AH145:AI145)/(INDEX('小红书-订单明细'!W:W,MATCH(R145&amp;AC145,'小红书-订单明细'!A:A&amp;'小红书-订单明细'!O:O,0))/(INDEX('小红书-订单明细'!T:T,MATCH(R145&amp;AC145,'小红书-订单明细'!A:A&amp;'小红书-订单明细'!O:O,0)))))&gt;15%,ROUNDUP(SUM(AF145,AH145:AI145)/(INDEX('小红书-订单明细'!W:W,MATCH(R145&amp;AC145,'小红书-订单明细'!A:A&amp;'小红书-订单明细'!O:O,0))/(INDEX('小红书-订单明细'!T:T,MATCH(R145&amp;AC145,'小红书-订单明细'!A:A&amp;'小红书-订单明细'!O:O,0)))),0),ROUNDDOWN(SUM(AF145,AH145:AI145)/(INDEX('小红书-订单明细'!W:W,MATCH(R145&amp;AC145,'小红书-订单明细'!A:A&amp;'小红书-订单明细'!O:O,0))/(INDEX('小红书-订单明细'!T:T,MATCH(R145&amp;AC145,'小红书-订单明细'!A:A&amp;'小红书-订单明细'!O:O,0)))),0)))</f>
        <v>1</v>
      </c>
      <c r="I145" s="26">
        <f t="shared" si="27"/>
        <v>199</v>
      </c>
      <c r="J145" s="26">
        <f t="shared" si="28"/>
        <v>0</v>
      </c>
      <c r="K145" s="26">
        <f t="shared" si="29"/>
        <v>0</v>
      </c>
      <c r="L145" s="26">
        <f t="shared" si="30"/>
        <v>9.95</v>
      </c>
      <c r="M145" s="26">
        <f t="shared" si="31"/>
        <v>1.19</v>
      </c>
      <c r="N145" s="26"/>
      <c r="O145" s="28">
        <f t="shared" si="32"/>
        <v>187.86</v>
      </c>
      <c r="Q145" s="1" cm="1">
        <f t="array" ref="Q145">SUM(AF145,AH145:AI145)/(INDEX('小红书-订单明细'!W:W,MATCH(R145&amp;AC145,'小红书-订单明细'!A:A&amp;'小红书-订单明细'!O:O,0))/(INDEX('小红书-订单明细'!T:T,MATCH(R145&amp;AC145,'小红书-订单明细'!A:A&amp;'小红书-订单明细'!O:O,0))))</f>
        <v>1</v>
      </c>
      <c r="R145" s="37" t="s">
        <v>467</v>
      </c>
      <c r="S145" s="35"/>
      <c r="T145" s="35" t="s">
        <v>477</v>
      </c>
      <c r="U145" s="35" t="s">
        <v>480</v>
      </c>
      <c r="V145" s="35" t="s">
        <v>2026</v>
      </c>
      <c r="W145" s="38" t="s">
        <v>1755</v>
      </c>
      <c r="X145" s="38" t="s">
        <v>1749</v>
      </c>
      <c r="Y145" s="35">
        <v>187.86</v>
      </c>
      <c r="Z145" s="31" t="s">
        <v>1841</v>
      </c>
      <c r="AA145" s="38" t="s">
        <v>1842</v>
      </c>
      <c r="AB145" s="35" t="s">
        <v>361</v>
      </c>
      <c r="AC145" s="37" t="s">
        <v>362</v>
      </c>
      <c r="AD145" s="32">
        <v>1</v>
      </c>
      <c r="AE145" s="35">
        <v>199</v>
      </c>
      <c r="AF145" s="36">
        <v>199</v>
      </c>
      <c r="AG145" s="35" t="s">
        <v>75</v>
      </c>
      <c r="AH145" s="35">
        <v>0</v>
      </c>
      <c r="AI145" s="33">
        <v>0</v>
      </c>
      <c r="AJ145" s="33">
        <v>0</v>
      </c>
      <c r="AK145" s="32">
        <v>0.05</v>
      </c>
      <c r="AL145" s="32">
        <v>0</v>
      </c>
      <c r="AM145" s="33">
        <v>-9.95</v>
      </c>
      <c r="AN145" s="33">
        <v>199</v>
      </c>
      <c r="AO145" s="32">
        <v>199</v>
      </c>
      <c r="AP145" s="32">
        <v>0</v>
      </c>
      <c r="AQ145" s="34" t="s">
        <v>101</v>
      </c>
      <c r="AR145" s="32">
        <v>0</v>
      </c>
      <c r="AS145" s="32">
        <v>0.006</v>
      </c>
      <c r="AT145" s="33">
        <v>-1.19</v>
      </c>
      <c r="AU145" s="35" t="s">
        <v>148</v>
      </c>
      <c r="AV145" s="38" t="s">
        <v>1752</v>
      </c>
      <c r="AW145" s="38" t="s">
        <v>1753</v>
      </c>
      <c r="AX145" s="35"/>
      <c r="AY145" s="35"/>
      <c r="AZ145" s="33">
        <v>0</v>
      </c>
      <c r="BA145" s="32">
        <v>0</v>
      </c>
      <c r="BB145" s="32">
        <v>0</v>
      </c>
      <c r="BC145" s="32">
        <v>0</v>
      </c>
      <c r="BD145" s="32">
        <v>0</v>
      </c>
      <c r="BE145" s="35"/>
    </row>
    <row r="146" customHeight="1" spans="1:57">
      <c r="A146" s="25">
        <f t="shared" si="22"/>
        <v>2025</v>
      </c>
      <c r="B146" s="26">
        <f t="shared" si="23"/>
        <v>8</v>
      </c>
      <c r="C146" s="26" t="str">
        <f t="shared" si="24"/>
        <v>P770794020316255331</v>
      </c>
      <c r="D146" s="26">
        <f t="shared" si="25"/>
        <v>1</v>
      </c>
      <c r="E146" s="26">
        <f>COUNTIF($R$2:R146,R146)</f>
        <v>1</v>
      </c>
      <c r="F146" s="27" t="str" cm="1">
        <f t="array" ref="F146">INDEX('小红书-订单明细'!BQ:BQ,MATCH(R146&amp;AC146,'小红书-订单明细'!A:A&amp;'小红书-订单明细'!O:O,0))</f>
        <v>Z2378-花纱色-M</v>
      </c>
      <c r="G146" s="27" t="str">
        <f t="shared" si="26"/>
        <v>Z2378</v>
      </c>
      <c r="H146" s="26" cm="1">
        <f t="array" ref="H146">IF(ABS(BG146)&gt;=1,SUM(AF146,AH146:AI146)/(INDEX('小红书-订单明细'!W:W,MATCH(R146&amp;AC146,'小红书-订单明细'!A:A&amp;'小红书-订单明细'!O:O,0))/(INDEX('小红书-订单明细'!T:T,MATCH(R146&amp;AC146,'小红书-订单明细'!A:A&amp;'小红书-订单明细'!O:O,0)))),IF(ABS(SUM(AF146,AH146:AI146)/(INDEX('小红书-订单明细'!W:W,MATCH(R146&amp;AC146,'小红书-订单明细'!A:A&amp;'小红书-订单明细'!O:O,0))/(INDEX('小红书-订单明细'!T:T,MATCH(R146&amp;AC146,'小红书-订单明细'!A:A&amp;'小红书-订单明细'!O:O,0)))))&gt;15%,ROUNDUP(SUM(AF146,AH146:AI146)/(INDEX('小红书-订单明细'!W:W,MATCH(R146&amp;AC146,'小红书-订单明细'!A:A&amp;'小红书-订单明细'!O:O,0))/(INDEX('小红书-订单明细'!T:T,MATCH(R146&amp;AC146,'小红书-订单明细'!A:A&amp;'小红书-订单明细'!O:O,0)))),0),ROUNDDOWN(SUM(AF146,AH146:AI146)/(INDEX('小红书-订单明细'!W:W,MATCH(R146&amp;AC146,'小红书-订单明细'!A:A&amp;'小红书-订单明细'!O:O,0))/(INDEX('小红书-订单明细'!T:T,MATCH(R146&amp;AC146,'小红书-订单明细'!A:A&amp;'小红书-订单明细'!O:O,0)))),0)))</f>
        <v>1</v>
      </c>
      <c r="I146" s="26">
        <f t="shared" si="27"/>
        <v>179</v>
      </c>
      <c r="J146" s="26">
        <f t="shared" si="28"/>
        <v>0</v>
      </c>
      <c r="K146" s="26">
        <f t="shared" si="29"/>
        <v>0</v>
      </c>
      <c r="L146" s="26">
        <f t="shared" si="30"/>
        <v>8.95</v>
      </c>
      <c r="M146" s="26">
        <f t="shared" si="31"/>
        <v>1.07</v>
      </c>
      <c r="N146" s="26"/>
      <c r="O146" s="28">
        <f t="shared" si="32"/>
        <v>168.98</v>
      </c>
      <c r="Q146" s="1" cm="1">
        <f t="array" ref="Q146">SUM(AF146,AH146:AI146)/(INDEX('小红书-订单明细'!W:W,MATCH(R146&amp;AC146,'小红书-订单明细'!A:A&amp;'小红书-订单明细'!O:O,0))/(INDEX('小红书-订单明细'!T:T,MATCH(R146&amp;AC146,'小红书-订单明细'!A:A&amp;'小红书-订单明细'!O:O,0))))</f>
        <v>1</v>
      </c>
      <c r="R146" s="37" t="s">
        <v>1302</v>
      </c>
      <c r="S146" s="35"/>
      <c r="T146" s="35" t="s">
        <v>1272</v>
      </c>
      <c r="U146" s="35" t="s">
        <v>1275</v>
      </c>
      <c r="V146" s="35" t="s">
        <v>2027</v>
      </c>
      <c r="W146" s="38" t="s">
        <v>1755</v>
      </c>
      <c r="X146" s="38" t="s">
        <v>1749</v>
      </c>
      <c r="Y146" s="35">
        <v>168.98</v>
      </c>
      <c r="Z146" s="31" t="s">
        <v>1799</v>
      </c>
      <c r="AA146" s="38" t="s">
        <v>1773</v>
      </c>
      <c r="AB146" s="35" t="s">
        <v>810</v>
      </c>
      <c r="AC146" s="37" t="s">
        <v>811</v>
      </c>
      <c r="AD146" s="32">
        <v>1</v>
      </c>
      <c r="AE146" s="35">
        <v>179</v>
      </c>
      <c r="AF146" s="36">
        <v>179</v>
      </c>
      <c r="AG146" s="35" t="s">
        <v>75</v>
      </c>
      <c r="AH146" s="35">
        <v>0</v>
      </c>
      <c r="AI146" s="33">
        <v>0</v>
      </c>
      <c r="AJ146" s="33">
        <v>0</v>
      </c>
      <c r="AK146" s="32">
        <v>0.05</v>
      </c>
      <c r="AL146" s="32">
        <v>0</v>
      </c>
      <c r="AM146" s="33">
        <v>-8.95</v>
      </c>
      <c r="AN146" s="33">
        <v>179</v>
      </c>
      <c r="AO146" s="32">
        <v>179</v>
      </c>
      <c r="AP146" s="32">
        <v>0</v>
      </c>
      <c r="AQ146" s="34" t="s">
        <v>101</v>
      </c>
      <c r="AR146" s="32">
        <v>0</v>
      </c>
      <c r="AS146" s="32">
        <v>0.006</v>
      </c>
      <c r="AT146" s="33">
        <v>-1.07</v>
      </c>
      <c r="AU146" s="35" t="s">
        <v>148</v>
      </c>
      <c r="AV146" s="38" t="s">
        <v>1752</v>
      </c>
      <c r="AW146" s="38" t="s">
        <v>1753</v>
      </c>
      <c r="AX146" s="35"/>
      <c r="AY146" s="35"/>
      <c r="AZ146" s="33">
        <v>0</v>
      </c>
      <c r="BA146" s="32">
        <v>0</v>
      </c>
      <c r="BB146" s="32">
        <v>0</v>
      </c>
      <c r="BC146" s="32">
        <v>0</v>
      </c>
      <c r="BD146" s="32">
        <v>0</v>
      </c>
      <c r="BE146" s="35"/>
    </row>
    <row r="147" customHeight="1" spans="1:57">
      <c r="A147" s="25">
        <f t="shared" si="22"/>
        <v>2025</v>
      </c>
      <c r="B147" s="26">
        <f t="shared" si="23"/>
        <v>8</v>
      </c>
      <c r="C147" s="26" t="str">
        <f t="shared" si="24"/>
        <v>P770794019971106161</v>
      </c>
      <c r="D147" s="26">
        <f t="shared" si="25"/>
        <v>1</v>
      </c>
      <c r="E147" s="26">
        <f>COUNTIF($R$2:R147,R147)</f>
        <v>1</v>
      </c>
      <c r="F147" s="27" t="str" cm="1">
        <f t="array" ref="F147">INDEX('小红书-订单明细'!BQ:BQ,MATCH(R147&amp;AC147,'小红书-订单明细'!A:A&amp;'小红书-订单明细'!O:O,0))</f>
        <v>Z2378-花纱色-M</v>
      </c>
      <c r="G147" s="27" t="str">
        <f t="shared" si="26"/>
        <v>Z2378</v>
      </c>
      <c r="H147" s="26" cm="1">
        <f t="array" ref="H147">IF(ABS(BG147)&gt;=1,SUM(AF147,AH147:AI147)/(INDEX('小红书-订单明细'!W:W,MATCH(R147&amp;AC147,'小红书-订单明细'!A:A&amp;'小红书-订单明细'!O:O,0))/(INDEX('小红书-订单明细'!T:T,MATCH(R147&amp;AC147,'小红书-订单明细'!A:A&amp;'小红书-订单明细'!O:O,0)))),IF(ABS(SUM(AF147,AH147:AI147)/(INDEX('小红书-订单明细'!W:W,MATCH(R147&amp;AC147,'小红书-订单明细'!A:A&amp;'小红书-订单明细'!O:O,0))/(INDEX('小红书-订单明细'!T:T,MATCH(R147&amp;AC147,'小红书-订单明细'!A:A&amp;'小红书-订单明细'!O:O,0)))))&gt;15%,ROUNDUP(SUM(AF147,AH147:AI147)/(INDEX('小红书-订单明细'!W:W,MATCH(R147&amp;AC147,'小红书-订单明细'!A:A&amp;'小红书-订单明细'!O:O,0))/(INDEX('小红书-订单明细'!T:T,MATCH(R147&amp;AC147,'小红书-订单明细'!A:A&amp;'小红书-订单明细'!O:O,0)))),0),ROUNDDOWN(SUM(AF147,AH147:AI147)/(INDEX('小红书-订单明细'!W:W,MATCH(R147&amp;AC147,'小红书-订单明细'!A:A&amp;'小红书-订单明细'!O:O,0))/(INDEX('小红书-订单明细'!T:T,MATCH(R147&amp;AC147,'小红书-订单明细'!A:A&amp;'小红书-订单明细'!O:O,0)))),0)))</f>
        <v>1</v>
      </c>
      <c r="I147" s="26">
        <f t="shared" si="27"/>
        <v>179</v>
      </c>
      <c r="J147" s="26">
        <f t="shared" si="28"/>
        <v>0</v>
      </c>
      <c r="K147" s="26">
        <f t="shared" si="29"/>
        <v>0</v>
      </c>
      <c r="L147" s="26">
        <f t="shared" si="30"/>
        <v>8.95</v>
      </c>
      <c r="M147" s="26">
        <f t="shared" si="31"/>
        <v>1.07</v>
      </c>
      <c r="N147" s="26"/>
      <c r="O147" s="28">
        <f t="shared" si="32"/>
        <v>168.98</v>
      </c>
      <c r="Q147" s="1" cm="1">
        <f t="array" ref="Q147">SUM(AF147,AH147:AI147)/(INDEX('小红书-订单明细'!W:W,MATCH(R147&amp;AC147,'小红书-订单明细'!A:A&amp;'小红书-订单明细'!O:O,0))/(INDEX('小红书-订单明细'!T:T,MATCH(R147&amp;AC147,'小红书-订单明细'!A:A&amp;'小红书-订单明细'!O:O,0))))</f>
        <v>1</v>
      </c>
      <c r="R147" s="37" t="s">
        <v>1267</v>
      </c>
      <c r="S147" s="35"/>
      <c r="T147" s="35" t="s">
        <v>1272</v>
      </c>
      <c r="U147" s="35" t="s">
        <v>1275</v>
      </c>
      <c r="V147" s="35" t="s">
        <v>2028</v>
      </c>
      <c r="W147" s="38" t="s">
        <v>1755</v>
      </c>
      <c r="X147" s="38" t="s">
        <v>1749</v>
      </c>
      <c r="Y147" s="35">
        <v>168.98</v>
      </c>
      <c r="Z147" s="31" t="s">
        <v>1799</v>
      </c>
      <c r="AA147" s="38" t="s">
        <v>1773</v>
      </c>
      <c r="AB147" s="35" t="s">
        <v>810</v>
      </c>
      <c r="AC147" s="37" t="s">
        <v>811</v>
      </c>
      <c r="AD147" s="32">
        <v>1</v>
      </c>
      <c r="AE147" s="35">
        <v>179</v>
      </c>
      <c r="AF147" s="36">
        <v>179</v>
      </c>
      <c r="AG147" s="35" t="s">
        <v>75</v>
      </c>
      <c r="AH147" s="35">
        <v>0</v>
      </c>
      <c r="AI147" s="33">
        <v>0</v>
      </c>
      <c r="AJ147" s="33">
        <v>0</v>
      </c>
      <c r="AK147" s="32">
        <v>0.05</v>
      </c>
      <c r="AL147" s="32">
        <v>0</v>
      </c>
      <c r="AM147" s="33">
        <v>-8.95</v>
      </c>
      <c r="AN147" s="33">
        <v>179</v>
      </c>
      <c r="AO147" s="32">
        <v>179</v>
      </c>
      <c r="AP147" s="32">
        <v>0</v>
      </c>
      <c r="AQ147" s="34" t="s">
        <v>101</v>
      </c>
      <c r="AR147" s="32">
        <v>0</v>
      </c>
      <c r="AS147" s="32">
        <v>0.006</v>
      </c>
      <c r="AT147" s="33">
        <v>-1.07</v>
      </c>
      <c r="AU147" s="35" t="s">
        <v>148</v>
      </c>
      <c r="AV147" s="38" t="s">
        <v>1752</v>
      </c>
      <c r="AW147" s="38" t="s">
        <v>1753</v>
      </c>
      <c r="AX147" s="35"/>
      <c r="AY147" s="35"/>
      <c r="AZ147" s="33">
        <v>0</v>
      </c>
      <c r="BA147" s="32">
        <v>0</v>
      </c>
      <c r="BB147" s="32">
        <v>0</v>
      </c>
      <c r="BC147" s="32">
        <v>0</v>
      </c>
      <c r="BD147" s="32">
        <v>0</v>
      </c>
      <c r="BE147" s="35"/>
    </row>
    <row r="148" customHeight="1" spans="1:57">
      <c r="A148" s="25">
        <f t="shared" si="22"/>
        <v>2025</v>
      </c>
      <c r="B148" s="26">
        <f t="shared" si="23"/>
        <v>8</v>
      </c>
      <c r="C148" s="26" t="str">
        <f t="shared" si="24"/>
        <v>P770794019497300331</v>
      </c>
      <c r="D148" s="26">
        <f t="shared" si="25"/>
        <v>1</v>
      </c>
      <c r="E148" s="26">
        <f>COUNTIF($R$2:R148,R148)</f>
        <v>1</v>
      </c>
      <c r="F148" s="27" t="str" cm="1">
        <f t="array" ref="F148">INDEX('小红书-订单明细'!BQ:BQ,MATCH(R148&amp;AC148,'小红书-订单明细'!A:A&amp;'小红书-订单明细'!O:O,0))</f>
        <v>Z2378-花纱色-M</v>
      </c>
      <c r="G148" s="27" t="str">
        <f t="shared" si="26"/>
        <v>Z2378</v>
      </c>
      <c r="H148" s="26" cm="1">
        <f t="array" ref="H148">IF(ABS(BG148)&gt;=1,SUM(AF148,AH148:AI148)/(INDEX('小红书-订单明细'!W:W,MATCH(R148&amp;AC148,'小红书-订单明细'!A:A&amp;'小红书-订单明细'!O:O,0))/(INDEX('小红书-订单明细'!T:T,MATCH(R148&amp;AC148,'小红书-订单明细'!A:A&amp;'小红书-订单明细'!O:O,0)))),IF(ABS(SUM(AF148,AH148:AI148)/(INDEX('小红书-订单明细'!W:W,MATCH(R148&amp;AC148,'小红书-订单明细'!A:A&amp;'小红书-订单明细'!O:O,0))/(INDEX('小红书-订单明细'!T:T,MATCH(R148&amp;AC148,'小红书-订单明细'!A:A&amp;'小红书-订单明细'!O:O,0)))))&gt;15%,ROUNDUP(SUM(AF148,AH148:AI148)/(INDEX('小红书-订单明细'!W:W,MATCH(R148&amp;AC148,'小红书-订单明细'!A:A&amp;'小红书-订单明细'!O:O,0))/(INDEX('小红书-订单明细'!T:T,MATCH(R148&amp;AC148,'小红书-订单明细'!A:A&amp;'小红书-订单明细'!O:O,0)))),0),ROUNDDOWN(SUM(AF148,AH148:AI148)/(INDEX('小红书-订单明细'!W:W,MATCH(R148&amp;AC148,'小红书-订单明细'!A:A&amp;'小红书-订单明细'!O:O,0))/(INDEX('小红书-订单明细'!T:T,MATCH(R148&amp;AC148,'小红书-订单明细'!A:A&amp;'小红书-订单明细'!O:O,0)))),0)))</f>
        <v>1</v>
      </c>
      <c r="I148" s="26">
        <f t="shared" si="27"/>
        <v>179</v>
      </c>
      <c r="J148" s="26">
        <f t="shared" si="28"/>
        <v>0</v>
      </c>
      <c r="K148" s="26">
        <f t="shared" si="29"/>
        <v>0</v>
      </c>
      <c r="L148" s="26">
        <f t="shared" si="30"/>
        <v>8.95</v>
      </c>
      <c r="M148" s="26">
        <f t="shared" si="31"/>
        <v>1.07</v>
      </c>
      <c r="N148" s="26"/>
      <c r="O148" s="28">
        <f t="shared" si="32"/>
        <v>168.98</v>
      </c>
      <c r="Q148" s="1" cm="1">
        <f t="array" ref="Q148">SUM(AF148,AH148:AI148)/(INDEX('小红书-订单明细'!W:W,MATCH(R148&amp;AC148,'小红书-订单明细'!A:A&amp;'小红书-订单明细'!O:O,0))/(INDEX('小红书-订单明细'!T:T,MATCH(R148&amp;AC148,'小红书-订单明细'!A:A&amp;'小红书-订单明细'!O:O,0))))</f>
        <v>1</v>
      </c>
      <c r="R148" s="37" t="s">
        <v>1353</v>
      </c>
      <c r="S148" s="35"/>
      <c r="T148" s="35" t="s">
        <v>1332</v>
      </c>
      <c r="U148" s="35" t="s">
        <v>1275</v>
      </c>
      <c r="V148" s="35" t="s">
        <v>2029</v>
      </c>
      <c r="W148" s="38" t="s">
        <v>1755</v>
      </c>
      <c r="X148" s="38" t="s">
        <v>1749</v>
      </c>
      <c r="Y148" s="35">
        <v>168.98</v>
      </c>
      <c r="Z148" s="31" t="s">
        <v>1799</v>
      </c>
      <c r="AA148" s="38" t="s">
        <v>1773</v>
      </c>
      <c r="AB148" s="35" t="s">
        <v>810</v>
      </c>
      <c r="AC148" s="37" t="s">
        <v>811</v>
      </c>
      <c r="AD148" s="32">
        <v>1</v>
      </c>
      <c r="AE148" s="35">
        <v>179</v>
      </c>
      <c r="AF148" s="36">
        <v>179</v>
      </c>
      <c r="AG148" s="35" t="s">
        <v>75</v>
      </c>
      <c r="AH148" s="35">
        <v>0</v>
      </c>
      <c r="AI148" s="33">
        <v>0</v>
      </c>
      <c r="AJ148" s="33">
        <v>0</v>
      </c>
      <c r="AK148" s="32">
        <v>0.05</v>
      </c>
      <c r="AL148" s="32">
        <v>0</v>
      </c>
      <c r="AM148" s="33">
        <v>-8.95</v>
      </c>
      <c r="AN148" s="33">
        <v>179</v>
      </c>
      <c r="AO148" s="32">
        <v>179</v>
      </c>
      <c r="AP148" s="32">
        <v>0</v>
      </c>
      <c r="AQ148" s="34" t="s">
        <v>101</v>
      </c>
      <c r="AR148" s="32">
        <v>0</v>
      </c>
      <c r="AS148" s="32">
        <v>0.006</v>
      </c>
      <c r="AT148" s="33">
        <v>-1.07</v>
      </c>
      <c r="AU148" s="35" t="s">
        <v>148</v>
      </c>
      <c r="AV148" s="38" t="s">
        <v>1752</v>
      </c>
      <c r="AW148" s="38" t="s">
        <v>1753</v>
      </c>
      <c r="AX148" s="35"/>
      <c r="AY148" s="35"/>
      <c r="AZ148" s="33">
        <v>0</v>
      </c>
      <c r="BA148" s="32">
        <v>0</v>
      </c>
      <c r="BB148" s="32">
        <v>0</v>
      </c>
      <c r="BC148" s="32">
        <v>0</v>
      </c>
      <c r="BD148" s="32">
        <v>0</v>
      </c>
      <c r="BE148" s="35"/>
    </row>
    <row r="149" customHeight="1" spans="1:57">
      <c r="A149" s="25">
        <f t="shared" si="22"/>
        <v>2025</v>
      </c>
      <c r="B149" s="26">
        <f t="shared" si="23"/>
        <v>8</v>
      </c>
      <c r="C149" s="26" t="str">
        <f t="shared" si="24"/>
        <v>P770800341884471531</v>
      </c>
      <c r="D149" s="26">
        <f t="shared" si="25"/>
        <v>1</v>
      </c>
      <c r="E149" s="26">
        <f>COUNTIF($R$2:R149,R149)</f>
        <v>1</v>
      </c>
      <c r="F149" s="27" t="str" cm="1">
        <f t="array" ref="F149">INDEX('小红书-订单明细'!BQ:BQ,MATCH(R149&amp;AC149,'小红书-订单明细'!A:A&amp;'小红书-订单明细'!O:O,0))</f>
        <v>Z2375-黑色-XL</v>
      </c>
      <c r="G149" s="27" t="str">
        <f t="shared" si="26"/>
        <v>Z2375</v>
      </c>
      <c r="H149" s="26" cm="1">
        <f t="array" ref="H149">IF(ABS(BG149)&gt;=1,SUM(AF149,AH149:AI149)/(INDEX('小红书-订单明细'!W:W,MATCH(R149&amp;AC149,'小红书-订单明细'!A:A&amp;'小红书-订单明细'!O:O,0))/(INDEX('小红书-订单明细'!T:T,MATCH(R149&amp;AC149,'小红书-订单明细'!A:A&amp;'小红书-订单明细'!O:O,0)))),IF(ABS(SUM(AF149,AH149:AI149)/(INDEX('小红书-订单明细'!W:W,MATCH(R149&amp;AC149,'小红书-订单明细'!A:A&amp;'小红书-订单明细'!O:O,0))/(INDEX('小红书-订单明细'!T:T,MATCH(R149&amp;AC149,'小红书-订单明细'!A:A&amp;'小红书-订单明细'!O:O,0)))))&gt;15%,ROUNDUP(SUM(AF149,AH149:AI149)/(INDEX('小红书-订单明细'!W:W,MATCH(R149&amp;AC149,'小红书-订单明细'!A:A&amp;'小红书-订单明细'!O:O,0))/(INDEX('小红书-订单明细'!T:T,MATCH(R149&amp;AC149,'小红书-订单明细'!A:A&amp;'小红书-订单明细'!O:O,0)))),0),ROUNDDOWN(SUM(AF149,AH149:AI149)/(INDEX('小红书-订单明细'!W:W,MATCH(R149&amp;AC149,'小红书-订单明细'!A:A&amp;'小红书-订单明细'!O:O,0))/(INDEX('小红书-订单明细'!T:T,MATCH(R149&amp;AC149,'小红书-订单明细'!A:A&amp;'小红书-订单明细'!O:O,0)))),0)))</f>
        <v>1</v>
      </c>
      <c r="I149" s="26">
        <f t="shared" si="27"/>
        <v>299</v>
      </c>
      <c r="J149" s="26">
        <f t="shared" si="28"/>
        <v>0</v>
      </c>
      <c r="K149" s="26">
        <f t="shared" si="29"/>
        <v>0</v>
      </c>
      <c r="L149" s="26">
        <f t="shared" si="30"/>
        <v>14.95</v>
      </c>
      <c r="M149" s="26">
        <f t="shared" si="31"/>
        <v>1.79</v>
      </c>
      <c r="N149" s="26"/>
      <c r="O149" s="28">
        <f t="shared" si="32"/>
        <v>282.26</v>
      </c>
      <c r="Q149" s="1" cm="1">
        <f t="array" ref="Q149">SUM(AF149,AH149:AI149)/(INDEX('小红书-订单明细'!W:W,MATCH(R149&amp;AC149,'小红书-订单明细'!A:A&amp;'小红书-订单明细'!O:O,0))/(INDEX('小红书-订单明细'!T:T,MATCH(R149&amp;AC149,'小红书-订单明细'!A:A&amp;'小红书-订单明细'!O:O,0))))</f>
        <v>1</v>
      </c>
      <c r="R149" s="37" t="s">
        <v>608</v>
      </c>
      <c r="S149" s="35"/>
      <c r="T149" s="35" t="s">
        <v>672</v>
      </c>
      <c r="U149" s="35" t="s">
        <v>625</v>
      </c>
      <c r="V149" s="35" t="s">
        <v>2030</v>
      </c>
      <c r="W149" s="38" t="s">
        <v>1755</v>
      </c>
      <c r="X149" s="38" t="s">
        <v>1749</v>
      </c>
      <c r="Y149" s="35">
        <v>282.26</v>
      </c>
      <c r="Z149" s="31" t="s">
        <v>2031</v>
      </c>
      <c r="AA149" s="38" t="s">
        <v>1764</v>
      </c>
      <c r="AB149" s="35" t="s">
        <v>616</v>
      </c>
      <c r="AC149" s="37" t="s">
        <v>617</v>
      </c>
      <c r="AD149" s="32">
        <v>1</v>
      </c>
      <c r="AE149" s="35">
        <v>299</v>
      </c>
      <c r="AF149" s="36">
        <v>299</v>
      </c>
      <c r="AG149" s="35" t="s">
        <v>75</v>
      </c>
      <c r="AH149" s="35">
        <v>0</v>
      </c>
      <c r="AI149" s="33">
        <v>0</v>
      </c>
      <c r="AJ149" s="33">
        <v>0</v>
      </c>
      <c r="AK149" s="32">
        <v>0.05</v>
      </c>
      <c r="AL149" s="32">
        <v>0</v>
      </c>
      <c r="AM149" s="33">
        <v>-14.95</v>
      </c>
      <c r="AN149" s="33">
        <v>299</v>
      </c>
      <c r="AO149" s="32">
        <v>299</v>
      </c>
      <c r="AP149" s="32">
        <v>0</v>
      </c>
      <c r="AQ149" s="34" t="s">
        <v>101</v>
      </c>
      <c r="AR149" s="32">
        <v>0</v>
      </c>
      <c r="AS149" s="32">
        <v>0.006</v>
      </c>
      <c r="AT149" s="33">
        <v>-1.79</v>
      </c>
      <c r="AU149" s="35" t="s">
        <v>148</v>
      </c>
      <c r="AV149" s="38" t="s">
        <v>1752</v>
      </c>
      <c r="AW149" s="38" t="s">
        <v>1753</v>
      </c>
      <c r="AX149" s="35"/>
      <c r="AY149" s="35"/>
      <c r="AZ149" s="33">
        <v>0</v>
      </c>
      <c r="BA149" s="32">
        <v>0</v>
      </c>
      <c r="BB149" s="32">
        <v>0</v>
      </c>
      <c r="BC149" s="32">
        <v>0</v>
      </c>
      <c r="BD149" s="32">
        <v>0</v>
      </c>
      <c r="BE149" s="35"/>
    </row>
    <row r="150" customHeight="1" spans="1:57">
      <c r="A150" s="25">
        <f t="shared" si="22"/>
        <v>2025</v>
      </c>
      <c r="B150" s="26">
        <f t="shared" si="23"/>
        <v>8</v>
      </c>
      <c r="C150" s="26" t="str">
        <f t="shared" si="24"/>
        <v>P770795092998457951</v>
      </c>
      <c r="D150" s="26">
        <f t="shared" si="25"/>
        <v>1</v>
      </c>
      <c r="E150" s="26">
        <f>COUNTIF($R$2:R150,R150)</f>
        <v>1</v>
      </c>
      <c r="F150" s="27" t="str" cm="1">
        <f t="array" ref="F150">INDEX('小红书-订单明细'!BQ:BQ,MATCH(R150&amp;AC150,'小红书-订单明细'!A:A&amp;'小红书-订单明细'!O:O,0))</f>
        <v>Z2363-黑色-M</v>
      </c>
      <c r="G150" s="27" t="str">
        <f t="shared" si="26"/>
        <v>Z2363</v>
      </c>
      <c r="H150" s="26" cm="1">
        <f t="array" ref="H150">IF(ABS(BG150)&gt;=1,SUM(AF150,AH150:AI150)/(INDEX('小红书-订单明细'!W:W,MATCH(R150&amp;AC150,'小红书-订单明细'!A:A&amp;'小红书-订单明细'!O:O,0))/(INDEX('小红书-订单明细'!T:T,MATCH(R150&amp;AC150,'小红书-订单明细'!A:A&amp;'小红书-订单明细'!O:O,0)))),IF(ABS(SUM(AF150,AH150:AI150)/(INDEX('小红书-订单明细'!W:W,MATCH(R150&amp;AC150,'小红书-订单明细'!A:A&amp;'小红书-订单明细'!O:O,0))/(INDEX('小红书-订单明细'!T:T,MATCH(R150&amp;AC150,'小红书-订单明细'!A:A&amp;'小红书-订单明细'!O:O,0)))))&gt;15%,ROUNDUP(SUM(AF150,AH150:AI150)/(INDEX('小红书-订单明细'!W:W,MATCH(R150&amp;AC150,'小红书-订单明细'!A:A&amp;'小红书-订单明细'!O:O,0))/(INDEX('小红书-订单明细'!T:T,MATCH(R150&amp;AC150,'小红书-订单明细'!A:A&amp;'小红书-订单明细'!O:O,0)))),0),ROUNDDOWN(SUM(AF150,AH150:AI150)/(INDEX('小红书-订单明细'!W:W,MATCH(R150&amp;AC150,'小红书-订单明细'!A:A&amp;'小红书-订单明细'!O:O,0))/(INDEX('小红书-订单明细'!T:T,MATCH(R150&amp;AC150,'小红书-订单明细'!A:A&amp;'小红书-订单明细'!O:O,0)))),0)))</f>
        <v>1</v>
      </c>
      <c r="I150" s="26">
        <f t="shared" si="27"/>
        <v>359</v>
      </c>
      <c r="J150" s="26">
        <f t="shared" si="28"/>
        <v>0</v>
      </c>
      <c r="K150" s="26">
        <f t="shared" si="29"/>
        <v>0</v>
      </c>
      <c r="L150" s="26">
        <f t="shared" si="30"/>
        <v>17.95</v>
      </c>
      <c r="M150" s="26">
        <f t="shared" si="31"/>
        <v>2.15</v>
      </c>
      <c r="N150" s="26"/>
      <c r="O150" s="28">
        <f t="shared" si="32"/>
        <v>338.9</v>
      </c>
      <c r="Q150" s="1" cm="1">
        <f t="array" ref="Q150">SUM(AF150,AH150:AI150)/(INDEX('小红书-订单明细'!W:W,MATCH(R150&amp;AC150,'小红书-订单明细'!A:A&amp;'小红书-订单明细'!O:O,0))/(INDEX('小红书-订单明细'!T:T,MATCH(R150&amp;AC150,'小红书-订单明细'!A:A&amp;'小红书-订单明细'!O:O,0))))</f>
        <v>1</v>
      </c>
      <c r="R150" s="37" t="s">
        <v>1004</v>
      </c>
      <c r="S150" s="35"/>
      <c r="T150" s="35" t="s">
        <v>1013</v>
      </c>
      <c r="U150" s="35" t="s">
        <v>1016</v>
      </c>
      <c r="V150" s="35" t="s">
        <v>2032</v>
      </c>
      <c r="W150" s="38" t="s">
        <v>1755</v>
      </c>
      <c r="X150" s="38" t="s">
        <v>1749</v>
      </c>
      <c r="Y150" s="35">
        <v>338.9</v>
      </c>
      <c r="Z150" s="31" t="s">
        <v>1866</v>
      </c>
      <c r="AA150" s="38" t="s">
        <v>1758</v>
      </c>
      <c r="AB150" s="35" t="s">
        <v>969</v>
      </c>
      <c r="AC150" s="37" t="s">
        <v>970</v>
      </c>
      <c r="AD150" s="32">
        <v>1</v>
      </c>
      <c r="AE150" s="35">
        <v>359</v>
      </c>
      <c r="AF150" s="36">
        <v>359</v>
      </c>
      <c r="AG150" s="35" t="s">
        <v>75</v>
      </c>
      <c r="AH150" s="35">
        <v>0</v>
      </c>
      <c r="AI150" s="33">
        <v>0</v>
      </c>
      <c r="AJ150" s="33">
        <v>0</v>
      </c>
      <c r="AK150" s="32">
        <v>0.05</v>
      </c>
      <c r="AL150" s="32">
        <v>0</v>
      </c>
      <c r="AM150" s="33">
        <v>-17.95</v>
      </c>
      <c r="AN150" s="33">
        <v>359</v>
      </c>
      <c r="AO150" s="32">
        <v>359</v>
      </c>
      <c r="AP150" s="32">
        <v>0</v>
      </c>
      <c r="AQ150" s="34" t="s">
        <v>101</v>
      </c>
      <c r="AR150" s="32">
        <v>0</v>
      </c>
      <c r="AS150" s="32">
        <v>0.006</v>
      </c>
      <c r="AT150" s="33">
        <v>-2.15</v>
      </c>
      <c r="AU150" s="35" t="s">
        <v>148</v>
      </c>
      <c r="AV150" s="38" t="s">
        <v>1752</v>
      </c>
      <c r="AW150" s="38" t="s">
        <v>1753</v>
      </c>
      <c r="AX150" s="35"/>
      <c r="AY150" s="35"/>
      <c r="AZ150" s="33">
        <v>0</v>
      </c>
      <c r="BA150" s="32">
        <v>0</v>
      </c>
      <c r="BB150" s="32">
        <v>0</v>
      </c>
      <c r="BC150" s="32">
        <v>0</v>
      </c>
      <c r="BD150" s="32">
        <v>0</v>
      </c>
      <c r="BE150" s="35"/>
    </row>
    <row r="151" customHeight="1" spans="1:57">
      <c r="A151" s="25">
        <f t="shared" si="22"/>
        <v>2025</v>
      </c>
      <c r="B151" s="26">
        <f t="shared" si="23"/>
        <v>8</v>
      </c>
      <c r="C151" s="26" t="str">
        <f t="shared" si="24"/>
        <v>P770637065043122801</v>
      </c>
      <c r="D151" s="26">
        <f t="shared" si="25"/>
        <v>1</v>
      </c>
      <c r="E151" s="26">
        <f>COUNTIF($R$2:R151,R151)</f>
        <v>1</v>
      </c>
      <c r="F151" s="27" t="str" cm="1">
        <f t="array" ref="F151">INDEX('小红书-订单明细'!BQ:BQ,MATCH(R151&amp;AC151,'小红书-订单明细'!A:A&amp;'小红书-订单明细'!O:O,0))</f>
        <v>Z1581-白色-M</v>
      </c>
      <c r="G151" s="27" t="str">
        <f t="shared" si="26"/>
        <v>Z1581</v>
      </c>
      <c r="H151" s="26" cm="1">
        <f t="array" ref="H151">IF(ABS(BG151)&gt;=1,SUM(AF151,AH151:AI151)/(INDEX('小红书-订单明细'!W:W,MATCH(R151&amp;AC151,'小红书-订单明细'!A:A&amp;'小红书-订单明细'!O:O,0))/(INDEX('小红书-订单明细'!T:T,MATCH(R151&amp;AC151,'小红书-订单明细'!A:A&amp;'小红书-订单明细'!O:O,0)))),IF(ABS(SUM(AF151,AH151:AI151)/(INDEX('小红书-订单明细'!W:W,MATCH(R151&amp;AC151,'小红书-订单明细'!A:A&amp;'小红书-订单明细'!O:O,0))/(INDEX('小红书-订单明细'!T:T,MATCH(R151&amp;AC151,'小红书-订单明细'!A:A&amp;'小红书-订单明细'!O:O,0)))))&gt;15%,ROUNDUP(SUM(AF151,AH151:AI151)/(INDEX('小红书-订单明细'!W:W,MATCH(R151&amp;AC151,'小红书-订单明细'!A:A&amp;'小红书-订单明细'!O:O,0))/(INDEX('小红书-订单明细'!T:T,MATCH(R151&amp;AC151,'小红书-订单明细'!A:A&amp;'小红书-订单明细'!O:O,0)))),0),ROUNDDOWN(SUM(AF151,AH151:AI151)/(INDEX('小红书-订单明细'!W:W,MATCH(R151&amp;AC151,'小红书-订单明细'!A:A&amp;'小红书-订单明细'!O:O,0))/(INDEX('小红书-订单明细'!T:T,MATCH(R151&amp;AC151,'小红书-订单明细'!A:A&amp;'小红书-订单明细'!O:O,0)))),0)))</f>
        <v>1</v>
      </c>
      <c r="I151" s="26">
        <f t="shared" si="27"/>
        <v>289</v>
      </c>
      <c r="J151" s="26">
        <f t="shared" si="28"/>
        <v>0</v>
      </c>
      <c r="K151" s="26">
        <f t="shared" si="29"/>
        <v>0</v>
      </c>
      <c r="L151" s="26">
        <f t="shared" si="30"/>
        <v>14.45</v>
      </c>
      <c r="M151" s="26">
        <f t="shared" si="31"/>
        <v>1.73</v>
      </c>
      <c r="N151" s="26"/>
      <c r="O151" s="28">
        <f t="shared" si="32"/>
        <v>272.82</v>
      </c>
      <c r="Q151" s="1" cm="1">
        <f t="array" ref="Q151">SUM(AF151,AH151:AI151)/(INDEX('小红书-订单明细'!W:W,MATCH(R151&amp;AC151,'小红书-订单明细'!A:A&amp;'小红书-订单明细'!O:O,0))/(INDEX('小红书-订单明细'!T:T,MATCH(R151&amp;AC151,'小红书-订单明细'!A:A&amp;'小红书-订单明细'!O:O,0))))</f>
        <v>1</v>
      </c>
      <c r="R151" s="37" t="s">
        <v>1462</v>
      </c>
      <c r="S151" s="35"/>
      <c r="T151" s="35" t="s">
        <v>1477</v>
      </c>
      <c r="U151" s="35" t="s">
        <v>1480</v>
      </c>
      <c r="V151" s="35" t="s">
        <v>2033</v>
      </c>
      <c r="W151" s="38" t="s">
        <v>1755</v>
      </c>
      <c r="X151" s="38" t="s">
        <v>1749</v>
      </c>
      <c r="Y151" s="35">
        <v>272.82</v>
      </c>
      <c r="Z151" s="31" t="s">
        <v>2034</v>
      </c>
      <c r="AA151" s="38" t="s">
        <v>1764</v>
      </c>
      <c r="AB151" s="35" t="s">
        <v>1470</v>
      </c>
      <c r="AC151" s="37" t="s">
        <v>1471</v>
      </c>
      <c r="AD151" s="32">
        <v>1</v>
      </c>
      <c r="AE151" s="35">
        <v>289</v>
      </c>
      <c r="AF151" s="36">
        <v>289</v>
      </c>
      <c r="AG151" s="35" t="s">
        <v>75</v>
      </c>
      <c r="AH151" s="35">
        <v>0</v>
      </c>
      <c r="AI151" s="33">
        <v>0</v>
      </c>
      <c r="AJ151" s="33">
        <v>0</v>
      </c>
      <c r="AK151" s="32">
        <v>0.05</v>
      </c>
      <c r="AL151" s="32">
        <v>0</v>
      </c>
      <c r="AM151" s="33">
        <v>-14.45</v>
      </c>
      <c r="AN151" s="33">
        <v>289</v>
      </c>
      <c r="AO151" s="32">
        <v>289</v>
      </c>
      <c r="AP151" s="32">
        <v>0</v>
      </c>
      <c r="AQ151" s="34" t="s">
        <v>101</v>
      </c>
      <c r="AR151" s="32">
        <v>0</v>
      </c>
      <c r="AS151" s="32">
        <v>0.006</v>
      </c>
      <c r="AT151" s="33">
        <v>-1.73</v>
      </c>
      <c r="AU151" s="35" t="s">
        <v>148</v>
      </c>
      <c r="AV151" s="38" t="s">
        <v>1752</v>
      </c>
      <c r="AW151" s="38" t="s">
        <v>1753</v>
      </c>
      <c r="AX151" s="35"/>
      <c r="AY151" s="35"/>
      <c r="AZ151" s="33">
        <v>0</v>
      </c>
      <c r="BA151" s="32">
        <v>0</v>
      </c>
      <c r="BB151" s="32">
        <v>0</v>
      </c>
      <c r="BC151" s="32">
        <v>0</v>
      </c>
      <c r="BD151" s="32">
        <v>0</v>
      </c>
      <c r="BE151" s="35"/>
    </row>
    <row r="152" customHeight="1" spans="1:57">
      <c r="D152" s="2">
        <f>SUM(D2:D151)</f>
        <v>292</v>
      </c>
      <c r="E152" s="2">
        <f t="shared" ref="E152:O152" si="33">SUM(E2:E151)</f>
        <v>221</v>
      </c>
      <c r="F152" s="2">
        <f t="shared" si="33"/>
        <v>0</v>
      </c>
      <c r="G152" s="2">
        <f t="shared" si="33"/>
        <v>0</v>
      </c>
      <c r="H152" s="2">
        <f t="shared" si="33"/>
        <v>52</v>
      </c>
      <c r="I152" s="2">
        <f t="shared" si="33"/>
        <v>12288</v>
      </c>
      <c r="J152" s="2">
        <f t="shared" si="33"/>
        <v>10</v>
      </c>
      <c r="K152" s="2">
        <f t="shared" si="33"/>
        <v>10</v>
      </c>
      <c r="L152" s="2">
        <f t="shared" si="33"/>
        <v>614.9</v>
      </c>
      <c r="M152" s="2">
        <f t="shared" si="33"/>
        <v>72.09</v>
      </c>
      <c r="N152" s="2">
        <f t="shared" si="33"/>
        <v>0</v>
      </c>
      <c r="O152" s="2">
        <f>SUM(O2:O151)</f>
        <v>11621.01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小红书-订单明细</vt:lpstr>
      <vt:lpstr>小红书-结算账单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  林雨</cp:lastModifiedBy>
  <dcterms:created xsi:type="dcterms:W3CDTF">2025-10-24T23:28:00Z</dcterms:created>
  <dcterms:modified xsi:type="dcterms:W3CDTF">2025-11-20T17:59:28Z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80D8A701EFAD4B25A79B9D048102AB41_13</vt:lpwstr>
  </property>
  <property fmtid="{D5CDD505-2E9C-101B-9397-08002B2CF9AE}" pid="3" name="KSOProductBuildVer">
    <vt:lpwstr>2052-12.1.23540.23540</vt:lpwstr>
  </property>
</Properties>
</file>